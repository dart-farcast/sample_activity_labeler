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arcastbio-my.sharepoint.com/personal/poojitha_n_farcastbio_com/Documents/Documents/Investor_Analysis/"/>
    </mc:Choice>
  </mc:AlternateContent>
  <xr:revisionPtr revIDLastSave="35" documentId="8_{23D4E857-D3C5-4285-9ADC-B44759812CFC}" xr6:coauthVersionLast="47" xr6:coauthVersionMax="47" xr10:uidLastSave="{D5310D28-B38A-448A-97C3-D51F7AA438BE}"/>
  <bookViews>
    <workbookView xWindow="-108" yWindow="-108" windowWidth="23256" windowHeight="12456" activeTab="1" xr2:uid="{561828B2-4E1E-44DD-BA69-C884CBB9E871}"/>
  </bookViews>
  <sheets>
    <sheet name="H&amp;E and IHC_n=16" sheetId="2" r:id="rId1"/>
    <sheet name="Meta_data_n=16" sheetId="7" r:id="rId2"/>
    <sheet name="Cytokine_n=16" sheetId="3" r:id="rId3"/>
    <sheet name="Flowcytometry_n=16" sheetId="5" r:id="rId4"/>
    <sheet name="NanoString_n=16" sheetId="4" r:id="rId5"/>
  </sheets>
  <externalReferences>
    <externalReference r:id="rId6"/>
  </externalReferences>
  <definedNames>
    <definedName name="_xlnm._FilterDatabase" localSheetId="2" hidden="1">'Cytokine_n=16'!$A$1:$G$49</definedName>
    <definedName name="_xlnm._FilterDatabase" localSheetId="3" hidden="1">'Flowcytometry_n=16'!$A$1:$P$49</definedName>
    <definedName name="_xlnm._FilterDatabase" localSheetId="0" hidden="1">'H&amp;E and IHC_n=16'!$A$1:$I$49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" i="7" l="1"/>
  <c r="F33" i="7"/>
  <c r="E33" i="7"/>
  <c r="D33" i="7"/>
  <c r="G32" i="7"/>
  <c r="F32" i="7"/>
  <c r="E32" i="7"/>
  <c r="D32" i="7"/>
  <c r="G31" i="7"/>
  <c r="F31" i="7"/>
  <c r="E31" i="7"/>
  <c r="D31" i="7"/>
  <c r="G30" i="7"/>
  <c r="F30" i="7"/>
  <c r="E30" i="7"/>
  <c r="D30" i="7"/>
  <c r="G29" i="7"/>
  <c r="F29" i="7"/>
  <c r="E29" i="7"/>
  <c r="D29" i="7"/>
  <c r="G28" i="7"/>
  <c r="F28" i="7"/>
  <c r="E28" i="7"/>
  <c r="D28" i="7"/>
  <c r="G27" i="7"/>
  <c r="F27" i="7"/>
  <c r="E27" i="7"/>
  <c r="D27" i="7"/>
  <c r="G26" i="7"/>
  <c r="F26" i="7"/>
  <c r="E26" i="7"/>
  <c r="D26" i="7"/>
  <c r="G25" i="7"/>
  <c r="F25" i="7"/>
  <c r="E25" i="7"/>
  <c r="D25" i="7"/>
  <c r="G24" i="7"/>
  <c r="F24" i="7"/>
  <c r="E24" i="7"/>
  <c r="D24" i="7"/>
  <c r="G23" i="7"/>
  <c r="F23" i="7"/>
  <c r="E23" i="7"/>
  <c r="D23" i="7"/>
  <c r="G22" i="7"/>
  <c r="F22" i="7"/>
  <c r="E22" i="7"/>
  <c r="D22" i="7"/>
  <c r="G21" i="7"/>
  <c r="F21" i="7"/>
  <c r="E21" i="7"/>
  <c r="D21" i="7"/>
  <c r="G20" i="7"/>
  <c r="F20" i="7"/>
  <c r="E20" i="7"/>
  <c r="D20" i="7"/>
  <c r="G19" i="7"/>
  <c r="F19" i="7"/>
  <c r="E19" i="7"/>
  <c r="D19" i="7"/>
  <c r="G18" i="7"/>
  <c r="F18" i="7"/>
  <c r="E18" i="7"/>
  <c r="D18" i="7"/>
  <c r="G17" i="7"/>
  <c r="F17" i="7"/>
  <c r="E17" i="7"/>
  <c r="D17" i="7"/>
  <c r="G16" i="7"/>
  <c r="F16" i="7"/>
  <c r="E16" i="7"/>
  <c r="D16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G11" i="7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G3" i="7"/>
  <c r="F3" i="7"/>
  <c r="E3" i="7"/>
  <c r="D3" i="7"/>
  <c r="G2" i="7"/>
  <c r="F2" i="7"/>
  <c r="E2" i="7"/>
  <c r="D2" i="7"/>
</calcChain>
</file>

<file path=xl/sharedStrings.xml><?xml version="1.0" encoding="utf-8"?>
<sst xmlns="http://schemas.openxmlformats.org/spreadsheetml/2006/main" count="1324" uniqueCount="827">
  <si>
    <t>Arms</t>
  </si>
  <si>
    <t>Rx-A</t>
  </si>
  <si>
    <t>Rx-B</t>
  </si>
  <si>
    <t>Rx-C</t>
  </si>
  <si>
    <t>Sample_ID</t>
  </si>
  <si>
    <t>FBR1K220026</t>
  </si>
  <si>
    <t>FBR1K220023</t>
  </si>
  <si>
    <t>FBR1K220043</t>
  </si>
  <si>
    <t>FBR1K220025</t>
  </si>
  <si>
    <t>FBR1B210035</t>
  </si>
  <si>
    <t>FBR210006</t>
  </si>
  <si>
    <t>FBR1K220057</t>
  </si>
  <si>
    <t>FBR1K220015</t>
  </si>
  <si>
    <t>FBR210001</t>
  </si>
  <si>
    <t>FBR1K220085</t>
  </si>
  <si>
    <t>FBR210002</t>
  </si>
  <si>
    <t>FBR1K220019</t>
  </si>
  <si>
    <t>FBR1K220006</t>
  </si>
  <si>
    <t>FBR1K220114</t>
  </si>
  <si>
    <t>FBR1K220047</t>
  </si>
  <si>
    <t>FBR1K220012</t>
  </si>
  <si>
    <t>Median_Cas-3</t>
  </si>
  <si>
    <t>Median_Discohesion</t>
  </si>
  <si>
    <t>Median_Immune_component_%</t>
  </si>
  <si>
    <t>Median_Necrosis</t>
  </si>
  <si>
    <t>Median_Pyknosis</t>
  </si>
  <si>
    <t>Median_Tumor_%</t>
  </si>
  <si>
    <t>Median_Tumor_infiltrated_immune_cells_%</t>
  </si>
  <si>
    <t>IL-10</t>
  </si>
  <si>
    <t>IFN-g</t>
  </si>
  <si>
    <t>TNF-a</t>
  </si>
  <si>
    <t>Perforin</t>
  </si>
  <si>
    <t>Granzyme B</t>
  </si>
  <si>
    <t>A2M</t>
  </si>
  <si>
    <t>ACVR1C</t>
  </si>
  <si>
    <t>ADAM12</t>
  </si>
  <si>
    <t>ADGRE1</t>
  </si>
  <si>
    <t>ADM</t>
  </si>
  <si>
    <t>ADORA2A</t>
  </si>
  <si>
    <t>AKT1</t>
  </si>
  <si>
    <t>ALDOA</t>
  </si>
  <si>
    <t>ALDOC</t>
  </si>
  <si>
    <t>ANGPT1</t>
  </si>
  <si>
    <t>ANGPT2</t>
  </si>
  <si>
    <t>ANGPTL4</t>
  </si>
  <si>
    <t>ANLN</t>
  </si>
  <si>
    <t>APC</t>
  </si>
  <si>
    <t>APH1B</t>
  </si>
  <si>
    <t>API5</t>
  </si>
  <si>
    <t>APLNR</t>
  </si>
  <si>
    <t>APOE</t>
  </si>
  <si>
    <t>APOL6</t>
  </si>
  <si>
    <t>AQP9</t>
  </si>
  <si>
    <t>AREG</t>
  </si>
  <si>
    <t>ARG1</t>
  </si>
  <si>
    <t>ARG2</t>
  </si>
  <si>
    <t>ARID1A</t>
  </si>
  <si>
    <t>ARNT2</t>
  </si>
  <si>
    <t>ATF3</t>
  </si>
  <si>
    <t>ATM</t>
  </si>
  <si>
    <t>AXIN1</t>
  </si>
  <si>
    <t>AXL</t>
  </si>
  <si>
    <t>B2M</t>
  </si>
  <si>
    <t>BAD</t>
  </si>
  <si>
    <t>BAMBI</t>
  </si>
  <si>
    <t>BATF3</t>
  </si>
  <si>
    <t>BAX</t>
  </si>
  <si>
    <t>BBC3</t>
  </si>
  <si>
    <t>BBS1</t>
  </si>
  <si>
    <t>BCAT1</t>
  </si>
  <si>
    <t>BCL2</t>
  </si>
  <si>
    <t>BCL2L1</t>
  </si>
  <si>
    <t>BCL6B</t>
  </si>
  <si>
    <t>BID</t>
  </si>
  <si>
    <t>BIRC3</t>
  </si>
  <si>
    <t>BIRC5</t>
  </si>
  <si>
    <t>BLK</t>
  </si>
  <si>
    <t>BLM</t>
  </si>
  <si>
    <t>BMP2</t>
  </si>
  <si>
    <t>BNIP3</t>
  </si>
  <si>
    <t>BNIP3L</t>
  </si>
  <si>
    <t>BRCA1</t>
  </si>
  <si>
    <t>BRCA2</t>
  </si>
  <si>
    <t>BRD3</t>
  </si>
  <si>
    <t>BRD4</t>
  </si>
  <si>
    <t>BRIP1</t>
  </si>
  <si>
    <t>BTLA</t>
  </si>
  <si>
    <t>C1QA</t>
  </si>
  <si>
    <t>C1QB</t>
  </si>
  <si>
    <t>C2</t>
  </si>
  <si>
    <t>C5</t>
  </si>
  <si>
    <t>C5AR1</t>
  </si>
  <si>
    <t>C7</t>
  </si>
  <si>
    <t>CASP1</t>
  </si>
  <si>
    <t>CASP3</t>
  </si>
  <si>
    <t>CASP8</t>
  </si>
  <si>
    <t>CASP9</t>
  </si>
  <si>
    <t>CBLC</t>
  </si>
  <si>
    <t>CCL13</t>
  </si>
  <si>
    <t>CCL14</t>
  </si>
  <si>
    <t>CCL18</t>
  </si>
  <si>
    <t>CCL19</t>
  </si>
  <si>
    <t>CCL2</t>
  </si>
  <si>
    <t>CCL20</t>
  </si>
  <si>
    <t>CCL21</t>
  </si>
  <si>
    <t>CCL22</t>
  </si>
  <si>
    <t>CCL3/L1</t>
  </si>
  <si>
    <t>CCL4</t>
  </si>
  <si>
    <t>CCL5</t>
  </si>
  <si>
    <t>CCL7</t>
  </si>
  <si>
    <t>CCL8</t>
  </si>
  <si>
    <t>CCNA1</t>
  </si>
  <si>
    <t>CCNB1</t>
  </si>
  <si>
    <t>CCND1</t>
  </si>
  <si>
    <t>CCND2</t>
  </si>
  <si>
    <t>CCND3</t>
  </si>
  <si>
    <t>CCNE1</t>
  </si>
  <si>
    <t>CCNO</t>
  </si>
  <si>
    <t>CCR2</t>
  </si>
  <si>
    <t>CCR4</t>
  </si>
  <si>
    <t>CCR5</t>
  </si>
  <si>
    <t>CD14</t>
  </si>
  <si>
    <t>CD163</t>
  </si>
  <si>
    <t>CD19</t>
  </si>
  <si>
    <t>CD1C</t>
  </si>
  <si>
    <t>CD2</t>
  </si>
  <si>
    <t>CD209</t>
  </si>
  <si>
    <t>CD244</t>
  </si>
  <si>
    <t>CD247</t>
  </si>
  <si>
    <t>CD27</t>
  </si>
  <si>
    <t>CD274</t>
  </si>
  <si>
    <t>CD276</t>
  </si>
  <si>
    <t>CD28</t>
  </si>
  <si>
    <t>CD300A</t>
  </si>
  <si>
    <t>CD36</t>
  </si>
  <si>
    <t>CD38</t>
  </si>
  <si>
    <t>CD3D</t>
  </si>
  <si>
    <t>CD3E</t>
  </si>
  <si>
    <t>CD3G</t>
  </si>
  <si>
    <t>CD4</t>
  </si>
  <si>
    <t>CD40</t>
  </si>
  <si>
    <t>CD40LG</t>
  </si>
  <si>
    <t>CD44</t>
  </si>
  <si>
    <t>CD45RA</t>
  </si>
  <si>
    <t>CD45RB</t>
  </si>
  <si>
    <t>CD45RO</t>
  </si>
  <si>
    <t>CD47</t>
  </si>
  <si>
    <t>CD48</t>
  </si>
  <si>
    <t>CD5</t>
  </si>
  <si>
    <t>CD58</t>
  </si>
  <si>
    <t>CD6</t>
  </si>
  <si>
    <t>CD68</t>
  </si>
  <si>
    <t>CD69</t>
  </si>
  <si>
    <t>CD7</t>
  </si>
  <si>
    <t>CD70</t>
  </si>
  <si>
    <t>CD74</t>
  </si>
  <si>
    <t>CD79A</t>
  </si>
  <si>
    <t>CD79B</t>
  </si>
  <si>
    <t>CD80</t>
  </si>
  <si>
    <t>CD84</t>
  </si>
  <si>
    <t>CD86</t>
  </si>
  <si>
    <t>CD8A</t>
  </si>
  <si>
    <t>CD8B</t>
  </si>
  <si>
    <t>CD96</t>
  </si>
  <si>
    <t>CDC20</t>
  </si>
  <si>
    <t>CDC25C</t>
  </si>
  <si>
    <t>CDH1</t>
  </si>
  <si>
    <t>CDH11</t>
  </si>
  <si>
    <t>CDH2</t>
  </si>
  <si>
    <t>CDH5</t>
  </si>
  <si>
    <t>CDK2</t>
  </si>
  <si>
    <t>CDK6</t>
  </si>
  <si>
    <t>CDKN1A</t>
  </si>
  <si>
    <t>CDKN1C</t>
  </si>
  <si>
    <t>CDKN2A</t>
  </si>
  <si>
    <t>CDKN2B</t>
  </si>
  <si>
    <t>CEACAM3</t>
  </si>
  <si>
    <t>CEBPB</t>
  </si>
  <si>
    <t>CENPF</t>
  </si>
  <si>
    <t>CEP55</t>
  </si>
  <si>
    <t>CES3</t>
  </si>
  <si>
    <t>CHUK</t>
  </si>
  <si>
    <t>CLEC14A</t>
  </si>
  <si>
    <t>CLEC4E</t>
  </si>
  <si>
    <t>CLEC5A</t>
  </si>
  <si>
    <t>CLEC7A</t>
  </si>
  <si>
    <t>CLECL1</t>
  </si>
  <si>
    <t>CMKLR1</t>
  </si>
  <si>
    <t>CNTFR</t>
  </si>
  <si>
    <t>COL11A1</t>
  </si>
  <si>
    <t>COL11A2</t>
  </si>
  <si>
    <t>COL17A1</t>
  </si>
  <si>
    <t>COL4A5</t>
  </si>
  <si>
    <t>COL5A1</t>
  </si>
  <si>
    <t>COL6A3</t>
  </si>
  <si>
    <t>COMP</t>
  </si>
  <si>
    <t>CPA3</t>
  </si>
  <si>
    <t>CRABP2</t>
  </si>
  <si>
    <t>CSF1</t>
  </si>
  <si>
    <t>CSF1R</t>
  </si>
  <si>
    <t>CSF2</t>
  </si>
  <si>
    <t>CSF2RB</t>
  </si>
  <si>
    <t>CSF3</t>
  </si>
  <si>
    <t>CSF3R</t>
  </si>
  <si>
    <t>CST2</t>
  </si>
  <si>
    <t>CTAG1B</t>
  </si>
  <si>
    <t>CTLA4</t>
  </si>
  <si>
    <t>CTNNB1</t>
  </si>
  <si>
    <t>CTSS</t>
  </si>
  <si>
    <t>CTSW</t>
  </si>
  <si>
    <t>CX3CL1</t>
  </si>
  <si>
    <t>CX3CR1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</si>
  <si>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</si>
  <si>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</si>
  <si>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</si>
  <si>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</si>
  <si>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</si>
  <si>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</si>
  <si>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</si>
  <si>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</si>
  <si>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</si>
  <si>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</si>
  <si>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</si>
  <si>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</si>
  <si>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</si>
  <si>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CXCR2</t>
  </si>
  <si>
    <t>CXCR3</t>
  </si>
  <si>
    <t>CXCR4</t>
  </si>
  <si>
    <t>CXCR6</t>
  </si>
  <si>
    <t>CXorf36</t>
  </si>
  <si>
    <t>CYBB</t>
  </si>
  <si>
    <t>DAB2</t>
  </si>
  <si>
    <t>DDB2</t>
  </si>
  <si>
    <t>DEFB134</t>
  </si>
  <si>
    <t>DEPTOR</t>
  </si>
  <si>
    <t>DKK1</t>
  </si>
  <si>
    <t>DLL1</t>
  </si>
  <si>
    <t>DLL4</t>
  </si>
  <si>
    <t>DNMT1</t>
  </si>
  <si>
    <t>DPP4</t>
  </si>
  <si>
    <t>DTX3L</t>
  </si>
  <si>
    <t>DTX4</t>
  </si>
  <si>
    <t>DUSP1</t>
  </si>
  <si>
    <t>DUSP2</t>
  </si>
  <si>
    <t>DUSP5</t>
  </si>
  <si>
    <t>E2F3</t>
  </si>
  <si>
    <t>EDN1</t>
  </si>
  <si>
    <t>EGF</t>
  </si>
  <si>
    <t>EGFR</t>
  </si>
  <si>
    <t>EGR1</t>
  </si>
  <si>
    <t>EIF2AK2</t>
  </si>
  <si>
    <t>EIF2B4</t>
  </si>
  <si>
    <t>EIF4EBP1</t>
  </si>
  <si>
    <t>EIF5AL1</t>
  </si>
  <si>
    <t>ELOB</t>
  </si>
  <si>
    <t>ENO1</t>
  </si>
  <si>
    <t>ENTPD1</t>
  </si>
  <si>
    <t>EOMES</t>
  </si>
  <si>
    <t>EPCAM</t>
  </si>
  <si>
    <t>EPM2AIP1</t>
  </si>
  <si>
    <t>ERBB2</t>
  </si>
  <si>
    <t>ERO1A</t>
  </si>
  <si>
    <t>ESR1</t>
  </si>
  <si>
    <t>EXO1</t>
  </si>
  <si>
    <t>EZH2</t>
  </si>
  <si>
    <t>F2RL1</t>
  </si>
  <si>
    <t>FADD</t>
  </si>
  <si>
    <t>FAM124B</t>
  </si>
  <si>
    <t>FAM30A</t>
  </si>
  <si>
    <t>FANCA</t>
  </si>
  <si>
    <t>FAP</t>
  </si>
  <si>
    <t>FAS</t>
  </si>
  <si>
    <t>FASLG</t>
  </si>
  <si>
    <t>FBP1</t>
  </si>
  <si>
    <t>FCAR</t>
  </si>
  <si>
    <t>FCGR1A</t>
  </si>
  <si>
    <t>FCGR2A</t>
  </si>
  <si>
    <t>FCGR2B</t>
  </si>
  <si>
    <t>FCGR3A/B</t>
  </si>
  <si>
    <t>FCGRT</t>
  </si>
  <si>
    <t>FCN1</t>
  </si>
  <si>
    <t>FCRL2</t>
  </si>
  <si>
    <t>FGF13</t>
  </si>
  <si>
    <t>FGF18</t>
  </si>
  <si>
    <t>FGF9</t>
  </si>
  <si>
    <t>FGFR1</t>
  </si>
  <si>
    <t>FLNB</t>
  </si>
  <si>
    <t>FLT1</t>
  </si>
  <si>
    <t>FOSL1</t>
  </si>
  <si>
    <t>FOXP3</t>
  </si>
  <si>
    <t>FPR1</t>
  </si>
  <si>
    <t>FPR3</t>
  </si>
  <si>
    <t>FSTL3</t>
  </si>
  <si>
    <t>FUT4</t>
  </si>
  <si>
    <t>FYN</t>
  </si>
  <si>
    <t>FZD8</t>
  </si>
  <si>
    <t>FZD9</t>
  </si>
  <si>
    <t>GAS1</t>
  </si>
  <si>
    <t>GBP1</t>
  </si>
  <si>
    <t>GBP2</t>
  </si>
  <si>
    <t>GBP4</t>
  </si>
  <si>
    <t>GHR</t>
  </si>
  <si>
    <t>GIMAP4</t>
  </si>
  <si>
    <t>GIMAP6</t>
  </si>
  <si>
    <t>GLI1</t>
  </si>
  <si>
    <t>GLS</t>
  </si>
  <si>
    <t>GLUD1</t>
  </si>
  <si>
    <t>GLUL</t>
  </si>
  <si>
    <t>GMIP</t>
  </si>
  <si>
    <t>GNG4</t>
  </si>
  <si>
    <t>GNLY</t>
  </si>
  <si>
    <t>GOT1</t>
  </si>
  <si>
    <t>GOT2</t>
  </si>
  <si>
    <t>GPC4</t>
  </si>
  <si>
    <t>GPR160</t>
  </si>
  <si>
    <t>GPSM3</t>
  </si>
  <si>
    <t>GZMA</t>
  </si>
  <si>
    <t>GZMB</t>
  </si>
  <si>
    <t>GZMH</t>
  </si>
  <si>
    <t>GZMK</t>
  </si>
  <si>
    <t>GZMM</t>
  </si>
  <si>
    <t>H2AFX</t>
  </si>
  <si>
    <t>HAVCR2</t>
  </si>
  <si>
    <t>HCK</t>
  </si>
  <si>
    <t>HDAC11</t>
  </si>
  <si>
    <t>HDAC3</t>
  </si>
  <si>
    <t>HDAC4</t>
  </si>
  <si>
    <t>HDAC5</t>
  </si>
  <si>
    <t>HDC</t>
  </si>
  <si>
    <t>HELLS</t>
  </si>
  <si>
    <t>HERC6</t>
  </si>
  <si>
    <t>HES1</t>
  </si>
  <si>
    <t>HEY1</t>
  </si>
  <si>
    <t>HIF1A</t>
  </si>
  <si>
    <t>HK1</t>
  </si>
  <si>
    <t>HK2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</si>
  <si>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</si>
  <si>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</si>
  <si>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</si>
  <si>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</si>
  <si>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</si>
  <si>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</si>
  <si>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</si>
  <si>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</si>
  <si>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</si>
  <si>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</si>
  <si>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</si>
  <si>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</si>
  <si>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HLA-DRA</t>
  </si>
  <si>
    <t>HLA-DRB1</t>
  </si>
  <si>
    <t>HLA-DRB5</t>
  </si>
  <si>
    <t>HLA-E</t>
  </si>
  <si>
    <t>HLA-F</t>
  </si>
  <si>
    <t>HMGA1</t>
  </si>
  <si>
    <t>HMGB1</t>
  </si>
  <si>
    <t>HNF1A</t>
  </si>
  <si>
    <t>HRAS</t>
  </si>
  <si>
    <t>HSD11B1</t>
  </si>
  <si>
    <t>ICAM1</t>
  </si>
  <si>
    <t>ICAM2</t>
  </si>
  <si>
    <t>ICAM3</t>
  </si>
  <si>
    <t>ICAM5</t>
  </si>
  <si>
    <t>ICOS</t>
  </si>
  <si>
    <t>ICOSLG</t>
  </si>
  <si>
    <t>ID4</t>
  </si>
  <si>
    <t>IDO1</t>
  </si>
  <si>
    <t>IER3</t>
  </si>
  <si>
    <t>IFI16</t>
  </si>
  <si>
    <t>IFI27</t>
  </si>
  <si>
    <t>IFI35</t>
  </si>
  <si>
    <t>IFI6</t>
  </si>
  <si>
    <t>IFIH1</t>
  </si>
  <si>
    <t>IFIT1</t>
  </si>
  <si>
    <t>IFIT2</t>
  </si>
  <si>
    <t>IFIT3</t>
  </si>
  <si>
    <t>IFITM1</t>
  </si>
  <si>
    <t>IFITM2</t>
  </si>
  <si>
    <t>IFNA1</t>
  </si>
  <si>
    <t>IFNAR1</t>
  </si>
  <si>
    <t>IFNG</t>
  </si>
  <si>
    <t>IFNGR1</t>
  </si>
  <si>
    <t>IFNGR2</t>
  </si>
  <si>
    <t>IGF2R</t>
  </si>
  <si>
    <t>IHH</t>
  </si>
  <si>
    <t>IKBKB</t>
  </si>
  <si>
    <t>IKBKG</t>
  </si>
  <si>
    <t>IL10</t>
  </si>
  <si>
    <t>IL10RA</t>
  </si>
  <si>
    <t>IL11</t>
  </si>
  <si>
    <t>IL11RA</t>
  </si>
  <si>
    <t>IL12RB2</t>
  </si>
  <si>
    <t>IL15</t>
  </si>
  <si>
    <t>IL16</t>
  </si>
  <si>
    <t>IL17A</t>
  </si>
  <si>
    <t>IL18</t>
  </si>
  <si>
    <t>IL18R1</t>
  </si>
  <si>
    <t>IL1A</t>
  </si>
  <si>
    <t>IL1B</t>
  </si>
  <si>
    <t>IL1R2</t>
  </si>
  <si>
    <t>IL1RN</t>
  </si>
  <si>
    <t>IL2</t>
  </si>
  <si>
    <t>IL21R</t>
  </si>
  <si>
    <t>IL22RA1</t>
  </si>
  <si>
    <t>IL24</t>
  </si>
  <si>
    <t>IL2RA</t>
  </si>
  <si>
    <t>IL2RB</t>
  </si>
  <si>
    <t>IL2RG</t>
  </si>
  <si>
    <t>IL32</t>
  </si>
  <si>
    <t>IL33</t>
  </si>
  <si>
    <t>IL34</t>
  </si>
  <si>
    <t>IL4</t>
  </si>
  <si>
    <t>IL6</t>
  </si>
  <si>
    <t>IL6R</t>
  </si>
  <si>
    <t>IL7R</t>
  </si>
  <si>
    <t>INHBA</t>
  </si>
  <si>
    <t>IRF1</t>
  </si>
  <si>
    <t>IRF2</t>
  </si>
  <si>
    <t>IRF3</t>
  </si>
  <si>
    <t>IRF4</t>
  </si>
  <si>
    <t>IRF5</t>
  </si>
  <si>
    <t>IRF7</t>
  </si>
  <si>
    <t>IRF8</t>
  </si>
  <si>
    <t>IRF9</t>
  </si>
  <si>
    <t>ISG15</t>
  </si>
  <si>
    <t>ITGA1</t>
  </si>
  <si>
    <t>ITGA2</t>
  </si>
  <si>
    <t>ITGA4</t>
  </si>
  <si>
    <t>ITGA6</t>
  </si>
  <si>
    <t>ITGAE</t>
  </si>
  <si>
    <t>ITGAL</t>
  </si>
  <si>
    <t>ITGAM</t>
  </si>
  <si>
    <t>ITGAV</t>
  </si>
  <si>
    <t>ITGAX</t>
  </si>
  <si>
    <t>ITGB2</t>
  </si>
  <si>
    <t>ITGB3</t>
  </si>
  <si>
    <t>ITGB8</t>
  </si>
  <si>
    <t>ITPK1</t>
  </si>
  <si>
    <t>JAG1</t>
  </si>
  <si>
    <t>JAG2</t>
  </si>
  <si>
    <t>JAK1</t>
  </si>
  <si>
    <t>JAK2</t>
  </si>
  <si>
    <t>JAK3</t>
  </si>
  <si>
    <t>KAT2B</t>
  </si>
  <si>
    <t>KDR</t>
  </si>
  <si>
    <t>KIF2C</t>
  </si>
  <si>
    <t>KIR2DL3</t>
  </si>
  <si>
    <t>KIR3DL1</t>
  </si>
  <si>
    <t>KIR3DL2</t>
  </si>
  <si>
    <t>KIT</t>
  </si>
  <si>
    <t>KLRB1</t>
  </si>
  <si>
    <t>KLRD1</t>
  </si>
  <si>
    <t>KLRK1</t>
  </si>
  <si>
    <t>KRAS</t>
  </si>
  <si>
    <t>LAG3</t>
  </si>
  <si>
    <t>LAIR1</t>
  </si>
  <si>
    <t>LAMA1</t>
  </si>
  <si>
    <t>LAMB3</t>
  </si>
  <si>
    <t>LAMC2</t>
  </si>
  <si>
    <t>LCK</t>
  </si>
  <si>
    <t>LDHA</t>
  </si>
  <si>
    <t>LDHB</t>
  </si>
  <si>
    <t>LGALS9</t>
  </si>
  <si>
    <t>LIF</t>
  </si>
  <si>
    <t>LILRA1</t>
  </si>
  <si>
    <t>LILRA3</t>
  </si>
  <si>
    <t>LILRA5</t>
  </si>
  <si>
    <t>LILRB2</t>
  </si>
  <si>
    <t>LILRB4</t>
  </si>
  <si>
    <t>LOXL2</t>
  </si>
  <si>
    <t>LRRC32</t>
  </si>
  <si>
    <t>LTB</t>
  </si>
  <si>
    <t>LTBP1</t>
  </si>
  <si>
    <t>LY9</t>
  </si>
  <si>
    <t>LY96</t>
  </si>
  <si>
    <t>LYZ</t>
  </si>
  <si>
    <t>MAGEA1</t>
  </si>
  <si>
    <t>MAGEA12</t>
  </si>
  <si>
    <t>MAGEA3/A6</t>
  </si>
  <si>
    <t>MAGEA4</t>
  </si>
  <si>
    <t>MAGEB2</t>
  </si>
  <si>
    <t>MAGEC1</t>
  </si>
  <si>
    <t>MAGEC2</t>
  </si>
  <si>
    <t>MAML2</t>
  </si>
  <si>
    <t>MAP3K12</t>
  </si>
  <si>
    <t>MAP3K5</t>
  </si>
  <si>
    <t>MAP3K7</t>
  </si>
  <si>
    <t>MAP3K8</t>
  </si>
  <si>
    <t>MAPK10</t>
  </si>
  <si>
    <t>MARCO</t>
  </si>
  <si>
    <t>MB21D1</t>
  </si>
  <si>
    <t>MELK</t>
  </si>
  <si>
    <t>MET</t>
  </si>
  <si>
    <t>MFGE8</t>
  </si>
  <si>
    <t>MFNG</t>
  </si>
  <si>
    <t>MGMT</t>
  </si>
  <si>
    <t>MICA</t>
  </si>
  <si>
    <t>MICB</t>
  </si>
  <si>
    <t>MKI67</t>
  </si>
  <si>
    <t>MLANA</t>
  </si>
  <si>
    <t>MLH1</t>
  </si>
  <si>
    <t>MMP1</t>
  </si>
  <si>
    <t>MMP7</t>
  </si>
  <si>
    <t>MMP9</t>
  </si>
  <si>
    <t>MMRN2</t>
  </si>
  <si>
    <t>MRC1</t>
  </si>
  <si>
    <t>MRE11</t>
  </si>
  <si>
    <t>MS4A1</t>
  </si>
  <si>
    <t>MS4A2</t>
  </si>
  <si>
    <t>MS4A4A</t>
  </si>
  <si>
    <t>MS4A6A</t>
  </si>
  <si>
    <t>MSH2</t>
  </si>
  <si>
    <t>MSH6</t>
  </si>
  <si>
    <t>MTOR</t>
  </si>
  <si>
    <t>MX1</t>
  </si>
  <si>
    <t>MXI1</t>
  </si>
  <si>
    <t>MYC</t>
  </si>
  <si>
    <t>MYCT1</t>
  </si>
  <si>
    <t>MYD88</t>
  </si>
  <si>
    <t>NBN</t>
  </si>
  <si>
    <t>NCAM1</t>
  </si>
  <si>
    <t>NCR1</t>
  </si>
  <si>
    <t>NDUFA4L2</t>
  </si>
  <si>
    <t>NECTIN1</t>
  </si>
  <si>
    <t>NECTIN2</t>
  </si>
  <si>
    <t>NEIL1</t>
  </si>
  <si>
    <t>NF1</t>
  </si>
  <si>
    <t>NFAM1</t>
  </si>
  <si>
    <t>NFATC2</t>
  </si>
  <si>
    <t>NFIL3</t>
  </si>
  <si>
    <t>NFKB1</t>
  </si>
  <si>
    <t>NFKB2</t>
  </si>
  <si>
    <t>NFKBIA</t>
  </si>
  <si>
    <t>NFKBIE</t>
  </si>
  <si>
    <t>NGFR</t>
  </si>
  <si>
    <t>NID2</t>
  </si>
  <si>
    <t>NKG7</t>
  </si>
  <si>
    <t>NLRC5</t>
  </si>
  <si>
    <t>NLRP3</t>
  </si>
  <si>
    <t>NOD2</t>
  </si>
  <si>
    <t>NOS2</t>
  </si>
  <si>
    <t>NOTCH1</t>
  </si>
  <si>
    <t>NOTCH2</t>
  </si>
  <si>
    <t>NRAS</t>
  </si>
  <si>
    <t>NT5E</t>
  </si>
  <si>
    <t>OAS1</t>
  </si>
  <si>
    <t>OAS2</t>
  </si>
  <si>
    <t>OAS3</t>
  </si>
  <si>
    <t>OASL</t>
  </si>
  <si>
    <t>OLFML2B</t>
  </si>
  <si>
    <t>OLR1</t>
  </si>
  <si>
    <t>OTOA</t>
  </si>
  <si>
    <t>P2RY13</t>
  </si>
  <si>
    <t>P4HA1</t>
  </si>
  <si>
    <t>P4HA2</t>
  </si>
  <si>
    <t>PALMD</t>
  </si>
  <si>
    <t>PARP12</t>
  </si>
  <si>
    <t>PARP4</t>
  </si>
  <si>
    <t>PARP9</t>
  </si>
  <si>
    <t>PC</t>
  </si>
  <si>
    <t>PCK2</t>
  </si>
  <si>
    <t>PDCD1</t>
  </si>
  <si>
    <t>PDCD1LG2</t>
  </si>
  <si>
    <t>PDGFA</t>
  </si>
  <si>
    <t>PDGFB</t>
  </si>
  <si>
    <t>PDGFRB</t>
  </si>
  <si>
    <t>PDK1</t>
  </si>
  <si>
    <t>PDZK1IP1</t>
  </si>
  <si>
    <t>PECAM1</t>
  </si>
  <si>
    <t>PF4</t>
  </si>
  <si>
    <t>PFKFB3</t>
  </si>
  <si>
    <t>PFKM</t>
  </si>
  <si>
    <t>PGPEP1</t>
  </si>
  <si>
    <t>PIAS4</t>
  </si>
  <si>
    <t>PIK3CA</t>
  </si>
  <si>
    <t>PIK3CD</t>
  </si>
  <si>
    <t>PIK3CG</t>
  </si>
  <si>
    <t>PIK3R1</t>
  </si>
  <si>
    <t>PIK3R2</t>
  </si>
  <si>
    <t>PIK3R5</t>
  </si>
  <si>
    <t>PKM</t>
  </si>
  <si>
    <t>PLA1A</t>
  </si>
  <si>
    <t>PLA2G2A</t>
  </si>
  <si>
    <t>PLOD2</t>
  </si>
  <si>
    <t>PMS2</t>
  </si>
  <si>
    <t>PNOC</t>
  </si>
  <si>
    <t>POLD1</t>
  </si>
  <si>
    <t>PPARG</t>
  </si>
  <si>
    <t>PPARGC1B</t>
  </si>
  <si>
    <t>PRF1</t>
  </si>
  <si>
    <t>PRKAA2</t>
  </si>
  <si>
    <t>PRKACB</t>
  </si>
  <si>
    <t>PRKCA</t>
  </si>
  <si>
    <t>PRKX</t>
  </si>
  <si>
    <t>PRLR</t>
  </si>
  <si>
    <t>PROM1</t>
  </si>
  <si>
    <t>PRR5</t>
  </si>
  <si>
    <t>PSMB10</t>
  </si>
  <si>
    <t>PSMB5</t>
  </si>
  <si>
    <t>PSMB8</t>
  </si>
  <si>
    <t>PSMB9</t>
  </si>
  <si>
    <t>PTCD2</t>
  </si>
  <si>
    <t>PTEN</t>
  </si>
  <si>
    <t>PTGER4</t>
  </si>
  <si>
    <t>PTGS2</t>
  </si>
  <si>
    <t>PTPN11</t>
  </si>
  <si>
    <t>PTPRC</t>
  </si>
  <si>
    <t>PVR</t>
  </si>
  <si>
    <t>PVRIG</t>
  </si>
  <si>
    <t>RAD50</t>
  </si>
  <si>
    <t>RAD51</t>
  </si>
  <si>
    <t>RAD51C</t>
  </si>
  <si>
    <t>RASAL1</t>
  </si>
  <si>
    <t>RASGRF1</t>
  </si>
  <si>
    <t>RB1</t>
  </si>
  <si>
    <t>RBL2</t>
  </si>
  <si>
    <t>RELA</t>
  </si>
  <si>
    <t>RELB</t>
  </si>
  <si>
    <t>RELN</t>
  </si>
  <si>
    <t>REN</t>
  </si>
  <si>
    <t>RICTOR</t>
  </si>
  <si>
    <t>RIPK1</t>
  </si>
  <si>
    <t>RIPK2</t>
  </si>
  <si>
    <t>RIPK3</t>
  </si>
  <si>
    <t>RNLS</t>
  </si>
  <si>
    <t>ROBO4</t>
  </si>
  <si>
    <t>ROCK1</t>
  </si>
  <si>
    <t>ROR2</t>
  </si>
  <si>
    <t>RORC</t>
  </si>
  <si>
    <t>RPL23</t>
  </si>
  <si>
    <t>RPL7A</t>
  </si>
  <si>
    <t>RPS6KB1</t>
  </si>
  <si>
    <t>RPTOR</t>
  </si>
  <si>
    <t>RRM2</t>
  </si>
  <si>
    <t>RSAD2</t>
  </si>
  <si>
    <t>RUNX3</t>
  </si>
  <si>
    <t>S100A12</t>
  </si>
  <si>
    <t>S100A8</t>
  </si>
  <si>
    <t>S100A9</t>
  </si>
  <si>
    <t>SAMD9</t>
  </si>
  <si>
    <t>SAMSN1</t>
  </si>
  <si>
    <t>SBNO2</t>
  </si>
  <si>
    <t>SELE</t>
  </si>
  <si>
    <t>SELL</t>
  </si>
  <si>
    <t>SELP</t>
  </si>
  <si>
    <t>SERPINA1</t>
  </si>
  <si>
    <t>SERPINB5</t>
  </si>
  <si>
    <t>SERPINH1</t>
  </si>
  <si>
    <t>SFRP1</t>
  </si>
  <si>
    <t>SFRP4</t>
  </si>
  <si>
    <t>SFXN1</t>
  </si>
  <si>
    <t>SGK1</t>
  </si>
  <si>
    <t>SH2D1A</t>
  </si>
  <si>
    <t>SHC2</t>
  </si>
  <si>
    <t>SIGLEC1</t>
  </si>
  <si>
    <t>SIGLEC5</t>
  </si>
  <si>
    <t>SIGLEC8</t>
  </si>
  <si>
    <t>SIRPA</t>
  </si>
  <si>
    <t>SIRPB2</t>
  </si>
  <si>
    <t>SLAMF7</t>
  </si>
  <si>
    <t>SLC11A1</t>
  </si>
  <si>
    <t>SLC16A1</t>
  </si>
  <si>
    <t>SLC1A5</t>
  </si>
  <si>
    <t>SLC2A1</t>
  </si>
  <si>
    <t>SLC7A5</t>
  </si>
  <si>
    <t>SMAD5</t>
  </si>
  <si>
    <t>SMAP1</t>
  </si>
  <si>
    <t>SNAI1</t>
  </si>
  <si>
    <t>SNCA</t>
  </si>
  <si>
    <t>SOCS1</t>
  </si>
  <si>
    <t>SOX10</t>
  </si>
  <si>
    <t>SOX11</t>
  </si>
  <si>
    <t>SOX2</t>
  </si>
  <si>
    <t>SPIB</t>
  </si>
  <si>
    <t>SPP1</t>
  </si>
  <si>
    <t>SPRY4</t>
  </si>
  <si>
    <t>SREBF1</t>
  </si>
  <si>
    <t>SRP54</t>
  </si>
  <si>
    <t>STAT1</t>
  </si>
  <si>
    <t>STAT2</t>
  </si>
  <si>
    <t>STAT3</t>
  </si>
  <si>
    <t>STAT4</t>
  </si>
  <si>
    <t>STC1</t>
  </si>
  <si>
    <t>SYK</t>
  </si>
  <si>
    <t>TAF3</t>
  </si>
  <si>
    <t>TAP1</t>
  </si>
  <si>
    <t>TAP2</t>
  </si>
  <si>
    <t>TAPBP</t>
  </si>
  <si>
    <t>TAPBPL</t>
  </si>
  <si>
    <t>TBX21</t>
  </si>
  <si>
    <t>TBXAS1</t>
  </si>
  <si>
    <t>TCF3</t>
  </si>
  <si>
    <t>TCL1A</t>
  </si>
  <si>
    <t>TDO2</t>
  </si>
  <si>
    <t>TGFB1</t>
  </si>
  <si>
    <t>TGFB2</t>
  </si>
  <si>
    <t>TGFB3</t>
  </si>
  <si>
    <t>TGFBR1</t>
  </si>
  <si>
    <t>TGFBR2</t>
  </si>
  <si>
    <t>THBD</t>
  </si>
  <si>
    <t>THBS1</t>
  </si>
  <si>
    <t>THY1</t>
  </si>
  <si>
    <t>TICAM1</t>
  </si>
  <si>
    <t>TIE1</t>
  </si>
  <si>
    <t>TIGIT</t>
  </si>
  <si>
    <t>TLR1</t>
  </si>
  <si>
    <t>TLR2</t>
  </si>
  <si>
    <t>TLR3</t>
  </si>
  <si>
    <t>TLR4</t>
  </si>
  <si>
    <t>TLR5</t>
  </si>
  <si>
    <t>TLR7</t>
  </si>
  <si>
    <t>TLR8</t>
  </si>
  <si>
    <t>TLR9</t>
  </si>
  <si>
    <t>TMEM140</t>
  </si>
  <si>
    <t>TMEM173</t>
  </si>
  <si>
    <t>TNF</t>
  </si>
  <si>
    <t>TNFAIP3</t>
  </si>
  <si>
    <t>TNFAIP6</t>
  </si>
  <si>
    <t>TNFRSF10B</t>
  </si>
  <si>
    <t>TNFRSF10C</t>
  </si>
  <si>
    <t>TNFRSF10D</t>
  </si>
  <si>
    <t>TNFRSF11A</t>
  </si>
  <si>
    <t>TNFRSF11B</t>
  </si>
  <si>
    <t>TNFRSF14</t>
  </si>
  <si>
    <t>TNFRSF17</t>
  </si>
  <si>
    <t>TNFRSF18</t>
  </si>
  <si>
    <t>TNFRSF1A</t>
  </si>
  <si>
    <t>TNFRSF1B</t>
  </si>
  <si>
    <t>TNFRSF25</t>
  </si>
  <si>
    <t>TNFRSF4</t>
  </si>
  <si>
    <t>TNFRSF8</t>
  </si>
  <si>
    <t>TNFRSF9</t>
  </si>
  <si>
    <t>TNFSF10</t>
  </si>
  <si>
    <t>TNFSF12</t>
  </si>
  <si>
    <t>TNFSF13</t>
  </si>
  <si>
    <t>TNFSF13B</t>
  </si>
  <si>
    <t>TNFSF18</t>
  </si>
  <si>
    <t>TNFSF4</t>
  </si>
  <si>
    <t>TNFSF8</t>
  </si>
  <si>
    <t>TNFSF9</t>
  </si>
  <si>
    <t>TNKS</t>
  </si>
  <si>
    <t>TP53</t>
  </si>
  <si>
    <t>TPI1</t>
  </si>
  <si>
    <t>TPM1</t>
  </si>
  <si>
    <t>TPSAB1/B2</t>
  </si>
  <si>
    <t>TRAF1</t>
  </si>
  <si>
    <t>TRAT1</t>
  </si>
  <si>
    <t>TREM1</t>
  </si>
  <si>
    <t>TREM2</t>
  </si>
  <si>
    <t>TRIM21</t>
  </si>
  <si>
    <t>TSLP</t>
  </si>
  <si>
    <t>TTC30A</t>
  </si>
  <si>
    <t>TWF1</t>
  </si>
  <si>
    <t>TWIST1</t>
  </si>
  <si>
    <t>TWIST2</t>
  </si>
  <si>
    <t>TYMP</t>
  </si>
  <si>
    <t>TYMS</t>
  </si>
  <si>
    <t>UBA7</t>
  </si>
  <si>
    <t>UBE2C</t>
  </si>
  <si>
    <t>UBE2T</t>
  </si>
  <si>
    <t>ULBP2</t>
  </si>
  <si>
    <t>VCAM1</t>
  </si>
  <si>
    <t>VCAN</t>
  </si>
  <si>
    <t>VEGFA</t>
  </si>
  <si>
    <t>VEGFB</t>
  </si>
  <si>
    <t>VEGFC</t>
  </si>
  <si>
    <t>VHL</t>
  </si>
  <si>
    <t>VSIR</t>
  </si>
  <si>
    <t>VTCN1</t>
  </si>
  <si>
    <t>WDR76</t>
  </si>
  <si>
    <t>WNT10A</t>
  </si>
  <si>
    <t>WNT11</t>
  </si>
  <si>
    <t>WNT2</t>
  </si>
  <si>
    <t>WNT2B</t>
  </si>
  <si>
    <t>WNT3A</t>
  </si>
  <si>
    <t>WNT4</t>
  </si>
  <si>
    <t>WNT5A</t>
  </si>
  <si>
    <t>WNT5B</t>
  </si>
  <si>
    <t>WNT7B</t>
  </si>
  <si>
    <t>XCL1/2</t>
  </si>
  <si>
    <t>ZAP70</t>
  </si>
  <si>
    <t>ZC3H12A</t>
  </si>
  <si>
    <t>ZEB1</t>
  </si>
  <si>
    <t>ZEB2</t>
  </si>
  <si>
    <t>ABCF1</t>
  </si>
  <si>
    <t>DNAJC14</t>
  </si>
  <si>
    <t>ERCC3</t>
  </si>
  <si>
    <t>G6PD</t>
  </si>
  <si>
    <t>GUSB</t>
  </si>
  <si>
    <t>MRPL19</t>
  </si>
  <si>
    <t>NRDE2</t>
  </si>
  <si>
    <t>OAZ1</t>
  </si>
  <si>
    <t>POLR2A</t>
  </si>
  <si>
    <t>PSMC4</t>
  </si>
  <si>
    <t>PUM1</t>
  </si>
  <si>
    <t>SDHA</t>
  </si>
  <si>
    <t>SF3A1</t>
  </si>
  <si>
    <t>STK11IP</t>
  </si>
  <si>
    <t>TBC1D10B</t>
  </si>
  <si>
    <t>TBP</t>
  </si>
  <si>
    <t>TFRC</t>
  </si>
  <si>
    <t>TLK2</t>
  </si>
  <si>
    <t>TMUB2</t>
  </si>
  <si>
    <t>UBB</t>
  </si>
  <si>
    <t>CD45+ | Freq. of Live (%)</t>
  </si>
  <si>
    <t>Macrophage| Freq. of CD45+ (%)</t>
  </si>
  <si>
    <t>M2 | Freq. of CD45+ (%)</t>
  </si>
  <si>
    <t>Tcell | Freq. of CD45+ (%)</t>
  </si>
  <si>
    <t>CD4+ | Freq. of CD45+ (%)</t>
  </si>
  <si>
    <t>Treg| Freq. of CD45+ (%)</t>
  </si>
  <si>
    <t>CTL| Freq. of CD45+ (%)</t>
  </si>
  <si>
    <t>Non-T cell  | Freq. of CD45+ (%)</t>
  </si>
  <si>
    <t>CD8+Ki67+ | Freq. of Parent (%)</t>
  </si>
  <si>
    <t>CD8+GranzymeB+ | Freq. of Parent (%)</t>
  </si>
  <si>
    <t>CD4+FoxP3+CTLA4+ | Freq. of Parent (%)</t>
  </si>
  <si>
    <t>CD4+FoxP3+Ki67+ | Freq. of Parent (%)</t>
  </si>
  <si>
    <t>Treg freq parent</t>
  </si>
  <si>
    <t>CTL freq parent</t>
  </si>
  <si>
    <t>Timepoint</t>
  </si>
  <si>
    <t>Cancer Type</t>
  </si>
  <si>
    <t>Tumor Site</t>
  </si>
  <si>
    <t>Gender</t>
  </si>
  <si>
    <t>Age</t>
  </si>
  <si>
    <t>Response</t>
  </si>
  <si>
    <t>T72</t>
  </si>
  <si>
    <t>MR</t>
  </si>
  <si>
    <t>R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</si>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</sst>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adeepa%20S\20.%20Sample%20tracking%20info\Sample%20Tracking%20sheet_consoldiated_dart_31stMar2026.csv" TargetMode="External"/><Relationship Id="rId1" Type="http://schemas.openxmlformats.org/officeDocument/2006/relationships/externalLinkPath" Target="file:///Z:\Pradeepa%20S\20.%20Sample%20tracking%20info\Sample%20Tracking%20sheet_consoldiated_dart_31stMar202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Tracking sheet_consoldia"/>
      <sheetName val="Sheet1"/>
    </sheetNames>
    <sheetDataSet>
      <sheetData sheetId="0" refreshError="1">
        <row r="1">
          <cell r="A1" t="str">
            <v>Register</v>
          </cell>
          <cell r="B1" t="str">
            <v>CASE No</v>
          </cell>
          <cell r="C1" t="str">
            <v>Register Type</v>
          </cell>
          <cell r="D1" t="str">
            <v>Sample Collection Date
(dd-mm-yyyy)</v>
          </cell>
          <cell r="E1" t="str">
            <v>Sample Collection Time (Tumor Excision)</v>
          </cell>
          <cell r="F1" t="str">
            <v>Month</v>
          </cell>
          <cell r="G1" t="str">
            <v>Sample Received Date</v>
          </cell>
          <cell r="H1" t="str">
            <v>Sample Received Time</v>
          </cell>
          <cell r="I1" t="str">
            <v>Sample Received TAT</v>
          </cell>
          <cell r="J1" t="str">
            <v>Ischemic time
(in mins)</v>
          </cell>
          <cell r="K1" t="str">
            <v>Protocol</v>
          </cell>
          <cell r="L1" t="str">
            <v>Patient ID</v>
          </cell>
          <cell r="M1" t="str">
            <v>ICF</v>
          </cell>
          <cell r="N1" t="str">
            <v>Project</v>
          </cell>
          <cell r="O1" t="str">
            <v>Primary study</v>
          </cell>
          <cell r="P1" t="str">
            <v>Q1 Qualification for Tissue</v>
          </cell>
          <cell r="Q1" t="str">
            <v>Q1 Qualification for Blood</v>
          </cell>
          <cell r="R1" t="str">
            <v>Q1.5 Qualification (Compromised samples)</v>
          </cell>
          <cell r="S1" t="str">
            <v>Q1.5 Qualification (Compromised samples)</v>
          </cell>
          <cell r="T1" t="str">
            <v>Reason</v>
          </cell>
          <cell r="U1" t="str">
            <v>sample Return (Yes/No)</v>
          </cell>
          <cell r="V1" t="str">
            <v>Tumor Status</v>
          </cell>
          <cell r="W1" t="str">
            <v>Type of relationship</v>
          </cell>
          <cell r="X1" t="str">
            <v>Relationship</v>
          </cell>
          <cell r="Y1" t="str">
            <v>Hospital</v>
          </cell>
          <cell r="Z1" t="str">
            <v>Physican</v>
          </cell>
          <cell r="AA1" t="str">
            <v>Cancer Type</v>
          </cell>
          <cell r="AB1" t="str">
            <v>Cancer Sub Type</v>
          </cell>
          <cell r="AC1" t="str">
            <v>Tumor Site</v>
          </cell>
          <cell r="AD1" t="str">
            <v>Tumor Site Details</v>
          </cell>
          <cell r="AE1" t="str">
            <v>Gender</v>
          </cell>
          <cell r="AF1" t="str">
            <v>Age</v>
          </cell>
          <cell r="AG1" t="str">
            <v>Infection Status</v>
          </cell>
          <cell r="AH1" t="str">
            <v>Temprature</v>
          </cell>
          <cell r="AI1" t="str">
            <v>Logistic</v>
          </cell>
          <cell r="AJ1" t="str">
            <v>Procedure Type</v>
          </cell>
          <cell r="AK1" t="str">
            <v>Sample Type</v>
          </cell>
          <cell r="AL1" t="str">
            <v>Therapy</v>
          </cell>
          <cell r="AM1" t="str">
            <v>cTNM</v>
          </cell>
          <cell r="AN1" t="str">
            <v>Cancer Stage</v>
          </cell>
          <cell r="AO1" t="str">
            <v>Cancer Grade</v>
          </cell>
          <cell r="AP1" t="str">
            <v>pTNM</v>
          </cell>
          <cell r="AQ1" t="str">
            <v>Treatment Arms</v>
          </cell>
          <cell r="AR1" t="str">
            <v>Drug Name</v>
          </cell>
          <cell r="AS1" t="str">
            <v>Histopath</v>
          </cell>
          <cell r="AT1" t="str">
            <v>Post Surgery
Treatment Arms</v>
          </cell>
          <cell r="AU1" t="str">
            <v>Post Surgery
Drug Name</v>
          </cell>
          <cell r="AV1" t="str">
            <v>Sample Processing Date</v>
          </cell>
          <cell r="AW1" t="str">
            <v>Sample Processing Start Time</v>
          </cell>
          <cell r="AX1" t="str">
            <v>Sample Processing End Time (in to culture)</v>
          </cell>
          <cell r="AY1" t="str">
            <v>Total Processing Time</v>
          </cell>
          <cell r="AZ1" t="str">
            <v>Ext TAT</v>
          </cell>
          <cell r="BA1" t="str">
            <v>Actual TAT</v>
          </cell>
          <cell r="BB1" t="str">
            <v>Tissue Size pre processing
(in cm)</v>
          </cell>
          <cell r="BC1" t="str">
            <v>Tissue size post processing</v>
          </cell>
          <cell r="BD1" t="str">
            <v>Explant Size</v>
          </cell>
          <cell r="BE1" t="str">
            <v>Room #</v>
          </cell>
          <cell r="BF1" t="str">
            <v>Processed By</v>
          </cell>
          <cell r="BG1" t="str">
            <v>Blood qualified
(Y/N)</v>
          </cell>
        </row>
        <row r="2">
          <cell r="A2" t="str">
            <v>FBB1C220001</v>
          </cell>
          <cell r="B2">
            <v>220001</v>
          </cell>
          <cell r="C2" t="str">
            <v>Biopharma</v>
          </cell>
          <cell r="D2">
            <v>44564</v>
          </cell>
          <cell r="E2">
            <v>0.53611111111111109</v>
          </cell>
          <cell r="F2">
            <v>44562</v>
          </cell>
          <cell r="G2">
            <v>44564</v>
          </cell>
          <cell r="H2">
            <v>0.58680555555555558</v>
          </cell>
          <cell r="I2">
            <v>5.0694444444444445E-2</v>
          </cell>
          <cell r="J2">
            <v>4</v>
          </cell>
          <cell r="K2" t="str">
            <v>FCB-PROTOCOL-01</v>
          </cell>
          <cell r="L2" t="str">
            <v>VYD/058</v>
          </cell>
          <cell r="M2" t="str">
            <v>Y</v>
          </cell>
          <cell r="N2" t="str">
            <v>BP006_SOW1_2021</v>
          </cell>
          <cell r="O2" t="str">
            <v>Biopharma</v>
          </cell>
          <cell r="P2" t="str">
            <v>Q1 Passed</v>
          </cell>
          <cell r="Q2" t="str">
            <v>Q1 Passed</v>
          </cell>
          <cell r="R2" t="str">
            <v>Q1.5 Passed</v>
          </cell>
          <cell r="S2" t="str">
            <v>Q1.5 Passed</v>
          </cell>
          <cell r="V2" t="str">
            <v>Tumor in 6/7 explants. 5-70%. Poorly differentiated</v>
          </cell>
          <cell r="W2" t="str">
            <v>Private Hospital</v>
          </cell>
          <cell r="X2" t="str">
            <v>Vydehi Hospital, Bangalore</v>
          </cell>
          <cell r="Y2" t="str">
            <v>Vydehi Hospital, Bangalore</v>
          </cell>
          <cell r="Z2" t="str">
            <v>Dr Amritha Prabha, Bangalore</v>
          </cell>
          <cell r="AA2" t="str">
            <v>HNSCC</v>
          </cell>
          <cell r="AC2" t="str">
            <v>Supra Glottis</v>
          </cell>
          <cell r="AD2" t="str">
            <v>Left Supra Glottis</v>
          </cell>
          <cell r="AE2" t="str">
            <v>Male</v>
          </cell>
          <cell r="AF2">
            <v>63</v>
          </cell>
          <cell r="AG2" t="str">
            <v>N</v>
          </cell>
          <cell r="AH2">
            <v>3.8</v>
          </cell>
          <cell r="AI2" t="str">
            <v>Kalappa</v>
          </cell>
          <cell r="AJ2" t="str">
            <v>Surgery</v>
          </cell>
          <cell r="AK2" t="str">
            <v>Primary</v>
          </cell>
          <cell r="AN2" t="str">
            <v>IV</v>
          </cell>
          <cell r="AO2">
            <v>2</v>
          </cell>
          <cell r="AP2" t="str">
            <v>pT4aN0</v>
          </cell>
          <cell r="AS2" t="str">
            <v>Squamous Cell Carcinoma</v>
          </cell>
          <cell r="AV2">
            <v>44564</v>
          </cell>
          <cell r="AW2">
            <v>0.625</v>
          </cell>
          <cell r="AX2">
            <v>0.72222222222222221</v>
          </cell>
          <cell r="AY2">
            <v>9.7222222222222224E-2</v>
          </cell>
          <cell r="AZ2">
            <v>0.13541666666666666</v>
          </cell>
          <cell r="BA2">
            <v>0.18611111111111112</v>
          </cell>
          <cell r="BB2" t="str">
            <v>0.8*1.2*1.8
0.8*1.2*1.8</v>
          </cell>
          <cell r="BC2" t="str">
            <v>0.8*1.2*1.8
0.8*1.2*1.8</v>
          </cell>
          <cell r="BD2" t="str">
            <v>Vibratome</v>
          </cell>
          <cell r="BE2">
            <v>15</v>
          </cell>
          <cell r="BF2" t="str">
            <v>Rajashekhar</v>
          </cell>
          <cell r="BG2" t="str">
            <v>Y</v>
          </cell>
        </row>
        <row r="3">
          <cell r="A3" t="str">
            <v>FBB1E220001</v>
          </cell>
          <cell r="B3">
            <v>220001</v>
          </cell>
          <cell r="C3" t="str">
            <v>Biopharma</v>
          </cell>
          <cell r="D3">
            <v>44564</v>
          </cell>
          <cell r="E3">
            <v>0.53611111111111109</v>
          </cell>
          <cell r="F3">
            <v>44562</v>
          </cell>
          <cell r="G3">
            <v>44564</v>
          </cell>
          <cell r="H3">
            <v>0.58680555555555558</v>
          </cell>
          <cell r="I3">
            <v>5.0694444444444445E-2</v>
          </cell>
          <cell r="J3">
            <v>4</v>
          </cell>
          <cell r="K3" t="str">
            <v>FCB-PROTOCOL-01</v>
          </cell>
          <cell r="L3" t="str">
            <v>VYD/058</v>
          </cell>
          <cell r="M3" t="str">
            <v>Y</v>
          </cell>
          <cell r="N3" t="str">
            <v>BP006_SOW1_2021</v>
          </cell>
          <cell r="O3" t="str">
            <v>Biopharma</v>
          </cell>
          <cell r="P3" t="str">
            <v>Q1 Passed</v>
          </cell>
          <cell r="Q3" t="str">
            <v>Q1 Passed</v>
          </cell>
          <cell r="R3" t="str">
            <v>Q1.5 Passed</v>
          </cell>
          <cell r="S3" t="str">
            <v>Q1.5 Passed</v>
          </cell>
          <cell r="V3" t="str">
            <v>Tumor content 4-20%. Pyknosis high</v>
          </cell>
          <cell r="W3" t="str">
            <v>Private Hospital</v>
          </cell>
          <cell r="X3" t="str">
            <v>Vydehi Hospital, Bangalore</v>
          </cell>
          <cell r="Y3" t="str">
            <v>Vydehi Hospital, Bangalore</v>
          </cell>
          <cell r="Z3" t="str">
            <v>Dr Amritha Prabha, Bangalore</v>
          </cell>
          <cell r="AA3" t="str">
            <v>HNSCC</v>
          </cell>
          <cell r="AC3" t="str">
            <v>Supra Glottis</v>
          </cell>
          <cell r="AD3" t="str">
            <v>Left Supra Glottis</v>
          </cell>
          <cell r="AE3" t="str">
            <v>Male</v>
          </cell>
          <cell r="AF3">
            <v>63</v>
          </cell>
          <cell r="AG3" t="str">
            <v>N</v>
          </cell>
          <cell r="AH3">
            <v>3.8</v>
          </cell>
          <cell r="AI3" t="str">
            <v>Kalappa</v>
          </cell>
          <cell r="AJ3" t="str">
            <v>Surgery</v>
          </cell>
          <cell r="AK3" t="str">
            <v>Primary</v>
          </cell>
          <cell r="AN3" t="str">
            <v>IV</v>
          </cell>
          <cell r="AO3">
            <v>2</v>
          </cell>
          <cell r="AP3" t="str">
            <v>pT4aN0</v>
          </cell>
          <cell r="AS3" t="str">
            <v>Squamous Cell Carcinoma</v>
          </cell>
          <cell r="AV3">
            <v>44564</v>
          </cell>
          <cell r="AW3">
            <v>0.625</v>
          </cell>
          <cell r="AX3">
            <v>0.72222222222222221</v>
          </cell>
          <cell r="AY3">
            <v>9.7222222222222224E-2</v>
          </cell>
          <cell r="AZ3">
            <v>0.13541666666666666</v>
          </cell>
          <cell r="BA3">
            <v>0.18611111111111112</v>
          </cell>
          <cell r="BB3" t="str">
            <v>0.8*1.2*1.8
0.8*1.2*1.8</v>
          </cell>
          <cell r="BC3" t="str">
            <v>0.8*1.2*1.8
0.8*1.2*1.8</v>
          </cell>
          <cell r="BD3" t="str">
            <v>Vibratome</v>
          </cell>
          <cell r="BE3">
            <v>15</v>
          </cell>
          <cell r="BF3" t="str">
            <v>Rajashekhar</v>
          </cell>
          <cell r="BG3" t="str">
            <v>Y</v>
          </cell>
        </row>
        <row r="4">
          <cell r="A4" t="str">
            <v>FBB1C220002</v>
          </cell>
          <cell r="B4">
            <v>220002</v>
          </cell>
          <cell r="C4" t="str">
            <v>Biopharma</v>
          </cell>
          <cell r="D4">
            <v>44565</v>
          </cell>
          <cell r="E4">
            <v>0.52916666666666667</v>
          </cell>
          <cell r="F4">
            <v>44562</v>
          </cell>
          <cell r="G4">
            <v>44565</v>
          </cell>
          <cell r="H4">
            <v>0.84375</v>
          </cell>
          <cell r="I4">
            <v>0.31458333333333333</v>
          </cell>
          <cell r="J4">
            <v>2</v>
          </cell>
          <cell r="K4" t="str">
            <v>FCB-PROTOCOL-01</v>
          </cell>
          <cell r="L4" t="str">
            <v>CLN/DBR/052</v>
          </cell>
          <cell r="M4" t="str">
            <v>Y</v>
          </cell>
          <cell r="N4" t="str">
            <v>BP004_SOW1_2021</v>
          </cell>
          <cell r="O4" t="str">
            <v>Biopharma</v>
          </cell>
          <cell r="P4" t="str">
            <v>Q1 Passed</v>
          </cell>
          <cell r="Q4" t="str">
            <v>Q1 Passed</v>
          </cell>
          <cell r="R4" t="str">
            <v>Q1.5 Passed</v>
          </cell>
          <cell r="S4" t="str">
            <v>Q1.5 Passed</v>
          </cell>
          <cell r="V4" t="str">
            <v>Tumor content 4-45%</v>
          </cell>
          <cell r="W4" t="str">
            <v>Clinic'les</v>
          </cell>
          <cell r="X4" t="str">
            <v>Clinic'les- DBR &amp; SK Hospital, Tirupati</v>
          </cell>
          <cell r="Y4" t="str">
            <v>DBR &amp; SK Hospital, Tirupati</v>
          </cell>
          <cell r="Z4" t="str">
            <v>Dr C Jayaprakash, Tirupati</v>
          </cell>
          <cell r="AA4" t="str">
            <v>GI</v>
          </cell>
          <cell r="AB4" t="str">
            <v>Ca Stomach</v>
          </cell>
          <cell r="AC4" t="str">
            <v>Stomach</v>
          </cell>
          <cell r="AD4" t="str">
            <v>Stomach</v>
          </cell>
          <cell r="AE4" t="str">
            <v>Male</v>
          </cell>
          <cell r="AF4">
            <v>75</v>
          </cell>
          <cell r="AG4" t="str">
            <v>N</v>
          </cell>
          <cell r="AH4">
            <v>5.4</v>
          </cell>
          <cell r="AI4" t="str">
            <v>Kalappa</v>
          </cell>
          <cell r="AJ4" t="str">
            <v>Surgery</v>
          </cell>
          <cell r="AK4" t="str">
            <v>Primary</v>
          </cell>
          <cell r="AN4" t="str">
            <v>IIIA</v>
          </cell>
          <cell r="AP4" t="str">
            <v>pT4aN2Mx</v>
          </cell>
          <cell r="AS4" t="str">
            <v>Adenocarcinoma</v>
          </cell>
          <cell r="AV4">
            <v>44565</v>
          </cell>
          <cell r="AW4">
            <v>0.87152777777777779</v>
          </cell>
          <cell r="AX4">
            <v>0.94097222222222221</v>
          </cell>
          <cell r="AY4">
            <v>6.9444444444444448E-2</v>
          </cell>
          <cell r="AZ4">
            <v>9.7222222222222224E-2</v>
          </cell>
          <cell r="BA4">
            <v>0.41180555555555554</v>
          </cell>
          <cell r="BB4" t="str">
            <v>1.2*1.6*2.4</v>
          </cell>
          <cell r="BC4" t="str">
            <v>1.2*1.6*2.4</v>
          </cell>
          <cell r="BD4" t="str">
            <v>Manual</v>
          </cell>
          <cell r="BE4">
            <v>15</v>
          </cell>
          <cell r="BF4" t="str">
            <v>Gowri</v>
          </cell>
          <cell r="BG4" t="str">
            <v>Y</v>
          </cell>
        </row>
        <row r="5">
          <cell r="A5" t="str">
            <v>FBR1J220002</v>
          </cell>
          <cell r="B5">
            <v>220002</v>
          </cell>
          <cell r="C5" t="str">
            <v>R&amp;D</v>
          </cell>
          <cell r="D5">
            <v>44565</v>
          </cell>
          <cell r="E5">
            <v>0.52916666666666667</v>
          </cell>
          <cell r="F5">
            <v>44562</v>
          </cell>
          <cell r="G5">
            <v>44565</v>
          </cell>
          <cell r="H5">
            <v>0.84375</v>
          </cell>
          <cell r="I5">
            <v>0.31458333333333333</v>
          </cell>
          <cell r="J5">
            <v>2</v>
          </cell>
          <cell r="K5" t="str">
            <v>FCB-PROTOCOL-01</v>
          </cell>
          <cell r="L5" t="str">
            <v>CLN/DBR/052</v>
          </cell>
          <cell r="M5" t="str">
            <v>Y</v>
          </cell>
          <cell r="N5" t="str">
            <v>COS_v3</v>
          </cell>
          <cell r="O5" t="str">
            <v>Internal R&amp;D</v>
          </cell>
          <cell r="P5" t="str">
            <v>Q1 Passed</v>
          </cell>
          <cell r="Q5" t="str">
            <v>Q1 Passed</v>
          </cell>
          <cell r="R5" t="str">
            <v>Q1.5 Passed</v>
          </cell>
          <cell r="S5" t="str">
            <v>Q1.5 Passed</v>
          </cell>
          <cell r="V5" t="str">
            <v>Tumor content 15-40%</v>
          </cell>
          <cell r="W5" t="str">
            <v>Clinic'les</v>
          </cell>
          <cell r="X5" t="str">
            <v>Clinic'les- DBR &amp; SK Hospital, Tirupati</v>
          </cell>
          <cell r="Y5" t="str">
            <v>DBR &amp; SK Hospital, Tirupati</v>
          </cell>
          <cell r="Z5" t="str">
            <v>Dr C Jayaprakash, Tirupati</v>
          </cell>
          <cell r="AA5" t="str">
            <v>GI</v>
          </cell>
          <cell r="AB5" t="str">
            <v>Ca Stomach</v>
          </cell>
          <cell r="AC5" t="str">
            <v>Stomach</v>
          </cell>
          <cell r="AD5" t="str">
            <v>Stomach</v>
          </cell>
          <cell r="AE5" t="str">
            <v>Male</v>
          </cell>
          <cell r="AF5">
            <v>75</v>
          </cell>
          <cell r="AG5" t="str">
            <v>N</v>
          </cell>
          <cell r="AH5">
            <v>5.4</v>
          </cell>
          <cell r="AI5" t="str">
            <v>Kalappa</v>
          </cell>
          <cell r="AJ5" t="str">
            <v>Surgery</v>
          </cell>
          <cell r="AK5" t="str">
            <v>Primary</v>
          </cell>
          <cell r="AN5" t="str">
            <v>IIIA</v>
          </cell>
          <cell r="AP5" t="str">
            <v>pT4aN2Mx</v>
          </cell>
          <cell r="AS5" t="str">
            <v>Adenocarcinoma</v>
          </cell>
          <cell r="AV5">
            <v>44565</v>
          </cell>
          <cell r="AW5">
            <v>0.87152777777777779</v>
          </cell>
          <cell r="AX5">
            <v>0.95833333333333337</v>
          </cell>
          <cell r="AY5">
            <v>8.6805555555555552E-2</v>
          </cell>
          <cell r="AZ5">
            <v>0.11458333333333333</v>
          </cell>
          <cell r="BA5">
            <v>0.42916666666666664</v>
          </cell>
          <cell r="BB5" t="str">
            <v>1.2*1.6*2.4</v>
          </cell>
          <cell r="BC5" t="str">
            <v>1.2*1.6*2.4</v>
          </cell>
          <cell r="BD5" t="str">
            <v>Manual</v>
          </cell>
          <cell r="BE5">
            <v>15</v>
          </cell>
          <cell r="BF5" t="str">
            <v>Gowri</v>
          </cell>
          <cell r="BG5" t="str">
            <v>Y</v>
          </cell>
        </row>
        <row r="6">
          <cell r="A6" t="str">
            <v>FBR1K220003</v>
          </cell>
          <cell r="B6">
            <v>220003</v>
          </cell>
          <cell r="C6" t="str">
            <v>R&amp;D</v>
          </cell>
          <cell r="D6">
            <v>44569</v>
          </cell>
          <cell r="E6">
            <v>0.54166666666666663</v>
          </cell>
          <cell r="F6">
            <v>44562</v>
          </cell>
          <cell r="G6">
            <v>44569</v>
          </cell>
          <cell r="H6">
            <v>0.92083333333333328</v>
          </cell>
          <cell r="I6">
            <v>0.37916666666666665</v>
          </cell>
          <cell r="J6">
            <v>2</v>
          </cell>
          <cell r="K6" t="str">
            <v>FCB-PROTOCOL-01</v>
          </cell>
          <cell r="L6" t="str">
            <v>CLN/DBR/053</v>
          </cell>
          <cell r="M6" t="str">
            <v>Y</v>
          </cell>
          <cell r="N6" t="str">
            <v>DMS_v4(1K)</v>
          </cell>
          <cell r="O6" t="str">
            <v>Internal R&amp;D</v>
          </cell>
          <cell r="P6" t="str">
            <v>Q1 Passed</v>
          </cell>
          <cell r="Q6" t="str">
            <v>Q1 Passed</v>
          </cell>
          <cell r="R6" t="str">
            <v>Q1.5 Passed</v>
          </cell>
          <cell r="S6" t="str">
            <v>Q1.5 Passed</v>
          </cell>
          <cell r="V6" t="str">
            <v>Good tumor content but mostly superficial layers visible</v>
          </cell>
          <cell r="W6" t="str">
            <v>Clinic'les</v>
          </cell>
          <cell r="X6" t="str">
            <v>Clinic'les- DBR &amp; SK Hospital, Tirupati</v>
          </cell>
          <cell r="Y6" t="str">
            <v>DBR &amp; SK Hospital, Tirupati</v>
          </cell>
          <cell r="Z6" t="str">
            <v>Dr C Jayaprakash, Tirupati</v>
          </cell>
          <cell r="AA6" t="str">
            <v>HNSCC</v>
          </cell>
          <cell r="AC6" t="str">
            <v>Buccal Mucosa</v>
          </cell>
          <cell r="AD6" t="str">
            <v>Buccal Mucosa</v>
          </cell>
          <cell r="AE6" t="str">
            <v>Female</v>
          </cell>
          <cell r="AF6">
            <v>75</v>
          </cell>
          <cell r="AG6" t="str">
            <v>N</v>
          </cell>
          <cell r="AH6">
            <v>6.7</v>
          </cell>
          <cell r="AI6" t="str">
            <v>Partha</v>
          </cell>
          <cell r="AJ6" t="str">
            <v>Surgery</v>
          </cell>
          <cell r="AK6" t="str">
            <v>Primary</v>
          </cell>
          <cell r="AN6" t="str">
            <v>III</v>
          </cell>
          <cell r="AP6" t="str">
            <v>pT2N0Mx</v>
          </cell>
          <cell r="AS6" t="str">
            <v>Squamous Cell Carcinoma</v>
          </cell>
          <cell r="AT6" t="str">
            <v>Radiotherapy</v>
          </cell>
          <cell r="AV6">
            <v>44569</v>
          </cell>
          <cell r="AW6">
            <v>0.95277777777777772</v>
          </cell>
          <cell r="AX6">
            <v>2.0833333333333332E-2</v>
          </cell>
          <cell r="AY6">
            <v>6.805555555555555E-2</v>
          </cell>
          <cell r="AZ6">
            <v>0.1</v>
          </cell>
          <cell r="BA6">
            <v>0.47916666666666669</v>
          </cell>
          <cell r="BB6" t="str">
            <v>0.65*0.8*2.4</v>
          </cell>
          <cell r="BC6" t="str">
            <v>0.65*0.8*2.4</v>
          </cell>
          <cell r="BD6" t="str">
            <v>Vibratome</v>
          </cell>
          <cell r="BE6">
            <v>15</v>
          </cell>
          <cell r="BF6" t="str">
            <v>Vasanth</v>
          </cell>
          <cell r="BG6" t="str">
            <v>Y</v>
          </cell>
        </row>
        <row r="7">
          <cell r="A7" t="str">
            <v>FBB1B220004</v>
          </cell>
          <cell r="B7">
            <v>220004</v>
          </cell>
          <cell r="C7" t="str">
            <v>Biopharma</v>
          </cell>
          <cell r="D7">
            <v>44571</v>
          </cell>
          <cell r="E7">
            <v>0.45833333333333331</v>
          </cell>
          <cell r="F7">
            <v>44562</v>
          </cell>
          <cell r="G7">
            <v>44571</v>
          </cell>
          <cell r="H7">
            <v>0.52777777777777779</v>
          </cell>
          <cell r="I7">
            <v>6.9444444444444448E-2</v>
          </cell>
          <cell r="J7">
            <v>6</v>
          </cell>
          <cell r="K7" t="str">
            <v>FCB-PROTOCOL-01</v>
          </cell>
          <cell r="L7" t="str">
            <v>VYD/059</v>
          </cell>
          <cell r="M7" t="str">
            <v>Y</v>
          </cell>
          <cell r="N7" t="str">
            <v>BP002_SOW1_2021</v>
          </cell>
          <cell r="O7" t="str">
            <v>Biopharma</v>
          </cell>
          <cell r="P7" t="str">
            <v>Q1 Passed</v>
          </cell>
          <cell r="Q7" t="str">
            <v>Q1 Passed</v>
          </cell>
          <cell r="R7" t="str">
            <v>Q1.5 Passed</v>
          </cell>
          <cell r="S7" t="str">
            <v>Q1.5 Passed</v>
          </cell>
          <cell r="V7" t="str">
            <v>Tumor content 30-95%</v>
          </cell>
          <cell r="W7" t="str">
            <v>Private Hospital</v>
          </cell>
          <cell r="X7" t="str">
            <v>Vydehi Hospital, Bangalore</v>
          </cell>
          <cell r="Y7" t="str">
            <v>Vydehi Hospital, Bangalore</v>
          </cell>
          <cell r="Z7" t="str">
            <v>Dr Amritha Prabha, Bangalore</v>
          </cell>
          <cell r="AA7" t="str">
            <v>HNSCC</v>
          </cell>
          <cell r="AC7" t="str">
            <v>Alveolus</v>
          </cell>
          <cell r="AD7" t="str">
            <v>Left Upper Alveolus</v>
          </cell>
          <cell r="AE7" t="str">
            <v>Female</v>
          </cell>
          <cell r="AF7">
            <v>54</v>
          </cell>
          <cell r="AG7" t="str">
            <v>N</v>
          </cell>
          <cell r="AH7">
            <v>3.8</v>
          </cell>
          <cell r="AI7" t="str">
            <v>Kalappa</v>
          </cell>
          <cell r="AJ7" t="str">
            <v>Surgery</v>
          </cell>
          <cell r="AK7" t="str">
            <v>Primary</v>
          </cell>
          <cell r="AN7" t="str">
            <v>IVA</v>
          </cell>
          <cell r="AO7">
            <v>2</v>
          </cell>
          <cell r="AP7" t="str">
            <v>pT3N1</v>
          </cell>
          <cell r="AS7" t="str">
            <v>Squamous Cell Carcinoma</v>
          </cell>
          <cell r="AV7">
            <v>44571</v>
          </cell>
          <cell r="AW7">
            <v>0.55208333333333337</v>
          </cell>
          <cell r="AX7">
            <v>0.61458333333333337</v>
          </cell>
          <cell r="AY7">
            <v>6.25E-2</v>
          </cell>
          <cell r="AZ7">
            <v>8.6805555555555552E-2</v>
          </cell>
          <cell r="BA7">
            <v>0.15625</v>
          </cell>
          <cell r="BB7" t="str">
            <v>1.2*1.8*1.8</v>
          </cell>
          <cell r="BC7" t="str">
            <v>1.2*1.8*1.8</v>
          </cell>
          <cell r="BD7" t="str">
            <v>Vibratome</v>
          </cell>
          <cell r="BE7">
            <v>15</v>
          </cell>
          <cell r="BF7" t="str">
            <v>Rajashekhar</v>
          </cell>
          <cell r="BG7" t="str">
            <v>Y</v>
          </cell>
        </row>
        <row r="8">
          <cell r="A8" t="str">
            <v>FBB1E220005</v>
          </cell>
          <cell r="B8">
            <v>220005</v>
          </cell>
          <cell r="C8" t="str">
            <v>Biopharma</v>
          </cell>
          <cell r="D8">
            <v>44571</v>
          </cell>
          <cell r="E8">
            <v>0.51736111111111116</v>
          </cell>
          <cell r="F8">
            <v>44562</v>
          </cell>
          <cell r="G8">
            <v>44571</v>
          </cell>
          <cell r="H8">
            <v>0.82986111111111116</v>
          </cell>
          <cell r="I8">
            <v>0.3125</v>
          </cell>
          <cell r="J8">
            <v>2</v>
          </cell>
          <cell r="K8" t="str">
            <v>FCB-PROTOCOL-01</v>
          </cell>
          <cell r="L8" t="str">
            <v>CLN/DBR/054</v>
          </cell>
          <cell r="M8" t="str">
            <v>Y</v>
          </cell>
          <cell r="N8" t="str">
            <v>BP006_SOW1_2021</v>
          </cell>
          <cell r="O8" t="str">
            <v>Biopharma</v>
          </cell>
          <cell r="P8" t="str">
            <v>Q1 Passed</v>
          </cell>
          <cell r="Q8" t="str">
            <v>Q1 Passed</v>
          </cell>
          <cell r="R8" t="str">
            <v>Q1.5 Passed</v>
          </cell>
          <cell r="S8" t="str">
            <v>Q1.5 Rejected</v>
          </cell>
          <cell r="V8" t="str">
            <v>Definite tumor in 1/7 explants.  Others no tumor</v>
          </cell>
          <cell r="W8" t="str">
            <v>Clinic'les</v>
          </cell>
          <cell r="X8" t="str">
            <v>Clinic'les- DBR &amp; SK Hospital, Tirupati</v>
          </cell>
          <cell r="Y8" t="str">
            <v>DBR &amp; SK Hospital, Tirupati</v>
          </cell>
          <cell r="Z8" t="str">
            <v>Dr C Jayaprakash, Tirupati</v>
          </cell>
          <cell r="AA8" t="str">
            <v>HNSCC</v>
          </cell>
          <cell r="AC8" t="str">
            <v>Buccal Mucosa</v>
          </cell>
          <cell r="AD8" t="str">
            <v>Buccal Mucosa</v>
          </cell>
          <cell r="AE8" t="str">
            <v>Female</v>
          </cell>
          <cell r="AF8">
            <v>50</v>
          </cell>
          <cell r="AG8" t="str">
            <v>N</v>
          </cell>
          <cell r="AH8">
            <v>5.0999999999999996</v>
          </cell>
          <cell r="AI8" t="str">
            <v>Sashi</v>
          </cell>
          <cell r="AJ8" t="str">
            <v>Surgery</v>
          </cell>
          <cell r="AK8" t="str">
            <v>Primary</v>
          </cell>
          <cell r="AN8" t="str">
            <v>II</v>
          </cell>
          <cell r="AP8" t="str">
            <v>pT2N0Mx</v>
          </cell>
          <cell r="AS8" t="str">
            <v>Squamous Cell Carcinoma</v>
          </cell>
          <cell r="AT8" t="str">
            <v>Radiotherapy</v>
          </cell>
          <cell r="AV8">
            <v>44571</v>
          </cell>
          <cell r="AW8">
            <v>0.84375</v>
          </cell>
          <cell r="AX8">
            <v>0.90625</v>
          </cell>
          <cell r="AY8">
            <v>6.25E-2</v>
          </cell>
          <cell r="AZ8">
            <v>7.6388888888888895E-2</v>
          </cell>
          <cell r="BA8">
            <v>0.3888888888888889</v>
          </cell>
          <cell r="BB8" t="str">
            <v>0.6*0.8*1.4</v>
          </cell>
          <cell r="BC8" t="str">
            <v>0.6*0.8*1.4</v>
          </cell>
          <cell r="BD8" t="str">
            <v>Vibratome</v>
          </cell>
          <cell r="BE8">
            <v>15</v>
          </cell>
          <cell r="BF8" t="str">
            <v>Kowshik</v>
          </cell>
          <cell r="BG8" t="str">
            <v>Y</v>
          </cell>
        </row>
        <row r="9">
          <cell r="A9" t="str">
            <v>FBR1K220006</v>
          </cell>
          <cell r="B9">
            <v>220006</v>
          </cell>
          <cell r="C9" t="str">
            <v>R&amp;D</v>
          </cell>
          <cell r="D9">
            <v>44574</v>
          </cell>
          <cell r="E9">
            <v>0.47847222222222224</v>
          </cell>
          <cell r="F9">
            <v>44562</v>
          </cell>
          <cell r="G9">
            <v>44574</v>
          </cell>
          <cell r="H9">
            <v>0.55208333333333337</v>
          </cell>
          <cell r="I9">
            <v>7.3611111111111113E-2</v>
          </cell>
          <cell r="J9">
            <v>6</v>
          </cell>
          <cell r="K9" t="str">
            <v>FCB-PROTOCOL-01</v>
          </cell>
          <cell r="L9" t="str">
            <v>VYD/060</v>
          </cell>
          <cell r="M9" t="str">
            <v>Y</v>
          </cell>
          <cell r="N9" t="str">
            <v>DMS_v4(1K)</v>
          </cell>
          <cell r="O9" t="str">
            <v>Internal R&amp;D</v>
          </cell>
          <cell r="P9" t="str">
            <v>Q1 Passed</v>
          </cell>
          <cell r="Q9" t="str">
            <v>Q1 Passed</v>
          </cell>
          <cell r="R9" t="str">
            <v>Q1.5 Passed</v>
          </cell>
          <cell r="S9" t="str">
            <v>Q1.5 Passed</v>
          </cell>
          <cell r="T9" t="str">
            <v>Compromised Sample- Blood sample was hemolyzed</v>
          </cell>
          <cell r="V9" t="str">
            <v>Tumor content 5-45%</v>
          </cell>
          <cell r="W9" t="str">
            <v>Private Hospital</v>
          </cell>
          <cell r="X9" t="str">
            <v>Vydehi Hospital, Bangalore</v>
          </cell>
          <cell r="Y9" t="str">
            <v>Vydehi Hospital, Bangalore</v>
          </cell>
          <cell r="Z9" t="str">
            <v>Dr Amritha Prabha, Bangalore</v>
          </cell>
          <cell r="AA9" t="str">
            <v>HNSCC</v>
          </cell>
          <cell r="AC9" t="str">
            <v>Buccal Mucosa</v>
          </cell>
          <cell r="AD9" t="str">
            <v>Left Buccal Mucosa</v>
          </cell>
          <cell r="AE9" t="str">
            <v>Female</v>
          </cell>
          <cell r="AF9">
            <v>53</v>
          </cell>
          <cell r="AG9" t="str">
            <v>N</v>
          </cell>
          <cell r="AH9">
            <v>5.2</v>
          </cell>
          <cell r="AI9" t="str">
            <v>Sashi</v>
          </cell>
          <cell r="AJ9" t="str">
            <v>Surgery</v>
          </cell>
          <cell r="AK9" t="str">
            <v>Primary</v>
          </cell>
          <cell r="AL9" t="str">
            <v>Radiotherapy</v>
          </cell>
          <cell r="AN9" t="str">
            <v>IVA</v>
          </cell>
          <cell r="AO9">
            <v>2</v>
          </cell>
          <cell r="AP9" t="str">
            <v>pT4N0</v>
          </cell>
          <cell r="AS9" t="str">
            <v>Squamous Cell Carcinoma</v>
          </cell>
          <cell r="AV9">
            <v>44574</v>
          </cell>
          <cell r="AW9">
            <v>0.66666666666666663</v>
          </cell>
          <cell r="AX9">
            <v>0.75</v>
          </cell>
          <cell r="AY9">
            <v>8.3333333333333329E-2</v>
          </cell>
          <cell r="AZ9">
            <v>0.19791666666666666</v>
          </cell>
          <cell r="BA9">
            <v>0.27152777777777776</v>
          </cell>
          <cell r="BB9" t="str">
            <v>0.8*1.2*1.6</v>
          </cell>
          <cell r="BC9" t="str">
            <v>0.8*1.2*1.6</v>
          </cell>
          <cell r="BD9" t="str">
            <v>Vibratome</v>
          </cell>
          <cell r="BE9">
            <v>15</v>
          </cell>
          <cell r="BF9" t="str">
            <v>Mani</v>
          </cell>
          <cell r="BG9" t="str">
            <v>N</v>
          </cell>
        </row>
        <row r="10">
          <cell r="A10" t="str">
            <v>FBB1E220007</v>
          </cell>
          <cell r="B10">
            <v>220007</v>
          </cell>
          <cell r="C10" t="str">
            <v>Biopharma</v>
          </cell>
          <cell r="D10">
            <v>44575</v>
          </cell>
          <cell r="E10">
            <v>0.4777777777777778</v>
          </cell>
          <cell r="F10">
            <v>44562</v>
          </cell>
          <cell r="G10">
            <v>44575</v>
          </cell>
          <cell r="H10">
            <v>0.55208333333333337</v>
          </cell>
          <cell r="I10">
            <v>7.4305555555555555E-2</v>
          </cell>
          <cell r="J10">
            <v>5</v>
          </cell>
          <cell r="K10" t="str">
            <v>FCB-PROTOCOL-01</v>
          </cell>
          <cell r="L10" t="str">
            <v>VYD/061</v>
          </cell>
          <cell r="M10" t="str">
            <v>Y</v>
          </cell>
          <cell r="N10" t="str">
            <v>BP006_SOW1_2021</v>
          </cell>
          <cell r="O10" t="str">
            <v>Biopharma</v>
          </cell>
          <cell r="P10" t="str">
            <v>Q1 Passed</v>
          </cell>
          <cell r="Q10" t="str">
            <v>Q1 Passed</v>
          </cell>
          <cell r="R10" t="str">
            <v>Q1.5 Rejected</v>
          </cell>
          <cell r="S10" t="str">
            <v>Q1.5 Rejected</v>
          </cell>
          <cell r="V10" t="str">
            <v>Tumor content 25-80%</v>
          </cell>
          <cell r="W10" t="str">
            <v>Private Hospital</v>
          </cell>
          <cell r="X10" t="str">
            <v>Vydehi Hospital, Bangalore</v>
          </cell>
          <cell r="Y10" t="str">
            <v>Vydehi Hospital, Bangalore</v>
          </cell>
          <cell r="Z10" t="str">
            <v>Dr Amritha Prabha, Bangalore</v>
          </cell>
          <cell r="AA10" t="str">
            <v>HNSCC</v>
          </cell>
          <cell r="AC10" t="str">
            <v>Lip</v>
          </cell>
          <cell r="AD10" t="str">
            <v>Right Lower Lip</v>
          </cell>
          <cell r="AE10" t="str">
            <v>Male</v>
          </cell>
          <cell r="AF10">
            <v>31</v>
          </cell>
          <cell r="AG10" t="str">
            <v>N</v>
          </cell>
          <cell r="AH10">
            <v>5</v>
          </cell>
          <cell r="AI10" t="str">
            <v>Sashi</v>
          </cell>
          <cell r="AJ10" t="str">
            <v>Surgery</v>
          </cell>
          <cell r="AK10" t="str">
            <v>Local Recurrent</v>
          </cell>
          <cell r="AL10" t="str">
            <v>Surgery / Radiotherapy</v>
          </cell>
          <cell r="AN10" t="str">
            <v>III</v>
          </cell>
          <cell r="AO10">
            <v>2</v>
          </cell>
          <cell r="AP10" t="str">
            <v>pT3N0</v>
          </cell>
          <cell r="AS10" t="str">
            <v>Squamous Cell Carcinoma</v>
          </cell>
          <cell r="AV10">
            <v>44575</v>
          </cell>
          <cell r="AW10">
            <v>0.625</v>
          </cell>
          <cell r="AX10">
            <v>0.70902777777777781</v>
          </cell>
          <cell r="AY10">
            <v>8.4027777777777785E-2</v>
          </cell>
          <cell r="AZ10">
            <v>0.15694444444444444</v>
          </cell>
          <cell r="BA10">
            <v>0.23125000000000001</v>
          </cell>
          <cell r="BB10" t="str">
            <v>0.8*1.4*1.6</v>
          </cell>
          <cell r="BC10" t="str">
            <v>0.6*1.4*1.4</v>
          </cell>
          <cell r="BD10" t="str">
            <v>Vibratome</v>
          </cell>
          <cell r="BE10">
            <v>15</v>
          </cell>
          <cell r="BF10" t="str">
            <v>Gowri</v>
          </cell>
          <cell r="BG10" t="str">
            <v>Y</v>
          </cell>
        </row>
        <row r="11">
          <cell r="A11" t="str">
            <v>FBR1K220007</v>
          </cell>
          <cell r="B11">
            <v>220007</v>
          </cell>
          <cell r="C11" t="str">
            <v>R&amp;D</v>
          </cell>
          <cell r="D11">
            <v>44575</v>
          </cell>
          <cell r="E11">
            <v>0.4777777777777778</v>
          </cell>
          <cell r="F11">
            <v>44562</v>
          </cell>
          <cell r="G11">
            <v>44575</v>
          </cell>
          <cell r="H11">
            <v>0.55208333333333337</v>
          </cell>
          <cell r="I11">
            <v>7.4305555555555555E-2</v>
          </cell>
          <cell r="J11">
            <v>5</v>
          </cell>
          <cell r="K11" t="str">
            <v>FCB-PROTOCOL-01</v>
          </cell>
          <cell r="L11" t="str">
            <v>VYD/061</v>
          </cell>
          <cell r="M11" t="str">
            <v>Y</v>
          </cell>
          <cell r="N11" t="str">
            <v>DMS_v4(1K)</v>
          </cell>
          <cell r="O11" t="str">
            <v>Internal R&amp;D</v>
          </cell>
          <cell r="P11" t="str">
            <v>Q1 Passed</v>
          </cell>
          <cell r="Q11" t="str">
            <v>Q1 Passed</v>
          </cell>
          <cell r="R11" t="str">
            <v>Q1.5 Rejected</v>
          </cell>
          <cell r="S11" t="str">
            <v>Q1.5 Rejected</v>
          </cell>
          <cell r="V11" t="str">
            <v>Tumor content 6-90%. One fragment shows necrosis with ?bacterial colonies</v>
          </cell>
          <cell r="W11" t="str">
            <v>Private Hospital</v>
          </cell>
          <cell r="X11" t="str">
            <v>Vydehi Hospital, Bangalore</v>
          </cell>
          <cell r="Y11" t="str">
            <v>Vydehi Hospital, Bangalore</v>
          </cell>
          <cell r="Z11" t="str">
            <v>Dr Amritha Prabha, Bangalore</v>
          </cell>
          <cell r="AA11" t="str">
            <v>HNSCC</v>
          </cell>
          <cell r="AC11" t="str">
            <v>Lip</v>
          </cell>
          <cell r="AD11" t="str">
            <v>Right Lower Lip</v>
          </cell>
          <cell r="AE11" t="str">
            <v>Male</v>
          </cell>
          <cell r="AF11">
            <v>31</v>
          </cell>
          <cell r="AG11" t="str">
            <v>N</v>
          </cell>
          <cell r="AH11">
            <v>5</v>
          </cell>
          <cell r="AI11" t="str">
            <v>Sashi</v>
          </cell>
          <cell r="AJ11" t="str">
            <v>Surgery</v>
          </cell>
          <cell r="AK11" t="str">
            <v>Local Recurrent</v>
          </cell>
          <cell r="AL11" t="str">
            <v>Surgery / Radiotherapy</v>
          </cell>
          <cell r="AN11" t="str">
            <v>III</v>
          </cell>
          <cell r="AO11">
            <v>2</v>
          </cell>
          <cell r="AP11" t="str">
            <v>pT3N0</v>
          </cell>
          <cell r="AS11" t="str">
            <v>Squamous Cell Carcinoma</v>
          </cell>
          <cell r="AV11">
            <v>44575</v>
          </cell>
          <cell r="AW11">
            <v>0.625</v>
          </cell>
          <cell r="AX11">
            <v>0.70902777777777781</v>
          </cell>
          <cell r="AY11">
            <v>8.4027777777777785E-2</v>
          </cell>
          <cell r="AZ11">
            <v>0.15694444444444444</v>
          </cell>
          <cell r="BA11">
            <v>0.23125000000000001</v>
          </cell>
          <cell r="BB11" t="str">
            <v>0.8*1.4*1.6</v>
          </cell>
          <cell r="BC11" t="str">
            <v>0.6*1.4*1.4</v>
          </cell>
          <cell r="BD11" t="str">
            <v>Vibratome</v>
          </cell>
          <cell r="BE11">
            <v>15</v>
          </cell>
          <cell r="BF11" t="str">
            <v>Gowri</v>
          </cell>
          <cell r="BG11" t="str">
            <v>Y</v>
          </cell>
        </row>
        <row r="12">
          <cell r="A12" t="str">
            <v>FBR1C220008</v>
          </cell>
          <cell r="B12">
            <v>220008</v>
          </cell>
          <cell r="C12" t="str">
            <v>R&amp;D</v>
          </cell>
          <cell r="D12">
            <v>44579</v>
          </cell>
          <cell r="E12">
            <v>0.41666666666666669</v>
          </cell>
          <cell r="F12">
            <v>44562</v>
          </cell>
          <cell r="G12">
            <v>44579</v>
          </cell>
          <cell r="H12">
            <v>0.55555555555555558</v>
          </cell>
          <cell r="I12">
            <v>0.1388888888888889</v>
          </cell>
          <cell r="J12">
            <v>4</v>
          </cell>
          <cell r="K12" t="str">
            <v>FCB-PROTOCOL-01</v>
          </cell>
          <cell r="L12" t="str">
            <v>VYD/062</v>
          </cell>
          <cell r="M12" t="str">
            <v>Y</v>
          </cell>
          <cell r="N12" t="str">
            <v>DMS_v4(1K)</v>
          </cell>
          <cell r="O12" t="str">
            <v>Internal R&amp;D</v>
          </cell>
          <cell r="P12" t="str">
            <v>Q1 Passed</v>
          </cell>
          <cell r="Q12" t="str">
            <v>Q1 Passed</v>
          </cell>
          <cell r="R12" t="str">
            <v>Q1.5 Passed</v>
          </cell>
          <cell r="S12" t="str">
            <v>Q1.5 Passed</v>
          </cell>
          <cell r="V12" t="str">
            <v>0-8% tumor. Heavy infiltration of immune cells</v>
          </cell>
          <cell r="W12" t="str">
            <v>Private Hospital</v>
          </cell>
          <cell r="X12" t="str">
            <v>Vydehi Hospital, Bangalore</v>
          </cell>
          <cell r="Y12" t="str">
            <v>Vydehi Hospital, Bangalore</v>
          </cell>
          <cell r="Z12" t="str">
            <v>Dr Amritha Prabha, Bangalore</v>
          </cell>
          <cell r="AA12" t="str">
            <v>HNSCC</v>
          </cell>
          <cell r="AC12" t="str">
            <v>Tongue</v>
          </cell>
          <cell r="AD12" t="str">
            <v>Tongue &amp; Floor of mouth</v>
          </cell>
          <cell r="AE12" t="str">
            <v>Male</v>
          </cell>
          <cell r="AF12">
            <v>59</v>
          </cell>
          <cell r="AG12" t="str">
            <v>N</v>
          </cell>
          <cell r="AH12">
            <v>5.0999999999999996</v>
          </cell>
          <cell r="AI12" t="str">
            <v>Sashi</v>
          </cell>
          <cell r="AJ12" t="str">
            <v>Surgery</v>
          </cell>
          <cell r="AK12" t="str">
            <v>Primary</v>
          </cell>
          <cell r="AL12" t="str">
            <v>Radiotherapy</v>
          </cell>
          <cell r="AN12" t="str">
            <v>II</v>
          </cell>
          <cell r="AO12">
            <v>2</v>
          </cell>
          <cell r="AP12" t="str">
            <v>pT2N0</v>
          </cell>
          <cell r="AS12" t="str">
            <v>Squamous Cell Carcinoma</v>
          </cell>
          <cell r="AV12">
            <v>44579</v>
          </cell>
          <cell r="AW12">
            <v>0.58333333333333337</v>
          </cell>
          <cell r="AX12">
            <v>0.70833333333333337</v>
          </cell>
          <cell r="AY12">
            <v>0.125</v>
          </cell>
          <cell r="AZ12">
            <v>0.15277777777777779</v>
          </cell>
          <cell r="BA12">
            <v>0.29166666666666669</v>
          </cell>
          <cell r="BB12" t="str">
            <v>1.2*1.6*1.4</v>
          </cell>
          <cell r="BC12" t="str">
            <v>1.2*1.6*1.4</v>
          </cell>
          <cell r="BD12" t="str">
            <v>Vibratome</v>
          </cell>
          <cell r="BE12">
            <v>15</v>
          </cell>
          <cell r="BF12" t="str">
            <v>Gowri</v>
          </cell>
          <cell r="BG12" t="str">
            <v>Y</v>
          </cell>
        </row>
        <row r="13">
          <cell r="A13" t="str">
            <v>FBR1K220008</v>
          </cell>
          <cell r="B13">
            <v>220008</v>
          </cell>
          <cell r="C13" t="str">
            <v>R&amp;D</v>
          </cell>
          <cell r="D13">
            <v>44579</v>
          </cell>
          <cell r="E13">
            <v>0.41666666666666669</v>
          </cell>
          <cell r="F13">
            <v>44562</v>
          </cell>
          <cell r="G13">
            <v>44579</v>
          </cell>
          <cell r="H13">
            <v>0.55555555555555558</v>
          </cell>
          <cell r="I13">
            <v>0.1388888888888889</v>
          </cell>
          <cell r="J13">
            <v>4</v>
          </cell>
          <cell r="K13" t="str">
            <v>FCB-PROTOCOL-01</v>
          </cell>
          <cell r="L13" t="str">
            <v>VYD/062</v>
          </cell>
          <cell r="M13" t="str">
            <v>Y</v>
          </cell>
          <cell r="N13" t="str">
            <v>DMS_v4(1K)</v>
          </cell>
          <cell r="O13" t="str">
            <v>Internal R&amp;D</v>
          </cell>
          <cell r="P13" t="str">
            <v>Q1 Passed</v>
          </cell>
          <cell r="Q13" t="str">
            <v>Q1 Passed</v>
          </cell>
          <cell r="R13" t="str">
            <v>Q1.5 Passed</v>
          </cell>
          <cell r="S13" t="str">
            <v>Q1.5 Passed</v>
          </cell>
          <cell r="V13" t="str">
            <v>Tumor in 3/7 explants, upto 10%</v>
          </cell>
          <cell r="W13" t="str">
            <v>Private Hospital</v>
          </cell>
          <cell r="X13" t="str">
            <v>Vydehi Hospital, Bangalore</v>
          </cell>
          <cell r="Y13" t="str">
            <v>Vydehi Hospital, Bangalore</v>
          </cell>
          <cell r="Z13" t="str">
            <v>Dr Amritha Prabha, Bangalore</v>
          </cell>
          <cell r="AA13" t="str">
            <v>HNSCC</v>
          </cell>
          <cell r="AC13" t="str">
            <v>Tongue</v>
          </cell>
          <cell r="AD13" t="str">
            <v>Tongue &amp; Floor of mouth</v>
          </cell>
          <cell r="AE13" t="str">
            <v>Male</v>
          </cell>
          <cell r="AF13">
            <v>59</v>
          </cell>
          <cell r="AG13" t="str">
            <v>N</v>
          </cell>
          <cell r="AH13">
            <v>5.0999999999999996</v>
          </cell>
          <cell r="AI13" t="str">
            <v>Sashi</v>
          </cell>
          <cell r="AJ13" t="str">
            <v>Surgery</v>
          </cell>
          <cell r="AK13" t="str">
            <v>Primary</v>
          </cell>
          <cell r="AL13" t="str">
            <v>Radiotherapy</v>
          </cell>
          <cell r="AN13" t="str">
            <v>II</v>
          </cell>
          <cell r="AO13">
            <v>2</v>
          </cell>
          <cell r="AP13" t="str">
            <v>pT2N0</v>
          </cell>
          <cell r="AS13" t="str">
            <v>Squamous Cell Carcinoma</v>
          </cell>
          <cell r="AV13">
            <v>44579</v>
          </cell>
          <cell r="AW13">
            <v>0.58333333333333337</v>
          </cell>
          <cell r="AX13">
            <v>0.70833333333333337</v>
          </cell>
          <cell r="AY13">
            <v>0.125</v>
          </cell>
          <cell r="AZ13">
            <v>0.15277777777777779</v>
          </cell>
          <cell r="BA13">
            <v>0.29166666666666669</v>
          </cell>
          <cell r="BB13" t="str">
            <v>1.2*1.6*1.4</v>
          </cell>
          <cell r="BC13" t="str">
            <v>1.2*1.6*1.4</v>
          </cell>
          <cell r="BD13" t="str">
            <v>Vibratome</v>
          </cell>
          <cell r="BE13">
            <v>15</v>
          </cell>
          <cell r="BF13" t="str">
            <v>Gowri</v>
          </cell>
          <cell r="BG13" t="str">
            <v>Y</v>
          </cell>
        </row>
        <row r="14">
          <cell r="A14">
            <v>220009</v>
          </cell>
          <cell r="B14">
            <v>220009</v>
          </cell>
          <cell r="C14" t="str">
            <v>R&amp;D</v>
          </cell>
          <cell r="D14">
            <v>44580</v>
          </cell>
          <cell r="E14">
            <v>0.46527777777777779</v>
          </cell>
          <cell r="F14">
            <v>44562</v>
          </cell>
          <cell r="G14">
            <v>44580</v>
          </cell>
          <cell r="H14">
            <v>0.56597222222222221</v>
          </cell>
          <cell r="I14">
            <v>0.10069444444444445</v>
          </cell>
          <cell r="J14">
            <v>4</v>
          </cell>
          <cell r="K14" t="str">
            <v>MBT-TB-070_v2.0</v>
          </cell>
          <cell r="L14" t="str">
            <v>BBH011</v>
          </cell>
          <cell r="M14" t="str">
            <v>Y</v>
          </cell>
          <cell r="N14" t="str">
            <v>No Study</v>
          </cell>
          <cell r="O14" t="str">
            <v>1st level attrition</v>
          </cell>
          <cell r="P14" t="str">
            <v>Q1 Rejected</v>
          </cell>
          <cell r="Q14" t="str">
            <v>Q1 Passed</v>
          </cell>
          <cell r="R14" t="str">
            <v>Q1.5 Rejected</v>
          </cell>
          <cell r="S14" t="str">
            <v>Q1.5 Rejected</v>
          </cell>
          <cell r="T14" t="str">
            <v>Sample size was too small</v>
          </cell>
          <cell r="W14" t="str">
            <v>Private Hospital</v>
          </cell>
          <cell r="X14" t="str">
            <v>Bangalore Baptist Hospital, Bangalore</v>
          </cell>
          <cell r="Y14" t="str">
            <v>Bangalore Baptist Hospital, Bangalore</v>
          </cell>
          <cell r="Z14" t="str">
            <v>Dr BV Manjula, Bangalore</v>
          </cell>
          <cell r="AA14" t="str">
            <v>HNSCC</v>
          </cell>
          <cell r="AC14" t="str">
            <v>Tongue</v>
          </cell>
          <cell r="AD14" t="str">
            <v>Left Lateral Border of Tongue</v>
          </cell>
          <cell r="AE14" t="str">
            <v>Female</v>
          </cell>
          <cell r="AF14">
            <v>63</v>
          </cell>
          <cell r="AG14" t="str">
            <v>N</v>
          </cell>
          <cell r="AH14">
            <v>5.3</v>
          </cell>
          <cell r="AI14" t="str">
            <v>Sashi</v>
          </cell>
          <cell r="AJ14" t="str">
            <v>Surgery</v>
          </cell>
          <cell r="AK14" t="str">
            <v>Primary</v>
          </cell>
          <cell r="AL14" t="str">
            <v>Chemo+Radiotherapy</v>
          </cell>
          <cell r="AV14">
            <v>44580</v>
          </cell>
          <cell r="AW14">
            <v>0.68402777777777779</v>
          </cell>
          <cell r="BB14" t="str">
            <v>0.4*0.4*0.8</v>
          </cell>
          <cell r="BC14" t="str">
            <v>0.4*0.4*0.8</v>
          </cell>
          <cell r="BE14">
            <v>15</v>
          </cell>
          <cell r="BF14" t="str">
            <v>Gowri</v>
          </cell>
          <cell r="BG14" t="str">
            <v>Y</v>
          </cell>
        </row>
        <row r="15">
          <cell r="A15" t="str">
            <v>FBB1E220010</v>
          </cell>
          <cell r="B15">
            <v>220010</v>
          </cell>
          <cell r="C15" t="str">
            <v>Biopharma</v>
          </cell>
          <cell r="D15">
            <v>44580</v>
          </cell>
          <cell r="E15">
            <v>0.51041666666666663</v>
          </cell>
          <cell r="F15">
            <v>44562</v>
          </cell>
          <cell r="G15">
            <v>44580</v>
          </cell>
          <cell r="H15">
            <v>0.82291666666666663</v>
          </cell>
          <cell r="I15">
            <v>0.3125</v>
          </cell>
          <cell r="J15">
            <v>2</v>
          </cell>
          <cell r="K15" t="str">
            <v>FCB-PROTOCOL-01</v>
          </cell>
          <cell r="L15" t="str">
            <v>CLN/DBR/055</v>
          </cell>
          <cell r="M15" t="str">
            <v>Y</v>
          </cell>
          <cell r="N15" t="str">
            <v>BP006_SOW1_2021</v>
          </cell>
          <cell r="O15" t="str">
            <v>Biopharma</v>
          </cell>
          <cell r="P15" t="str">
            <v>Q1 Passed</v>
          </cell>
          <cell r="Q15" t="str">
            <v>Q1 Passed</v>
          </cell>
          <cell r="R15" t="str">
            <v>Q1.5 Passed</v>
          </cell>
          <cell r="S15" t="str">
            <v>Q1.5 Passed</v>
          </cell>
          <cell r="V15" t="str">
            <v>Tumor content 70-90%</v>
          </cell>
          <cell r="W15" t="str">
            <v>Clinic'les</v>
          </cell>
          <cell r="X15" t="str">
            <v>Clinic'les- DBR &amp; SK Hospital, Tirupati</v>
          </cell>
          <cell r="Y15" t="str">
            <v>DBR &amp; SK Hospital, Tirupati</v>
          </cell>
          <cell r="Z15" t="str">
            <v>Dr C Jayaprakash, Tirupati</v>
          </cell>
          <cell r="AA15" t="str">
            <v>HNSCC</v>
          </cell>
          <cell r="AC15" t="str">
            <v>Buccal Mucosa</v>
          </cell>
          <cell r="AD15" t="str">
            <v>Buccal Mucosa</v>
          </cell>
          <cell r="AE15" t="str">
            <v>Female</v>
          </cell>
          <cell r="AF15">
            <v>63</v>
          </cell>
          <cell r="AG15" t="str">
            <v>N</v>
          </cell>
          <cell r="AH15">
            <v>5.0999999999999996</v>
          </cell>
          <cell r="AI15" t="str">
            <v>Sashi</v>
          </cell>
          <cell r="AJ15" t="str">
            <v>Surgery</v>
          </cell>
          <cell r="AK15" t="str">
            <v>Primary</v>
          </cell>
          <cell r="AN15" t="str">
            <v>II</v>
          </cell>
          <cell r="AP15" t="str">
            <v>pT3N1Mx</v>
          </cell>
          <cell r="AS15" t="str">
            <v>Squamous Cell Carcinoma</v>
          </cell>
          <cell r="AT15" t="str">
            <v>Radiotherapy</v>
          </cell>
          <cell r="AV15">
            <v>44580</v>
          </cell>
          <cell r="AW15">
            <v>0.84027777777777779</v>
          </cell>
          <cell r="AX15">
            <v>0.90625</v>
          </cell>
          <cell r="AY15">
            <v>6.5972222222222224E-2</v>
          </cell>
          <cell r="AZ15">
            <v>8.3333333333333329E-2</v>
          </cell>
          <cell r="BA15">
            <v>0.39583333333333331</v>
          </cell>
          <cell r="BB15" t="str">
            <v>0.8*2.0*1.4</v>
          </cell>
          <cell r="BC15" t="str">
            <v>0.8*2.0*1.4</v>
          </cell>
          <cell r="BD15" t="str">
            <v>Vibratome</v>
          </cell>
          <cell r="BE15">
            <v>15</v>
          </cell>
          <cell r="BF15" t="str">
            <v>Vasanth</v>
          </cell>
          <cell r="BG15" t="str">
            <v>Y</v>
          </cell>
        </row>
        <row r="16">
          <cell r="A16" t="str">
            <v>FBR1M220011</v>
          </cell>
          <cell r="B16">
            <v>220011</v>
          </cell>
          <cell r="C16" t="str">
            <v>R&amp;D</v>
          </cell>
          <cell r="D16">
            <v>44581</v>
          </cell>
          <cell r="E16">
            <v>0.52777777777777779</v>
          </cell>
          <cell r="F16">
            <v>44562</v>
          </cell>
          <cell r="G16">
            <v>44581</v>
          </cell>
          <cell r="H16">
            <v>0.84722222222222221</v>
          </cell>
          <cell r="I16">
            <v>0.31944444444444442</v>
          </cell>
          <cell r="J16">
            <v>2</v>
          </cell>
          <cell r="K16" t="str">
            <v>FCB-PROTOCOL-01</v>
          </cell>
          <cell r="L16" t="str">
            <v>CLN/DBR/056</v>
          </cell>
          <cell r="M16" t="str">
            <v>Y</v>
          </cell>
          <cell r="N16" t="str">
            <v>DMS_RCC</v>
          </cell>
          <cell r="O16" t="str">
            <v>Internal R&amp;D</v>
          </cell>
          <cell r="P16" t="str">
            <v>Q1 Passed</v>
          </cell>
          <cell r="Q16" t="str">
            <v>Q1 Passed</v>
          </cell>
          <cell r="R16" t="str">
            <v>Q1.5 Passed</v>
          </cell>
          <cell r="S16" t="str">
            <v>Q1.5 Passed</v>
          </cell>
          <cell r="V16" t="str">
            <v>Papillary Type II carcinoma. Tumor in all explants.8-80%</v>
          </cell>
          <cell r="W16" t="str">
            <v>Clinic'les</v>
          </cell>
          <cell r="X16" t="str">
            <v>Clinic'les- DBR &amp; SK Hospital, Tirupati</v>
          </cell>
          <cell r="Y16" t="str">
            <v>DBR &amp; SK Hospital, Tirupati</v>
          </cell>
          <cell r="Z16" t="str">
            <v>Dr C Jayaprakash, Tirupati</v>
          </cell>
          <cell r="AA16" t="str">
            <v>RCC</v>
          </cell>
          <cell r="AC16" t="str">
            <v>Kidney</v>
          </cell>
          <cell r="AD16" t="str">
            <v>Left Kidney</v>
          </cell>
          <cell r="AE16" t="str">
            <v>Male</v>
          </cell>
          <cell r="AF16">
            <v>59</v>
          </cell>
          <cell r="AG16" t="str">
            <v>N</v>
          </cell>
          <cell r="AH16">
            <v>5.3</v>
          </cell>
          <cell r="AI16" t="str">
            <v>Partha</v>
          </cell>
          <cell r="AJ16" t="str">
            <v>Surgery</v>
          </cell>
          <cell r="AK16" t="str">
            <v>Primary</v>
          </cell>
          <cell r="AN16" t="str">
            <v>III</v>
          </cell>
          <cell r="AP16" t="str">
            <v>pT3NxMx</v>
          </cell>
          <cell r="AS16" t="str">
            <v>Renal Cell Carcinoma</v>
          </cell>
          <cell r="AV16">
            <v>44581</v>
          </cell>
          <cell r="AW16">
            <v>0.86458333333333337</v>
          </cell>
          <cell r="AX16">
            <v>0.89583333333333337</v>
          </cell>
          <cell r="AY16">
            <v>3.125E-2</v>
          </cell>
          <cell r="AZ16">
            <v>4.8611111111111112E-2</v>
          </cell>
          <cell r="BA16">
            <v>0.36805555555555558</v>
          </cell>
          <cell r="BB16" t="str">
            <v>0.4*1.2*1.8
0.2/0.3*0.6*1.4
0.4*0.8*1.2</v>
          </cell>
          <cell r="BC16" t="str">
            <v>0.4*1.2*1.8
0.2/0.3*0.6*1.4
0.4*0.8*1.2</v>
          </cell>
          <cell r="BD16" t="str">
            <v>Manual</v>
          </cell>
          <cell r="BE16">
            <v>15</v>
          </cell>
          <cell r="BF16" t="str">
            <v>Vasanth</v>
          </cell>
          <cell r="BG16" t="str">
            <v>Y</v>
          </cell>
        </row>
        <row r="17">
          <cell r="A17" t="str">
            <v>FBR1K220012</v>
          </cell>
          <cell r="B17">
            <v>220012</v>
          </cell>
          <cell r="C17" t="str">
            <v>R&amp;D</v>
          </cell>
          <cell r="D17">
            <v>44582</v>
          </cell>
          <cell r="E17">
            <v>0.44583333333333336</v>
          </cell>
          <cell r="F17">
            <v>44562</v>
          </cell>
          <cell r="G17">
            <v>44582</v>
          </cell>
          <cell r="H17">
            <v>0.52777777777777779</v>
          </cell>
          <cell r="I17">
            <v>8.1944444444444445E-2</v>
          </cell>
          <cell r="J17">
            <v>6</v>
          </cell>
          <cell r="K17" t="str">
            <v>FCB-PROTOCOL-01</v>
          </cell>
          <cell r="L17" t="str">
            <v>VYD/063</v>
          </cell>
          <cell r="M17" t="str">
            <v>Y</v>
          </cell>
          <cell r="N17" t="str">
            <v>DMS_v4(1K)</v>
          </cell>
          <cell r="O17" t="str">
            <v>Internal R&amp;D</v>
          </cell>
          <cell r="P17" t="str">
            <v>Q1 Passed</v>
          </cell>
          <cell r="Q17" t="str">
            <v>Q1 Passed</v>
          </cell>
          <cell r="R17" t="str">
            <v>Q1.5 Passed</v>
          </cell>
          <cell r="S17" t="str">
            <v>Q1.5 Passed</v>
          </cell>
          <cell r="V17" t="str">
            <v>Tumor in 5/7 explants- 20%-85%</v>
          </cell>
          <cell r="W17" t="str">
            <v>Private Hospital</v>
          </cell>
          <cell r="X17" t="str">
            <v>Vydehi Hospital, Bangalore</v>
          </cell>
          <cell r="Y17" t="str">
            <v>Vydehi Hospital, Bangalore</v>
          </cell>
          <cell r="Z17" t="str">
            <v>Dr Amritha Prabha, Bangalore</v>
          </cell>
          <cell r="AA17" t="str">
            <v>HNSCC</v>
          </cell>
          <cell r="AC17" t="str">
            <v>Buccal Mucosa</v>
          </cell>
          <cell r="AD17" t="str">
            <v>Right Buccal Mucosa, Anterior (?) &amp; Lower Lip</v>
          </cell>
          <cell r="AE17" t="str">
            <v>Male</v>
          </cell>
          <cell r="AF17">
            <v>74</v>
          </cell>
          <cell r="AG17" t="str">
            <v>N</v>
          </cell>
          <cell r="AH17">
            <v>5.4</v>
          </cell>
          <cell r="AI17" t="str">
            <v>Partha</v>
          </cell>
          <cell r="AJ17" t="str">
            <v>Surgery</v>
          </cell>
          <cell r="AK17" t="str">
            <v>Local Recurrent</v>
          </cell>
          <cell r="AL17" t="str">
            <v>Surgery(2018); Chemo+Radiotherapy</v>
          </cell>
          <cell r="AN17" t="str">
            <v>IVa</v>
          </cell>
          <cell r="AP17" t="str">
            <v>rpT4aN3b</v>
          </cell>
          <cell r="AQ17" t="str">
            <v>5 cycles</v>
          </cell>
          <cell r="AR17" t="str">
            <v>Carboplatin</v>
          </cell>
          <cell r="AS17" t="str">
            <v>Squamous Cell Carcinoma</v>
          </cell>
          <cell r="AV17">
            <v>44582</v>
          </cell>
          <cell r="AW17">
            <v>0.57638888888888884</v>
          </cell>
          <cell r="AX17">
            <v>0.66666666666666663</v>
          </cell>
          <cell r="AY17">
            <v>9.0277777777777776E-2</v>
          </cell>
          <cell r="AZ17">
            <v>0.1388888888888889</v>
          </cell>
          <cell r="BA17">
            <v>0.22083333333333333</v>
          </cell>
          <cell r="BB17" t="str">
            <v>0.8*1.2*2.0</v>
          </cell>
          <cell r="BC17" t="str">
            <v>0.8*1.2*2.0</v>
          </cell>
          <cell r="BD17" t="str">
            <v>Vibratome</v>
          </cell>
          <cell r="BE17">
            <v>15</v>
          </cell>
          <cell r="BF17" t="str">
            <v>Kowshik</v>
          </cell>
          <cell r="BG17" t="str">
            <v>Y</v>
          </cell>
        </row>
        <row r="18">
          <cell r="A18" t="str">
            <v>FBR1K220013</v>
          </cell>
          <cell r="B18">
            <v>220013</v>
          </cell>
          <cell r="C18" t="str">
            <v>R&amp;D</v>
          </cell>
          <cell r="D18">
            <v>44582</v>
          </cell>
          <cell r="E18">
            <v>0.52083333333333337</v>
          </cell>
          <cell r="F18">
            <v>44562</v>
          </cell>
          <cell r="G18">
            <v>44582</v>
          </cell>
          <cell r="H18">
            <v>0.82291666666666663</v>
          </cell>
          <cell r="I18">
            <v>0.30208333333333331</v>
          </cell>
          <cell r="J18">
            <v>2</v>
          </cell>
          <cell r="K18" t="str">
            <v>FCB-PROTOCOL-01</v>
          </cell>
          <cell r="L18" t="str">
            <v>CLN/DBR/057</v>
          </cell>
          <cell r="M18" t="str">
            <v>Y</v>
          </cell>
          <cell r="N18" t="str">
            <v>DMS_v4(1K)</v>
          </cell>
          <cell r="O18" t="str">
            <v>Internal R&amp;D</v>
          </cell>
          <cell r="P18" t="str">
            <v>Q1 Passed</v>
          </cell>
          <cell r="Q18" t="str">
            <v>Q1 Passed</v>
          </cell>
          <cell r="R18" t="str">
            <v>Q1.5 Passed</v>
          </cell>
          <cell r="S18" t="str">
            <v>Q1.5 Passed</v>
          </cell>
          <cell r="V18" t="str">
            <v>High tumor content: 55%-98%</v>
          </cell>
          <cell r="W18" t="str">
            <v>Clinic'les</v>
          </cell>
          <cell r="X18" t="str">
            <v>Clinic'les- DBR &amp; SK Hospital, Tirupati</v>
          </cell>
          <cell r="Y18" t="str">
            <v>DBR &amp; SK Hospital, Tirupati</v>
          </cell>
          <cell r="Z18" t="str">
            <v>Dr C Jayaprakash, Tirupati</v>
          </cell>
          <cell r="AA18" t="str">
            <v>HNSCC</v>
          </cell>
          <cell r="AC18" t="str">
            <v>Buccal Mucosa</v>
          </cell>
          <cell r="AD18" t="str">
            <v>Buccal Mucosa</v>
          </cell>
          <cell r="AE18" t="str">
            <v>Female</v>
          </cell>
          <cell r="AF18">
            <v>64</v>
          </cell>
          <cell r="AG18" t="str">
            <v>N</v>
          </cell>
          <cell r="AH18">
            <v>5.5</v>
          </cell>
          <cell r="AI18" t="str">
            <v>Sashi</v>
          </cell>
          <cell r="AJ18" t="str">
            <v>Surgery</v>
          </cell>
          <cell r="AK18" t="str">
            <v>Primary</v>
          </cell>
          <cell r="AN18" t="str">
            <v>II</v>
          </cell>
          <cell r="AP18" t="str">
            <v>pT2N0Mx</v>
          </cell>
          <cell r="AS18" t="str">
            <v>Squamous Cell Carcinoma</v>
          </cell>
          <cell r="AT18" t="str">
            <v>Radiotherapy</v>
          </cell>
          <cell r="AV18">
            <v>44582</v>
          </cell>
          <cell r="AW18">
            <v>0.89583333333333337</v>
          </cell>
          <cell r="AX18">
            <v>0.95833333333333337</v>
          </cell>
          <cell r="AY18">
            <v>6.25E-2</v>
          </cell>
          <cell r="AZ18">
            <v>0.13541666666666666</v>
          </cell>
          <cell r="BA18">
            <v>0.4375</v>
          </cell>
          <cell r="BB18" t="str">
            <v>0.8*1.0*1.2
0.4*0.6*0.8</v>
          </cell>
          <cell r="BC18" t="str">
            <v>0.8*1.0*1.2
0.4*0.6*0.8</v>
          </cell>
          <cell r="BD18" t="str">
            <v>Vibratome</v>
          </cell>
          <cell r="BE18">
            <v>15</v>
          </cell>
          <cell r="BF18" t="str">
            <v>Kowshik</v>
          </cell>
          <cell r="BG18" t="str">
            <v>Y</v>
          </cell>
        </row>
        <row r="19">
          <cell r="A19" t="str">
            <v>FBR1N220014-TAT16</v>
          </cell>
          <cell r="B19">
            <v>220014</v>
          </cell>
          <cell r="C19" t="str">
            <v>R&amp;D</v>
          </cell>
          <cell r="D19">
            <v>44583</v>
          </cell>
          <cell r="E19">
            <v>0.38263888888888886</v>
          </cell>
          <cell r="F19">
            <v>44562</v>
          </cell>
          <cell r="G19">
            <v>44583</v>
          </cell>
          <cell r="H19">
            <v>0.46527777777777779</v>
          </cell>
          <cell r="I19">
            <v>8.2638888888888887E-2</v>
          </cell>
          <cell r="J19">
            <v>4</v>
          </cell>
          <cell r="K19" t="str">
            <v>FCB-PROTOCOL-01</v>
          </cell>
          <cell r="L19" t="str">
            <v>VYD/064</v>
          </cell>
          <cell r="M19" t="str">
            <v>Y</v>
          </cell>
          <cell r="N19" t="str">
            <v>Extended TAT_Hemarina</v>
          </cell>
          <cell r="O19" t="str">
            <v>Internal R&amp;D</v>
          </cell>
          <cell r="P19" t="str">
            <v>Q1 Passed</v>
          </cell>
          <cell r="Q19" t="str">
            <v>Q1 Passed</v>
          </cell>
          <cell r="R19" t="str">
            <v>Q1.5 Passed</v>
          </cell>
          <cell r="S19" t="str">
            <v>Q1.5 Passed</v>
          </cell>
          <cell r="V19" t="str">
            <v>Tumor content 60-85%</v>
          </cell>
          <cell r="W19" t="str">
            <v>Private Hospital</v>
          </cell>
          <cell r="X19" t="str">
            <v>Vydehi Hospital, Bangalore</v>
          </cell>
          <cell r="Y19" t="str">
            <v>Vydehi Hospital, Bangalore</v>
          </cell>
          <cell r="Z19" t="str">
            <v>Dr Amritha Prabha, Bangalore</v>
          </cell>
          <cell r="AA19" t="str">
            <v>HNSCC</v>
          </cell>
          <cell r="AC19" t="str">
            <v>Alveolus</v>
          </cell>
          <cell r="AD19" t="str">
            <v>Right Lower Alveolus</v>
          </cell>
          <cell r="AE19" t="str">
            <v>Male</v>
          </cell>
          <cell r="AF19">
            <v>68</v>
          </cell>
          <cell r="AG19" t="str">
            <v>N</v>
          </cell>
          <cell r="AH19">
            <v>5.0999999999999996</v>
          </cell>
          <cell r="AI19" t="str">
            <v>Sashi</v>
          </cell>
          <cell r="AJ19" t="str">
            <v>Surgery</v>
          </cell>
          <cell r="AK19" t="str">
            <v>Primary</v>
          </cell>
          <cell r="AN19" t="str">
            <v>IVa</v>
          </cell>
          <cell r="AO19">
            <v>2</v>
          </cell>
          <cell r="AP19" t="str">
            <v>pT4aN2b</v>
          </cell>
          <cell r="AS19" t="str">
            <v>Squamous Cell Carcinoma</v>
          </cell>
          <cell r="AV19">
            <v>44583</v>
          </cell>
          <cell r="AW19">
            <v>0.375</v>
          </cell>
          <cell r="AX19">
            <v>6.25E-2</v>
          </cell>
          <cell r="AY1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1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9" t="str">
            <v>0.8*1.0*1.2</v>
          </cell>
          <cell r="BC19" t="str">
            <v>0.8*1.0*1.2</v>
          </cell>
          <cell r="BD19" t="str">
            <v>Vibratome</v>
          </cell>
          <cell r="BE19">
            <v>15</v>
          </cell>
          <cell r="BF19" t="str">
            <v>Kowshik</v>
          </cell>
          <cell r="BG19" t="str">
            <v>Y</v>
          </cell>
        </row>
        <row r="20">
          <cell r="A20" t="str">
            <v>FBR1N220014-TAT24</v>
          </cell>
          <cell r="B20">
            <v>220014</v>
          </cell>
          <cell r="C20" t="str">
            <v>R&amp;D</v>
          </cell>
          <cell r="D20">
            <v>44583</v>
          </cell>
          <cell r="E20">
            <v>0.38263888888888886</v>
          </cell>
          <cell r="F20">
            <v>44562</v>
          </cell>
          <cell r="G20">
            <v>44583</v>
          </cell>
          <cell r="H20">
            <v>0.46527777777777779</v>
          </cell>
          <cell r="I20">
            <v>8.2638888888888887E-2</v>
          </cell>
          <cell r="J20">
            <v>4</v>
          </cell>
          <cell r="K20" t="str">
            <v>FCB-PROTOCOL-01</v>
          </cell>
          <cell r="L20" t="str">
            <v>VYD/064</v>
          </cell>
          <cell r="M20" t="str">
            <v>Y</v>
          </cell>
          <cell r="N20" t="str">
            <v>Extended TAT_Hemarina</v>
          </cell>
          <cell r="O20" t="str">
            <v>Internal R&amp;D</v>
          </cell>
          <cell r="P20" t="str">
            <v>Q1 Passed</v>
          </cell>
          <cell r="Q20" t="str">
            <v>Q1 Passed</v>
          </cell>
          <cell r="R20" t="str">
            <v>Q1.5 Passed</v>
          </cell>
          <cell r="S20" t="str">
            <v>Q1.5 Passed</v>
          </cell>
          <cell r="V20" t="str">
            <v>Tumor content 10-80%</v>
          </cell>
          <cell r="W20" t="str">
            <v>Private Hospital</v>
          </cell>
          <cell r="X20" t="str">
            <v>Vydehi Hospital, Bangalore</v>
          </cell>
          <cell r="Y20" t="str">
            <v>Vydehi Hospital, Bangalore</v>
          </cell>
          <cell r="Z20" t="str">
            <v>Dr Amritha Prabha, Bangalore</v>
          </cell>
          <cell r="AA20" t="str">
            <v>HNSCC</v>
          </cell>
          <cell r="AC20" t="str">
            <v>Alveolus</v>
          </cell>
          <cell r="AD20" t="str">
            <v>Right Lower Alveolus</v>
          </cell>
          <cell r="AE20" t="str">
            <v>Male</v>
          </cell>
          <cell r="AF20">
            <v>68</v>
          </cell>
          <cell r="AG20" t="str">
            <v>N</v>
          </cell>
          <cell r="AH20">
            <v>5.0999999999999996</v>
          </cell>
          <cell r="AI20" t="str">
            <v>Sashi</v>
          </cell>
          <cell r="AJ20" t="str">
            <v>Surgery</v>
          </cell>
          <cell r="AK20" t="str">
            <v>Primary</v>
          </cell>
          <cell r="AN20" t="str">
            <v>IVa</v>
          </cell>
          <cell r="AO20">
            <v>2</v>
          </cell>
          <cell r="AP20" t="str">
            <v>pT4aN2b</v>
          </cell>
          <cell r="AS20" t="str">
            <v>Squamous Cell Carcinoma</v>
          </cell>
          <cell r="AV20">
            <v>44584</v>
          </cell>
          <cell r="AW20">
            <v>0.375</v>
          </cell>
          <cell r="AX20">
            <v>0.4513888888888889</v>
          </cell>
          <cell r="AY20">
            <v>7.6388888888888895E-2</v>
          </cell>
          <cell r="AZ20">
            <v>0.98611111111111116</v>
          </cell>
          <cell r="BA20">
            <v>6.8750000000000006E-2</v>
          </cell>
          <cell r="BB20" t="str">
            <v>0.8*1.0*1.2</v>
          </cell>
          <cell r="BC20" t="str">
            <v>0.8*1.0*1.2</v>
          </cell>
          <cell r="BD20" t="str">
            <v>Vibratome</v>
          </cell>
          <cell r="BE20">
            <v>15</v>
          </cell>
          <cell r="BF20" t="str">
            <v>Mani</v>
          </cell>
          <cell r="BG20" t="str">
            <v>N</v>
          </cell>
        </row>
        <row r="21">
          <cell r="A21" t="str">
            <v>FBR1K220015</v>
          </cell>
          <cell r="B21">
            <v>220015</v>
          </cell>
          <cell r="C21" t="str">
            <v>R&amp;D</v>
          </cell>
          <cell r="D21">
            <v>44583</v>
          </cell>
          <cell r="E21">
            <v>0.52430555555555558</v>
          </cell>
          <cell r="F21">
            <v>44562</v>
          </cell>
          <cell r="G21">
            <v>44583</v>
          </cell>
          <cell r="H21">
            <v>0.81597222222222221</v>
          </cell>
          <cell r="I21">
            <v>0.29166666666666669</v>
          </cell>
          <cell r="J21">
            <v>2</v>
          </cell>
          <cell r="K21" t="str">
            <v>FCB-PROTOCOL-01</v>
          </cell>
          <cell r="L21" t="str">
            <v>CLN/DBR/058</v>
          </cell>
          <cell r="M21" t="str">
            <v>Y</v>
          </cell>
          <cell r="N21" t="str">
            <v>DMS_v4(1K)</v>
          </cell>
          <cell r="O21" t="str">
            <v>Internal R&amp;D</v>
          </cell>
          <cell r="P21" t="str">
            <v>Q1 Passed</v>
          </cell>
          <cell r="Q21" t="str">
            <v>Q1 Passed</v>
          </cell>
          <cell r="R21" t="str">
            <v>Q1.5 Passed</v>
          </cell>
          <cell r="S21" t="str">
            <v>Q1.5 Passed</v>
          </cell>
          <cell r="V21" t="str">
            <v>Tumor content 80-90% Pyknosis high, hemorrghic areas present</v>
          </cell>
          <cell r="W21" t="str">
            <v>Clinic'les</v>
          </cell>
          <cell r="X21" t="str">
            <v>Clinic'les- DBR &amp; SK Hospital, Tirupati</v>
          </cell>
          <cell r="Y21" t="str">
            <v>DBR &amp; SK Hospital, Tirupati</v>
          </cell>
          <cell r="Z21" t="str">
            <v>Dr C Jayaprakash, Tirupati</v>
          </cell>
          <cell r="AA21" t="str">
            <v>HNSCC</v>
          </cell>
          <cell r="AC21" t="str">
            <v>Oral Cavity</v>
          </cell>
          <cell r="AD21" t="str">
            <v>Oral Cavity</v>
          </cell>
          <cell r="AE21" t="str">
            <v>Female</v>
          </cell>
          <cell r="AF21">
            <v>56</v>
          </cell>
          <cell r="AG21" t="str">
            <v>N</v>
          </cell>
          <cell r="AH21">
            <v>5.4</v>
          </cell>
          <cell r="AI21" t="str">
            <v>Partha</v>
          </cell>
          <cell r="AJ21" t="str">
            <v>Surgery</v>
          </cell>
          <cell r="AK21" t="str">
            <v>Primary</v>
          </cell>
          <cell r="AN21" t="str">
            <v>II</v>
          </cell>
          <cell r="AP21" t="str">
            <v>pT2N0Mx</v>
          </cell>
          <cell r="AS21" t="str">
            <v>Squamous Cell Carcinoma</v>
          </cell>
          <cell r="AT21" t="str">
            <v>Radiotherapy</v>
          </cell>
          <cell r="AV21">
            <v>44583</v>
          </cell>
          <cell r="AW21">
            <v>0.83333333333333337</v>
          </cell>
          <cell r="AX21">
            <v>0.90972222222222221</v>
          </cell>
          <cell r="AY21">
            <v>7.6388888888888895E-2</v>
          </cell>
          <cell r="AZ21">
            <v>9.375E-2</v>
          </cell>
          <cell r="BA21">
            <v>0.38541666666666669</v>
          </cell>
          <cell r="BB21" t="str">
            <v>0.8*2.2*1.0</v>
          </cell>
          <cell r="BC21" t="str">
            <v>0.8*2.2*1.0</v>
          </cell>
          <cell r="BD21" t="str">
            <v>Vibratome</v>
          </cell>
          <cell r="BE21">
            <v>15</v>
          </cell>
          <cell r="BF21" t="str">
            <v>Vasanth</v>
          </cell>
          <cell r="BG21" t="str">
            <v>Y</v>
          </cell>
        </row>
        <row r="22">
          <cell r="A22" t="str">
            <v>FBR1K220016</v>
          </cell>
          <cell r="B22">
            <v>220016</v>
          </cell>
          <cell r="C22" t="str">
            <v>R&amp;D</v>
          </cell>
          <cell r="D22">
            <v>44585</v>
          </cell>
          <cell r="E22">
            <v>0.42777777777777776</v>
          </cell>
          <cell r="F22">
            <v>44562</v>
          </cell>
          <cell r="G22">
            <v>44585</v>
          </cell>
          <cell r="H22">
            <v>0.5131944444444444</v>
          </cell>
          <cell r="I22">
            <v>8.5416666666666669E-2</v>
          </cell>
          <cell r="J22">
            <v>4</v>
          </cell>
          <cell r="K22" t="str">
            <v>FCB-PROTOCOL-01</v>
          </cell>
          <cell r="L22" t="str">
            <v>VYD/065</v>
          </cell>
          <cell r="M22" t="str">
            <v>Y</v>
          </cell>
          <cell r="N22" t="str">
            <v>DMS_v4(1K)</v>
          </cell>
          <cell r="O22" t="str">
            <v>Internal R&amp;D</v>
          </cell>
          <cell r="P22" t="str">
            <v>Q1 Passed</v>
          </cell>
          <cell r="Q22" t="str">
            <v>Q1 Passed</v>
          </cell>
          <cell r="R22" t="str">
            <v>Q1.5 Passed</v>
          </cell>
          <cell r="S22" t="str">
            <v>Q1.5 Passed</v>
          </cell>
          <cell r="V22" t="str">
            <v>Tumor in 5/7 explants Content:10%-80%</v>
          </cell>
          <cell r="W22" t="str">
            <v>Private Hospital</v>
          </cell>
          <cell r="X22" t="str">
            <v>Vydehi Hospital, Bangalore</v>
          </cell>
          <cell r="Y22" t="str">
            <v>Vydehi Hospital, Bangalore</v>
          </cell>
          <cell r="Z22" t="str">
            <v>Dr Amritha Prabha, Bangalore</v>
          </cell>
          <cell r="AA22" t="str">
            <v>HNSCC</v>
          </cell>
          <cell r="AC22" t="str">
            <v>Buccal Mucosa</v>
          </cell>
          <cell r="AD22" t="str">
            <v>Right Buccal Mucosa &amp; Upper GBS</v>
          </cell>
          <cell r="AE22" t="str">
            <v>Female</v>
          </cell>
          <cell r="AF22">
            <v>45</v>
          </cell>
          <cell r="AG22" t="str">
            <v>N</v>
          </cell>
          <cell r="AH22">
            <v>4.5</v>
          </cell>
          <cell r="AI22" t="str">
            <v>Kalappa</v>
          </cell>
          <cell r="AJ22" t="str">
            <v>Surgery</v>
          </cell>
          <cell r="AK22" t="str">
            <v>Primary</v>
          </cell>
          <cell r="AL22" t="str">
            <v>Radiotherapy</v>
          </cell>
          <cell r="AN22" t="str">
            <v>III</v>
          </cell>
          <cell r="AO22">
            <v>2</v>
          </cell>
          <cell r="AP22" t="str">
            <v>pT2N1</v>
          </cell>
          <cell r="AS22" t="str">
            <v>Squamous Cell Carcinoma</v>
          </cell>
          <cell r="AV22">
            <v>44585</v>
          </cell>
          <cell r="AW22">
            <v>0.54513888888888884</v>
          </cell>
          <cell r="AX22">
            <v>0.625</v>
          </cell>
          <cell r="AY22">
            <v>7.9861111111111105E-2</v>
          </cell>
          <cell r="AZ22">
            <v>0.11180555555555556</v>
          </cell>
          <cell r="BA22">
            <v>0.19722222222222222</v>
          </cell>
          <cell r="BB22" t="str">
            <v>0.5*1.4*2,9</v>
          </cell>
          <cell r="BC22" t="str">
            <v>0.5*0.8*1.2</v>
          </cell>
          <cell r="BD22" t="str">
            <v>Vibratome</v>
          </cell>
          <cell r="BE22">
            <v>15</v>
          </cell>
          <cell r="BF22" t="str">
            <v>Kowshik</v>
          </cell>
          <cell r="BG22" t="str">
            <v>Y</v>
          </cell>
        </row>
        <row r="23">
          <cell r="A23">
            <v>220017</v>
          </cell>
          <cell r="B23">
            <v>220017</v>
          </cell>
          <cell r="C23" t="str">
            <v>R&amp;D</v>
          </cell>
          <cell r="D23">
            <v>44588</v>
          </cell>
          <cell r="E23">
            <v>0.49444444444444446</v>
          </cell>
          <cell r="F23">
            <v>44562</v>
          </cell>
          <cell r="G23">
            <v>44588</v>
          </cell>
          <cell r="H23">
            <v>0.54583333333333328</v>
          </cell>
          <cell r="I23">
            <v>5.1388888888888887E-2</v>
          </cell>
          <cell r="J23">
            <v>6</v>
          </cell>
          <cell r="K23" t="str">
            <v>FCB-PROTOCOL-01</v>
          </cell>
          <cell r="L23" t="str">
            <v>VYD/066</v>
          </cell>
          <cell r="M23" t="str">
            <v>Y</v>
          </cell>
          <cell r="N23" t="str">
            <v>No Study</v>
          </cell>
          <cell r="O23" t="str">
            <v>1st level attrition</v>
          </cell>
          <cell r="P23" t="str">
            <v>Q1 Rejected</v>
          </cell>
          <cell r="Q23" t="str">
            <v>Q1 Passed</v>
          </cell>
          <cell r="R23" t="str">
            <v>Q1.5 Rejected</v>
          </cell>
          <cell r="S23" t="str">
            <v>Q1.5 Rejected</v>
          </cell>
          <cell r="T23" t="str">
            <v>Sample size was too small- multiple bits</v>
          </cell>
          <cell r="W23" t="str">
            <v>Private Hospital</v>
          </cell>
          <cell r="X23" t="str">
            <v>Vydehi Hospital, Bangalore</v>
          </cell>
          <cell r="Y23" t="str">
            <v>Vydehi Hospital, Bangalore</v>
          </cell>
          <cell r="Z23" t="str">
            <v>Dr Amritha Prabha, Bangalore</v>
          </cell>
          <cell r="AA23" t="str">
            <v>HNSCC</v>
          </cell>
          <cell r="AC23" t="str">
            <v>RMT</v>
          </cell>
          <cell r="AD23" t="str">
            <v>Right RMT</v>
          </cell>
          <cell r="AE23" t="str">
            <v>Male</v>
          </cell>
          <cell r="AF23">
            <v>71</v>
          </cell>
          <cell r="AG23" t="str">
            <v>N</v>
          </cell>
          <cell r="AH23">
            <v>4.2</v>
          </cell>
          <cell r="AI23" t="str">
            <v>Kalappa</v>
          </cell>
          <cell r="AJ23" t="str">
            <v>Surgery</v>
          </cell>
          <cell r="AK23" t="str">
            <v>Primary</v>
          </cell>
          <cell r="AS23" t="str">
            <v>Verucous Cell Carcinoma</v>
          </cell>
          <cell r="AV23">
            <v>44588</v>
          </cell>
          <cell r="AW23">
            <v>0.54861111111111116</v>
          </cell>
          <cell r="BB23" t="str">
            <v>0.3*0.4*0.5
0.1-0.2*0.4*0.6
0.1*0.4*0.4</v>
          </cell>
          <cell r="BC23" t="str">
            <v>0.3*0.4*0.5
0.1-0.2*0.4*0.6
0.1*0.4*0.4</v>
          </cell>
          <cell r="BE23">
            <v>15</v>
          </cell>
          <cell r="BF23" t="str">
            <v>Kowshik</v>
          </cell>
          <cell r="BG23" t="str">
            <v>Y</v>
          </cell>
        </row>
        <row r="24">
          <cell r="A24" t="str">
            <v>FBR1J220018</v>
          </cell>
          <cell r="B24">
            <v>220018</v>
          </cell>
          <cell r="C24" t="str">
            <v>R&amp;D</v>
          </cell>
          <cell r="D24">
            <v>44589</v>
          </cell>
          <cell r="E24">
            <v>0.60416666666666663</v>
          </cell>
          <cell r="F24">
            <v>44562</v>
          </cell>
          <cell r="G24">
            <v>44589</v>
          </cell>
          <cell r="H24">
            <v>0.65972222222222221</v>
          </cell>
          <cell r="I24">
            <v>5.5555555555555552E-2</v>
          </cell>
          <cell r="J24">
            <v>8</v>
          </cell>
          <cell r="K24" t="str">
            <v>FCB-PROTOCOL-01</v>
          </cell>
          <cell r="L24" t="str">
            <v>VYD/067</v>
          </cell>
          <cell r="M24" t="str">
            <v>Y</v>
          </cell>
          <cell r="N24" t="str">
            <v>COS_v3</v>
          </cell>
          <cell r="O24" t="str">
            <v>Internal R&amp;D</v>
          </cell>
          <cell r="P24" t="str">
            <v>Q1 Passed</v>
          </cell>
          <cell r="Q24" t="str">
            <v>Q1 Passed</v>
          </cell>
          <cell r="R24" t="str">
            <v>Q1.5 Passed</v>
          </cell>
          <cell r="S24" t="str">
            <v>Q1.5 Passed</v>
          </cell>
          <cell r="V24" t="str">
            <v>Tumor in 4/7 explants.Tmor content 30-80%</v>
          </cell>
          <cell r="W24" t="str">
            <v>Private Hospital</v>
          </cell>
          <cell r="X24" t="str">
            <v>Vydehi Hospital, Bangalore</v>
          </cell>
          <cell r="Y24" t="str">
            <v>Vydehi Hospital, Bangalore</v>
          </cell>
          <cell r="Z24" t="str">
            <v>Dr Amritha Prabha, Bangalore</v>
          </cell>
          <cell r="AA24" t="str">
            <v>GI</v>
          </cell>
          <cell r="AB24" t="str">
            <v>Ca Stomach</v>
          </cell>
          <cell r="AC24" t="str">
            <v>Stomach</v>
          </cell>
          <cell r="AD24" t="str">
            <v>Antrum of Stomach</v>
          </cell>
          <cell r="AE24" t="str">
            <v>Male</v>
          </cell>
          <cell r="AF24">
            <v>56</v>
          </cell>
          <cell r="AG24" t="str">
            <v>N</v>
          </cell>
          <cell r="AH24">
            <v>4.8</v>
          </cell>
          <cell r="AI24" t="str">
            <v>Kalappa</v>
          </cell>
          <cell r="AJ24" t="str">
            <v>Surgery</v>
          </cell>
          <cell r="AK24" t="str">
            <v>Primary</v>
          </cell>
          <cell r="AL24" t="str">
            <v>Chemotherapy</v>
          </cell>
          <cell r="AN24" t="str">
            <v>IIA</v>
          </cell>
          <cell r="AO24">
            <v>1</v>
          </cell>
          <cell r="AP24" t="str">
            <v>ypT2N1</v>
          </cell>
          <cell r="AQ24" t="str">
            <v>3 cycles</v>
          </cell>
          <cell r="AR24" t="str">
            <v>Epirubicin+Oxaloplatin+</v>
          </cell>
          <cell r="AS24" t="str">
            <v>Adenocarcinoma of Stomach</v>
          </cell>
          <cell r="AV24">
            <v>44589</v>
          </cell>
          <cell r="AW24">
            <v>0.69791666666666663</v>
          </cell>
          <cell r="AX24">
            <v>0.73611111111111116</v>
          </cell>
          <cell r="AY24">
            <v>3.8194444444444448E-2</v>
          </cell>
          <cell r="AZ24">
            <v>7.6388888888888895E-2</v>
          </cell>
          <cell r="BA24">
            <v>0.13194444444444445</v>
          </cell>
          <cell r="BB24" t="str">
            <v>1.0*1.6*2.0</v>
          </cell>
          <cell r="BC24" t="str">
            <v>1.0*1.6*2.0</v>
          </cell>
          <cell r="BD24" t="str">
            <v>Manual</v>
          </cell>
          <cell r="BE24">
            <v>15</v>
          </cell>
          <cell r="BF24" t="str">
            <v>Kowshik</v>
          </cell>
          <cell r="BG24" t="str">
            <v>Y</v>
          </cell>
        </row>
        <row r="25">
          <cell r="A25" t="str">
            <v>FBR1K220019</v>
          </cell>
          <cell r="B25">
            <v>220019</v>
          </cell>
          <cell r="C25" t="str">
            <v>R&amp;D</v>
          </cell>
          <cell r="D25">
            <v>44589</v>
          </cell>
          <cell r="E25">
            <v>0.54027777777777775</v>
          </cell>
          <cell r="F25">
            <v>44562</v>
          </cell>
          <cell r="G25">
            <v>44589</v>
          </cell>
          <cell r="H25">
            <v>0.84722222222222221</v>
          </cell>
          <cell r="I25">
            <v>0.30694444444444446</v>
          </cell>
          <cell r="J25">
            <v>2</v>
          </cell>
          <cell r="K25" t="str">
            <v>FCB-PROTOCOL-01</v>
          </cell>
          <cell r="L25" t="str">
            <v>CLN/DBR/059</v>
          </cell>
          <cell r="M25" t="str">
            <v>Y</v>
          </cell>
          <cell r="N25" t="str">
            <v>DMS_v4(1K)</v>
          </cell>
          <cell r="O25" t="str">
            <v>Internal R&amp;D</v>
          </cell>
          <cell r="P25" t="str">
            <v>Q1 Passed</v>
          </cell>
          <cell r="Q25" t="str">
            <v>Q1 Passed</v>
          </cell>
          <cell r="R25" t="str">
            <v>Q1.5 Passed</v>
          </cell>
          <cell r="S25" t="str">
            <v>Q1.5 Passed</v>
          </cell>
          <cell r="V25" t="str">
            <v>Tumor content  70-85%</v>
          </cell>
          <cell r="W25" t="str">
            <v>Clinic'les</v>
          </cell>
          <cell r="X25" t="str">
            <v>Clinic'les- DBR &amp; SK Hospital, Tirupati</v>
          </cell>
          <cell r="Y25" t="str">
            <v>DBR &amp; SK Hospital, Tirupati</v>
          </cell>
          <cell r="Z25" t="str">
            <v>Dr C Jayaprakash, Tirupati</v>
          </cell>
          <cell r="AA25" t="str">
            <v>HNSCC</v>
          </cell>
          <cell r="AC25" t="str">
            <v>Oral Cavity</v>
          </cell>
          <cell r="AD25" t="str">
            <v>Oral Cavity</v>
          </cell>
          <cell r="AE25" t="str">
            <v>Male</v>
          </cell>
          <cell r="AF25">
            <v>76</v>
          </cell>
          <cell r="AG25" t="str">
            <v>N</v>
          </cell>
          <cell r="AH25">
            <v>5.0999999999999996</v>
          </cell>
          <cell r="AI25" t="str">
            <v>Sashi</v>
          </cell>
          <cell r="AJ25" t="str">
            <v>Surgery</v>
          </cell>
          <cell r="AK25" t="str">
            <v>Primary</v>
          </cell>
          <cell r="AN25" t="str">
            <v>III</v>
          </cell>
          <cell r="AP25" t="str">
            <v>pT3N0Mx</v>
          </cell>
          <cell r="AS25" t="str">
            <v>Squamous Cell Carcinoma</v>
          </cell>
          <cell r="AT25" t="str">
            <v>Radiotherapy</v>
          </cell>
          <cell r="AV25">
            <v>44589</v>
          </cell>
          <cell r="AW25">
            <v>0.86111111111111116</v>
          </cell>
          <cell r="AX25">
            <v>0.92361111111111116</v>
          </cell>
          <cell r="AY25">
            <v>6.25E-2</v>
          </cell>
          <cell r="AZ25">
            <v>7.6388888888888895E-2</v>
          </cell>
          <cell r="BA25">
            <v>0.38333333333333336</v>
          </cell>
          <cell r="BD25" t="str">
            <v>Vibratome</v>
          </cell>
          <cell r="BE25">
            <v>15</v>
          </cell>
          <cell r="BF25" t="str">
            <v>Vasanth</v>
          </cell>
          <cell r="BG25" t="str">
            <v>Y</v>
          </cell>
        </row>
        <row r="26">
          <cell r="A26" t="str">
            <v>FBR1K220020</v>
          </cell>
          <cell r="B26">
            <v>220020</v>
          </cell>
          <cell r="C26" t="str">
            <v>R&amp;D</v>
          </cell>
          <cell r="D26">
            <v>44590</v>
          </cell>
          <cell r="E26">
            <v>0.41944444444444445</v>
          </cell>
          <cell r="F26">
            <v>44562</v>
          </cell>
          <cell r="G26">
            <v>44590</v>
          </cell>
          <cell r="H26">
            <v>0.53749999999999998</v>
          </cell>
          <cell r="I26">
            <v>0.11805555555555555</v>
          </cell>
          <cell r="J26">
            <v>4</v>
          </cell>
          <cell r="K26" t="str">
            <v>FCB-PROTOCOL-01</v>
          </cell>
          <cell r="L26" t="str">
            <v>VYD/068</v>
          </cell>
          <cell r="M26" t="str">
            <v>Y</v>
          </cell>
          <cell r="N26" t="str">
            <v>DMS_v4(1K)</v>
          </cell>
          <cell r="O26" t="str">
            <v>Internal R&amp;D</v>
          </cell>
          <cell r="P26" t="str">
            <v>Q1 Passed</v>
          </cell>
          <cell r="Q26" t="str">
            <v>Q1 Passed</v>
          </cell>
          <cell r="R26" t="str">
            <v>Q1.5 Passed</v>
          </cell>
          <cell r="S26" t="str">
            <v>Q1.5 Passed</v>
          </cell>
          <cell r="V26" t="str">
            <v>Tumor content 40-95%</v>
          </cell>
          <cell r="W26" t="str">
            <v>Private Hospital</v>
          </cell>
          <cell r="X26" t="str">
            <v>Vydehi Hospital, Bangalore</v>
          </cell>
          <cell r="Y26" t="str">
            <v>Vydehi Hospital, Bangalore</v>
          </cell>
          <cell r="Z26" t="str">
            <v>Dr Amritha Prabha, Bangalore</v>
          </cell>
          <cell r="AA26" t="str">
            <v>HNSCC</v>
          </cell>
          <cell r="AC26" t="str">
            <v>Buccal Mucosa</v>
          </cell>
          <cell r="AD26" t="str">
            <v>Left Buccal Mucosa</v>
          </cell>
          <cell r="AE26" t="str">
            <v>Male</v>
          </cell>
          <cell r="AF26">
            <v>56</v>
          </cell>
          <cell r="AG26" t="str">
            <v>N</v>
          </cell>
          <cell r="AH26">
            <v>4.5</v>
          </cell>
          <cell r="AI26" t="str">
            <v>Kalappa</v>
          </cell>
          <cell r="AJ26" t="str">
            <v>Surgery</v>
          </cell>
          <cell r="AK26" t="str">
            <v>Primary</v>
          </cell>
          <cell r="AN26" t="str">
            <v>III</v>
          </cell>
          <cell r="AP26" t="str">
            <v>pT3N0</v>
          </cell>
          <cell r="AS26" t="str">
            <v>Sacramatoid Carcinoma</v>
          </cell>
          <cell r="AV26">
            <v>44590</v>
          </cell>
          <cell r="AW26">
            <v>0.55208333333333337</v>
          </cell>
          <cell r="AX26">
            <v>0.61458333333333337</v>
          </cell>
          <cell r="AY26">
            <v>6.25E-2</v>
          </cell>
          <cell r="AZ26">
            <v>7.7083333333333337E-2</v>
          </cell>
          <cell r="BA26">
            <v>0.19513888888888889</v>
          </cell>
          <cell r="BB26" t="str">
            <v>0.6*1.0*1.2
0.3*0.8*1.2</v>
          </cell>
          <cell r="BC26" t="str">
            <v>0.6*1.0*1.2
0.3*0.8*1.2</v>
          </cell>
          <cell r="BD26" t="str">
            <v>Vibratome</v>
          </cell>
          <cell r="BE26">
            <v>15</v>
          </cell>
          <cell r="BF26" t="str">
            <v>Kowshik</v>
          </cell>
          <cell r="BG26" t="str">
            <v>Y</v>
          </cell>
        </row>
        <row r="27">
          <cell r="A27" t="str">
            <v>FBR1N220020-TAT0</v>
          </cell>
          <cell r="B27">
            <v>220020</v>
          </cell>
          <cell r="C27" t="str">
            <v>R&amp;D</v>
          </cell>
          <cell r="D27">
            <v>44590</v>
          </cell>
          <cell r="E27">
            <v>0.41944444444444445</v>
          </cell>
          <cell r="F27">
            <v>44562</v>
          </cell>
          <cell r="G27">
            <v>44590</v>
          </cell>
          <cell r="H27">
            <v>0.53749999999999998</v>
          </cell>
          <cell r="I27">
            <v>0.11805555555555555</v>
          </cell>
          <cell r="J27">
            <v>4</v>
          </cell>
          <cell r="K27" t="str">
            <v>FCB-PROTOCOL-01</v>
          </cell>
          <cell r="L27" t="str">
            <v>VYD/068</v>
          </cell>
          <cell r="M27" t="str">
            <v>Y</v>
          </cell>
          <cell r="N27" t="str">
            <v>Extended TAT_Hemarina</v>
          </cell>
          <cell r="O27" t="str">
            <v>Internal R&amp;D</v>
          </cell>
          <cell r="P27" t="str">
            <v>Q1 Passed</v>
          </cell>
          <cell r="Q27" t="str">
            <v>Q1 Passed</v>
          </cell>
          <cell r="R27" t="str">
            <v>Q1.5 Passed</v>
          </cell>
          <cell r="S27" t="str">
            <v>Q1.5 Passed</v>
          </cell>
          <cell r="V27" t="str">
            <v>Tumor content 60-90%</v>
          </cell>
          <cell r="W27" t="str">
            <v>Private Hospital</v>
          </cell>
          <cell r="X27" t="str">
            <v>Vydehi Hospital, Bangalore</v>
          </cell>
          <cell r="Y27" t="str">
            <v>Vydehi Hospital, Bangalore</v>
          </cell>
          <cell r="Z27" t="str">
            <v>Dr Amritha Prabha, Bangalore</v>
          </cell>
          <cell r="AA27" t="str">
            <v>HNSCC</v>
          </cell>
          <cell r="AC27" t="str">
            <v>Buccal Mucosa</v>
          </cell>
          <cell r="AD27" t="str">
            <v>Left Buccal Mucosa</v>
          </cell>
          <cell r="AE27" t="str">
            <v>Male</v>
          </cell>
          <cell r="AF27">
            <v>56</v>
          </cell>
          <cell r="AG27" t="str">
            <v>N</v>
          </cell>
          <cell r="AH27">
            <v>4.5</v>
          </cell>
          <cell r="AI27" t="str">
            <v>Kalappa</v>
          </cell>
          <cell r="AJ27" t="str">
            <v>Surgery</v>
          </cell>
          <cell r="AK27" t="str">
            <v>Primary</v>
          </cell>
          <cell r="AN27" t="str">
            <v>III</v>
          </cell>
          <cell r="AP27" t="str">
            <v>pT3N0</v>
          </cell>
          <cell r="AS27" t="str">
            <v>Sacramatoid Carcinoma</v>
          </cell>
          <cell r="AV27">
            <v>44590</v>
          </cell>
          <cell r="AW27">
            <v>0.56597222222222221</v>
          </cell>
          <cell r="AX27">
            <v>0.63541666666666663</v>
          </cell>
          <cell r="AY27">
            <v>6.9444444444444448E-2</v>
          </cell>
          <cell r="AZ27">
            <v>9.7916666666666666E-2</v>
          </cell>
          <cell r="BA27">
            <v>0.21597222222222223</v>
          </cell>
          <cell r="BB27" t="str">
            <v>0.3*0.8*1.2</v>
          </cell>
          <cell r="BC27" t="str">
            <v>0.3*0.8*1.2</v>
          </cell>
          <cell r="BD27" t="str">
            <v>Manual</v>
          </cell>
          <cell r="BE27">
            <v>15</v>
          </cell>
          <cell r="BF27" t="str">
            <v>Vasanth</v>
          </cell>
          <cell r="BG27" t="str">
            <v>Y</v>
          </cell>
        </row>
        <row r="28">
          <cell r="A28" t="str">
            <v>FBR1N220020-TAT24</v>
          </cell>
          <cell r="B28">
            <v>220020</v>
          </cell>
          <cell r="C28" t="str">
            <v>R&amp;D</v>
          </cell>
          <cell r="D28">
            <v>44590</v>
          </cell>
          <cell r="E28">
            <v>0.41944444444444445</v>
          </cell>
          <cell r="F28">
            <v>44562</v>
          </cell>
          <cell r="G28">
            <v>44590</v>
          </cell>
          <cell r="H28">
            <v>0.53749999999999998</v>
          </cell>
          <cell r="I28">
            <v>0.11805555555555555</v>
          </cell>
          <cell r="J28">
            <v>4</v>
          </cell>
          <cell r="K28" t="str">
            <v>FCB-PROTOCOL-01</v>
          </cell>
          <cell r="L28" t="str">
            <v>VYD/068</v>
          </cell>
          <cell r="M28" t="str">
            <v>Y</v>
          </cell>
          <cell r="N28" t="str">
            <v>Extended TAT_Hemarina</v>
          </cell>
          <cell r="O28" t="str">
            <v>Internal R&amp;D</v>
          </cell>
          <cell r="P28" t="str">
            <v>Q1 Passed</v>
          </cell>
          <cell r="Q28" t="str">
            <v>Q1 Passed</v>
          </cell>
          <cell r="R28" t="str">
            <v>Q1.5 Passed</v>
          </cell>
          <cell r="S28" t="str">
            <v>Q1.5 Passed</v>
          </cell>
          <cell r="V28" t="str">
            <v>Tumor content 60-90%</v>
          </cell>
          <cell r="W28" t="str">
            <v>Private Hospital</v>
          </cell>
          <cell r="X28" t="str">
            <v>Vydehi Hospital, Bangalore</v>
          </cell>
          <cell r="Y28" t="str">
            <v>Vydehi Hospital, Bangalore</v>
          </cell>
          <cell r="Z28" t="str">
            <v>Dr Amritha Prabha, Bangalore</v>
          </cell>
          <cell r="AA28" t="str">
            <v>HNSCC</v>
          </cell>
          <cell r="AC28" t="str">
            <v>Buccal Mucosa</v>
          </cell>
          <cell r="AD28" t="str">
            <v>Left Buccal Mucosa</v>
          </cell>
          <cell r="AE28" t="str">
            <v>Male</v>
          </cell>
          <cell r="AF28">
            <v>56</v>
          </cell>
          <cell r="AG28" t="str">
            <v>N</v>
          </cell>
          <cell r="AH28">
            <v>4.5</v>
          </cell>
          <cell r="AI28" t="str">
            <v>Kalappa</v>
          </cell>
          <cell r="AJ28" t="str">
            <v>Surgery</v>
          </cell>
          <cell r="AK28" t="str">
            <v>Primary</v>
          </cell>
          <cell r="AN28" t="str">
            <v>III</v>
          </cell>
          <cell r="AP28" t="str">
            <v>pT3N0</v>
          </cell>
          <cell r="AS28" t="str">
            <v>Sacramatoid Carcinoma</v>
          </cell>
          <cell r="AV28">
            <v>44590</v>
          </cell>
          <cell r="AW28">
            <v>0.56597222222222221</v>
          </cell>
          <cell r="AX28">
            <v>0.63541666666666663</v>
          </cell>
          <cell r="AY28">
            <v>6.9444444444444448E-2</v>
          </cell>
          <cell r="AZ28">
            <v>9.7916666666666666E-2</v>
          </cell>
          <cell r="BA28">
            <v>0.21597222222222223</v>
          </cell>
          <cell r="BB28" t="str">
            <v>0.3*0.8*1.2</v>
          </cell>
          <cell r="BC28" t="str">
            <v>0.3*0.8*1.2</v>
          </cell>
          <cell r="BD28" t="str">
            <v>Manual</v>
          </cell>
          <cell r="BE28">
            <v>15</v>
          </cell>
          <cell r="BF28" t="str">
            <v>Vasanth</v>
          </cell>
          <cell r="BG28" t="str">
            <v>Y</v>
          </cell>
        </row>
        <row r="29">
          <cell r="A29" t="str">
            <v>FBR1Q220021</v>
          </cell>
          <cell r="B29">
            <v>220021</v>
          </cell>
          <cell r="C29" t="str">
            <v>R&amp;D</v>
          </cell>
          <cell r="D29">
            <v>44593</v>
          </cell>
          <cell r="E29">
            <v>0.43263888888888891</v>
          </cell>
          <cell r="F29">
            <v>44593</v>
          </cell>
          <cell r="G29">
            <v>44593</v>
          </cell>
          <cell r="H29">
            <v>0.51041666666666663</v>
          </cell>
          <cell r="I29">
            <v>7.7777777777777779E-2</v>
          </cell>
          <cell r="J29">
            <v>4</v>
          </cell>
          <cell r="K29" t="str">
            <v>FCB-PROTOCOL-01</v>
          </cell>
          <cell r="L29" t="str">
            <v>VYD/069</v>
          </cell>
          <cell r="M29" t="str">
            <v>Y</v>
          </cell>
          <cell r="N29" t="str">
            <v>COSV4.1-CaBR</v>
          </cell>
          <cell r="O29" t="str">
            <v>Internal R&amp;D</v>
          </cell>
          <cell r="P29" t="str">
            <v>Q1 Passed</v>
          </cell>
          <cell r="Q29" t="str">
            <v>Q1 Passed</v>
          </cell>
          <cell r="R29" t="str">
            <v>Q1.5 Passed</v>
          </cell>
          <cell r="S29" t="str">
            <v>Q1.5 Passed</v>
          </cell>
          <cell r="V29" t="str">
            <v>Scattered tumor cells(2% tumor) in only 1/7 explants. Others no tumor</v>
          </cell>
          <cell r="W29" t="str">
            <v>Private Hospital</v>
          </cell>
          <cell r="X29" t="str">
            <v>Vydehi Hospital, Bangalore</v>
          </cell>
          <cell r="Y29" t="str">
            <v>Vydehi Hospital, Bangalore</v>
          </cell>
          <cell r="Z29" t="str">
            <v>Dr Amritha Prabha, Bangalore</v>
          </cell>
          <cell r="AA29" t="str">
            <v>Ca Breast</v>
          </cell>
          <cell r="AC29" t="str">
            <v>Breast</v>
          </cell>
          <cell r="AD29" t="str">
            <v>Right Breast</v>
          </cell>
          <cell r="AE29" t="str">
            <v>Female</v>
          </cell>
          <cell r="AF29">
            <v>43</v>
          </cell>
          <cell r="AG29" t="str">
            <v>N</v>
          </cell>
          <cell r="AH29">
            <v>4.5</v>
          </cell>
          <cell r="AI29" t="str">
            <v>Kalappa</v>
          </cell>
          <cell r="AJ29" t="str">
            <v>Surgery</v>
          </cell>
          <cell r="AK29" t="str">
            <v>Primary</v>
          </cell>
          <cell r="AL29" t="str">
            <v>Chemotherapy</v>
          </cell>
          <cell r="AN29" t="str">
            <v>IIB</v>
          </cell>
          <cell r="AO29">
            <v>3</v>
          </cell>
          <cell r="AP29" t="str">
            <v>pT2N1a</v>
          </cell>
          <cell r="AQ29" t="str">
            <v>8 cycles</v>
          </cell>
          <cell r="AR29" t="str">
            <v>4AC+ 4Paclitaxel</v>
          </cell>
          <cell r="AS29" t="str">
            <v>ER-, PR-, HER2+; Invasive Ductal Cell Carcinoma</v>
          </cell>
          <cell r="AT29" t="str">
            <v>Radiotherapy</v>
          </cell>
          <cell r="AV29">
            <v>44593</v>
          </cell>
          <cell r="AW29">
            <v>0.58333333333333337</v>
          </cell>
          <cell r="AX29">
            <v>0.64583333333333337</v>
          </cell>
          <cell r="AY29">
            <v>6.25E-2</v>
          </cell>
          <cell r="AZ29">
            <v>0.13541666666666666</v>
          </cell>
          <cell r="BA29">
            <v>0.21319444444444444</v>
          </cell>
          <cell r="BB29" t="str">
            <v>0.8*2.2*2.6</v>
          </cell>
          <cell r="BC29" t="str">
            <v>0.6*1.0*2.4
0.6*1.2*1.8</v>
          </cell>
          <cell r="BD29" t="str">
            <v>Manual</v>
          </cell>
          <cell r="BE29">
            <v>15</v>
          </cell>
          <cell r="BF29" t="str">
            <v>Mani</v>
          </cell>
          <cell r="BG29" t="str">
            <v>Y</v>
          </cell>
        </row>
        <row r="30">
          <cell r="A30" t="str">
            <v>FBR1N220022-TAT0</v>
          </cell>
          <cell r="B30">
            <v>220022</v>
          </cell>
          <cell r="C30" t="str">
            <v>R&amp;D</v>
          </cell>
          <cell r="D30">
            <v>44594</v>
          </cell>
          <cell r="E30">
            <v>0.43888888888888888</v>
          </cell>
          <cell r="F30">
            <v>44593</v>
          </cell>
          <cell r="G30">
            <v>44594</v>
          </cell>
          <cell r="H30">
            <v>0.51736111111111116</v>
          </cell>
          <cell r="I30">
            <v>7.8472222222222221E-2</v>
          </cell>
          <cell r="J30">
            <v>4</v>
          </cell>
          <cell r="K30" t="str">
            <v>FCB-PROTOCOL-01</v>
          </cell>
          <cell r="L30" t="str">
            <v>VYD/070</v>
          </cell>
          <cell r="M30" t="str">
            <v>Y</v>
          </cell>
          <cell r="N30" t="str">
            <v>Extended TAT_Hemarina</v>
          </cell>
          <cell r="O30" t="str">
            <v>Internal R&amp;D</v>
          </cell>
          <cell r="P30" t="str">
            <v>Q1 Passed</v>
          </cell>
          <cell r="Q30" t="str">
            <v>Q1 Passed</v>
          </cell>
          <cell r="R30" t="str">
            <v>Q1.5 Passed</v>
          </cell>
          <cell r="S30" t="str">
            <v>Q1.5 Passed</v>
          </cell>
          <cell r="V30" t="str">
            <v>Tumor content 20-70%</v>
          </cell>
          <cell r="W30" t="str">
            <v>Private Hospital</v>
          </cell>
          <cell r="X30" t="str">
            <v>Vydehi Hospital, Bangalore</v>
          </cell>
          <cell r="Y30" t="str">
            <v>Vydehi Hospital, Bangalore</v>
          </cell>
          <cell r="Z30" t="str">
            <v>Dr Amritha Prabha, Bangalore</v>
          </cell>
          <cell r="AA30" t="str">
            <v>HNSCC</v>
          </cell>
          <cell r="AC30" t="str">
            <v>Buccal Mucosa</v>
          </cell>
          <cell r="AD30" t="str">
            <v>Left Buccal Mucosa</v>
          </cell>
          <cell r="AE30" t="str">
            <v>Female</v>
          </cell>
          <cell r="AF30">
            <v>54</v>
          </cell>
          <cell r="AG30" t="str">
            <v>N</v>
          </cell>
          <cell r="AH30">
            <v>5.6</v>
          </cell>
          <cell r="AI30" t="str">
            <v>Partha</v>
          </cell>
          <cell r="AJ30" t="str">
            <v>Surgery</v>
          </cell>
          <cell r="AK30" t="str">
            <v>Primary</v>
          </cell>
          <cell r="AL30" t="str">
            <v>Radiotherapy</v>
          </cell>
          <cell r="AN30" t="str">
            <v>IVA</v>
          </cell>
          <cell r="AO30">
            <v>2</v>
          </cell>
          <cell r="AP30" t="str">
            <v>pT3N3b</v>
          </cell>
          <cell r="AS30" t="str">
            <v>Squamous Cell Carcinoma</v>
          </cell>
          <cell r="AT30" t="str">
            <v>Chemo+Radiotherapy</v>
          </cell>
          <cell r="AU30" t="str">
            <v>Cisplatin</v>
          </cell>
          <cell r="AV30">
            <v>44594</v>
          </cell>
          <cell r="AW30">
            <v>0.5625</v>
          </cell>
          <cell r="AX30">
            <v>0.625</v>
          </cell>
          <cell r="AY30">
            <v>6.25E-2</v>
          </cell>
          <cell r="AZ30">
            <v>0.1076388888888889</v>
          </cell>
          <cell r="BA30">
            <v>0.18611111111111112</v>
          </cell>
          <cell r="BB30" t="str">
            <v>0.8*1.6*1.6</v>
          </cell>
          <cell r="BC30" t="str">
            <v>0.8*1.6*1.6</v>
          </cell>
          <cell r="BD30" t="str">
            <v>Vibratome</v>
          </cell>
          <cell r="BE30">
            <v>4</v>
          </cell>
          <cell r="BF30" t="str">
            <v>Kowshik</v>
          </cell>
          <cell r="BG30" t="str">
            <v>Y</v>
          </cell>
        </row>
        <row r="31">
          <cell r="A31" t="str">
            <v>FBR1K220023</v>
          </cell>
          <cell r="B31">
            <v>220023</v>
          </cell>
          <cell r="C31" t="str">
            <v>R&amp;D</v>
          </cell>
          <cell r="D31">
            <v>44594</v>
          </cell>
          <cell r="E31">
            <v>0.64583333333333337</v>
          </cell>
          <cell r="F31">
            <v>44593</v>
          </cell>
          <cell r="G31">
            <v>44595</v>
          </cell>
          <cell r="H31">
            <v>6.9444444444444441E-3</v>
          </cell>
          <cell r="I31">
            <v>0.3611111111111111</v>
          </cell>
          <cell r="J31">
            <v>2</v>
          </cell>
          <cell r="K31" t="str">
            <v>FCB-PROTOCOL-01</v>
          </cell>
          <cell r="L31" t="str">
            <v>CLN/DBR/060</v>
          </cell>
          <cell r="M31" t="str">
            <v>Y</v>
          </cell>
          <cell r="N31" t="str">
            <v>DMS_v4(1K)</v>
          </cell>
          <cell r="O31" t="str">
            <v>Internal R&amp;D</v>
          </cell>
          <cell r="P31" t="str">
            <v>Q1 Passed</v>
          </cell>
          <cell r="Q31" t="str">
            <v>Q1 Passed</v>
          </cell>
          <cell r="R31" t="str">
            <v>Q1.5 Passed</v>
          </cell>
          <cell r="S31" t="str">
            <v>Q1.5 Passed</v>
          </cell>
          <cell r="V31" t="str">
            <v>High tumor content: 70-90%, High immune infiltration</v>
          </cell>
          <cell r="W31" t="str">
            <v>Clinic'les</v>
          </cell>
          <cell r="X31" t="str">
            <v>Clinic'les- DBR &amp; SK Hospital, Tirupati</v>
          </cell>
          <cell r="Y31" t="str">
            <v>DBR &amp; SK Hospital, Tirupati</v>
          </cell>
          <cell r="Z31" t="str">
            <v>Dr C Jayaprakash, Tirupati</v>
          </cell>
          <cell r="AA31" t="str">
            <v>HNSCC</v>
          </cell>
          <cell r="AC31" t="str">
            <v>Buccal Mucosa</v>
          </cell>
          <cell r="AD31" t="str">
            <v>Buccal Mucosa</v>
          </cell>
          <cell r="AE31" t="str">
            <v>Female</v>
          </cell>
          <cell r="AF31">
            <v>76</v>
          </cell>
          <cell r="AG31" t="str">
            <v>N</v>
          </cell>
          <cell r="AH31">
            <v>4.5999999999999996</v>
          </cell>
          <cell r="AI31" t="str">
            <v>Kalappa</v>
          </cell>
          <cell r="AJ31" t="str">
            <v>Surgery</v>
          </cell>
          <cell r="AK31" t="str">
            <v>Primary</v>
          </cell>
          <cell r="AN31" t="str">
            <v>III</v>
          </cell>
          <cell r="AP31" t="str">
            <v>pT3N0MX</v>
          </cell>
          <cell r="AS31" t="str">
            <v>Squamous Cell Carcinoma</v>
          </cell>
          <cell r="AV31">
            <v>44595</v>
          </cell>
          <cell r="AW31">
            <v>0.27430555555555558</v>
          </cell>
          <cell r="AX31">
            <v>0.32291666666666669</v>
          </cell>
          <cell r="AY31">
            <v>4.8611111111111112E-2</v>
          </cell>
          <cell r="AZ31">
            <v>0.31597222222222221</v>
          </cell>
          <cell r="BA31">
            <v>0.67708333333333337</v>
          </cell>
          <cell r="BB31" t="str">
            <v>0.55*1.6*2.2</v>
          </cell>
          <cell r="BC31" t="str">
            <v>0.55*1.6*2.2</v>
          </cell>
          <cell r="BD31" t="str">
            <v>Vibratome</v>
          </cell>
          <cell r="BE31">
            <v>4</v>
          </cell>
          <cell r="BF31" t="str">
            <v>Kowshik</v>
          </cell>
          <cell r="BG31" t="str">
            <v>Y</v>
          </cell>
        </row>
        <row r="32">
          <cell r="A32" t="str">
            <v>FBR1K220024</v>
          </cell>
          <cell r="B32">
            <v>220024</v>
          </cell>
          <cell r="C32" t="str">
            <v>R&amp;D</v>
          </cell>
          <cell r="D32">
            <v>44595</v>
          </cell>
          <cell r="E32">
            <v>0.70763888888888893</v>
          </cell>
          <cell r="F32">
            <v>44593</v>
          </cell>
          <cell r="G32">
            <v>44596</v>
          </cell>
          <cell r="H32">
            <v>0</v>
          </cell>
          <cell r="I32">
            <v>0.29236111111111113</v>
          </cell>
          <cell r="J32">
            <v>2</v>
          </cell>
          <cell r="K32" t="str">
            <v>FCB-PROTOCOL-01</v>
          </cell>
          <cell r="L32" t="str">
            <v>CLN/DBR/061</v>
          </cell>
          <cell r="M32" t="str">
            <v>Y</v>
          </cell>
          <cell r="N32" t="str">
            <v>DMS_v4(1K)</v>
          </cell>
          <cell r="O32" t="str">
            <v>Internal R&amp;D</v>
          </cell>
          <cell r="P32" t="str">
            <v>Q1 Passed</v>
          </cell>
          <cell r="Q32" t="str">
            <v>Q1 Passed</v>
          </cell>
          <cell r="R32" t="str">
            <v>Q1.5 Passed</v>
          </cell>
          <cell r="S32" t="str">
            <v>Q1.5 Passed</v>
          </cell>
          <cell r="V32" t="str">
            <v>15% tumor in 1/7 explants. Others with no tumor/ necrosis. ? Bacterial contamination</v>
          </cell>
          <cell r="W32" t="str">
            <v>Clinic'les</v>
          </cell>
          <cell r="X32" t="str">
            <v>Clinic'les- DBR &amp; SK Hospital, Tirupati</v>
          </cell>
          <cell r="Y32" t="str">
            <v>DBR &amp; SK Hospital, Tirupati</v>
          </cell>
          <cell r="Z32" t="str">
            <v>Dr C Jayaprakash, Tirupati</v>
          </cell>
          <cell r="AA32" t="str">
            <v>HNSCC</v>
          </cell>
          <cell r="AC32" t="str">
            <v>Buccal Mucosa</v>
          </cell>
          <cell r="AD32" t="str">
            <v>Buccal Mucosa</v>
          </cell>
          <cell r="AE32" t="str">
            <v>Female</v>
          </cell>
          <cell r="AF32">
            <v>40</v>
          </cell>
          <cell r="AG32" t="str">
            <v>N</v>
          </cell>
          <cell r="AH32">
            <v>4.5999999999999996</v>
          </cell>
          <cell r="AI32" t="str">
            <v>Partha</v>
          </cell>
          <cell r="AJ32" t="str">
            <v>Surgery</v>
          </cell>
          <cell r="AK32" t="str">
            <v>Primary</v>
          </cell>
          <cell r="AS32" t="str">
            <v>Squamous Cell Carcinoma</v>
          </cell>
          <cell r="AV32">
            <v>44596</v>
          </cell>
          <cell r="AW32">
            <v>0.33333333333333331</v>
          </cell>
          <cell r="AX32">
            <v>0.42708333333333331</v>
          </cell>
          <cell r="AY32">
            <v>9.375E-2</v>
          </cell>
          <cell r="AZ32">
            <v>0.42708333333333331</v>
          </cell>
          <cell r="BA32">
            <v>0.71944444444444444</v>
          </cell>
          <cell r="BB32" t="str">
            <v>0.8*1.4*1.8</v>
          </cell>
          <cell r="BC32" t="str">
            <v>0.8*1.4*1.8</v>
          </cell>
          <cell r="BD32" t="str">
            <v>Vibratome</v>
          </cell>
          <cell r="BE32">
            <v>4</v>
          </cell>
          <cell r="BF32" t="str">
            <v>Vasanth</v>
          </cell>
          <cell r="BG32" t="str">
            <v>Y</v>
          </cell>
        </row>
        <row r="33">
          <cell r="A33" t="str">
            <v>FBR1K220025</v>
          </cell>
          <cell r="B33">
            <v>220025</v>
          </cell>
          <cell r="C33" t="str">
            <v>R&amp;D</v>
          </cell>
          <cell r="D33">
            <v>44596</v>
          </cell>
          <cell r="E33">
            <v>0.63888888888888884</v>
          </cell>
          <cell r="F33">
            <v>44593</v>
          </cell>
          <cell r="G33">
            <v>44596</v>
          </cell>
          <cell r="H33">
            <v>0.94027777777777777</v>
          </cell>
          <cell r="I33">
            <v>0.30138888888888887</v>
          </cell>
          <cell r="J33">
            <v>2</v>
          </cell>
          <cell r="K33" t="str">
            <v>FCB-PROTOCOL-01</v>
          </cell>
          <cell r="L33" t="str">
            <v>CLN/DBR/062</v>
          </cell>
          <cell r="M33" t="str">
            <v>Y</v>
          </cell>
          <cell r="N33" t="str">
            <v>DMS_v4(1K)</v>
          </cell>
          <cell r="O33" t="str">
            <v>Internal R&amp;D</v>
          </cell>
          <cell r="P33" t="str">
            <v>Q1 Passed</v>
          </cell>
          <cell r="Q33" t="str">
            <v>Q1 Passed</v>
          </cell>
          <cell r="R33" t="str">
            <v>Q1.5 Passed</v>
          </cell>
          <cell r="S33" t="str">
            <v>Q1.5 Passed</v>
          </cell>
          <cell r="V33" t="str">
            <v>Tumor content 15-90%. Immune component high, necrosis in some explants</v>
          </cell>
          <cell r="W33" t="str">
            <v>Clinic'les</v>
          </cell>
          <cell r="X33" t="str">
            <v>Clinic'les- DBR &amp; SK Hospital, Tirupati</v>
          </cell>
          <cell r="Y33" t="str">
            <v>DBR &amp; SK Hospital, Tirupati</v>
          </cell>
          <cell r="Z33" t="str">
            <v>Dr C Jayaprakash, Tirupati</v>
          </cell>
          <cell r="AA33" t="str">
            <v>HNSCC</v>
          </cell>
          <cell r="AC33" t="str">
            <v>Buccal Mucosa</v>
          </cell>
          <cell r="AD33" t="str">
            <v>Buccal Mucosa</v>
          </cell>
          <cell r="AE33" t="str">
            <v>Male</v>
          </cell>
          <cell r="AF33">
            <v>53</v>
          </cell>
          <cell r="AG33" t="str">
            <v>N</v>
          </cell>
          <cell r="AH33">
            <v>5.2</v>
          </cell>
          <cell r="AI33" t="str">
            <v>Kalappa</v>
          </cell>
          <cell r="AJ33" t="str">
            <v>Surgery</v>
          </cell>
          <cell r="AK33" t="str">
            <v>Primary</v>
          </cell>
          <cell r="AN33" t="str">
            <v>III</v>
          </cell>
          <cell r="AP33" t="str">
            <v>pT3N1MX</v>
          </cell>
          <cell r="AS33" t="str">
            <v>Squamous Cell Carcinoma</v>
          </cell>
          <cell r="AV33">
            <v>44597</v>
          </cell>
          <cell r="AW33">
            <v>0.24861111111111112</v>
          </cell>
          <cell r="AX33">
            <v>0.30416666666666664</v>
          </cell>
          <cell r="AY33">
            <v>5.5555555555555552E-2</v>
          </cell>
          <cell r="AZ33">
            <v>0.36388888888888887</v>
          </cell>
          <cell r="BA33">
            <v>0.66527777777777775</v>
          </cell>
          <cell r="BB33" t="str">
            <v>0.6*2.0*1.8
0.3*1.6*1.2</v>
          </cell>
          <cell r="BC33" t="str">
            <v>0.6*2.0*1.8
0.3*1.6*1.2</v>
          </cell>
          <cell r="BD33" t="str">
            <v>Vibratome</v>
          </cell>
          <cell r="BE33">
            <v>4</v>
          </cell>
          <cell r="BF33" t="str">
            <v>Gowri</v>
          </cell>
          <cell r="BG33" t="str">
            <v>Y</v>
          </cell>
        </row>
        <row r="34">
          <cell r="A34" t="str">
            <v>FBR1K220026</v>
          </cell>
          <cell r="B34">
            <v>220026</v>
          </cell>
          <cell r="C34" t="str">
            <v>R&amp;D</v>
          </cell>
          <cell r="D34">
            <v>44597</v>
          </cell>
          <cell r="E34">
            <v>0.96180555555555558</v>
          </cell>
          <cell r="F34">
            <v>44593</v>
          </cell>
          <cell r="G34">
            <v>44598</v>
          </cell>
          <cell r="H34">
            <v>6.9444444444444441E-3</v>
          </cell>
          <cell r="I34">
            <v>4.5138888888888888E-2</v>
          </cell>
          <cell r="J34">
            <v>5</v>
          </cell>
          <cell r="K34" t="str">
            <v>FCB-PROTOCOL-01</v>
          </cell>
          <cell r="L34" t="str">
            <v>CLN/PRA/149</v>
          </cell>
          <cell r="M34" t="str">
            <v>Y</v>
          </cell>
          <cell r="N34" t="str">
            <v>DMS_v4(1K)</v>
          </cell>
          <cell r="O34" t="str">
            <v>Internal R&amp;D</v>
          </cell>
          <cell r="P34" t="str">
            <v>Q1 Passed</v>
          </cell>
          <cell r="Q34" t="str">
            <v>Q1 Passed</v>
          </cell>
          <cell r="R34" t="str">
            <v>Q1.5 Passed</v>
          </cell>
          <cell r="S34" t="str">
            <v>Q1.5 Passed</v>
          </cell>
          <cell r="V34" t="str">
            <v>Tumor content 40-90%.</v>
          </cell>
          <cell r="W34" t="str">
            <v>Consultant</v>
          </cell>
          <cell r="X34" t="str">
            <v>Dr Prakash BV, Bangalore</v>
          </cell>
          <cell r="Y34" t="str">
            <v>Sri Lakshmi Hospital, Bangalore</v>
          </cell>
          <cell r="Z34" t="str">
            <v>Dr Prakash BV, Bangalore</v>
          </cell>
          <cell r="AA34" t="str">
            <v>HNSCC</v>
          </cell>
          <cell r="AC34" t="str">
            <v>GBS</v>
          </cell>
          <cell r="AD34" t="str">
            <v>Left Lower GBS</v>
          </cell>
          <cell r="AE34" t="str">
            <v>Male</v>
          </cell>
          <cell r="AF34">
            <v>52</v>
          </cell>
          <cell r="AG34" t="str">
            <v>N</v>
          </cell>
          <cell r="AH34">
            <v>5.5</v>
          </cell>
          <cell r="AI34" t="str">
            <v>Sashi</v>
          </cell>
          <cell r="AJ34" t="str">
            <v>Surgery</v>
          </cell>
          <cell r="AK34" t="str">
            <v>Primary</v>
          </cell>
          <cell r="AN34" t="str">
            <v>III</v>
          </cell>
          <cell r="AO34">
            <v>2</v>
          </cell>
          <cell r="AP34" t="str">
            <v>pT2N1</v>
          </cell>
          <cell r="AS34" t="str">
            <v>Squamous Cell Carcinoma</v>
          </cell>
          <cell r="AV34">
            <v>44598</v>
          </cell>
          <cell r="AX34">
            <v>0.5625</v>
          </cell>
          <cell r="AY34">
            <v>0.5625</v>
          </cell>
          <cell r="AZ34">
            <v>0.55555555555555558</v>
          </cell>
          <cell r="BA34">
            <v>0.60069444444444442</v>
          </cell>
          <cell r="BB34" t="str">
            <v>0.8*1.2*2.2
0.95*1.2*2.4</v>
          </cell>
          <cell r="BC34" t="str">
            <v>0.8*1.2*2.2
0.95*1.2*2.4</v>
          </cell>
          <cell r="BD34" t="str">
            <v>Vibratome</v>
          </cell>
          <cell r="BE34">
            <v>4</v>
          </cell>
          <cell r="BF34" t="str">
            <v>Mani</v>
          </cell>
          <cell r="BG34" t="str">
            <v>Y</v>
          </cell>
        </row>
        <row r="35">
          <cell r="A35" t="str">
            <v>FBR1N220027-TAT16</v>
          </cell>
          <cell r="B35">
            <v>220027</v>
          </cell>
          <cell r="C35" t="str">
            <v>R&amp;D</v>
          </cell>
          <cell r="D35">
            <v>44599</v>
          </cell>
          <cell r="E35">
            <v>0.95763888888888893</v>
          </cell>
          <cell r="F35">
            <v>44593</v>
          </cell>
          <cell r="G35">
            <v>44600</v>
          </cell>
          <cell r="H35">
            <v>6.2500000000000003E-3</v>
          </cell>
          <cell r="I35">
            <v>4.8611111111111112E-2</v>
          </cell>
          <cell r="J35">
            <v>2</v>
          </cell>
          <cell r="K35" t="str">
            <v>FCB-PROTOCOL-01</v>
          </cell>
          <cell r="L35" t="str">
            <v>CLN/PRA/150</v>
          </cell>
          <cell r="M35" t="str">
            <v>Y</v>
          </cell>
          <cell r="N35" t="str">
            <v>Extended TAT_Hemarina</v>
          </cell>
          <cell r="O35" t="str">
            <v>Internal R&amp;D</v>
          </cell>
          <cell r="P35" t="str">
            <v>Q1 Passed</v>
          </cell>
          <cell r="Q35" t="str">
            <v>Q1 Passed</v>
          </cell>
          <cell r="R35" t="str">
            <v>Q1.5 Passed</v>
          </cell>
          <cell r="S35" t="str">
            <v>Q1.5 Passed</v>
          </cell>
          <cell r="V35" t="str">
            <v>Tumor content 50-90%</v>
          </cell>
          <cell r="W35" t="str">
            <v>Consultant</v>
          </cell>
          <cell r="X35" t="str">
            <v>Dr Prakash BV, Bangalore</v>
          </cell>
          <cell r="Y35" t="str">
            <v>Sri Lakshmi Hospital, Bangalore</v>
          </cell>
          <cell r="Z35" t="str">
            <v>Dr Prakash BV, Bangalore</v>
          </cell>
          <cell r="AA35" t="str">
            <v>HNSCC</v>
          </cell>
          <cell r="AC35" t="str">
            <v>Buccal Mucosa</v>
          </cell>
          <cell r="AD35" t="str">
            <v>Right Buccal Mucosa</v>
          </cell>
          <cell r="AE35" t="str">
            <v>Female</v>
          </cell>
          <cell r="AF35">
            <v>60</v>
          </cell>
          <cell r="AG35" t="str">
            <v>N</v>
          </cell>
          <cell r="AH35">
            <v>5.6</v>
          </cell>
          <cell r="AI35" t="str">
            <v>Kalappa</v>
          </cell>
          <cell r="AJ35" t="str">
            <v>Surgery</v>
          </cell>
          <cell r="AK35" t="str">
            <v>Primary</v>
          </cell>
          <cell r="AS35" t="str">
            <v>Squamous Cell Carcinoma</v>
          </cell>
          <cell r="AV35">
            <v>44600</v>
          </cell>
          <cell r="AW35">
            <v>0.8125</v>
          </cell>
          <cell r="AX35">
            <v>4.8611111111111112E-2</v>
          </cell>
          <cell r="AY35">
            <v>0.2361111111111111</v>
          </cell>
          <cell r="AZ35">
            <v>4.2361111111111113E-2</v>
          </cell>
          <cell r="BA35">
            <v>9.0972222222222218E-2</v>
          </cell>
          <cell r="BB35" t="str">
            <v>0.8*2.2*2.4</v>
          </cell>
          <cell r="BC35" t="str">
            <v>0.8*2.2*2.4</v>
          </cell>
          <cell r="BD35" t="str">
            <v>Manual</v>
          </cell>
          <cell r="BE35">
            <v>4</v>
          </cell>
          <cell r="BF35" t="str">
            <v>Kowshik</v>
          </cell>
          <cell r="BG35" t="str">
            <v>Y</v>
          </cell>
        </row>
        <row r="36">
          <cell r="A36" t="str">
            <v>FBR1N220027-TAT24</v>
          </cell>
          <cell r="B36">
            <v>220027</v>
          </cell>
          <cell r="C36" t="str">
            <v>R&amp;D</v>
          </cell>
          <cell r="D36">
            <v>44599</v>
          </cell>
          <cell r="E36">
            <v>0.95763888888888893</v>
          </cell>
          <cell r="F36">
            <v>44593</v>
          </cell>
          <cell r="G36">
            <v>44600</v>
          </cell>
          <cell r="H36">
            <v>6.2500000000000003E-3</v>
          </cell>
          <cell r="I36">
            <v>4.8611111111111112E-2</v>
          </cell>
          <cell r="J36">
            <v>2</v>
          </cell>
          <cell r="K36" t="str">
            <v>FCB-PROTOCOL-01</v>
          </cell>
          <cell r="L36" t="str">
            <v>CLN/PRA/150</v>
          </cell>
          <cell r="M36" t="str">
            <v>Y</v>
          </cell>
          <cell r="N36" t="str">
            <v>Extended TAT_Hemarina</v>
          </cell>
          <cell r="O36" t="str">
            <v>Internal R&amp;D</v>
          </cell>
          <cell r="P36" t="str">
            <v>Q1 Passed</v>
          </cell>
          <cell r="Q36" t="str">
            <v>Q1 Passed</v>
          </cell>
          <cell r="R36" t="str">
            <v>Q1.5 Passed</v>
          </cell>
          <cell r="S36" t="str">
            <v>Q1.5 Passed</v>
          </cell>
          <cell r="V36" t="str">
            <v>Tumor content 50-90%</v>
          </cell>
          <cell r="W36" t="str">
            <v>Consultant</v>
          </cell>
          <cell r="X36" t="str">
            <v>Dr Prakash BV, Bangalore</v>
          </cell>
          <cell r="Y36" t="str">
            <v>Sri Lakshmi Hospital, Bangalore</v>
          </cell>
          <cell r="Z36" t="str">
            <v>Dr Prakash BV, Bangalore</v>
          </cell>
          <cell r="AA36" t="str">
            <v>HNSCC</v>
          </cell>
          <cell r="AC36" t="str">
            <v>Buccal Mucosa</v>
          </cell>
          <cell r="AD36" t="str">
            <v>Right Buccal Mucosa</v>
          </cell>
          <cell r="AE36" t="str">
            <v>Female</v>
          </cell>
          <cell r="AF36">
            <v>60</v>
          </cell>
          <cell r="AG36" t="str">
            <v>N</v>
          </cell>
          <cell r="AH36">
            <v>5.6</v>
          </cell>
          <cell r="AI36" t="str">
            <v>Kalappa</v>
          </cell>
          <cell r="AJ36" t="str">
            <v>Surgery</v>
          </cell>
          <cell r="AK36" t="str">
            <v>Primary</v>
          </cell>
          <cell r="AS36" t="str">
            <v>Squamous Cell Carcinoma</v>
          </cell>
          <cell r="AV36">
            <v>44600</v>
          </cell>
          <cell r="AW36">
            <v>0.8125</v>
          </cell>
          <cell r="AX36">
            <v>4.8611111111111112E-2</v>
          </cell>
          <cell r="AY36">
            <v>0.2361111111111111</v>
          </cell>
          <cell r="AZ36">
            <v>4.2361111111111113E-2</v>
          </cell>
          <cell r="BA36">
            <v>9.0972222222222218E-2</v>
          </cell>
          <cell r="BB36" t="str">
            <v>0.8*2.2*2.4</v>
          </cell>
          <cell r="BC36" t="str">
            <v>0.8*2.2*2.4</v>
          </cell>
          <cell r="BD36" t="str">
            <v>Manual</v>
          </cell>
          <cell r="BE36">
            <v>4</v>
          </cell>
          <cell r="BF36" t="str">
            <v>Kowshik</v>
          </cell>
          <cell r="BG36" t="str">
            <v>Y</v>
          </cell>
        </row>
        <row r="37">
          <cell r="A37" t="str">
            <v>FBR1K220028</v>
          </cell>
          <cell r="B37">
            <v>220028</v>
          </cell>
          <cell r="C37" t="str">
            <v>R&amp;D</v>
          </cell>
          <cell r="D37">
            <v>44600</v>
          </cell>
          <cell r="E37">
            <v>0.39444444444444443</v>
          </cell>
          <cell r="F37">
            <v>44593</v>
          </cell>
          <cell r="G37">
            <v>44600</v>
          </cell>
          <cell r="H37">
            <v>0.4548611111111111</v>
          </cell>
          <cell r="I37">
            <v>6.0416666666666667E-2</v>
          </cell>
          <cell r="J37">
            <v>3</v>
          </cell>
          <cell r="K37" t="str">
            <v>FCB-PROTOCOL-01</v>
          </cell>
          <cell r="L37" t="str">
            <v>CLN/PRA/151</v>
          </cell>
          <cell r="M37" t="str">
            <v>Y</v>
          </cell>
          <cell r="N37" t="str">
            <v>DMS_v4(1K)</v>
          </cell>
          <cell r="O37" t="str">
            <v>Internal R&amp;D</v>
          </cell>
          <cell r="P37" t="str">
            <v>Q1 Passed</v>
          </cell>
          <cell r="Q37" t="str">
            <v>Q1 Passed</v>
          </cell>
          <cell r="R37" t="str">
            <v>Q1.5 Passed</v>
          </cell>
          <cell r="S37" t="str">
            <v>Q1.5 Passed</v>
          </cell>
          <cell r="V37" t="str">
            <v>Tumor content 3-85%</v>
          </cell>
          <cell r="W37" t="str">
            <v>Consultant</v>
          </cell>
          <cell r="X37" t="str">
            <v>Dr Prakash BV, Bangalore</v>
          </cell>
          <cell r="Y37" t="str">
            <v>Sri Lakshmi Hospital, Bangalore</v>
          </cell>
          <cell r="Z37" t="str">
            <v>Dr Prakash BV, Bangalore</v>
          </cell>
          <cell r="AA37" t="str">
            <v>HNSCC</v>
          </cell>
          <cell r="AC37" t="str">
            <v>Tongue</v>
          </cell>
          <cell r="AD37" t="str">
            <v>Right Lateral Tongue</v>
          </cell>
          <cell r="AE37" t="str">
            <v>Male</v>
          </cell>
          <cell r="AF37">
            <v>56</v>
          </cell>
          <cell r="AG37" t="str">
            <v>N</v>
          </cell>
          <cell r="AH37">
            <v>5.4</v>
          </cell>
          <cell r="AI37" t="str">
            <v>Partha</v>
          </cell>
          <cell r="AJ37" t="str">
            <v>Surgery</v>
          </cell>
          <cell r="AK37" t="str">
            <v>Primary</v>
          </cell>
          <cell r="AL37" t="str">
            <v>Radiotherapy / Chemotherapy</v>
          </cell>
          <cell r="AQ37" t="str">
            <v>5 cycles</v>
          </cell>
          <cell r="AR37" t="str">
            <v>Cisplatin</v>
          </cell>
          <cell r="AS37" t="str">
            <v>Squamous Cell Carcinoma</v>
          </cell>
          <cell r="AV37">
            <v>44600</v>
          </cell>
          <cell r="AW37">
            <v>0.5</v>
          </cell>
          <cell r="AX37">
            <v>0.5625</v>
          </cell>
          <cell r="AY37">
            <v>6.25E-2</v>
          </cell>
          <cell r="AZ37">
            <v>0.1076388888888889</v>
          </cell>
          <cell r="BA37">
            <v>0.16805555555555557</v>
          </cell>
          <cell r="BB37" t="str">
            <v>1.0*1.8*1.4</v>
          </cell>
          <cell r="BC37" t="str">
            <v>1.0*1.8*1.4</v>
          </cell>
          <cell r="BD37" t="str">
            <v>Manual</v>
          </cell>
          <cell r="BE37">
            <v>4</v>
          </cell>
          <cell r="BF37" t="str">
            <v>Vasanth</v>
          </cell>
        </row>
        <row r="38">
          <cell r="A38" t="str">
            <v>FBR1K220029</v>
          </cell>
          <cell r="B38">
            <v>220029</v>
          </cell>
          <cell r="C38" t="str">
            <v>R&amp;D</v>
          </cell>
          <cell r="D38">
            <v>44600</v>
          </cell>
          <cell r="E38">
            <v>0.98124999999999996</v>
          </cell>
          <cell r="F38">
            <v>44593</v>
          </cell>
          <cell r="G38">
            <v>44601</v>
          </cell>
          <cell r="H38">
            <v>9.375E-2</v>
          </cell>
          <cell r="I38">
            <v>0.1125</v>
          </cell>
          <cell r="J38">
            <v>3</v>
          </cell>
          <cell r="K38" t="str">
            <v>FCB-PROTOCOL-01</v>
          </cell>
          <cell r="L38" t="str">
            <v>CLN/PRA/152</v>
          </cell>
          <cell r="M38" t="str">
            <v>Y</v>
          </cell>
          <cell r="N38" t="str">
            <v>DMS_v4(1K)</v>
          </cell>
          <cell r="O38" t="str">
            <v>Internal R&amp;D</v>
          </cell>
          <cell r="P38" t="str">
            <v>Q1 Passed</v>
          </cell>
          <cell r="Q38" t="str">
            <v>Q1 Passed</v>
          </cell>
          <cell r="R38" t="str">
            <v>Q1.5 Passed</v>
          </cell>
          <cell r="S38" t="str">
            <v>Q1.5 Passed</v>
          </cell>
          <cell r="V38" t="str">
            <v>Tumor content 25-65%/. High immune component</v>
          </cell>
          <cell r="W38" t="str">
            <v>Consultant</v>
          </cell>
          <cell r="X38" t="str">
            <v>Dr Prakash BV, Bangalore</v>
          </cell>
          <cell r="Y38" t="str">
            <v>Sri Lakshmi Hospital, Bangalore</v>
          </cell>
          <cell r="Z38" t="str">
            <v>Dr Prakash BV, Bangalore</v>
          </cell>
          <cell r="AA38" t="str">
            <v>HNSCC</v>
          </cell>
          <cell r="AC38" t="str">
            <v>Hard Palate</v>
          </cell>
          <cell r="AD38" t="str">
            <v>Right Hard Palate</v>
          </cell>
          <cell r="AE38" t="str">
            <v>Male</v>
          </cell>
          <cell r="AF38">
            <v>60</v>
          </cell>
          <cell r="AG38" t="str">
            <v>N</v>
          </cell>
          <cell r="AH38">
            <v>5.6</v>
          </cell>
          <cell r="AI38" t="str">
            <v>Partha</v>
          </cell>
          <cell r="AJ38" t="str">
            <v>Surgery</v>
          </cell>
          <cell r="AK38" t="str">
            <v>Primary</v>
          </cell>
          <cell r="AS38" t="str">
            <v>Squamous Cell Carcinoma</v>
          </cell>
          <cell r="AV38">
            <v>44601</v>
          </cell>
          <cell r="AY38">
            <v>0</v>
          </cell>
          <cell r="BD38" t="str">
            <v>Manual</v>
          </cell>
          <cell r="BE38">
            <v>4</v>
          </cell>
          <cell r="BG38" t="str">
            <v>Y</v>
          </cell>
        </row>
        <row r="39">
          <cell r="A39" t="str">
            <v>FBR1J220030</v>
          </cell>
          <cell r="B39">
            <v>220030</v>
          </cell>
          <cell r="C39" t="str">
            <v>R&amp;D</v>
          </cell>
          <cell r="D39">
            <v>44601</v>
          </cell>
          <cell r="E39">
            <v>5.0694444444444445E-2</v>
          </cell>
          <cell r="F39">
            <v>44593</v>
          </cell>
          <cell r="G39">
            <v>44601</v>
          </cell>
          <cell r="H39">
            <v>9.375E-2</v>
          </cell>
          <cell r="I39">
            <v>4.3055555555555555E-2</v>
          </cell>
          <cell r="J39">
            <v>3</v>
          </cell>
          <cell r="K39" t="str">
            <v>FCB-PROTOCOL-01</v>
          </cell>
          <cell r="L39" t="str">
            <v>CLN/PRA/153</v>
          </cell>
          <cell r="M39" t="str">
            <v>Y</v>
          </cell>
          <cell r="N39" t="str">
            <v>COS_v3</v>
          </cell>
          <cell r="O39" t="str">
            <v>Internal R&amp;D</v>
          </cell>
          <cell r="P39" t="str">
            <v>Q1 Passed</v>
          </cell>
          <cell r="Q39" t="str">
            <v>Q1 Passed</v>
          </cell>
          <cell r="R39" t="str">
            <v>Q1.5 Passed</v>
          </cell>
          <cell r="S39" t="str">
            <v>Q1.5 Passed</v>
          </cell>
          <cell r="V39" t="str">
            <v>Mucinous carcinoma with most fragments containing high mucin content.</v>
          </cell>
          <cell r="W39" t="str">
            <v>Consultant</v>
          </cell>
          <cell r="X39" t="str">
            <v>Dr Prakash BV, Bangalore</v>
          </cell>
          <cell r="Y39" t="str">
            <v>Sri Lakshmi Hospital, Bangalore</v>
          </cell>
          <cell r="Z39" t="str">
            <v>Dr Prakash BV, Bangalore</v>
          </cell>
          <cell r="AA39" t="str">
            <v>GI</v>
          </cell>
          <cell r="AB39" t="str">
            <v>Ca Stomach</v>
          </cell>
          <cell r="AC39" t="str">
            <v>Antrum</v>
          </cell>
          <cell r="AD39" t="str">
            <v>Antrum of Stomach</v>
          </cell>
          <cell r="AE39" t="str">
            <v>Male</v>
          </cell>
          <cell r="AF39">
            <v>51</v>
          </cell>
          <cell r="AH39">
            <v>5.6</v>
          </cell>
          <cell r="AI39" t="str">
            <v>Partha</v>
          </cell>
          <cell r="AJ39" t="str">
            <v>Surgery</v>
          </cell>
          <cell r="AL39" t="str">
            <v>Chemotherapy</v>
          </cell>
          <cell r="AN39" t="str">
            <v>II</v>
          </cell>
          <cell r="AP39" t="str">
            <v>pT3N2M0</v>
          </cell>
          <cell r="AQ39" t="str">
            <v>6 cycles</v>
          </cell>
          <cell r="AR39" t="str">
            <v>5FU+ Leucovorin+ Oxaloplatin+ Docetaxel</v>
          </cell>
          <cell r="AS39" t="str">
            <v>Adenocarcinoma of Stomach</v>
          </cell>
          <cell r="AV39">
            <v>44601</v>
          </cell>
          <cell r="AW39">
            <v>0.9375</v>
          </cell>
          <cell r="AX39">
            <v>0.97916666666666663</v>
          </cell>
          <cell r="AY39">
            <v>4.1666666666666664E-2</v>
          </cell>
          <cell r="AZ3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39">
            <v>0.92847222222222225</v>
          </cell>
          <cell r="BB39" t="str">
            <v>1.2*1.8*4.0</v>
          </cell>
          <cell r="BC39" t="str">
            <v>1.2*1.8*4.0</v>
          </cell>
          <cell r="BD39" t="str">
            <v>Manual</v>
          </cell>
          <cell r="BE39">
            <v>15</v>
          </cell>
          <cell r="BF39" t="str">
            <v>Vasanth</v>
          </cell>
          <cell r="BG39" t="str">
            <v>Y</v>
          </cell>
        </row>
        <row r="40">
          <cell r="A40" t="str">
            <v>FBB1C220031</v>
          </cell>
          <cell r="B40">
            <v>220031</v>
          </cell>
          <cell r="C40" t="str">
            <v>Biopharma</v>
          </cell>
          <cell r="D40">
            <v>44601</v>
          </cell>
          <cell r="E40">
            <v>0.85416666666666663</v>
          </cell>
          <cell r="F40">
            <v>44593</v>
          </cell>
          <cell r="G40">
            <v>44601</v>
          </cell>
          <cell r="H40">
            <v>0.92013888888888884</v>
          </cell>
          <cell r="I40">
            <v>6.5972222222222224E-2</v>
          </cell>
          <cell r="J40">
            <v>0</v>
          </cell>
          <cell r="K40" t="str">
            <v>FCB-PROTOCOL-01</v>
          </cell>
          <cell r="L40" t="str">
            <v>CLN/PRA/154</v>
          </cell>
          <cell r="M40" t="str">
            <v>Y</v>
          </cell>
          <cell r="N40" t="str">
            <v>BP004_SOW1_2021</v>
          </cell>
          <cell r="O40" t="str">
            <v>Biopharma</v>
          </cell>
          <cell r="P40" t="str">
            <v>Q1 Passed</v>
          </cell>
          <cell r="Q40" t="str">
            <v>Q1 Passed</v>
          </cell>
          <cell r="R40" t="str">
            <v>Q1.5 Passed</v>
          </cell>
          <cell r="S40" t="str">
            <v>Q1.5 Passed</v>
          </cell>
          <cell r="V40" t="str">
            <v>Mucin content 10-75%. Tumor cellular content 3-75%</v>
          </cell>
          <cell r="W40" t="str">
            <v>Consultant</v>
          </cell>
          <cell r="X40" t="str">
            <v>Dr Prakash BV, Bangalore</v>
          </cell>
          <cell r="Y40" t="str">
            <v>Sri Lakshmi Hospital, Bangalore</v>
          </cell>
          <cell r="Z40" t="str">
            <v>Dr Prakash BV, Bangalore</v>
          </cell>
          <cell r="AA40" t="str">
            <v>GI</v>
          </cell>
          <cell r="AB40" t="str">
            <v>Ca Stomach</v>
          </cell>
          <cell r="AC40" t="str">
            <v>Stomach</v>
          </cell>
          <cell r="AD40" t="str">
            <v>Body of Stomach</v>
          </cell>
          <cell r="AE40" t="str">
            <v>Male</v>
          </cell>
          <cell r="AF40">
            <v>55</v>
          </cell>
          <cell r="AG40" t="str">
            <v>N</v>
          </cell>
          <cell r="AH40">
            <v>5.5</v>
          </cell>
          <cell r="AI40" t="str">
            <v>Sashi</v>
          </cell>
          <cell r="AJ40" t="str">
            <v>Surgery</v>
          </cell>
          <cell r="AK40" t="str">
            <v>Primary</v>
          </cell>
          <cell r="AS40" t="str">
            <v>Stomach Adenocarcinoma</v>
          </cell>
          <cell r="AV40">
            <v>44601</v>
          </cell>
          <cell r="AW40">
            <v>0.92638888888888893</v>
          </cell>
          <cell r="AX40">
            <v>0.98958333333333337</v>
          </cell>
          <cell r="AY40">
            <v>6.3194444444444442E-2</v>
          </cell>
          <cell r="AZ40">
            <v>6.9444444444444448E-2</v>
          </cell>
          <cell r="BA40">
            <v>0.13541666666666666</v>
          </cell>
          <cell r="BB40" t="str">
            <v>1.2*2.0*4.0</v>
          </cell>
          <cell r="BC40" t="str">
            <v>1.2*2.0*4.0</v>
          </cell>
          <cell r="BD40" t="str">
            <v>Manual</v>
          </cell>
          <cell r="BE40">
            <v>4</v>
          </cell>
          <cell r="BF40" t="str">
            <v>Gowri</v>
          </cell>
          <cell r="BG40" t="str">
            <v>Y</v>
          </cell>
        </row>
        <row r="41">
          <cell r="A41" t="str">
            <v>FBR1J220031</v>
          </cell>
          <cell r="B41">
            <v>220031</v>
          </cell>
          <cell r="C41" t="str">
            <v>R&amp;D</v>
          </cell>
          <cell r="D41">
            <v>44601</v>
          </cell>
          <cell r="E41">
            <v>0.85416666666666663</v>
          </cell>
          <cell r="F41">
            <v>44593</v>
          </cell>
          <cell r="G41">
            <v>44601</v>
          </cell>
          <cell r="H41">
            <v>0.92013888888888884</v>
          </cell>
          <cell r="I41">
            <v>6.5972222222222224E-2</v>
          </cell>
          <cell r="J41">
            <v>0</v>
          </cell>
          <cell r="K41" t="str">
            <v>FCB-PROTOCOL-01</v>
          </cell>
          <cell r="L41" t="str">
            <v>CLN/PRA/154</v>
          </cell>
          <cell r="M41" t="str">
            <v>Y</v>
          </cell>
          <cell r="N41" t="str">
            <v>COS_v3</v>
          </cell>
          <cell r="O41" t="str">
            <v>Internal R&amp;D</v>
          </cell>
          <cell r="P41" t="str">
            <v>Q1 Passed</v>
          </cell>
          <cell r="Q41" t="str">
            <v>Q1 Passed</v>
          </cell>
          <cell r="R41" t="str">
            <v>Q1.5 Passed</v>
          </cell>
          <cell r="S41" t="str">
            <v>Q1.5 Passed</v>
          </cell>
          <cell r="V41" t="str">
            <v>Mucin content 10-80%. Tumor cellular content 10-65%</v>
          </cell>
          <cell r="W41" t="str">
            <v>Consultant</v>
          </cell>
          <cell r="X41" t="str">
            <v>Dr Prakash BV, Bangalore</v>
          </cell>
          <cell r="Y41" t="str">
            <v>Sri Lakshmi Hospital, Bangalore</v>
          </cell>
          <cell r="Z41" t="str">
            <v>Dr Prakash BV, Bangalore</v>
          </cell>
          <cell r="AA41" t="str">
            <v>GI</v>
          </cell>
          <cell r="AB41" t="str">
            <v>Ca Stomach</v>
          </cell>
          <cell r="AC41" t="str">
            <v>Stomach</v>
          </cell>
          <cell r="AD41" t="str">
            <v>Body of Stomach</v>
          </cell>
          <cell r="AE41" t="str">
            <v>Male</v>
          </cell>
          <cell r="AF41">
            <v>55</v>
          </cell>
          <cell r="AG41" t="str">
            <v>N</v>
          </cell>
          <cell r="AH41">
            <v>5.5</v>
          </cell>
          <cell r="AI41" t="str">
            <v>Sashi</v>
          </cell>
          <cell r="AJ41" t="str">
            <v>Surgery</v>
          </cell>
          <cell r="AK41" t="str">
            <v>Primary</v>
          </cell>
          <cell r="AS41" t="str">
            <v>Adenocarcinoma of Stomach</v>
          </cell>
          <cell r="AV41">
            <v>44601</v>
          </cell>
          <cell r="AW41">
            <v>0.92638888888888893</v>
          </cell>
          <cell r="AX41">
            <v>0.98958333333333337</v>
          </cell>
          <cell r="AY41">
            <v>6.3194444444444442E-2</v>
          </cell>
          <cell r="AZ41">
            <v>6.9444444444444448E-2</v>
          </cell>
          <cell r="BA41">
            <v>0.13541666666666666</v>
          </cell>
          <cell r="BB41" t="str">
            <v>1.2*2.0*4.0</v>
          </cell>
          <cell r="BC41" t="str">
            <v>1.2*2.0*4.0</v>
          </cell>
          <cell r="BD41" t="str">
            <v>Manual</v>
          </cell>
          <cell r="BE41">
            <v>4</v>
          </cell>
          <cell r="BF41" t="str">
            <v>Gowri</v>
          </cell>
          <cell r="BG41" t="str">
            <v>Y</v>
          </cell>
        </row>
        <row r="42">
          <cell r="A42">
            <v>220032</v>
          </cell>
          <cell r="B42">
            <v>220032</v>
          </cell>
          <cell r="C42" t="str">
            <v>R&amp;D</v>
          </cell>
          <cell r="D42">
            <v>44603</v>
          </cell>
          <cell r="E42">
            <v>0.46111111111111114</v>
          </cell>
          <cell r="F42">
            <v>44593</v>
          </cell>
          <cell r="G42">
            <v>44603</v>
          </cell>
          <cell r="H42">
            <v>0.51736111111111116</v>
          </cell>
          <cell r="I42">
            <v>5.6250000000000001E-2</v>
          </cell>
          <cell r="J42">
            <v>5</v>
          </cell>
          <cell r="K42" t="str">
            <v>FCB-PROTOCOL-01</v>
          </cell>
          <cell r="L42" t="str">
            <v>VYD/071</v>
          </cell>
          <cell r="M42" t="str">
            <v>Y</v>
          </cell>
          <cell r="N42" t="str">
            <v>No Study</v>
          </cell>
          <cell r="O42" t="str">
            <v>1st level attrition</v>
          </cell>
          <cell r="P42" t="str">
            <v>Q1 Rejected</v>
          </cell>
          <cell r="R42" t="str">
            <v>Q1.5 Rejected</v>
          </cell>
          <cell r="S42" t="str">
            <v>Q1.5 Rejected</v>
          </cell>
          <cell r="T42" t="str">
            <v>Teeth present</v>
          </cell>
          <cell r="W42" t="str">
            <v>Private Hospital</v>
          </cell>
          <cell r="X42" t="str">
            <v>Vydehi Hospital, Bangalore</v>
          </cell>
          <cell r="Y42" t="str">
            <v>Vydehi Hospital, Bangalore</v>
          </cell>
          <cell r="Z42" t="str">
            <v>Dr Amritha Prabha, Bangalore</v>
          </cell>
          <cell r="AA42" t="str">
            <v>HNSCC</v>
          </cell>
          <cell r="AC42" t="str">
            <v>Alveolus</v>
          </cell>
          <cell r="AD42" t="str">
            <v>Lower Alveolus</v>
          </cell>
          <cell r="AE42" t="str">
            <v>Female</v>
          </cell>
          <cell r="AF42">
            <v>56</v>
          </cell>
          <cell r="AG42" t="str">
            <v>N</v>
          </cell>
          <cell r="AH42">
            <v>4.2</v>
          </cell>
          <cell r="AI42" t="str">
            <v>Kalappa</v>
          </cell>
          <cell r="AJ42" t="str">
            <v>Surgery</v>
          </cell>
          <cell r="AK42" t="str">
            <v>Primary</v>
          </cell>
          <cell r="AL42" t="str">
            <v>Radiotherapy</v>
          </cell>
          <cell r="AN42" t="str">
            <v>-</v>
          </cell>
          <cell r="AO42" t="str">
            <v>-</v>
          </cell>
          <cell r="AP42" t="str">
            <v>-</v>
          </cell>
          <cell r="AS42" t="str">
            <v>Squamous Cell Carcinoma</v>
          </cell>
          <cell r="AV42">
            <v>44603</v>
          </cell>
        </row>
        <row r="43">
          <cell r="A43" t="str">
            <v>FBR1K220033</v>
          </cell>
          <cell r="B43">
            <v>220033</v>
          </cell>
          <cell r="C43" t="str">
            <v>R&amp;D</v>
          </cell>
          <cell r="D43">
            <v>44603</v>
          </cell>
          <cell r="E43">
            <v>0.54305555555555551</v>
          </cell>
          <cell r="F43">
            <v>44593</v>
          </cell>
          <cell r="G43">
            <v>44603</v>
          </cell>
          <cell r="H43">
            <v>0.87152777777777779</v>
          </cell>
          <cell r="I43">
            <v>0.32847222222222222</v>
          </cell>
          <cell r="J43">
            <v>2</v>
          </cell>
          <cell r="K43" t="str">
            <v>FCB-PROTOCOL-01</v>
          </cell>
          <cell r="L43" t="str">
            <v>CLN/DBR/063</v>
          </cell>
          <cell r="M43" t="str">
            <v>Y</v>
          </cell>
          <cell r="N43" t="str">
            <v>DMS_v4(1K)</v>
          </cell>
          <cell r="O43" t="str">
            <v>Internal R&amp;D</v>
          </cell>
          <cell r="P43" t="str">
            <v>Q1 Passed</v>
          </cell>
          <cell r="Q43" t="str">
            <v>Q1 Passed</v>
          </cell>
          <cell r="R43" t="str">
            <v>Q1.5 Passed</v>
          </cell>
          <cell r="S43" t="str">
            <v>Q1.5 Passed</v>
          </cell>
          <cell r="V43" t="str">
            <v>Tumor 10-90%</v>
          </cell>
          <cell r="W43" t="str">
            <v>Clinic'les</v>
          </cell>
          <cell r="X43" t="str">
            <v>Clinic'les- DBR &amp; SK Hospital, Tirupati</v>
          </cell>
          <cell r="Y43" t="str">
            <v>DBR &amp; SK Hospital, Tirupati</v>
          </cell>
          <cell r="Z43" t="str">
            <v>Dr C Jayaprakash, Tirupati</v>
          </cell>
          <cell r="AA43" t="str">
            <v>HNSCC</v>
          </cell>
          <cell r="AC43" t="str">
            <v>Buccal Mucosa</v>
          </cell>
          <cell r="AD43" t="str">
            <v>Buccal Mucosa</v>
          </cell>
          <cell r="AE43" t="str">
            <v>Female</v>
          </cell>
          <cell r="AF43">
            <v>62</v>
          </cell>
          <cell r="AG43" t="str">
            <v>N</v>
          </cell>
          <cell r="AH43">
            <v>5.6</v>
          </cell>
          <cell r="AI43" t="str">
            <v>Partha</v>
          </cell>
          <cell r="AJ43" t="str">
            <v>Surgery</v>
          </cell>
          <cell r="AK43" t="str">
            <v>Primary</v>
          </cell>
          <cell r="AS43" t="str">
            <v>Squamous Cell Carcinoma</v>
          </cell>
          <cell r="AV43">
            <v>44603</v>
          </cell>
          <cell r="AW43">
            <v>0.88194444444444442</v>
          </cell>
          <cell r="AX43">
            <v>0.91666666666666663</v>
          </cell>
          <cell r="AY43">
            <v>3.4722222222222224E-2</v>
          </cell>
          <cell r="AZ43">
            <v>4.5138888888888888E-2</v>
          </cell>
          <cell r="BA43">
            <v>0.37361111111111112</v>
          </cell>
          <cell r="BB43" t="str">
            <v>0.8*2.0*0.6
0.4*1.2*1.0</v>
          </cell>
          <cell r="BC43" t="str">
            <v>0.8*2.0*0.6
0.4*1.2*1.0</v>
          </cell>
          <cell r="BD43" t="str">
            <v>Manual</v>
          </cell>
          <cell r="BE43">
            <v>4</v>
          </cell>
          <cell r="BF43" t="str">
            <v>Vasanth</v>
          </cell>
          <cell r="BG43" t="str">
            <v>Y</v>
          </cell>
        </row>
        <row r="44">
          <cell r="A44" t="str">
            <v>FBR1N220034-TAT16</v>
          </cell>
          <cell r="B44">
            <v>220034</v>
          </cell>
          <cell r="C44" t="str">
            <v>R&amp;D</v>
          </cell>
          <cell r="D44">
            <v>44605</v>
          </cell>
          <cell r="E44">
            <v>0.65833333333333333</v>
          </cell>
          <cell r="F44">
            <v>44593</v>
          </cell>
          <cell r="G44">
            <v>44605</v>
          </cell>
          <cell r="H44">
            <v>0.70486111111111116</v>
          </cell>
          <cell r="I44">
            <v>4.6527777777777779E-2</v>
          </cell>
          <cell r="J44">
            <v>3</v>
          </cell>
          <cell r="K44" t="str">
            <v>FCB-PROTOCOL-01</v>
          </cell>
          <cell r="L44" t="str">
            <v>CLN/PRA/155</v>
          </cell>
          <cell r="M44" t="str">
            <v>Y</v>
          </cell>
          <cell r="N44" t="str">
            <v>Extended TAT_Hemarina</v>
          </cell>
          <cell r="O44" t="str">
            <v>Internal R&amp;D</v>
          </cell>
          <cell r="P44" t="str">
            <v>Q1 Passed</v>
          </cell>
          <cell r="Q44" t="str">
            <v>Q1 Passed</v>
          </cell>
          <cell r="R44" t="str">
            <v>Q1.5 Rejected</v>
          </cell>
          <cell r="S44" t="str">
            <v>Q1.5 Rejected</v>
          </cell>
          <cell r="V44" t="str">
            <v>No tumor. Only epithelial hyperplasia with inflammation</v>
          </cell>
          <cell r="W44" t="str">
            <v>Consultant</v>
          </cell>
          <cell r="X44" t="str">
            <v>Dr Prakash BV, Bangalore</v>
          </cell>
          <cell r="Y44" t="str">
            <v>Sri Lakshmi Hospital, Bangalore</v>
          </cell>
          <cell r="Z44" t="str">
            <v>Dr Prakash BV, Bangalore</v>
          </cell>
          <cell r="AA44" t="str">
            <v>HNSCC</v>
          </cell>
          <cell r="AC44" t="str">
            <v>Alveolus</v>
          </cell>
          <cell r="AD44" t="str">
            <v>Right Lower Alveolus</v>
          </cell>
          <cell r="AE44" t="str">
            <v>Male</v>
          </cell>
          <cell r="AF44">
            <v>65</v>
          </cell>
          <cell r="AG44" t="str">
            <v>N</v>
          </cell>
          <cell r="AH44">
            <v>4.8</v>
          </cell>
          <cell r="AI44" t="str">
            <v>Partha</v>
          </cell>
          <cell r="AJ44" t="str">
            <v>Surgery</v>
          </cell>
          <cell r="AK44" t="str">
            <v>Primary</v>
          </cell>
          <cell r="AS44" t="str">
            <v>Squamous Cell Carcinoma</v>
          </cell>
          <cell r="AV44">
            <v>44605</v>
          </cell>
          <cell r="AW44">
            <v>0.84375</v>
          </cell>
          <cell r="AX44">
            <v>0.92777777777777781</v>
          </cell>
          <cell r="AY44">
            <v>8.4027777777777785E-2</v>
          </cell>
          <cell r="AZ44">
            <v>0.22291666666666668</v>
          </cell>
          <cell r="BA44">
            <v>0.26944444444444443</v>
          </cell>
          <cell r="BB44" t="str">
            <v>0.8*1.0*1.4</v>
          </cell>
          <cell r="BC44" t="str">
            <v>0.8*1.0*1.4</v>
          </cell>
          <cell r="BD44" t="str">
            <v>Manual</v>
          </cell>
          <cell r="BE44">
            <v>4</v>
          </cell>
          <cell r="BF44" t="str">
            <v>Mani</v>
          </cell>
          <cell r="BG44" t="str">
            <v>Y</v>
          </cell>
        </row>
        <row r="45">
          <cell r="A45" t="str">
            <v>FBR1N220034-TAT24</v>
          </cell>
          <cell r="B45">
            <v>220034</v>
          </cell>
          <cell r="C45" t="str">
            <v>R&amp;D</v>
          </cell>
          <cell r="D45">
            <v>44605</v>
          </cell>
          <cell r="E45">
            <v>0.65833333333333333</v>
          </cell>
          <cell r="F45">
            <v>44593</v>
          </cell>
          <cell r="G45">
            <v>44605</v>
          </cell>
          <cell r="H45">
            <v>0.70486111111111116</v>
          </cell>
          <cell r="I45">
            <v>4.6527777777777779E-2</v>
          </cell>
          <cell r="J45">
            <v>3</v>
          </cell>
          <cell r="K45" t="str">
            <v>FCB-PROTOCOL-01</v>
          </cell>
          <cell r="L45" t="str">
            <v>CLN/PRA/155</v>
          </cell>
          <cell r="M45" t="str">
            <v>Y</v>
          </cell>
          <cell r="N45" t="str">
            <v>Extended TAT_Hemarina</v>
          </cell>
          <cell r="O45" t="str">
            <v>Internal R&amp;D</v>
          </cell>
          <cell r="P45" t="str">
            <v>Q1 Passed</v>
          </cell>
          <cell r="Q45" t="str">
            <v>Q1 Passed</v>
          </cell>
          <cell r="R45" t="str">
            <v>Q1.5 Rejected</v>
          </cell>
          <cell r="S45" t="str">
            <v>Q1.5 Rejected</v>
          </cell>
          <cell r="V45" t="str">
            <v>No tumor. Only epithelial hyperplasia with inflammation</v>
          </cell>
          <cell r="W45" t="str">
            <v>Consultant</v>
          </cell>
          <cell r="X45" t="str">
            <v>Dr Prakash BV, Bangalore</v>
          </cell>
          <cell r="Y45" t="str">
            <v>Sri Lakshmi Hospital, Bangalore</v>
          </cell>
          <cell r="Z45" t="str">
            <v>Dr Prakash BV, Bangalore</v>
          </cell>
          <cell r="AA45" t="str">
            <v>HNSCC</v>
          </cell>
          <cell r="AC45" t="str">
            <v>Alveolus</v>
          </cell>
          <cell r="AD45" t="str">
            <v>Right Lower Alveolus</v>
          </cell>
          <cell r="AE45" t="str">
            <v>Male</v>
          </cell>
          <cell r="AF45">
            <v>65</v>
          </cell>
          <cell r="AG45" t="str">
            <v>N</v>
          </cell>
          <cell r="AH45">
            <v>4.8</v>
          </cell>
          <cell r="AI45" t="str">
            <v>Partha</v>
          </cell>
          <cell r="AJ45" t="str">
            <v>Surgery</v>
          </cell>
          <cell r="AK45" t="str">
            <v>Primary</v>
          </cell>
          <cell r="AS45" t="str">
            <v>Squamous Cell Carcinoma</v>
          </cell>
          <cell r="AV45">
            <v>44605</v>
          </cell>
          <cell r="AW45">
            <v>0.84375</v>
          </cell>
          <cell r="AX45">
            <v>0.92777777777777781</v>
          </cell>
          <cell r="AY45">
            <v>8.4027777777777785E-2</v>
          </cell>
          <cell r="AZ45">
            <v>0.22291666666666668</v>
          </cell>
          <cell r="BA45">
            <v>0.26944444444444443</v>
          </cell>
          <cell r="BB45" t="str">
            <v>0.8*1.0*1.4</v>
          </cell>
          <cell r="BC45" t="str">
            <v>0.8*1.0*1.4</v>
          </cell>
          <cell r="BD45" t="str">
            <v>Manual</v>
          </cell>
          <cell r="BE45">
            <v>4</v>
          </cell>
          <cell r="BF45" t="str">
            <v>Mani</v>
          </cell>
          <cell r="BG45" t="str">
            <v>Y</v>
          </cell>
        </row>
        <row r="46">
          <cell r="A46" t="str">
            <v>FBR1K220035</v>
          </cell>
          <cell r="B46">
            <v>220035</v>
          </cell>
          <cell r="C46" t="str">
            <v>R&amp;D</v>
          </cell>
          <cell r="D46">
            <v>44606</v>
          </cell>
          <cell r="E46">
            <v>0.95763888888888893</v>
          </cell>
          <cell r="F46">
            <v>44593</v>
          </cell>
          <cell r="G46">
            <v>44607</v>
          </cell>
          <cell r="H46">
            <v>3.8194444444444448E-2</v>
          </cell>
          <cell r="I46">
            <v>8.0555555555555561E-2</v>
          </cell>
          <cell r="J46">
            <v>2</v>
          </cell>
          <cell r="K46" t="str">
            <v>FCB-PROTOCOL-01</v>
          </cell>
          <cell r="L46" t="str">
            <v>CLN/PRA/156</v>
          </cell>
          <cell r="M46" t="str">
            <v>Y</v>
          </cell>
          <cell r="N46" t="str">
            <v>DMS_v4(1K)</v>
          </cell>
          <cell r="O46" t="str">
            <v>Internal R&amp;D</v>
          </cell>
          <cell r="P46" t="str">
            <v>Q1 Passed</v>
          </cell>
          <cell r="Q46" t="str">
            <v>Q1 Passed</v>
          </cell>
          <cell r="R46" t="str">
            <v>Q1.5 Passed</v>
          </cell>
          <cell r="S46" t="str">
            <v>Q1.5 Passed</v>
          </cell>
          <cell r="V46" t="str">
            <v>Tumor content 5-90%. Pyknosis high</v>
          </cell>
          <cell r="W46" t="str">
            <v>Consultant</v>
          </cell>
          <cell r="X46" t="str">
            <v>Dr Prakash BV, Bangalore</v>
          </cell>
          <cell r="Y46" t="str">
            <v>Sri Lakshmi Hospital, Bangalore</v>
          </cell>
          <cell r="Z46" t="str">
            <v>Dr Prakash BV, Bangalore</v>
          </cell>
          <cell r="AA46" t="str">
            <v>HNSCC</v>
          </cell>
          <cell r="AC46" t="str">
            <v>Buccal Mucosa</v>
          </cell>
          <cell r="AD46" t="str">
            <v>Right Buccal Mucosa</v>
          </cell>
          <cell r="AE46" t="str">
            <v>Male</v>
          </cell>
          <cell r="AF46">
            <v>65</v>
          </cell>
          <cell r="AG46" t="str">
            <v>N</v>
          </cell>
          <cell r="AH46">
            <v>4.5</v>
          </cell>
          <cell r="AI46" t="str">
            <v>Kalappa</v>
          </cell>
          <cell r="AJ46" t="str">
            <v>Surgery</v>
          </cell>
          <cell r="AK46" t="str">
            <v>Primary</v>
          </cell>
          <cell r="AS46" t="str">
            <v>Squamous Cell Carcinoma</v>
          </cell>
          <cell r="AV46">
            <v>44607</v>
          </cell>
          <cell r="AW46">
            <v>0.11458333333333333</v>
          </cell>
          <cell r="AX46">
            <v>0.18055555555555555</v>
          </cell>
          <cell r="AY46">
            <v>6.5972222222222224E-2</v>
          </cell>
          <cell r="AZ4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6" t="str">
            <v>0.8*1.4*2.4
0.82*1.0*1.6
0.6*1.1*1.5</v>
          </cell>
          <cell r="BC46" t="str">
            <v>0.8*1.4*2.4
0.82*1.0*1.6
0.6*1.1*1.5</v>
          </cell>
          <cell r="BD46" t="str">
            <v>Vibratome</v>
          </cell>
          <cell r="BE46">
            <v>4</v>
          </cell>
          <cell r="BF46" t="str">
            <v>Gowri</v>
          </cell>
          <cell r="BG46" t="str">
            <v>Y</v>
          </cell>
        </row>
        <row r="47">
          <cell r="A47" t="str">
            <v>FBR1J220036</v>
          </cell>
          <cell r="B47">
            <v>220036</v>
          </cell>
          <cell r="C47" t="str">
            <v>R&amp;D</v>
          </cell>
          <cell r="D47">
            <v>44606</v>
          </cell>
          <cell r="E47">
            <v>0.99583333333333335</v>
          </cell>
          <cell r="F47">
            <v>44593</v>
          </cell>
          <cell r="G47">
            <v>44607</v>
          </cell>
          <cell r="H47">
            <v>3.8194444444444448E-2</v>
          </cell>
          <cell r="I47">
            <v>4.2361111111111113E-2</v>
          </cell>
          <cell r="J47">
            <v>4</v>
          </cell>
          <cell r="K47" t="str">
            <v>FCB-PROTOCOL-01</v>
          </cell>
          <cell r="L47" t="str">
            <v>CLN/PRA/157</v>
          </cell>
          <cell r="M47" t="str">
            <v>Y</v>
          </cell>
          <cell r="N47" t="str">
            <v>COS_v3</v>
          </cell>
          <cell r="O47" t="str">
            <v>Internal R&amp;D</v>
          </cell>
          <cell r="P47" t="str">
            <v>Q1 Passed</v>
          </cell>
          <cell r="Q47" t="str">
            <v>Q1 Passed</v>
          </cell>
          <cell r="R47" t="str">
            <v>Q1.5 Passed</v>
          </cell>
          <cell r="S47" t="str">
            <v>Q1.5 Passed</v>
          </cell>
          <cell r="V47" t="str">
            <v>Tumor content 3-35%. Necrosis high</v>
          </cell>
          <cell r="W47" t="str">
            <v>Consultant</v>
          </cell>
          <cell r="X47" t="str">
            <v>Dr Prakash BV, Bangalore</v>
          </cell>
          <cell r="Y47" t="str">
            <v>Sri Lakshmi Hospital, Bangalore</v>
          </cell>
          <cell r="Z47" t="str">
            <v>Dr Prakash BV, Bangalore</v>
          </cell>
          <cell r="AA47" t="str">
            <v>GI</v>
          </cell>
          <cell r="AB47" t="str">
            <v>Ca Stomach</v>
          </cell>
          <cell r="AC47" t="str">
            <v>Stomach</v>
          </cell>
          <cell r="AD47" t="str">
            <v>Antral part of Stomach</v>
          </cell>
          <cell r="AE47" t="str">
            <v>Female</v>
          </cell>
          <cell r="AF47">
            <v>55</v>
          </cell>
          <cell r="AG47" t="str">
            <v>N</v>
          </cell>
          <cell r="AH47">
            <v>4.5</v>
          </cell>
          <cell r="AI47" t="str">
            <v>Kalappa</v>
          </cell>
          <cell r="AJ47" t="str">
            <v>Surgery</v>
          </cell>
          <cell r="AK47" t="str">
            <v>Primary</v>
          </cell>
          <cell r="AN47" t="str">
            <v>II</v>
          </cell>
          <cell r="AP47" t="str">
            <v>pT2N1</v>
          </cell>
          <cell r="AS47" t="str">
            <v>Adenocarcinoma of Stomach</v>
          </cell>
          <cell r="AV47">
            <v>44607</v>
          </cell>
          <cell r="AW47">
            <v>0.40972222222222221</v>
          </cell>
          <cell r="AX47">
            <v>0.45833333333333331</v>
          </cell>
          <cell r="AY47">
            <v>4.8611111111111112E-2</v>
          </cell>
          <cell r="AZ4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7" t="str">
            <v>1.2*2.3*4.3</v>
          </cell>
          <cell r="BC47" t="str">
            <v>1.2*2.3*4.3</v>
          </cell>
          <cell r="BD47" t="str">
            <v>Manual</v>
          </cell>
          <cell r="BE47">
            <v>4</v>
          </cell>
          <cell r="BF47" t="str">
            <v>Vasanth</v>
          </cell>
          <cell r="BG47" t="str">
            <v>Y</v>
          </cell>
        </row>
        <row r="48">
          <cell r="A48" t="str">
            <v>FBB1C220036</v>
          </cell>
          <cell r="B48">
            <v>220036</v>
          </cell>
          <cell r="C48" t="str">
            <v>Biopharma</v>
          </cell>
          <cell r="D48">
            <v>44606</v>
          </cell>
          <cell r="E48">
            <v>0.99583333333333335</v>
          </cell>
          <cell r="F48">
            <v>44593</v>
          </cell>
          <cell r="G48">
            <v>44607</v>
          </cell>
          <cell r="H48">
            <v>3.8194444444444448E-2</v>
          </cell>
          <cell r="I48">
            <v>4.2361111111111113E-2</v>
          </cell>
          <cell r="J48">
            <v>4</v>
          </cell>
          <cell r="K48" t="str">
            <v>FCB-PROTOCOL-01</v>
          </cell>
          <cell r="L48" t="str">
            <v>CLN/PRA/157</v>
          </cell>
          <cell r="M48" t="str">
            <v>Y</v>
          </cell>
          <cell r="N48" t="str">
            <v>BP004_SOW1_2021</v>
          </cell>
          <cell r="O48" t="str">
            <v>Biopharma</v>
          </cell>
          <cell r="P48" t="str">
            <v>Q1 Passed</v>
          </cell>
          <cell r="Q48" t="str">
            <v>Q1 Passed</v>
          </cell>
          <cell r="R48" t="str">
            <v>Q1.5 Passed</v>
          </cell>
          <cell r="S48" t="str">
            <v>Q1.5 Passed</v>
          </cell>
          <cell r="V48" t="str">
            <v>Tumor content 4-40%. Necrosis high</v>
          </cell>
          <cell r="W48" t="str">
            <v>Consultant</v>
          </cell>
          <cell r="X48" t="str">
            <v>Dr Prakash BV, Bangalore</v>
          </cell>
          <cell r="Y48" t="str">
            <v>Sri Lakshmi Hospital, Bangalore</v>
          </cell>
          <cell r="Z48" t="str">
            <v>Dr Prakash BV, Bangalore</v>
          </cell>
          <cell r="AA48" t="str">
            <v>GI</v>
          </cell>
          <cell r="AB48" t="str">
            <v>Ca Stomach</v>
          </cell>
          <cell r="AC48" t="str">
            <v>Stomach</v>
          </cell>
          <cell r="AD48" t="str">
            <v>Antral part of Stomach</v>
          </cell>
          <cell r="AE48" t="str">
            <v>Female</v>
          </cell>
          <cell r="AF48">
            <v>55</v>
          </cell>
          <cell r="AG48" t="str">
            <v>N</v>
          </cell>
          <cell r="AH48">
            <v>4.5</v>
          </cell>
          <cell r="AI48" t="str">
            <v>Kalappa</v>
          </cell>
          <cell r="AJ48" t="str">
            <v>Surgery</v>
          </cell>
          <cell r="AK48" t="str">
            <v>Primary</v>
          </cell>
          <cell r="AN48" t="str">
            <v>II</v>
          </cell>
          <cell r="AP48" t="str">
            <v>pT2N1</v>
          </cell>
          <cell r="AS48" t="str">
            <v>Stomach Adenocarcinoma</v>
          </cell>
          <cell r="AV48">
            <v>44607</v>
          </cell>
          <cell r="AW48">
            <v>0.41666666666666669</v>
          </cell>
          <cell r="AX48">
            <v>0.48055555555555557</v>
          </cell>
          <cell r="AY48">
            <v>6.3888888888888884E-2</v>
          </cell>
          <cell r="AZ48">
            <v>0.44236111111111109</v>
          </cell>
          <cell r="BA48">
            <v>0.48472222222222222</v>
          </cell>
          <cell r="BB48" t="str">
            <v>1.2*2.3*4.3</v>
          </cell>
          <cell r="BC48" t="str">
            <v>1.2*2.3*4.3</v>
          </cell>
          <cell r="BG48" t="str">
            <v>Y</v>
          </cell>
        </row>
        <row r="49">
          <cell r="A49" t="str">
            <v>FBB1C220037</v>
          </cell>
          <cell r="B49">
            <v>220037</v>
          </cell>
          <cell r="C49" t="str">
            <v>Biopharma</v>
          </cell>
          <cell r="D49">
            <v>44607</v>
          </cell>
          <cell r="E49">
            <v>0.75902777777777775</v>
          </cell>
          <cell r="F49">
            <v>44593</v>
          </cell>
          <cell r="G49">
            <v>44607</v>
          </cell>
          <cell r="H49">
            <v>0.86111111111111116</v>
          </cell>
          <cell r="I49">
            <v>0.10208333333333333</v>
          </cell>
          <cell r="J49">
            <v>3</v>
          </cell>
          <cell r="K49" t="str">
            <v>FCB-PROTOCOL-01</v>
          </cell>
          <cell r="L49" t="str">
            <v>CLN/PRA/158</v>
          </cell>
          <cell r="M49" t="str">
            <v>Y</v>
          </cell>
          <cell r="N49" t="str">
            <v>BP004_SOW1_2021</v>
          </cell>
          <cell r="O49" t="str">
            <v>Biopharma</v>
          </cell>
          <cell r="P49" t="str">
            <v>Q1 Passed</v>
          </cell>
          <cell r="Q49" t="str">
            <v>Q1 Passed</v>
          </cell>
          <cell r="R49" t="str">
            <v>Q1.5 Passed</v>
          </cell>
          <cell r="S49" t="str">
            <v>Q1.5 Passed</v>
          </cell>
          <cell r="V49" t="str">
            <v>Tumor content 8-55%. Necrosis high</v>
          </cell>
          <cell r="W49" t="str">
            <v>Consultant</v>
          </cell>
          <cell r="X49" t="str">
            <v>Dr Prakash BV, Bangalore</v>
          </cell>
          <cell r="Y49" t="str">
            <v>Sri Lakshmi Hospital, Bangalore</v>
          </cell>
          <cell r="Z49" t="str">
            <v>Dr Prakash BV, Bangalore</v>
          </cell>
          <cell r="AA49" t="str">
            <v>GI</v>
          </cell>
          <cell r="AB49" t="str">
            <v>Ca Stomach</v>
          </cell>
          <cell r="AC49" t="str">
            <v>Stomach</v>
          </cell>
          <cell r="AD49" t="str">
            <v>Body of Stomach</v>
          </cell>
          <cell r="AE49" t="str">
            <v>Male</v>
          </cell>
          <cell r="AF49">
            <v>60</v>
          </cell>
          <cell r="AG49" t="str">
            <v>N</v>
          </cell>
          <cell r="AH49">
            <v>5.6</v>
          </cell>
          <cell r="AI49" t="str">
            <v>Partha</v>
          </cell>
          <cell r="AJ49" t="str">
            <v>Surgery</v>
          </cell>
          <cell r="AK49" t="str">
            <v>Primary</v>
          </cell>
          <cell r="AN49" t="str">
            <v>II</v>
          </cell>
          <cell r="AP49" t="str">
            <v>pT2N1</v>
          </cell>
          <cell r="AS49" t="str">
            <v>Stomach Adenocarcinoma</v>
          </cell>
          <cell r="AV49">
            <v>44607</v>
          </cell>
          <cell r="AW49">
            <v>0.87986111111111109</v>
          </cell>
          <cell r="AX49">
            <v>0.95138888888888884</v>
          </cell>
          <cell r="AY49">
            <v>7.1527777777777773E-2</v>
          </cell>
          <cell r="AZ49">
            <v>9.0277777777777776E-2</v>
          </cell>
          <cell r="BA49">
            <v>0.19236111111111112</v>
          </cell>
          <cell r="BB49" t="str">
            <v>2.4*2.4*5.0</v>
          </cell>
          <cell r="BC49" t="str">
            <v>2.4*2.4*5.0</v>
          </cell>
          <cell r="BD49" t="str">
            <v>Manual</v>
          </cell>
          <cell r="BE49">
            <v>4</v>
          </cell>
          <cell r="BF49" t="str">
            <v>Gowri</v>
          </cell>
          <cell r="BG49" t="str">
            <v>Y</v>
          </cell>
        </row>
        <row r="50">
          <cell r="A50" t="str">
            <v>FBR1J220037</v>
          </cell>
          <cell r="B50">
            <v>220037</v>
          </cell>
          <cell r="C50" t="str">
            <v>R&amp;D</v>
          </cell>
          <cell r="D50">
            <v>44607</v>
          </cell>
          <cell r="E50">
            <v>0.75902777777777775</v>
          </cell>
          <cell r="F50">
            <v>44593</v>
          </cell>
          <cell r="G50">
            <v>44607</v>
          </cell>
          <cell r="H50">
            <v>0.86111111111111116</v>
          </cell>
          <cell r="I50">
            <v>0.10208333333333333</v>
          </cell>
          <cell r="J50">
            <v>3</v>
          </cell>
          <cell r="K50" t="str">
            <v>FCB-PROTOCOL-01</v>
          </cell>
          <cell r="L50" t="str">
            <v>CLN/PRA/158</v>
          </cell>
          <cell r="M50" t="str">
            <v>Y</v>
          </cell>
          <cell r="N50" t="str">
            <v>COS_v3</v>
          </cell>
          <cell r="O50" t="str">
            <v>Internal R&amp;D</v>
          </cell>
          <cell r="P50" t="str">
            <v>Q1 Passed</v>
          </cell>
          <cell r="Q50" t="str">
            <v>Q1 Passed</v>
          </cell>
          <cell r="R50" t="str">
            <v>Q1.5 Passed</v>
          </cell>
          <cell r="S50" t="str">
            <v>Q1.5 Passed</v>
          </cell>
          <cell r="V50" t="str">
            <v>Tumor content 3-80%.</v>
          </cell>
          <cell r="W50" t="str">
            <v>Consultant</v>
          </cell>
          <cell r="X50" t="str">
            <v>Dr Prakash BV, Bangalore</v>
          </cell>
          <cell r="Y50" t="str">
            <v>Sri Lakshmi Hospital, Bangalore</v>
          </cell>
          <cell r="Z50" t="str">
            <v>Dr Prakash BV, Bangalore</v>
          </cell>
          <cell r="AA50" t="str">
            <v>GI</v>
          </cell>
          <cell r="AB50" t="str">
            <v>Ca Stomach</v>
          </cell>
          <cell r="AC50" t="str">
            <v>Stomach</v>
          </cell>
          <cell r="AD50" t="str">
            <v>Body of Stomach</v>
          </cell>
          <cell r="AE50" t="str">
            <v>Male</v>
          </cell>
          <cell r="AF50">
            <v>60</v>
          </cell>
          <cell r="AG50" t="str">
            <v>N</v>
          </cell>
          <cell r="AH50">
            <v>5.6</v>
          </cell>
          <cell r="AI50" t="str">
            <v>Partha</v>
          </cell>
          <cell r="AJ50" t="str">
            <v>Surgery</v>
          </cell>
          <cell r="AK50" t="str">
            <v>Primary</v>
          </cell>
          <cell r="AN50" t="str">
            <v>II</v>
          </cell>
          <cell r="AP50" t="str">
            <v>pT2N1</v>
          </cell>
          <cell r="AS50" t="str">
            <v>Adenocarcinoma of Stomach</v>
          </cell>
          <cell r="AV50">
            <v>44607</v>
          </cell>
          <cell r="AW50">
            <v>0.87986111111111109</v>
          </cell>
          <cell r="AX50">
            <v>0.95138888888888884</v>
          </cell>
          <cell r="AY50">
            <v>7.1527777777777773E-2</v>
          </cell>
          <cell r="AZ50">
            <v>9.0277777777777776E-2</v>
          </cell>
          <cell r="BA50">
            <v>0.19236111111111112</v>
          </cell>
          <cell r="BB50" t="str">
            <v>2.4*2.4*5.0</v>
          </cell>
          <cell r="BC50" t="str">
            <v>2.4*2.4*5.0</v>
          </cell>
          <cell r="BD50" t="str">
            <v>Manual</v>
          </cell>
          <cell r="BE50">
            <v>4</v>
          </cell>
          <cell r="BF50" t="str">
            <v>Gowri</v>
          </cell>
          <cell r="BG50" t="str">
            <v>Y</v>
          </cell>
        </row>
        <row r="51">
          <cell r="A51" t="str">
            <v>FBR1N220038-TAT16</v>
          </cell>
          <cell r="B51">
            <v>220038</v>
          </cell>
          <cell r="C51" t="str">
            <v>R&amp;D</v>
          </cell>
          <cell r="D51">
            <v>44607</v>
          </cell>
          <cell r="E51">
            <v>0.8041666666666667</v>
          </cell>
          <cell r="F51">
            <v>44593</v>
          </cell>
          <cell r="G51">
            <v>44607</v>
          </cell>
          <cell r="H51">
            <v>0.86111111111111116</v>
          </cell>
          <cell r="I51">
            <v>5.6944444444444443E-2</v>
          </cell>
          <cell r="J51">
            <v>3</v>
          </cell>
          <cell r="K51" t="str">
            <v>FCB-PROTOCOL-01</v>
          </cell>
          <cell r="L51" t="str">
            <v>CLN/PRA/159</v>
          </cell>
          <cell r="M51" t="str">
            <v>Y</v>
          </cell>
          <cell r="N51" t="str">
            <v>Extended TAT_Hemarina</v>
          </cell>
          <cell r="O51" t="str">
            <v>Internal R&amp;D</v>
          </cell>
          <cell r="P51" t="str">
            <v>Q1 Passed</v>
          </cell>
          <cell r="Q51" t="str">
            <v>Q1 Passed</v>
          </cell>
          <cell r="R51" t="str">
            <v>Q1.5 Passed</v>
          </cell>
          <cell r="S51" t="str">
            <v>Q1.5 Passed</v>
          </cell>
          <cell r="V51" t="str">
            <v>Tumor content 25-60%.Immune component high</v>
          </cell>
          <cell r="W51" t="str">
            <v>Consultant</v>
          </cell>
          <cell r="X51" t="str">
            <v>Dr Prakash BV, Bangalore</v>
          </cell>
          <cell r="Y51" t="str">
            <v>Sri Lakshmi Hospital, Bangalore</v>
          </cell>
          <cell r="Z51" t="str">
            <v>Dr Prakash BV, Bangalore</v>
          </cell>
          <cell r="AA51" t="str">
            <v>HNSCC</v>
          </cell>
          <cell r="AC51" t="str">
            <v>Alveolus</v>
          </cell>
          <cell r="AD51" t="str">
            <v>Right Lower Alveolus</v>
          </cell>
          <cell r="AE51" t="str">
            <v>Male</v>
          </cell>
          <cell r="AF51">
            <v>50</v>
          </cell>
          <cell r="AG51" t="str">
            <v>N</v>
          </cell>
          <cell r="AH51">
            <v>5.6</v>
          </cell>
          <cell r="AI51" t="str">
            <v>Partha</v>
          </cell>
          <cell r="AJ51" t="str">
            <v>Surgery</v>
          </cell>
          <cell r="AK51" t="str">
            <v>Primary</v>
          </cell>
          <cell r="AS51" t="str">
            <v>Squamous Cell Carcinoma</v>
          </cell>
          <cell r="AV51">
            <v>44608</v>
          </cell>
          <cell r="AW51">
            <v>0.27083333333333331</v>
          </cell>
          <cell r="AX51">
            <v>0.80972222222222223</v>
          </cell>
          <cell r="AY51">
            <v>0.53888888888888886</v>
          </cell>
          <cell r="AZ51">
            <v>0.94861111111111107</v>
          </cell>
          <cell r="BA51">
            <v>5.5555555555555558E-3</v>
          </cell>
          <cell r="BB51" t="str">
            <v>1.0*1.4*1.8</v>
          </cell>
          <cell r="BC51" t="str">
            <v>1.0*1.4*1.8</v>
          </cell>
          <cell r="BD51" t="str">
            <v>Vibratome</v>
          </cell>
          <cell r="BE51">
            <v>4</v>
          </cell>
          <cell r="BF51" t="str">
            <v>Vasanth</v>
          </cell>
          <cell r="BG51" t="str">
            <v>Y</v>
          </cell>
        </row>
        <row r="52">
          <cell r="A52" t="str">
            <v>FBR1N220038-TAT24</v>
          </cell>
          <cell r="B52">
            <v>220038</v>
          </cell>
          <cell r="C52" t="str">
            <v>R&amp;D</v>
          </cell>
          <cell r="D52">
            <v>44607</v>
          </cell>
          <cell r="E52">
            <v>0.8041666666666667</v>
          </cell>
          <cell r="F52">
            <v>44593</v>
          </cell>
          <cell r="G52">
            <v>44607</v>
          </cell>
          <cell r="H52">
            <v>0.86111111111111116</v>
          </cell>
          <cell r="I52">
            <v>5.6944444444444443E-2</v>
          </cell>
          <cell r="J52">
            <v>3</v>
          </cell>
          <cell r="K52" t="str">
            <v>FCB-PROTOCOL-01</v>
          </cell>
          <cell r="L52" t="str">
            <v>CLN/PRA/159</v>
          </cell>
          <cell r="M52" t="str">
            <v>Y</v>
          </cell>
          <cell r="N52" t="str">
            <v>Extended TAT_Hemarina</v>
          </cell>
          <cell r="O52" t="str">
            <v>Internal R&amp;D</v>
          </cell>
          <cell r="P52" t="str">
            <v>Q1 Passed</v>
          </cell>
          <cell r="Q52" t="str">
            <v>Q1 Passed</v>
          </cell>
          <cell r="R52" t="str">
            <v>Q1.5 Passed</v>
          </cell>
          <cell r="S52" t="str">
            <v>Q1.5 Passed</v>
          </cell>
          <cell r="V52" t="str">
            <v>Tumor content 25-60%.Immune component high</v>
          </cell>
          <cell r="W52" t="str">
            <v>Consultant</v>
          </cell>
          <cell r="X52" t="str">
            <v>Dr Prakash BV, Bangalore</v>
          </cell>
          <cell r="Y52" t="str">
            <v>Sri Lakshmi Hospital, Bangalore</v>
          </cell>
          <cell r="Z52" t="str">
            <v>Dr Prakash BV, Bangalore</v>
          </cell>
          <cell r="AA52" t="str">
            <v>HNSCC</v>
          </cell>
          <cell r="AC52" t="str">
            <v>Alveolus</v>
          </cell>
          <cell r="AD52" t="str">
            <v>Right Lower Alveolus</v>
          </cell>
          <cell r="AE52" t="str">
            <v>Male</v>
          </cell>
          <cell r="AF52">
            <v>50</v>
          </cell>
          <cell r="AG52" t="str">
            <v>N</v>
          </cell>
          <cell r="AH52">
            <v>5.6</v>
          </cell>
          <cell r="AI52" t="str">
            <v>Partha</v>
          </cell>
          <cell r="AJ52" t="str">
            <v>Surgery</v>
          </cell>
          <cell r="AK52" t="str">
            <v>Primary</v>
          </cell>
          <cell r="AS52" t="str">
            <v>Squamous Cell Carcinoma</v>
          </cell>
          <cell r="AV52">
            <v>44608</v>
          </cell>
          <cell r="AW52">
            <v>0.27083333333333331</v>
          </cell>
          <cell r="AX52">
            <v>0.80972222222222223</v>
          </cell>
          <cell r="AY52">
            <v>0.53888888888888886</v>
          </cell>
          <cell r="AZ52">
            <v>0.94861111111111107</v>
          </cell>
          <cell r="BA52">
            <v>5.5555555555555558E-3</v>
          </cell>
          <cell r="BB52" t="str">
            <v>1.0*1.4*1.8</v>
          </cell>
          <cell r="BC52" t="str">
            <v>1.0*1.4*1.8</v>
          </cell>
          <cell r="BD52" t="str">
            <v>Vibratome</v>
          </cell>
          <cell r="BE52">
            <v>4</v>
          </cell>
          <cell r="BF52" t="str">
            <v>Vasanth</v>
          </cell>
          <cell r="BG52" t="str">
            <v>Y</v>
          </cell>
        </row>
        <row r="53">
          <cell r="A53" t="str">
            <v>FBR1K220039</v>
          </cell>
          <cell r="B53">
            <v>220039</v>
          </cell>
          <cell r="C53" t="str">
            <v>R&amp;D</v>
          </cell>
          <cell r="D53">
            <v>44607</v>
          </cell>
          <cell r="E53">
            <v>0.5625</v>
          </cell>
          <cell r="F53">
            <v>44593</v>
          </cell>
          <cell r="G53">
            <v>44607</v>
          </cell>
          <cell r="H53">
            <v>0.94097222222222221</v>
          </cell>
          <cell r="I53">
            <v>0.37847222222222221</v>
          </cell>
          <cell r="J53">
            <v>2</v>
          </cell>
          <cell r="K53" t="str">
            <v>FCB-PROTOCOL-01</v>
          </cell>
          <cell r="L53" t="str">
            <v>CLN/DBR/064</v>
          </cell>
          <cell r="M53" t="str">
            <v>Y</v>
          </cell>
          <cell r="N53" t="str">
            <v>DMS_v4(1K)</v>
          </cell>
          <cell r="O53" t="str">
            <v>Internal R&amp;D</v>
          </cell>
          <cell r="P53" t="str">
            <v>Q1 Passed</v>
          </cell>
          <cell r="Q53" t="str">
            <v>Q1 Passed</v>
          </cell>
          <cell r="R53" t="str">
            <v>Q1.5 Passed</v>
          </cell>
          <cell r="S53" t="str">
            <v>Q1.5 Passed</v>
          </cell>
          <cell r="V53" t="str">
            <v>Tumor content 15-70%.</v>
          </cell>
          <cell r="W53" t="str">
            <v>Clinic'les</v>
          </cell>
          <cell r="X53" t="str">
            <v>Clinic'les- DBR &amp; SK Hospital, Tirupati</v>
          </cell>
          <cell r="Y53" t="str">
            <v>DBR &amp; SK Hospital, Tirupati</v>
          </cell>
          <cell r="Z53" t="str">
            <v>Dr C Jayaprakash, Tirupati</v>
          </cell>
          <cell r="AA53" t="str">
            <v>HNSCC</v>
          </cell>
          <cell r="AC53" t="str">
            <v>Buccal Mucosa</v>
          </cell>
          <cell r="AD53" t="str">
            <v>Buccal Mucosa</v>
          </cell>
          <cell r="AE53" t="str">
            <v>Female</v>
          </cell>
          <cell r="AF53">
            <v>72</v>
          </cell>
          <cell r="AG53" t="str">
            <v>N</v>
          </cell>
          <cell r="AH53">
            <v>5.0999999999999996</v>
          </cell>
          <cell r="AI53" t="str">
            <v>Sashi</v>
          </cell>
          <cell r="AJ53" t="str">
            <v>Surgery</v>
          </cell>
          <cell r="AK53" t="str">
            <v>Primary</v>
          </cell>
          <cell r="AS53" t="str">
            <v>Squamous Cell Carcinoma</v>
          </cell>
          <cell r="AV53">
            <v>44607</v>
          </cell>
          <cell r="AW53">
            <v>0.9375</v>
          </cell>
          <cell r="AX53">
            <v>1.0104166666666667</v>
          </cell>
          <cell r="AY53">
            <v>7.2916666666666671E-2</v>
          </cell>
          <cell r="AZ53">
            <v>6.9444444444444448E-2</v>
          </cell>
          <cell r="BA53">
            <v>0.44791666666666669</v>
          </cell>
          <cell r="BB53" t="str">
            <v>1.0*1.8*1.8</v>
          </cell>
          <cell r="BC53" t="str">
            <v>1.0*1.8*1.8</v>
          </cell>
          <cell r="BD53" t="str">
            <v>Vibratome</v>
          </cell>
          <cell r="BE53">
            <v>4</v>
          </cell>
          <cell r="BF53" t="str">
            <v>Kowshik</v>
          </cell>
          <cell r="BG53" t="str">
            <v>Y</v>
          </cell>
        </row>
        <row r="54">
          <cell r="A54" t="str">
            <v>FBR1N220040-TAT0</v>
          </cell>
          <cell r="B54">
            <v>220040</v>
          </cell>
          <cell r="C54" t="str">
            <v>R&amp;D</v>
          </cell>
          <cell r="D54">
            <v>44609</v>
          </cell>
          <cell r="E54">
            <v>0.41805555555555557</v>
          </cell>
          <cell r="F54">
            <v>44593</v>
          </cell>
          <cell r="G54">
            <v>44609</v>
          </cell>
          <cell r="H54">
            <v>0.5625</v>
          </cell>
          <cell r="I54">
            <v>0.14444444444444443</v>
          </cell>
          <cell r="J54">
            <v>4</v>
          </cell>
          <cell r="K54" t="str">
            <v>FCB-PROTOCOL-01</v>
          </cell>
          <cell r="L54" t="str">
            <v>VYD/072</v>
          </cell>
          <cell r="M54" t="str">
            <v>Y</v>
          </cell>
          <cell r="N54" t="str">
            <v>Extended TAT_Hemarina</v>
          </cell>
          <cell r="O54" t="str">
            <v>Internal R&amp;D</v>
          </cell>
          <cell r="P54" t="str">
            <v>Q1 Passed</v>
          </cell>
          <cell r="Q54" t="str">
            <v>Q1 Passed</v>
          </cell>
          <cell r="R54" t="str">
            <v>Q1.5 Passed</v>
          </cell>
          <cell r="S54" t="str">
            <v>Q1.5 Passed</v>
          </cell>
          <cell r="V54" t="str">
            <v>Tumor content 5-90%. Immune component high</v>
          </cell>
          <cell r="W54" t="str">
            <v>Private Hospital</v>
          </cell>
          <cell r="X54" t="str">
            <v>Vydehi Hospital, Bangalore</v>
          </cell>
          <cell r="Y54" t="str">
            <v>Vydehi Hospital, Bangalore</v>
          </cell>
          <cell r="Z54" t="str">
            <v>Dr Amritha Prabha, Bangalore</v>
          </cell>
          <cell r="AA54" t="str">
            <v>HNSCC</v>
          </cell>
          <cell r="AC54" t="str">
            <v>Tongue</v>
          </cell>
          <cell r="AD54" t="str">
            <v>Left Lateral Border of Tongue</v>
          </cell>
          <cell r="AE54" t="str">
            <v>Male</v>
          </cell>
          <cell r="AF54">
            <v>47</v>
          </cell>
          <cell r="AG54" t="str">
            <v>N</v>
          </cell>
          <cell r="AH54">
            <v>4.9000000000000004</v>
          </cell>
          <cell r="AI54" t="str">
            <v>Kalappa</v>
          </cell>
          <cell r="AJ54" t="str">
            <v>Surgery</v>
          </cell>
          <cell r="AK54" t="str">
            <v>Primary</v>
          </cell>
          <cell r="AN54" t="str">
            <v>III</v>
          </cell>
          <cell r="AO54" t="str">
            <v>NA</v>
          </cell>
          <cell r="AP54" t="str">
            <v>pT3N0</v>
          </cell>
          <cell r="AS54" t="str">
            <v>Squamous Cell Carcinoma</v>
          </cell>
          <cell r="AT54" t="str">
            <v>Radiotherapy</v>
          </cell>
          <cell r="AU54" t="str">
            <v>Y</v>
          </cell>
          <cell r="AV54">
            <v>44609</v>
          </cell>
          <cell r="AW54">
            <v>0.625</v>
          </cell>
          <cell r="AX54">
            <v>0.67708333333333337</v>
          </cell>
          <cell r="AY54">
            <v>5.2083333333333336E-2</v>
          </cell>
          <cell r="AZ54">
            <v>0.11458333333333333</v>
          </cell>
          <cell r="BA54">
            <v>0.2590277777777778</v>
          </cell>
          <cell r="BB54" t="str">
            <v>0.6*0.8*1.8</v>
          </cell>
          <cell r="BC54" t="str">
            <v>0.6*0.8*1.8</v>
          </cell>
          <cell r="BD54" t="str">
            <v>Manual</v>
          </cell>
          <cell r="BE54">
            <v>4</v>
          </cell>
          <cell r="BF54" t="str">
            <v>Vasanth</v>
          </cell>
          <cell r="BG54" t="str">
            <v>Y</v>
          </cell>
        </row>
        <row r="55">
          <cell r="A55" t="str">
            <v>FBR1N220040-TAT24</v>
          </cell>
          <cell r="B55">
            <v>220040</v>
          </cell>
          <cell r="C55" t="str">
            <v>R&amp;D</v>
          </cell>
          <cell r="D55">
            <v>44609</v>
          </cell>
          <cell r="E55">
            <v>0.41805555555555557</v>
          </cell>
          <cell r="F55">
            <v>44593</v>
          </cell>
          <cell r="G55">
            <v>44609</v>
          </cell>
          <cell r="H55">
            <v>0.5625</v>
          </cell>
          <cell r="I55">
            <v>0.14444444444444443</v>
          </cell>
          <cell r="J55">
            <v>4</v>
          </cell>
          <cell r="K55" t="str">
            <v>FCB-PROTOCOL-01</v>
          </cell>
          <cell r="L55" t="str">
            <v>VYD/072</v>
          </cell>
          <cell r="M55" t="str">
            <v>Y</v>
          </cell>
          <cell r="N55" t="str">
            <v>Extended TAT_Hemarina</v>
          </cell>
          <cell r="O55" t="str">
            <v>Internal R&amp;D</v>
          </cell>
          <cell r="P55" t="str">
            <v>Q1 Passed</v>
          </cell>
          <cell r="Q55" t="str">
            <v>Q1 Passed</v>
          </cell>
          <cell r="R55" t="str">
            <v>Q1.5 Passed</v>
          </cell>
          <cell r="S55" t="str">
            <v>Q1.5 Passed</v>
          </cell>
          <cell r="V55" t="str">
            <v>Tumor content 5-90%. Immune component high</v>
          </cell>
          <cell r="W55" t="str">
            <v>Private Hospital</v>
          </cell>
          <cell r="X55" t="str">
            <v>Vydehi Hospital, Bangalore</v>
          </cell>
          <cell r="Y55" t="str">
            <v>Vydehi Hospital, Bangalore</v>
          </cell>
          <cell r="Z55" t="str">
            <v>Dr Amritha Prabha, Bangalore</v>
          </cell>
          <cell r="AA55" t="str">
            <v>HNSCC</v>
          </cell>
          <cell r="AC55" t="str">
            <v>Tongue</v>
          </cell>
          <cell r="AD55" t="str">
            <v>Left Lateral Border of Tongue</v>
          </cell>
          <cell r="AE55" t="str">
            <v>Male</v>
          </cell>
          <cell r="AF55">
            <v>47</v>
          </cell>
          <cell r="AG55" t="str">
            <v>N</v>
          </cell>
          <cell r="AH55">
            <v>4.9000000000000004</v>
          </cell>
          <cell r="AI55" t="str">
            <v>Kalappa</v>
          </cell>
          <cell r="AJ55" t="str">
            <v>Surgery</v>
          </cell>
          <cell r="AK55" t="str">
            <v>Primary</v>
          </cell>
          <cell r="AN55" t="str">
            <v>III</v>
          </cell>
          <cell r="AO55" t="str">
            <v>NA</v>
          </cell>
          <cell r="AP55" t="str">
            <v>pT3N0</v>
          </cell>
          <cell r="AS55" t="str">
            <v>Squamous Cell Carcinoma</v>
          </cell>
          <cell r="AT55" t="str">
            <v>Radiotherapy</v>
          </cell>
          <cell r="AU55" t="str">
            <v>Y</v>
          </cell>
          <cell r="AV55">
            <v>44609</v>
          </cell>
          <cell r="AW55">
            <v>0.625</v>
          </cell>
          <cell r="AX55">
            <v>0.67708333333333337</v>
          </cell>
          <cell r="AY55">
            <v>5.2083333333333336E-2</v>
          </cell>
          <cell r="AZ55">
            <v>0.11458333333333333</v>
          </cell>
          <cell r="BA55">
            <v>0.2590277777777778</v>
          </cell>
          <cell r="BB55" t="str">
            <v>0.6*0.8*1.8</v>
          </cell>
          <cell r="BC55" t="str">
            <v>0.6*0.8*1.8</v>
          </cell>
          <cell r="BD55" t="str">
            <v>Manual</v>
          </cell>
          <cell r="BE55">
            <v>4</v>
          </cell>
          <cell r="BF55" t="str">
            <v>Vasanth</v>
          </cell>
          <cell r="BG55" t="str">
            <v>Y</v>
          </cell>
        </row>
        <row r="56">
          <cell r="A56" t="str">
            <v>FBR1Q220041</v>
          </cell>
          <cell r="B56">
            <v>220041</v>
          </cell>
          <cell r="C56" t="str">
            <v>R&amp;D</v>
          </cell>
          <cell r="D56">
            <v>44609</v>
          </cell>
          <cell r="E56">
            <v>0.51527777777777772</v>
          </cell>
          <cell r="F56">
            <v>44593</v>
          </cell>
          <cell r="G56">
            <v>44609</v>
          </cell>
          <cell r="H56">
            <v>0.5625</v>
          </cell>
          <cell r="I56">
            <v>4.7222222222222221E-2</v>
          </cell>
          <cell r="J56">
            <v>6</v>
          </cell>
          <cell r="K56" t="str">
            <v>FCB-PROTOCOL-01</v>
          </cell>
          <cell r="L56" t="str">
            <v>VYD/073</v>
          </cell>
          <cell r="M56" t="str">
            <v>Y</v>
          </cell>
          <cell r="N56" t="str">
            <v>COSv4.1_CaBR</v>
          </cell>
          <cell r="O56" t="str">
            <v>Internal R&amp;D</v>
          </cell>
          <cell r="P56" t="str">
            <v>Q1 Passed</v>
          </cell>
          <cell r="Q56" t="str">
            <v>Q1 Rejected</v>
          </cell>
          <cell r="R56" t="str">
            <v>Q1.5 Passed</v>
          </cell>
          <cell r="S56" t="str">
            <v>Q1.5 Passed</v>
          </cell>
          <cell r="T56" t="str">
            <v>Blood sample clotted</v>
          </cell>
          <cell r="V56" t="str">
            <v>Tumor content 0-4%,many  hemosiderin laden macrophages in a background of active stroma</v>
          </cell>
          <cell r="W56" t="str">
            <v>Private Hospital</v>
          </cell>
          <cell r="X56" t="str">
            <v>Vydehi Hospital, Bangalore</v>
          </cell>
          <cell r="Y56" t="str">
            <v>Vydehi Hospital, Bangalore</v>
          </cell>
          <cell r="Z56" t="str">
            <v>Dr Amritha Prabha, Bangalore</v>
          </cell>
          <cell r="AA56" t="str">
            <v>Ca Breast</v>
          </cell>
          <cell r="AC56" t="str">
            <v>Breast</v>
          </cell>
          <cell r="AD56" t="str">
            <v>Breast</v>
          </cell>
          <cell r="AE56" t="str">
            <v>Female</v>
          </cell>
          <cell r="AF56">
            <v>49</v>
          </cell>
          <cell r="AG56" t="str">
            <v>N</v>
          </cell>
          <cell r="AH56">
            <v>4.9000000000000004</v>
          </cell>
          <cell r="AI56" t="str">
            <v>Kalappa</v>
          </cell>
          <cell r="AJ56" t="str">
            <v>Surgery</v>
          </cell>
          <cell r="AK56" t="str">
            <v>Primary</v>
          </cell>
          <cell r="AL56" t="str">
            <v>Chemotherapy</v>
          </cell>
          <cell r="AN56" t="str">
            <v>IIB</v>
          </cell>
          <cell r="AO56" t="str">
            <v>NA</v>
          </cell>
          <cell r="AP56" t="str">
            <v>pT3N0</v>
          </cell>
          <cell r="AQ56" t="str">
            <v>8 cycles</v>
          </cell>
          <cell r="AR56" t="str">
            <v>4AC+ 4Paclitaxel</v>
          </cell>
          <cell r="AS56" t="str">
            <v>ER-, PR-, HER2 Equivocal; Infiltrating Ductal Carcinoma</v>
          </cell>
          <cell r="AT56" t="str">
            <v>Radiotherapy</v>
          </cell>
          <cell r="AV56">
            <v>44609</v>
          </cell>
          <cell r="AW56">
            <v>0.61458333333333337</v>
          </cell>
          <cell r="AX56">
            <v>0.65277777777777779</v>
          </cell>
          <cell r="AY56">
            <v>3.8194444444444448E-2</v>
          </cell>
          <cell r="AZ56">
            <v>9.0277777777777776E-2</v>
          </cell>
          <cell r="BA56">
            <v>0.13750000000000001</v>
          </cell>
          <cell r="BB56" t="str">
            <v>1.2*2.0*2.2
1.0*2.0*2.2</v>
          </cell>
          <cell r="BC56" t="str">
            <v>1.0*2.0*2.2</v>
          </cell>
          <cell r="BD56" t="str">
            <v>Manual</v>
          </cell>
          <cell r="BE56">
            <v>4</v>
          </cell>
          <cell r="BF56" t="str">
            <v>Mani</v>
          </cell>
          <cell r="BG56" t="str">
            <v>Y</v>
          </cell>
        </row>
        <row r="57">
          <cell r="A57" t="str">
            <v>FBR1K220042</v>
          </cell>
          <cell r="B57">
            <v>220042</v>
          </cell>
          <cell r="C57" t="str">
            <v>R&amp;D</v>
          </cell>
          <cell r="D57">
            <v>44610</v>
          </cell>
          <cell r="E57">
            <v>0.43263888888888891</v>
          </cell>
          <cell r="F57">
            <v>44593</v>
          </cell>
          <cell r="G57">
            <v>44610</v>
          </cell>
          <cell r="H57">
            <v>0.48472222222222222</v>
          </cell>
          <cell r="I57">
            <v>5.2083333333333336E-2</v>
          </cell>
          <cell r="J57">
            <v>5</v>
          </cell>
          <cell r="K57" t="str">
            <v>FCB-PROTOCOL-01</v>
          </cell>
          <cell r="L57" t="str">
            <v>VYD/074</v>
          </cell>
          <cell r="M57" t="str">
            <v>Y</v>
          </cell>
          <cell r="N57" t="str">
            <v>DMS_v4(1K)</v>
          </cell>
          <cell r="O57" t="str">
            <v>Internal R&amp;D</v>
          </cell>
          <cell r="P57" t="str">
            <v>Q1 Passed</v>
          </cell>
          <cell r="Q57" t="str">
            <v>Q1 Passed</v>
          </cell>
          <cell r="R57" t="str">
            <v>Q1.5 Passed</v>
          </cell>
          <cell r="S57" t="str">
            <v>Q1.5 Passed</v>
          </cell>
          <cell r="V57" t="str">
            <v>Tumor content 3-15%</v>
          </cell>
          <cell r="W57" t="str">
            <v>Private Hospital</v>
          </cell>
          <cell r="X57" t="str">
            <v>Vydehi Hospital, Bangalore</v>
          </cell>
          <cell r="Y57" t="str">
            <v>Vydehi Hospital, Bangalore</v>
          </cell>
          <cell r="Z57" t="str">
            <v>Dr Amritha Prabha, Bangalore</v>
          </cell>
          <cell r="AA57" t="str">
            <v>HNSCC</v>
          </cell>
          <cell r="AC57" t="str">
            <v>Buccal Mucosa</v>
          </cell>
          <cell r="AD57" t="str">
            <v>Left Buccal Mucosa</v>
          </cell>
          <cell r="AE57" t="str">
            <v>Male</v>
          </cell>
          <cell r="AF57">
            <v>67</v>
          </cell>
          <cell r="AG57" t="str">
            <v>N</v>
          </cell>
          <cell r="AH57">
            <v>4.2</v>
          </cell>
          <cell r="AI57" t="str">
            <v>Kalappa</v>
          </cell>
          <cell r="AJ57" t="str">
            <v>Surgery</v>
          </cell>
          <cell r="AK57" t="str">
            <v>Primary</v>
          </cell>
          <cell r="AL57" t="str">
            <v>Radiotherapy</v>
          </cell>
          <cell r="AN57" t="str">
            <v>IVA</v>
          </cell>
          <cell r="AO57">
            <v>2</v>
          </cell>
          <cell r="AP57" t="str">
            <v>pT4N0</v>
          </cell>
          <cell r="AS57" t="str">
            <v>Squamous Cell Carcinoma</v>
          </cell>
          <cell r="AV57">
            <v>44610</v>
          </cell>
          <cell r="AW57">
            <v>0.625</v>
          </cell>
          <cell r="AX57">
            <v>0.72916666666666663</v>
          </cell>
          <cell r="AY57">
            <v>0.10416666666666667</v>
          </cell>
          <cell r="AZ57">
            <v>0.24444444444444444</v>
          </cell>
          <cell r="BA57">
            <v>0.29652777777777778</v>
          </cell>
          <cell r="BB57" t="str">
            <v>1.4*4.0*4.0</v>
          </cell>
          <cell r="BC57" t="str">
            <v>1.0*1.6*2.6</v>
          </cell>
          <cell r="BD57" t="str">
            <v>Vibratome</v>
          </cell>
          <cell r="BE57">
            <v>4</v>
          </cell>
          <cell r="BF57" t="str">
            <v>Vasanth</v>
          </cell>
          <cell r="BG57" t="str">
            <v>Y</v>
          </cell>
        </row>
        <row r="58">
          <cell r="A58" t="str">
            <v>FBR1K220043</v>
          </cell>
          <cell r="B58">
            <v>220043</v>
          </cell>
          <cell r="C58" t="str">
            <v>R&amp;D</v>
          </cell>
          <cell r="D58">
            <v>44610</v>
          </cell>
          <cell r="E58">
            <v>0.53819444444444442</v>
          </cell>
          <cell r="F58">
            <v>44593</v>
          </cell>
          <cell r="G58">
            <v>44610</v>
          </cell>
          <cell r="H58">
            <v>0.87152777777777779</v>
          </cell>
          <cell r="I58">
            <v>0.33333333333333331</v>
          </cell>
          <cell r="J58">
            <v>2</v>
          </cell>
          <cell r="K58" t="str">
            <v>FCB-PROTOCOL-01</v>
          </cell>
          <cell r="L58" t="str">
            <v>CLN/DBR/065</v>
          </cell>
          <cell r="M58" t="str">
            <v>Y</v>
          </cell>
          <cell r="N58" t="str">
            <v>DMS_v4(1K)</v>
          </cell>
          <cell r="O58" t="str">
            <v>Internal R&amp;D</v>
          </cell>
          <cell r="P58" t="str">
            <v>Q1 Passed</v>
          </cell>
          <cell r="Q58" t="str">
            <v>Q1 Passed</v>
          </cell>
          <cell r="R58" t="str">
            <v>Q1.5 Passed</v>
          </cell>
          <cell r="S58" t="str">
            <v>Q1.5 Passed</v>
          </cell>
          <cell r="V58" t="str">
            <v>Tumor content 5-70%. Immune component high</v>
          </cell>
          <cell r="W58" t="str">
            <v>Clinic'les</v>
          </cell>
          <cell r="X58" t="str">
            <v>Clinic'les- DBR &amp; SK Hospital, Tirupati</v>
          </cell>
          <cell r="Y58" t="str">
            <v>DBR &amp; SK Hospital, Tirupati</v>
          </cell>
          <cell r="Z58" t="str">
            <v>Dr C Jayaprakash, Tirupati</v>
          </cell>
          <cell r="AA58" t="str">
            <v>HNSCC</v>
          </cell>
          <cell r="AC58" t="str">
            <v>Buccal Mucosa</v>
          </cell>
          <cell r="AD58" t="str">
            <v>Buccal Mucosa</v>
          </cell>
          <cell r="AE58" t="str">
            <v>Male</v>
          </cell>
          <cell r="AF58">
            <v>60</v>
          </cell>
          <cell r="AG58" t="str">
            <v>N</v>
          </cell>
          <cell r="AH58">
            <v>5.4</v>
          </cell>
          <cell r="AI58" t="str">
            <v>Partha</v>
          </cell>
          <cell r="AJ58" t="str">
            <v>Surgery</v>
          </cell>
          <cell r="AK58" t="str">
            <v>Primary</v>
          </cell>
          <cell r="AN58" t="str">
            <v>IV</v>
          </cell>
          <cell r="AP58" t="str">
            <v>T4aN3bMX</v>
          </cell>
          <cell r="AS58" t="str">
            <v>Squamous Cell Carcinoma</v>
          </cell>
          <cell r="AV58">
            <v>44610</v>
          </cell>
          <cell r="AX58">
            <v>0.96527777777777779</v>
          </cell>
          <cell r="AY58">
            <v>0.96527777777777779</v>
          </cell>
          <cell r="AZ58">
            <v>9.375E-2</v>
          </cell>
          <cell r="BA58">
            <v>0.42708333333333331</v>
          </cell>
          <cell r="BB58" t="str">
            <v>0.4*0.4*1.4
0.6*1.6*1.4</v>
          </cell>
          <cell r="BC58" t="str">
            <v>0.4*0.4*1.4
0.6*1.6*1.4</v>
          </cell>
          <cell r="BD58" t="str">
            <v>Vibratome</v>
          </cell>
          <cell r="BE58">
            <v>4</v>
          </cell>
          <cell r="BF58" t="str">
            <v>Gowri</v>
          </cell>
          <cell r="BG58" t="str">
            <v>Y</v>
          </cell>
        </row>
        <row r="59">
          <cell r="A59" t="str">
            <v>FBR1M220044</v>
          </cell>
          <cell r="B59">
            <v>220044</v>
          </cell>
          <cell r="C59" t="str">
            <v>R&amp;D</v>
          </cell>
          <cell r="D59">
            <v>44613</v>
          </cell>
          <cell r="E59">
            <v>0.54861111111111116</v>
          </cell>
          <cell r="F59">
            <v>44593</v>
          </cell>
          <cell r="G59">
            <v>44613</v>
          </cell>
          <cell r="H59">
            <v>0.60416666666666663</v>
          </cell>
          <cell r="I59">
            <v>5.5555555555555552E-2</v>
          </cell>
          <cell r="J59">
            <v>85</v>
          </cell>
          <cell r="K59" t="str">
            <v>FCB-PROTOCOL-01</v>
          </cell>
          <cell r="L59" t="str">
            <v>VYD/075</v>
          </cell>
          <cell r="M59" t="str">
            <v>Y</v>
          </cell>
          <cell r="N59" t="str">
            <v>DMS_RCC</v>
          </cell>
          <cell r="O59" t="str">
            <v>Internal R&amp;D</v>
          </cell>
          <cell r="P59" t="str">
            <v>Q1 Passed</v>
          </cell>
          <cell r="Q59" t="str">
            <v>Q1 Passed</v>
          </cell>
          <cell r="R59" t="str">
            <v>Q1.5 Passed</v>
          </cell>
          <cell r="S59" t="str">
            <v>Q1.5 Passed</v>
          </cell>
          <cell r="V59" t="str">
            <v xml:space="preserve">No tumor </v>
          </cell>
          <cell r="W59" t="str">
            <v>Private Hospital</v>
          </cell>
          <cell r="X59" t="str">
            <v>Vydehi Hospital, Bangalore</v>
          </cell>
          <cell r="Y59" t="str">
            <v>Vydehi Hospital, Bangalore</v>
          </cell>
          <cell r="Z59" t="str">
            <v>Dr Amritha Prabha, Bangalore</v>
          </cell>
          <cell r="AA59" t="str">
            <v>RCC</v>
          </cell>
          <cell r="AC59" t="str">
            <v>Kidney</v>
          </cell>
          <cell r="AD59" t="str">
            <v>Left Kidney</v>
          </cell>
          <cell r="AE59" t="str">
            <v>Male</v>
          </cell>
          <cell r="AF59">
            <v>37</v>
          </cell>
          <cell r="AG59" t="str">
            <v>N</v>
          </cell>
          <cell r="AH59">
            <v>5.6</v>
          </cell>
          <cell r="AI59" t="str">
            <v>Partha</v>
          </cell>
          <cell r="AJ59" t="str">
            <v>Surgery</v>
          </cell>
          <cell r="AK59" t="str">
            <v>Primary</v>
          </cell>
          <cell r="AN59" t="str">
            <v>III</v>
          </cell>
          <cell r="AO59">
            <v>3</v>
          </cell>
          <cell r="AP59" t="str">
            <v>pT3N1</v>
          </cell>
          <cell r="AS59" t="str">
            <v>Renal Cell Carcinoma</v>
          </cell>
          <cell r="AV59">
            <v>44613</v>
          </cell>
          <cell r="AW59">
            <v>0.625</v>
          </cell>
          <cell r="AX59">
            <v>0.71527777777777779</v>
          </cell>
          <cell r="AY59">
            <v>9.0277777777777776E-2</v>
          </cell>
          <cell r="AZ59">
            <v>0.1111111111111111</v>
          </cell>
          <cell r="BA59">
            <v>0.16666666666666666</v>
          </cell>
          <cell r="BB59" t="str">
            <v>0.8*1.0*1.6</v>
          </cell>
          <cell r="BC59" t="str">
            <v>0.8*1.0*1.6</v>
          </cell>
          <cell r="BD59" t="str">
            <v>Vibratome</v>
          </cell>
          <cell r="BE59">
            <v>4</v>
          </cell>
          <cell r="BF59" t="str">
            <v>Mani</v>
          </cell>
          <cell r="BG59" t="str">
            <v>Y</v>
          </cell>
        </row>
        <row r="60">
          <cell r="A60" t="str">
            <v>FBR1M220045</v>
          </cell>
          <cell r="B60">
            <v>220045</v>
          </cell>
          <cell r="C60" t="str">
            <v>R&amp;D</v>
          </cell>
          <cell r="D60">
            <v>44614</v>
          </cell>
          <cell r="E60">
            <v>0.5541666666666667</v>
          </cell>
          <cell r="F60">
            <v>44593</v>
          </cell>
          <cell r="G60">
            <v>44614</v>
          </cell>
          <cell r="H60">
            <v>0.86458333333333337</v>
          </cell>
          <cell r="I60">
            <v>0.31041666666666667</v>
          </cell>
          <cell r="J60">
            <v>2</v>
          </cell>
          <cell r="K60" t="str">
            <v>FCB-PROTOCOL-01</v>
          </cell>
          <cell r="L60" t="str">
            <v>CLN/DBR/066</v>
          </cell>
          <cell r="M60" t="str">
            <v>Y</v>
          </cell>
          <cell r="N60" t="str">
            <v>DMS_RCC</v>
          </cell>
          <cell r="O60" t="str">
            <v>Internal R&amp;D</v>
          </cell>
          <cell r="P60" t="str">
            <v>Q1 Passed</v>
          </cell>
          <cell r="Q60" t="str">
            <v>Q1 Passed</v>
          </cell>
          <cell r="R60" t="str">
            <v>Q1.5 Passed</v>
          </cell>
          <cell r="S60" t="str">
            <v>Q1.5 Passed</v>
          </cell>
          <cell r="V60" t="str">
            <v>Tumor in 3/7 explants 40-80%</v>
          </cell>
          <cell r="W60" t="str">
            <v>Clinic'les</v>
          </cell>
          <cell r="X60" t="str">
            <v>Clinic'les- DBR &amp; SK Hospital, Tirupati</v>
          </cell>
          <cell r="Y60" t="str">
            <v>DBR &amp; SK Hospital, Tirupati</v>
          </cell>
          <cell r="Z60" t="str">
            <v>Dr C Jayaprakash, Tirupati</v>
          </cell>
          <cell r="AA60" t="str">
            <v>RCC</v>
          </cell>
          <cell r="AC60" t="str">
            <v>Kidney</v>
          </cell>
          <cell r="AD60" t="str">
            <v>Left Kidney</v>
          </cell>
          <cell r="AE60" t="str">
            <v>Female</v>
          </cell>
          <cell r="AF60">
            <v>62</v>
          </cell>
          <cell r="AG60" t="str">
            <v>N</v>
          </cell>
          <cell r="AH60">
            <v>5.0999999999999996</v>
          </cell>
          <cell r="AI60" t="str">
            <v>Sashi</v>
          </cell>
          <cell r="AJ60" t="str">
            <v>Surgery</v>
          </cell>
          <cell r="AK60" t="str">
            <v>Primary</v>
          </cell>
          <cell r="AV60">
            <v>44614</v>
          </cell>
          <cell r="AW60">
            <v>0.88055555555555554</v>
          </cell>
          <cell r="AX60">
            <v>1</v>
          </cell>
          <cell r="AY60">
            <v>0.11944444444444445</v>
          </cell>
          <cell r="AZ60">
            <v>0.13541666666666666</v>
          </cell>
          <cell r="BA60">
            <v>0.44583333333333336</v>
          </cell>
          <cell r="BB60" t="str">
            <v>1.2*2.4*1.8
1.6*2.8*1.7</v>
          </cell>
          <cell r="BC60" t="str">
            <v>1.2*2.4*1.8
1.6*2.8*1.7</v>
          </cell>
          <cell r="BD60" t="str">
            <v>Vibratome</v>
          </cell>
          <cell r="BE60">
            <v>4</v>
          </cell>
          <cell r="BF60" t="str">
            <v>Gowri</v>
          </cell>
          <cell r="BG60" t="str">
            <v>N</v>
          </cell>
        </row>
        <row r="61">
          <cell r="A61" t="str">
            <v>FBR1M220046</v>
          </cell>
          <cell r="B61">
            <v>220046</v>
          </cell>
          <cell r="C61" t="str">
            <v>R&amp;D</v>
          </cell>
          <cell r="D61">
            <v>44615</v>
          </cell>
          <cell r="E61">
            <v>0.54305555555555551</v>
          </cell>
          <cell r="F61">
            <v>44593</v>
          </cell>
          <cell r="G61">
            <v>44615</v>
          </cell>
          <cell r="H61">
            <v>0.80555555555555558</v>
          </cell>
          <cell r="I61">
            <v>0.26250000000000001</v>
          </cell>
          <cell r="J61">
            <v>2</v>
          </cell>
          <cell r="K61" t="str">
            <v>FCB-PROTOCOL-01</v>
          </cell>
          <cell r="L61" t="str">
            <v>CLN/JSS/002</v>
          </cell>
          <cell r="M61" t="str">
            <v>Y</v>
          </cell>
          <cell r="N61" t="str">
            <v>DMS_RCC</v>
          </cell>
          <cell r="O61" t="str">
            <v>Internal R&amp;D</v>
          </cell>
          <cell r="P61" t="str">
            <v>Q1 Passed</v>
          </cell>
          <cell r="Q61" t="str">
            <v>Q1 Passed</v>
          </cell>
          <cell r="R61" t="str">
            <v>Q1.5 Passed</v>
          </cell>
          <cell r="S61" t="str">
            <v>Q1.5 Rejected</v>
          </cell>
          <cell r="V61" t="str">
            <v>No tumor</v>
          </cell>
          <cell r="W61" t="str">
            <v>Clinic'les</v>
          </cell>
          <cell r="X61" t="str">
            <v>Clinic'les- Dr Ravi Krishnappa, Mysore</v>
          </cell>
          <cell r="Y61" t="str">
            <v>JSS Hospital, Mysore</v>
          </cell>
          <cell r="Z61" t="str">
            <v>Dr Ravi Krishnappa, Mysore</v>
          </cell>
          <cell r="AA61" t="str">
            <v>RCC</v>
          </cell>
          <cell r="AC61" t="str">
            <v>Kidney</v>
          </cell>
          <cell r="AD61" t="str">
            <v>Right Kidney</v>
          </cell>
          <cell r="AE61" t="str">
            <v>Male</v>
          </cell>
          <cell r="AF61">
            <v>59</v>
          </cell>
          <cell r="AG61" t="str">
            <v>N</v>
          </cell>
          <cell r="AH61">
            <v>5.0999999999999996</v>
          </cell>
          <cell r="AI61" t="str">
            <v>Sashi</v>
          </cell>
          <cell r="AJ61" t="str">
            <v>Surgery</v>
          </cell>
          <cell r="AK61" t="str">
            <v>Primary</v>
          </cell>
          <cell r="AP61" t="str">
            <v>pT4aNxMx</v>
          </cell>
          <cell r="AV61">
            <v>44615</v>
          </cell>
          <cell r="AW61">
            <v>0.82361111111111107</v>
          </cell>
          <cell r="AX61">
            <v>0.875</v>
          </cell>
          <cell r="AY61">
            <v>5.1388888888888887E-2</v>
          </cell>
          <cell r="AZ61">
            <v>6.9444444444444448E-2</v>
          </cell>
          <cell r="BA61">
            <v>0.33194444444444443</v>
          </cell>
          <cell r="BB61" t="str">
            <v>0.4*1.4*1.2
0.4*2.6*2.4
0.4*2.2*5.4</v>
          </cell>
          <cell r="BC61" t="str">
            <v>0.4*1.4*1.2
0.4*2.6*2.4
0.4*2.2*5.4</v>
          </cell>
          <cell r="BD61" t="str">
            <v>Manual</v>
          </cell>
          <cell r="BE61">
            <v>4</v>
          </cell>
          <cell r="BF61" t="str">
            <v>Gowri</v>
          </cell>
          <cell r="BG61" t="str">
            <v>Y</v>
          </cell>
        </row>
        <row r="62">
          <cell r="A62" t="str">
            <v>FBR1K220047</v>
          </cell>
          <cell r="B62">
            <v>220047</v>
          </cell>
          <cell r="C62" t="str">
            <v>R&amp;D</v>
          </cell>
          <cell r="D62">
            <v>44615</v>
          </cell>
          <cell r="E62">
            <v>0.95833333333333337</v>
          </cell>
          <cell r="F62">
            <v>44593</v>
          </cell>
          <cell r="G62">
            <v>44616</v>
          </cell>
          <cell r="H62">
            <v>3.472222222222222E-3</v>
          </cell>
          <cell r="I62">
            <v>4.5138888888888888E-2</v>
          </cell>
          <cell r="J62">
            <v>5</v>
          </cell>
          <cell r="K62" t="str">
            <v>FCB-PROTOCOL-01</v>
          </cell>
          <cell r="L62" t="str">
            <v>CLN/PRA/160</v>
          </cell>
          <cell r="M62" t="str">
            <v>Y</v>
          </cell>
          <cell r="N62" t="str">
            <v>DMS_v4(1K)</v>
          </cell>
          <cell r="O62" t="str">
            <v>Internal R&amp;D</v>
          </cell>
          <cell r="P62" t="str">
            <v>Q1 Passed</v>
          </cell>
          <cell r="Q62" t="str">
            <v>Q1 Passed</v>
          </cell>
          <cell r="R62" t="str">
            <v>Q1.5 Passed</v>
          </cell>
          <cell r="S62" t="str">
            <v>Q1.5 Passed</v>
          </cell>
          <cell r="V62" t="str">
            <v>Tumor content 5-60%</v>
          </cell>
          <cell r="W62" t="str">
            <v>Consultant</v>
          </cell>
          <cell r="X62" t="str">
            <v>Dr Prakash BV, Bangalore</v>
          </cell>
          <cell r="Y62" t="str">
            <v>Sri Lakshmi Hospital, Bangalore</v>
          </cell>
          <cell r="Z62" t="str">
            <v>Dr Prakash BV, Bangalore</v>
          </cell>
          <cell r="AA62" t="str">
            <v>HNSCC</v>
          </cell>
          <cell r="AC62" t="str">
            <v>Buccal Mucosa</v>
          </cell>
          <cell r="AD62" t="str">
            <v>Left Buccal Mucosa &amp; RMT</v>
          </cell>
          <cell r="AE62" t="str">
            <v>Male</v>
          </cell>
          <cell r="AF62">
            <v>45</v>
          </cell>
          <cell r="AG62" t="str">
            <v>N</v>
          </cell>
          <cell r="AH62">
            <v>4.5</v>
          </cell>
          <cell r="AI62" t="str">
            <v>Kalappa</v>
          </cell>
          <cell r="AJ62" t="str">
            <v>Surgery</v>
          </cell>
          <cell r="AK62" t="str">
            <v>Primary</v>
          </cell>
          <cell r="AN62" t="str">
            <v>III</v>
          </cell>
          <cell r="AO62">
            <v>2</v>
          </cell>
          <cell r="AP62" t="str">
            <v>pT3N1</v>
          </cell>
          <cell r="AS62" t="str">
            <v>Squamous Cell Carcinoma</v>
          </cell>
          <cell r="AV62">
            <v>44616</v>
          </cell>
          <cell r="AW62">
            <v>0.41666666666666669</v>
          </cell>
          <cell r="AX62">
            <v>0.5</v>
          </cell>
          <cell r="AY62">
            <v>8.3333333333333329E-2</v>
          </cell>
          <cell r="AZ62">
            <v>0.49652777777777779</v>
          </cell>
          <cell r="BA62">
            <v>0.54166666666666663</v>
          </cell>
          <cell r="BB62" t="str">
            <v>1.0*1.4*1.2
1.6*1.6*1.2</v>
          </cell>
          <cell r="BC62" t="str">
            <v>1.0*1.4*1.2
1.6*1.6*1.2</v>
          </cell>
          <cell r="BD62" t="str">
            <v>Vibratome</v>
          </cell>
          <cell r="BE62">
            <v>4</v>
          </cell>
          <cell r="BF62" t="str">
            <v>Gowri</v>
          </cell>
          <cell r="BG62" t="str">
            <v>Y</v>
          </cell>
        </row>
        <row r="63">
          <cell r="A63">
            <v>220048</v>
          </cell>
          <cell r="B63">
            <v>220048</v>
          </cell>
          <cell r="C63" t="str">
            <v>R&amp;D</v>
          </cell>
          <cell r="D63">
            <v>44616</v>
          </cell>
          <cell r="E63">
            <v>0.54027777777777775</v>
          </cell>
          <cell r="F63">
            <v>44593</v>
          </cell>
          <cell r="G63">
            <v>44616</v>
          </cell>
          <cell r="H63">
            <v>0.92361111111111116</v>
          </cell>
          <cell r="I63">
            <v>0.38333333333333336</v>
          </cell>
          <cell r="J63">
            <v>2</v>
          </cell>
          <cell r="K63" t="str">
            <v>FCB-PROTOCOL-01</v>
          </cell>
          <cell r="L63" t="str">
            <v>CLN/DBR/067</v>
          </cell>
          <cell r="M63" t="str">
            <v>Y</v>
          </cell>
          <cell r="N63" t="str">
            <v>No Study</v>
          </cell>
          <cell r="O63" t="str">
            <v>1st level attrition</v>
          </cell>
          <cell r="P63" t="str">
            <v>Q1 Rejected</v>
          </cell>
          <cell r="R63" t="str">
            <v>Q1.5 Rejected</v>
          </cell>
          <cell r="S63" t="str">
            <v>Q1.5 Rejected</v>
          </cell>
          <cell r="T63" t="str">
            <v>Sample height was small</v>
          </cell>
          <cell r="V63" t="str">
            <v>Tumor content 45-95%</v>
          </cell>
          <cell r="W63" t="str">
            <v>Clinic'les</v>
          </cell>
          <cell r="X63" t="str">
            <v>Clinic'les- DBR &amp; SK Hospital, Tirupati</v>
          </cell>
          <cell r="Y63" t="str">
            <v>DBR &amp; SK Hospital, Tirupati</v>
          </cell>
          <cell r="Z63" t="str">
            <v>Dr C Jayaprakash, Tirupati</v>
          </cell>
          <cell r="AA63" t="str">
            <v>HNSCC</v>
          </cell>
          <cell r="AC63" t="str">
            <v>Buccal Mucosa</v>
          </cell>
          <cell r="AD63" t="str">
            <v>Buccal Mucosa</v>
          </cell>
          <cell r="AE63" t="str">
            <v>Female</v>
          </cell>
          <cell r="AF63">
            <v>36</v>
          </cell>
          <cell r="AG63" t="str">
            <v>N</v>
          </cell>
          <cell r="AH63">
            <v>4.8</v>
          </cell>
          <cell r="AI63" t="str">
            <v>Partha</v>
          </cell>
          <cell r="AJ63" t="str">
            <v>Surgery</v>
          </cell>
          <cell r="AK63" t="str">
            <v>Primary</v>
          </cell>
          <cell r="AS63" t="str">
            <v>Squamous Cell Carcinoma</v>
          </cell>
          <cell r="AV63">
            <v>44616</v>
          </cell>
          <cell r="AW63">
            <v>0.94444444444444442</v>
          </cell>
          <cell r="AX63">
            <v>0.97222222222222221</v>
          </cell>
          <cell r="AY63">
            <v>2.7777777777777776E-2</v>
          </cell>
          <cell r="AZ63">
            <v>4.8611111111111112E-2</v>
          </cell>
          <cell r="BA63">
            <v>0.43194444444444446</v>
          </cell>
          <cell r="BB63" t="str">
            <v>0.55*1.2*1.2</v>
          </cell>
          <cell r="BC63" t="str">
            <v>0.55*1.2*1.2</v>
          </cell>
          <cell r="BD63" t="str">
            <v>Manual</v>
          </cell>
          <cell r="BE63">
            <v>4</v>
          </cell>
          <cell r="BF63" t="str">
            <v>Vasanth</v>
          </cell>
          <cell r="BG63" t="str">
            <v>Y</v>
          </cell>
        </row>
        <row r="64">
          <cell r="A64" t="str">
            <v>FBR1K220049</v>
          </cell>
          <cell r="B64">
            <v>220049</v>
          </cell>
          <cell r="C64" t="str">
            <v>R&amp;D</v>
          </cell>
          <cell r="D64">
            <v>44617</v>
          </cell>
          <cell r="E64">
            <v>0.94791666666666663</v>
          </cell>
          <cell r="F64">
            <v>44593</v>
          </cell>
          <cell r="G64">
            <v>44617</v>
          </cell>
          <cell r="H64">
            <v>0.9868055555555556</v>
          </cell>
          <cell r="I64">
            <v>3.888888888888889E-2</v>
          </cell>
          <cell r="J64">
            <v>3</v>
          </cell>
          <cell r="K64" t="str">
            <v>FCB-PROTOCOL-01</v>
          </cell>
          <cell r="L64" t="str">
            <v>CLN/PRA/161</v>
          </cell>
          <cell r="M64" t="str">
            <v>Y</v>
          </cell>
          <cell r="N64" t="str">
            <v>DMS_v4(1K)</v>
          </cell>
          <cell r="O64" t="str">
            <v>Internal R&amp;D</v>
          </cell>
          <cell r="P64" t="str">
            <v>Q1 Passed</v>
          </cell>
          <cell r="Q64" t="str">
            <v>Q1 Passed</v>
          </cell>
          <cell r="R64" t="str">
            <v>Q1.5 Passed</v>
          </cell>
          <cell r="S64" t="str">
            <v>Q1.5 Passed</v>
          </cell>
          <cell r="V64" t="str">
            <v>Tumor content 8-75%</v>
          </cell>
          <cell r="W64" t="str">
            <v>Consultant</v>
          </cell>
          <cell r="X64" t="str">
            <v>Dr Prakash BV, Bangalore</v>
          </cell>
          <cell r="Y64" t="str">
            <v>Sri Lakshmi Hospital, Bangalore</v>
          </cell>
          <cell r="Z64" t="str">
            <v>Dr Prakash BV, Bangalore</v>
          </cell>
          <cell r="AA64" t="str">
            <v>HNSCC</v>
          </cell>
          <cell r="AC64" t="str">
            <v>Buccal Mucosa</v>
          </cell>
          <cell r="AD64" t="str">
            <v>left buccal mucosa</v>
          </cell>
          <cell r="AE64" t="str">
            <v>Male</v>
          </cell>
          <cell r="AF64">
            <v>40</v>
          </cell>
          <cell r="AG64" t="str">
            <v>N</v>
          </cell>
          <cell r="AH64">
            <v>5.2</v>
          </cell>
          <cell r="AI64" t="str">
            <v>Partha</v>
          </cell>
          <cell r="AJ64" t="str">
            <v>Surgery</v>
          </cell>
          <cell r="AK64" t="str">
            <v>Primary</v>
          </cell>
          <cell r="AN64" t="str">
            <v>II</v>
          </cell>
          <cell r="AP64" t="str">
            <v>pT2N1M0</v>
          </cell>
          <cell r="AS64" t="str">
            <v>Squamous Cell Carcinoma</v>
          </cell>
          <cell r="AV64">
            <v>44618</v>
          </cell>
          <cell r="AW64">
            <v>0.44791666666666669</v>
          </cell>
          <cell r="AX64">
            <v>0.50694444444444442</v>
          </cell>
          <cell r="AY64">
            <v>5.9027777777777776E-2</v>
          </cell>
          <cell r="AZ64">
            <v>0.52013888888888893</v>
          </cell>
          <cell r="BA64">
            <v>0.55902777777777779</v>
          </cell>
          <cell r="BB64" t="str">
            <v>0.8*1.4*1.6</v>
          </cell>
          <cell r="BC64" t="str">
            <v>0.8*1.4*1.6</v>
          </cell>
          <cell r="BD64" t="str">
            <v>Vibratome</v>
          </cell>
          <cell r="BE64">
            <v>4</v>
          </cell>
          <cell r="BF64" t="str">
            <v>Kowshik</v>
          </cell>
          <cell r="BG64" t="str">
            <v>Y</v>
          </cell>
        </row>
        <row r="65">
          <cell r="A65" t="str">
            <v>FBB1C220050</v>
          </cell>
          <cell r="B65">
            <v>220050</v>
          </cell>
          <cell r="C65" t="str">
            <v>Biopharma</v>
          </cell>
          <cell r="D65">
            <v>44618</v>
          </cell>
          <cell r="E65">
            <v>0.49652777777777779</v>
          </cell>
          <cell r="F65">
            <v>44593</v>
          </cell>
          <cell r="G65">
            <v>44618</v>
          </cell>
          <cell r="H65">
            <v>0.56874999999999998</v>
          </cell>
          <cell r="I65">
            <v>7.2222222222222215E-2</v>
          </cell>
          <cell r="J65">
            <v>3</v>
          </cell>
          <cell r="K65" t="str">
            <v>FCB-PROTOCOL-01</v>
          </cell>
          <cell r="L65" t="str">
            <v>CLN/PRA/162</v>
          </cell>
          <cell r="M65" t="str">
            <v>Y</v>
          </cell>
          <cell r="N65" t="str">
            <v>BP004_SOW1_2021</v>
          </cell>
          <cell r="O65" t="str">
            <v>Biopharma</v>
          </cell>
          <cell r="P65" t="str">
            <v>Q1 Passed</v>
          </cell>
          <cell r="Q65" t="str">
            <v>Q1 Passed</v>
          </cell>
          <cell r="R65" t="str">
            <v>Q1.5 Passed</v>
          </cell>
          <cell r="S65" t="str">
            <v>Q1.5 Passed</v>
          </cell>
          <cell r="V65" t="str">
            <v>Mostly normal glands, scanty tumor</v>
          </cell>
          <cell r="W65" t="str">
            <v>Consultant</v>
          </cell>
          <cell r="X65" t="str">
            <v>Dr Prakash BV, Bangalore</v>
          </cell>
          <cell r="Y65" t="str">
            <v>Leelavathi Hospital, Bangalore</v>
          </cell>
          <cell r="Z65" t="str">
            <v>Dr Prakash BV, Bangalore</v>
          </cell>
          <cell r="AA65" t="str">
            <v>GI</v>
          </cell>
          <cell r="AB65" t="str">
            <v>Ca Stomach</v>
          </cell>
          <cell r="AC65" t="str">
            <v>Stomach</v>
          </cell>
          <cell r="AD65" t="str">
            <v>Stomach</v>
          </cell>
          <cell r="AE65" t="str">
            <v>Male</v>
          </cell>
          <cell r="AF65">
            <v>50</v>
          </cell>
          <cell r="AG65" t="str">
            <v>N</v>
          </cell>
          <cell r="AH65">
            <v>4.5</v>
          </cell>
          <cell r="AI65" t="str">
            <v>Kalappa</v>
          </cell>
          <cell r="AJ65" t="str">
            <v>Surgery</v>
          </cell>
          <cell r="AK65" t="str">
            <v>Primary</v>
          </cell>
          <cell r="AN65" t="str">
            <v>II</v>
          </cell>
          <cell r="AP65" t="str">
            <v>pT3N0M0</v>
          </cell>
          <cell r="AS65" t="str">
            <v>Stomach Adenocarcinoma</v>
          </cell>
          <cell r="AV65">
            <v>44618</v>
          </cell>
          <cell r="AW65">
            <v>0.67708333333333337</v>
          </cell>
          <cell r="AX65">
            <v>0.77083333333333337</v>
          </cell>
          <cell r="AY65">
            <v>9.375E-2</v>
          </cell>
          <cell r="AZ65">
            <v>0.20208333333333334</v>
          </cell>
          <cell r="BA65">
            <v>0.27430555555555558</v>
          </cell>
          <cell r="BB65" t="str">
            <v>1.2*2.2*2.4</v>
          </cell>
          <cell r="BC65" t="str">
            <v>1.2*2.2*2.4</v>
          </cell>
          <cell r="BD65" t="str">
            <v>Manual</v>
          </cell>
          <cell r="BE65">
            <v>4</v>
          </cell>
          <cell r="BF65" t="str">
            <v>Vasanth</v>
          </cell>
          <cell r="BG65" t="str">
            <v>Y</v>
          </cell>
        </row>
        <row r="66">
          <cell r="A66" t="str">
            <v>FBR1J220050</v>
          </cell>
          <cell r="B66">
            <v>220050</v>
          </cell>
          <cell r="C66" t="str">
            <v>R&amp;D</v>
          </cell>
          <cell r="D66">
            <v>44618</v>
          </cell>
          <cell r="E66">
            <v>0.49652777777777779</v>
          </cell>
          <cell r="F66">
            <v>44593</v>
          </cell>
          <cell r="G66">
            <v>44618</v>
          </cell>
          <cell r="H66">
            <v>0.56874999999999998</v>
          </cell>
          <cell r="I66">
            <v>7.2222222222222215E-2</v>
          </cell>
          <cell r="J66">
            <v>3</v>
          </cell>
          <cell r="K66" t="str">
            <v>FCB-PROTOCOL-01</v>
          </cell>
          <cell r="L66" t="str">
            <v>CLN/PRA/162</v>
          </cell>
          <cell r="M66" t="str">
            <v>Y</v>
          </cell>
          <cell r="N66" t="str">
            <v>COS_v3</v>
          </cell>
          <cell r="O66" t="str">
            <v>Internal R&amp;D</v>
          </cell>
          <cell r="P66" t="str">
            <v>Q1 Passed</v>
          </cell>
          <cell r="Q66" t="str">
            <v>Q1 Passed</v>
          </cell>
          <cell r="R66" t="str">
            <v>Q1.5 Passed</v>
          </cell>
          <cell r="S66" t="str">
            <v>Q1.5 Passed</v>
          </cell>
          <cell r="V66" t="str">
            <v>Tumor content 20-40%</v>
          </cell>
          <cell r="W66" t="str">
            <v>Consultant</v>
          </cell>
          <cell r="X66" t="str">
            <v>Dr Prakash BV, Bangalore</v>
          </cell>
          <cell r="Y66" t="str">
            <v>Leelavathi Hospital, Bangalore</v>
          </cell>
          <cell r="Z66" t="str">
            <v>Dr Prakash BV, Bangalore</v>
          </cell>
          <cell r="AA66" t="str">
            <v>GI</v>
          </cell>
          <cell r="AB66" t="str">
            <v>Ca Stomach</v>
          </cell>
          <cell r="AC66" t="str">
            <v>Stomach</v>
          </cell>
          <cell r="AD66" t="str">
            <v>Stomach</v>
          </cell>
          <cell r="AE66" t="str">
            <v>Male</v>
          </cell>
          <cell r="AF66">
            <v>50</v>
          </cell>
          <cell r="AG66" t="str">
            <v>N</v>
          </cell>
          <cell r="AH66">
            <v>4.5</v>
          </cell>
          <cell r="AI66" t="str">
            <v>Kalappa</v>
          </cell>
          <cell r="AJ66" t="str">
            <v>Surgery</v>
          </cell>
          <cell r="AK66" t="str">
            <v>Primary</v>
          </cell>
          <cell r="AN66" t="str">
            <v>II</v>
          </cell>
          <cell r="AP66" t="str">
            <v>pT3N0M0</v>
          </cell>
          <cell r="AS66" t="str">
            <v>Stomach Adenocarcinoma</v>
          </cell>
          <cell r="AV66">
            <v>44618</v>
          </cell>
          <cell r="AW66">
            <v>0.67708333333333337</v>
          </cell>
          <cell r="AX66">
            <v>0.77083333333333337</v>
          </cell>
          <cell r="AY66">
            <v>9.375E-2</v>
          </cell>
          <cell r="AZ66">
            <v>0.20208333333333334</v>
          </cell>
          <cell r="BA66">
            <v>0.27430555555555558</v>
          </cell>
          <cell r="BB66" t="str">
            <v>1.2*2.2*2.4</v>
          </cell>
          <cell r="BC66" t="str">
            <v>1.2*2.2*2.4</v>
          </cell>
          <cell r="BD66" t="str">
            <v>Manual</v>
          </cell>
          <cell r="BE66">
            <v>4</v>
          </cell>
          <cell r="BF66" t="str">
            <v>Vasanth</v>
          </cell>
          <cell r="BG66" t="str">
            <v>Y</v>
          </cell>
        </row>
        <row r="67">
          <cell r="A67" t="str">
            <v>FBB1C220051</v>
          </cell>
          <cell r="B67">
            <v>220051</v>
          </cell>
          <cell r="C67" t="str">
            <v>Biopharma</v>
          </cell>
          <cell r="D67">
            <v>44618</v>
          </cell>
          <cell r="E67">
            <v>0.7583333333333333</v>
          </cell>
          <cell r="F67">
            <v>44593</v>
          </cell>
          <cell r="G67">
            <v>44618</v>
          </cell>
          <cell r="H67">
            <v>0.79861111111111116</v>
          </cell>
          <cell r="I67">
            <v>4.027777777777778E-2</v>
          </cell>
          <cell r="J67">
            <v>2</v>
          </cell>
          <cell r="K67" t="str">
            <v>FCB-PROTOCOL-01</v>
          </cell>
          <cell r="L67" t="str">
            <v>CLN/PRA/163</v>
          </cell>
          <cell r="M67" t="str">
            <v>Y</v>
          </cell>
          <cell r="N67" t="str">
            <v>BP004_SOW1_2021</v>
          </cell>
          <cell r="O67" t="str">
            <v>Biopharma</v>
          </cell>
          <cell r="P67" t="str">
            <v>Q1 Passed</v>
          </cell>
          <cell r="Q67" t="str">
            <v>Q1 Passed</v>
          </cell>
          <cell r="R67" t="str">
            <v>Q1.5 Passed</v>
          </cell>
          <cell r="S67" t="str">
            <v>Q1.5 Passed</v>
          </cell>
          <cell r="V67" t="str">
            <v>Tumor in 2/4 explants 4-60%</v>
          </cell>
          <cell r="W67" t="str">
            <v>Consultant</v>
          </cell>
          <cell r="X67" t="str">
            <v>Dr Prakash BV, Bangalore</v>
          </cell>
          <cell r="Y67" t="str">
            <v>Sri Lakshmi Hospital, Bangalore</v>
          </cell>
          <cell r="Z67" t="str">
            <v>Dr Prakash BV, Bangalore</v>
          </cell>
          <cell r="AA67" t="str">
            <v>GI</v>
          </cell>
          <cell r="AB67" t="str">
            <v>Ca Stomach</v>
          </cell>
          <cell r="AC67" t="str">
            <v>Antrum</v>
          </cell>
          <cell r="AD67" t="str">
            <v>Antrum of Stomach</v>
          </cell>
          <cell r="AE67" t="str">
            <v>Male</v>
          </cell>
          <cell r="AF67">
            <v>60</v>
          </cell>
          <cell r="AG67" t="str">
            <v>N</v>
          </cell>
          <cell r="AH67">
            <v>5.2</v>
          </cell>
          <cell r="AI67" t="str">
            <v>Sashi</v>
          </cell>
          <cell r="AJ67" t="str">
            <v>Surgery</v>
          </cell>
          <cell r="AK67" t="str">
            <v>Primary</v>
          </cell>
          <cell r="AN67" t="str">
            <v>III</v>
          </cell>
          <cell r="AP67" t="str">
            <v>pT2N1M0</v>
          </cell>
          <cell r="AS67" t="str">
            <v>Stomach Adenocarcinoma</v>
          </cell>
          <cell r="AV67">
            <v>44618</v>
          </cell>
          <cell r="AW67">
            <v>0.8125</v>
          </cell>
          <cell r="AX67">
            <v>0.88194444444444442</v>
          </cell>
          <cell r="AY67">
            <v>6.9444444444444448E-2</v>
          </cell>
          <cell r="AZ67">
            <v>8.3333333333333329E-2</v>
          </cell>
          <cell r="BA67">
            <v>0.12361111111111112</v>
          </cell>
          <cell r="BB67" t="str">
            <v>1.0*1.15*2.6</v>
          </cell>
          <cell r="BC67" t="str">
            <v>1.0*1.15*2.6</v>
          </cell>
          <cell r="BD67" t="str">
            <v>Manual</v>
          </cell>
          <cell r="BE67">
            <v>4</v>
          </cell>
          <cell r="BF67" t="str">
            <v>Vasanth</v>
          </cell>
          <cell r="BG67" t="str">
            <v>Y</v>
          </cell>
        </row>
        <row r="68">
          <cell r="A68" t="str">
            <v>FBR1R220052</v>
          </cell>
          <cell r="B68">
            <v>220052</v>
          </cell>
          <cell r="C68" t="str">
            <v>R&amp;D</v>
          </cell>
          <cell r="D68">
            <v>44620</v>
          </cell>
          <cell r="E68">
            <v>0.45416666666666666</v>
          </cell>
          <cell r="F68">
            <v>44593</v>
          </cell>
          <cell r="G68">
            <v>44620</v>
          </cell>
          <cell r="H68">
            <v>0.51458333333333328</v>
          </cell>
          <cell r="I68">
            <v>6.0416666666666667E-2</v>
          </cell>
          <cell r="J68">
            <v>4</v>
          </cell>
          <cell r="K68" t="str">
            <v>FCB-PROTOCOL-01</v>
          </cell>
          <cell r="L68" t="str">
            <v>VYD/076</v>
          </cell>
          <cell r="M68" t="str">
            <v>Y</v>
          </cell>
          <cell r="N68" t="str">
            <v>BSS(1R)</v>
          </cell>
          <cell r="O68" t="str">
            <v>Internal R&amp;D</v>
          </cell>
          <cell r="P68" t="str">
            <v>Q1 Passed</v>
          </cell>
          <cell r="Q68" t="str">
            <v>Q1 Passed</v>
          </cell>
          <cell r="R68" t="str">
            <v>Q1.5 Passed</v>
          </cell>
          <cell r="S68" t="str">
            <v>Q1.5 Passed</v>
          </cell>
          <cell r="V68" t="str">
            <v>Tumor content 0-15%</v>
          </cell>
          <cell r="W68" t="str">
            <v>Private Hospital</v>
          </cell>
          <cell r="X68" t="str">
            <v>Vydehi Hospital, Bangalore</v>
          </cell>
          <cell r="Y68" t="str">
            <v>Vydehi Hospital, Bangalore</v>
          </cell>
          <cell r="Z68" t="str">
            <v>Dr Amritha Prabha, Bangalore</v>
          </cell>
          <cell r="AA68" t="str">
            <v>HNSCC</v>
          </cell>
          <cell r="AC68" t="str">
            <v>Buccal Mucosa</v>
          </cell>
          <cell r="AD68" t="str">
            <v>Right Buccal Mucosa</v>
          </cell>
          <cell r="AE68" t="str">
            <v>Male</v>
          </cell>
          <cell r="AF68">
            <v>60</v>
          </cell>
          <cell r="AG68" t="str">
            <v>N</v>
          </cell>
          <cell r="AH68">
            <v>5.0999999999999996</v>
          </cell>
          <cell r="AI68" t="str">
            <v>Sashi</v>
          </cell>
          <cell r="AJ68" t="str">
            <v>Surgery</v>
          </cell>
          <cell r="AK68" t="str">
            <v>Primary</v>
          </cell>
          <cell r="AL68" t="str">
            <v>Radiotherapy</v>
          </cell>
          <cell r="AN68" t="str">
            <v>IV</v>
          </cell>
          <cell r="AO68">
            <v>2</v>
          </cell>
          <cell r="AP68" t="str">
            <v>pT4aN2</v>
          </cell>
          <cell r="AS68" t="str">
            <v>Squamous Cell Carcinoma</v>
          </cell>
          <cell r="AV68">
            <v>44620</v>
          </cell>
          <cell r="AW68">
            <v>0.54652777777777772</v>
          </cell>
          <cell r="AX68">
            <v>0.63749999999999996</v>
          </cell>
          <cell r="AY68">
            <v>9.0972222222222218E-2</v>
          </cell>
          <cell r="AZ68">
            <v>0.12291666666666666</v>
          </cell>
          <cell r="BA68">
            <v>0.18333333333333332</v>
          </cell>
          <cell r="BB68" t="str">
            <v>2.0*2.0*4.0</v>
          </cell>
          <cell r="BC68" t="str">
            <v>2.0*2.0*4.0</v>
          </cell>
          <cell r="BD68" t="str">
            <v>Vibratome</v>
          </cell>
          <cell r="BE68">
            <v>4</v>
          </cell>
          <cell r="BF68" t="str">
            <v>Gowri</v>
          </cell>
          <cell r="BG68" t="str">
            <v>Y</v>
          </cell>
        </row>
        <row r="69">
          <cell r="A69" t="str">
            <v>FBR1K220052</v>
          </cell>
          <cell r="B69">
            <v>220052</v>
          </cell>
          <cell r="C69" t="str">
            <v>R&amp;D</v>
          </cell>
          <cell r="D69">
            <v>44620</v>
          </cell>
          <cell r="E69">
            <v>0.45416666666666666</v>
          </cell>
          <cell r="F69">
            <v>44593</v>
          </cell>
          <cell r="G69">
            <v>44620</v>
          </cell>
          <cell r="H69">
            <v>0.51458333333333328</v>
          </cell>
          <cell r="I69">
            <v>6.0416666666666667E-2</v>
          </cell>
          <cell r="J69">
            <v>4</v>
          </cell>
          <cell r="K69" t="str">
            <v>FCB-PROTOCOL-01</v>
          </cell>
          <cell r="L69" t="str">
            <v>VYD/076</v>
          </cell>
          <cell r="M69" t="str">
            <v>Y</v>
          </cell>
          <cell r="N69" t="str">
            <v>BSS(1R)</v>
          </cell>
          <cell r="O69" t="str">
            <v>Internal R&amp;D</v>
          </cell>
          <cell r="P69" t="str">
            <v>Q1 Passed</v>
          </cell>
          <cell r="Q69" t="str">
            <v>Q1 Passed</v>
          </cell>
          <cell r="R69" t="str">
            <v>Q1.5 Passed</v>
          </cell>
          <cell r="S69" t="str">
            <v>Q1.5 Passed</v>
          </cell>
          <cell r="V69" t="str">
            <v>Tumor content 0-20%</v>
          </cell>
          <cell r="W69" t="str">
            <v>Private Hospital</v>
          </cell>
          <cell r="X69" t="str">
            <v>Vydehi Hospital, Bangalore</v>
          </cell>
          <cell r="Y69" t="str">
            <v>Vydehi Hospital, Bangalore</v>
          </cell>
          <cell r="Z69" t="str">
            <v>Dr Amritha Prabha, Bangalore</v>
          </cell>
          <cell r="AA69" t="str">
            <v>HNSCC</v>
          </cell>
          <cell r="AC69" t="str">
            <v>Buccal Mucosa</v>
          </cell>
          <cell r="AD69" t="str">
            <v>Right Buccal Mucosa</v>
          </cell>
          <cell r="AE69" t="str">
            <v>Male</v>
          </cell>
          <cell r="AF69">
            <v>60</v>
          </cell>
          <cell r="AG69" t="str">
            <v>N</v>
          </cell>
          <cell r="AH69">
            <v>5.0999999999999996</v>
          </cell>
          <cell r="AI69" t="str">
            <v>Sashi</v>
          </cell>
          <cell r="AJ69" t="str">
            <v>Surgery</v>
          </cell>
          <cell r="AK69" t="str">
            <v>Primary</v>
          </cell>
          <cell r="AL69" t="str">
            <v>Radiotherapy</v>
          </cell>
          <cell r="AN69" t="str">
            <v>IV</v>
          </cell>
          <cell r="AO69">
            <v>2</v>
          </cell>
          <cell r="AP69" t="str">
            <v>pT4aN2</v>
          </cell>
          <cell r="AS69" t="str">
            <v>Squamous Cell Carcinoma</v>
          </cell>
          <cell r="AV69">
            <v>44620</v>
          </cell>
          <cell r="AW69">
            <v>0.54652777777777772</v>
          </cell>
          <cell r="AX69">
            <v>0.63749999999999996</v>
          </cell>
          <cell r="AY69">
            <v>9.0972222222222218E-2</v>
          </cell>
          <cell r="AZ69">
            <v>0.12291666666666666</v>
          </cell>
          <cell r="BA69">
            <v>0.18333333333333332</v>
          </cell>
          <cell r="BB69" t="str">
            <v>2.0*2.0*4.0</v>
          </cell>
          <cell r="BC69" t="str">
            <v>2.0*2.0*4.0</v>
          </cell>
          <cell r="BD69" t="str">
            <v>Vibratome</v>
          </cell>
          <cell r="BE69">
            <v>4</v>
          </cell>
          <cell r="BF69" t="str">
            <v>Gowri</v>
          </cell>
          <cell r="BG69" t="str">
            <v>Y</v>
          </cell>
        </row>
        <row r="70">
          <cell r="A70" t="str">
            <v>FBB1C220053</v>
          </cell>
          <cell r="B70">
            <v>220053</v>
          </cell>
          <cell r="C70" t="str">
            <v>Biopharma</v>
          </cell>
          <cell r="D70">
            <v>44621</v>
          </cell>
          <cell r="E70">
            <v>0.52777777777777779</v>
          </cell>
          <cell r="F70">
            <v>44621</v>
          </cell>
          <cell r="G70">
            <v>44621</v>
          </cell>
          <cell r="H70">
            <v>0.57291666666666663</v>
          </cell>
          <cell r="I70">
            <v>4.5138888888888888E-2</v>
          </cell>
          <cell r="J70">
            <v>4</v>
          </cell>
          <cell r="K70" t="str">
            <v>FCB-PROTOCOL-01</v>
          </cell>
          <cell r="L70" t="str">
            <v>VYD/077</v>
          </cell>
          <cell r="M70" t="str">
            <v>Y</v>
          </cell>
          <cell r="N70" t="str">
            <v>BP004_SOW1_2021</v>
          </cell>
          <cell r="O70" t="str">
            <v>Biopharma</v>
          </cell>
          <cell r="P70" t="str">
            <v>Q1 Passed</v>
          </cell>
          <cell r="Q70" t="str">
            <v>Q1 Passed</v>
          </cell>
          <cell r="R70" t="str">
            <v>Q1.5 Passed</v>
          </cell>
          <cell r="S70" t="str">
            <v>Q1.5 Passed</v>
          </cell>
          <cell r="V70" t="str">
            <v>Tumor content 50-80%</v>
          </cell>
          <cell r="W70" t="str">
            <v>Private Hospital</v>
          </cell>
          <cell r="X70" t="str">
            <v>Vydehi Hospital, Bangalore</v>
          </cell>
          <cell r="Y70" t="str">
            <v>Vydehi Hospital, Bangalore</v>
          </cell>
          <cell r="Z70" t="str">
            <v>Dr Amritha Prabha, Bangalore</v>
          </cell>
          <cell r="AA70" t="str">
            <v>GI</v>
          </cell>
          <cell r="AB70" t="str">
            <v>Ca Stomach</v>
          </cell>
          <cell r="AC70" t="str">
            <v>Stomach</v>
          </cell>
          <cell r="AD70" t="str">
            <v>Gastroesophageal Juction &amp; Fundus of Stomach</v>
          </cell>
          <cell r="AE70" t="str">
            <v>Male</v>
          </cell>
          <cell r="AF70">
            <v>52</v>
          </cell>
          <cell r="AG70" t="str">
            <v>N</v>
          </cell>
          <cell r="AH70">
            <v>5.4</v>
          </cell>
          <cell r="AI70" t="str">
            <v>Partha</v>
          </cell>
          <cell r="AJ70" t="str">
            <v>Surgery</v>
          </cell>
          <cell r="AK70" t="str">
            <v>Primary</v>
          </cell>
          <cell r="AN70" t="str">
            <v>IIIA</v>
          </cell>
          <cell r="AO70">
            <v>2</v>
          </cell>
          <cell r="AP70" t="str">
            <v>T4bN0</v>
          </cell>
          <cell r="AS70" t="str">
            <v>Stomach Adenocarcinoma</v>
          </cell>
          <cell r="AV70">
            <v>44621</v>
          </cell>
          <cell r="AW70">
            <v>0.60416666666666663</v>
          </cell>
          <cell r="AX70">
            <v>0.65972222222222221</v>
          </cell>
          <cell r="AY70">
            <v>5.5555555555555552E-2</v>
          </cell>
          <cell r="AZ70">
            <v>8.6805555555555552E-2</v>
          </cell>
          <cell r="BA70">
            <v>0.13194444444444445</v>
          </cell>
          <cell r="BB70" t="str">
            <v>0.6*1.2*1.4
0.4*0.8*1.9</v>
          </cell>
          <cell r="BC70" t="str">
            <v>0.6*1.2*1.4
0.4*0.8*1.9</v>
          </cell>
          <cell r="BD70" t="str">
            <v>Manual</v>
          </cell>
          <cell r="BE70">
            <v>4</v>
          </cell>
          <cell r="BF70" t="str">
            <v>Kowshik</v>
          </cell>
          <cell r="BG70" t="str">
            <v>Y</v>
          </cell>
        </row>
        <row r="71">
          <cell r="A71" t="str">
            <v>FBR1J220053</v>
          </cell>
          <cell r="B71">
            <v>220053</v>
          </cell>
          <cell r="C71" t="str">
            <v>R&amp;D</v>
          </cell>
          <cell r="D71">
            <v>44621</v>
          </cell>
          <cell r="E71">
            <v>0.52777777777777779</v>
          </cell>
          <cell r="F71">
            <v>44621</v>
          </cell>
          <cell r="G71">
            <v>44621</v>
          </cell>
          <cell r="H71">
            <v>0.57291666666666663</v>
          </cell>
          <cell r="I71">
            <v>4.5138888888888888E-2</v>
          </cell>
          <cell r="J71">
            <v>4</v>
          </cell>
          <cell r="K71" t="str">
            <v>FCB-PROTOCOL-01</v>
          </cell>
          <cell r="L71" t="str">
            <v>VYD/077</v>
          </cell>
          <cell r="M71" t="str">
            <v>Y</v>
          </cell>
          <cell r="N71" t="str">
            <v>COS_v3</v>
          </cell>
          <cell r="O71" t="str">
            <v>Internal R&amp;D</v>
          </cell>
          <cell r="P71" t="str">
            <v>Q1 Passed</v>
          </cell>
          <cell r="Q71" t="str">
            <v>Q1 Passed</v>
          </cell>
          <cell r="R71" t="str">
            <v>Q1.5 Passed</v>
          </cell>
          <cell r="S71" t="str">
            <v>Q1.5 Passed</v>
          </cell>
          <cell r="V71" t="str">
            <v>Tumor content 6-60%</v>
          </cell>
          <cell r="W71" t="str">
            <v>Private Hospital</v>
          </cell>
          <cell r="X71" t="str">
            <v>Vydehi Hospital, Bangalore</v>
          </cell>
          <cell r="Y71" t="str">
            <v>Vydehi Hospital, Bangalore</v>
          </cell>
          <cell r="Z71" t="str">
            <v>Dr Amritha Prabha, Bangalore</v>
          </cell>
          <cell r="AA71" t="str">
            <v>GI</v>
          </cell>
          <cell r="AB71" t="str">
            <v>Ca Stomach</v>
          </cell>
          <cell r="AC71" t="str">
            <v>Stomach</v>
          </cell>
          <cell r="AD71" t="str">
            <v>Gastroesophageal Juction &amp; Fundus of Stomach</v>
          </cell>
          <cell r="AE71" t="str">
            <v>Male</v>
          </cell>
          <cell r="AF71">
            <v>52</v>
          </cell>
          <cell r="AG71" t="str">
            <v>N</v>
          </cell>
          <cell r="AH71">
            <v>5.4</v>
          </cell>
          <cell r="AI71" t="str">
            <v>Partha</v>
          </cell>
          <cell r="AJ71" t="str">
            <v>Surgery</v>
          </cell>
          <cell r="AK71" t="str">
            <v>Primary</v>
          </cell>
          <cell r="AN71" t="str">
            <v>IIIA</v>
          </cell>
          <cell r="AO71">
            <v>2</v>
          </cell>
          <cell r="AP71" t="str">
            <v>T4bN0</v>
          </cell>
          <cell r="AS71" t="str">
            <v>Stomach Adenocarcinoma</v>
          </cell>
          <cell r="AV71">
            <v>44621</v>
          </cell>
          <cell r="AW71">
            <v>0.60416666666666663</v>
          </cell>
          <cell r="AX71">
            <v>0.65972222222222221</v>
          </cell>
          <cell r="AY71">
            <v>5.5555555555555552E-2</v>
          </cell>
          <cell r="AZ71">
            <v>8.6805555555555552E-2</v>
          </cell>
          <cell r="BA71">
            <v>0.13194444444444445</v>
          </cell>
          <cell r="BB71" t="str">
            <v>0.6*1.2*1.4
0.4*0.8*1.0</v>
          </cell>
          <cell r="BC71" t="str">
            <v>0.6*1.2*1.4
0.4*0.8*1.0</v>
          </cell>
          <cell r="BD71" t="str">
            <v>Manual</v>
          </cell>
          <cell r="BE71">
            <v>4</v>
          </cell>
          <cell r="BF71" t="str">
            <v>Kowshik</v>
          </cell>
          <cell r="BG71" t="str">
            <v>Y</v>
          </cell>
        </row>
        <row r="72">
          <cell r="A72">
            <v>220054</v>
          </cell>
          <cell r="B72">
            <v>220054</v>
          </cell>
          <cell r="C72" t="str">
            <v>R&amp;D</v>
          </cell>
          <cell r="D72">
            <v>44621</v>
          </cell>
          <cell r="E72">
            <v>0.50902777777777775</v>
          </cell>
          <cell r="F72">
            <v>44621</v>
          </cell>
          <cell r="G72">
            <v>44621</v>
          </cell>
          <cell r="H72">
            <v>0.66666666666666663</v>
          </cell>
          <cell r="I72">
            <v>0.15763888888888888</v>
          </cell>
          <cell r="J72">
            <v>3</v>
          </cell>
          <cell r="K72" t="str">
            <v>FCB-PROTOCOL-01</v>
          </cell>
          <cell r="L72" t="str">
            <v>CLN/PRA/164</v>
          </cell>
          <cell r="M72" t="str">
            <v>Y</v>
          </cell>
          <cell r="N72" t="str">
            <v>No Study</v>
          </cell>
          <cell r="O72" t="str">
            <v>1st level attrition</v>
          </cell>
          <cell r="P72" t="str">
            <v>Q1 Rejected</v>
          </cell>
          <cell r="R72" t="str">
            <v>Q1.5 Rejected</v>
          </cell>
          <cell r="S72" t="str">
            <v>Q1.5 Rejected</v>
          </cell>
          <cell r="T72" t="str">
            <v>Sample height was small</v>
          </cell>
          <cell r="W72" t="str">
            <v>Consultant</v>
          </cell>
          <cell r="X72" t="str">
            <v>Dr Prakash BV, Bangalore</v>
          </cell>
          <cell r="Y72" t="str">
            <v>Sri Lakshmi Hospital, Bangalore</v>
          </cell>
          <cell r="Z72" t="str">
            <v>Dr Prakash BV, Bangalore</v>
          </cell>
          <cell r="AA72" t="str">
            <v>HNSCC</v>
          </cell>
          <cell r="AC72" t="str">
            <v>Tongue</v>
          </cell>
          <cell r="AD72" t="str">
            <v>Lateral Tongue</v>
          </cell>
          <cell r="AE72" t="str">
            <v>Male</v>
          </cell>
          <cell r="AF72">
            <v>50</v>
          </cell>
          <cell r="AG72" t="str">
            <v>N</v>
          </cell>
          <cell r="AH72">
            <v>5.3</v>
          </cell>
          <cell r="AI72" t="str">
            <v>Sashi</v>
          </cell>
          <cell r="AJ72" t="str">
            <v>Surgery</v>
          </cell>
          <cell r="AK72" t="str">
            <v>Primary</v>
          </cell>
          <cell r="AS72" t="str">
            <v>Squamous Cell Carcinoma</v>
          </cell>
          <cell r="AV72">
            <v>44621</v>
          </cell>
          <cell r="BB72" t="str">
            <v>1.4*1.4*1.0</v>
          </cell>
          <cell r="BC72" t="str">
            <v>1.4*1.4*1.0</v>
          </cell>
        </row>
        <row r="73">
          <cell r="A73" t="str">
            <v>FBB1C220055</v>
          </cell>
          <cell r="B73">
            <v>220055</v>
          </cell>
          <cell r="C73" t="str">
            <v>Biopharma</v>
          </cell>
          <cell r="D73">
            <v>44622</v>
          </cell>
          <cell r="E73">
            <v>0.53749999999999998</v>
          </cell>
          <cell r="F73">
            <v>44621</v>
          </cell>
          <cell r="G73">
            <v>44622</v>
          </cell>
          <cell r="H73">
            <v>0.57430555555555551</v>
          </cell>
          <cell r="I73">
            <v>3.6805555555555557E-2</v>
          </cell>
          <cell r="J73">
            <v>4</v>
          </cell>
          <cell r="K73" t="str">
            <v>FCB-PROTOCOL-01</v>
          </cell>
          <cell r="L73" t="str">
            <v>CLN/PRA/165</v>
          </cell>
          <cell r="M73" t="str">
            <v>Y</v>
          </cell>
          <cell r="N73" t="str">
            <v>BP004_SOW1_2021</v>
          </cell>
          <cell r="O73" t="str">
            <v>Biopharma</v>
          </cell>
          <cell r="P73" t="str">
            <v>Q1 Passed</v>
          </cell>
          <cell r="Q73" t="str">
            <v>Q1 Passed</v>
          </cell>
          <cell r="R73" t="str">
            <v>Q1.5 Passed</v>
          </cell>
          <cell r="S73" t="str">
            <v>Q1.5 Passed</v>
          </cell>
          <cell r="V73" t="str">
            <v>Tumor content 5-40% Signet ring cell carcinoma</v>
          </cell>
          <cell r="W73" t="str">
            <v>Consultant</v>
          </cell>
          <cell r="X73" t="str">
            <v>Dr Prakash BV, Bangalore</v>
          </cell>
          <cell r="Y73" t="str">
            <v>Abhaya Hospital, Bangalore</v>
          </cell>
          <cell r="Z73" t="str">
            <v>Dr Prakash BV, Bangalore</v>
          </cell>
          <cell r="AA73" t="str">
            <v>GI</v>
          </cell>
          <cell r="AB73" t="str">
            <v>Ca Stomach</v>
          </cell>
          <cell r="AC73" t="str">
            <v>Antrum</v>
          </cell>
          <cell r="AD73" t="str">
            <v>Antrum of Stomach</v>
          </cell>
          <cell r="AE73" t="str">
            <v>Male</v>
          </cell>
          <cell r="AF73">
            <v>50</v>
          </cell>
          <cell r="AG73" t="str">
            <v>N</v>
          </cell>
          <cell r="AH73">
            <v>5.2</v>
          </cell>
          <cell r="AI73" t="str">
            <v>Kalappa</v>
          </cell>
          <cell r="AJ73" t="str">
            <v>Surgery</v>
          </cell>
          <cell r="AK73" t="str">
            <v>Primary</v>
          </cell>
          <cell r="AN73" t="str">
            <v>III</v>
          </cell>
          <cell r="AP73" t="str">
            <v>pT3N2</v>
          </cell>
          <cell r="AS73" t="str">
            <v>Stomach Adenocarcinoma</v>
          </cell>
          <cell r="AV73">
            <v>44622</v>
          </cell>
          <cell r="AW73">
            <v>0.65972222222222221</v>
          </cell>
          <cell r="AX73">
            <v>0.72222222222222221</v>
          </cell>
          <cell r="AY73">
            <v>6.25E-2</v>
          </cell>
          <cell r="AZ73">
            <v>0.14791666666666667</v>
          </cell>
          <cell r="BA73">
            <v>0.18472222222222223</v>
          </cell>
          <cell r="BB73" t="str">
            <v>2.0*4.4*2.2</v>
          </cell>
          <cell r="BC73" t="str">
            <v>2.0*4.4*2.2</v>
          </cell>
          <cell r="BD73" t="str">
            <v>Manual</v>
          </cell>
          <cell r="BE73">
            <v>4</v>
          </cell>
          <cell r="BF73" t="str">
            <v>Gowri</v>
          </cell>
          <cell r="BG73" t="str">
            <v>Y</v>
          </cell>
        </row>
        <row r="74">
          <cell r="A74" t="str">
            <v>FBR1J220055</v>
          </cell>
          <cell r="B74">
            <v>220055</v>
          </cell>
          <cell r="C74" t="str">
            <v>R&amp;D</v>
          </cell>
          <cell r="D74">
            <v>44622</v>
          </cell>
          <cell r="E74">
            <v>0.53749999999999998</v>
          </cell>
          <cell r="F74">
            <v>44621</v>
          </cell>
          <cell r="G74">
            <v>44622</v>
          </cell>
          <cell r="H74">
            <v>0.57430555555555551</v>
          </cell>
          <cell r="I74">
            <v>3.6805555555555557E-2</v>
          </cell>
          <cell r="J74">
            <v>4</v>
          </cell>
          <cell r="K74" t="str">
            <v>FCB-PROTOCOL-01</v>
          </cell>
          <cell r="L74" t="str">
            <v>CLN/PRA/165</v>
          </cell>
          <cell r="M74" t="str">
            <v>Y</v>
          </cell>
          <cell r="N74" t="str">
            <v>COS_v3</v>
          </cell>
          <cell r="O74" t="str">
            <v>Internal R&amp;D</v>
          </cell>
          <cell r="P74" t="str">
            <v>Q1 Passed</v>
          </cell>
          <cell r="Q74" t="str">
            <v>Q1 Passed</v>
          </cell>
          <cell r="R74" t="str">
            <v>Q1.5 Passed</v>
          </cell>
          <cell r="S74" t="str">
            <v>Q1.5 Passed</v>
          </cell>
          <cell r="V74" t="str">
            <v>Tumor in 5/7 explants</v>
          </cell>
          <cell r="W74" t="str">
            <v>Consultant</v>
          </cell>
          <cell r="X74" t="str">
            <v>Dr Prakash BV, Bangalore</v>
          </cell>
          <cell r="Y74" t="str">
            <v>Abhaya Hospital, Bangalore</v>
          </cell>
          <cell r="Z74" t="str">
            <v>Dr Prakash BV, Bangalore</v>
          </cell>
          <cell r="AA74" t="str">
            <v>GI</v>
          </cell>
          <cell r="AB74" t="str">
            <v>Ca Stomach</v>
          </cell>
          <cell r="AC74" t="str">
            <v>Antrum</v>
          </cell>
          <cell r="AD74" t="str">
            <v>Antrum of Stomach</v>
          </cell>
          <cell r="AE74" t="str">
            <v>Male</v>
          </cell>
          <cell r="AF74">
            <v>50</v>
          </cell>
          <cell r="AG74" t="str">
            <v>N</v>
          </cell>
          <cell r="AH74">
            <v>5.2</v>
          </cell>
          <cell r="AI74" t="str">
            <v>Kalappa</v>
          </cell>
          <cell r="AJ74" t="str">
            <v>Surgery</v>
          </cell>
          <cell r="AK74" t="str">
            <v>Primary</v>
          </cell>
          <cell r="AN74" t="str">
            <v>III</v>
          </cell>
          <cell r="AP74" t="str">
            <v>pT3N2</v>
          </cell>
          <cell r="AS74" t="str">
            <v>Stomach Adenocarcinoma</v>
          </cell>
          <cell r="AV74">
            <v>44622</v>
          </cell>
          <cell r="AW74">
            <v>0.65972222222222221</v>
          </cell>
          <cell r="AX74">
            <v>0.72916666666666663</v>
          </cell>
          <cell r="AY74">
            <v>6.9444444444444448E-2</v>
          </cell>
          <cell r="AZ74">
            <v>0.15486111111111112</v>
          </cell>
          <cell r="BA74">
            <v>0.19166666666666668</v>
          </cell>
          <cell r="BB74" t="str">
            <v>2.0*4.4*2.2</v>
          </cell>
          <cell r="BC74" t="str">
            <v>2.0*4.4*2.2</v>
          </cell>
          <cell r="BD74" t="str">
            <v>Manual</v>
          </cell>
          <cell r="BE74">
            <v>4</v>
          </cell>
          <cell r="BF74" t="str">
            <v>Gowri</v>
          </cell>
          <cell r="BG74" t="str">
            <v>Y</v>
          </cell>
        </row>
        <row r="75">
          <cell r="A75" t="str">
            <v>FBB1C220056</v>
          </cell>
          <cell r="B75">
            <v>220056</v>
          </cell>
          <cell r="C75" t="str">
            <v>Biopharma</v>
          </cell>
          <cell r="D75">
            <v>44622</v>
          </cell>
          <cell r="E75">
            <v>0.71180555555555558</v>
          </cell>
          <cell r="F75">
            <v>44621</v>
          </cell>
          <cell r="G75">
            <v>44622</v>
          </cell>
          <cell r="H75">
            <v>0.74305555555555558</v>
          </cell>
          <cell r="I75">
            <v>3.125E-2</v>
          </cell>
          <cell r="J75">
            <v>5</v>
          </cell>
          <cell r="K75" t="str">
            <v>FCB-PROTOCOL-01</v>
          </cell>
          <cell r="L75" t="str">
            <v>CLN/PRA/166</v>
          </cell>
          <cell r="M75" t="str">
            <v>Y</v>
          </cell>
          <cell r="N75" t="str">
            <v>BP004_SOW1_2021</v>
          </cell>
          <cell r="O75" t="str">
            <v>Biopharma</v>
          </cell>
          <cell r="P75" t="str">
            <v>Q1 Passed</v>
          </cell>
          <cell r="Q75" t="str">
            <v>Q1 Passed</v>
          </cell>
          <cell r="R75" t="str">
            <v>Q1.5 Passed</v>
          </cell>
          <cell r="S75" t="str">
            <v>Q1.5 Passed</v>
          </cell>
          <cell r="V75" t="str">
            <v>Tumor content 0-75%</v>
          </cell>
          <cell r="W75" t="str">
            <v>Consultant</v>
          </cell>
          <cell r="X75" t="str">
            <v>Dr Prakash BV, Bangalore</v>
          </cell>
          <cell r="Y75" t="str">
            <v>Leelavathi Hospital, Bangalore</v>
          </cell>
          <cell r="Z75" t="str">
            <v>Dr Prakash BV, Bangalore</v>
          </cell>
          <cell r="AA75" t="str">
            <v>GI</v>
          </cell>
          <cell r="AB75" t="str">
            <v>Ca Stomach</v>
          </cell>
          <cell r="AC75" t="str">
            <v>Antrum</v>
          </cell>
          <cell r="AD75" t="str">
            <v>Antrum of Stomach</v>
          </cell>
          <cell r="AE75" t="str">
            <v>Male</v>
          </cell>
          <cell r="AF75">
            <v>55</v>
          </cell>
          <cell r="AG75" t="str">
            <v>N</v>
          </cell>
          <cell r="AH75">
            <v>5.0999999999999996</v>
          </cell>
          <cell r="AI75" t="str">
            <v>Sashi</v>
          </cell>
          <cell r="AJ75" t="str">
            <v>Surgery</v>
          </cell>
          <cell r="AK75" t="str">
            <v>Primary</v>
          </cell>
          <cell r="AN75" t="str">
            <v>II</v>
          </cell>
          <cell r="AP75" t="str">
            <v>pT2N0M0</v>
          </cell>
          <cell r="AS75" t="str">
            <v>Stomach Adenocarcinoma</v>
          </cell>
          <cell r="AV75">
            <v>44622</v>
          </cell>
          <cell r="AW75">
            <v>0.75</v>
          </cell>
          <cell r="AX75">
            <v>0.82986111111111116</v>
          </cell>
          <cell r="AY75">
            <v>7.9861111111111105E-2</v>
          </cell>
          <cell r="AZ75">
            <v>8.6805555555555552E-2</v>
          </cell>
          <cell r="BA75">
            <v>0.11805555555555555</v>
          </cell>
          <cell r="BB75" t="str">
            <v>`0.8*2.0*2.2</v>
          </cell>
          <cell r="BC75" t="str">
            <v>`0.8*2.0*2.2</v>
          </cell>
          <cell r="BD75" t="str">
            <v>Manual</v>
          </cell>
          <cell r="BE75">
            <v>4</v>
          </cell>
          <cell r="BF75" t="str">
            <v>Vasanth</v>
          </cell>
          <cell r="BG75" t="str">
            <v>Y</v>
          </cell>
        </row>
        <row r="76">
          <cell r="A76" t="str">
            <v>FBR1J220056</v>
          </cell>
          <cell r="B76">
            <v>220056</v>
          </cell>
          <cell r="C76" t="str">
            <v>R&amp;D</v>
          </cell>
          <cell r="D76">
            <v>44622</v>
          </cell>
          <cell r="E76">
            <v>0.71180555555555558</v>
          </cell>
          <cell r="F76">
            <v>44621</v>
          </cell>
          <cell r="G76">
            <v>44622</v>
          </cell>
          <cell r="H76">
            <v>0.74305555555555558</v>
          </cell>
          <cell r="I76">
            <v>3.125E-2</v>
          </cell>
          <cell r="J76">
            <v>5</v>
          </cell>
          <cell r="K76" t="str">
            <v>FCB-PROTOCOL-01</v>
          </cell>
          <cell r="L76" t="str">
            <v>CLN/PRA/166</v>
          </cell>
          <cell r="M76" t="str">
            <v>Y</v>
          </cell>
          <cell r="N76" t="str">
            <v>COS_v3</v>
          </cell>
          <cell r="O76" t="str">
            <v>Internal R&amp;D</v>
          </cell>
          <cell r="P76" t="str">
            <v>Q1 Passed</v>
          </cell>
          <cell r="Q76" t="str">
            <v>Q1 Passed</v>
          </cell>
          <cell r="R76" t="str">
            <v>Q1.5 Passed</v>
          </cell>
          <cell r="S76" t="str">
            <v>Q1.5 Passed</v>
          </cell>
          <cell r="V76" t="str">
            <v>Tumor content 10-70%</v>
          </cell>
          <cell r="W76" t="str">
            <v>Consultant</v>
          </cell>
          <cell r="X76" t="str">
            <v>Dr Prakash BV, Bangalore</v>
          </cell>
          <cell r="Y76" t="str">
            <v>Leelavathi Hospital, Bangalore</v>
          </cell>
          <cell r="Z76" t="str">
            <v>Dr Prakash BV, Bangalore</v>
          </cell>
          <cell r="AA76" t="str">
            <v>GI</v>
          </cell>
          <cell r="AB76" t="str">
            <v>Ca Stomach</v>
          </cell>
          <cell r="AC76" t="str">
            <v>Antrum</v>
          </cell>
          <cell r="AD76" t="str">
            <v>Antrum of Stomach</v>
          </cell>
          <cell r="AE76" t="str">
            <v>Male</v>
          </cell>
          <cell r="AF76">
            <v>55</v>
          </cell>
          <cell r="AG76" t="str">
            <v>N</v>
          </cell>
          <cell r="AH76">
            <v>5.0999999999999996</v>
          </cell>
          <cell r="AI76" t="str">
            <v>Sashi</v>
          </cell>
          <cell r="AJ76" t="str">
            <v>Surgery</v>
          </cell>
          <cell r="AK76" t="str">
            <v>Primary</v>
          </cell>
          <cell r="AN76" t="str">
            <v>II</v>
          </cell>
          <cell r="AP76" t="str">
            <v>pT2N0M0</v>
          </cell>
          <cell r="AS76" t="str">
            <v>Stomach Adenocarcinoma</v>
          </cell>
          <cell r="AV76">
            <v>44622</v>
          </cell>
          <cell r="AW76">
            <v>0.75</v>
          </cell>
          <cell r="AX76">
            <v>0.82638888888888884</v>
          </cell>
          <cell r="AY76">
            <v>7.6388888888888895E-2</v>
          </cell>
          <cell r="AZ76">
            <v>8.3333333333333329E-2</v>
          </cell>
          <cell r="BA76">
            <v>0.11458333333333333</v>
          </cell>
          <cell r="BB76" t="str">
            <v>0.8*2.0*2.2</v>
          </cell>
          <cell r="BC76" t="str">
            <v>0.8*2.0*2.2</v>
          </cell>
          <cell r="BD76" t="str">
            <v>Manual</v>
          </cell>
          <cell r="BE76">
            <v>4</v>
          </cell>
          <cell r="BF76" t="str">
            <v>Vasanth</v>
          </cell>
          <cell r="BG76" t="str">
            <v>Y</v>
          </cell>
        </row>
        <row r="77">
          <cell r="A77" t="str">
            <v>FBR1R220057</v>
          </cell>
          <cell r="B77">
            <v>220057</v>
          </cell>
          <cell r="C77" t="str">
            <v>R&amp;D</v>
          </cell>
          <cell r="D77">
            <v>44622</v>
          </cell>
          <cell r="E77">
            <v>0.54236111111111107</v>
          </cell>
          <cell r="F77">
            <v>44621</v>
          </cell>
          <cell r="G77">
            <v>44622</v>
          </cell>
          <cell r="H77">
            <v>0.92013888888888884</v>
          </cell>
          <cell r="I77">
            <v>0.37777777777777777</v>
          </cell>
          <cell r="J77">
            <v>2</v>
          </cell>
          <cell r="K77" t="str">
            <v>FCB-PROTOCOL-01</v>
          </cell>
          <cell r="L77" t="str">
            <v>CLN/DBR/068</v>
          </cell>
          <cell r="M77" t="str">
            <v>Y</v>
          </cell>
          <cell r="N77" t="str">
            <v>BSS(1R)</v>
          </cell>
          <cell r="O77" t="str">
            <v>Internal R&amp;D</v>
          </cell>
          <cell r="P77" t="str">
            <v>Q1 Passed</v>
          </cell>
          <cell r="Q77" t="str">
            <v>Q1 Passed</v>
          </cell>
          <cell r="R77" t="str">
            <v>Q1.5 Passed</v>
          </cell>
          <cell r="S77" t="str">
            <v>Q1.5 Passed</v>
          </cell>
          <cell r="V77" t="str">
            <v>Tumor in all explants, 20-90%</v>
          </cell>
          <cell r="W77" t="str">
            <v>Clinic'les</v>
          </cell>
          <cell r="X77" t="str">
            <v>Clinic'les- DBR &amp; SK Hospital, Tirupati</v>
          </cell>
          <cell r="Y77" t="str">
            <v>DBR &amp; SK Hospital, Tirupati</v>
          </cell>
          <cell r="Z77" t="str">
            <v>Dr C Jayaprakash, Tirupati</v>
          </cell>
          <cell r="AA77" t="str">
            <v>HNSCC</v>
          </cell>
          <cell r="AC77" t="str">
            <v>Buccal Mucosa</v>
          </cell>
          <cell r="AD77" t="str">
            <v>Buccal Mucosa</v>
          </cell>
          <cell r="AE77" t="str">
            <v>Female</v>
          </cell>
          <cell r="AF77">
            <v>46</v>
          </cell>
          <cell r="AG77" t="str">
            <v>N</v>
          </cell>
          <cell r="AH77">
            <v>5.3</v>
          </cell>
          <cell r="AI77" t="str">
            <v>Partha</v>
          </cell>
          <cell r="AJ77" t="str">
            <v>Surgery</v>
          </cell>
          <cell r="AK77" t="str">
            <v>Primary</v>
          </cell>
          <cell r="AN77" t="str">
            <v>III</v>
          </cell>
          <cell r="AP77" t="str">
            <v>Pt2n1mx</v>
          </cell>
          <cell r="AS77" t="str">
            <v>Squamous Cell Carcinoma</v>
          </cell>
          <cell r="AV77">
            <v>44622</v>
          </cell>
          <cell r="AW77">
            <v>0.94097222222222221</v>
          </cell>
          <cell r="AX77">
            <v>1.3888888888888888E-2</v>
          </cell>
          <cell r="AY77">
            <v>7.2916666666666671E-2</v>
          </cell>
          <cell r="AZ77">
            <v>9.375E-2</v>
          </cell>
          <cell r="BA77">
            <v>0.47152777777777777</v>
          </cell>
          <cell r="BB77" t="str">
            <v>0.6*2.0*2.4
0.4*0.4*0.8
0.4*0.4*0.8</v>
          </cell>
          <cell r="BC77" t="str">
            <v>0.6*2.0*2.4
0.4*0.4*0.8
0.4*0.4*0.8</v>
          </cell>
          <cell r="BD77" t="str">
            <v>Vibratome</v>
          </cell>
          <cell r="BE77">
            <v>4</v>
          </cell>
          <cell r="BF77" t="str">
            <v>Mani</v>
          </cell>
          <cell r="BG77" t="str">
            <v>Y</v>
          </cell>
        </row>
        <row r="78">
          <cell r="A78" t="str">
            <v>FBR1K220057</v>
          </cell>
          <cell r="B78">
            <v>220057</v>
          </cell>
          <cell r="C78" t="str">
            <v>R&amp;D</v>
          </cell>
          <cell r="D78">
            <v>44622</v>
          </cell>
          <cell r="E78">
            <v>0.54236111111111107</v>
          </cell>
          <cell r="F78">
            <v>44621</v>
          </cell>
          <cell r="G78">
            <v>44622</v>
          </cell>
          <cell r="H78">
            <v>0.92013888888888884</v>
          </cell>
          <cell r="I78">
            <v>0.37777777777777777</v>
          </cell>
          <cell r="J78">
            <v>2</v>
          </cell>
          <cell r="K78" t="str">
            <v>FCB-PROTOCOL-01</v>
          </cell>
          <cell r="L78" t="str">
            <v>CLN/DBR/068</v>
          </cell>
          <cell r="M78" t="str">
            <v>Y</v>
          </cell>
          <cell r="N78" t="str">
            <v>DMS_v4(1K)</v>
          </cell>
          <cell r="O78" t="str">
            <v>Internal R&amp;D</v>
          </cell>
          <cell r="P78" t="str">
            <v>Q1 Passed</v>
          </cell>
          <cell r="Q78" t="str">
            <v>Q1 Passed</v>
          </cell>
          <cell r="R78" t="str">
            <v>Q1.5 Passed</v>
          </cell>
          <cell r="S78" t="str">
            <v>Q1.5 Passed</v>
          </cell>
          <cell r="V78" t="str">
            <v>Tumor content 40-90%.</v>
          </cell>
          <cell r="W78" t="str">
            <v>Clinic'les</v>
          </cell>
          <cell r="X78" t="str">
            <v>Clinic'les- DBR &amp; SK Hospital, Tirupati</v>
          </cell>
          <cell r="Y78" t="str">
            <v>DBR &amp; SK Hospital, Tirupati</v>
          </cell>
          <cell r="Z78" t="str">
            <v>Dr C Jayaprakash, Tirupati</v>
          </cell>
          <cell r="AA78" t="str">
            <v>HNSCC</v>
          </cell>
          <cell r="AC78" t="str">
            <v>Buccal Mucosa</v>
          </cell>
          <cell r="AD78" t="str">
            <v>Buccal Mucosa</v>
          </cell>
          <cell r="AE78" t="str">
            <v>Female</v>
          </cell>
          <cell r="AF78">
            <v>46</v>
          </cell>
          <cell r="AG78" t="str">
            <v>N</v>
          </cell>
          <cell r="AH78">
            <v>5.3</v>
          </cell>
          <cell r="AI78" t="str">
            <v>Partha</v>
          </cell>
          <cell r="AJ78" t="str">
            <v>Surgery</v>
          </cell>
          <cell r="AK78" t="str">
            <v>Primary</v>
          </cell>
          <cell r="AN78" t="str">
            <v>III</v>
          </cell>
          <cell r="AP78" t="str">
            <v>Pt2n1mx</v>
          </cell>
          <cell r="AS78" t="str">
            <v>Squamous Cell Carcinoma</v>
          </cell>
          <cell r="AV78">
            <v>44622</v>
          </cell>
          <cell r="AW78">
            <v>0.94097222222222221</v>
          </cell>
          <cell r="AX78">
            <v>1.3888888888888888E-2</v>
          </cell>
          <cell r="AY78">
            <v>7.2916666666666671E-2</v>
          </cell>
          <cell r="AZ78">
            <v>9.375E-2</v>
          </cell>
          <cell r="BA78">
            <v>0.47152777777777777</v>
          </cell>
          <cell r="BB78" t="str">
            <v>0.6*2.0*2.4
0.4*0.4*0.8
0.4*0.4*0.8</v>
          </cell>
          <cell r="BC78" t="str">
            <v>0.6*2.0*2.4
0.4*0.4*0.8
0.4*0.4*0.8</v>
          </cell>
          <cell r="BD78" t="str">
            <v>Vibratome</v>
          </cell>
          <cell r="BE78">
            <v>4</v>
          </cell>
          <cell r="BF78" t="str">
            <v>Mani</v>
          </cell>
          <cell r="BG78" t="str">
            <v>Y</v>
          </cell>
        </row>
        <row r="79">
          <cell r="A79" t="str">
            <v>FBB1C220058</v>
          </cell>
          <cell r="B79">
            <v>220058</v>
          </cell>
          <cell r="C79" t="str">
            <v>Biopharma</v>
          </cell>
          <cell r="D79">
            <v>44623</v>
          </cell>
          <cell r="E79">
            <v>0.49652777777777779</v>
          </cell>
          <cell r="F79">
            <v>44621</v>
          </cell>
          <cell r="G79">
            <v>44623</v>
          </cell>
          <cell r="H79">
            <v>0.55208333333333337</v>
          </cell>
          <cell r="I79">
            <v>5.5555555555555552E-2</v>
          </cell>
          <cell r="J79">
            <v>3</v>
          </cell>
          <cell r="K79" t="str">
            <v>FCB-PROTOCOL-01</v>
          </cell>
          <cell r="L79" t="str">
            <v>CLN/PRA/167</v>
          </cell>
          <cell r="M79" t="str">
            <v>Y</v>
          </cell>
          <cell r="N79" t="str">
            <v>BP004_SOW1_2021</v>
          </cell>
          <cell r="O79" t="str">
            <v>Biopharma</v>
          </cell>
          <cell r="P79" t="str">
            <v>Q1 Passed</v>
          </cell>
          <cell r="Q79" t="str">
            <v>Q1 Passed</v>
          </cell>
          <cell r="R79" t="str">
            <v>Q1.5 Passed</v>
          </cell>
          <cell r="S79" t="str">
            <v>Q1.5 Passed</v>
          </cell>
          <cell r="V79" t="str">
            <v>Tumor content 60-85%</v>
          </cell>
          <cell r="W79" t="str">
            <v>Consultant</v>
          </cell>
          <cell r="X79" t="str">
            <v>Dr Prakash BV, Bangalore</v>
          </cell>
          <cell r="Y79" t="str">
            <v>Sri Lakshmi Hospital, Bangalore</v>
          </cell>
          <cell r="Z79" t="str">
            <v>Dr Prakash BV, Bangalore</v>
          </cell>
          <cell r="AA79" t="str">
            <v>GI</v>
          </cell>
          <cell r="AB79" t="str">
            <v>Ca Stomach</v>
          </cell>
          <cell r="AC79" t="str">
            <v>Stomach</v>
          </cell>
          <cell r="AD79" t="str">
            <v>Stomach</v>
          </cell>
          <cell r="AE79" t="str">
            <v>Female</v>
          </cell>
          <cell r="AF79">
            <v>50</v>
          </cell>
          <cell r="AH79">
            <v>5.3</v>
          </cell>
          <cell r="AI79" t="str">
            <v>Kalappa</v>
          </cell>
          <cell r="AJ79" t="str">
            <v>Surgery</v>
          </cell>
          <cell r="AK79" t="str">
            <v>Primary</v>
          </cell>
          <cell r="AN79" t="str">
            <v>II</v>
          </cell>
          <cell r="AP79" t="str">
            <v>pT2N0M0</v>
          </cell>
          <cell r="AS79" t="str">
            <v>Stomach Adenocarcinoma</v>
          </cell>
          <cell r="AV79">
            <v>44623</v>
          </cell>
          <cell r="AW79">
            <v>0.60416666666666663</v>
          </cell>
          <cell r="AX79">
            <v>0.70138888888888884</v>
          </cell>
          <cell r="AY79">
            <v>9.7222222222222224E-2</v>
          </cell>
          <cell r="AZ79">
            <v>0.14930555555555555</v>
          </cell>
          <cell r="BA79">
            <v>0.2048611111111111</v>
          </cell>
          <cell r="BB79" t="str">
            <v>0.8*2.6*2.8</v>
          </cell>
          <cell r="BC79" t="str">
            <v>0.8*2.6*2.8</v>
          </cell>
          <cell r="BD79" t="str">
            <v>Manual</v>
          </cell>
          <cell r="BE79">
            <v>4</v>
          </cell>
          <cell r="BF79" t="str">
            <v>Kowshik</v>
          </cell>
          <cell r="BG79" t="str">
            <v>Y</v>
          </cell>
        </row>
        <row r="80">
          <cell r="A80">
            <v>220059</v>
          </cell>
          <cell r="B80">
            <v>220059</v>
          </cell>
          <cell r="C80" t="str">
            <v>R&amp;D</v>
          </cell>
          <cell r="D80">
            <v>44624</v>
          </cell>
          <cell r="E80">
            <v>0.64930555555555558</v>
          </cell>
          <cell r="F80">
            <v>44621</v>
          </cell>
          <cell r="G80">
            <v>44624</v>
          </cell>
          <cell r="H80">
            <v>0.70625000000000004</v>
          </cell>
          <cell r="I80">
            <v>5.6944444444444443E-2</v>
          </cell>
          <cell r="J80">
            <v>10</v>
          </cell>
          <cell r="K80" t="str">
            <v>FCB-PROTOCOL-01</v>
          </cell>
          <cell r="L80" t="str">
            <v>VYD/078</v>
          </cell>
          <cell r="M80" t="str">
            <v>Y</v>
          </cell>
          <cell r="N80" t="str">
            <v>BioBank</v>
          </cell>
          <cell r="O80" t="str">
            <v>BioBank</v>
          </cell>
          <cell r="P80" t="str">
            <v>Q1 Passed</v>
          </cell>
          <cell r="Q80" t="str">
            <v>Q1 Passed</v>
          </cell>
          <cell r="R80" t="str">
            <v>Q1.5 Rejected</v>
          </cell>
          <cell r="S80" t="str">
            <v>Q1.5 Rejected</v>
          </cell>
          <cell r="W80" t="str">
            <v>Private Hospital</v>
          </cell>
          <cell r="X80" t="str">
            <v>Vydehi Hospital, Bangalore</v>
          </cell>
          <cell r="Y80" t="str">
            <v>Vydehi Hospital, Bangalore</v>
          </cell>
          <cell r="Z80" t="str">
            <v>Dr Amritha Prabha, Bangalore</v>
          </cell>
          <cell r="AA80" t="str">
            <v>HNSCC</v>
          </cell>
          <cell r="AC80" t="str">
            <v>Buccal Mucosa</v>
          </cell>
          <cell r="AD80" t="str">
            <v>Left Buccal Mucosa</v>
          </cell>
          <cell r="AE80" t="str">
            <v>Male</v>
          </cell>
          <cell r="AF80">
            <v>58</v>
          </cell>
          <cell r="AG80" t="str">
            <v>N</v>
          </cell>
          <cell r="AH80">
            <v>5.6</v>
          </cell>
          <cell r="AI80" t="str">
            <v>Partha</v>
          </cell>
          <cell r="AJ80" t="str">
            <v>Surgery</v>
          </cell>
          <cell r="AK80" t="str">
            <v>Primary</v>
          </cell>
          <cell r="AN80" t="str">
            <v>I</v>
          </cell>
          <cell r="AO80">
            <v>2</v>
          </cell>
          <cell r="AP80" t="str">
            <v>pT1N0</v>
          </cell>
          <cell r="AS80" t="str">
            <v>Squamous Cell Carcinoma</v>
          </cell>
          <cell r="AV80" t="str">
            <v>NA</v>
          </cell>
        </row>
        <row r="81">
          <cell r="A81">
            <v>220060</v>
          </cell>
          <cell r="B81">
            <v>220060</v>
          </cell>
          <cell r="C81" t="str">
            <v>R&amp;D</v>
          </cell>
          <cell r="D81">
            <v>44624</v>
          </cell>
          <cell r="E81">
            <v>0.4597222222222222</v>
          </cell>
          <cell r="F81">
            <v>44621</v>
          </cell>
          <cell r="G81">
            <v>44624</v>
          </cell>
          <cell r="H81">
            <v>0.72222222222222221</v>
          </cell>
          <cell r="I81">
            <v>0.26250000000000001</v>
          </cell>
          <cell r="J81">
            <v>2</v>
          </cell>
          <cell r="K81" t="str">
            <v>FCB-PROTOCOL-01</v>
          </cell>
          <cell r="L81" t="str">
            <v>CLN/JSS/003</v>
          </cell>
          <cell r="M81" t="str">
            <v>Y</v>
          </cell>
          <cell r="N81" t="str">
            <v>No Study</v>
          </cell>
          <cell r="O81" t="str">
            <v>1st level attrition</v>
          </cell>
          <cell r="P81" t="str">
            <v>Q1 Rejected</v>
          </cell>
          <cell r="R81" t="str">
            <v>Q1.5 Rejected</v>
          </cell>
          <cell r="S81" t="str">
            <v>Q1.5 Rejected</v>
          </cell>
          <cell r="T81" t="str">
            <v>Sample height was small</v>
          </cell>
          <cell r="W81" t="str">
            <v>Clinic'les</v>
          </cell>
          <cell r="X81" t="str">
            <v>Clinic'les- Dr Ravi Krishnappa, Mysore</v>
          </cell>
          <cell r="Y81" t="str">
            <v>JSS Hospital, Mysore</v>
          </cell>
          <cell r="Z81" t="str">
            <v>Dr Ravi Krishnappa, Mysore</v>
          </cell>
          <cell r="AA81" t="str">
            <v>HNSCC</v>
          </cell>
          <cell r="AC81" t="str">
            <v>Ear Pinna</v>
          </cell>
          <cell r="AD81" t="str">
            <v>Left Ear Pinna</v>
          </cell>
          <cell r="AE81" t="str">
            <v>Male</v>
          </cell>
          <cell r="AF81">
            <v>64</v>
          </cell>
          <cell r="AG81" t="str">
            <v>N</v>
          </cell>
          <cell r="AH81">
            <v>5.0999999999999996</v>
          </cell>
          <cell r="AI81" t="str">
            <v>Sashi</v>
          </cell>
          <cell r="AJ81" t="str">
            <v>Surgery</v>
          </cell>
          <cell r="AK81" t="str">
            <v>Primary</v>
          </cell>
          <cell r="AS81" t="str">
            <v>Squamous Cell Carcinoma</v>
          </cell>
          <cell r="AV81" t="str">
            <v>NA</v>
          </cell>
        </row>
        <row r="82">
          <cell r="A82">
            <v>220061</v>
          </cell>
          <cell r="B82">
            <v>220061</v>
          </cell>
          <cell r="C82" t="str">
            <v>R&amp;D</v>
          </cell>
          <cell r="D82">
            <v>44631</v>
          </cell>
          <cell r="E82">
            <v>0.54027777777777775</v>
          </cell>
          <cell r="F82">
            <v>44621</v>
          </cell>
          <cell r="G82">
            <v>44631</v>
          </cell>
          <cell r="H82">
            <v>0.6479166666666667</v>
          </cell>
          <cell r="I82">
            <v>0.1076388888888889</v>
          </cell>
          <cell r="J82">
            <v>13</v>
          </cell>
          <cell r="K82" t="str">
            <v>FCB-PROTOCOL-01</v>
          </cell>
          <cell r="L82" t="str">
            <v>CLN/PRA/168</v>
          </cell>
          <cell r="M82" t="str">
            <v>Y</v>
          </cell>
          <cell r="N82" t="str">
            <v>No Study</v>
          </cell>
          <cell r="O82" t="str">
            <v>1st level attrition</v>
          </cell>
          <cell r="R82" t="str">
            <v>Q1.5 Rejected</v>
          </cell>
          <cell r="S82" t="str">
            <v>Q1.5 Rejected</v>
          </cell>
          <cell r="T82" t="str">
            <v>Tissue texture hard and spongy</v>
          </cell>
          <cell r="W82" t="str">
            <v>Consultant</v>
          </cell>
          <cell r="X82" t="str">
            <v>Dr Prakash BV, Bangalore</v>
          </cell>
          <cell r="Y82" t="str">
            <v>Abhaya Hospital, Bangalore</v>
          </cell>
          <cell r="Z82" t="str">
            <v>Dr Prakash BV, Bangalore</v>
          </cell>
          <cell r="AA82" t="str">
            <v>HNSCC</v>
          </cell>
          <cell r="AC82" t="str">
            <v>Sinus</v>
          </cell>
          <cell r="AD82" t="str">
            <v>Pyriform Sinus</v>
          </cell>
          <cell r="AE82" t="str">
            <v>Female</v>
          </cell>
          <cell r="AF82">
            <v>50</v>
          </cell>
          <cell r="AG82" t="str">
            <v>N</v>
          </cell>
          <cell r="AH82">
            <v>5.2</v>
          </cell>
          <cell r="AI82" t="str">
            <v>Kalappa</v>
          </cell>
          <cell r="AJ82" t="str">
            <v>Surgery</v>
          </cell>
          <cell r="AK82" t="str">
            <v>Primary</v>
          </cell>
          <cell r="AS82" t="str">
            <v>Squamous Cell Carcinoma</v>
          </cell>
          <cell r="AV82">
            <v>44631</v>
          </cell>
          <cell r="AW82">
            <v>0.68055555555555558</v>
          </cell>
          <cell r="BB82" t="str">
            <v>0.8*3.2*1.6</v>
          </cell>
          <cell r="BC82" t="str">
            <v>0.8*3.2*1.6</v>
          </cell>
          <cell r="BE82">
            <v>4</v>
          </cell>
          <cell r="BF82" t="str">
            <v>Gowri</v>
          </cell>
          <cell r="BG82" t="str">
            <v>Y</v>
          </cell>
        </row>
        <row r="83">
          <cell r="A83" t="str">
            <v>FBR1K220062</v>
          </cell>
          <cell r="B83">
            <v>220062</v>
          </cell>
          <cell r="C83" t="str">
            <v>R&amp;D</v>
          </cell>
          <cell r="D83">
            <v>44636</v>
          </cell>
          <cell r="E83">
            <v>0.86319444444444449</v>
          </cell>
          <cell r="F83">
            <v>44621</v>
          </cell>
          <cell r="G83">
            <v>44636</v>
          </cell>
          <cell r="H83">
            <v>0.90972222222222221</v>
          </cell>
          <cell r="I83">
            <v>4.6527777777777779E-2</v>
          </cell>
          <cell r="J83">
            <v>3</v>
          </cell>
          <cell r="K83" t="str">
            <v>FCB-PROTOCOL-01</v>
          </cell>
          <cell r="L83" t="str">
            <v>CLN/PRA/169</v>
          </cell>
          <cell r="M83" t="str">
            <v>Y</v>
          </cell>
          <cell r="N83" t="str">
            <v>DMS_v4(1K)</v>
          </cell>
          <cell r="O83" t="str">
            <v>Internal R&amp;D</v>
          </cell>
          <cell r="P83" t="str">
            <v>Q1 Passed</v>
          </cell>
          <cell r="Q83" t="str">
            <v>Q1 Passed</v>
          </cell>
          <cell r="R83" t="str">
            <v>Q1.5 Passed</v>
          </cell>
          <cell r="S83" t="str">
            <v>Q1.5 Passed</v>
          </cell>
          <cell r="V83" t="str">
            <v>?Sarcomatoid carcinoma High tumor content</v>
          </cell>
          <cell r="W83" t="str">
            <v>Consultant</v>
          </cell>
          <cell r="X83" t="str">
            <v>Dr Prakash BV, Bangalore</v>
          </cell>
          <cell r="Y83" t="str">
            <v>Sri Lakshmi Hospital, Bangalore</v>
          </cell>
          <cell r="Z83" t="str">
            <v>Dr Prakash BV, Bangalore</v>
          </cell>
          <cell r="AA83" t="str">
            <v>HNSCC</v>
          </cell>
          <cell r="AC83" t="str">
            <v>Alveolus</v>
          </cell>
          <cell r="AD83" t="str">
            <v>Left Lower Alveolus</v>
          </cell>
          <cell r="AE83" t="str">
            <v>Male</v>
          </cell>
          <cell r="AF83">
            <v>55</v>
          </cell>
          <cell r="AG83" t="str">
            <v>N</v>
          </cell>
          <cell r="AH83">
            <v>5.3</v>
          </cell>
          <cell r="AI83" t="str">
            <v>Partha</v>
          </cell>
          <cell r="AJ83" t="str">
            <v>Surgery</v>
          </cell>
          <cell r="AK83" t="str">
            <v>Primary</v>
          </cell>
          <cell r="AS83" t="str">
            <v>Squamous Cell Carcinoma</v>
          </cell>
          <cell r="AV83">
            <v>44637</v>
          </cell>
          <cell r="AW83">
            <v>0.40277777777777779</v>
          </cell>
          <cell r="AX83">
            <v>0.50694444444444442</v>
          </cell>
          <cell r="AY83">
            <v>0.10416666666666667</v>
          </cell>
          <cell r="AZ83">
            <v>0.59722222222222221</v>
          </cell>
          <cell r="BA83">
            <v>0.64375000000000004</v>
          </cell>
          <cell r="BB83" t="str">
            <v>1.6*3.6*1.6</v>
          </cell>
          <cell r="BC83" t="str">
            <v>1.6*3.6*1.6</v>
          </cell>
          <cell r="BD83" t="str">
            <v>Vibratome</v>
          </cell>
          <cell r="BE83">
            <v>4</v>
          </cell>
          <cell r="BF83" t="str">
            <v>Gowri</v>
          </cell>
          <cell r="BG83" t="str">
            <v>Y</v>
          </cell>
        </row>
        <row r="84">
          <cell r="A84" t="str">
            <v>FBR1C220062</v>
          </cell>
          <cell r="B84">
            <v>220062</v>
          </cell>
          <cell r="C84" t="str">
            <v>R&amp;D</v>
          </cell>
          <cell r="D84">
            <v>44636</v>
          </cell>
          <cell r="E84">
            <v>0.86319444444444449</v>
          </cell>
          <cell r="F84">
            <v>44621</v>
          </cell>
          <cell r="G84">
            <v>44636</v>
          </cell>
          <cell r="H84">
            <v>0.90972222222222221</v>
          </cell>
          <cell r="I84">
            <v>4.6527777777777779E-2</v>
          </cell>
          <cell r="J84">
            <v>3</v>
          </cell>
          <cell r="K84" t="str">
            <v>FCB-PROTOCOL-01</v>
          </cell>
          <cell r="L84" t="str">
            <v>CLN/PRA/169</v>
          </cell>
          <cell r="M84" t="str">
            <v>Y</v>
          </cell>
          <cell r="N84" t="str">
            <v>Culture Improvement</v>
          </cell>
          <cell r="O84" t="str">
            <v>Internal R&amp;D</v>
          </cell>
          <cell r="P84" t="str">
            <v>Q1 Passed</v>
          </cell>
          <cell r="Q84" t="str">
            <v>Q1 Passed</v>
          </cell>
          <cell r="R84" t="str">
            <v>Q1.5 Passed</v>
          </cell>
          <cell r="S84" t="str">
            <v>Q1.5 Passed</v>
          </cell>
          <cell r="W84" t="str">
            <v>Consultant</v>
          </cell>
          <cell r="X84" t="str">
            <v>Dr Prakash BV, Bangalore</v>
          </cell>
          <cell r="Y84" t="str">
            <v>Sri Lakshmi Hospital, Bangalore</v>
          </cell>
          <cell r="Z84" t="str">
            <v>Dr Prakash BV, Bangalore</v>
          </cell>
          <cell r="AA84" t="str">
            <v>HNSCC</v>
          </cell>
          <cell r="AC84" t="str">
            <v>Alveolus</v>
          </cell>
          <cell r="AD84" t="str">
            <v>Left Lower Alveolus</v>
          </cell>
          <cell r="AE84" t="str">
            <v>Male</v>
          </cell>
          <cell r="AF84">
            <v>55</v>
          </cell>
          <cell r="AG84" t="str">
            <v>N</v>
          </cell>
          <cell r="AH84">
            <v>5.3</v>
          </cell>
          <cell r="AI84" t="str">
            <v>Partha</v>
          </cell>
          <cell r="AJ84" t="str">
            <v>Surgery</v>
          </cell>
          <cell r="AK84" t="str">
            <v>Primary</v>
          </cell>
          <cell r="AS84" t="str">
            <v>Squamous Cell Carcinoma</v>
          </cell>
          <cell r="AV84">
            <v>44637</v>
          </cell>
          <cell r="AW84">
            <v>0.40972222222222221</v>
          </cell>
          <cell r="AX84">
            <v>0.50694444444444442</v>
          </cell>
          <cell r="AY84">
            <v>9.7222222222222224E-2</v>
          </cell>
          <cell r="AZ84">
            <v>0.59722222222222221</v>
          </cell>
          <cell r="BA84">
            <v>0.64375000000000004</v>
          </cell>
          <cell r="BB84" t="str">
            <v>1.6*3.6*1.6</v>
          </cell>
          <cell r="BC84" t="str">
            <v>1.6*3.6*1.6</v>
          </cell>
          <cell r="BD84" t="str">
            <v>Vibratome</v>
          </cell>
          <cell r="BE84">
            <v>15</v>
          </cell>
          <cell r="BF84" t="str">
            <v>Gowri</v>
          </cell>
          <cell r="BG84" t="str">
            <v>Y</v>
          </cell>
        </row>
        <row r="85">
          <cell r="A85" t="str">
            <v>FBR1R220062</v>
          </cell>
          <cell r="B85">
            <v>220062</v>
          </cell>
          <cell r="C85" t="str">
            <v>R&amp;D</v>
          </cell>
          <cell r="D85">
            <v>44636</v>
          </cell>
          <cell r="E85">
            <v>0.86319444444444449</v>
          </cell>
          <cell r="F85">
            <v>44621</v>
          </cell>
          <cell r="G85">
            <v>44636</v>
          </cell>
          <cell r="H85">
            <v>0.90972222222222221</v>
          </cell>
          <cell r="I85">
            <v>4.6527777777777779E-2</v>
          </cell>
          <cell r="J85">
            <v>3</v>
          </cell>
          <cell r="K85" t="str">
            <v>FCB-PROTOCOL-01</v>
          </cell>
          <cell r="L85" t="str">
            <v>CLN/PRA/169</v>
          </cell>
          <cell r="M85" t="str">
            <v>Y</v>
          </cell>
          <cell r="N85" t="str">
            <v>BSS(1R)</v>
          </cell>
          <cell r="O85" t="str">
            <v>Internal R&amp;D</v>
          </cell>
          <cell r="P85" t="str">
            <v>Q1 Passed</v>
          </cell>
          <cell r="Q85" t="str">
            <v>Q1 Passed</v>
          </cell>
          <cell r="R85" t="str">
            <v>Q1.5 Passed</v>
          </cell>
          <cell r="S85" t="str">
            <v>Q1.5 Passed</v>
          </cell>
          <cell r="V85" t="str">
            <v>Tumor in all fragments</v>
          </cell>
          <cell r="W85" t="str">
            <v>Consultant</v>
          </cell>
          <cell r="X85" t="str">
            <v>Dr Prakash BV, Bangalore</v>
          </cell>
          <cell r="Y85" t="str">
            <v>Sri Lakshmi Hospital, Bangalore</v>
          </cell>
          <cell r="Z85" t="str">
            <v>Dr Prakash BV, Bangalore</v>
          </cell>
          <cell r="AA85" t="str">
            <v>HNSCC</v>
          </cell>
          <cell r="AC85" t="str">
            <v>Alveolus</v>
          </cell>
          <cell r="AD85" t="str">
            <v>Left Lower Alveolus</v>
          </cell>
          <cell r="AE85" t="str">
            <v>Male</v>
          </cell>
          <cell r="AF85">
            <v>55</v>
          </cell>
          <cell r="AG85" t="str">
            <v>N</v>
          </cell>
          <cell r="AH85">
            <v>5.3</v>
          </cell>
          <cell r="AI85" t="str">
            <v>Partha</v>
          </cell>
          <cell r="AJ85" t="str">
            <v>Surgery</v>
          </cell>
          <cell r="AK85" t="str">
            <v>Primary</v>
          </cell>
          <cell r="AS85" t="str">
            <v>Squamous Cell Carcinoma</v>
          </cell>
          <cell r="AV85">
            <v>44637</v>
          </cell>
          <cell r="AW85">
            <v>0.40277777777777779</v>
          </cell>
          <cell r="AX85">
            <v>0.50694444444444442</v>
          </cell>
          <cell r="AY85">
            <v>0.10416666666666667</v>
          </cell>
          <cell r="AZ85">
            <v>0.59722222222222221</v>
          </cell>
          <cell r="BA85">
            <v>0.64375000000000004</v>
          </cell>
          <cell r="BB85" t="str">
            <v>1.6*3.6*1.6</v>
          </cell>
          <cell r="BC85" t="str">
            <v>1.6*3.6*1.6</v>
          </cell>
          <cell r="BD85" t="str">
            <v>Vibratome</v>
          </cell>
          <cell r="BE85">
            <v>15</v>
          </cell>
          <cell r="BF85" t="str">
            <v>Gowri</v>
          </cell>
          <cell r="BG85" t="str">
            <v>Y</v>
          </cell>
        </row>
        <row r="86">
          <cell r="A86">
            <v>220063</v>
          </cell>
          <cell r="B86">
            <v>220063</v>
          </cell>
          <cell r="C86" t="str">
            <v>R&amp;D</v>
          </cell>
          <cell r="D86">
            <v>44637</v>
          </cell>
          <cell r="E86">
            <v>0.39861111111111114</v>
          </cell>
          <cell r="F86">
            <v>44621</v>
          </cell>
          <cell r="G86">
            <v>44637</v>
          </cell>
          <cell r="H86">
            <v>0.49930555555555556</v>
          </cell>
          <cell r="I86">
            <v>0.10069444444444445</v>
          </cell>
          <cell r="J86">
            <v>5</v>
          </cell>
          <cell r="K86" t="str">
            <v>FCB-PROTOCOL-01</v>
          </cell>
          <cell r="L86" t="str">
            <v>VYD/079</v>
          </cell>
          <cell r="M86" t="str">
            <v>Y</v>
          </cell>
          <cell r="N86" t="str">
            <v>No Study</v>
          </cell>
          <cell r="O86" t="str">
            <v>1st level attrition</v>
          </cell>
          <cell r="P86" t="str">
            <v>Q1 Rejected</v>
          </cell>
          <cell r="R86" t="str">
            <v>Q1.5 Rejected</v>
          </cell>
          <cell r="S86" t="str">
            <v>Q1.5 Rejected</v>
          </cell>
          <cell r="T86" t="str">
            <v>Tissue texture too soft and powdery</v>
          </cell>
          <cell r="W86" t="str">
            <v>Private Hospital</v>
          </cell>
          <cell r="X86" t="str">
            <v>Vydehi Hospital, Bangalore</v>
          </cell>
          <cell r="Y86" t="str">
            <v>Vydehi Hospital, Bangalore</v>
          </cell>
          <cell r="Z86" t="str">
            <v>Dr Amritha Prabha, Bangalore</v>
          </cell>
          <cell r="AA86" t="str">
            <v>HNSCC</v>
          </cell>
          <cell r="AC86" t="str">
            <v>RMT</v>
          </cell>
          <cell r="AD86" t="str">
            <v>Right RMT</v>
          </cell>
          <cell r="AE86" t="str">
            <v>Female</v>
          </cell>
          <cell r="AF86">
            <v>56</v>
          </cell>
          <cell r="AG86" t="str">
            <v>N</v>
          </cell>
          <cell r="AH86">
            <v>4.2</v>
          </cell>
          <cell r="AI86" t="str">
            <v>Kalappa</v>
          </cell>
          <cell r="AJ86" t="str">
            <v>Surgery</v>
          </cell>
          <cell r="AK86" t="str">
            <v>Primary</v>
          </cell>
          <cell r="AS86" t="str">
            <v>Squamous Cell Carcinoma</v>
          </cell>
          <cell r="AV86">
            <v>44637</v>
          </cell>
          <cell r="AW86">
            <v>0.52777777777777779</v>
          </cell>
          <cell r="BD86" t="str">
            <v>Vibratome</v>
          </cell>
          <cell r="BE86">
            <v>15</v>
          </cell>
          <cell r="BF86" t="str">
            <v>Kowshik</v>
          </cell>
          <cell r="BG86" t="str">
            <v>Y</v>
          </cell>
        </row>
        <row r="87">
          <cell r="A87">
            <v>220064</v>
          </cell>
          <cell r="B87">
            <v>220064</v>
          </cell>
          <cell r="C87" t="str">
            <v>R&amp;D</v>
          </cell>
          <cell r="D87">
            <v>44637</v>
          </cell>
          <cell r="E87">
            <v>0.41666666666666669</v>
          </cell>
          <cell r="F87">
            <v>44621</v>
          </cell>
          <cell r="G87">
            <v>44637</v>
          </cell>
          <cell r="H87">
            <v>0.67013888888888884</v>
          </cell>
          <cell r="I87">
            <v>0.25347222222222221</v>
          </cell>
          <cell r="J87">
            <v>35</v>
          </cell>
          <cell r="K87" t="str">
            <v>FCB-PROTOCOL-01</v>
          </cell>
          <cell r="L87" t="str">
            <v>CLN/JSS/004</v>
          </cell>
          <cell r="M87" t="str">
            <v>Y</v>
          </cell>
          <cell r="N87" t="str">
            <v>No Study</v>
          </cell>
          <cell r="O87" t="str">
            <v>1st level attrition</v>
          </cell>
          <cell r="P87" t="str">
            <v>Q1 Rejected</v>
          </cell>
          <cell r="R87" t="str">
            <v>Q1.5 Rejected</v>
          </cell>
          <cell r="S87" t="str">
            <v>Q1.5 Rejected</v>
          </cell>
          <cell r="T87" t="str">
            <v>Sample came in expired buffer tube</v>
          </cell>
          <cell r="W87" t="str">
            <v>Clinic'les</v>
          </cell>
          <cell r="X87" t="str">
            <v>Clinic'les- Dr Ravi Krishnappa, Mysore</v>
          </cell>
          <cell r="Y87" t="str">
            <v>JSS Hospital, Mysore</v>
          </cell>
          <cell r="Z87" t="str">
            <v>Dr Ravi Krishnappa, Mysore</v>
          </cell>
          <cell r="AA87" t="str">
            <v>HNSCC</v>
          </cell>
          <cell r="AC87" t="str">
            <v>Parital Region</v>
          </cell>
          <cell r="AD87" t="str">
            <v>Left Parital Region</v>
          </cell>
          <cell r="AE87" t="str">
            <v>Male</v>
          </cell>
          <cell r="AF87">
            <v>73</v>
          </cell>
          <cell r="AG87" t="str">
            <v>N</v>
          </cell>
          <cell r="AH87">
            <v>5.2</v>
          </cell>
          <cell r="AI87" t="str">
            <v>Kalappa</v>
          </cell>
          <cell r="AJ87" t="str">
            <v>Surgery</v>
          </cell>
          <cell r="AK87" t="str">
            <v>Local Recurrent</v>
          </cell>
          <cell r="AS87" t="str">
            <v>Squamous Cell Carcinoma</v>
          </cell>
          <cell r="AV87">
            <v>44637</v>
          </cell>
        </row>
        <row r="88">
          <cell r="A88" t="str">
            <v>FBR1Q220065</v>
          </cell>
          <cell r="B88">
            <v>220065</v>
          </cell>
          <cell r="C88" t="str">
            <v>R&amp;D</v>
          </cell>
          <cell r="D88">
            <v>44637</v>
          </cell>
          <cell r="E88">
            <v>0.59930555555555554</v>
          </cell>
          <cell r="F88">
            <v>44621</v>
          </cell>
          <cell r="G88">
            <v>44637</v>
          </cell>
          <cell r="H88">
            <v>0.6875</v>
          </cell>
          <cell r="I88">
            <v>8.819444444444445E-2</v>
          </cell>
          <cell r="J88">
            <v>3</v>
          </cell>
          <cell r="K88" t="str">
            <v>FCB-PROTOCOL-01</v>
          </cell>
          <cell r="L88" t="str">
            <v>VYD/080</v>
          </cell>
          <cell r="M88" t="str">
            <v>Y</v>
          </cell>
          <cell r="N88" t="str">
            <v>COSV4.1-CaBR</v>
          </cell>
          <cell r="O88" t="str">
            <v>Internal R&amp;D</v>
          </cell>
          <cell r="P88" t="str">
            <v>Q1 Passed</v>
          </cell>
          <cell r="Q88" t="str">
            <v>Q1 Passed</v>
          </cell>
          <cell r="R88" t="str">
            <v>Q1.5 Passed</v>
          </cell>
          <cell r="S88" t="str">
            <v>Q1.5 Passed</v>
          </cell>
          <cell r="V88" t="str">
            <v>Good tumor content;25-80%</v>
          </cell>
          <cell r="W88" t="str">
            <v>Private Hospital</v>
          </cell>
          <cell r="X88" t="str">
            <v>Vydehi Hospital, Bangalore</v>
          </cell>
          <cell r="Y88" t="str">
            <v>Vydehi Hospital, Bangalore</v>
          </cell>
          <cell r="Z88" t="str">
            <v>Dr Amritha Prabha, Bangalore</v>
          </cell>
          <cell r="AA88" t="str">
            <v>Ca Breast</v>
          </cell>
          <cell r="AC88" t="str">
            <v>Breast</v>
          </cell>
          <cell r="AD88" t="str">
            <v>Right Breast</v>
          </cell>
          <cell r="AE88" t="str">
            <v>Female</v>
          </cell>
          <cell r="AF88">
            <v>55</v>
          </cell>
          <cell r="AG88" t="str">
            <v>N</v>
          </cell>
          <cell r="AH88">
            <v>5.0999999999999996</v>
          </cell>
          <cell r="AI88" t="str">
            <v>Sashi</v>
          </cell>
          <cell r="AJ88" t="str">
            <v>Surgery</v>
          </cell>
          <cell r="AK88" t="str">
            <v>Primary</v>
          </cell>
          <cell r="AN88" t="str">
            <v>IIB</v>
          </cell>
          <cell r="AO88">
            <v>2</v>
          </cell>
          <cell r="AP88" t="str">
            <v>pT2N1a</v>
          </cell>
          <cell r="AS88" t="str">
            <v>Infiltrating Ductal Carcinoma</v>
          </cell>
          <cell r="AV88">
            <v>44637</v>
          </cell>
          <cell r="AW88">
            <v>0.75</v>
          </cell>
          <cell r="BE88">
            <v>15</v>
          </cell>
          <cell r="BG88" t="str">
            <v>Y</v>
          </cell>
        </row>
        <row r="89">
          <cell r="A89">
            <v>220066</v>
          </cell>
          <cell r="B89">
            <v>220066</v>
          </cell>
          <cell r="C89" t="str">
            <v>R&amp;D</v>
          </cell>
          <cell r="D89">
            <v>44639</v>
          </cell>
          <cell r="E89">
            <v>0.45347222222222222</v>
          </cell>
          <cell r="F89">
            <v>44621</v>
          </cell>
          <cell r="G89">
            <v>44639</v>
          </cell>
          <cell r="H89">
            <v>0.50694444444444442</v>
          </cell>
          <cell r="I89">
            <v>5.347222222222222E-2</v>
          </cell>
          <cell r="J89">
            <v>4</v>
          </cell>
          <cell r="K89" t="str">
            <v>FCB-PROTOCOL-01</v>
          </cell>
          <cell r="L89" t="str">
            <v>VYD/081</v>
          </cell>
          <cell r="M89" t="str">
            <v>Y</v>
          </cell>
          <cell r="N89" t="str">
            <v>No Study</v>
          </cell>
          <cell r="O89" t="str">
            <v>1st level attrition</v>
          </cell>
          <cell r="P89" t="str">
            <v>Q1 Rejected</v>
          </cell>
          <cell r="R89" t="str">
            <v>Q1.5 Rejected</v>
          </cell>
          <cell r="S89" t="str">
            <v>Q1.5 Rejected</v>
          </cell>
          <cell r="T89" t="str">
            <v>Tissue completely disintegrated</v>
          </cell>
          <cell r="W89" t="str">
            <v>Private Hospital</v>
          </cell>
          <cell r="X89" t="str">
            <v>Vydehi Hospital, Bangalore</v>
          </cell>
          <cell r="Y89" t="str">
            <v>Vydehi Hospital, Bangalore</v>
          </cell>
          <cell r="Z89" t="str">
            <v>Dr Amritha Prabha, Bangalore</v>
          </cell>
          <cell r="AA89" t="str">
            <v>HNSCC</v>
          </cell>
          <cell r="AC89" t="str">
            <v>Buccal Mucosa</v>
          </cell>
          <cell r="AD89" t="str">
            <v>Left Buccal Muosa</v>
          </cell>
          <cell r="AE89" t="str">
            <v>Male</v>
          </cell>
          <cell r="AF89">
            <v>42</v>
          </cell>
          <cell r="AG89" t="str">
            <v>N</v>
          </cell>
          <cell r="AH89">
            <v>5.2</v>
          </cell>
          <cell r="AI89" t="str">
            <v>Kalappa</v>
          </cell>
          <cell r="AJ89" t="str">
            <v>Surgery</v>
          </cell>
          <cell r="AK89" t="str">
            <v>Primary</v>
          </cell>
          <cell r="AL89" t="str">
            <v>Radiotherapy</v>
          </cell>
          <cell r="AS89" t="str">
            <v>Squamous Cell Carcinoma</v>
          </cell>
          <cell r="AV89">
            <v>44639</v>
          </cell>
        </row>
        <row r="90">
          <cell r="A90" t="str">
            <v>FBB1F220067</v>
          </cell>
          <cell r="B90">
            <v>220067</v>
          </cell>
          <cell r="C90" t="str">
            <v>Biopharma</v>
          </cell>
          <cell r="D90">
            <v>44639</v>
          </cell>
          <cell r="E90">
            <v>0.61319444444444449</v>
          </cell>
          <cell r="F90">
            <v>44621</v>
          </cell>
          <cell r="G90">
            <v>44639</v>
          </cell>
          <cell r="H90">
            <v>0.64583333333333337</v>
          </cell>
          <cell r="I90">
            <v>3.2638888888888891E-2</v>
          </cell>
          <cell r="J90">
            <v>3</v>
          </cell>
          <cell r="K90" t="str">
            <v>FCB-PROTOCOL-01</v>
          </cell>
          <cell r="L90" t="str">
            <v>CLN/PRA/170</v>
          </cell>
          <cell r="M90" t="str">
            <v>Y</v>
          </cell>
          <cell r="N90" t="str">
            <v>BP006_Phase1C</v>
          </cell>
          <cell r="O90" t="str">
            <v>Biopharma</v>
          </cell>
          <cell r="P90" t="str">
            <v>Q1 Passed</v>
          </cell>
          <cell r="Q90" t="str">
            <v>Q1 Passed</v>
          </cell>
          <cell r="R90" t="str">
            <v>Q1.5 Passed</v>
          </cell>
          <cell r="S90" t="str">
            <v>Q1.5 Passed</v>
          </cell>
          <cell r="V90" t="str">
            <v>. Tumor in all explants.70-95%</v>
          </cell>
          <cell r="W90" t="str">
            <v>Consultant</v>
          </cell>
          <cell r="X90" t="str">
            <v>Dr Prakash BV, Bangalore</v>
          </cell>
          <cell r="Y90" t="str">
            <v>Leelavathi Hospital, Bangalore</v>
          </cell>
          <cell r="Z90" t="str">
            <v>Dr Prakash BV, Bangalore</v>
          </cell>
          <cell r="AA90" t="str">
            <v>RCC</v>
          </cell>
          <cell r="AC90" t="str">
            <v>Kidney</v>
          </cell>
          <cell r="AD90" t="str">
            <v>Left Kidney</v>
          </cell>
          <cell r="AE90" t="str">
            <v>Male</v>
          </cell>
          <cell r="AF90">
            <v>50</v>
          </cell>
          <cell r="AG90" t="str">
            <v>N</v>
          </cell>
          <cell r="AH90">
            <v>5.6</v>
          </cell>
          <cell r="AI90" t="str">
            <v>Partha</v>
          </cell>
          <cell r="AJ90" t="str">
            <v>Surgery</v>
          </cell>
          <cell r="AK90" t="str">
            <v>Primary</v>
          </cell>
          <cell r="AS90" t="str">
            <v>Clear cell carcinoma</v>
          </cell>
          <cell r="AV90">
            <v>44639</v>
          </cell>
          <cell r="AW90">
            <v>0.66805555555555551</v>
          </cell>
          <cell r="AX90">
            <v>0.77083333333333337</v>
          </cell>
          <cell r="AY90">
            <v>0.10277777777777777</v>
          </cell>
          <cell r="AZ90">
            <v>0.125</v>
          </cell>
          <cell r="BA90">
            <v>0.15763888888888888</v>
          </cell>
          <cell r="BB90" t="str">
            <v>1.2*5.6*2.4</v>
          </cell>
          <cell r="BC90" t="str">
            <v>1.2*5.6*2.4</v>
          </cell>
          <cell r="BD90" t="str">
            <v>Vibratome</v>
          </cell>
          <cell r="BE90">
            <v>15</v>
          </cell>
          <cell r="BF90" t="str">
            <v>Gowri</v>
          </cell>
          <cell r="BG90" t="str">
            <v>Y</v>
          </cell>
        </row>
        <row r="91">
          <cell r="A91" t="str">
            <v>FBR1K220068</v>
          </cell>
          <cell r="B91">
            <v>220068</v>
          </cell>
          <cell r="C91" t="str">
            <v>R&amp;D</v>
          </cell>
          <cell r="D91">
            <v>44642</v>
          </cell>
          <cell r="E91">
            <v>0.4826388888888889</v>
          </cell>
          <cell r="F91">
            <v>44621</v>
          </cell>
          <cell r="G91">
            <v>44642</v>
          </cell>
          <cell r="H91">
            <v>0.57638888888888884</v>
          </cell>
          <cell r="I91">
            <v>9.375E-2</v>
          </cell>
          <cell r="J91">
            <v>4</v>
          </cell>
          <cell r="K91" t="str">
            <v>FCB-PROTOCOL-01</v>
          </cell>
          <cell r="L91" t="str">
            <v>VYD/082</v>
          </cell>
          <cell r="M91" t="str">
            <v>Y</v>
          </cell>
          <cell r="N91" t="str">
            <v>DMS_v4(1K)</v>
          </cell>
          <cell r="O91" t="str">
            <v>Internal R&amp;D</v>
          </cell>
          <cell r="P91" t="str">
            <v>Q1 Passed</v>
          </cell>
          <cell r="Q91" t="str">
            <v>Q1 Passed</v>
          </cell>
          <cell r="R91" t="str">
            <v>Q1.5 Passed</v>
          </cell>
          <cell r="S91" t="str">
            <v>Q1.5 Passed</v>
          </cell>
          <cell r="V91" t="str">
            <v>Tumor content 4-80%</v>
          </cell>
          <cell r="W91" t="str">
            <v>Private Hospital</v>
          </cell>
          <cell r="X91" t="str">
            <v>Vydehi Hospital, Bangalore</v>
          </cell>
          <cell r="Y91" t="str">
            <v>Vydehi Hospital, Bangalore</v>
          </cell>
          <cell r="Z91" t="str">
            <v>Dr Amritha Prabha, Bangalore</v>
          </cell>
          <cell r="AA91" t="str">
            <v>HNSCC</v>
          </cell>
          <cell r="AC91" t="str">
            <v>Buccal Mucosa</v>
          </cell>
          <cell r="AD91" t="str">
            <v>Left Buccal Mucosa</v>
          </cell>
          <cell r="AE91" t="str">
            <v>Female</v>
          </cell>
          <cell r="AF91">
            <v>54</v>
          </cell>
          <cell r="AG91" t="str">
            <v>N</v>
          </cell>
          <cell r="AH91">
            <v>4.8</v>
          </cell>
          <cell r="AI91" t="str">
            <v>Partha</v>
          </cell>
          <cell r="AJ91" t="str">
            <v>Surgery</v>
          </cell>
          <cell r="AK91" t="str">
            <v>Primary</v>
          </cell>
          <cell r="AL91" t="str">
            <v>Radiotherapy</v>
          </cell>
          <cell r="AN91" t="str">
            <v>IVa</v>
          </cell>
          <cell r="AO91">
            <v>2</v>
          </cell>
          <cell r="AP91" t="str">
            <v>pT4aN1</v>
          </cell>
          <cell r="AS91" t="str">
            <v>Squamous Cell Carcinoma</v>
          </cell>
          <cell r="AV91">
            <v>44642</v>
          </cell>
          <cell r="AW91">
            <v>0.625</v>
          </cell>
          <cell r="AX91">
            <v>0.69791666666666663</v>
          </cell>
          <cell r="AY91">
            <v>7.2916666666666671E-2</v>
          </cell>
          <cell r="AZ91">
            <v>0.12152777777777778</v>
          </cell>
          <cell r="BA91">
            <v>0.21527777777777779</v>
          </cell>
          <cell r="BB91" t="str">
            <v>1.0*1.0*1.8</v>
          </cell>
          <cell r="BC91" t="str">
            <v>1.0*1.0*1.8</v>
          </cell>
          <cell r="BD91" t="str">
            <v>Vibratome</v>
          </cell>
          <cell r="BE91">
            <v>15</v>
          </cell>
          <cell r="BF91" t="str">
            <v>Kowshik</v>
          </cell>
          <cell r="BG91" t="str">
            <v>Y</v>
          </cell>
        </row>
        <row r="92">
          <cell r="A92" t="str">
            <v>FBR1C220068</v>
          </cell>
          <cell r="B92">
            <v>220068</v>
          </cell>
          <cell r="C92" t="str">
            <v>R&amp;D</v>
          </cell>
          <cell r="D92">
            <v>44642</v>
          </cell>
          <cell r="E92">
            <v>0.4826388888888889</v>
          </cell>
          <cell r="F92">
            <v>44621</v>
          </cell>
          <cell r="G92">
            <v>44642</v>
          </cell>
          <cell r="H92">
            <v>0.57638888888888884</v>
          </cell>
          <cell r="I92">
            <v>9.375E-2</v>
          </cell>
          <cell r="J92">
            <v>4</v>
          </cell>
          <cell r="K92" t="str">
            <v>FCB-PROTOCOL-01</v>
          </cell>
          <cell r="L92" t="str">
            <v>VYD/082</v>
          </cell>
          <cell r="M92" t="str">
            <v>Y</v>
          </cell>
          <cell r="N92" t="str">
            <v>Culture Improvement</v>
          </cell>
          <cell r="O92" t="str">
            <v>Internal R&amp;D</v>
          </cell>
          <cell r="P92" t="str">
            <v>Q1 Passed</v>
          </cell>
          <cell r="Q92" t="str">
            <v>Q1 Passed</v>
          </cell>
          <cell r="R92" t="str">
            <v>Q1.5 Passed</v>
          </cell>
          <cell r="S92" t="str">
            <v>Q1.5 Passed</v>
          </cell>
          <cell r="W92" t="str">
            <v>Private Hospital</v>
          </cell>
          <cell r="X92" t="str">
            <v>Vydehi Hospital, Bangalore</v>
          </cell>
          <cell r="Y92" t="str">
            <v>Vydehi Hospital, Bangalore</v>
          </cell>
          <cell r="Z92" t="str">
            <v>Dr Amritha Prabha, Bangalore</v>
          </cell>
          <cell r="AA92" t="str">
            <v>HNSCC</v>
          </cell>
          <cell r="AC92" t="str">
            <v>Buccal Mucosa</v>
          </cell>
          <cell r="AD92" t="str">
            <v>Left Buccal Mucosa</v>
          </cell>
          <cell r="AE92" t="str">
            <v>Female</v>
          </cell>
          <cell r="AF92">
            <v>54</v>
          </cell>
          <cell r="AG92" t="str">
            <v>N</v>
          </cell>
          <cell r="AH92">
            <v>4.8</v>
          </cell>
          <cell r="AI92" t="str">
            <v>Partha</v>
          </cell>
          <cell r="AJ92" t="str">
            <v>Surgery</v>
          </cell>
          <cell r="AK92" t="str">
            <v>Primary</v>
          </cell>
          <cell r="AL92" t="str">
            <v>Radiotherapy</v>
          </cell>
          <cell r="AN92" t="str">
            <v>IVa</v>
          </cell>
          <cell r="AO92">
            <v>2</v>
          </cell>
          <cell r="AP92" t="str">
            <v>pT4aN1</v>
          </cell>
          <cell r="AS92" t="str">
            <v>Squamous Cell Carcinoma</v>
          </cell>
          <cell r="AV92">
            <v>44642</v>
          </cell>
          <cell r="AW92">
            <v>0.625</v>
          </cell>
          <cell r="AX92">
            <v>0.69791666666666663</v>
          </cell>
          <cell r="AY92">
            <v>7.2916666666666671E-2</v>
          </cell>
          <cell r="AZ92">
            <v>0.12152777777777778</v>
          </cell>
          <cell r="BA92">
            <v>0.21527777777777779</v>
          </cell>
          <cell r="BB92" t="str">
            <v>1.0*1.0*1.8</v>
          </cell>
          <cell r="BC92" t="str">
            <v>1.0*1.0*1.8</v>
          </cell>
          <cell r="BD92" t="str">
            <v>Vibratome</v>
          </cell>
          <cell r="BE92">
            <v>15</v>
          </cell>
          <cell r="BF92" t="str">
            <v>Kowshik</v>
          </cell>
          <cell r="BG92" t="str">
            <v>Y</v>
          </cell>
        </row>
        <row r="93">
          <cell r="A93" t="str">
            <v>FBR1R220069</v>
          </cell>
          <cell r="B93">
            <v>220069</v>
          </cell>
          <cell r="C93" t="str">
            <v>R&amp;D</v>
          </cell>
          <cell r="D93">
            <v>44643</v>
          </cell>
          <cell r="E93">
            <v>0.49861111111111112</v>
          </cell>
          <cell r="F93">
            <v>44621</v>
          </cell>
          <cell r="G93">
            <v>44643</v>
          </cell>
          <cell r="H93">
            <v>0.57430555555555551</v>
          </cell>
          <cell r="I93">
            <v>7.5694444444444439E-2</v>
          </cell>
          <cell r="J93">
            <v>7</v>
          </cell>
          <cell r="K93" t="str">
            <v>FCB-PROTOCOL-01</v>
          </cell>
          <cell r="L93" t="str">
            <v>VYD/083</v>
          </cell>
          <cell r="M93" t="str">
            <v>Y</v>
          </cell>
          <cell r="N93" t="str">
            <v>BSS(1R)</v>
          </cell>
          <cell r="O93" t="str">
            <v>Internal R&amp;D</v>
          </cell>
          <cell r="P93" t="str">
            <v>Q1 Passed</v>
          </cell>
          <cell r="Q93" t="str">
            <v>Q1 Passed</v>
          </cell>
          <cell r="R93" t="str">
            <v>Q1.5 Passed</v>
          </cell>
          <cell r="S93" t="str">
            <v>Q1.5 Passed</v>
          </cell>
          <cell r="V93" t="str">
            <v>Tumor content -Trace -94%</v>
          </cell>
          <cell r="W93" t="str">
            <v>Private Hospital</v>
          </cell>
          <cell r="X93" t="str">
            <v>Vydehi Hospital, Bangalore</v>
          </cell>
          <cell r="Y93" t="str">
            <v>Vydehi Hospital, Bangalore</v>
          </cell>
          <cell r="Z93" t="str">
            <v>Dr Amritha Prabha, Bangalore</v>
          </cell>
          <cell r="AA93" t="str">
            <v>HNSCC</v>
          </cell>
          <cell r="AC93" t="str">
            <v>Buccal Mucosa</v>
          </cell>
          <cell r="AD93" t="str">
            <v>Left Buccal Mucosa</v>
          </cell>
          <cell r="AE93" t="str">
            <v>Female</v>
          </cell>
          <cell r="AF93">
            <v>70</v>
          </cell>
          <cell r="AG93" t="str">
            <v>N</v>
          </cell>
          <cell r="AH93">
            <v>5.2</v>
          </cell>
          <cell r="AI93" t="str">
            <v>Kalappa</v>
          </cell>
          <cell r="AJ93" t="str">
            <v>Surgery</v>
          </cell>
          <cell r="AK93" t="str">
            <v>Primary</v>
          </cell>
          <cell r="AN93" t="str">
            <v>IVa</v>
          </cell>
          <cell r="AO93">
            <v>2</v>
          </cell>
          <cell r="AP93" t="str">
            <v>pT4aN0</v>
          </cell>
          <cell r="AS93" t="str">
            <v>Squamous Cell Carcinoma</v>
          </cell>
          <cell r="AV93">
            <v>44643</v>
          </cell>
          <cell r="AW93">
            <v>0.63680555555555551</v>
          </cell>
          <cell r="AX93">
            <v>0.73402777777777772</v>
          </cell>
          <cell r="AY93">
            <v>9.7222222222222224E-2</v>
          </cell>
          <cell r="AZ93">
            <v>0.15972222222222221</v>
          </cell>
          <cell r="BA93">
            <v>0.23541666666666666</v>
          </cell>
          <cell r="BB93" t="str">
            <v>1.2*2.4*2.0</v>
          </cell>
          <cell r="BC93" t="str">
            <v>1.2*2.4*2.0</v>
          </cell>
          <cell r="BD93" t="str">
            <v>Manual+Vibratome</v>
          </cell>
          <cell r="BE93">
            <v>15</v>
          </cell>
          <cell r="BF93" t="str">
            <v>Gowri</v>
          </cell>
          <cell r="BG93" t="str">
            <v>N</v>
          </cell>
        </row>
        <row r="94">
          <cell r="A94" t="str">
            <v>FBR1C220069</v>
          </cell>
          <cell r="B94">
            <v>220069</v>
          </cell>
          <cell r="C94" t="str">
            <v>R&amp;D</v>
          </cell>
          <cell r="D94">
            <v>44643</v>
          </cell>
          <cell r="E94">
            <v>0.49861111111111112</v>
          </cell>
          <cell r="F94">
            <v>44621</v>
          </cell>
          <cell r="G94">
            <v>44643</v>
          </cell>
          <cell r="H94">
            <v>0.57430555555555551</v>
          </cell>
          <cell r="I94">
            <v>7.5694444444444439E-2</v>
          </cell>
          <cell r="J94">
            <v>7</v>
          </cell>
          <cell r="K94" t="str">
            <v>FCB-PROTOCOL-01</v>
          </cell>
          <cell r="L94" t="str">
            <v>VYD/083</v>
          </cell>
          <cell r="M94" t="str">
            <v>Y</v>
          </cell>
          <cell r="N94" t="str">
            <v>Culture Improvement</v>
          </cell>
          <cell r="O94" t="str">
            <v>Internal R&amp;D</v>
          </cell>
          <cell r="P94" t="str">
            <v>Q1 Passed</v>
          </cell>
          <cell r="Q94" t="str">
            <v>Q1 Passed</v>
          </cell>
          <cell r="R94" t="str">
            <v>Q1.5 Passed</v>
          </cell>
          <cell r="S94" t="str">
            <v>Q1.5 Passed</v>
          </cell>
          <cell r="V94" t="str">
            <v>Tumor content -15 -80%</v>
          </cell>
          <cell r="W94" t="str">
            <v>Private Hospital</v>
          </cell>
          <cell r="X94" t="str">
            <v>Vydehi Hospital, Bangalore</v>
          </cell>
          <cell r="Y94" t="str">
            <v>Vydehi Hospital, Bangalore</v>
          </cell>
          <cell r="Z94" t="str">
            <v>Dr Amritha Prabha, Bangalore</v>
          </cell>
          <cell r="AA94" t="str">
            <v>HNSCC</v>
          </cell>
          <cell r="AC94" t="str">
            <v>Buccal Mucosa</v>
          </cell>
          <cell r="AD94" t="str">
            <v>Left Buccal Mucosa</v>
          </cell>
          <cell r="AE94" t="str">
            <v>Female</v>
          </cell>
          <cell r="AF94">
            <v>70</v>
          </cell>
          <cell r="AG94" t="str">
            <v>N</v>
          </cell>
          <cell r="AH94">
            <v>5.2</v>
          </cell>
          <cell r="AI94" t="str">
            <v>Kalappa</v>
          </cell>
          <cell r="AJ94" t="str">
            <v>Surgery</v>
          </cell>
          <cell r="AK94" t="str">
            <v>Primary</v>
          </cell>
          <cell r="AN94" t="str">
            <v>IVa</v>
          </cell>
          <cell r="AO94">
            <v>2</v>
          </cell>
          <cell r="AP94" t="str">
            <v>pT4aN0</v>
          </cell>
          <cell r="AS94" t="str">
            <v>Squamous Cell Carcinoma</v>
          </cell>
          <cell r="AV94">
            <v>44643</v>
          </cell>
          <cell r="AW94">
            <v>0.63680555555555551</v>
          </cell>
          <cell r="AX94">
            <v>0.73402777777777772</v>
          </cell>
          <cell r="AY94">
            <v>9.7222222222222224E-2</v>
          </cell>
          <cell r="AZ94">
            <v>0.15972222222222221</v>
          </cell>
          <cell r="BA94">
            <v>0.23541666666666666</v>
          </cell>
          <cell r="BB94" t="str">
            <v>1.2*2.4*2.0</v>
          </cell>
          <cell r="BC94" t="str">
            <v>1.2*2.4*2.0</v>
          </cell>
          <cell r="BD94" t="str">
            <v>Manual+Vibratome</v>
          </cell>
          <cell r="BE94">
            <v>15</v>
          </cell>
          <cell r="BF94" t="str">
            <v>Gowri</v>
          </cell>
          <cell r="BG94" t="str">
            <v>N</v>
          </cell>
        </row>
        <row r="95">
          <cell r="A95" t="str">
            <v>FBR1R220070</v>
          </cell>
          <cell r="B95">
            <v>220070</v>
          </cell>
          <cell r="C95" t="str">
            <v>R&amp;D</v>
          </cell>
          <cell r="D95">
            <v>44644</v>
          </cell>
          <cell r="E95">
            <v>0.53472222222222221</v>
          </cell>
          <cell r="F95">
            <v>44621</v>
          </cell>
          <cell r="G95">
            <v>44644</v>
          </cell>
          <cell r="H95">
            <v>0.92708333333333337</v>
          </cell>
          <cell r="I95">
            <v>0.3923611111111111</v>
          </cell>
          <cell r="J95">
            <v>2</v>
          </cell>
          <cell r="K95" t="str">
            <v>FCB-PROTOCOL-01</v>
          </cell>
          <cell r="L95" t="str">
            <v>CLN/DBR/069</v>
          </cell>
          <cell r="M95" t="str">
            <v>Y</v>
          </cell>
          <cell r="N95" t="str">
            <v>BSS(1R)</v>
          </cell>
          <cell r="O95" t="str">
            <v>Internal R&amp;D</v>
          </cell>
          <cell r="P95" t="str">
            <v>Q1 Passed</v>
          </cell>
          <cell r="Q95" t="str">
            <v>Q1 Passed</v>
          </cell>
          <cell r="R95" t="str">
            <v>Q1.5 Passed</v>
          </cell>
          <cell r="S95" t="str">
            <v>Q1.5 Passed</v>
          </cell>
          <cell r="V95" t="str">
            <v>Superficial epithelial layers, no tumor seen</v>
          </cell>
          <cell r="W95" t="str">
            <v>Clinic'les</v>
          </cell>
          <cell r="X95" t="str">
            <v>Clinic'les- DBR &amp; SK Hospital, Tirupati</v>
          </cell>
          <cell r="Y95" t="str">
            <v>DBR &amp; SK Hospital, Tirupati</v>
          </cell>
          <cell r="Z95" t="str">
            <v>Dr C Jayaprakash, Tirupati</v>
          </cell>
          <cell r="AA95" t="str">
            <v>HNSCC</v>
          </cell>
          <cell r="AC95" t="str">
            <v>Buccal Mucosa</v>
          </cell>
          <cell r="AD95" t="str">
            <v>Buccal Mucosa</v>
          </cell>
          <cell r="AE95" t="str">
            <v>Male</v>
          </cell>
          <cell r="AF95">
            <v>52</v>
          </cell>
          <cell r="AG95" t="str">
            <v>N</v>
          </cell>
          <cell r="AH95">
            <v>5.3</v>
          </cell>
          <cell r="AI95" t="str">
            <v>Partha</v>
          </cell>
          <cell r="AJ95" t="str">
            <v>Surgery</v>
          </cell>
          <cell r="AK95" t="str">
            <v>Primary</v>
          </cell>
          <cell r="AS95" t="str">
            <v>Squamous Cell Carcinoma</v>
          </cell>
          <cell r="AV95">
            <v>44644</v>
          </cell>
          <cell r="AW95">
            <v>0.94097222222222221</v>
          </cell>
          <cell r="AX95">
            <v>1.0138888888888888</v>
          </cell>
          <cell r="AY95">
            <v>7.2916666666666671E-2</v>
          </cell>
          <cell r="AZ95">
            <v>8.6805555555555552E-2</v>
          </cell>
          <cell r="BA95">
            <v>0.47916666666666669</v>
          </cell>
          <cell r="BB95" t="str">
            <v>0.6*1.6*1.8
0.35*1.0*1.2</v>
          </cell>
          <cell r="BC95" t="str">
            <v>0.6*1.6*1.8
0.35*1.0*1.2</v>
          </cell>
          <cell r="BD95" t="str">
            <v>Manual+Vibratome</v>
          </cell>
          <cell r="BE95">
            <v>15</v>
          </cell>
          <cell r="BF95" t="str">
            <v>vasanth</v>
          </cell>
          <cell r="BG95" t="str">
            <v>Y</v>
          </cell>
        </row>
        <row r="96">
          <cell r="A96" t="str">
            <v>FBR1C220070</v>
          </cell>
          <cell r="B96">
            <v>220070</v>
          </cell>
          <cell r="C96" t="str">
            <v>R&amp;D</v>
          </cell>
          <cell r="D96">
            <v>44644</v>
          </cell>
          <cell r="E96">
            <v>0.53472222222222221</v>
          </cell>
          <cell r="F96">
            <v>44621</v>
          </cell>
          <cell r="G96">
            <v>44644</v>
          </cell>
          <cell r="H96">
            <v>0.92708333333333337</v>
          </cell>
          <cell r="I96">
            <v>0.3923611111111111</v>
          </cell>
          <cell r="J96">
            <v>2</v>
          </cell>
          <cell r="K96" t="str">
            <v>FCB-PROTOCOL-01</v>
          </cell>
          <cell r="L96" t="str">
            <v>CLN/DBR/069</v>
          </cell>
          <cell r="M96" t="str">
            <v>Y</v>
          </cell>
          <cell r="N96" t="str">
            <v>Culture Improvement</v>
          </cell>
          <cell r="O96" t="str">
            <v>Internal R&amp;D</v>
          </cell>
          <cell r="P96" t="str">
            <v>Q1 Passed</v>
          </cell>
          <cell r="Q96" t="str">
            <v>Q1 Passed</v>
          </cell>
          <cell r="R96" t="str">
            <v>Q1.5 Passed</v>
          </cell>
          <cell r="S96" t="str">
            <v>Q1.5 Passed</v>
          </cell>
          <cell r="V96" t="str">
            <v>Dyskeratotic changes seen in some explants, but no frank tumor</v>
          </cell>
          <cell r="W96" t="str">
            <v>Clinic'les</v>
          </cell>
          <cell r="X96" t="str">
            <v>Clinic'les- DBR &amp; SK Hospital, Tirupati</v>
          </cell>
          <cell r="Y96" t="str">
            <v>DBR &amp; SK Hospital, Tirupati</v>
          </cell>
          <cell r="Z96" t="str">
            <v>Dr C Jayaprakash, Tirupati</v>
          </cell>
          <cell r="AA96" t="str">
            <v>HNSCC</v>
          </cell>
          <cell r="AC96" t="str">
            <v>Buccal Mucosa</v>
          </cell>
          <cell r="AD96" t="str">
            <v>Buccal Mucosa</v>
          </cell>
          <cell r="AE96" t="str">
            <v>Male</v>
          </cell>
          <cell r="AF96">
            <v>52</v>
          </cell>
          <cell r="AG96" t="str">
            <v>N</v>
          </cell>
          <cell r="AH96">
            <v>5.3</v>
          </cell>
          <cell r="AI96" t="str">
            <v>Partha</v>
          </cell>
          <cell r="AJ96" t="str">
            <v>Surgery</v>
          </cell>
          <cell r="AK96" t="str">
            <v>Primary</v>
          </cell>
          <cell r="AS96" t="str">
            <v>Squamous Cell Carcinoma</v>
          </cell>
          <cell r="AV96">
            <v>44644</v>
          </cell>
          <cell r="AW96">
            <v>0.94097222222222221</v>
          </cell>
          <cell r="AX96">
            <v>1.0138888888888888</v>
          </cell>
          <cell r="AY96">
            <v>7.2916666666666671E-2</v>
          </cell>
          <cell r="AZ96">
            <v>8.6805555555555552E-2</v>
          </cell>
          <cell r="BA96">
            <v>0.47916666666666669</v>
          </cell>
          <cell r="BB96" t="str">
            <v>0.6*1.6*1.8
0.35*1.0*1.2</v>
          </cell>
          <cell r="BC96" t="str">
            <v>0.6*1.6*1.8
0.35*1.0*1.2</v>
          </cell>
          <cell r="BD96" t="str">
            <v>Manual+Vibratome</v>
          </cell>
          <cell r="BE96">
            <v>15</v>
          </cell>
          <cell r="BF96" t="str">
            <v>vasanth</v>
          </cell>
          <cell r="BG96" t="str">
            <v>Y</v>
          </cell>
        </row>
        <row r="97">
          <cell r="A97" t="str">
            <v>FBR1R220071</v>
          </cell>
          <cell r="B97">
            <v>220071</v>
          </cell>
          <cell r="C97" t="str">
            <v>R&amp;D</v>
          </cell>
          <cell r="D97">
            <v>44645</v>
          </cell>
          <cell r="E97">
            <v>0.90625</v>
          </cell>
          <cell r="F97">
            <v>44621</v>
          </cell>
          <cell r="G97">
            <v>44645</v>
          </cell>
          <cell r="H97">
            <v>0.94097222222222221</v>
          </cell>
          <cell r="I97">
            <v>3.4722222222222224E-2</v>
          </cell>
          <cell r="J97">
            <v>0</v>
          </cell>
          <cell r="K97" t="str">
            <v>FCB-PROTOCOL-01</v>
          </cell>
          <cell r="L97" t="str">
            <v>CLN/PRA/171</v>
          </cell>
          <cell r="M97" t="str">
            <v>Y</v>
          </cell>
          <cell r="N97" t="str">
            <v>BSS(1R)</v>
          </cell>
          <cell r="O97" t="str">
            <v>Internal R&amp;D</v>
          </cell>
          <cell r="P97" t="str">
            <v>Q1 Passed</v>
          </cell>
          <cell r="Q97" t="str">
            <v>Q1 Passed</v>
          </cell>
          <cell r="R97" t="str">
            <v>Q1.5 Passed</v>
          </cell>
          <cell r="S97" t="str">
            <v>Q1.5 Passed</v>
          </cell>
          <cell r="V97" t="str">
            <v>Similar features with tumor  in all fragments</v>
          </cell>
          <cell r="W97" t="str">
            <v>Consultant</v>
          </cell>
          <cell r="X97" t="str">
            <v>Dr Prakash BV, Bangalore</v>
          </cell>
          <cell r="Y97" t="str">
            <v>Sri Lakshmi Hospital, Bangalore</v>
          </cell>
          <cell r="Z97" t="str">
            <v>Dr Prakash BV, Bangalore</v>
          </cell>
          <cell r="AA97" t="str">
            <v>HNSCC</v>
          </cell>
          <cell r="AC97" t="str">
            <v>Mouth</v>
          </cell>
          <cell r="AD97" t="str">
            <v>Floor of Mouth</v>
          </cell>
          <cell r="AE97" t="str">
            <v>Male</v>
          </cell>
          <cell r="AF97">
            <v>60</v>
          </cell>
          <cell r="AG97" t="str">
            <v>N</v>
          </cell>
          <cell r="AH97">
            <v>5.0999999999999996</v>
          </cell>
          <cell r="AI97" t="str">
            <v>Sashi</v>
          </cell>
          <cell r="AJ97" t="str">
            <v>Surgery</v>
          </cell>
          <cell r="AK97" t="str">
            <v>Primary</v>
          </cell>
          <cell r="AS97" t="str">
            <v>Soft Focus Sarcoma</v>
          </cell>
          <cell r="AV97">
            <v>44646</v>
          </cell>
          <cell r="AW97">
            <v>0.40277777777777779</v>
          </cell>
          <cell r="AX97">
            <v>0.46944444444444444</v>
          </cell>
          <cell r="AY97">
            <v>6.6666666666666666E-2</v>
          </cell>
          <cell r="AZ97">
            <v>0.52847222222222223</v>
          </cell>
          <cell r="BA97">
            <v>0.56319444444444444</v>
          </cell>
          <cell r="BB97" t="str">
            <v>1.2*4.0*4.4</v>
          </cell>
          <cell r="BC97" t="str">
            <v>1.2*1.6*3.0</v>
          </cell>
          <cell r="BD97" t="str">
            <v>Vibratome</v>
          </cell>
          <cell r="BE97">
            <v>15</v>
          </cell>
          <cell r="BF97" t="str">
            <v>Gowri</v>
          </cell>
          <cell r="BG97" t="str">
            <v>Y</v>
          </cell>
        </row>
        <row r="98">
          <cell r="A98" t="str">
            <v>FBR1C220071</v>
          </cell>
          <cell r="B98">
            <v>220071</v>
          </cell>
          <cell r="C98" t="str">
            <v>R&amp;D</v>
          </cell>
          <cell r="D98">
            <v>44645</v>
          </cell>
          <cell r="E98">
            <v>0.90625</v>
          </cell>
          <cell r="F98">
            <v>44621</v>
          </cell>
          <cell r="G98">
            <v>44645</v>
          </cell>
          <cell r="H98">
            <v>0.94097222222222221</v>
          </cell>
          <cell r="I98">
            <v>3.4722222222222224E-2</v>
          </cell>
          <cell r="J98">
            <v>0</v>
          </cell>
          <cell r="K98" t="str">
            <v>FCB-PROTOCOL-01</v>
          </cell>
          <cell r="L98" t="str">
            <v>CLN/PRA/171</v>
          </cell>
          <cell r="M98" t="str">
            <v>Y</v>
          </cell>
          <cell r="N98" t="str">
            <v>Culture Improvement</v>
          </cell>
          <cell r="O98" t="str">
            <v>Internal R&amp;D</v>
          </cell>
          <cell r="P98" t="str">
            <v>Q1 Passed</v>
          </cell>
          <cell r="Q98" t="str">
            <v>Q1 Passed</v>
          </cell>
          <cell r="R98" t="str">
            <v>Q1.5 Passed</v>
          </cell>
          <cell r="S98" t="str">
            <v>Q1.5 Passed</v>
          </cell>
          <cell r="W98" t="str">
            <v>Consultant</v>
          </cell>
          <cell r="X98" t="str">
            <v>Dr Prakash BV, Bangalore</v>
          </cell>
          <cell r="Y98" t="str">
            <v>Sri Lakshmi Hospital, Bangalore</v>
          </cell>
          <cell r="Z98" t="str">
            <v>Dr Prakash BV, Bangalore</v>
          </cell>
          <cell r="AA98" t="str">
            <v>HNSCC</v>
          </cell>
          <cell r="AC98" t="str">
            <v>Mouth</v>
          </cell>
          <cell r="AD98" t="str">
            <v>Floor of Mouth</v>
          </cell>
          <cell r="AE98" t="str">
            <v>Male</v>
          </cell>
          <cell r="AF98">
            <v>60</v>
          </cell>
          <cell r="AG98" t="str">
            <v>N</v>
          </cell>
          <cell r="AH98">
            <v>5.0999999999999996</v>
          </cell>
          <cell r="AI98" t="str">
            <v>Sashi</v>
          </cell>
          <cell r="AJ98" t="str">
            <v>Surgery</v>
          </cell>
          <cell r="AK98" t="str">
            <v>Primary</v>
          </cell>
          <cell r="AS98" t="str">
            <v>Soft Focus Sarcoma</v>
          </cell>
          <cell r="AV98">
            <v>44646</v>
          </cell>
          <cell r="AW98">
            <v>0.40277777777777779</v>
          </cell>
          <cell r="AX98">
            <v>0.46944444444444444</v>
          </cell>
          <cell r="AY98">
            <v>6.6666666666666666E-2</v>
          </cell>
          <cell r="AZ98">
            <v>0.52847222222222223</v>
          </cell>
          <cell r="BA98">
            <v>0.56319444444444444</v>
          </cell>
          <cell r="BB98" t="str">
            <v>1.2*4.0*4.4</v>
          </cell>
          <cell r="BC98" t="str">
            <v>1.2*1.6*3.0</v>
          </cell>
          <cell r="BD98" t="str">
            <v>Vibratome</v>
          </cell>
          <cell r="BE98">
            <v>15</v>
          </cell>
          <cell r="BF98" t="str">
            <v>Gowri</v>
          </cell>
          <cell r="BG98" t="str">
            <v>Y</v>
          </cell>
        </row>
        <row r="99">
          <cell r="A99" t="str">
            <v>FBR1K220071</v>
          </cell>
          <cell r="B99">
            <v>220071</v>
          </cell>
          <cell r="C99" t="str">
            <v>R&amp;D</v>
          </cell>
          <cell r="D99">
            <v>44645</v>
          </cell>
          <cell r="E99">
            <v>0.90625</v>
          </cell>
          <cell r="F99">
            <v>44621</v>
          </cell>
          <cell r="G99">
            <v>44645</v>
          </cell>
          <cell r="H99">
            <v>0.94097222222222221</v>
          </cell>
          <cell r="I99">
            <v>3.4722222222222224E-2</v>
          </cell>
          <cell r="J99">
            <v>0</v>
          </cell>
          <cell r="K99" t="str">
            <v>FCB-PROTOCOL-01</v>
          </cell>
          <cell r="L99" t="str">
            <v>CLN/PRA/171</v>
          </cell>
          <cell r="M99" t="str">
            <v>Y</v>
          </cell>
          <cell r="N99" t="str">
            <v>DMS_v4(1K)</v>
          </cell>
          <cell r="O99" t="str">
            <v>Internal R&amp;D</v>
          </cell>
          <cell r="P99" t="str">
            <v>Q1 Passed</v>
          </cell>
          <cell r="Q99" t="str">
            <v>Q1 Passed</v>
          </cell>
          <cell r="R99" t="str">
            <v>Q1.5 Passed</v>
          </cell>
          <cell r="S99" t="str">
            <v>Q1.5 Passed</v>
          </cell>
          <cell r="V99" t="str">
            <v>High tumor content with ?sarcoma like appearance</v>
          </cell>
          <cell r="W99" t="str">
            <v>Consultant</v>
          </cell>
          <cell r="X99" t="str">
            <v>Dr Prakash BV, Bangalore</v>
          </cell>
          <cell r="Y99" t="str">
            <v>Sri Lakshmi Hospital, Bangalore</v>
          </cell>
          <cell r="Z99" t="str">
            <v>Dr Prakash BV, Bangalore</v>
          </cell>
          <cell r="AA99" t="str">
            <v>HNSCC</v>
          </cell>
          <cell r="AC99" t="str">
            <v>Mouth</v>
          </cell>
          <cell r="AD99" t="str">
            <v>Floor of Mouth</v>
          </cell>
          <cell r="AE99" t="str">
            <v>Male</v>
          </cell>
          <cell r="AF99">
            <v>60</v>
          </cell>
          <cell r="AG99" t="str">
            <v>N</v>
          </cell>
          <cell r="AH99">
            <v>5.0999999999999996</v>
          </cell>
          <cell r="AI99" t="str">
            <v>Sashi</v>
          </cell>
          <cell r="AJ99" t="str">
            <v>Surgery</v>
          </cell>
          <cell r="AK99" t="str">
            <v>Primary</v>
          </cell>
          <cell r="AS99" t="str">
            <v>Soft Focus Sarcoma</v>
          </cell>
          <cell r="AV99">
            <v>44646</v>
          </cell>
          <cell r="AW99">
            <v>0.40277777777777779</v>
          </cell>
          <cell r="AX99">
            <v>0.46944444444444444</v>
          </cell>
          <cell r="AY99">
            <v>6.6666666666666666E-2</v>
          </cell>
          <cell r="AZ99">
            <v>0.52847222222222223</v>
          </cell>
          <cell r="BA99">
            <v>0.56319444444444444</v>
          </cell>
          <cell r="BB99" t="str">
            <v>1.2*4.0*4.4</v>
          </cell>
          <cell r="BC99" t="str">
            <v>1.2*1.6*3.0</v>
          </cell>
          <cell r="BD99" t="str">
            <v>Vibratome</v>
          </cell>
          <cell r="BE99">
            <v>15</v>
          </cell>
          <cell r="BF99" t="str">
            <v>Gowri</v>
          </cell>
          <cell r="BG99" t="str">
            <v>Y</v>
          </cell>
        </row>
        <row r="100">
          <cell r="A100">
            <v>220072</v>
          </cell>
          <cell r="B100">
            <v>220072</v>
          </cell>
          <cell r="C100" t="str">
            <v>R&amp;D</v>
          </cell>
          <cell r="D100">
            <v>44650</v>
          </cell>
          <cell r="E100">
            <v>0.50277777777777777</v>
          </cell>
          <cell r="F100">
            <v>44621</v>
          </cell>
          <cell r="G100">
            <v>44650</v>
          </cell>
          <cell r="H100">
            <v>0.58402777777777781</v>
          </cell>
          <cell r="I100">
            <v>8.1250000000000003E-2</v>
          </cell>
          <cell r="J100">
            <v>6</v>
          </cell>
          <cell r="K100" t="str">
            <v>FCB-PROTOCOL-01</v>
          </cell>
          <cell r="L100" t="str">
            <v>VYD/084</v>
          </cell>
          <cell r="M100" t="str">
            <v>Y</v>
          </cell>
          <cell r="N100" t="str">
            <v>BioBank</v>
          </cell>
          <cell r="O100" t="str">
            <v>BioBank</v>
          </cell>
          <cell r="P100" t="str">
            <v>Q1 Passed</v>
          </cell>
          <cell r="Q100" t="str">
            <v>Q1 Passed</v>
          </cell>
          <cell r="R100" t="str">
            <v>Q1.5 Rejected</v>
          </cell>
          <cell r="S100" t="str">
            <v>Q1.5 Rejected</v>
          </cell>
          <cell r="T100" t="str">
            <v>Tissue came out of LMP twice- very hard textured tissue</v>
          </cell>
          <cell r="W100" t="str">
            <v>Private Hospital</v>
          </cell>
          <cell r="X100" t="str">
            <v>Vydehi Hospital, Bangalore</v>
          </cell>
          <cell r="Y100" t="str">
            <v>Vydehi Hospital, Bangalore</v>
          </cell>
          <cell r="Z100" t="str">
            <v>Dr Amritha Prabha, Bangalore</v>
          </cell>
          <cell r="AA100" t="str">
            <v>HNSCC</v>
          </cell>
          <cell r="AC100" t="str">
            <v>Buccal Mucosa</v>
          </cell>
          <cell r="AD100" t="str">
            <v>Left Buccal Mucosa &amp; Lower Alveolus</v>
          </cell>
          <cell r="AE100" t="str">
            <v>Male</v>
          </cell>
          <cell r="AF100">
            <v>66</v>
          </cell>
          <cell r="AG100" t="str">
            <v>N</v>
          </cell>
          <cell r="AH100">
            <v>4.5</v>
          </cell>
          <cell r="AI100" t="str">
            <v>Kalappa</v>
          </cell>
          <cell r="AJ100" t="str">
            <v>Surgery</v>
          </cell>
          <cell r="AK100" t="str">
            <v>Primary</v>
          </cell>
          <cell r="AL100" t="str">
            <v>Radiotherapy</v>
          </cell>
          <cell r="AN100" t="str">
            <v>IVa</v>
          </cell>
          <cell r="AO100">
            <v>2</v>
          </cell>
          <cell r="AP100" t="str">
            <v>ypT4aN2c</v>
          </cell>
          <cell r="AS100" t="str">
            <v>Squamous Cell Carcinoma</v>
          </cell>
          <cell r="AV100">
            <v>44650</v>
          </cell>
          <cell r="AW100">
            <v>0.63194444444444442</v>
          </cell>
          <cell r="BB100" t="str">
            <v>0.6*1.8*1.2</v>
          </cell>
          <cell r="BC100" t="str">
            <v>0.6*1.8*1.2</v>
          </cell>
          <cell r="BD100" t="str">
            <v>Vibratome</v>
          </cell>
          <cell r="BE100">
            <v>15</v>
          </cell>
          <cell r="BF100" t="str">
            <v>Gowri</v>
          </cell>
          <cell r="BG100" t="str">
            <v>Y</v>
          </cell>
        </row>
        <row r="101">
          <cell r="A101" t="str">
            <v>FBR1C220073</v>
          </cell>
          <cell r="B101">
            <v>220073</v>
          </cell>
          <cell r="C101" t="str">
            <v>R&amp;D</v>
          </cell>
          <cell r="D101">
            <v>44651</v>
          </cell>
          <cell r="E101">
            <v>0.47916666666666669</v>
          </cell>
          <cell r="F101">
            <v>44621</v>
          </cell>
          <cell r="G101">
            <v>44651</v>
          </cell>
          <cell r="H101">
            <v>0.53611111111111109</v>
          </cell>
          <cell r="I101">
            <v>5.6944444444444443E-2</v>
          </cell>
          <cell r="J101">
            <v>5</v>
          </cell>
          <cell r="K101" t="str">
            <v>FCB-PROTOCOL-01</v>
          </cell>
          <cell r="L101" t="str">
            <v>VYD/085</v>
          </cell>
          <cell r="M101" t="str">
            <v>Y</v>
          </cell>
          <cell r="N101" t="str">
            <v>Culture Improvement</v>
          </cell>
          <cell r="O101" t="str">
            <v>Internal R&amp;D</v>
          </cell>
          <cell r="P101" t="str">
            <v>Q1 Passed</v>
          </cell>
          <cell r="Q101" t="str">
            <v>Q1 Passed</v>
          </cell>
          <cell r="R101" t="str">
            <v>Q1.5 Passed</v>
          </cell>
          <cell r="S101" t="str">
            <v>Q1.5 Passed</v>
          </cell>
          <cell r="V101" t="str">
            <v>Tumor content 4-80%</v>
          </cell>
          <cell r="W101" t="str">
            <v>Private Hospital</v>
          </cell>
          <cell r="X101" t="str">
            <v>Vydehi Hospital, Bangalore</v>
          </cell>
          <cell r="Y101" t="str">
            <v>Vydehi Hospital, Bangalore</v>
          </cell>
          <cell r="Z101" t="str">
            <v>Dr Amritha Prabha, Bangalore</v>
          </cell>
          <cell r="AA101" t="str">
            <v>HNSCC</v>
          </cell>
          <cell r="AC101" t="str">
            <v>Alveolus</v>
          </cell>
          <cell r="AD101" t="str">
            <v>Right Lower Alveolus</v>
          </cell>
          <cell r="AE101" t="str">
            <v>Male</v>
          </cell>
          <cell r="AF101">
            <v>60</v>
          </cell>
          <cell r="AG101" t="str">
            <v>N</v>
          </cell>
          <cell r="AH101">
            <v>5.5</v>
          </cell>
          <cell r="AI101" t="str">
            <v>Kalappa</v>
          </cell>
          <cell r="AJ101" t="str">
            <v>Surgery</v>
          </cell>
          <cell r="AK101" t="str">
            <v>Primary</v>
          </cell>
          <cell r="AL101" t="str">
            <v>Radiotherapy</v>
          </cell>
          <cell r="AN101" t="str">
            <v>IVa</v>
          </cell>
          <cell r="AO101">
            <v>2</v>
          </cell>
          <cell r="AP101" t="str">
            <v>ypT4aN0</v>
          </cell>
          <cell r="AS101" t="str">
            <v>Squamous Cell Carcinoma</v>
          </cell>
          <cell r="AV101">
            <v>44651</v>
          </cell>
          <cell r="AW101">
            <v>0.59027777777777779</v>
          </cell>
          <cell r="AX101">
            <v>0.65277777777777779</v>
          </cell>
          <cell r="AY101">
            <v>6.25E-2</v>
          </cell>
          <cell r="AZ101">
            <v>0.11666666666666667</v>
          </cell>
          <cell r="BA101">
            <v>0.1736111111111111</v>
          </cell>
          <cell r="BB101" t="str">
            <v>1.2*1.6*1.4</v>
          </cell>
          <cell r="BC101" t="str">
            <v>1.2*1.6*1.4</v>
          </cell>
          <cell r="BD101" t="str">
            <v>Vibratome</v>
          </cell>
          <cell r="BE101">
            <v>15</v>
          </cell>
          <cell r="BF101" t="str">
            <v>Kowshik</v>
          </cell>
          <cell r="BG101" t="str">
            <v>Y</v>
          </cell>
        </row>
        <row r="102">
          <cell r="A102" t="str">
            <v>FBR1K220073</v>
          </cell>
          <cell r="B102">
            <v>220073</v>
          </cell>
          <cell r="C102" t="str">
            <v>R&amp;D</v>
          </cell>
          <cell r="D102">
            <v>44651</v>
          </cell>
          <cell r="E102">
            <v>0.47916666666666669</v>
          </cell>
          <cell r="F102">
            <v>44621</v>
          </cell>
          <cell r="G102">
            <v>44651</v>
          </cell>
          <cell r="H102">
            <v>0.53611111111111109</v>
          </cell>
          <cell r="I102">
            <v>5.6944444444444443E-2</v>
          </cell>
          <cell r="J102">
            <v>5</v>
          </cell>
          <cell r="K102" t="str">
            <v>FCB-PROTOCOL-01</v>
          </cell>
          <cell r="L102" t="str">
            <v>VYD/085</v>
          </cell>
          <cell r="M102" t="str">
            <v>Y</v>
          </cell>
          <cell r="N102" t="str">
            <v>DMS_v4(1K)</v>
          </cell>
          <cell r="O102" t="str">
            <v>Internal R&amp;D</v>
          </cell>
          <cell r="P102" t="str">
            <v>Q1 Passed</v>
          </cell>
          <cell r="Q102" t="str">
            <v>Q1 Passed</v>
          </cell>
          <cell r="R102" t="str">
            <v>Q1.5 Passed</v>
          </cell>
          <cell r="S102" t="str">
            <v>Q1.5 Passed</v>
          </cell>
          <cell r="W102" t="str">
            <v>Private Hospital</v>
          </cell>
          <cell r="X102" t="str">
            <v>Vydehi Hospital, Bangalore</v>
          </cell>
          <cell r="Y102" t="str">
            <v>Vydehi Hospital, Bangalore</v>
          </cell>
          <cell r="Z102" t="str">
            <v>Dr Amritha Prabha, Bangalore</v>
          </cell>
          <cell r="AA102" t="str">
            <v>HNSCC</v>
          </cell>
          <cell r="AC102" t="str">
            <v>Alveolus</v>
          </cell>
          <cell r="AD102" t="str">
            <v>Right Lower Alveolus</v>
          </cell>
          <cell r="AE102" t="str">
            <v>Male</v>
          </cell>
          <cell r="AF102">
            <v>60</v>
          </cell>
          <cell r="AG102" t="str">
            <v>N</v>
          </cell>
          <cell r="AH102">
            <v>5.5</v>
          </cell>
          <cell r="AI102" t="str">
            <v>Kalappa</v>
          </cell>
          <cell r="AJ102" t="str">
            <v>Surgery</v>
          </cell>
          <cell r="AK102" t="str">
            <v>Primary</v>
          </cell>
          <cell r="AL102" t="str">
            <v>Radiotherapy</v>
          </cell>
          <cell r="AN102" t="str">
            <v>IVa</v>
          </cell>
          <cell r="AO102">
            <v>2</v>
          </cell>
          <cell r="AP102" t="str">
            <v>ypT4aN0</v>
          </cell>
          <cell r="AS102" t="str">
            <v>Squamous Cell Carcinoma</v>
          </cell>
          <cell r="AV102">
            <v>44651</v>
          </cell>
          <cell r="AW102">
            <v>0.59027777777777779</v>
          </cell>
          <cell r="AX102">
            <v>0.65277777777777779</v>
          </cell>
          <cell r="AY102">
            <v>6.25E-2</v>
          </cell>
          <cell r="AZ102">
            <v>0.11666666666666667</v>
          </cell>
          <cell r="BA102">
            <v>0.1736111111111111</v>
          </cell>
          <cell r="BB102" t="str">
            <v>1.2*1.6*1.4</v>
          </cell>
          <cell r="BC102" t="str">
            <v>1.2*1.6*1.4</v>
          </cell>
          <cell r="BD102" t="str">
            <v>Vibratome</v>
          </cell>
          <cell r="BE102">
            <v>15</v>
          </cell>
          <cell r="BF102" t="str">
            <v>Kowshik</v>
          </cell>
          <cell r="BG102" t="str">
            <v>Y</v>
          </cell>
        </row>
        <row r="103">
          <cell r="A103" t="str">
            <v>FBR1K220074</v>
          </cell>
          <cell r="B103">
            <v>220074</v>
          </cell>
          <cell r="C103" t="str">
            <v>R&amp;D</v>
          </cell>
          <cell r="D103">
            <v>44652</v>
          </cell>
          <cell r="E103">
            <v>0.52986111111111112</v>
          </cell>
          <cell r="F103">
            <v>44652</v>
          </cell>
          <cell r="G103">
            <v>44652</v>
          </cell>
          <cell r="H103">
            <v>0.59513888888888888</v>
          </cell>
          <cell r="I103">
            <v>6.5277777777777782E-2</v>
          </cell>
          <cell r="J103">
            <v>5</v>
          </cell>
          <cell r="K103" t="str">
            <v>FCB-PROTOCOL-01</v>
          </cell>
          <cell r="L103" t="str">
            <v>VYD/086</v>
          </cell>
          <cell r="M103" t="str">
            <v>Y</v>
          </cell>
          <cell r="N103" t="str">
            <v>DMS_v4(1K)</v>
          </cell>
          <cell r="O103" t="str">
            <v>Internal R&amp;D</v>
          </cell>
          <cell r="P103" t="str">
            <v>Q1 Passed</v>
          </cell>
          <cell r="Q103" t="str">
            <v>Q1 Passed</v>
          </cell>
          <cell r="R103" t="str">
            <v>Q1.5 Passed</v>
          </cell>
          <cell r="S103" t="str">
            <v>Q1.5 Passed</v>
          </cell>
          <cell r="V103" t="str">
            <v>Tumor content 40-80%. Immune component high</v>
          </cell>
          <cell r="W103" t="str">
            <v>Private Hospital</v>
          </cell>
          <cell r="X103" t="str">
            <v>Vydehi Hospital, Bangalore</v>
          </cell>
          <cell r="Y103" t="str">
            <v>Vydehi Hospital, Bangalore</v>
          </cell>
          <cell r="Z103" t="str">
            <v>Dr Amritha Prabha, Bangalore</v>
          </cell>
          <cell r="AA103" t="str">
            <v>HNSCC</v>
          </cell>
          <cell r="AC103" t="str">
            <v>Alveolus</v>
          </cell>
          <cell r="AD103" t="str">
            <v>Left Lower Alveolus</v>
          </cell>
          <cell r="AE103" t="str">
            <v>Male</v>
          </cell>
          <cell r="AF103">
            <v>49</v>
          </cell>
          <cell r="AG103" t="str">
            <v>N</v>
          </cell>
          <cell r="AH103">
            <v>5.8</v>
          </cell>
          <cell r="AI103" t="str">
            <v>Kalappa</v>
          </cell>
          <cell r="AJ103" t="str">
            <v>Surgery</v>
          </cell>
          <cell r="AK103" t="str">
            <v>Primary</v>
          </cell>
          <cell r="AL103" t="str">
            <v>Radiotherapy</v>
          </cell>
          <cell r="AN103" t="str">
            <v>IVa</v>
          </cell>
          <cell r="AO103">
            <v>2</v>
          </cell>
          <cell r="AP103" t="str">
            <v>pT4aN2</v>
          </cell>
          <cell r="AS103" t="str">
            <v>Squamous Cell Carcinoma</v>
          </cell>
          <cell r="AV103">
            <v>44652</v>
          </cell>
          <cell r="AW103">
            <v>0.625</v>
          </cell>
          <cell r="AX103">
            <v>0.69097222222222221</v>
          </cell>
          <cell r="AY103">
            <v>6.5972222222222224E-2</v>
          </cell>
          <cell r="AZ103">
            <v>9.583333333333334E-2</v>
          </cell>
          <cell r="BA103">
            <v>0.16111111111111112</v>
          </cell>
          <cell r="BB103" t="str">
            <v>0.7*1.2*1.4</v>
          </cell>
          <cell r="BC103" t="str">
            <v>0.7*1.2*1.4</v>
          </cell>
          <cell r="BD103" t="str">
            <v>Vibratome</v>
          </cell>
          <cell r="BE103">
            <v>15</v>
          </cell>
          <cell r="BF103" t="str">
            <v>Biswajit</v>
          </cell>
          <cell r="BG103" t="str">
            <v>Y</v>
          </cell>
        </row>
        <row r="104">
          <cell r="A104" t="str">
            <v>FBB1F220075</v>
          </cell>
          <cell r="B104">
            <v>220075</v>
          </cell>
          <cell r="C104" t="str">
            <v>Biopharma</v>
          </cell>
          <cell r="D104">
            <v>44652</v>
          </cell>
          <cell r="E104">
            <v>0.61597222222222225</v>
          </cell>
          <cell r="F104">
            <v>44652</v>
          </cell>
          <cell r="G104">
            <v>44652</v>
          </cell>
          <cell r="H104">
            <v>0.67291666666666672</v>
          </cell>
          <cell r="I104">
            <v>5.6944444444444443E-2</v>
          </cell>
          <cell r="J104">
            <v>32</v>
          </cell>
          <cell r="K104" t="str">
            <v>FCB-PROTOCOL-01</v>
          </cell>
          <cell r="L104" t="str">
            <v>VYD/087</v>
          </cell>
          <cell r="M104" t="str">
            <v>Y</v>
          </cell>
          <cell r="N104" t="str">
            <v>BP006_Phase1C</v>
          </cell>
          <cell r="O104" t="str">
            <v>Biopharma</v>
          </cell>
          <cell r="P104" t="str">
            <v>Q1 Passed</v>
          </cell>
          <cell r="Q104" t="str">
            <v>Q1 Passed</v>
          </cell>
          <cell r="R104" t="str">
            <v>Q1.5 Passed</v>
          </cell>
          <cell r="S104" t="str">
            <v>Q1.5 Passed</v>
          </cell>
          <cell r="V104" t="str">
            <v>High tumor content.</v>
          </cell>
          <cell r="W104" t="str">
            <v>Private Hospital</v>
          </cell>
          <cell r="X104" t="str">
            <v>Vydehi Hospital, Bangalore</v>
          </cell>
          <cell r="Y104" t="str">
            <v>Vydehi Hospital, Bangalore</v>
          </cell>
          <cell r="Z104" t="str">
            <v>Dr Amritha Prabha, Bangalore</v>
          </cell>
          <cell r="AA104" t="str">
            <v>RCC</v>
          </cell>
          <cell r="AC104" t="str">
            <v>Kidney</v>
          </cell>
          <cell r="AD104" t="str">
            <v>Left Kidney</v>
          </cell>
          <cell r="AE104" t="str">
            <v>Female</v>
          </cell>
          <cell r="AF104">
            <v>45</v>
          </cell>
          <cell r="AG104" t="str">
            <v>N</v>
          </cell>
          <cell r="AH104">
            <v>5.4</v>
          </cell>
          <cell r="AI104" t="str">
            <v>Partha</v>
          </cell>
          <cell r="AJ104" t="str">
            <v>Surgery</v>
          </cell>
          <cell r="AK104" t="str">
            <v>Primary</v>
          </cell>
          <cell r="AN104" t="str">
            <v>I</v>
          </cell>
          <cell r="AO104">
            <v>1</v>
          </cell>
          <cell r="AP104" t="str">
            <v>pT1aN0</v>
          </cell>
          <cell r="AS104" t="str">
            <v>Renal Cell Carcinoma</v>
          </cell>
          <cell r="AV104">
            <v>44652</v>
          </cell>
          <cell r="AW104">
            <v>0.70833333333333337</v>
          </cell>
          <cell r="AX104">
            <v>0.8125</v>
          </cell>
          <cell r="AY104">
            <v>0.10416666666666667</v>
          </cell>
          <cell r="AZ104">
            <v>0.13958333333333334</v>
          </cell>
          <cell r="BA104">
            <v>0.19652777777777777</v>
          </cell>
          <cell r="BB104" t="str">
            <v>1.2*2.0*2.8
0.8*0.8*1.4</v>
          </cell>
          <cell r="BC104" t="str">
            <v>1.0*1.4*1.4
0.6*0.6*1.4</v>
          </cell>
          <cell r="BD104" t="str">
            <v>Vibratome</v>
          </cell>
          <cell r="BE104">
            <v>15</v>
          </cell>
          <cell r="BF104" t="str">
            <v>Kowshik</v>
          </cell>
          <cell r="BG104" t="str">
            <v>Y</v>
          </cell>
        </row>
        <row r="105">
          <cell r="A105" t="str">
            <v>FBR1M220076</v>
          </cell>
          <cell r="B105">
            <v>220076</v>
          </cell>
          <cell r="C105" t="str">
            <v>R&amp;D</v>
          </cell>
          <cell r="D105">
            <v>44652</v>
          </cell>
          <cell r="E105">
            <v>0.66736111111111107</v>
          </cell>
          <cell r="F105">
            <v>44652</v>
          </cell>
          <cell r="G105">
            <v>44652</v>
          </cell>
          <cell r="H105">
            <v>0.69861111111111107</v>
          </cell>
          <cell r="I105">
            <v>3.125E-2</v>
          </cell>
          <cell r="J105">
            <v>1</v>
          </cell>
          <cell r="K105" t="str">
            <v>FCB-PROTOCOL-01</v>
          </cell>
          <cell r="L105" t="str">
            <v>CLN/PRA/172</v>
          </cell>
          <cell r="M105" t="str">
            <v>Y</v>
          </cell>
          <cell r="N105" t="str">
            <v>DMS_RCC</v>
          </cell>
          <cell r="O105" t="str">
            <v>Internal R&amp;D</v>
          </cell>
          <cell r="P105" t="str">
            <v>Q1 Passed</v>
          </cell>
          <cell r="Q105" t="str">
            <v>Q1 Passed</v>
          </cell>
          <cell r="R105" t="str">
            <v>Q1.5 Passed</v>
          </cell>
          <cell r="S105" t="str">
            <v>Q1.5 Rejected</v>
          </cell>
          <cell r="V105" t="str">
            <v>No tumor</v>
          </cell>
          <cell r="W105" t="str">
            <v>Consultant</v>
          </cell>
          <cell r="X105" t="str">
            <v>Dr Prakash BV, Bangalore</v>
          </cell>
          <cell r="Y105" t="str">
            <v>Leelavathi Hospital, Bangalore</v>
          </cell>
          <cell r="Z105" t="str">
            <v>Dr Prakash BV, Bangalore</v>
          </cell>
          <cell r="AA105" t="str">
            <v>RCC</v>
          </cell>
          <cell r="AC105" t="str">
            <v>Kidney</v>
          </cell>
          <cell r="AD105" t="str">
            <v>Right Kidney</v>
          </cell>
          <cell r="AE105" t="str">
            <v>Male</v>
          </cell>
          <cell r="AF105">
            <v>50</v>
          </cell>
          <cell r="AG105" t="str">
            <v>N</v>
          </cell>
          <cell r="AH105">
            <v>5.0999999999999996</v>
          </cell>
          <cell r="AI105" t="str">
            <v>Sashi</v>
          </cell>
          <cell r="AJ105" t="str">
            <v>Surgery</v>
          </cell>
          <cell r="AK105" t="str">
            <v>Primary</v>
          </cell>
          <cell r="AS105" t="str">
            <v>Renal Cell Carcinoma</v>
          </cell>
          <cell r="AV105">
            <v>44652</v>
          </cell>
          <cell r="AW105">
            <v>0.71875</v>
          </cell>
          <cell r="AX105">
            <v>0.80555555555555558</v>
          </cell>
          <cell r="AY105">
            <v>8.6805555555555552E-2</v>
          </cell>
          <cell r="AZ105">
            <v>0.10694444444444444</v>
          </cell>
          <cell r="BA105">
            <v>0.13819444444444445</v>
          </cell>
          <cell r="BB105" t="str">
            <v>1.0*1.0*2.2</v>
          </cell>
          <cell r="BC105" t="str">
            <v>1.0*1.0*2.2</v>
          </cell>
          <cell r="BD105" t="str">
            <v>Vibratome</v>
          </cell>
          <cell r="BE105">
            <v>15</v>
          </cell>
          <cell r="BF105" t="str">
            <v>Mani</v>
          </cell>
          <cell r="BG105" t="str">
            <v>Y</v>
          </cell>
        </row>
        <row r="106">
          <cell r="A106">
            <v>220077</v>
          </cell>
          <cell r="B106">
            <v>220077</v>
          </cell>
          <cell r="C106" t="str">
            <v>R&amp;D</v>
          </cell>
          <cell r="D106">
            <v>44655</v>
          </cell>
          <cell r="E106">
            <v>0.5854166666666667</v>
          </cell>
          <cell r="F106">
            <v>44652</v>
          </cell>
          <cell r="G106">
            <v>44655</v>
          </cell>
          <cell r="H106">
            <v>0.63749999999999996</v>
          </cell>
          <cell r="I106">
            <v>5.2083333333333336E-2</v>
          </cell>
          <cell r="J106">
            <v>71</v>
          </cell>
          <cell r="K106" t="str">
            <v>FCB-PROTOCOL-02</v>
          </cell>
          <cell r="L106" t="str">
            <v>RC001</v>
          </cell>
          <cell r="M106" t="str">
            <v>Y</v>
          </cell>
          <cell r="N106" t="str">
            <v>No Study</v>
          </cell>
          <cell r="O106" t="str">
            <v>1st level attrition</v>
          </cell>
          <cell r="P106" t="str">
            <v>Q1 Rejected</v>
          </cell>
          <cell r="Q106" t="str">
            <v>Q1 Rejected</v>
          </cell>
          <cell r="R106" t="str">
            <v>Q1.5 Rejected</v>
          </cell>
          <cell r="S106" t="str">
            <v>Q1.5 Rejected</v>
          </cell>
          <cell r="T106" t="str">
            <v>Tissue height &lt;3mm. Blood sample was hemolyzed.</v>
          </cell>
          <cell r="V106" t="str">
            <v>FFPE</v>
          </cell>
          <cell r="W106" t="str">
            <v>Government Hospital</v>
          </cell>
          <cell r="X106" t="str">
            <v>Mazumdar Shaw Medical Centre, Bangalore</v>
          </cell>
          <cell r="Y106" t="str">
            <v>Mazumdar Shaw Medical Centre, Bangalore</v>
          </cell>
          <cell r="Z106" t="str">
            <v>Dr Saurabh Bhargav, Bangalore</v>
          </cell>
          <cell r="AA106" t="str">
            <v>RCC</v>
          </cell>
          <cell r="AC106" t="str">
            <v>Renal Mass</v>
          </cell>
          <cell r="AD106" t="str">
            <v>Left Upper Pole Renal Mass</v>
          </cell>
          <cell r="AE106" t="str">
            <v>Male</v>
          </cell>
          <cell r="AF106">
            <v>51</v>
          </cell>
          <cell r="AG106" t="str">
            <v>N</v>
          </cell>
          <cell r="AH106">
            <v>4.9000000000000004</v>
          </cell>
          <cell r="AI106" t="str">
            <v>Partha</v>
          </cell>
          <cell r="AJ106" t="str">
            <v>Surgery</v>
          </cell>
          <cell r="AK106" t="str">
            <v>Primary</v>
          </cell>
          <cell r="AS106" t="str">
            <v>Renal Cell Carcinoma</v>
          </cell>
          <cell r="AV106">
            <v>44655</v>
          </cell>
          <cell r="AW106">
            <v>0.66666666666666663</v>
          </cell>
          <cell r="BB106" t="str">
            <v>0.2*1.0*1.4</v>
          </cell>
          <cell r="BC106" t="str">
            <v>0.2*1.0*1.4</v>
          </cell>
          <cell r="BE106">
            <v>15</v>
          </cell>
          <cell r="BF106" t="str">
            <v>Vasanth</v>
          </cell>
        </row>
        <row r="107">
          <cell r="A107">
            <v>220078</v>
          </cell>
          <cell r="B107">
            <v>220078</v>
          </cell>
          <cell r="C107" t="str">
            <v>R&amp;D</v>
          </cell>
          <cell r="D107">
            <v>44656</v>
          </cell>
          <cell r="E107">
            <v>0.48958333333333331</v>
          </cell>
          <cell r="F107">
            <v>44652</v>
          </cell>
          <cell r="G107">
            <v>44656</v>
          </cell>
          <cell r="H107">
            <v>0.58958333333333335</v>
          </cell>
          <cell r="I107">
            <v>0.1</v>
          </cell>
          <cell r="J107">
            <v>6</v>
          </cell>
          <cell r="K107" t="str">
            <v>FCB-PROTOCOL-01</v>
          </cell>
          <cell r="L107" t="str">
            <v>VYD/088</v>
          </cell>
          <cell r="M107" t="str">
            <v>Y</v>
          </cell>
          <cell r="N107" t="str">
            <v>No Study</v>
          </cell>
          <cell r="O107" t="str">
            <v>1st level attrition</v>
          </cell>
          <cell r="P107" t="str">
            <v>Q1 Rejected</v>
          </cell>
          <cell r="Q107" t="str">
            <v>Q1 Passed</v>
          </cell>
          <cell r="R107" t="str">
            <v>Q1.5 Rejected</v>
          </cell>
          <cell r="S107" t="str">
            <v>Q1.5 Rejected</v>
          </cell>
          <cell r="T107" t="str">
            <v>tissue is fatty</v>
          </cell>
          <cell r="W107" t="str">
            <v>Private Hospital</v>
          </cell>
          <cell r="X107" t="str">
            <v>Vydehi Hospital, Bangalore</v>
          </cell>
          <cell r="Y107" t="str">
            <v>Vydehi Hospital, Bangalore</v>
          </cell>
          <cell r="Z107" t="str">
            <v>Dr Amritha Prabha, Bangalore</v>
          </cell>
          <cell r="AA107" t="str">
            <v>HNSCC</v>
          </cell>
          <cell r="AC107" t="str">
            <v>Buccal Mucosa</v>
          </cell>
          <cell r="AD107" t="str">
            <v>Left Buccal Mucosa</v>
          </cell>
          <cell r="AE107" t="str">
            <v>Female</v>
          </cell>
          <cell r="AF107">
            <v>65</v>
          </cell>
          <cell r="AG107" t="str">
            <v>N</v>
          </cell>
          <cell r="AH107">
            <v>5.9</v>
          </cell>
          <cell r="AI107" t="str">
            <v>Partha</v>
          </cell>
          <cell r="AJ107" t="str">
            <v>Surgery</v>
          </cell>
          <cell r="AK107" t="str">
            <v>Primary</v>
          </cell>
          <cell r="AL107" t="str">
            <v>Radiotherapy</v>
          </cell>
          <cell r="AS107" t="str">
            <v>Squamous Cell Carcinoma</v>
          </cell>
          <cell r="AV107">
            <v>44656</v>
          </cell>
          <cell r="AW107">
            <v>0.62152777777777779</v>
          </cell>
          <cell r="BB107" t="str">
            <v>0.6*1.0*1.6
0.6*1.0*1.0</v>
          </cell>
          <cell r="BC107" t="str">
            <v>0.6*1.0*0.8
0.6*1.0*1.0</v>
          </cell>
          <cell r="BD107" t="str">
            <v>Vibratome</v>
          </cell>
          <cell r="BE107">
            <v>15</v>
          </cell>
          <cell r="BF107" t="str">
            <v>Mani</v>
          </cell>
          <cell r="BG107" t="str">
            <v>Y</v>
          </cell>
        </row>
        <row r="108">
          <cell r="A108" t="str">
            <v>FBR1M220079</v>
          </cell>
          <cell r="B108">
            <v>220079</v>
          </cell>
          <cell r="C108" t="str">
            <v>R&amp;D</v>
          </cell>
          <cell r="D108">
            <v>44656</v>
          </cell>
          <cell r="E108">
            <v>0.67569444444444449</v>
          </cell>
          <cell r="F108">
            <v>44652</v>
          </cell>
          <cell r="G108">
            <v>44656</v>
          </cell>
          <cell r="H108">
            <v>0.70902777777777781</v>
          </cell>
          <cell r="I108">
            <v>3.3333333333333333E-2</v>
          </cell>
          <cell r="J108">
            <v>3</v>
          </cell>
          <cell r="K108" t="str">
            <v>FCB-PROTOCOL-01</v>
          </cell>
          <cell r="L108" t="str">
            <v>CLN/PRA/173</v>
          </cell>
          <cell r="M108" t="str">
            <v>Y</v>
          </cell>
          <cell r="N108" t="str">
            <v>DMS_RCC(1M)</v>
          </cell>
          <cell r="O108" t="str">
            <v>Internal R&amp;D</v>
          </cell>
          <cell r="R108" t="str">
            <v>Q1.5 Passed</v>
          </cell>
          <cell r="S108" t="str">
            <v>Q1.5 Passed</v>
          </cell>
          <cell r="V108" t="str">
            <v>Tumor in 3/7 explants. Content : 70-90% . Appears Papillary  type.Cells very dyscohesive</v>
          </cell>
          <cell r="W108" t="str">
            <v>Consultant</v>
          </cell>
          <cell r="X108" t="str">
            <v>Dr Prakash BV, Bangalore</v>
          </cell>
          <cell r="Y108" t="str">
            <v>Sri Lakshmi Hospital, Bangalore</v>
          </cell>
          <cell r="Z108" t="str">
            <v>Dr Prakash BV, Bangalore</v>
          </cell>
          <cell r="AA108" t="str">
            <v>RCC</v>
          </cell>
          <cell r="AC108" t="str">
            <v>Renal Pelvis</v>
          </cell>
          <cell r="AD108" t="str">
            <v>Renal Pelvic Tumor</v>
          </cell>
          <cell r="AE108" t="str">
            <v>Male</v>
          </cell>
          <cell r="AF108">
            <v>60</v>
          </cell>
          <cell r="AG108" t="str">
            <v>N</v>
          </cell>
          <cell r="AH108">
            <v>4.2</v>
          </cell>
          <cell r="AI108" t="str">
            <v>Kalappa</v>
          </cell>
          <cell r="AJ108" t="str">
            <v>Surgery</v>
          </cell>
          <cell r="AK108" t="str">
            <v>Primary</v>
          </cell>
          <cell r="AS108" t="str">
            <v>Renal Cell Carcinoma</v>
          </cell>
          <cell r="AV108">
            <v>44656</v>
          </cell>
          <cell r="AW108">
            <v>0.75</v>
          </cell>
          <cell r="AX108">
            <v>0.78472222222222221</v>
          </cell>
          <cell r="AY108">
            <v>3.4722222222222224E-2</v>
          </cell>
          <cell r="AZ108">
            <v>7.5694444444444439E-2</v>
          </cell>
          <cell r="BA108">
            <v>0.10902777777777778</v>
          </cell>
          <cell r="BD108" t="str">
            <v>Manual</v>
          </cell>
          <cell r="BE108">
            <v>15</v>
          </cell>
          <cell r="BF108" t="str">
            <v>Kowshik</v>
          </cell>
          <cell r="BG108" t="str">
            <v>Y</v>
          </cell>
        </row>
        <row r="109">
          <cell r="A109" t="str">
            <v>FBR1M220080</v>
          </cell>
          <cell r="B109">
            <v>220080</v>
          </cell>
          <cell r="C109" t="str">
            <v>R&amp;D</v>
          </cell>
          <cell r="D109">
            <v>44659</v>
          </cell>
          <cell r="E109">
            <v>0.71388888888888891</v>
          </cell>
          <cell r="F109">
            <v>44652</v>
          </cell>
          <cell r="G109">
            <v>44659</v>
          </cell>
          <cell r="H109">
            <v>0.73611111111111116</v>
          </cell>
          <cell r="I109">
            <v>2.2222222222222223E-2</v>
          </cell>
          <cell r="J109">
            <v>38</v>
          </cell>
          <cell r="K109" t="str">
            <v>FCB-PROTOCOL-02</v>
          </cell>
          <cell r="L109" t="str">
            <v>RC002</v>
          </cell>
          <cell r="M109" t="str">
            <v>Y</v>
          </cell>
          <cell r="N109" t="str">
            <v>DMS_RCC</v>
          </cell>
          <cell r="O109" t="str">
            <v>Internal R&amp;D</v>
          </cell>
          <cell r="P109" t="str">
            <v>Q1 Rejected</v>
          </cell>
          <cell r="Q109" t="str">
            <v>Q1 Passed</v>
          </cell>
          <cell r="R109" t="str">
            <v>Q1.5 Rejected</v>
          </cell>
          <cell r="S109" t="str">
            <v>Q1.5 Rejected</v>
          </cell>
          <cell r="T109" t="str">
            <v>2 small tissue bits sent, put together met size criteria</v>
          </cell>
          <cell r="V109" t="str">
            <v>Tumor in all fragments. 12-90%</v>
          </cell>
          <cell r="W109" t="str">
            <v>Government Hospital</v>
          </cell>
          <cell r="X109" t="str">
            <v>Mazumdar Shaw Medical Centre, Bangalore</v>
          </cell>
          <cell r="Y109" t="str">
            <v>Mazumdar Shaw Medical Centre, Bangalore</v>
          </cell>
          <cell r="Z109" t="str">
            <v>Dr Saurabh Bhargav, Bangalore</v>
          </cell>
          <cell r="AA109" t="str">
            <v>RCC</v>
          </cell>
          <cell r="AC109" t="str">
            <v>Renal Mass</v>
          </cell>
          <cell r="AD109" t="str">
            <v>Left Lower Pole Renal Lesion</v>
          </cell>
          <cell r="AE109" t="str">
            <v>Male</v>
          </cell>
          <cell r="AF109">
            <v>55</v>
          </cell>
          <cell r="AG109" t="str">
            <v>N</v>
          </cell>
          <cell r="AH109">
            <v>6</v>
          </cell>
          <cell r="AI109" t="str">
            <v>Partha</v>
          </cell>
          <cell r="AJ109" t="str">
            <v>Surgery</v>
          </cell>
          <cell r="AK109" t="str">
            <v>Primary</v>
          </cell>
          <cell r="AN109" t="str">
            <v>IA</v>
          </cell>
          <cell r="AP109" t="str">
            <v>pT1AN0M0</v>
          </cell>
          <cell r="AS109" t="str">
            <v>Clear cell renal  cell carcinoma</v>
          </cell>
          <cell r="AV109">
            <v>44659</v>
          </cell>
          <cell r="AW109">
            <v>0.75</v>
          </cell>
          <cell r="AX109">
            <v>0.79166666666666663</v>
          </cell>
          <cell r="AY109">
            <v>4.1666666666666664E-2</v>
          </cell>
          <cell r="AZ109">
            <v>5.5555555555555552E-2</v>
          </cell>
          <cell r="BA109">
            <v>7.7777777777777779E-2</v>
          </cell>
          <cell r="BB109" t="str">
            <v>0.3*0.6*0.8
0.4*0.6*0.6</v>
          </cell>
          <cell r="BC109" t="str">
            <v>0.3*0.6*0.8
0.4*0.6*0.6</v>
          </cell>
          <cell r="BD109" t="str">
            <v>Manual</v>
          </cell>
          <cell r="BE109">
            <v>15</v>
          </cell>
          <cell r="BF109" t="str">
            <v>Mani</v>
          </cell>
          <cell r="BG109" t="str">
            <v>Y</v>
          </cell>
        </row>
        <row r="110">
          <cell r="A110" t="str">
            <v>FBB1F220081</v>
          </cell>
          <cell r="B110">
            <v>220081</v>
          </cell>
          <cell r="C110" t="str">
            <v>Biopharma</v>
          </cell>
          <cell r="D110">
            <v>44660</v>
          </cell>
          <cell r="E110">
            <v>0.50694444444444442</v>
          </cell>
          <cell r="F110">
            <v>44652</v>
          </cell>
          <cell r="G110">
            <v>44660</v>
          </cell>
          <cell r="H110">
            <v>0.6118055555555556</v>
          </cell>
          <cell r="I110">
            <v>0.10486111111111111</v>
          </cell>
          <cell r="J110">
            <v>33</v>
          </cell>
          <cell r="K110" t="str">
            <v>FCB-PROTOCOL-01</v>
          </cell>
          <cell r="L110" t="str">
            <v>VYD/089</v>
          </cell>
          <cell r="M110" t="str">
            <v>Y</v>
          </cell>
          <cell r="N110" t="str">
            <v>BP006_Phase1C</v>
          </cell>
          <cell r="O110" t="str">
            <v>Biopharma</v>
          </cell>
          <cell r="P110" t="str">
            <v>Q1 Passed</v>
          </cell>
          <cell r="Q110" t="str">
            <v>Q1 Passed</v>
          </cell>
          <cell r="R110" t="str">
            <v>Q1.5 Passed</v>
          </cell>
          <cell r="S110" t="str">
            <v>Q1.5 Passed</v>
          </cell>
          <cell r="V110" t="str">
            <v>Tumor in all fragments. 65-90%</v>
          </cell>
          <cell r="W110" t="str">
            <v>Private Hospital</v>
          </cell>
          <cell r="X110" t="str">
            <v>Vydehi Hospital, Bangalore</v>
          </cell>
          <cell r="Y110" t="str">
            <v>Vydehi Hospital, Bangalore</v>
          </cell>
          <cell r="Z110" t="str">
            <v>Dr Amritha Prabha, Bangalore</v>
          </cell>
          <cell r="AA110" t="str">
            <v>RCC</v>
          </cell>
          <cell r="AC110" t="str">
            <v>Kidney</v>
          </cell>
          <cell r="AD110" t="str">
            <v>Left Kidney</v>
          </cell>
          <cell r="AE110" t="str">
            <v>Male</v>
          </cell>
          <cell r="AF110">
            <v>69</v>
          </cell>
          <cell r="AG110" t="str">
            <v>N</v>
          </cell>
          <cell r="AH110">
            <v>5.3</v>
          </cell>
          <cell r="AI110" t="str">
            <v>Sashi</v>
          </cell>
          <cell r="AJ110" t="str">
            <v>Surgery</v>
          </cell>
          <cell r="AK110" t="str">
            <v>Primary</v>
          </cell>
          <cell r="AN110" t="str">
            <v>I</v>
          </cell>
          <cell r="AO110">
            <v>1</v>
          </cell>
          <cell r="AP110" t="str">
            <v>pT1N0</v>
          </cell>
          <cell r="AV110">
            <v>44660</v>
          </cell>
          <cell r="BB110" t="str">
            <v>1.4*1.8</v>
          </cell>
          <cell r="BC110" t="str">
            <v>1.4*1.8</v>
          </cell>
          <cell r="BD110" t="str">
            <v>Vibratome</v>
          </cell>
          <cell r="BE110">
            <v>15</v>
          </cell>
          <cell r="BF110" t="str">
            <v>Kowshik</v>
          </cell>
          <cell r="BG110" t="str">
            <v>Y</v>
          </cell>
        </row>
        <row r="111">
          <cell r="A111">
            <v>220082</v>
          </cell>
          <cell r="B111">
            <v>220082</v>
          </cell>
          <cell r="C111" t="str">
            <v>R&amp;D</v>
          </cell>
          <cell r="D111">
            <v>44662</v>
          </cell>
          <cell r="E111">
            <v>0.48819444444444443</v>
          </cell>
          <cell r="F111">
            <v>44652</v>
          </cell>
          <cell r="G111">
            <v>44662</v>
          </cell>
          <cell r="H111">
            <v>0.55208333333333337</v>
          </cell>
          <cell r="I111">
            <v>6.3888888888888884E-2</v>
          </cell>
          <cell r="J111">
            <v>7</v>
          </cell>
          <cell r="K111" t="str">
            <v>FCB-PROTOCOL-01</v>
          </cell>
          <cell r="L111" t="str">
            <v>VYD/090</v>
          </cell>
          <cell r="M111" t="str">
            <v>Y</v>
          </cell>
          <cell r="N111" t="str">
            <v>No Study</v>
          </cell>
          <cell r="O111" t="str">
            <v>1st level attrition</v>
          </cell>
          <cell r="P111" t="str">
            <v>Q1 Passed</v>
          </cell>
          <cell r="Q111" t="str">
            <v>Q1 Rejected</v>
          </cell>
          <cell r="R111" t="str">
            <v>Q1.5 Rejected</v>
          </cell>
          <cell r="S111" t="str">
            <v>Q1.5 Rejected</v>
          </cell>
          <cell r="T111" t="str">
            <v>Blood sample clotted, tissue was very hard in texture- came out of Vibratome twice</v>
          </cell>
          <cell r="W111" t="str">
            <v>Private Hospital</v>
          </cell>
          <cell r="X111" t="str">
            <v>Vydehi Hospital, Bangalore</v>
          </cell>
          <cell r="Y111" t="str">
            <v>Vydehi Hospital, Bangalore</v>
          </cell>
          <cell r="Z111" t="str">
            <v>Dr Amritha Prabha, Bangalore</v>
          </cell>
          <cell r="AA111" t="str">
            <v>HNSCC</v>
          </cell>
          <cell r="AC111" t="str">
            <v>Buccal Mucosa</v>
          </cell>
          <cell r="AD111" t="str">
            <v>Left Buccal Mucosa</v>
          </cell>
          <cell r="AE111" t="str">
            <v>Female</v>
          </cell>
          <cell r="AF111">
            <v>50</v>
          </cell>
          <cell r="AG111" t="str">
            <v>N</v>
          </cell>
          <cell r="AH111">
            <v>4.2</v>
          </cell>
          <cell r="AI111" t="str">
            <v>Kalappa</v>
          </cell>
          <cell r="AJ111" t="str">
            <v>Surgery</v>
          </cell>
          <cell r="AK111" t="str">
            <v>Primary</v>
          </cell>
          <cell r="AL111" t="str">
            <v>Radiotherapy</v>
          </cell>
          <cell r="AS111" t="str">
            <v>Squamous Cell Carcinoma</v>
          </cell>
          <cell r="AV111">
            <v>44662</v>
          </cell>
          <cell r="AW111">
            <v>0.625</v>
          </cell>
          <cell r="BB111" t="str">
            <v>0.8*1.6*2.0</v>
          </cell>
          <cell r="BC111" t="str">
            <v>0.8*1.6*2.0</v>
          </cell>
          <cell r="BD111" t="str">
            <v>Vibratome</v>
          </cell>
          <cell r="BE111">
            <v>4</v>
          </cell>
          <cell r="BF111" t="str">
            <v>Gowri</v>
          </cell>
          <cell r="BG111" t="str">
            <v>N</v>
          </cell>
        </row>
        <row r="112">
          <cell r="A112">
            <v>220083</v>
          </cell>
          <cell r="B112">
            <v>220083</v>
          </cell>
          <cell r="C112" t="str">
            <v>R&amp;D</v>
          </cell>
          <cell r="D112">
            <v>44662</v>
          </cell>
          <cell r="E112">
            <v>0.57291666666666663</v>
          </cell>
          <cell r="F112">
            <v>44652</v>
          </cell>
          <cell r="G112">
            <v>44662</v>
          </cell>
          <cell r="H112">
            <v>0.94444444444444442</v>
          </cell>
          <cell r="I112">
            <v>0.37152777777777779</v>
          </cell>
          <cell r="J112">
            <v>2</v>
          </cell>
          <cell r="K112" t="str">
            <v>FCB-PROTOCOL-01</v>
          </cell>
          <cell r="L112" t="str">
            <v>CLN/DBR/070</v>
          </cell>
          <cell r="M112" t="str">
            <v>Y</v>
          </cell>
          <cell r="N112" t="str">
            <v>No Study</v>
          </cell>
          <cell r="O112" t="str">
            <v>1st level attrition</v>
          </cell>
          <cell r="P112" t="str">
            <v>Q1 Rejected</v>
          </cell>
          <cell r="Q112" t="str">
            <v>Q1 Passed</v>
          </cell>
          <cell r="R112" t="str">
            <v>Q1.5 Rejected</v>
          </cell>
          <cell r="S112" t="str">
            <v>Q1.5 Rejected</v>
          </cell>
          <cell r="T112" t="str">
            <v>Sample height was small (3mm)</v>
          </cell>
          <cell r="W112" t="str">
            <v>Clinic'les</v>
          </cell>
          <cell r="X112" t="str">
            <v>Clinic'les- DBR &amp; SK Hospital, Tirupati</v>
          </cell>
          <cell r="Y112" t="str">
            <v>DBR &amp; SK Hospital, Tirupati</v>
          </cell>
          <cell r="Z112" t="str">
            <v>Dr C Jayaprakash, Tirupati</v>
          </cell>
          <cell r="AA112" t="str">
            <v>HNSCC</v>
          </cell>
          <cell r="AC112" t="str">
            <v>Buccal Mucosa</v>
          </cell>
          <cell r="AD112" t="str">
            <v>Buccal Mucosa</v>
          </cell>
          <cell r="AE112" t="str">
            <v>Female</v>
          </cell>
          <cell r="AF112">
            <v>69</v>
          </cell>
          <cell r="AG112" t="str">
            <v>N</v>
          </cell>
          <cell r="AH112">
            <v>5.4</v>
          </cell>
          <cell r="AI112" t="str">
            <v>Sashi</v>
          </cell>
          <cell r="AJ112" t="str">
            <v>Surgery</v>
          </cell>
          <cell r="AK112" t="str">
            <v>Primary</v>
          </cell>
          <cell r="AN112" t="str">
            <v>II</v>
          </cell>
          <cell r="AP112" t="str">
            <v>T2N0MX</v>
          </cell>
          <cell r="AS112" t="str">
            <v>Squamous Cell Carcinoma</v>
          </cell>
          <cell r="AV112">
            <v>44662</v>
          </cell>
          <cell r="AW112">
            <v>0.95138888888888884</v>
          </cell>
          <cell r="BB112" t="str">
            <v>0.35*1.2*1.4</v>
          </cell>
          <cell r="BC112" t="str">
            <v>0.35*1.2*1.4</v>
          </cell>
          <cell r="BE112">
            <v>4</v>
          </cell>
          <cell r="BF112" t="str">
            <v>Gowri</v>
          </cell>
          <cell r="BG112" t="str">
            <v>Y</v>
          </cell>
        </row>
        <row r="113">
          <cell r="A113" t="str">
            <v>FBB1G220084</v>
          </cell>
          <cell r="B113">
            <v>220084</v>
          </cell>
          <cell r="C113" t="str">
            <v>Biopharma</v>
          </cell>
          <cell r="D113">
            <v>44664</v>
          </cell>
          <cell r="E113">
            <v>0.40763888888888888</v>
          </cell>
          <cell r="F113">
            <v>44652</v>
          </cell>
          <cell r="G113">
            <v>44664</v>
          </cell>
          <cell r="H113">
            <v>0.51180555555555551</v>
          </cell>
          <cell r="I113">
            <v>0.10416666666666667</v>
          </cell>
          <cell r="J113">
            <v>2</v>
          </cell>
          <cell r="K113" t="str">
            <v>FCB-PROTOCOL-01</v>
          </cell>
          <cell r="L113" t="str">
            <v>VYD/091</v>
          </cell>
          <cell r="M113" t="str">
            <v>Y</v>
          </cell>
          <cell r="N113" t="str">
            <v>BP006_Phase1D</v>
          </cell>
          <cell r="O113" t="str">
            <v>Biopharma</v>
          </cell>
          <cell r="P113" t="str">
            <v>Q1 Passed</v>
          </cell>
          <cell r="Q113" t="str">
            <v>Q1 Passed</v>
          </cell>
          <cell r="R113" t="str">
            <v>Q1.5 Passed</v>
          </cell>
          <cell r="S113" t="str">
            <v>Q1.5 Passed</v>
          </cell>
          <cell r="V113" t="str">
            <v>Tumor content: 30- 90%. Immune component high</v>
          </cell>
          <cell r="W113" t="str">
            <v>Private Hospital</v>
          </cell>
          <cell r="X113" t="str">
            <v>Vydehi Hospital, Bangalore</v>
          </cell>
          <cell r="Y113" t="str">
            <v>Vydehi Hospital, Bangalore</v>
          </cell>
          <cell r="Z113" t="str">
            <v>Dr Amritha Prabha, Bangalore</v>
          </cell>
          <cell r="AA113" t="str">
            <v>HNSCC</v>
          </cell>
          <cell r="AC113" t="str">
            <v>Buccal Mucosa</v>
          </cell>
          <cell r="AD113" t="str">
            <v>Buccal Mucosa</v>
          </cell>
          <cell r="AE113" t="str">
            <v>Female</v>
          </cell>
          <cell r="AF113">
            <v>53</v>
          </cell>
          <cell r="AG113" t="str">
            <v>N</v>
          </cell>
          <cell r="AH113">
            <v>5.9</v>
          </cell>
          <cell r="AI113" t="str">
            <v>Maruthi</v>
          </cell>
          <cell r="AJ113" t="str">
            <v>Surgery</v>
          </cell>
          <cell r="AK113" t="str">
            <v>Primary</v>
          </cell>
          <cell r="AN113" t="str">
            <v>II</v>
          </cell>
          <cell r="AO113">
            <v>2</v>
          </cell>
          <cell r="AP113" t="str">
            <v>pT2N0</v>
          </cell>
          <cell r="AS113" t="str">
            <v>Squamous Cell Carcinoma</v>
          </cell>
          <cell r="AV113">
            <v>44664</v>
          </cell>
          <cell r="AW113">
            <v>0.54791666666666672</v>
          </cell>
          <cell r="AX113">
            <v>0.625</v>
          </cell>
          <cell r="AY113">
            <v>7.7083333333333337E-2</v>
          </cell>
          <cell r="AZ113">
            <v>0.11319444444444444</v>
          </cell>
          <cell r="BA113">
            <v>0.21736111111111112</v>
          </cell>
          <cell r="BB113" t="str">
            <v>0.65*1.8*1.2</v>
          </cell>
          <cell r="BC113" t="str">
            <v>0.65*1.8*1.2</v>
          </cell>
          <cell r="BD113" t="str">
            <v>Vibratome</v>
          </cell>
          <cell r="BE113">
            <v>4</v>
          </cell>
          <cell r="BF113" t="str">
            <v>Gowri</v>
          </cell>
          <cell r="BG113" t="str">
            <v>Y</v>
          </cell>
        </row>
        <row r="114">
          <cell r="A114" t="str">
            <v>FBR1K220084</v>
          </cell>
          <cell r="B114">
            <v>220084</v>
          </cell>
          <cell r="C114" t="str">
            <v>R&amp;D</v>
          </cell>
          <cell r="D114">
            <v>44664</v>
          </cell>
          <cell r="E114">
            <v>0.40763888888888888</v>
          </cell>
          <cell r="F114">
            <v>44652</v>
          </cell>
          <cell r="G114">
            <v>44664</v>
          </cell>
          <cell r="H114">
            <v>0.51180555555555551</v>
          </cell>
          <cell r="I114">
            <v>0.10416666666666667</v>
          </cell>
          <cell r="J114">
            <v>2</v>
          </cell>
          <cell r="K114" t="str">
            <v>FCB-PROTOCOL-01</v>
          </cell>
          <cell r="L114" t="str">
            <v>VYD/091</v>
          </cell>
          <cell r="M114" t="str">
            <v>Y</v>
          </cell>
          <cell r="N114" t="str">
            <v>DMS_v4(1K)</v>
          </cell>
          <cell r="O114" t="str">
            <v>Internal R&amp;D</v>
          </cell>
          <cell r="P114" t="str">
            <v>Q1 Passed</v>
          </cell>
          <cell r="Q114" t="str">
            <v>Q1 Passed</v>
          </cell>
          <cell r="R114" t="str">
            <v>Q1.5 Passed</v>
          </cell>
          <cell r="S114" t="str">
            <v>Q1.5 Passed</v>
          </cell>
          <cell r="V114" t="str">
            <v>Tumor content: 35- 90%. Immune component high</v>
          </cell>
          <cell r="W114" t="str">
            <v>Private Hospital</v>
          </cell>
          <cell r="X114" t="str">
            <v>Vydehi Hospital, Bangalore</v>
          </cell>
          <cell r="Y114" t="str">
            <v>Vydehi Hospital, Bangalore</v>
          </cell>
          <cell r="Z114" t="str">
            <v>Dr Amritha Prabha, Bangalore</v>
          </cell>
          <cell r="AA114" t="str">
            <v>HNSCC</v>
          </cell>
          <cell r="AC114" t="str">
            <v>Buccal Mucosa</v>
          </cell>
          <cell r="AD114" t="str">
            <v>Buccal Mucosa</v>
          </cell>
          <cell r="AE114" t="str">
            <v>Female</v>
          </cell>
          <cell r="AF114">
            <v>53</v>
          </cell>
          <cell r="AG114" t="str">
            <v>N</v>
          </cell>
          <cell r="AH114">
            <v>5.9</v>
          </cell>
          <cell r="AI114" t="str">
            <v>Maruthi</v>
          </cell>
          <cell r="AJ114" t="str">
            <v>Surgery</v>
          </cell>
          <cell r="AK114" t="str">
            <v>Primary</v>
          </cell>
          <cell r="AN114" t="str">
            <v>II</v>
          </cell>
          <cell r="AO114">
            <v>2</v>
          </cell>
          <cell r="AP114" t="str">
            <v>pT2N0</v>
          </cell>
          <cell r="AS114" t="str">
            <v>Squamous Cell Carcinoma</v>
          </cell>
          <cell r="AV114">
            <v>44664</v>
          </cell>
          <cell r="AW114">
            <v>0.54791666666666672</v>
          </cell>
          <cell r="AX114">
            <v>0.62847222222222221</v>
          </cell>
          <cell r="AY114">
            <v>8.0555555555555561E-2</v>
          </cell>
          <cell r="AZ114">
            <v>0.11666666666666667</v>
          </cell>
          <cell r="BA114">
            <v>0.22083333333333333</v>
          </cell>
          <cell r="BB114" t="str">
            <v>0.65*1.8*1.2</v>
          </cell>
          <cell r="BC114" t="str">
            <v>0.65*1.8*1.2</v>
          </cell>
          <cell r="BD114" t="str">
            <v>Vibratome</v>
          </cell>
          <cell r="BE114">
            <v>4</v>
          </cell>
          <cell r="BF114" t="str">
            <v>Gowri</v>
          </cell>
          <cell r="BG114" t="str">
            <v>Y</v>
          </cell>
        </row>
        <row r="115">
          <cell r="A115" t="str">
            <v>FBB1G220085</v>
          </cell>
          <cell r="B115">
            <v>220085</v>
          </cell>
          <cell r="C115" t="str">
            <v>Biopharma</v>
          </cell>
          <cell r="D115">
            <v>44667</v>
          </cell>
          <cell r="E115">
            <v>0.4548611111111111</v>
          </cell>
          <cell r="F115">
            <v>44652</v>
          </cell>
          <cell r="G115">
            <v>44667</v>
          </cell>
          <cell r="H115">
            <v>0.50347222222222221</v>
          </cell>
          <cell r="I115">
            <v>4.8611111111111112E-2</v>
          </cell>
          <cell r="J115">
            <v>5</v>
          </cell>
          <cell r="K115" t="str">
            <v>FCB-PROTOCOL-01</v>
          </cell>
          <cell r="L115" t="str">
            <v>VYD/092</v>
          </cell>
          <cell r="M115" t="str">
            <v>Y</v>
          </cell>
          <cell r="N115" t="str">
            <v>BP006_Phase1D</v>
          </cell>
          <cell r="O115" t="str">
            <v>Biopharma</v>
          </cell>
          <cell r="P115" t="str">
            <v>Q1 Passed</v>
          </cell>
          <cell r="Q115" t="str">
            <v>Q1 Passed</v>
          </cell>
          <cell r="R115" t="str">
            <v>Q1.5 Passed</v>
          </cell>
          <cell r="S115" t="str">
            <v>Q1.5 Passed</v>
          </cell>
          <cell r="V115" t="str">
            <v>Tumor content: 55- 90%. Pyknosis high</v>
          </cell>
          <cell r="W115" t="str">
            <v>Private Hospital</v>
          </cell>
          <cell r="X115" t="str">
            <v>Vydehi Hospital, Bangalore</v>
          </cell>
          <cell r="Y115" t="str">
            <v>Vydehi Hospital, Bangalore</v>
          </cell>
          <cell r="Z115" t="str">
            <v>Dr Amritha Prabha, Bangalore</v>
          </cell>
          <cell r="AA115" t="str">
            <v>HNSCC</v>
          </cell>
          <cell r="AC115" t="str">
            <v>Buccal Mucosa</v>
          </cell>
          <cell r="AD115" t="str">
            <v>Right Buccal Mucosa</v>
          </cell>
          <cell r="AE115" t="str">
            <v>Female</v>
          </cell>
          <cell r="AF115">
            <v>45</v>
          </cell>
          <cell r="AG115" t="str">
            <v>N</v>
          </cell>
          <cell r="AH115">
            <v>5.0999999999999996</v>
          </cell>
          <cell r="AI115" t="str">
            <v>Sashi</v>
          </cell>
          <cell r="AJ115" t="str">
            <v>Surgery</v>
          </cell>
          <cell r="AK115" t="str">
            <v>Primary</v>
          </cell>
          <cell r="AN115" t="str">
            <v>III</v>
          </cell>
          <cell r="AO115">
            <v>2</v>
          </cell>
          <cell r="AP115" t="str">
            <v>pT3N0</v>
          </cell>
          <cell r="AS115" t="str">
            <v>Squamous Cell Carcinoma</v>
          </cell>
          <cell r="AV115">
            <v>44667</v>
          </cell>
          <cell r="AW115">
            <v>0.52847222222222223</v>
          </cell>
          <cell r="AX115">
            <v>0.61458333333333337</v>
          </cell>
          <cell r="AY115">
            <v>8.611111111111111E-2</v>
          </cell>
          <cell r="AZ115">
            <v>0.1111111111111111</v>
          </cell>
          <cell r="BA115">
            <v>0.15972222222222221</v>
          </cell>
          <cell r="BB115" t="str">
            <v>0.8*2.0*1.4</v>
          </cell>
          <cell r="BC115" t="str">
            <v>0.8*2.0*1.4</v>
          </cell>
          <cell r="BD115" t="str">
            <v>Vibratome</v>
          </cell>
          <cell r="BE115">
            <v>4</v>
          </cell>
          <cell r="BF115" t="str">
            <v>Gowri</v>
          </cell>
          <cell r="BG115" t="str">
            <v>Y</v>
          </cell>
        </row>
        <row r="116">
          <cell r="A116" t="str">
            <v>FBR1K220085</v>
          </cell>
          <cell r="B116">
            <v>220085</v>
          </cell>
          <cell r="C116" t="str">
            <v>R&amp;D</v>
          </cell>
          <cell r="D116">
            <v>44667</v>
          </cell>
          <cell r="E116">
            <v>0.4548611111111111</v>
          </cell>
          <cell r="F116">
            <v>44652</v>
          </cell>
          <cell r="G116">
            <v>44667</v>
          </cell>
          <cell r="H116">
            <v>0.50347222222222221</v>
          </cell>
          <cell r="I116">
            <v>4.8611111111111112E-2</v>
          </cell>
          <cell r="J116">
            <v>5</v>
          </cell>
          <cell r="K116" t="str">
            <v>FCB-PROTOCOL-01</v>
          </cell>
          <cell r="L116" t="str">
            <v>VYD/092</v>
          </cell>
          <cell r="M116" t="str">
            <v>Y</v>
          </cell>
          <cell r="N116" t="str">
            <v>DMS_v4(1K)</v>
          </cell>
          <cell r="O116" t="str">
            <v>Internal R&amp;D</v>
          </cell>
          <cell r="P116" t="str">
            <v>Q1 Passed</v>
          </cell>
          <cell r="Q116" t="str">
            <v>Q1 Passed</v>
          </cell>
          <cell r="R116" t="str">
            <v>Q1.5 Passed</v>
          </cell>
          <cell r="S116" t="str">
            <v>Q1.5 Passed</v>
          </cell>
          <cell r="V116" t="str">
            <v>Tumor content: 80- 95%. Pyknosis high</v>
          </cell>
          <cell r="W116" t="str">
            <v>Private Hospital</v>
          </cell>
          <cell r="X116" t="str">
            <v>Vydehi Hospital, Bangalore</v>
          </cell>
          <cell r="Y116" t="str">
            <v>Vydehi Hospital, Bangalore</v>
          </cell>
          <cell r="Z116" t="str">
            <v>Dr Amritha Prabha, Bangalore</v>
          </cell>
          <cell r="AA116" t="str">
            <v>HNSCC</v>
          </cell>
          <cell r="AC116" t="str">
            <v>Buccal Mucosa</v>
          </cell>
          <cell r="AD116" t="str">
            <v>Right Buccal Mucosa</v>
          </cell>
          <cell r="AE116" t="str">
            <v>Female</v>
          </cell>
          <cell r="AF116">
            <v>45</v>
          </cell>
          <cell r="AG116" t="str">
            <v>N</v>
          </cell>
          <cell r="AH116">
            <v>5.0999999999999996</v>
          </cell>
          <cell r="AI116" t="str">
            <v>Sashi</v>
          </cell>
          <cell r="AJ116" t="str">
            <v>Surgery</v>
          </cell>
          <cell r="AK116" t="str">
            <v>Primary</v>
          </cell>
          <cell r="AN116" t="str">
            <v>III</v>
          </cell>
          <cell r="AO116">
            <v>2</v>
          </cell>
          <cell r="AP116" t="str">
            <v>pT3N0</v>
          </cell>
          <cell r="AS116" t="str">
            <v>Squamous Cell Carcinoma</v>
          </cell>
          <cell r="AV116">
            <v>44667</v>
          </cell>
          <cell r="AW116">
            <v>0.52847222222222223</v>
          </cell>
          <cell r="AX116">
            <v>0.61458333333333337</v>
          </cell>
          <cell r="AY116">
            <v>8.611111111111111E-2</v>
          </cell>
          <cell r="AZ116">
            <v>0.1111111111111111</v>
          </cell>
          <cell r="BA116">
            <v>0.15972222222222221</v>
          </cell>
          <cell r="BB116" t="str">
            <v>0.8*2.0*1.4</v>
          </cell>
          <cell r="BC116" t="str">
            <v>0.8*2.0*1.4</v>
          </cell>
          <cell r="BD116" t="str">
            <v>Vibratome</v>
          </cell>
          <cell r="BE116">
            <v>4</v>
          </cell>
          <cell r="BF116" t="str">
            <v>Gowri</v>
          </cell>
          <cell r="BG116" t="str">
            <v>Y</v>
          </cell>
        </row>
        <row r="117">
          <cell r="A117" t="str">
            <v>FBB1G220086</v>
          </cell>
          <cell r="B117">
            <v>220086</v>
          </cell>
          <cell r="C117" t="str">
            <v>Biopharma</v>
          </cell>
          <cell r="D117">
            <v>44667</v>
          </cell>
          <cell r="E117">
            <v>0.63194444444444442</v>
          </cell>
          <cell r="F117">
            <v>44652</v>
          </cell>
          <cell r="G117">
            <v>44667</v>
          </cell>
          <cell r="H117">
            <v>0.65972222222222221</v>
          </cell>
          <cell r="I117">
            <v>2.7777777777777776E-2</v>
          </cell>
          <cell r="J117">
            <v>0</v>
          </cell>
          <cell r="K117" t="str">
            <v>FCB-PROTOCOL-01</v>
          </cell>
          <cell r="L117" t="str">
            <v>CLN/PRA/174</v>
          </cell>
          <cell r="M117" t="str">
            <v>Y</v>
          </cell>
          <cell r="N117" t="str">
            <v>BP006_Phase1D</v>
          </cell>
          <cell r="O117" t="str">
            <v>Biopharma</v>
          </cell>
          <cell r="P117" t="str">
            <v>Q1 Passed</v>
          </cell>
          <cell r="Q117" t="str">
            <v>Q1 Passed</v>
          </cell>
          <cell r="R117" t="str">
            <v>Q1.5 Passed</v>
          </cell>
          <cell r="S117" t="str">
            <v>Q1.5 Passed</v>
          </cell>
          <cell r="V117" t="str">
            <v>Tumor content: 60- 95%. Pyknosis high</v>
          </cell>
          <cell r="W117" t="str">
            <v>Consultant</v>
          </cell>
          <cell r="X117" t="str">
            <v>Dr Prakash BV, Bangalore</v>
          </cell>
          <cell r="Y117" t="str">
            <v>Leelavathi Hospital, Bangalore</v>
          </cell>
          <cell r="Z117" t="str">
            <v>Dr Prakash BV, Bangalore</v>
          </cell>
          <cell r="AA117" t="str">
            <v>HNSCC</v>
          </cell>
          <cell r="AC117" t="str">
            <v>Alveolus</v>
          </cell>
          <cell r="AD117" t="str">
            <v>Lower Alveolus</v>
          </cell>
          <cell r="AE117" t="str">
            <v>Male</v>
          </cell>
          <cell r="AF117">
            <v>55</v>
          </cell>
          <cell r="AG117" t="str">
            <v>N</v>
          </cell>
          <cell r="AH117">
            <v>5.5</v>
          </cell>
          <cell r="AI117" t="str">
            <v>Sashi</v>
          </cell>
          <cell r="AJ117" t="str">
            <v>Surgery</v>
          </cell>
          <cell r="AK117" t="str">
            <v>Primary</v>
          </cell>
          <cell r="AN117" t="str">
            <v>II</v>
          </cell>
          <cell r="AP117" t="str">
            <v>pT4aN2bM0</v>
          </cell>
          <cell r="AS117" t="str">
            <v>Squamous Cell Carcinoma</v>
          </cell>
          <cell r="AV117">
            <v>44667</v>
          </cell>
          <cell r="AW117">
            <v>0.67986111111111114</v>
          </cell>
          <cell r="AX117">
            <v>0.76736111111111116</v>
          </cell>
          <cell r="AY117">
            <v>8.7499999999999994E-2</v>
          </cell>
          <cell r="AZ117">
            <v>0.1076388888888889</v>
          </cell>
          <cell r="BA117">
            <v>0.13541666666666666</v>
          </cell>
          <cell r="BB117" t="str">
            <v>0.6*1.4*1.2
0.4*1.6*1.0
0.6*1.6*1.0</v>
          </cell>
          <cell r="BC117" t="str">
            <v>0.6*1.4*1.2
0.4*1.6*1.0
0.6*1.6*1.0</v>
          </cell>
          <cell r="BD117" t="str">
            <v>Vibratome</v>
          </cell>
          <cell r="BE117">
            <v>4</v>
          </cell>
          <cell r="BF117" t="str">
            <v>Gowri</v>
          </cell>
          <cell r="BG117" t="str">
            <v>Y</v>
          </cell>
        </row>
        <row r="118">
          <cell r="A118" t="str">
            <v>FBR1K220086</v>
          </cell>
          <cell r="B118">
            <v>220086</v>
          </cell>
          <cell r="C118" t="str">
            <v>R&amp;D</v>
          </cell>
          <cell r="D118">
            <v>44667</v>
          </cell>
          <cell r="E118">
            <v>0.63194444444444442</v>
          </cell>
          <cell r="F118">
            <v>44652</v>
          </cell>
          <cell r="G118">
            <v>44667</v>
          </cell>
          <cell r="H118">
            <v>0.65972222222222221</v>
          </cell>
          <cell r="I118">
            <v>2.7777777777777776E-2</v>
          </cell>
          <cell r="J118">
            <v>0</v>
          </cell>
          <cell r="K118" t="str">
            <v>FCB-PROTOCOL-01</v>
          </cell>
          <cell r="L118" t="str">
            <v>CLN/PRA/174</v>
          </cell>
          <cell r="M118" t="str">
            <v>Y</v>
          </cell>
          <cell r="N118" t="str">
            <v>DMS_v4(1K)</v>
          </cell>
          <cell r="O118" t="str">
            <v>Internal R&amp;D</v>
          </cell>
          <cell r="P118" t="str">
            <v>Q1 Passed</v>
          </cell>
          <cell r="Q118" t="str">
            <v>Q1 Passed</v>
          </cell>
          <cell r="R118" t="str">
            <v>Q1.5 Passed</v>
          </cell>
          <cell r="S118" t="str">
            <v>Q1.5 Passed</v>
          </cell>
          <cell r="V118" t="str">
            <v>Tumor content: 75- 95%. Pyknosis high</v>
          </cell>
          <cell r="W118" t="str">
            <v>Consultant</v>
          </cell>
          <cell r="X118" t="str">
            <v>Dr Prakash BV, Bangalore</v>
          </cell>
          <cell r="Y118" t="str">
            <v>Leelavathi Hospital, Bangalore</v>
          </cell>
          <cell r="Z118" t="str">
            <v>Dr Prakash BV, Bangalore</v>
          </cell>
          <cell r="AA118" t="str">
            <v>HNSCC</v>
          </cell>
          <cell r="AC118" t="str">
            <v>Alveolus</v>
          </cell>
          <cell r="AD118" t="str">
            <v>Lower Alveolus</v>
          </cell>
          <cell r="AE118" t="str">
            <v>Male</v>
          </cell>
          <cell r="AF118">
            <v>55</v>
          </cell>
          <cell r="AG118" t="str">
            <v>N</v>
          </cell>
          <cell r="AH118">
            <v>5.5</v>
          </cell>
          <cell r="AI118" t="str">
            <v>Sashi</v>
          </cell>
          <cell r="AJ118" t="str">
            <v>Surgery</v>
          </cell>
          <cell r="AK118" t="str">
            <v>Primary</v>
          </cell>
          <cell r="AN118" t="str">
            <v>II</v>
          </cell>
          <cell r="AP118" t="str">
            <v>pT4aN2bM0</v>
          </cell>
          <cell r="AS118" t="str">
            <v>Squamous Cell Carcinoma</v>
          </cell>
          <cell r="AV118">
            <v>44667</v>
          </cell>
          <cell r="AW118">
            <v>0.67986111111111114</v>
          </cell>
          <cell r="AX118">
            <v>0.76736111111111116</v>
          </cell>
          <cell r="AY118">
            <v>8.7499999999999994E-2</v>
          </cell>
          <cell r="AZ118">
            <v>0.1076388888888889</v>
          </cell>
          <cell r="BA118">
            <v>0.13541666666666666</v>
          </cell>
          <cell r="BB118" t="str">
            <v>0.6*1.4*1.2
0.4*1.6*1.0
0.6*1.6*1.0</v>
          </cell>
          <cell r="BC118" t="str">
            <v>0.6*1.4*1.2
0.4*1.6*1.0
0.6*1.6*1.0</v>
          </cell>
          <cell r="BD118" t="str">
            <v>Vibratome</v>
          </cell>
          <cell r="BE118">
            <v>4</v>
          </cell>
          <cell r="BF118" t="str">
            <v>Gowri</v>
          </cell>
          <cell r="BG118" t="str">
            <v>Y</v>
          </cell>
        </row>
        <row r="119">
          <cell r="A119" t="str">
            <v>FBR1K220087</v>
          </cell>
          <cell r="B119">
            <v>220087</v>
          </cell>
          <cell r="C119" t="str">
            <v>R&amp;D</v>
          </cell>
          <cell r="D119">
            <v>44670</v>
          </cell>
          <cell r="E119">
            <v>0.57499999999999996</v>
          </cell>
          <cell r="F119">
            <v>44652</v>
          </cell>
          <cell r="G119">
            <v>44670</v>
          </cell>
          <cell r="H119">
            <v>0.61041666666666672</v>
          </cell>
          <cell r="I119">
            <v>3.5416666666666666E-2</v>
          </cell>
          <cell r="J119">
            <v>28</v>
          </cell>
          <cell r="K119" t="str">
            <v>FCB-PROTOCOL-02</v>
          </cell>
          <cell r="L119" t="str">
            <v>HN001</v>
          </cell>
          <cell r="M119" t="str">
            <v>Y</v>
          </cell>
          <cell r="N119" t="str">
            <v>DMS_v4(1K)</v>
          </cell>
          <cell r="O119" t="str">
            <v>Internal R&amp;D</v>
          </cell>
          <cell r="P119" t="str">
            <v>Q1 Passed</v>
          </cell>
          <cell r="Q119" t="str">
            <v>Q1 Passed</v>
          </cell>
          <cell r="R119" t="str">
            <v>Q1.5 Passed</v>
          </cell>
          <cell r="S119" t="str">
            <v>Q1.5 Rejected</v>
          </cell>
          <cell r="V119" t="str">
            <v>1% tumor in one fragment; others no tumor</v>
          </cell>
          <cell r="W119" t="str">
            <v>Government Hospital</v>
          </cell>
          <cell r="X119" t="str">
            <v>Mazumdar Shaw Medical Centre, Bangalore</v>
          </cell>
          <cell r="Y119" t="str">
            <v>Mazumdar Shaw Medical Centre, Bangalore</v>
          </cell>
          <cell r="Z119" t="str">
            <v>Dr Vijay Pillai, Bangalore</v>
          </cell>
          <cell r="AA119" t="str">
            <v>HNSCC</v>
          </cell>
          <cell r="AC119" t="str">
            <v>Soft Palate</v>
          </cell>
          <cell r="AD119" t="str">
            <v>Right soft palate</v>
          </cell>
          <cell r="AE119" t="str">
            <v>Male</v>
          </cell>
          <cell r="AF119">
            <v>74</v>
          </cell>
          <cell r="AG119" t="str">
            <v>N</v>
          </cell>
          <cell r="AH119">
            <v>3.8</v>
          </cell>
          <cell r="AI119" t="str">
            <v>Kalappa</v>
          </cell>
          <cell r="AJ119" t="str">
            <v>Surgery</v>
          </cell>
          <cell r="AK119" t="str">
            <v>Local Recurrent</v>
          </cell>
          <cell r="AL119" t="str">
            <v>Chemotherapy / Radiotherapy</v>
          </cell>
          <cell r="AN119" t="str">
            <v>IV</v>
          </cell>
          <cell r="AO119" t="str">
            <v>IV</v>
          </cell>
          <cell r="AP119" t="str">
            <v>pT4bN0M0</v>
          </cell>
          <cell r="AR119" t="str">
            <v>Cisplatin</v>
          </cell>
          <cell r="AS119" t="str">
            <v>MDSCC(Moderately Differentiated Squamous cell carcinoma)</v>
          </cell>
          <cell r="AV119">
            <v>44670</v>
          </cell>
          <cell r="AW119">
            <v>0.63194444444444442</v>
          </cell>
          <cell r="AX119">
            <v>0.73958333333333337</v>
          </cell>
          <cell r="AY119">
            <v>0.1076388888888889</v>
          </cell>
          <cell r="AZ119">
            <v>0.12916666666666668</v>
          </cell>
          <cell r="BA119">
            <v>0.16458333333333333</v>
          </cell>
          <cell r="BB119" t="str">
            <v>0.8*1.8*1.6</v>
          </cell>
          <cell r="BC119" t="str">
            <v>0.8*1.8*1.6</v>
          </cell>
          <cell r="BD119" t="str">
            <v>Vibratome</v>
          </cell>
          <cell r="BE119">
            <v>4</v>
          </cell>
          <cell r="BF119" t="str">
            <v>Gowri</v>
          </cell>
          <cell r="BG119" t="str">
            <v>Y</v>
          </cell>
        </row>
        <row r="120">
          <cell r="A120">
            <v>220088</v>
          </cell>
          <cell r="B120">
            <v>220088</v>
          </cell>
          <cell r="C120" t="str">
            <v>R&amp;D</v>
          </cell>
          <cell r="D120">
            <v>44671</v>
          </cell>
          <cell r="E120">
            <v>0.49861111111111112</v>
          </cell>
          <cell r="F120">
            <v>44652</v>
          </cell>
          <cell r="G120">
            <v>44671</v>
          </cell>
          <cell r="H120">
            <v>0.54722222222222228</v>
          </cell>
          <cell r="I120">
            <v>4.8611111111111112E-2</v>
          </cell>
          <cell r="J120">
            <v>4</v>
          </cell>
          <cell r="K120" t="str">
            <v>FCB-PROTOCOL-01</v>
          </cell>
          <cell r="L120" t="str">
            <v>VYD/093</v>
          </cell>
          <cell r="M120" t="str">
            <v>Y</v>
          </cell>
          <cell r="N120" t="str">
            <v>No Study</v>
          </cell>
          <cell r="O120" t="str">
            <v>1st level attrition</v>
          </cell>
          <cell r="P120" t="str">
            <v>Q1 Rejected</v>
          </cell>
          <cell r="Q120" t="str">
            <v>Q1 Passed</v>
          </cell>
          <cell r="R120" t="str">
            <v>Q1.5 Rejected</v>
          </cell>
          <cell r="S120" t="str">
            <v>Q1.5 Rejected</v>
          </cell>
          <cell r="T120" t="str">
            <v>Sample  size was too small</v>
          </cell>
          <cell r="W120" t="str">
            <v>Private Hospital</v>
          </cell>
          <cell r="X120" t="str">
            <v>Vydehi Hospital, Bangalore</v>
          </cell>
          <cell r="Y120" t="str">
            <v>Vydehi Hospital, Bangalore</v>
          </cell>
          <cell r="Z120" t="str">
            <v>Dr Amritha Prabha, Bangalore</v>
          </cell>
          <cell r="AA120" t="str">
            <v>HNSCC</v>
          </cell>
          <cell r="AC120" t="str">
            <v>Buccal Mucosa</v>
          </cell>
          <cell r="AD120" t="str">
            <v>Left Buccal Mucosa</v>
          </cell>
          <cell r="AE120" t="str">
            <v>Female</v>
          </cell>
          <cell r="AF120">
            <v>47</v>
          </cell>
          <cell r="AG120" t="str">
            <v>N</v>
          </cell>
          <cell r="AH120">
            <v>4.0999999999999996</v>
          </cell>
          <cell r="AI120" t="str">
            <v>Kalappa</v>
          </cell>
          <cell r="AJ120" t="str">
            <v>Surgery</v>
          </cell>
          <cell r="AK120" t="str">
            <v>Primary</v>
          </cell>
          <cell r="AS120" t="str">
            <v>Squamous Cell Carcinoma</v>
          </cell>
          <cell r="AV120">
            <v>44671</v>
          </cell>
          <cell r="AW120">
            <v>0.59027777777777779</v>
          </cell>
          <cell r="BB120" t="str">
            <v>0.4/0.8*1.0*0.8</v>
          </cell>
          <cell r="BC120" t="str">
            <v>0.2/0.4*1.0*0.8</v>
          </cell>
          <cell r="BE120">
            <v>4</v>
          </cell>
          <cell r="BF120" t="str">
            <v>Biswajit</v>
          </cell>
          <cell r="BG120" t="str">
            <v>N</v>
          </cell>
        </row>
        <row r="121">
          <cell r="A121">
            <v>220089</v>
          </cell>
          <cell r="B121">
            <v>220089</v>
          </cell>
          <cell r="C121" t="str">
            <v>R&amp;D</v>
          </cell>
          <cell r="D121">
            <v>44672</v>
          </cell>
          <cell r="E121">
            <v>0.46736111111111112</v>
          </cell>
          <cell r="F121">
            <v>44652</v>
          </cell>
          <cell r="G121">
            <v>44672</v>
          </cell>
          <cell r="H121">
            <v>0.53125</v>
          </cell>
          <cell r="I121">
            <v>6.3888888888888884E-2</v>
          </cell>
          <cell r="J121">
            <v>8</v>
          </cell>
          <cell r="K121" t="str">
            <v>FCB-PROTOCOL-01</v>
          </cell>
          <cell r="L121" t="str">
            <v>VYD/094</v>
          </cell>
          <cell r="M121" t="str">
            <v>Y</v>
          </cell>
          <cell r="N121" t="str">
            <v>No Study</v>
          </cell>
          <cell r="O121" t="str">
            <v>1st level attrition</v>
          </cell>
          <cell r="P121" t="str">
            <v>Q1 Rejected</v>
          </cell>
          <cell r="Q121" t="str">
            <v>Q1 Passed</v>
          </cell>
          <cell r="R121" t="str">
            <v>Q1.5 Rejected</v>
          </cell>
          <cell r="S121" t="str">
            <v>Q1.5 Rejected</v>
          </cell>
          <cell r="T121" t="str">
            <v>Sample  size was too small</v>
          </cell>
          <cell r="W121" t="str">
            <v>Private Hospital</v>
          </cell>
          <cell r="X121" t="str">
            <v>Vydehi Hospital, Bangalore</v>
          </cell>
          <cell r="Y121" t="str">
            <v>Vydehi Hospital, Bangalore</v>
          </cell>
          <cell r="Z121" t="str">
            <v>Dr Amritha Prabha, Bangalore</v>
          </cell>
          <cell r="AA121" t="str">
            <v>HNSCC</v>
          </cell>
          <cell r="AC121" t="str">
            <v>Buccal Mucosa</v>
          </cell>
          <cell r="AD121" t="str">
            <v>Left Buccal Mucosa</v>
          </cell>
          <cell r="AE121" t="str">
            <v>Male</v>
          </cell>
          <cell r="AF121">
            <v>46</v>
          </cell>
          <cell r="AG121" t="str">
            <v>N</v>
          </cell>
          <cell r="AH121">
            <v>5.2</v>
          </cell>
          <cell r="AI121" t="str">
            <v>Sashi</v>
          </cell>
          <cell r="AJ121" t="str">
            <v>Surgery</v>
          </cell>
          <cell r="AK121" t="str">
            <v>Primary</v>
          </cell>
          <cell r="AS121" t="str">
            <v>Squamous Cell Carcinoma</v>
          </cell>
          <cell r="AV121">
            <v>44672</v>
          </cell>
          <cell r="AW121">
            <v>0.53888888888888886</v>
          </cell>
          <cell r="BB121" t="str">
            <v>0.4*0.6*0.8</v>
          </cell>
          <cell r="BC121" t="str">
            <v>0.4*0.6*0.8</v>
          </cell>
          <cell r="BE121">
            <v>4</v>
          </cell>
          <cell r="BF121" t="str">
            <v>Biswajit</v>
          </cell>
          <cell r="BG121" t="str">
            <v>N</v>
          </cell>
        </row>
        <row r="122">
          <cell r="A122">
            <v>220090</v>
          </cell>
          <cell r="B122">
            <v>220090</v>
          </cell>
          <cell r="C122" t="str">
            <v>R&amp;D</v>
          </cell>
          <cell r="D122">
            <v>44673</v>
          </cell>
          <cell r="E122">
            <v>0.47569444444444442</v>
          </cell>
          <cell r="F122">
            <v>44652</v>
          </cell>
          <cell r="G122">
            <v>44673</v>
          </cell>
          <cell r="H122">
            <v>0.53125</v>
          </cell>
          <cell r="I122">
            <v>5.5555555555555552E-2</v>
          </cell>
          <cell r="J122">
            <v>4</v>
          </cell>
          <cell r="K122" t="str">
            <v>FCB-PROTOCOL-01</v>
          </cell>
          <cell r="L122" t="str">
            <v>VYD/095</v>
          </cell>
          <cell r="M122" t="str">
            <v>Y</v>
          </cell>
          <cell r="N122" t="str">
            <v>No Study</v>
          </cell>
          <cell r="O122" t="str">
            <v>1st level attrition</v>
          </cell>
          <cell r="P122" t="str">
            <v>Q1 Rejected</v>
          </cell>
          <cell r="Q122" t="str">
            <v>Q1 Passed</v>
          </cell>
          <cell r="R122" t="str">
            <v>Q1.5 Rejected</v>
          </cell>
          <cell r="S122" t="str">
            <v>Q1.5 Rejected</v>
          </cell>
          <cell r="T122" t="str">
            <v>Sample texture was soft and powdery</v>
          </cell>
          <cell r="W122" t="str">
            <v>Private Hospital</v>
          </cell>
          <cell r="X122" t="str">
            <v>Vydehi Hospital, Bangalore</v>
          </cell>
          <cell r="Y122" t="str">
            <v>Vydehi Hospital, Bangalore</v>
          </cell>
          <cell r="Z122" t="str">
            <v>Dr Amritha Prabha, Bangalore</v>
          </cell>
          <cell r="AA122" t="str">
            <v>HNSCC</v>
          </cell>
          <cell r="AC122" t="str">
            <v>Buccal Mucosa</v>
          </cell>
          <cell r="AD122" t="str">
            <v>Right soft palete</v>
          </cell>
          <cell r="AE122" t="str">
            <v>Female</v>
          </cell>
          <cell r="AF122">
            <v>66</v>
          </cell>
          <cell r="AG122" t="str">
            <v>N</v>
          </cell>
          <cell r="AH122">
            <v>6</v>
          </cell>
          <cell r="AI122" t="str">
            <v>Partha</v>
          </cell>
          <cell r="AJ122" t="str">
            <v>Surgery</v>
          </cell>
          <cell r="AK122" t="str">
            <v>Primary</v>
          </cell>
          <cell r="AS122" t="str">
            <v>Squamous Cell Carcinoma</v>
          </cell>
          <cell r="AV122">
            <v>44673</v>
          </cell>
          <cell r="AW122">
            <v>0.54027777777777775</v>
          </cell>
          <cell r="BB122" t="str">
            <v>0.6*0.8*1.6
0.5*0.6*1.2</v>
          </cell>
          <cell r="BC122" t="str">
            <v>0.6*0.8*1.6
0.5*0.6*1.2</v>
          </cell>
          <cell r="BD122" t="str">
            <v>vibratome</v>
          </cell>
          <cell r="BE122">
            <v>4</v>
          </cell>
          <cell r="BF122" t="str">
            <v>biswajit</v>
          </cell>
          <cell r="BG122" t="str">
            <v>N</v>
          </cell>
        </row>
        <row r="123">
          <cell r="A123">
            <v>220091</v>
          </cell>
          <cell r="B123">
            <v>220091</v>
          </cell>
          <cell r="C123" t="str">
            <v>R&amp;D</v>
          </cell>
          <cell r="D123">
            <v>44673</v>
          </cell>
          <cell r="E123">
            <v>0.60416666666666663</v>
          </cell>
          <cell r="F123">
            <v>44652</v>
          </cell>
          <cell r="G123">
            <v>44673</v>
          </cell>
          <cell r="H123">
            <v>0.66111111111111109</v>
          </cell>
          <cell r="I123">
            <v>5.6944444444444443E-2</v>
          </cell>
          <cell r="J123">
            <v>5</v>
          </cell>
          <cell r="K123" t="str">
            <v>FCB-PROTOCOL-01</v>
          </cell>
          <cell r="L123" t="str">
            <v>VYD/096</v>
          </cell>
          <cell r="M123" t="str">
            <v>Y</v>
          </cell>
          <cell r="N123" t="str">
            <v>No Study</v>
          </cell>
          <cell r="O123" t="str">
            <v>1st level attrition</v>
          </cell>
          <cell r="P123" t="str">
            <v>Q1 Rejected</v>
          </cell>
          <cell r="Q123" t="str">
            <v>Q1 Rejected</v>
          </cell>
          <cell r="R123" t="str">
            <v>Q1.5 Rejected</v>
          </cell>
          <cell r="S123" t="str">
            <v>Q1.5 Rejected</v>
          </cell>
          <cell r="T123" t="str">
            <v>Sampl size was small and blood clotted</v>
          </cell>
          <cell r="W123" t="str">
            <v>Private Hospital</v>
          </cell>
          <cell r="X123" t="str">
            <v>Vydehi Hospital, Bangalore</v>
          </cell>
          <cell r="Y123" t="str">
            <v>Vydehi Hospital, Bangalore</v>
          </cell>
          <cell r="Z123" t="str">
            <v>Dr Amritha Prabha, Bangalore</v>
          </cell>
          <cell r="AA123" t="str">
            <v>HNSCC</v>
          </cell>
          <cell r="AC123" t="str">
            <v>Buccal Mucosa</v>
          </cell>
          <cell r="AD123" t="str">
            <v>Left lener GB alevolus</v>
          </cell>
          <cell r="AE123" t="str">
            <v>Male</v>
          </cell>
          <cell r="AF123">
            <v>41</v>
          </cell>
          <cell r="AG123" t="str">
            <v>N</v>
          </cell>
          <cell r="AH123">
            <v>5.5</v>
          </cell>
          <cell r="AI123" t="str">
            <v>Sashi</v>
          </cell>
          <cell r="AJ123" t="str">
            <v>Surgery</v>
          </cell>
          <cell r="AK123" t="str">
            <v>Primary</v>
          </cell>
          <cell r="AS123" t="str">
            <v>Squamous Cell Carcinoma</v>
          </cell>
          <cell r="AV123">
            <v>44673</v>
          </cell>
          <cell r="AW123">
            <v>0.66805555555555551</v>
          </cell>
          <cell r="BB123" t="str">
            <v>0.4*1.0*1.0</v>
          </cell>
          <cell r="BC123" t="str">
            <v>0.4*1.0*1.0</v>
          </cell>
          <cell r="BD123" t="str">
            <v>manual</v>
          </cell>
          <cell r="BE123">
            <v>4</v>
          </cell>
          <cell r="BF123" t="str">
            <v>Biswajit</v>
          </cell>
          <cell r="BG123" t="str">
            <v>N</v>
          </cell>
        </row>
        <row r="124">
          <cell r="A124" t="str">
            <v>FBB1F220092</v>
          </cell>
          <cell r="B124">
            <v>220092</v>
          </cell>
          <cell r="C124" t="str">
            <v>Biopharma</v>
          </cell>
          <cell r="D124">
            <v>44676</v>
          </cell>
          <cell r="E124">
            <v>0.54166666666666663</v>
          </cell>
          <cell r="F124">
            <v>44652</v>
          </cell>
          <cell r="G124">
            <v>44676</v>
          </cell>
          <cell r="H124">
            <v>0.58680555555555558</v>
          </cell>
          <cell r="I124">
            <v>4.5138888888888888E-2</v>
          </cell>
          <cell r="J124">
            <v>30</v>
          </cell>
          <cell r="K124" t="str">
            <v>FCB-PROTOCOL-02</v>
          </cell>
          <cell r="L124" t="str">
            <v>RC003</v>
          </cell>
          <cell r="M124" t="str">
            <v>Y</v>
          </cell>
          <cell r="N124" t="str">
            <v>BP006_Phase1C</v>
          </cell>
          <cell r="O124" t="str">
            <v>Biopharma</v>
          </cell>
          <cell r="P124" t="str">
            <v>Q1 Passed</v>
          </cell>
          <cell r="Q124" t="str">
            <v>Q1 Passed</v>
          </cell>
          <cell r="R124" t="str">
            <v>Q1.5 Passed</v>
          </cell>
          <cell r="S124" t="str">
            <v>Q1.5 Passed</v>
          </cell>
          <cell r="V124" t="str">
            <v>Tumor content 50-80%</v>
          </cell>
          <cell r="W124" t="str">
            <v>Government Hospital</v>
          </cell>
          <cell r="X124" t="str">
            <v>Mazumdar Shaw Medical Centre, Bangalore</v>
          </cell>
          <cell r="Y124" t="str">
            <v>Mazumdar Shaw Medical Centre, Bangalore</v>
          </cell>
          <cell r="Z124" t="str">
            <v>Dr Saurabh Bhargav, Bangalore</v>
          </cell>
          <cell r="AA124" t="str">
            <v>RCC</v>
          </cell>
          <cell r="AC124" t="str">
            <v>Renal Mass</v>
          </cell>
          <cell r="AD124" t="str">
            <v>Left Renal Mass</v>
          </cell>
          <cell r="AE124" t="str">
            <v>Male</v>
          </cell>
          <cell r="AF124">
            <v>65</v>
          </cell>
          <cell r="AG124" t="str">
            <v>N</v>
          </cell>
          <cell r="AH124">
            <v>3.2</v>
          </cell>
          <cell r="AI124" t="str">
            <v>Kalappa</v>
          </cell>
          <cell r="AJ124" t="str">
            <v>Surgery</v>
          </cell>
          <cell r="AK124" t="str">
            <v>Primary</v>
          </cell>
          <cell r="AN124" t="str">
            <v>II</v>
          </cell>
          <cell r="AP124" t="str">
            <v>pT3aN0M0</v>
          </cell>
          <cell r="AS124" t="str">
            <v>Clear cell renal  cell carcinoma</v>
          </cell>
          <cell r="AV124">
            <v>44676</v>
          </cell>
          <cell r="AW124">
            <v>0.61527777777777781</v>
          </cell>
          <cell r="AX124">
            <v>0.72222222222222221</v>
          </cell>
          <cell r="AY124">
            <v>0.10694444444444444</v>
          </cell>
          <cell r="AZ124">
            <v>0.13541666666666666</v>
          </cell>
          <cell r="BA124">
            <v>0.18055555555555555</v>
          </cell>
          <cell r="BB124" t="str">
            <v>(1.2,1.6,0.4)*2.4*2.0</v>
          </cell>
          <cell r="BC124" t="str">
            <v>(1.2,1.6,0.4)*2.4*2.0</v>
          </cell>
          <cell r="BD124" t="str">
            <v>Vibratome</v>
          </cell>
          <cell r="BE124">
            <v>4</v>
          </cell>
          <cell r="BF124" t="str">
            <v>Gowri</v>
          </cell>
          <cell r="BG124" t="str">
            <v>Y</v>
          </cell>
        </row>
        <row r="125">
          <cell r="A125" t="str">
            <v>FBR1M220092</v>
          </cell>
          <cell r="B125">
            <v>220092</v>
          </cell>
          <cell r="C125" t="str">
            <v>R&amp;D</v>
          </cell>
          <cell r="D125">
            <v>44676</v>
          </cell>
          <cell r="E125">
            <v>0.54166666666666663</v>
          </cell>
          <cell r="F125">
            <v>44652</v>
          </cell>
          <cell r="G125">
            <v>44676</v>
          </cell>
          <cell r="H125">
            <v>0.58680555555555558</v>
          </cell>
          <cell r="I125">
            <v>4.5138888888888888E-2</v>
          </cell>
          <cell r="J125">
            <v>30</v>
          </cell>
          <cell r="K125" t="str">
            <v>FCB-PROTOCOL-02</v>
          </cell>
          <cell r="L125" t="str">
            <v>RC003</v>
          </cell>
          <cell r="M125" t="str">
            <v>Y</v>
          </cell>
          <cell r="N125" t="str">
            <v>DMS_RCC</v>
          </cell>
          <cell r="O125" t="str">
            <v>Internal R&amp;D</v>
          </cell>
          <cell r="P125" t="str">
            <v>Q1 Passed</v>
          </cell>
          <cell r="Q125" t="str">
            <v>Q1 Passed</v>
          </cell>
          <cell r="R125" t="str">
            <v>Q1.5 Passed</v>
          </cell>
          <cell r="S125" t="str">
            <v>Q1.5 Passed</v>
          </cell>
          <cell r="V125" t="str">
            <v>Tumor content 60-90%</v>
          </cell>
          <cell r="W125" t="str">
            <v>Government Hospital</v>
          </cell>
          <cell r="X125" t="str">
            <v>Mazumdar Shaw Medical Centre, Bangalore</v>
          </cell>
          <cell r="Y125" t="str">
            <v>Mazumdar Shaw Medical Centre, Bangalore</v>
          </cell>
          <cell r="Z125" t="str">
            <v>Dr Saurabh Bhargav, Bangalore</v>
          </cell>
          <cell r="AA125" t="str">
            <v>RCC</v>
          </cell>
          <cell r="AC125" t="str">
            <v>Renal Mass</v>
          </cell>
          <cell r="AD125" t="str">
            <v>Left Renal Mass</v>
          </cell>
          <cell r="AE125" t="str">
            <v>Male</v>
          </cell>
          <cell r="AF125">
            <v>65</v>
          </cell>
          <cell r="AG125" t="str">
            <v>N</v>
          </cell>
          <cell r="AH125">
            <v>3.2</v>
          </cell>
          <cell r="AI125" t="str">
            <v>Kalappa</v>
          </cell>
          <cell r="AJ125" t="str">
            <v>Surgery</v>
          </cell>
          <cell r="AK125" t="str">
            <v>Primary</v>
          </cell>
          <cell r="AN125" t="str">
            <v>II</v>
          </cell>
          <cell r="AP125" t="str">
            <v>pT3aN0M0</v>
          </cell>
          <cell r="AS125" t="str">
            <v>Clear cell renal  cell carcinoma</v>
          </cell>
          <cell r="AV125">
            <v>44676</v>
          </cell>
          <cell r="AW125">
            <v>0.61527777777777781</v>
          </cell>
          <cell r="AX125">
            <v>0.72222222222222221</v>
          </cell>
          <cell r="AY125">
            <v>0.10694444444444444</v>
          </cell>
          <cell r="AZ125">
            <v>0.13541666666666666</v>
          </cell>
          <cell r="BA125">
            <v>0.18055555555555555</v>
          </cell>
          <cell r="BB125" t="str">
            <v>(1.2,1.6,0.4)*2.4*2.0</v>
          </cell>
          <cell r="BC125" t="str">
            <v>(1.2,1.6,0.4)*2.4*2.0</v>
          </cell>
          <cell r="BD125" t="str">
            <v>Vibratome</v>
          </cell>
          <cell r="BE125">
            <v>4</v>
          </cell>
          <cell r="BF125" t="str">
            <v>Gowri</v>
          </cell>
          <cell r="BG125" t="str">
            <v>Y</v>
          </cell>
        </row>
        <row r="126">
          <cell r="A126" t="str">
            <v>FBB1G220093</v>
          </cell>
          <cell r="B126">
            <v>220093</v>
          </cell>
          <cell r="C126" t="str">
            <v>Biopharma</v>
          </cell>
          <cell r="D126">
            <v>44676</v>
          </cell>
          <cell r="E126">
            <v>0.52777777777777779</v>
          </cell>
          <cell r="F126">
            <v>44652</v>
          </cell>
          <cell r="G126">
            <v>44676</v>
          </cell>
          <cell r="H126">
            <v>0.9</v>
          </cell>
          <cell r="I126">
            <v>0.37222222222222223</v>
          </cell>
          <cell r="J126">
            <v>2</v>
          </cell>
          <cell r="K126" t="str">
            <v>FCB-PROTOCOL-01</v>
          </cell>
          <cell r="L126" t="str">
            <v>CLN/DBR/071</v>
          </cell>
          <cell r="M126" t="str">
            <v>Y</v>
          </cell>
          <cell r="N126" t="str">
            <v>BP006_Phase1D</v>
          </cell>
          <cell r="O126" t="str">
            <v>Biopharma</v>
          </cell>
          <cell r="P126" t="str">
            <v>Q1 Passed</v>
          </cell>
          <cell r="Q126" t="str">
            <v>Q1 Passed</v>
          </cell>
          <cell r="R126" t="str">
            <v>Q1.5 Passed</v>
          </cell>
          <cell r="S126" t="str">
            <v>Q1.5 Passed</v>
          </cell>
          <cell r="V126" t="str">
            <v>Tumor content 75-95%</v>
          </cell>
          <cell r="W126" t="str">
            <v>Clinic'les</v>
          </cell>
          <cell r="X126" t="str">
            <v>Clinic'les- DBR &amp; SK Hospital, Tirupati</v>
          </cell>
          <cell r="Y126" t="str">
            <v>DBR &amp; SK Hospital, Tirupati</v>
          </cell>
          <cell r="Z126" t="str">
            <v>Dr C Jayaprakash, Tirupati</v>
          </cell>
          <cell r="AA126" t="str">
            <v>HNSCC</v>
          </cell>
          <cell r="AC126" t="str">
            <v>Buccal Mucosa</v>
          </cell>
          <cell r="AD126" t="str">
            <v>Buccal Mucosa</v>
          </cell>
          <cell r="AE126" t="str">
            <v>Female</v>
          </cell>
          <cell r="AF126">
            <v>62</v>
          </cell>
          <cell r="AG126" t="str">
            <v>N</v>
          </cell>
          <cell r="AH126">
            <v>5.0999999999999996</v>
          </cell>
          <cell r="AI126" t="str">
            <v>Sashi</v>
          </cell>
          <cell r="AJ126" t="str">
            <v>Surgery</v>
          </cell>
          <cell r="AK126" t="str">
            <v>Primary</v>
          </cell>
          <cell r="AN126" t="str">
            <v>IV</v>
          </cell>
          <cell r="AP126" t="str">
            <v>T3N3MX</v>
          </cell>
          <cell r="AS126" t="str">
            <v>Squamous Cell Carcinoma</v>
          </cell>
          <cell r="AV126">
            <v>44676</v>
          </cell>
          <cell r="AW126">
            <v>0.88541666666666663</v>
          </cell>
          <cell r="AX126">
            <v>0.96875</v>
          </cell>
          <cell r="AY126">
            <v>8.3333333333333329E-2</v>
          </cell>
          <cell r="AZ126">
            <v>6.8750000000000006E-2</v>
          </cell>
          <cell r="BA126">
            <v>0.44097222222222221</v>
          </cell>
          <cell r="BB126" t="str">
            <v>1.1*1.7</v>
          </cell>
          <cell r="BC126" t="str">
            <v>1.1*1.7</v>
          </cell>
          <cell r="BD126" t="str">
            <v>Vibratome</v>
          </cell>
          <cell r="BE126">
            <v>4</v>
          </cell>
          <cell r="BF126" t="str">
            <v>Gowri</v>
          </cell>
          <cell r="BG126" t="str">
            <v>Y</v>
          </cell>
        </row>
        <row r="127">
          <cell r="A127" t="str">
            <v>FBB1G220094</v>
          </cell>
          <cell r="B127">
            <v>220094</v>
          </cell>
          <cell r="C127" t="str">
            <v>Biopharma</v>
          </cell>
          <cell r="D127">
            <v>44677</v>
          </cell>
          <cell r="E127">
            <v>0.4909722222222222</v>
          </cell>
          <cell r="F127">
            <v>44652</v>
          </cell>
          <cell r="G127">
            <v>44677</v>
          </cell>
          <cell r="H127">
            <v>0.54166666666666663</v>
          </cell>
          <cell r="I127">
            <v>5.0694444444444445E-2</v>
          </cell>
          <cell r="J127">
            <v>4</v>
          </cell>
          <cell r="K127" t="str">
            <v>FCB-PROTOCOL-01</v>
          </cell>
          <cell r="L127" t="str">
            <v>VYD/097</v>
          </cell>
          <cell r="M127" t="str">
            <v>Y</v>
          </cell>
          <cell r="N127" t="str">
            <v>BP006_Phase1D</v>
          </cell>
          <cell r="O127" t="str">
            <v>Biopharma</v>
          </cell>
          <cell r="P127" t="str">
            <v>Q1 Passed</v>
          </cell>
          <cell r="Q127" t="str">
            <v>Q1 Passed</v>
          </cell>
          <cell r="R127" t="str">
            <v>Q1.5 Passed</v>
          </cell>
          <cell r="S127" t="str">
            <v>Q1.5 Passed</v>
          </cell>
          <cell r="V127" t="str">
            <v>High tumor content &gt;= 90% in all fragments</v>
          </cell>
          <cell r="W127" t="str">
            <v>Private Hospital</v>
          </cell>
          <cell r="X127" t="str">
            <v>Vydehi Hospital, Bangalore</v>
          </cell>
          <cell r="Y127" t="str">
            <v>Vydehi Hospital, Bangalore</v>
          </cell>
          <cell r="Z127" t="str">
            <v>Dr Amritha Prabha, Bangalore</v>
          </cell>
          <cell r="AA127" t="str">
            <v>HNSCC</v>
          </cell>
          <cell r="AC127" t="str">
            <v>Buccal Mucosa</v>
          </cell>
          <cell r="AD127" t="str">
            <v>Left Lateral Border of Tongue</v>
          </cell>
          <cell r="AE127" t="str">
            <v>Male</v>
          </cell>
          <cell r="AF127">
            <v>45</v>
          </cell>
          <cell r="AG127" t="str">
            <v>N</v>
          </cell>
          <cell r="AH127">
            <v>4.5</v>
          </cell>
          <cell r="AI127" t="str">
            <v>Kalappa</v>
          </cell>
          <cell r="AJ127" t="str">
            <v>Surgery</v>
          </cell>
          <cell r="AK127" t="str">
            <v>Primary</v>
          </cell>
          <cell r="AL127" t="str">
            <v>Radiotherapy</v>
          </cell>
          <cell r="AN127" t="str">
            <v>III</v>
          </cell>
          <cell r="AO127">
            <v>2</v>
          </cell>
          <cell r="AP127" t="str">
            <v>pT3N1</v>
          </cell>
          <cell r="AS127" t="str">
            <v>Squamous Cell Carcinoma</v>
          </cell>
          <cell r="AV127">
            <v>44677</v>
          </cell>
          <cell r="AW127">
            <v>0.56944444444444442</v>
          </cell>
          <cell r="AX127">
            <v>0.63888888888888884</v>
          </cell>
          <cell r="AY127">
            <v>6.9444444444444448E-2</v>
          </cell>
          <cell r="AZ127">
            <v>9.7222222222222224E-2</v>
          </cell>
          <cell r="BA127">
            <v>0.14791666666666667</v>
          </cell>
          <cell r="BB127" t="str">
            <v>1.0*1.6*1.3</v>
          </cell>
          <cell r="BC127" t="str">
            <v>1.0*1.6*1.3</v>
          </cell>
          <cell r="BD127" t="str">
            <v>Vibratome</v>
          </cell>
          <cell r="BF127" t="str">
            <v>Kowshik</v>
          </cell>
          <cell r="BG127" t="str">
            <v>Y</v>
          </cell>
        </row>
        <row r="128">
          <cell r="A128" t="str">
            <v>FBR1K220094</v>
          </cell>
          <cell r="B128">
            <v>220094</v>
          </cell>
          <cell r="C128" t="str">
            <v>R&amp;D</v>
          </cell>
          <cell r="D128">
            <v>44677</v>
          </cell>
          <cell r="E128">
            <v>0.4909722222222222</v>
          </cell>
          <cell r="F128">
            <v>44652</v>
          </cell>
          <cell r="G128">
            <v>44677</v>
          </cell>
          <cell r="H128">
            <v>0.54166666666666663</v>
          </cell>
          <cell r="I128">
            <v>5.0694444444444445E-2</v>
          </cell>
          <cell r="J128">
            <v>4</v>
          </cell>
          <cell r="K128" t="str">
            <v>FCB-PROTOCOL-01</v>
          </cell>
          <cell r="L128" t="str">
            <v>VYD/097</v>
          </cell>
          <cell r="M128" t="str">
            <v>Y</v>
          </cell>
          <cell r="N128" t="str">
            <v>DMS_v4(1K)</v>
          </cell>
          <cell r="O128" t="str">
            <v>Internal R&amp;D</v>
          </cell>
          <cell r="P128" t="str">
            <v>Q1 Passed</v>
          </cell>
          <cell r="Q128" t="str">
            <v>Q1 Passed</v>
          </cell>
          <cell r="R128" t="str">
            <v>Q1.5 Passed</v>
          </cell>
          <cell r="S128" t="str">
            <v>Q1.5 Passed</v>
          </cell>
          <cell r="V128" t="str">
            <v>High tumor content &gt;= 85% in all fragments</v>
          </cell>
          <cell r="W128" t="str">
            <v>Private Hospital</v>
          </cell>
          <cell r="X128" t="str">
            <v>Vydehi Hospital, Bangalore</v>
          </cell>
          <cell r="Y128" t="str">
            <v>Vydehi Hospital, Bangalore</v>
          </cell>
          <cell r="Z128" t="str">
            <v>Dr Amritha Prabha, Bangalore</v>
          </cell>
          <cell r="AA128" t="str">
            <v>HNSCC</v>
          </cell>
          <cell r="AC128" t="str">
            <v>Buccal Mucosa</v>
          </cell>
          <cell r="AD128" t="str">
            <v>Left Lateral Border of Tongue</v>
          </cell>
          <cell r="AE128" t="str">
            <v>Male</v>
          </cell>
          <cell r="AF128">
            <v>45</v>
          </cell>
          <cell r="AG128" t="str">
            <v>N</v>
          </cell>
          <cell r="AH128">
            <v>4.5</v>
          </cell>
          <cell r="AI128" t="str">
            <v>Kalappa</v>
          </cell>
          <cell r="AJ128" t="str">
            <v>Surgery</v>
          </cell>
          <cell r="AK128" t="str">
            <v>Primary</v>
          </cell>
          <cell r="AL128" t="str">
            <v>Radiotherapy</v>
          </cell>
          <cell r="AN128" t="str">
            <v>III</v>
          </cell>
          <cell r="AO128">
            <v>2</v>
          </cell>
          <cell r="AP128" t="str">
            <v>pT3N1</v>
          </cell>
          <cell r="AS128" t="str">
            <v>Squamous Cell Carcinoma</v>
          </cell>
          <cell r="AV128">
            <v>44677</v>
          </cell>
          <cell r="AW128">
            <v>0.56944444444444442</v>
          </cell>
          <cell r="AX128">
            <v>0.68402777777777779</v>
          </cell>
          <cell r="AY128">
            <v>0.11458333333333333</v>
          </cell>
          <cell r="AZ128">
            <v>0.1423611111111111</v>
          </cell>
          <cell r="BA128">
            <v>0.19305555555555556</v>
          </cell>
          <cell r="BB128" t="str">
            <v>1.0*1.6*1.3</v>
          </cell>
          <cell r="BC128" t="str">
            <v>1.0*1.6*1.3</v>
          </cell>
          <cell r="BD128" t="str">
            <v>Vibratome</v>
          </cell>
          <cell r="BE128">
            <v>4</v>
          </cell>
          <cell r="BF128" t="str">
            <v>Kowshik</v>
          </cell>
          <cell r="BG128" t="str">
            <v>Y</v>
          </cell>
        </row>
        <row r="129">
          <cell r="A129">
            <v>220095</v>
          </cell>
          <cell r="B129">
            <v>220095</v>
          </cell>
          <cell r="C129" t="str">
            <v>R&amp;D</v>
          </cell>
          <cell r="D129">
            <v>44677</v>
          </cell>
          <cell r="E129">
            <v>0.63194444444444442</v>
          </cell>
          <cell r="F129">
            <v>44652</v>
          </cell>
          <cell r="G129">
            <v>44677</v>
          </cell>
          <cell r="H129">
            <v>0.66666666666666663</v>
          </cell>
          <cell r="I129">
            <v>3.4722222222222224E-2</v>
          </cell>
          <cell r="J129">
            <v>25</v>
          </cell>
          <cell r="K129" t="str">
            <v>FCB-PROTOCOL-02</v>
          </cell>
          <cell r="L129" t="str">
            <v>HN002</v>
          </cell>
          <cell r="M129" t="str">
            <v>Y</v>
          </cell>
          <cell r="N129" t="str">
            <v>No Study</v>
          </cell>
          <cell r="O129" t="str">
            <v>1st level attrition</v>
          </cell>
          <cell r="P129" t="str">
            <v>Q1 Rejected</v>
          </cell>
          <cell r="Q129" t="str">
            <v>Q1 Passed</v>
          </cell>
          <cell r="R129" t="str">
            <v>Q1.5 Rejected</v>
          </cell>
          <cell r="S129" t="str">
            <v>Q1.5 Rejected</v>
          </cell>
          <cell r="T129" t="str">
            <v>Tissue height &lt;3mm</v>
          </cell>
          <cell r="V129" t="str">
            <v>FFPE</v>
          </cell>
          <cell r="W129" t="str">
            <v>Government Hospital</v>
          </cell>
          <cell r="X129" t="str">
            <v>Mazumdar Shaw Medical Centre, Bangalore</v>
          </cell>
          <cell r="Y129" t="str">
            <v>Mazumdar Shaw Medical Centre, Bangalore</v>
          </cell>
          <cell r="Z129" t="str">
            <v>Dr Vijay Pillai, Bangalore</v>
          </cell>
          <cell r="AA129" t="str">
            <v>HNSCC</v>
          </cell>
          <cell r="AC129" t="str">
            <v>GBS</v>
          </cell>
          <cell r="AD129" t="str">
            <v>Left GBS</v>
          </cell>
          <cell r="AE129" t="str">
            <v>Female</v>
          </cell>
          <cell r="AF129">
            <v>70</v>
          </cell>
          <cell r="AG129" t="str">
            <v>N</v>
          </cell>
          <cell r="AH129">
            <v>3.7</v>
          </cell>
          <cell r="AI129" t="str">
            <v>Sashi</v>
          </cell>
          <cell r="AJ129" t="str">
            <v>Surgery</v>
          </cell>
          <cell r="AK129" t="str">
            <v>Primary</v>
          </cell>
          <cell r="AS129" t="str">
            <v>Squamous Cell Carcinoma</v>
          </cell>
          <cell r="AV129">
            <v>44677</v>
          </cell>
          <cell r="AW129">
            <v>0.67708333333333337</v>
          </cell>
          <cell r="BB129" t="str">
            <v>0.2-0.3*1.0*0.8</v>
          </cell>
          <cell r="BC129" t="str">
            <v>0.2-0.3*1.0*0.8</v>
          </cell>
          <cell r="BE129">
            <v>4</v>
          </cell>
          <cell r="BF129" t="str">
            <v>Rajashekhar</v>
          </cell>
        </row>
        <row r="130">
          <cell r="A130">
            <v>220096</v>
          </cell>
          <cell r="B130">
            <v>220096</v>
          </cell>
          <cell r="C130" t="str">
            <v>R&amp;D</v>
          </cell>
          <cell r="D130">
            <v>44680</v>
          </cell>
          <cell r="E130">
            <v>0.59375</v>
          </cell>
          <cell r="F130">
            <v>44652</v>
          </cell>
          <cell r="G130">
            <v>44680</v>
          </cell>
          <cell r="H130">
            <v>0.63680555555555551</v>
          </cell>
          <cell r="I130">
            <v>4.3055555555555555E-2</v>
          </cell>
          <cell r="J130">
            <v>60</v>
          </cell>
          <cell r="K130" t="str">
            <v>FCB-PROTOCOL-02</v>
          </cell>
          <cell r="L130" t="str">
            <v>HN003</v>
          </cell>
          <cell r="M130" t="str">
            <v>Y</v>
          </cell>
          <cell r="N130" t="str">
            <v>No Study</v>
          </cell>
          <cell r="O130" t="str">
            <v>1st level attrition</v>
          </cell>
          <cell r="P130" t="str">
            <v>Q1 Rejected</v>
          </cell>
          <cell r="Q130" t="str">
            <v>Q1 Rejected</v>
          </cell>
          <cell r="R130" t="str">
            <v>Q1.5 Rejected</v>
          </cell>
          <cell r="S130" t="str">
            <v>Q1.5 Rejected</v>
          </cell>
          <cell r="T130" t="str">
            <v>sample height was small(14*7/8*3mm), low blood volume</v>
          </cell>
          <cell r="V130" t="str">
            <v>FFPE</v>
          </cell>
          <cell r="W130" t="str">
            <v>Government Hospital</v>
          </cell>
          <cell r="X130" t="str">
            <v>Mazumdar Shaw Medical Centre, Bangalore</v>
          </cell>
          <cell r="Y130" t="str">
            <v>Mazumdar Shaw Medical Centre, Bangalore</v>
          </cell>
          <cell r="Z130" t="str">
            <v>Dr Vijay Pillai, Bangalore</v>
          </cell>
          <cell r="AA130" t="str">
            <v>HNSCC</v>
          </cell>
          <cell r="AC130" t="str">
            <v>GBS</v>
          </cell>
          <cell r="AD130" t="str">
            <v>Left GBS</v>
          </cell>
          <cell r="AE130" t="str">
            <v>Male</v>
          </cell>
          <cell r="AF130">
            <v>59</v>
          </cell>
          <cell r="AG130" t="str">
            <v>N</v>
          </cell>
          <cell r="AH130">
            <v>5.7</v>
          </cell>
          <cell r="AI130" t="str">
            <v>Kalappa</v>
          </cell>
          <cell r="AJ130" t="str">
            <v>Surgery</v>
          </cell>
          <cell r="AK130" t="str">
            <v>Primary</v>
          </cell>
          <cell r="AS130" t="str">
            <v>Squamous Cell Carcinoma</v>
          </cell>
          <cell r="AV130">
            <v>44680</v>
          </cell>
          <cell r="AW130">
            <v>0.65625</v>
          </cell>
          <cell r="BB130" t="str">
            <v>0.3*1.4*0.7-0.8</v>
          </cell>
          <cell r="BC130" t="str">
            <v>0.3*1.4*0.7-0.8</v>
          </cell>
          <cell r="BE130">
            <v>4</v>
          </cell>
          <cell r="BF130" t="str">
            <v>Biswajit</v>
          </cell>
        </row>
        <row r="131">
          <cell r="A131">
            <v>220097</v>
          </cell>
          <cell r="B131">
            <v>220097</v>
          </cell>
          <cell r="C131" t="str">
            <v>R&amp;D</v>
          </cell>
          <cell r="D131">
            <v>44680</v>
          </cell>
          <cell r="E131">
            <v>0.54722222222222228</v>
          </cell>
          <cell r="F131">
            <v>44652</v>
          </cell>
          <cell r="G131">
            <v>44680</v>
          </cell>
          <cell r="H131">
            <v>0.86875000000000002</v>
          </cell>
          <cell r="I131">
            <v>0.3215277777777778</v>
          </cell>
          <cell r="J131">
            <v>2</v>
          </cell>
          <cell r="K131" t="str">
            <v>FCB-PROTOCOL-01</v>
          </cell>
          <cell r="L131" t="str">
            <v>CLN/DBR/072</v>
          </cell>
          <cell r="M131" t="str">
            <v>Y</v>
          </cell>
          <cell r="N131" t="str">
            <v>No Study</v>
          </cell>
          <cell r="O131" t="str">
            <v>1st level attrition</v>
          </cell>
          <cell r="P131" t="str">
            <v>Q1 Rejected</v>
          </cell>
          <cell r="Q131" t="str">
            <v>Q1 Rejected</v>
          </cell>
          <cell r="R131" t="str">
            <v>Q1.5 Rejected</v>
          </cell>
          <cell r="S131" t="str">
            <v>Q1.5 Rejected</v>
          </cell>
          <cell r="T131" t="str">
            <v>Blood was heamolysed and tissue size was small</v>
          </cell>
          <cell r="W131" t="str">
            <v>Clinic'les</v>
          </cell>
          <cell r="X131" t="str">
            <v>Clinic'les- DBR &amp; SK Hospital, Tirupati</v>
          </cell>
          <cell r="Y131" t="str">
            <v>DBR &amp; SK Hospital, Tirupati</v>
          </cell>
          <cell r="Z131" t="str">
            <v>Dr C Jayaprakash, Tirupati</v>
          </cell>
          <cell r="AA131" t="str">
            <v>HNSCC</v>
          </cell>
          <cell r="AC131" t="str">
            <v>Buccal Mucosa</v>
          </cell>
          <cell r="AD131" t="str">
            <v>Buccal Mucosa</v>
          </cell>
          <cell r="AE131" t="str">
            <v>Female</v>
          </cell>
          <cell r="AF131">
            <v>38</v>
          </cell>
          <cell r="AG131" t="str">
            <v>N</v>
          </cell>
          <cell r="AH131">
            <v>7.7</v>
          </cell>
          <cell r="AI131" t="str">
            <v>Partha</v>
          </cell>
          <cell r="AJ131" t="str">
            <v>Surgery</v>
          </cell>
          <cell r="AK131" t="str">
            <v>Primary</v>
          </cell>
          <cell r="AN131" t="str">
            <v>III</v>
          </cell>
          <cell r="AP131" t="str">
            <v>T3N1MX</v>
          </cell>
          <cell r="AS131" t="str">
            <v>Squamous Cell Carcinoma</v>
          </cell>
          <cell r="AV131">
            <v>44680</v>
          </cell>
          <cell r="AW131">
            <v>0.88263888888888886</v>
          </cell>
          <cell r="BB131" t="str">
            <v>0.75*1.2*1.6</v>
          </cell>
          <cell r="BC131" t="str">
            <v>0.75*1.2*1.6</v>
          </cell>
          <cell r="BD131" t="str">
            <v>Vibratome</v>
          </cell>
          <cell r="BE131">
            <v>4</v>
          </cell>
          <cell r="BF131" t="str">
            <v>Biswajit</v>
          </cell>
        </row>
        <row r="132">
          <cell r="A132" t="str">
            <v>FBB1G220098</v>
          </cell>
          <cell r="B132">
            <v>220098</v>
          </cell>
          <cell r="C132" t="str">
            <v>Biopharma</v>
          </cell>
          <cell r="D132">
            <v>44681</v>
          </cell>
          <cell r="E132">
            <v>0.45555555555555555</v>
          </cell>
          <cell r="F132">
            <v>44652</v>
          </cell>
          <cell r="G132">
            <v>44681</v>
          </cell>
          <cell r="H132">
            <v>0.54097222222222219</v>
          </cell>
          <cell r="I132">
            <v>8.5416666666666669E-2</v>
          </cell>
          <cell r="J132">
            <v>3</v>
          </cell>
          <cell r="K132" t="str">
            <v>FCB-PROTOCOL-01</v>
          </cell>
          <cell r="L132" t="str">
            <v>VYD/098</v>
          </cell>
          <cell r="M132" t="str">
            <v>Y</v>
          </cell>
          <cell r="N132" t="str">
            <v>BP006_Phase1D</v>
          </cell>
          <cell r="O132" t="str">
            <v>Biopharma</v>
          </cell>
          <cell r="P132" t="str">
            <v>Q1 Passed</v>
          </cell>
          <cell r="Q132" t="str">
            <v>Q1 Passed</v>
          </cell>
          <cell r="R132" t="str">
            <v>Q1.5 Passed</v>
          </cell>
          <cell r="S132" t="str">
            <v>Q1.5 Passed</v>
          </cell>
          <cell r="V132" t="str">
            <v>Tumor content 55-95% in 6/7 fragments</v>
          </cell>
          <cell r="W132" t="str">
            <v>Private Hospital</v>
          </cell>
          <cell r="X132" t="str">
            <v>Vydehi Hospital, Bangalore</v>
          </cell>
          <cell r="Y132" t="str">
            <v>Vydehi Hospital, Bangalore</v>
          </cell>
          <cell r="Z132" t="str">
            <v>Dr Amritha Prabha, Bangalore</v>
          </cell>
          <cell r="AA132" t="str">
            <v>HNSCC</v>
          </cell>
          <cell r="AC132" t="str">
            <v>Buccal Mucosa</v>
          </cell>
          <cell r="AD132" t="str">
            <v>Left Buccal Mucosa</v>
          </cell>
          <cell r="AE132" t="str">
            <v>Male</v>
          </cell>
          <cell r="AF132">
            <v>44</v>
          </cell>
          <cell r="AG132" t="str">
            <v>N</v>
          </cell>
          <cell r="AH132">
            <v>5.3</v>
          </cell>
          <cell r="AI132" t="str">
            <v>Sashi</v>
          </cell>
          <cell r="AJ132" t="str">
            <v>Surgery</v>
          </cell>
          <cell r="AK132" t="str">
            <v>Primary</v>
          </cell>
          <cell r="AN132" t="str">
            <v>II</v>
          </cell>
          <cell r="AO132">
            <v>1</v>
          </cell>
          <cell r="AP132" t="str">
            <v>pT2N0</v>
          </cell>
          <cell r="AS132" t="str">
            <v>Squamous Cell Carcinoma</v>
          </cell>
          <cell r="AV132">
            <v>44681</v>
          </cell>
          <cell r="AW132">
            <v>0.56597222222222221</v>
          </cell>
          <cell r="AX132">
            <v>0.65972222222222221</v>
          </cell>
          <cell r="AY132">
            <v>9.375E-2</v>
          </cell>
          <cell r="AZ132">
            <v>0.11874999999999999</v>
          </cell>
          <cell r="BA132">
            <v>0.20416666666666666</v>
          </cell>
          <cell r="BD132" t="str">
            <v>Vibratome</v>
          </cell>
          <cell r="BE132">
            <v>4</v>
          </cell>
          <cell r="BF132" t="str">
            <v>Kowshik</v>
          </cell>
          <cell r="BG132" t="str">
            <v>Y</v>
          </cell>
        </row>
        <row r="133">
          <cell r="A133" t="str">
            <v>FBR1M220099</v>
          </cell>
          <cell r="B133">
            <v>220099</v>
          </cell>
          <cell r="C133" t="str">
            <v>R&amp;D</v>
          </cell>
          <cell r="D133">
            <v>44683</v>
          </cell>
          <cell r="E133">
            <v>0.52430555555555558</v>
          </cell>
          <cell r="F133">
            <v>44682</v>
          </cell>
          <cell r="G133">
            <v>44680</v>
          </cell>
          <cell r="H133">
            <v>0.57013888888888886</v>
          </cell>
          <cell r="I133">
            <v>4.583333333333333E-2</v>
          </cell>
          <cell r="J133">
            <v>80</v>
          </cell>
          <cell r="K133" t="str">
            <v>FCB-PROTOCOL-02</v>
          </cell>
          <cell r="L133" t="str">
            <v>RC004</v>
          </cell>
          <cell r="M133" t="str">
            <v>Y</v>
          </cell>
          <cell r="N133" t="str">
            <v>DMS_RCC</v>
          </cell>
          <cell r="O133" t="str">
            <v>Internal R&amp;D</v>
          </cell>
          <cell r="P133" t="str">
            <v>Q1 Passed</v>
          </cell>
          <cell r="Q133" t="str">
            <v>Q1 Passed</v>
          </cell>
          <cell r="R133" t="str">
            <v>Q1.5 Passed</v>
          </cell>
          <cell r="S133" t="str">
            <v>Q1.5 Passed</v>
          </cell>
          <cell r="V133" t="str">
            <v>Tumor content 20-90% in 6/7 fragments</v>
          </cell>
          <cell r="W133" t="str">
            <v>Government Hospital</v>
          </cell>
          <cell r="X133" t="str">
            <v>Mazumdar Shaw Medical Centre, Bangalore</v>
          </cell>
          <cell r="Y133" t="str">
            <v>Mazumdar Shaw Medical Centre, Bangalore</v>
          </cell>
          <cell r="Z133" t="str">
            <v>Dr Saurabh Bhargav, Bangalore</v>
          </cell>
          <cell r="AA133" t="str">
            <v>RCC</v>
          </cell>
          <cell r="AD133" t="str">
            <v>Right renal cell carcinoma</v>
          </cell>
          <cell r="AE133" t="str">
            <v>Female</v>
          </cell>
          <cell r="AF133">
            <v>75</v>
          </cell>
          <cell r="AG133" t="str">
            <v>N</v>
          </cell>
          <cell r="AH133">
            <v>4.0999999999999996</v>
          </cell>
          <cell r="AI133" t="str">
            <v>Partha</v>
          </cell>
          <cell r="AJ133" t="str">
            <v>Surgery</v>
          </cell>
          <cell r="AK133" t="str">
            <v>Primary</v>
          </cell>
          <cell r="AN133" t="str">
            <v>II</v>
          </cell>
          <cell r="AP133" t="str">
            <v>pT2aN0M0</v>
          </cell>
          <cell r="AS133" t="str">
            <v>Conventional Clear cell renalcell Carcinoma</v>
          </cell>
          <cell r="AV133">
            <v>44683</v>
          </cell>
          <cell r="AW133">
            <v>0.54166666666666663</v>
          </cell>
          <cell r="AX133">
            <v>0.71180555555555558</v>
          </cell>
          <cell r="AY133">
            <v>0.1701388888888889</v>
          </cell>
          <cell r="AZ133">
            <v>0.14166666666666666</v>
          </cell>
          <cell r="BA133">
            <v>0.1875</v>
          </cell>
          <cell r="BB133" t="str">
            <v>1.0*2.0*1.2</v>
          </cell>
          <cell r="BC133" t="str">
            <v>1.0*2.0*1.2</v>
          </cell>
          <cell r="BD133" t="str">
            <v>Manual</v>
          </cell>
          <cell r="BE133">
            <v>15</v>
          </cell>
          <cell r="BF133" t="str">
            <v>Vasanth</v>
          </cell>
          <cell r="BG133" t="str">
            <v>Y</v>
          </cell>
        </row>
        <row r="134">
          <cell r="A134" t="str">
            <v>FBR1K220100</v>
          </cell>
          <cell r="B134">
            <v>220100</v>
          </cell>
          <cell r="C134" t="str">
            <v>R&amp;D</v>
          </cell>
          <cell r="D134">
            <v>44683</v>
          </cell>
          <cell r="E134">
            <v>0.54166666666666663</v>
          </cell>
          <cell r="F134">
            <v>44682</v>
          </cell>
          <cell r="G134">
            <v>44683</v>
          </cell>
          <cell r="H134">
            <v>0.57013888888888886</v>
          </cell>
          <cell r="I134">
            <v>2.8472222222222222E-2</v>
          </cell>
          <cell r="J134">
            <v>30</v>
          </cell>
          <cell r="K134" t="str">
            <v>FCB-PROTOCOL-02</v>
          </cell>
          <cell r="L134" t="str">
            <v>HN004</v>
          </cell>
          <cell r="M134" t="str">
            <v>Y</v>
          </cell>
          <cell r="N134" t="str">
            <v>DMS_v4(1K)</v>
          </cell>
          <cell r="O134" t="str">
            <v>Internal R&amp;D</v>
          </cell>
          <cell r="P134" t="str">
            <v>Q1 Passed</v>
          </cell>
          <cell r="Q134" t="str">
            <v>Q1 Passed</v>
          </cell>
          <cell r="R134" t="str">
            <v>Q1.5 Passed</v>
          </cell>
          <cell r="S134" t="str">
            <v>Q1.5 Passed</v>
          </cell>
          <cell r="V134" t="str">
            <v>Tumor content 15-90%. Immune component high in some explants</v>
          </cell>
          <cell r="W134" t="str">
            <v>Government Hospital</v>
          </cell>
          <cell r="X134" t="str">
            <v>Mazumdar Shaw Medical Centre, Bangalore</v>
          </cell>
          <cell r="Y134" t="str">
            <v>Mazumdar Shaw Medical Centre, Bangalore</v>
          </cell>
          <cell r="Z134" t="str">
            <v>Dr Vijay Pillai, Bangalore</v>
          </cell>
          <cell r="AA134" t="str">
            <v>HNSCC</v>
          </cell>
          <cell r="AC134" t="str">
            <v>Tongue</v>
          </cell>
          <cell r="AD134" t="str">
            <v>Left Lateral Border of Tongue</v>
          </cell>
          <cell r="AE134" t="str">
            <v>Male</v>
          </cell>
          <cell r="AF134">
            <v>58</v>
          </cell>
          <cell r="AG134" t="str">
            <v>N</v>
          </cell>
          <cell r="AH134">
            <v>4.0999999999999996</v>
          </cell>
          <cell r="AI134" t="str">
            <v>Partha</v>
          </cell>
          <cell r="AJ134" t="str">
            <v>Surgery</v>
          </cell>
          <cell r="AK134" t="str">
            <v>Primary</v>
          </cell>
          <cell r="AN134" t="str">
            <v>III</v>
          </cell>
          <cell r="AO134" t="str">
            <v>III</v>
          </cell>
          <cell r="AP134" t="str">
            <v>pT3N1M0</v>
          </cell>
          <cell r="AS134" t="str">
            <v>MDSCC(Moderately Differentiated Squamous cell carcinoma)</v>
          </cell>
          <cell r="AV134">
            <v>44683</v>
          </cell>
          <cell r="AW134">
            <v>0.625</v>
          </cell>
          <cell r="AX134">
            <v>0.71180555555555558</v>
          </cell>
          <cell r="AY134">
            <v>8.6805555555555552E-2</v>
          </cell>
          <cell r="AZ134">
            <v>0.14166666666666666</v>
          </cell>
          <cell r="BA134">
            <v>0.1701388888888889</v>
          </cell>
          <cell r="BB134" t="str">
            <v>0.8*1.4*1.2</v>
          </cell>
          <cell r="BC134" t="str">
            <v>0.8*1.4*1.2</v>
          </cell>
          <cell r="BD134" t="str">
            <v>Vibratome</v>
          </cell>
          <cell r="BE134">
            <v>15</v>
          </cell>
          <cell r="BF134" t="str">
            <v>Gowri</v>
          </cell>
          <cell r="BG134" t="str">
            <v>Y</v>
          </cell>
        </row>
        <row r="135">
          <cell r="A135" t="str">
            <v>FBR1M220101</v>
          </cell>
          <cell r="B135">
            <v>220101</v>
          </cell>
          <cell r="C135" t="str">
            <v>R&amp;D</v>
          </cell>
          <cell r="D135">
            <v>44683</v>
          </cell>
          <cell r="E135">
            <v>0.57152777777777775</v>
          </cell>
          <cell r="F135">
            <v>44682</v>
          </cell>
          <cell r="G135">
            <v>44683</v>
          </cell>
          <cell r="H135">
            <v>0.64930555555555558</v>
          </cell>
          <cell r="I135">
            <v>7.7777777777777779E-2</v>
          </cell>
          <cell r="J135">
            <v>38</v>
          </cell>
          <cell r="K135" t="str">
            <v>FCB-PROTOCOL-02</v>
          </cell>
          <cell r="L135" t="str">
            <v>RC005</v>
          </cell>
          <cell r="M135" t="str">
            <v>Y</v>
          </cell>
          <cell r="N135" t="str">
            <v>DMS_RCC</v>
          </cell>
          <cell r="O135" t="str">
            <v>Internal R&amp;D</v>
          </cell>
          <cell r="P135" t="str">
            <v>Q1 Passed</v>
          </cell>
          <cell r="Q135" t="str">
            <v>Q1 Passed</v>
          </cell>
          <cell r="R135" t="str">
            <v>Q1.5 Passed</v>
          </cell>
          <cell r="S135" t="str">
            <v>Q1.5 Passed</v>
          </cell>
          <cell r="V135" t="str">
            <v xml:space="preserve">High tumor content in all fragments, appears Papillary </v>
          </cell>
          <cell r="W135" t="str">
            <v>Government Hospital</v>
          </cell>
          <cell r="X135" t="str">
            <v>Mazumdar Shaw Medical Centre, Bangalore</v>
          </cell>
          <cell r="Y135" t="str">
            <v>Mazumdar Shaw Medical Centre, Bangalore</v>
          </cell>
          <cell r="Z135" t="str">
            <v>Dr Saurabh Bhargav, Bangalore</v>
          </cell>
          <cell r="AA135" t="str">
            <v>RCC</v>
          </cell>
          <cell r="AD135" t="str">
            <v>Left upper pole renal mass</v>
          </cell>
          <cell r="AE135" t="str">
            <v>Male</v>
          </cell>
          <cell r="AF135">
            <v>33</v>
          </cell>
          <cell r="AG135" t="str">
            <v>N</v>
          </cell>
          <cell r="AH135">
            <v>3.7</v>
          </cell>
          <cell r="AI135" t="str">
            <v>Kalappa</v>
          </cell>
          <cell r="AJ135" t="str">
            <v>Surgery</v>
          </cell>
          <cell r="AK135" t="str">
            <v>Primary</v>
          </cell>
          <cell r="AN135" t="str">
            <v>I</v>
          </cell>
          <cell r="AP135" t="str">
            <v>pT1bN0M0</v>
          </cell>
          <cell r="AS135" t="str">
            <v>Furhman 2RCC</v>
          </cell>
          <cell r="AV135">
            <v>44683</v>
          </cell>
          <cell r="AW135">
            <v>0.68055555555555558</v>
          </cell>
          <cell r="AX135">
            <v>0.75347222222222221</v>
          </cell>
          <cell r="AY135">
            <v>7.2916666666666671E-2</v>
          </cell>
          <cell r="AZ135">
            <v>0.10416666666666667</v>
          </cell>
          <cell r="BA135">
            <v>0.18194444444444444</v>
          </cell>
          <cell r="BB135" t="str">
            <v>1.0*2.4*3.8</v>
          </cell>
          <cell r="BC135" t="str">
            <v>0.8*1.8*2.2 
0.6*2.4*2.4</v>
          </cell>
          <cell r="BD135" t="str">
            <v>Vibratome</v>
          </cell>
          <cell r="BE135">
            <v>15</v>
          </cell>
          <cell r="BF135" t="str">
            <v>Vasanth</v>
          </cell>
          <cell r="BG135" t="str">
            <v>Y</v>
          </cell>
        </row>
        <row r="136">
          <cell r="A136" t="str">
            <v>FBR1K220102</v>
          </cell>
          <cell r="B136">
            <v>220102</v>
          </cell>
          <cell r="C136" t="str">
            <v>R&amp;D</v>
          </cell>
          <cell r="D136">
            <v>44683</v>
          </cell>
          <cell r="E136">
            <v>0.54722222222222228</v>
          </cell>
          <cell r="F136">
            <v>44682</v>
          </cell>
          <cell r="G136">
            <v>44683</v>
          </cell>
          <cell r="H136">
            <v>0.86111111111111116</v>
          </cell>
          <cell r="I136">
            <v>0.31388888888888888</v>
          </cell>
          <cell r="J136">
            <v>2</v>
          </cell>
          <cell r="K136" t="str">
            <v>FCB-PROTOCOL-01</v>
          </cell>
          <cell r="L136" t="str">
            <v>CLN/DBR/073</v>
          </cell>
          <cell r="M136" t="str">
            <v>Y</v>
          </cell>
          <cell r="N136" t="str">
            <v>DMS_v4(1K)</v>
          </cell>
          <cell r="O136" t="str">
            <v>Internal R&amp;D</v>
          </cell>
          <cell r="P136" t="str">
            <v>Q1 Passed</v>
          </cell>
          <cell r="Q136" t="str">
            <v>Q1 Passed</v>
          </cell>
          <cell r="R136" t="str">
            <v>Q1.5 Passed</v>
          </cell>
          <cell r="S136" t="str">
            <v>Q1.5 Passed</v>
          </cell>
          <cell r="V136" t="str">
            <v>Tumor content 65-80%, good amount of immune cells present</v>
          </cell>
          <cell r="W136" t="str">
            <v>Clinic'les</v>
          </cell>
          <cell r="X136" t="str">
            <v>Clinic'les- DBR &amp; SK Hospital, Tirupati</v>
          </cell>
          <cell r="Y136" t="str">
            <v>DBR &amp; SK Hospital, Tirupati</v>
          </cell>
          <cell r="Z136" t="str">
            <v>Dr C Jayaprakash, Tirupati</v>
          </cell>
          <cell r="AA136" t="str">
            <v>HNSCC</v>
          </cell>
          <cell r="AC136" t="str">
            <v>Buccal Mucosa</v>
          </cell>
          <cell r="AD136" t="str">
            <v>Buccal Mucosa</v>
          </cell>
          <cell r="AE136" t="str">
            <v>Female</v>
          </cell>
          <cell r="AF136">
            <v>65</v>
          </cell>
          <cell r="AG136" t="str">
            <v>N</v>
          </cell>
          <cell r="AH136">
            <v>5.5</v>
          </cell>
          <cell r="AI136" t="str">
            <v>Kalappa</v>
          </cell>
          <cell r="AJ136" t="str">
            <v>Surgery</v>
          </cell>
          <cell r="AK136" t="str">
            <v>Primary</v>
          </cell>
          <cell r="AN136" t="str">
            <v>III</v>
          </cell>
          <cell r="AP136" t="str">
            <v>T3N0MX</v>
          </cell>
          <cell r="AS136" t="str">
            <v>Squamous Cell Carcinoma</v>
          </cell>
          <cell r="AV136">
            <v>44683</v>
          </cell>
          <cell r="AW136">
            <v>0.91666666666666663</v>
          </cell>
          <cell r="AX136">
            <v>0.97916666666666663</v>
          </cell>
          <cell r="AY136">
            <v>6.25E-2</v>
          </cell>
          <cell r="AZ136">
            <v>0.11805555555555555</v>
          </cell>
          <cell r="BA136">
            <v>0.43194444444444446</v>
          </cell>
          <cell r="BB136" t="str">
            <v>1.0*1.4*2.4</v>
          </cell>
          <cell r="BC136" t="str">
            <v>1.0*1.4*2.4</v>
          </cell>
          <cell r="BD136" t="str">
            <v>Vibratome</v>
          </cell>
          <cell r="BE136">
            <v>15</v>
          </cell>
          <cell r="BF136" t="str">
            <v>Vasanth</v>
          </cell>
          <cell r="BG136" t="str">
            <v>Y</v>
          </cell>
        </row>
        <row r="137">
          <cell r="A137" t="str">
            <v>FBR1K220103</v>
          </cell>
          <cell r="B137">
            <v>220103</v>
          </cell>
          <cell r="C137" t="str">
            <v>R&amp;D</v>
          </cell>
          <cell r="D137">
            <v>44685</v>
          </cell>
          <cell r="E137">
            <v>0.54722222222222228</v>
          </cell>
          <cell r="F137">
            <v>44682</v>
          </cell>
          <cell r="G137">
            <v>44685</v>
          </cell>
          <cell r="H137">
            <v>0.88749999999999996</v>
          </cell>
          <cell r="I137">
            <v>0.34027777777777779</v>
          </cell>
          <cell r="J137">
            <v>2</v>
          </cell>
          <cell r="K137" t="str">
            <v>FCB-PROTOCOL-01</v>
          </cell>
          <cell r="L137" t="str">
            <v>CLN/DBR/074</v>
          </cell>
          <cell r="M137" t="str">
            <v>Y</v>
          </cell>
          <cell r="N137" t="str">
            <v>DMS_v4(1K)</v>
          </cell>
          <cell r="O137" t="str">
            <v>Internal R&amp;D</v>
          </cell>
          <cell r="P137" t="str">
            <v>Q1 Passed</v>
          </cell>
          <cell r="Q137" t="str">
            <v>Q1 Passed</v>
          </cell>
          <cell r="R137" t="str">
            <v>Q1.5 Passed</v>
          </cell>
          <cell r="S137" t="str">
            <v>Q1.5 Passed</v>
          </cell>
          <cell r="V137" t="str">
            <v>Tumor content 45-90%</v>
          </cell>
          <cell r="W137" t="str">
            <v>Clinic'les</v>
          </cell>
          <cell r="X137" t="str">
            <v>Clinic'les- DBR &amp; SK Hospital, Tirupati</v>
          </cell>
          <cell r="Y137" t="str">
            <v>DBR &amp; SK Hospital, Tirupati</v>
          </cell>
          <cell r="Z137" t="str">
            <v>Dr C Jayaprakash, Tirupati</v>
          </cell>
          <cell r="AA137" t="str">
            <v>HNSCC</v>
          </cell>
          <cell r="AC137" t="str">
            <v>Buccal Mucosa</v>
          </cell>
          <cell r="AD137" t="str">
            <v>Buccal Mucosa</v>
          </cell>
          <cell r="AE137" t="str">
            <v>Female</v>
          </cell>
          <cell r="AF137">
            <v>77</v>
          </cell>
          <cell r="AG137" t="str">
            <v>N</v>
          </cell>
          <cell r="AH137">
            <v>6.8</v>
          </cell>
          <cell r="AI137" t="str">
            <v>Partha</v>
          </cell>
          <cell r="AJ137" t="str">
            <v>Surgery</v>
          </cell>
          <cell r="AK137" t="str">
            <v>Primary</v>
          </cell>
          <cell r="AN137" t="str">
            <v>III</v>
          </cell>
          <cell r="AP137" t="str">
            <v>T2N0MX</v>
          </cell>
          <cell r="AS137" t="str">
            <v>Squamous Cell Carcinoma</v>
          </cell>
          <cell r="AV137">
            <v>44685</v>
          </cell>
          <cell r="AW137">
            <v>0.90208333333333335</v>
          </cell>
          <cell r="AX137">
            <v>0.97152777777777777</v>
          </cell>
          <cell r="AY137">
            <v>6.9444444444444448E-2</v>
          </cell>
          <cell r="AZ137">
            <v>8.4027777777777785E-2</v>
          </cell>
          <cell r="BA137">
            <v>0.42430555555555555</v>
          </cell>
          <cell r="BB137" t="str">
            <v>1.2*1.6*2.2</v>
          </cell>
          <cell r="BC137" t="str">
            <v>1.2*1.6*2.2</v>
          </cell>
          <cell r="BD137" t="str">
            <v>Vibratome</v>
          </cell>
          <cell r="BE137">
            <v>15</v>
          </cell>
          <cell r="BF137" t="str">
            <v>Gowri</v>
          </cell>
          <cell r="BG137" t="str">
            <v>Y</v>
          </cell>
        </row>
        <row r="138">
          <cell r="A138" t="str">
            <v>FBR1K220104</v>
          </cell>
          <cell r="B138">
            <v>220104</v>
          </cell>
          <cell r="C138" t="str">
            <v>R&amp;D</v>
          </cell>
          <cell r="D138">
            <v>44688</v>
          </cell>
          <cell r="E138">
            <v>0.48680555555555555</v>
          </cell>
          <cell r="F138">
            <v>44682</v>
          </cell>
          <cell r="G138">
            <v>44688</v>
          </cell>
          <cell r="H138">
            <v>0.54513888888888884</v>
          </cell>
          <cell r="I138">
            <v>5.8333333333333334E-2</v>
          </cell>
          <cell r="J138">
            <v>2</v>
          </cell>
          <cell r="K138" t="str">
            <v>FCB-PROTOCOL-01</v>
          </cell>
          <cell r="L138" t="str">
            <v>VYD/099</v>
          </cell>
          <cell r="M138" t="str">
            <v>Y</v>
          </cell>
          <cell r="N138" t="str">
            <v>DMS_v4(1K)</v>
          </cell>
          <cell r="O138" t="str">
            <v>Internal R&amp;D</v>
          </cell>
          <cell r="P138" t="str">
            <v>Q1 Passed</v>
          </cell>
          <cell r="Q138" t="str">
            <v>Q1 Passed</v>
          </cell>
          <cell r="R138" t="str">
            <v>Q1.5 Passed</v>
          </cell>
          <cell r="S138" t="str">
            <v>Q1.5 Passed</v>
          </cell>
          <cell r="V138" t="str">
            <v>Tumor content 8-65% with good immune content</v>
          </cell>
          <cell r="W138" t="str">
            <v>Private Hospital</v>
          </cell>
          <cell r="X138" t="str">
            <v>Vydehi Hospital, Bangalore</v>
          </cell>
          <cell r="Y138" t="str">
            <v>Vydehi Hospital, Bangalore</v>
          </cell>
          <cell r="Z138" t="str">
            <v>Dr Amritha Prabha, Bangalore</v>
          </cell>
          <cell r="AA138" t="str">
            <v>HNSCC</v>
          </cell>
          <cell r="AC138" t="str">
            <v>Buccal Mucosa</v>
          </cell>
          <cell r="AD138" t="str">
            <v>Left Lateral Border of Tongue</v>
          </cell>
          <cell r="AE138" t="str">
            <v>Female</v>
          </cell>
          <cell r="AF138">
            <v>65</v>
          </cell>
          <cell r="AG138" t="str">
            <v>N</v>
          </cell>
          <cell r="AH138">
            <v>7.7</v>
          </cell>
          <cell r="AI138" t="str">
            <v>Partha</v>
          </cell>
          <cell r="AJ138" t="str">
            <v>Surgery</v>
          </cell>
          <cell r="AK138" t="str">
            <v>Primary</v>
          </cell>
          <cell r="AN138" t="str">
            <v>III</v>
          </cell>
          <cell r="AO138">
            <v>2</v>
          </cell>
          <cell r="AP138" t="str">
            <v>pT3N0</v>
          </cell>
          <cell r="AS138" t="str">
            <v>Squamous Cell Carcinoma</v>
          </cell>
          <cell r="AV138">
            <v>44688</v>
          </cell>
          <cell r="AW138">
            <v>0.58333333333333337</v>
          </cell>
          <cell r="AX138">
            <v>0.72222222222222221</v>
          </cell>
          <cell r="AY138">
            <v>0.1388888888888889</v>
          </cell>
          <cell r="AZ138">
            <v>0.17708333333333334</v>
          </cell>
          <cell r="BA138">
            <v>0.23541666666666666</v>
          </cell>
          <cell r="BB138" t="str">
            <v>0.8*1.4*1.6</v>
          </cell>
          <cell r="BC138" t="str">
            <v>0.8*1.4*1.6</v>
          </cell>
          <cell r="BD138" t="str">
            <v>Vibratome</v>
          </cell>
          <cell r="BE138">
            <v>15</v>
          </cell>
          <cell r="BF138" t="str">
            <v>Kowshik</v>
          </cell>
          <cell r="BG138" t="str">
            <v>Y</v>
          </cell>
        </row>
        <row r="139">
          <cell r="A139" t="str">
            <v>FBR1A220105</v>
          </cell>
          <cell r="B139">
            <v>220105</v>
          </cell>
          <cell r="C139" t="str">
            <v>R&amp;D</v>
          </cell>
          <cell r="D139">
            <v>44690</v>
          </cell>
          <cell r="E139">
            <v>0.56319444444444444</v>
          </cell>
          <cell r="F139">
            <v>44682</v>
          </cell>
          <cell r="G139">
            <v>44690</v>
          </cell>
          <cell r="H139">
            <v>0.96527777777777779</v>
          </cell>
          <cell r="I139">
            <v>0.40208333333333335</v>
          </cell>
          <cell r="J139">
            <v>2</v>
          </cell>
          <cell r="K139" t="str">
            <v>FCB-PROTOCOL-01</v>
          </cell>
          <cell r="L139" t="str">
            <v>CLN/DBR/075</v>
          </cell>
          <cell r="M139" t="str">
            <v>Y</v>
          </cell>
          <cell r="N139" t="str">
            <v>Other Indication</v>
          </cell>
          <cell r="O139" t="str">
            <v>Internal R&amp;D</v>
          </cell>
          <cell r="P139" t="str">
            <v>Q1 Passed</v>
          </cell>
          <cell r="Q139" t="str">
            <v>Q1 Passed</v>
          </cell>
          <cell r="R139" t="str">
            <v>Q1.5 Passed</v>
          </cell>
          <cell r="S139" t="str">
            <v>Q1.5 Passed</v>
          </cell>
          <cell r="V139" t="str">
            <v>Tumor cells 0-4%</v>
          </cell>
          <cell r="W139" t="str">
            <v>Clinic'les</v>
          </cell>
          <cell r="X139" t="str">
            <v>Clinic'les- DBR &amp; SK Hospital, Tirupati</v>
          </cell>
          <cell r="Y139" t="str">
            <v>DBR &amp; SK Hospital, Tirupati</v>
          </cell>
          <cell r="Z139" t="str">
            <v>Dr C Jayaprakash, Tirupati</v>
          </cell>
          <cell r="AA139" t="str">
            <v>Ca Ovary</v>
          </cell>
          <cell r="AC139" t="str">
            <v>Ovary</v>
          </cell>
          <cell r="AE139" t="str">
            <v>Female</v>
          </cell>
          <cell r="AF139">
            <v>60</v>
          </cell>
          <cell r="AG139" t="str">
            <v>N</v>
          </cell>
          <cell r="AH139">
            <v>5.5</v>
          </cell>
          <cell r="AI139" t="str">
            <v>Sashi</v>
          </cell>
          <cell r="AJ139" t="str">
            <v>Surgery</v>
          </cell>
          <cell r="AK139" t="str">
            <v>Primary</v>
          </cell>
          <cell r="AL139" t="str">
            <v>Chemotherapy</v>
          </cell>
          <cell r="AQ139">
            <v>6</v>
          </cell>
          <cell r="AR139" t="str">
            <v>Paclitaxel, Carboplatin</v>
          </cell>
          <cell r="AS139" t="str">
            <v>Adenocarcinoma</v>
          </cell>
          <cell r="AV139">
            <v>44690</v>
          </cell>
          <cell r="AW139">
            <v>0.97569444444444442</v>
          </cell>
          <cell r="AX139">
            <v>1.0208333333333333</v>
          </cell>
          <cell r="AY139">
            <v>4.5138888888888888E-2</v>
          </cell>
          <cell r="AZ139">
            <v>5.5555555555555552E-2</v>
          </cell>
          <cell r="BA139">
            <v>0.45763888888888887</v>
          </cell>
          <cell r="BB139" t="str">
            <v>0.8*2.4*2.6</v>
          </cell>
          <cell r="BC139" t="str">
            <v>0.8*2.4*2.6</v>
          </cell>
          <cell r="BD139" t="str">
            <v>Manual</v>
          </cell>
          <cell r="BE139">
            <v>5</v>
          </cell>
          <cell r="BG139" t="str">
            <v>Y</v>
          </cell>
        </row>
        <row r="140">
          <cell r="A140" t="str">
            <v>FBR1K220106</v>
          </cell>
          <cell r="B140">
            <v>220106</v>
          </cell>
          <cell r="C140" t="str">
            <v>R&amp;D</v>
          </cell>
          <cell r="D140">
            <v>44691</v>
          </cell>
          <cell r="E140">
            <v>0.54861111111111116</v>
          </cell>
          <cell r="F140">
            <v>44682</v>
          </cell>
          <cell r="G140">
            <v>44691</v>
          </cell>
          <cell r="H140">
            <v>0.57222222222222219</v>
          </cell>
          <cell r="I140">
            <v>2.361111111111111E-2</v>
          </cell>
          <cell r="J140">
            <v>21</v>
          </cell>
          <cell r="K140" t="str">
            <v>FCB-PROTOCOL-02</v>
          </cell>
          <cell r="L140" t="str">
            <v>HN005</v>
          </cell>
          <cell r="M140" t="str">
            <v>Y</v>
          </cell>
          <cell r="N140" t="str">
            <v>DMS_v4(1K)</v>
          </cell>
          <cell r="O140" t="str">
            <v>Internal R&amp;D</v>
          </cell>
          <cell r="P140" t="str">
            <v>Q1 Passed</v>
          </cell>
          <cell r="Q140" t="str">
            <v>Q1 Passed</v>
          </cell>
          <cell r="R140" t="str">
            <v>Q1.5 Passed</v>
          </cell>
          <cell r="S140" t="str">
            <v>Q1.5 Rejected</v>
          </cell>
          <cell r="V140" t="str">
            <v>No tumor</v>
          </cell>
          <cell r="W140" t="str">
            <v>Government Hospital</v>
          </cell>
          <cell r="X140" t="str">
            <v>Mazumdar Shaw Medical Centre, Bangalore</v>
          </cell>
          <cell r="Y140" t="str">
            <v>Mazumdar Shaw Medical Centre, Bangalore</v>
          </cell>
          <cell r="Z140" t="str">
            <v>Dr Vijay Pillai, Bangalore</v>
          </cell>
          <cell r="AA140" t="str">
            <v>HNSCC</v>
          </cell>
          <cell r="AC140" t="str">
            <v>Buccal Mucosa</v>
          </cell>
          <cell r="AD140" t="str">
            <v>Buccal Mucosa</v>
          </cell>
          <cell r="AE140" t="str">
            <v>Male</v>
          </cell>
          <cell r="AF140">
            <v>39</v>
          </cell>
          <cell r="AG140" t="str">
            <v>N</v>
          </cell>
          <cell r="AH140">
            <v>3.1</v>
          </cell>
          <cell r="AI140" t="str">
            <v>Partha</v>
          </cell>
          <cell r="AJ140" t="str">
            <v>Surgery</v>
          </cell>
          <cell r="AK140" t="str">
            <v>Primary</v>
          </cell>
          <cell r="AN140" t="str">
            <v>NA</v>
          </cell>
          <cell r="AO140" t="str">
            <v>NA</v>
          </cell>
          <cell r="AP140" t="str">
            <v>pTx N0.</v>
          </cell>
          <cell r="AS140" t="str">
            <v>NO INVASIVE MALIGNANCY PRESENT IN THE SPECIMEN NOTE:Previous biopsy from right buccal mucosa lesion (Ref H
2969/2022) reviewed shows well differentiated squamous cell carcinoma.
SUBMITTED.</v>
          </cell>
          <cell r="AV140">
            <v>44691</v>
          </cell>
          <cell r="AX140">
            <v>0.71597222222222223</v>
          </cell>
          <cell r="AY140">
            <v>0.71597222222222223</v>
          </cell>
          <cell r="AZ140">
            <v>0.14374999999999999</v>
          </cell>
          <cell r="BA140">
            <v>0.1673611111111111</v>
          </cell>
          <cell r="BB140" t="str">
            <v>1.0/0.4*2.0*1.8</v>
          </cell>
          <cell r="BC140" t="str">
            <v>1.0/0.4*2.0*1.8</v>
          </cell>
          <cell r="BD140" t="str">
            <v>Manual</v>
          </cell>
          <cell r="BF140" t="str">
            <v>Gowri</v>
          </cell>
          <cell r="BG140" t="str">
            <v>Y</v>
          </cell>
        </row>
        <row r="141">
          <cell r="A141">
            <v>220107</v>
          </cell>
          <cell r="B141">
            <v>220107</v>
          </cell>
          <cell r="C141" t="str">
            <v>R&amp;D</v>
          </cell>
          <cell r="D141">
            <v>44691</v>
          </cell>
          <cell r="E141">
            <v>0.57638888888888884</v>
          </cell>
          <cell r="F141">
            <v>44682</v>
          </cell>
          <cell r="G141">
            <v>44691</v>
          </cell>
          <cell r="H141">
            <v>0.65486111111111112</v>
          </cell>
          <cell r="I141">
            <v>7.8472222222222221E-2</v>
          </cell>
          <cell r="J141">
            <v>0</v>
          </cell>
          <cell r="K141" t="str">
            <v>FCB-PROTOCOL-01</v>
          </cell>
          <cell r="L141" t="str">
            <v>CLN/PRA/175</v>
          </cell>
          <cell r="M141" t="str">
            <v>Y</v>
          </cell>
          <cell r="N141" t="str">
            <v>No Study</v>
          </cell>
          <cell r="O141" t="str">
            <v>1st level attrition</v>
          </cell>
          <cell r="P141" t="str">
            <v>Q1 Rejected</v>
          </cell>
          <cell r="Q141" t="str">
            <v>Q1 Passed</v>
          </cell>
          <cell r="R141" t="str">
            <v>Q1.5 Rejected</v>
          </cell>
          <cell r="S141" t="str">
            <v>Q1.5 Rejected</v>
          </cell>
          <cell r="T141" t="str">
            <v>No tumor</v>
          </cell>
          <cell r="V141" t="str">
            <v>No tumor cells seen, mostly inflammation</v>
          </cell>
          <cell r="W141" t="str">
            <v>Consultant</v>
          </cell>
          <cell r="X141" t="str">
            <v>Dr Prakash BV, Bangalore</v>
          </cell>
          <cell r="Y141" t="str">
            <v>Sri Lakshmi Hospital, Bangalore</v>
          </cell>
          <cell r="Z141" t="str">
            <v>Dr Prakash BV, Bangalore</v>
          </cell>
          <cell r="AA141" t="str">
            <v>RCC</v>
          </cell>
          <cell r="AC141" t="str">
            <v>Left Kidney</v>
          </cell>
          <cell r="AD141" t="str">
            <v>Left Kidney</v>
          </cell>
          <cell r="AE141" t="str">
            <v>Female</v>
          </cell>
          <cell r="AF141">
            <v>59</v>
          </cell>
          <cell r="AG141" t="str">
            <v>N</v>
          </cell>
          <cell r="AH141">
            <v>5.0999999999999996</v>
          </cell>
          <cell r="AI141" t="str">
            <v>Sashi</v>
          </cell>
          <cell r="AJ141" t="str">
            <v>Surgery</v>
          </cell>
          <cell r="AK141" t="str">
            <v>Primary</v>
          </cell>
          <cell r="AN141" t="str">
            <v>II</v>
          </cell>
          <cell r="AS141" t="str">
            <v>Renal Cell Carcinoma</v>
          </cell>
          <cell r="AV141">
            <v>44691</v>
          </cell>
          <cell r="AW141">
            <v>0.66666666666666663</v>
          </cell>
          <cell r="AX141">
            <v>0.76736111111111116</v>
          </cell>
          <cell r="AY141">
            <v>0.10069444444444445</v>
          </cell>
          <cell r="AZ141">
            <v>0.1125</v>
          </cell>
          <cell r="BA141">
            <v>0.19097222222222221</v>
          </cell>
          <cell r="BB141" t="str">
            <v>0.8*1.4*1.8
4/5*0.6*1.6</v>
          </cell>
          <cell r="BC141" t="str">
            <v>0.8*1.4*1.8
4/5*0.6*1.6</v>
          </cell>
          <cell r="BE141">
            <v>15</v>
          </cell>
          <cell r="BF141" t="str">
            <v>Kowshik</v>
          </cell>
          <cell r="BG141" t="str">
            <v>Y</v>
          </cell>
        </row>
        <row r="142">
          <cell r="A142">
            <v>220108</v>
          </cell>
          <cell r="B142">
            <v>220108</v>
          </cell>
          <cell r="C142" t="str">
            <v>R&amp;D</v>
          </cell>
          <cell r="D142">
            <v>44692</v>
          </cell>
          <cell r="E142">
            <v>0.62361111111111112</v>
          </cell>
          <cell r="F142">
            <v>44682</v>
          </cell>
          <cell r="G142">
            <v>44692</v>
          </cell>
          <cell r="H142">
            <v>0.66527777777777775</v>
          </cell>
          <cell r="I142">
            <v>4.1666666666666664E-2</v>
          </cell>
          <cell r="J142">
            <v>3</v>
          </cell>
          <cell r="K142" t="str">
            <v>FCB-PROTOCOL-01</v>
          </cell>
          <cell r="L142" t="str">
            <v>CLN/PRA/176</v>
          </cell>
          <cell r="M142" t="str">
            <v>Y</v>
          </cell>
          <cell r="N142" t="str">
            <v>No Study</v>
          </cell>
          <cell r="O142" t="str">
            <v>1st level attrition</v>
          </cell>
          <cell r="P142" t="str">
            <v>Q1 Rejected</v>
          </cell>
          <cell r="Q142" t="str">
            <v>Q1 Passed</v>
          </cell>
          <cell r="R142" t="str">
            <v>Q1.5 Rejected</v>
          </cell>
          <cell r="S142" t="str">
            <v>Q1.5 Rejected</v>
          </cell>
          <cell r="T142" t="str">
            <v>Sample was hard and PB value is 13000(size-10x24x2/4mm)</v>
          </cell>
          <cell r="W142" t="str">
            <v>Consultant</v>
          </cell>
          <cell r="X142" t="str">
            <v>Dr Prakash BV, Bangalore</v>
          </cell>
          <cell r="Y142" t="str">
            <v>Sri Lakshmi Hospital, Bangalore</v>
          </cell>
          <cell r="Z142" t="str">
            <v>Dr Prakash BV, Bangalore</v>
          </cell>
          <cell r="AA142" t="str">
            <v>HNSCC</v>
          </cell>
          <cell r="AC142" t="str">
            <v>Lower Lip</v>
          </cell>
          <cell r="AD142" t="str">
            <v>Lower Lip</v>
          </cell>
          <cell r="AE142" t="str">
            <v>Female</v>
          </cell>
          <cell r="AF142">
            <v>52</v>
          </cell>
          <cell r="AG142" t="str">
            <v>N</v>
          </cell>
          <cell r="AH142">
            <v>4.8</v>
          </cell>
          <cell r="AI142" t="str">
            <v>Partha</v>
          </cell>
          <cell r="AJ142" t="str">
            <v>Surgery</v>
          </cell>
          <cell r="AK142" t="str">
            <v>Primary</v>
          </cell>
          <cell r="AN142" t="str">
            <v>II</v>
          </cell>
          <cell r="AP142" t="str">
            <v>T2N0M0</v>
          </cell>
          <cell r="AS142" t="str">
            <v>Squamous Cell Carcinoma</v>
          </cell>
          <cell r="AV142">
            <v>44692</v>
          </cell>
          <cell r="AW142">
            <v>0.70833333333333337</v>
          </cell>
          <cell r="BB142" t="str">
            <v>0.2/0.4*1.0*2.4</v>
          </cell>
          <cell r="BC142" t="str">
            <v>0.2/0.4*1.0*2.4</v>
          </cell>
          <cell r="BE142">
            <v>15</v>
          </cell>
          <cell r="BF142" t="str">
            <v>Kowshik</v>
          </cell>
          <cell r="BG142" t="str">
            <v>N</v>
          </cell>
        </row>
        <row r="143">
          <cell r="A143" t="str">
            <v>FBR1A220109</v>
          </cell>
          <cell r="B143">
            <v>220109</v>
          </cell>
          <cell r="C143" t="str">
            <v>R&amp;D</v>
          </cell>
          <cell r="D143">
            <v>44692</v>
          </cell>
          <cell r="E143">
            <v>0.41111111111111109</v>
          </cell>
          <cell r="F143">
            <v>44682</v>
          </cell>
          <cell r="G143">
            <v>44692</v>
          </cell>
          <cell r="H143">
            <v>0.8305555555555556</v>
          </cell>
          <cell r="I143">
            <v>0.41944444444444445</v>
          </cell>
          <cell r="J143">
            <v>5</v>
          </cell>
          <cell r="K143" t="str">
            <v>FCB-PROTOCOL-01</v>
          </cell>
          <cell r="L143" t="str">
            <v>CLN/JSS/006</v>
          </cell>
          <cell r="M143" t="str">
            <v>Y</v>
          </cell>
          <cell r="N143" t="str">
            <v>Other Indication</v>
          </cell>
          <cell r="O143" t="str">
            <v>Internal R&amp;D</v>
          </cell>
          <cell r="P143" t="str">
            <v>Q1 Passed</v>
          </cell>
          <cell r="Q143" t="str">
            <v>Q1 Passed</v>
          </cell>
          <cell r="R143" t="str">
            <v>Q1.5 Passed</v>
          </cell>
          <cell r="S143" t="str">
            <v>Q1.5 Passed</v>
          </cell>
          <cell r="V143" t="str">
            <v xml:space="preserve">A: Tumor cells seen in 4/14 explants; Content 2-45%   </v>
          </cell>
          <cell r="W143" t="str">
            <v>Clinic'les</v>
          </cell>
          <cell r="X143" t="str">
            <v>Clinic'les- Dr Ravi Krishnappa, Mysore</v>
          </cell>
          <cell r="Y143" t="str">
            <v>JSS Hospital, Mysore</v>
          </cell>
          <cell r="Z143" t="str">
            <v>Dr Ravi Krishnappa, Mysore</v>
          </cell>
          <cell r="AA143" t="str">
            <v>Ca Ovary</v>
          </cell>
          <cell r="AC143" t="str">
            <v>Carcinoma B/L overy</v>
          </cell>
          <cell r="AE143" t="str">
            <v>Female</v>
          </cell>
          <cell r="AF143">
            <v>48</v>
          </cell>
          <cell r="AG143" t="str">
            <v>N</v>
          </cell>
          <cell r="AH143">
            <v>5.0999999999999996</v>
          </cell>
          <cell r="AI143" t="str">
            <v>Sashi</v>
          </cell>
          <cell r="AJ143" t="str">
            <v>Surgery</v>
          </cell>
          <cell r="AK143" t="str">
            <v>Primary</v>
          </cell>
          <cell r="AL143" t="str">
            <v>Chemotherapy</v>
          </cell>
          <cell r="AQ143">
            <v>6</v>
          </cell>
          <cell r="AR143" t="str">
            <v>Paclitaxel, Carboplatin</v>
          </cell>
          <cell r="AV143">
            <v>44692</v>
          </cell>
          <cell r="AW143">
            <v>0.85</v>
          </cell>
          <cell r="AX143">
            <v>0.89583333333333337</v>
          </cell>
          <cell r="AY143">
            <v>4.583333333333333E-2</v>
          </cell>
          <cell r="AZ143">
            <v>6.5277777777777782E-2</v>
          </cell>
          <cell r="BA143">
            <v>0.48472222222222222</v>
          </cell>
          <cell r="BB143" t="str">
            <v>2.2*2.0*1.6</v>
          </cell>
          <cell r="BC143" t="str">
            <v>2.2*2.0*1.6</v>
          </cell>
          <cell r="BD143" t="str">
            <v>Manual</v>
          </cell>
          <cell r="BE143">
            <v>15</v>
          </cell>
          <cell r="BF143" t="str">
            <v>Gowri</v>
          </cell>
          <cell r="BG143" t="str">
            <v>Y</v>
          </cell>
        </row>
        <row r="144">
          <cell r="A144" t="str">
            <v>FBR1Q220110</v>
          </cell>
          <cell r="B144">
            <v>220110</v>
          </cell>
          <cell r="C144" t="str">
            <v>R&amp;D</v>
          </cell>
          <cell r="D144">
            <v>44692</v>
          </cell>
          <cell r="E144">
            <v>0.61527777777777781</v>
          </cell>
          <cell r="F144">
            <v>44682</v>
          </cell>
          <cell r="G144">
            <v>44692</v>
          </cell>
          <cell r="H144">
            <v>0.8305555555555556</v>
          </cell>
          <cell r="I144">
            <v>0.21527777777777779</v>
          </cell>
          <cell r="J144">
            <v>1</v>
          </cell>
          <cell r="K144" t="str">
            <v>FCB-PROTOCOL-01</v>
          </cell>
          <cell r="L144" t="str">
            <v>CLN/JSS/005</v>
          </cell>
          <cell r="M144" t="str">
            <v>Y</v>
          </cell>
          <cell r="N144" t="str">
            <v>COSv4.1_CaBR</v>
          </cell>
          <cell r="O144" t="str">
            <v>Internal R&amp;D</v>
          </cell>
          <cell r="P144" t="str">
            <v>Q1 Passed</v>
          </cell>
          <cell r="Q144" t="str">
            <v>Q1 Passed</v>
          </cell>
          <cell r="R144" t="str">
            <v>Q1.5 Passed</v>
          </cell>
          <cell r="S144" t="str">
            <v>Q1.5 Passed</v>
          </cell>
          <cell r="V144" t="str">
            <v xml:space="preserve">A: Tumor present in most fragments upto 75%  </v>
          </cell>
          <cell r="W144" t="str">
            <v>Clinic'les</v>
          </cell>
          <cell r="X144" t="str">
            <v>Clinic'les- Dr Ravi Krishnappa, Mysore</v>
          </cell>
          <cell r="Y144" t="str">
            <v>JSS Hospital, Mysore</v>
          </cell>
          <cell r="Z144" t="str">
            <v>Dr Ravi Krishnappa, Mysore</v>
          </cell>
          <cell r="AA144" t="str">
            <v>Ca Breast</v>
          </cell>
          <cell r="AC144" t="str">
            <v>Breast</v>
          </cell>
          <cell r="AD144" t="str">
            <v>Right Breast</v>
          </cell>
          <cell r="AE144" t="str">
            <v>Female</v>
          </cell>
          <cell r="AF144">
            <v>55</v>
          </cell>
          <cell r="AG144" t="str">
            <v>N</v>
          </cell>
          <cell r="AH144">
            <v>5.0999999999999996</v>
          </cell>
          <cell r="AI144" t="str">
            <v>Sashi</v>
          </cell>
          <cell r="AJ144" t="str">
            <v>Surgery</v>
          </cell>
          <cell r="AK144" t="str">
            <v>Primary</v>
          </cell>
          <cell r="AV144">
            <v>44692</v>
          </cell>
          <cell r="AW144">
            <v>0.85</v>
          </cell>
          <cell r="AX144">
            <v>0.90277777777777779</v>
          </cell>
          <cell r="AY144">
            <v>5.2777777777777778E-2</v>
          </cell>
          <cell r="AZ144">
            <v>7.2222222222222215E-2</v>
          </cell>
          <cell r="BA144">
            <v>0.28749999999999998</v>
          </cell>
          <cell r="BB144" t="str">
            <v>1.0/1.1*2.2*2.0
0.4*1.6*1.6
0.4*1.0*1.0</v>
          </cell>
          <cell r="BC144" t="str">
            <v>1.0*1.8*1.0
0.4*1.4*0.8</v>
          </cell>
          <cell r="BD144" t="str">
            <v>Manual</v>
          </cell>
          <cell r="BE144">
            <v>15</v>
          </cell>
          <cell r="BF144" t="str">
            <v>Vasanth</v>
          </cell>
          <cell r="BG144" t="str">
            <v>Y</v>
          </cell>
        </row>
        <row r="145">
          <cell r="A145" t="str">
            <v>FBR1Q220111</v>
          </cell>
          <cell r="B145">
            <v>220111</v>
          </cell>
          <cell r="C145" t="str">
            <v>R&amp;D</v>
          </cell>
          <cell r="D145">
            <v>44693</v>
          </cell>
          <cell r="E145">
            <v>0.46597222222222223</v>
          </cell>
          <cell r="F145">
            <v>44682</v>
          </cell>
          <cell r="G145">
            <v>44693</v>
          </cell>
          <cell r="H145">
            <v>0.55000000000000004</v>
          </cell>
          <cell r="I145">
            <v>8.4027777777777785E-2</v>
          </cell>
          <cell r="J145">
            <v>5</v>
          </cell>
          <cell r="K145" t="str">
            <v>FCB-PROTOCOL-01</v>
          </cell>
          <cell r="L145" t="str">
            <v>VYD/100</v>
          </cell>
          <cell r="M145" t="str">
            <v>Y</v>
          </cell>
          <cell r="N145" t="str">
            <v>COSv4.1_CaBR</v>
          </cell>
          <cell r="O145" t="str">
            <v>Internal R&amp;D</v>
          </cell>
          <cell r="P145" t="str">
            <v>Q1 Passed</v>
          </cell>
          <cell r="Q145" t="str">
            <v>Q1 Passed</v>
          </cell>
          <cell r="R145" t="str">
            <v>Q1.5 Passed</v>
          </cell>
          <cell r="S145" t="str">
            <v>Q1.5 Passed</v>
          </cell>
          <cell r="V145" t="str">
            <v>Tumor in 6/7 explants. Trace -10%</v>
          </cell>
          <cell r="W145" t="str">
            <v>Private Hospital</v>
          </cell>
          <cell r="X145" t="str">
            <v>Vydehi Hospital, Bangalore</v>
          </cell>
          <cell r="Y145" t="str">
            <v>Vydehi Hospital, Bangalore</v>
          </cell>
          <cell r="Z145" t="str">
            <v>Dr Amritha Prabha, Bangalore</v>
          </cell>
          <cell r="AA145" t="str">
            <v>Ca Breast</v>
          </cell>
          <cell r="AC145" t="str">
            <v>Breast</v>
          </cell>
          <cell r="AD145" t="str">
            <v>Right Breast</v>
          </cell>
          <cell r="AE145" t="str">
            <v>Female</v>
          </cell>
          <cell r="AF145">
            <v>68</v>
          </cell>
          <cell r="AG145" t="str">
            <v>N</v>
          </cell>
          <cell r="AH145">
            <v>5.3</v>
          </cell>
          <cell r="AI145" t="str">
            <v>Maruthi</v>
          </cell>
          <cell r="AJ145" t="str">
            <v>Surgery</v>
          </cell>
          <cell r="AK145" t="str">
            <v>Primary</v>
          </cell>
          <cell r="AL145" t="str">
            <v>Chemotherapy</v>
          </cell>
          <cell r="AN145" t="str">
            <v>IIB</v>
          </cell>
          <cell r="AO145">
            <v>1</v>
          </cell>
          <cell r="AP145" t="str">
            <v>ypT3N0</v>
          </cell>
          <cell r="AQ145">
            <v>8</v>
          </cell>
          <cell r="AR145" t="str">
            <v>Adriamycin, Cyclophosphamide,Paclitaxel(4xAC+4Pacli)</v>
          </cell>
          <cell r="AS145" t="str">
            <v>Integrated ductal cancer</v>
          </cell>
          <cell r="AV145">
            <v>44693</v>
          </cell>
          <cell r="AW145">
            <v>0.5625</v>
          </cell>
          <cell r="AX145">
            <v>0.61111111111111116</v>
          </cell>
          <cell r="AY145">
            <v>4.8611111111111112E-2</v>
          </cell>
          <cell r="AZ145">
            <v>6.1111111111111109E-2</v>
          </cell>
          <cell r="BA145">
            <v>0.1451388888888889</v>
          </cell>
          <cell r="BB145" t="str">
            <v>0.4*1.6*1.2</v>
          </cell>
          <cell r="BC145" t="str">
            <v>0.4*1.6*1.2</v>
          </cell>
          <cell r="BD145" t="str">
            <v>Manual</v>
          </cell>
          <cell r="BE145">
            <v>15</v>
          </cell>
          <cell r="BF145" t="str">
            <v>Kowshik</v>
          </cell>
          <cell r="BG145" t="str">
            <v>Y</v>
          </cell>
        </row>
        <row r="146">
          <cell r="A146" t="str">
            <v>FBR1N220112-TAT24</v>
          </cell>
          <cell r="B146">
            <v>220112</v>
          </cell>
          <cell r="C146" t="str">
            <v>R&amp;D</v>
          </cell>
          <cell r="D146">
            <v>44693</v>
          </cell>
          <cell r="E146">
            <v>0.76111111111111107</v>
          </cell>
          <cell r="F146">
            <v>44682</v>
          </cell>
          <cell r="G146">
            <v>44693</v>
          </cell>
          <cell r="H146">
            <v>0.79861111111111116</v>
          </cell>
          <cell r="I146">
            <v>3.7499999999999999E-2</v>
          </cell>
          <cell r="J146">
            <v>4</v>
          </cell>
          <cell r="K146" t="str">
            <v>FCB-PROTOCOL-01</v>
          </cell>
          <cell r="L146" t="str">
            <v>CLN/PRA/177</v>
          </cell>
          <cell r="M146" t="str">
            <v>Y</v>
          </cell>
          <cell r="N146" t="str">
            <v>Extended TAT_Hemarina</v>
          </cell>
          <cell r="O146" t="str">
            <v>Internal R&amp;D</v>
          </cell>
          <cell r="P146" t="str">
            <v>Q1 Passed</v>
          </cell>
          <cell r="Q146" t="str">
            <v>Q1 Passed</v>
          </cell>
          <cell r="R146" t="str">
            <v>Q1.5 Passed</v>
          </cell>
          <cell r="S146" t="str">
            <v>Q1.5 Passed</v>
          </cell>
          <cell r="V146" t="str">
            <v>Tumor content 70-90%</v>
          </cell>
          <cell r="W146" t="str">
            <v>Consultant</v>
          </cell>
          <cell r="X146" t="str">
            <v>Dr Prakash BV, Bangalore</v>
          </cell>
          <cell r="Y146" t="str">
            <v>Sri Lakshmi Hospital, Bangalore</v>
          </cell>
          <cell r="Z146" t="str">
            <v>Dr Prakash BV, Bangalore</v>
          </cell>
          <cell r="AA146" t="str">
            <v>HNSCC</v>
          </cell>
          <cell r="AC146" t="str">
            <v>Buccal Mucosa</v>
          </cell>
          <cell r="AD146" t="str">
            <v>Left Buccal Mucosa</v>
          </cell>
          <cell r="AE146" t="str">
            <v>Male</v>
          </cell>
          <cell r="AF146">
            <v>50</v>
          </cell>
          <cell r="AG146" t="str">
            <v>N</v>
          </cell>
          <cell r="AH146">
            <v>5.0999999999999996</v>
          </cell>
          <cell r="AI146" t="str">
            <v>Sashi</v>
          </cell>
          <cell r="AJ146" t="str">
            <v>Surgery</v>
          </cell>
          <cell r="AK146" t="str">
            <v>Primary</v>
          </cell>
          <cell r="AN146" t="str">
            <v>III</v>
          </cell>
          <cell r="AP146" t="str">
            <v>T4aN2bM0</v>
          </cell>
          <cell r="AS146" t="str">
            <v>Squamous Cell Carcinoma</v>
          </cell>
          <cell r="AV146">
            <v>44693</v>
          </cell>
          <cell r="AW146">
            <v>0.70833333333333337</v>
          </cell>
          <cell r="AX146">
            <v>0.77083333333333337</v>
          </cell>
          <cell r="AY146">
            <v>6.25E-2</v>
          </cell>
          <cell r="AZ14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46">
            <v>9.7222222222222224E-3</v>
          </cell>
          <cell r="BB146" t="str">
            <v>0.8-1.0*1.2*3.0</v>
          </cell>
          <cell r="BC146" t="str">
            <v>1.0*1.0*1.4
1.0*1.2*1.0</v>
          </cell>
          <cell r="BD146" t="str">
            <v>Vibratome</v>
          </cell>
          <cell r="BE146">
            <v>15</v>
          </cell>
          <cell r="BF146" t="str">
            <v>Kowshik</v>
          </cell>
          <cell r="BG146" t="str">
            <v>Y</v>
          </cell>
        </row>
        <row r="147">
          <cell r="A147" t="str">
            <v>FBR1R220112</v>
          </cell>
          <cell r="B147">
            <v>220112</v>
          </cell>
          <cell r="C147" t="str">
            <v>R&amp;D</v>
          </cell>
          <cell r="D147">
            <v>44693</v>
          </cell>
          <cell r="E147">
            <v>0.76111111111111107</v>
          </cell>
          <cell r="F147">
            <v>44682</v>
          </cell>
          <cell r="G147">
            <v>44693</v>
          </cell>
          <cell r="H147">
            <v>0.79861111111111116</v>
          </cell>
          <cell r="I147">
            <v>3.7499999999999999E-2</v>
          </cell>
          <cell r="J147">
            <v>4</v>
          </cell>
          <cell r="K147" t="str">
            <v>FCB-PROTOCOL-01</v>
          </cell>
          <cell r="L147" t="str">
            <v>CLN/PRA/177</v>
          </cell>
          <cell r="M147" t="str">
            <v>Y</v>
          </cell>
          <cell r="N147" t="str">
            <v>BSS(1R)</v>
          </cell>
          <cell r="O147" t="str">
            <v>Internal R&amp;D</v>
          </cell>
          <cell r="P147" t="str">
            <v>Q1 Passed</v>
          </cell>
          <cell r="Q147" t="str">
            <v>Q1 Passed</v>
          </cell>
          <cell r="R147" t="str">
            <v>Q1.5 Passed</v>
          </cell>
          <cell r="S147" t="str">
            <v>Q1.5 Passed</v>
          </cell>
          <cell r="W147" t="str">
            <v>Consultant</v>
          </cell>
          <cell r="X147" t="str">
            <v>Dr Prakash BV, Bangalore</v>
          </cell>
          <cell r="Y147" t="str">
            <v>Sri Lakshmi Hospital, Bangalore</v>
          </cell>
          <cell r="Z147" t="str">
            <v>Dr Prakash BV, Bangalore</v>
          </cell>
          <cell r="AA147" t="str">
            <v>HNSCC</v>
          </cell>
          <cell r="AC147" t="str">
            <v>Buccal Mucosa</v>
          </cell>
          <cell r="AD147" t="str">
            <v>Left Buccal Mucosa</v>
          </cell>
          <cell r="AE147" t="str">
            <v>Male</v>
          </cell>
          <cell r="AF147">
            <v>50</v>
          </cell>
          <cell r="AG147" t="str">
            <v>N</v>
          </cell>
          <cell r="AH147">
            <v>5.0999999999999996</v>
          </cell>
          <cell r="AI147" t="str">
            <v>Sashi</v>
          </cell>
          <cell r="AJ147" t="str">
            <v>Surgery</v>
          </cell>
          <cell r="AK147" t="str">
            <v>Primary</v>
          </cell>
          <cell r="AN147" t="str">
            <v>III</v>
          </cell>
          <cell r="AP147" t="str">
            <v>T4aN2bM0</v>
          </cell>
          <cell r="AS147" t="str">
            <v>Squamous Cell Carcinoma</v>
          </cell>
          <cell r="AV147">
            <v>44693</v>
          </cell>
          <cell r="AW147">
            <v>0.70833333333333337</v>
          </cell>
          <cell r="AX147">
            <v>0.8125</v>
          </cell>
          <cell r="AY147">
            <v>0.10416666666666667</v>
          </cell>
          <cell r="AZ147">
            <v>1.3888888888888888E-2</v>
          </cell>
          <cell r="BA147">
            <v>5.1388888888888887E-2</v>
          </cell>
          <cell r="BB147" t="str">
            <v>0.8-1.0*1.2*3.0</v>
          </cell>
          <cell r="BC147" t="str">
            <v>0.8-1.0*1.2*3.0</v>
          </cell>
          <cell r="BD147" t="str">
            <v>Manual</v>
          </cell>
          <cell r="BE147">
            <v>15</v>
          </cell>
          <cell r="BF147" t="str">
            <v>Kowshik</v>
          </cell>
          <cell r="BG147" t="str">
            <v>Y</v>
          </cell>
        </row>
        <row r="148">
          <cell r="A148" t="str">
            <v>FBR1K220113</v>
          </cell>
          <cell r="B148">
            <v>220113</v>
          </cell>
          <cell r="C148" t="str">
            <v>R&amp;D</v>
          </cell>
          <cell r="D148">
            <v>44693</v>
          </cell>
          <cell r="E148">
            <v>0.56736111111111109</v>
          </cell>
          <cell r="F148">
            <v>44682</v>
          </cell>
          <cell r="G148">
            <v>44693</v>
          </cell>
          <cell r="H148">
            <v>0.93541666666666667</v>
          </cell>
          <cell r="I148">
            <v>0.36805555555555558</v>
          </cell>
          <cell r="J148">
            <v>2</v>
          </cell>
          <cell r="K148" t="str">
            <v>FCB-PROTOCOL-01</v>
          </cell>
          <cell r="L148" t="str">
            <v>CLN/DBR/076</v>
          </cell>
          <cell r="M148" t="str">
            <v>Y</v>
          </cell>
          <cell r="N148" t="str">
            <v>DMS_v4(1K)</v>
          </cell>
          <cell r="O148" t="str">
            <v>Internal R&amp;D</v>
          </cell>
          <cell r="P148" t="str">
            <v>Q1 Passed</v>
          </cell>
          <cell r="Q148" t="str">
            <v>Q1 Passed</v>
          </cell>
          <cell r="R148" t="str">
            <v>Q1.5 Passed</v>
          </cell>
          <cell r="S148" t="str">
            <v>Q1.5 Passed</v>
          </cell>
          <cell r="V148" t="str">
            <v>Tumor content  15-80% in 6/7 explants</v>
          </cell>
          <cell r="W148" t="str">
            <v>Clinic'les</v>
          </cell>
          <cell r="X148" t="str">
            <v>Clinic'les- DBR &amp; SK Hospital, Tirupati</v>
          </cell>
          <cell r="Y148" t="str">
            <v>DBR &amp; SK Hospital, Tirupati</v>
          </cell>
          <cell r="Z148" t="str">
            <v>Dr C Jayaprakash, Tirupati</v>
          </cell>
          <cell r="AA148" t="str">
            <v>HNSCC</v>
          </cell>
          <cell r="AC148" t="str">
            <v>Buccal Mucosa</v>
          </cell>
          <cell r="AD148" t="str">
            <v>Buccal Mucosa</v>
          </cell>
          <cell r="AE148" t="str">
            <v>Female</v>
          </cell>
          <cell r="AF148">
            <v>51</v>
          </cell>
          <cell r="AG148" t="str">
            <v>N</v>
          </cell>
          <cell r="AH148">
            <v>7.2</v>
          </cell>
          <cell r="AI148" t="str">
            <v>Partha</v>
          </cell>
          <cell r="AJ148" t="str">
            <v>Surgery</v>
          </cell>
          <cell r="AK148" t="str">
            <v>Primary</v>
          </cell>
          <cell r="AN148" t="str">
            <v>II</v>
          </cell>
          <cell r="AP148" t="str">
            <v>T2N0MX</v>
          </cell>
          <cell r="AS148" t="str">
            <v>Squamous Cell Carcinoma</v>
          </cell>
          <cell r="AV148">
            <v>44693</v>
          </cell>
          <cell r="AW148">
            <v>0.96180555555555558</v>
          </cell>
          <cell r="AX148">
            <v>0.99861111111111112</v>
          </cell>
          <cell r="AY148">
            <v>3.6805555555555557E-2</v>
          </cell>
          <cell r="AZ148">
            <v>6.3194444444444442E-2</v>
          </cell>
          <cell r="BA148">
            <v>0.43125000000000002</v>
          </cell>
          <cell r="BB148" t="str">
            <v>0.4/0.2*0.8*1.2</v>
          </cell>
          <cell r="BC148" t="str">
            <v>0.4/0.2*0.8*1.2</v>
          </cell>
          <cell r="BD148" t="str">
            <v>Manual</v>
          </cell>
          <cell r="BE148">
            <v>15</v>
          </cell>
          <cell r="BG148" t="str">
            <v>Y</v>
          </cell>
        </row>
        <row r="149">
          <cell r="A149" t="str">
            <v>FBR1K220114</v>
          </cell>
          <cell r="B149">
            <v>220114</v>
          </cell>
          <cell r="C149" t="str">
            <v>R&amp;D</v>
          </cell>
          <cell r="D149">
            <v>44694</v>
          </cell>
          <cell r="E149">
            <v>0.54861111111111116</v>
          </cell>
          <cell r="F149">
            <v>44682</v>
          </cell>
          <cell r="G149">
            <v>44694</v>
          </cell>
          <cell r="H149">
            <v>0.57638888888888884</v>
          </cell>
          <cell r="I149">
            <v>2.7777777777777776E-2</v>
          </cell>
          <cell r="J149">
            <v>40</v>
          </cell>
          <cell r="K149" t="str">
            <v>FCB-PROTOCOL-02</v>
          </cell>
          <cell r="L149" t="str">
            <v>HN006</v>
          </cell>
          <cell r="M149" t="str">
            <v>Y</v>
          </cell>
          <cell r="N149" t="str">
            <v>DMS_v4(1K)</v>
          </cell>
          <cell r="O149" t="str">
            <v>Internal R&amp;D</v>
          </cell>
          <cell r="P149" t="str">
            <v>Q1 Passed</v>
          </cell>
          <cell r="Q149" t="str">
            <v>Q1 Passed</v>
          </cell>
          <cell r="R149" t="str">
            <v>Q1.5 Passed</v>
          </cell>
          <cell r="S149" t="str">
            <v>Q1.5 Passed</v>
          </cell>
          <cell r="V149" t="str">
            <v>Tumor content 50-70%</v>
          </cell>
          <cell r="W149" t="str">
            <v>Government Hospital</v>
          </cell>
          <cell r="X149" t="str">
            <v>Mazumdar Shaw Medical Centre, Bangalore</v>
          </cell>
          <cell r="Y149" t="str">
            <v>Mazumdar Shaw Medical Centre, Bangalore</v>
          </cell>
          <cell r="Z149" t="str">
            <v>Dr Vijay Pillai, Bangalore</v>
          </cell>
          <cell r="AA149" t="str">
            <v>HNSCC</v>
          </cell>
          <cell r="AC149" t="str">
            <v>Submindibular region</v>
          </cell>
          <cell r="AD149" t="str">
            <v>Carcinoma Lower Alveolus</v>
          </cell>
          <cell r="AE149" t="str">
            <v>Male</v>
          </cell>
          <cell r="AF149">
            <v>68</v>
          </cell>
          <cell r="AG149" t="str">
            <v>N</v>
          </cell>
          <cell r="AH149">
            <v>5</v>
          </cell>
          <cell r="AI149" t="str">
            <v>Sashi</v>
          </cell>
          <cell r="AJ149" t="str">
            <v>Surgery</v>
          </cell>
          <cell r="AK149" t="str">
            <v>Primary</v>
          </cell>
          <cell r="AN149" t="str">
            <v>IV</v>
          </cell>
          <cell r="AO149" t="str">
            <v>IV</v>
          </cell>
          <cell r="AP149" t="str">
            <v>pT4a N1</v>
          </cell>
          <cell r="AS149" t="str">
            <v>Moderately differentiated squamous cell carcinoma of the right lower 
alveolus with metastasis to a single ipsilateral level II lymph node without 
extranodal extension</v>
          </cell>
          <cell r="AV149">
            <v>44694</v>
          </cell>
          <cell r="AW149">
            <v>0.61805555555555558</v>
          </cell>
          <cell r="AX149">
            <v>0.6875</v>
          </cell>
          <cell r="AY149">
            <v>6.9444444444444448E-2</v>
          </cell>
          <cell r="AZ149">
            <v>0.1111111111111111</v>
          </cell>
          <cell r="BA149">
            <v>0.1388888888888889</v>
          </cell>
          <cell r="BB149" t="str">
            <v>0.8*1.0*1.0</v>
          </cell>
          <cell r="BC149" t="str">
            <v>0.8*1.0*1.0</v>
          </cell>
          <cell r="BD149" t="str">
            <v>Vibratome</v>
          </cell>
          <cell r="BF149" t="str">
            <v>Mani</v>
          </cell>
          <cell r="BG149" t="str">
            <v>Y</v>
          </cell>
        </row>
        <row r="150">
          <cell r="A150" t="str">
            <v>FBR1K220115</v>
          </cell>
          <cell r="B150">
            <v>220115</v>
          </cell>
          <cell r="C150" t="str">
            <v>R&amp;D</v>
          </cell>
          <cell r="D150">
            <v>44694</v>
          </cell>
          <cell r="E150">
            <v>0.6645833333333333</v>
          </cell>
          <cell r="F150">
            <v>44682</v>
          </cell>
          <cell r="G150">
            <v>44694</v>
          </cell>
          <cell r="H150">
            <v>0.69861111111111107</v>
          </cell>
          <cell r="I150">
            <v>3.4027777777777775E-2</v>
          </cell>
          <cell r="J150">
            <v>2</v>
          </cell>
          <cell r="K150" t="str">
            <v>FCB-PROTOCOL-01</v>
          </cell>
          <cell r="L150" t="str">
            <v>CLN/PRA/178</v>
          </cell>
          <cell r="M150" t="str">
            <v>Y</v>
          </cell>
          <cell r="N150" t="str">
            <v>DMS_v4(1K)</v>
          </cell>
          <cell r="O150" t="str">
            <v>Internal R&amp;D</v>
          </cell>
          <cell r="P150" t="str">
            <v>Q1 Passed</v>
          </cell>
          <cell r="Q150" t="str">
            <v>Q1 Passed</v>
          </cell>
          <cell r="R150" t="str">
            <v>Q1.5 Passed</v>
          </cell>
          <cell r="S150" t="str">
            <v>Q1.5 Passed</v>
          </cell>
          <cell r="V150" t="str">
            <v>Tumor content 8-60%, Immune component high</v>
          </cell>
          <cell r="W150" t="str">
            <v>Consultant</v>
          </cell>
          <cell r="X150" t="str">
            <v>Dr Prakash BV, Bangalore</v>
          </cell>
          <cell r="Y150" t="str">
            <v>Sri Lakshmi Hospital, Bangalore</v>
          </cell>
          <cell r="Z150" t="str">
            <v>Dr Prakash BV, Bangalore</v>
          </cell>
          <cell r="AA150" t="str">
            <v>HNSCC</v>
          </cell>
          <cell r="AC150" t="str">
            <v>Buccal Mucosa</v>
          </cell>
          <cell r="AD150" t="str">
            <v>Left Buccal Mucosa</v>
          </cell>
          <cell r="AE150" t="str">
            <v>Female</v>
          </cell>
          <cell r="AF150">
            <v>55</v>
          </cell>
          <cell r="AG150" t="str">
            <v>N</v>
          </cell>
          <cell r="AH150">
            <v>5.2</v>
          </cell>
          <cell r="AI150" t="str">
            <v>Sashi</v>
          </cell>
          <cell r="AJ150" t="str">
            <v>Surgery</v>
          </cell>
          <cell r="AK150" t="str">
            <v>Primary</v>
          </cell>
          <cell r="AN150" t="str">
            <v>I</v>
          </cell>
          <cell r="AP150" t="str">
            <v>T2N0M0</v>
          </cell>
          <cell r="AS150" t="str">
            <v>Squamous Cell Carcinoma</v>
          </cell>
          <cell r="AV150">
            <v>44694</v>
          </cell>
          <cell r="AW150">
            <v>0.81944444444444442</v>
          </cell>
          <cell r="AX150">
            <v>0.91666666666666663</v>
          </cell>
          <cell r="AY150">
            <v>9.7222222222222224E-2</v>
          </cell>
          <cell r="AZ150">
            <v>0.21805555555555556</v>
          </cell>
          <cell r="BA150">
            <v>0.25208333333333333</v>
          </cell>
          <cell r="BB150" t="str">
            <v>0.5-0.6*0.6*2.4</v>
          </cell>
          <cell r="BC150" t="str">
            <v>0.5-0.6*0.6*2.4</v>
          </cell>
          <cell r="BD150" t="str">
            <v>Manual+Vibratome</v>
          </cell>
          <cell r="BE150">
            <v>15</v>
          </cell>
          <cell r="BF150" t="str">
            <v>Kowshik</v>
          </cell>
          <cell r="BG150" t="str">
            <v>Y</v>
          </cell>
        </row>
        <row r="151">
          <cell r="A151">
            <v>220116</v>
          </cell>
          <cell r="B151">
            <v>220116</v>
          </cell>
          <cell r="C151" t="str">
            <v>R&amp;D</v>
          </cell>
          <cell r="D151">
            <v>44695</v>
          </cell>
          <cell r="E151">
            <v>0.47222222222222221</v>
          </cell>
          <cell r="F151">
            <v>44682</v>
          </cell>
          <cell r="G151">
            <v>44695</v>
          </cell>
          <cell r="H151">
            <v>0.57708333333333328</v>
          </cell>
          <cell r="I151">
            <v>0.10486111111111111</v>
          </cell>
          <cell r="J151">
            <v>6</v>
          </cell>
          <cell r="K151" t="str">
            <v>FCB-PROTOCOL-01</v>
          </cell>
          <cell r="L151" t="str">
            <v>VYD/102</v>
          </cell>
          <cell r="M151" t="str">
            <v>Y</v>
          </cell>
          <cell r="N151" t="str">
            <v>No Study</v>
          </cell>
          <cell r="O151" t="str">
            <v>1st level attrition</v>
          </cell>
          <cell r="P151" t="str">
            <v>Q1 Rejected</v>
          </cell>
          <cell r="Q151" t="str">
            <v>Q1 Passed</v>
          </cell>
          <cell r="R151" t="str">
            <v>Q1.5 Passed</v>
          </cell>
          <cell r="S151" t="str">
            <v>Q1.5 Passed</v>
          </cell>
          <cell r="T151" t="str">
            <v>Completely fat and no hard tissue observed)</v>
          </cell>
          <cell r="W151" t="str">
            <v>Private Hospital</v>
          </cell>
          <cell r="X151" t="str">
            <v>Vydehi Hospital, Bangalore</v>
          </cell>
          <cell r="Y151" t="str">
            <v>Vydehi Hospital, Bangalore</v>
          </cell>
          <cell r="Z151" t="str">
            <v>Dr Amritha Prabha, Bangalore</v>
          </cell>
          <cell r="AA151" t="str">
            <v>Ca Breast</v>
          </cell>
          <cell r="AC151" t="str">
            <v>Breast</v>
          </cell>
          <cell r="AD151" t="str">
            <v>Right Breast</v>
          </cell>
          <cell r="AE151" t="str">
            <v>Female</v>
          </cell>
          <cell r="AF151">
            <v>43</v>
          </cell>
          <cell r="AG151" t="str">
            <v>N</v>
          </cell>
          <cell r="AH151">
            <v>5.0999999999999996</v>
          </cell>
          <cell r="AI151" t="str">
            <v>Maruthi</v>
          </cell>
          <cell r="AJ151" t="str">
            <v>Surgery</v>
          </cell>
          <cell r="AK151" t="str">
            <v>Primary</v>
          </cell>
          <cell r="AL151" t="str">
            <v>Chemotherapy</v>
          </cell>
          <cell r="AQ151">
            <v>8</v>
          </cell>
          <cell r="AR151" t="str">
            <v>4xAdriamycin+4xCyclophosphamide, 2xPaclitaxel, 2xTrastuzumab</v>
          </cell>
          <cell r="AV151">
            <v>44695</v>
          </cell>
        </row>
        <row r="152">
          <cell r="A152" t="str">
            <v>FBR1N220117-TAT24</v>
          </cell>
          <cell r="B152">
            <v>220117</v>
          </cell>
          <cell r="C152" t="str">
            <v>R&amp;D</v>
          </cell>
          <cell r="D152">
            <v>44695</v>
          </cell>
          <cell r="E152">
            <v>0.48749999999999999</v>
          </cell>
          <cell r="F152">
            <v>44682</v>
          </cell>
          <cell r="G152">
            <v>44695</v>
          </cell>
          <cell r="H152">
            <v>0.57708333333333328</v>
          </cell>
          <cell r="I152">
            <v>8.9583333333333334E-2</v>
          </cell>
          <cell r="J152">
            <v>7</v>
          </cell>
          <cell r="K152" t="str">
            <v>FCB-PROTOCOL-01</v>
          </cell>
          <cell r="L152" t="str">
            <v>VYD/101</v>
          </cell>
          <cell r="M152" t="str">
            <v>Y</v>
          </cell>
          <cell r="N152" t="str">
            <v>Extended TAT_Hemarina</v>
          </cell>
          <cell r="O152" t="str">
            <v>Internal R&amp;D</v>
          </cell>
          <cell r="P152" t="str">
            <v>Q1 Passed</v>
          </cell>
          <cell r="Q152" t="str">
            <v>Q1 Passed</v>
          </cell>
          <cell r="R152" t="str">
            <v>Q1.5 Passed</v>
          </cell>
          <cell r="S152" t="str">
            <v>Q1.5 Passed</v>
          </cell>
          <cell r="V152" t="str">
            <v>Tumor content 50-85%</v>
          </cell>
          <cell r="W152" t="str">
            <v>Private Hospital</v>
          </cell>
          <cell r="X152" t="str">
            <v>Vydehi Hospital, Bangalore</v>
          </cell>
          <cell r="Y152" t="str">
            <v>Vydehi Hospital, Bangalore</v>
          </cell>
          <cell r="Z152" t="str">
            <v>Dr Amritha Prabha, Bangalore</v>
          </cell>
          <cell r="AA152" t="str">
            <v>HNSCC</v>
          </cell>
          <cell r="AC152" t="str">
            <v>Buccal Mucosa</v>
          </cell>
          <cell r="AD152" t="str">
            <v>Left Buccal mucosa</v>
          </cell>
          <cell r="AE152" t="str">
            <v>Female</v>
          </cell>
          <cell r="AF152">
            <v>49</v>
          </cell>
          <cell r="AG152" t="str">
            <v>N</v>
          </cell>
          <cell r="AH152">
            <v>5.0999999999999996</v>
          </cell>
          <cell r="AI152" t="str">
            <v>Maruthi</v>
          </cell>
          <cell r="AJ152" t="str">
            <v>Surgery</v>
          </cell>
          <cell r="AK152" t="str">
            <v>Primary</v>
          </cell>
          <cell r="AN152" t="str">
            <v>IIB</v>
          </cell>
          <cell r="AO152">
            <v>2</v>
          </cell>
          <cell r="AP152" t="str">
            <v>pT2N0</v>
          </cell>
          <cell r="AS152" t="str">
            <v>Squamous Cell Carcinoma</v>
          </cell>
          <cell r="AV152">
            <v>44695</v>
          </cell>
          <cell r="AX152">
            <v>0.63541666666666663</v>
          </cell>
          <cell r="BB152" t="str">
            <v>1.2-1.4*1.2*1.2</v>
          </cell>
          <cell r="BC152" t="str">
            <v>1.2-1.4*1.2*1.2</v>
          </cell>
          <cell r="BD152" t="str">
            <v>Vibratome</v>
          </cell>
          <cell r="BE152">
            <v>15</v>
          </cell>
          <cell r="BF152" t="str">
            <v>Gowri</v>
          </cell>
          <cell r="BG152" t="str">
            <v>N</v>
          </cell>
        </row>
        <row r="153">
          <cell r="A153" t="str">
            <v>FBR1K220118</v>
          </cell>
          <cell r="B153">
            <v>220118</v>
          </cell>
          <cell r="C153" t="str">
            <v>R&amp;D</v>
          </cell>
          <cell r="D153">
            <v>44695</v>
          </cell>
          <cell r="E153">
            <v>0.56736111111111109</v>
          </cell>
          <cell r="F153">
            <v>44682</v>
          </cell>
          <cell r="G153">
            <v>44695</v>
          </cell>
          <cell r="H153">
            <v>0.89236111111111116</v>
          </cell>
          <cell r="I153">
            <v>0.32500000000000001</v>
          </cell>
          <cell r="J153">
            <v>2</v>
          </cell>
          <cell r="K153" t="str">
            <v>FCB-PROTOCOL-01</v>
          </cell>
          <cell r="L153" t="str">
            <v>CLN/DBR/077</v>
          </cell>
          <cell r="M153" t="str">
            <v>Y</v>
          </cell>
          <cell r="N153" t="str">
            <v>DMS_v4(1K)</v>
          </cell>
          <cell r="O153" t="str">
            <v>Internal R&amp;D</v>
          </cell>
          <cell r="P153" t="str">
            <v>Q1 Passed</v>
          </cell>
          <cell r="Q153" t="str">
            <v>Q1 Passed</v>
          </cell>
          <cell r="R153" t="str">
            <v>Q1.5 Passed</v>
          </cell>
          <cell r="S153" t="str">
            <v>Q1.5 Passed</v>
          </cell>
          <cell r="V153" t="str">
            <v>Tumor content 40-95%</v>
          </cell>
          <cell r="W153" t="str">
            <v>Clinic'les</v>
          </cell>
          <cell r="X153" t="str">
            <v>Clinic'les- DBR &amp; SK Hospital, Tirupati</v>
          </cell>
          <cell r="Y153" t="str">
            <v>DBR &amp; SK Hospital, Tirupati</v>
          </cell>
          <cell r="Z153" t="str">
            <v>Dr C Jayaprakash, Tirupati</v>
          </cell>
          <cell r="AA153" t="str">
            <v>HNSCC</v>
          </cell>
          <cell r="AC153" t="str">
            <v>Lip</v>
          </cell>
          <cell r="AD153" t="str">
            <v>Lip</v>
          </cell>
          <cell r="AE153" t="str">
            <v>Male</v>
          </cell>
          <cell r="AF153">
            <v>41</v>
          </cell>
          <cell r="AG153" t="str">
            <v>N</v>
          </cell>
          <cell r="AH153">
            <v>5.5</v>
          </cell>
          <cell r="AI153" t="str">
            <v>Sashi</v>
          </cell>
          <cell r="AJ153" t="str">
            <v>Surgery</v>
          </cell>
          <cell r="AK153" t="str">
            <v>Primary</v>
          </cell>
          <cell r="AN153" t="str">
            <v>IV</v>
          </cell>
          <cell r="AS153" t="str">
            <v>Squamous Cell Carcinoma</v>
          </cell>
          <cell r="AV153">
            <v>44695</v>
          </cell>
          <cell r="AW153">
            <v>0.89930555555555558</v>
          </cell>
          <cell r="AX153">
            <v>0.9375</v>
          </cell>
          <cell r="AY153">
            <v>3.8194444444444448E-2</v>
          </cell>
          <cell r="AZ153">
            <v>4.5138888888888888E-2</v>
          </cell>
          <cell r="BA153">
            <v>0.37013888888888891</v>
          </cell>
          <cell r="BB153" t="str">
            <v>0.2*0.9*1.4
0.3*0.8*0.6</v>
          </cell>
          <cell r="BC153" t="str">
            <v>0.2*0.9*1.4
0.3*0.8*0.6</v>
          </cell>
          <cell r="BD153" t="str">
            <v>Manual</v>
          </cell>
          <cell r="BE153">
            <v>15</v>
          </cell>
          <cell r="BG153" t="str">
            <v>Y</v>
          </cell>
        </row>
        <row r="154">
          <cell r="A154" t="str">
            <v>FBR1N220119-TAT24</v>
          </cell>
          <cell r="B154">
            <v>220119</v>
          </cell>
          <cell r="C154" t="str">
            <v>R&amp;D</v>
          </cell>
          <cell r="D154">
            <v>44697</v>
          </cell>
          <cell r="E154">
            <v>0.66249999999999998</v>
          </cell>
          <cell r="F154">
            <v>44682</v>
          </cell>
          <cell r="G154">
            <v>44697</v>
          </cell>
          <cell r="H154">
            <v>0.68333333333333335</v>
          </cell>
          <cell r="I154">
            <v>2.0833333333333332E-2</v>
          </cell>
          <cell r="J154">
            <v>69</v>
          </cell>
          <cell r="K154" t="str">
            <v>FCB-PROTOCOL-02</v>
          </cell>
          <cell r="L154" t="str">
            <v>HN007</v>
          </cell>
          <cell r="M154" t="str">
            <v>Y</v>
          </cell>
          <cell r="N154" t="str">
            <v>Extended TAT_Hemarina</v>
          </cell>
          <cell r="O154" t="str">
            <v>Internal R&amp;D</v>
          </cell>
          <cell r="P154" t="str">
            <v>Q1 Passed</v>
          </cell>
          <cell r="Q154" t="str">
            <v>Q1 Passed</v>
          </cell>
          <cell r="R154" t="str">
            <v>Q1.5 Passed</v>
          </cell>
          <cell r="S154" t="str">
            <v>Q1.5 Passed</v>
          </cell>
          <cell r="V154" t="str">
            <v>Tumor content 15-95%</v>
          </cell>
          <cell r="W154" t="str">
            <v>Government Hospital</v>
          </cell>
          <cell r="X154" t="str">
            <v>Mazumdar Shaw Medical Centre, Bangalore</v>
          </cell>
          <cell r="Y154" t="str">
            <v>Mazumdar Shaw Medical Centre, Bangalore</v>
          </cell>
          <cell r="Z154" t="str">
            <v>Dr Vijay Pillai, Bangalore</v>
          </cell>
          <cell r="AA154" t="str">
            <v>HNSCC</v>
          </cell>
          <cell r="AC154" t="str">
            <v>Tongue</v>
          </cell>
          <cell r="AD154" t="str">
            <v>Left Lateral Border of Tongue</v>
          </cell>
          <cell r="AE154" t="str">
            <v>Male</v>
          </cell>
          <cell r="AF154">
            <v>57</v>
          </cell>
          <cell r="AG154" t="str">
            <v>N</v>
          </cell>
          <cell r="AH154">
            <v>5.0999999999999996</v>
          </cell>
          <cell r="AI154" t="str">
            <v>Sashi</v>
          </cell>
          <cell r="AJ154" t="str">
            <v>Surgery</v>
          </cell>
          <cell r="AK154" t="str">
            <v>Primary</v>
          </cell>
          <cell r="AN154" t="str">
            <v>IV</v>
          </cell>
          <cell r="AO154" t="str">
            <v>IV</v>
          </cell>
          <cell r="AP154" t="str">
            <v>pT4a N3b</v>
          </cell>
          <cell r="AS154" t="str">
            <v>Keratinizing squamous cell carcinoma of left posterolateral border of 
tongue with metastasis to left cervical lymph nodes and right level IB with 
extranodal extension.</v>
          </cell>
          <cell r="AV154">
            <v>44697</v>
          </cell>
          <cell r="AW154">
            <v>0.70833333333333337</v>
          </cell>
          <cell r="AX154">
            <v>0.80555555555555558</v>
          </cell>
          <cell r="AY154">
            <v>9.7222222222222224E-2</v>
          </cell>
          <cell r="AZ154">
            <v>0.12222222222222222</v>
          </cell>
          <cell r="BA154">
            <v>0.14305555555555555</v>
          </cell>
          <cell r="BB154" t="str">
            <v>2.0/1.4*2.0*2.0</v>
          </cell>
          <cell r="BC154" t="str">
            <v>2.0/1.4*2.0*2.0</v>
          </cell>
          <cell r="BD154" t="str">
            <v>Vibratome</v>
          </cell>
          <cell r="BE154">
            <v>15</v>
          </cell>
          <cell r="BF154" t="str">
            <v>Gowri</v>
          </cell>
          <cell r="BG154" t="str">
            <v>Y</v>
          </cell>
        </row>
        <row r="155">
          <cell r="A155" t="str">
            <v>FBR1R220119</v>
          </cell>
          <cell r="B155">
            <v>220119</v>
          </cell>
          <cell r="C155" t="str">
            <v>R&amp;D</v>
          </cell>
          <cell r="D155">
            <v>44697</v>
          </cell>
          <cell r="E155">
            <v>0.66249999999999998</v>
          </cell>
          <cell r="F155">
            <v>44682</v>
          </cell>
          <cell r="G155">
            <v>44697</v>
          </cell>
          <cell r="H155">
            <v>0.68333333333333335</v>
          </cell>
          <cell r="I155">
            <v>2.0833333333333332E-2</v>
          </cell>
          <cell r="J155">
            <v>69</v>
          </cell>
          <cell r="K155" t="str">
            <v>FCB-PROTOCOL-02</v>
          </cell>
          <cell r="L155" t="str">
            <v>HN007</v>
          </cell>
          <cell r="M155" t="str">
            <v>Y</v>
          </cell>
          <cell r="N155" t="str">
            <v>BSS(1R)</v>
          </cell>
          <cell r="O155" t="str">
            <v>Internal R&amp;D</v>
          </cell>
          <cell r="P155" t="str">
            <v>Q1 Passed</v>
          </cell>
          <cell r="Q155" t="str">
            <v>Q1 Passed</v>
          </cell>
          <cell r="R155" t="str">
            <v>Q1.5 Passed</v>
          </cell>
          <cell r="S155" t="str">
            <v>Q1.5 Passed</v>
          </cell>
          <cell r="W155" t="str">
            <v>Government Hospital</v>
          </cell>
          <cell r="X155" t="str">
            <v>Mazumdar Shaw Medical Centre, Bangalore</v>
          </cell>
          <cell r="Y155" t="str">
            <v>Mazumdar Shaw Medical Centre, Bangalore</v>
          </cell>
          <cell r="Z155" t="str">
            <v>Dr Vijay Pillai, Bangalore</v>
          </cell>
          <cell r="AA155" t="str">
            <v>HNSCC</v>
          </cell>
          <cell r="AC155" t="str">
            <v>Tongue</v>
          </cell>
          <cell r="AD155" t="str">
            <v>Left Lateral Border of Tongue</v>
          </cell>
          <cell r="AE155" t="str">
            <v>Male</v>
          </cell>
          <cell r="AF155">
            <v>57</v>
          </cell>
          <cell r="AG155" t="str">
            <v>N</v>
          </cell>
          <cell r="AH155">
            <v>5.0999999999999996</v>
          </cell>
          <cell r="AI155" t="str">
            <v>Sashi</v>
          </cell>
          <cell r="AJ155" t="str">
            <v>Surgery</v>
          </cell>
          <cell r="AK155" t="str">
            <v>Primary</v>
          </cell>
          <cell r="AN155" t="str">
            <v>IV</v>
          </cell>
          <cell r="AO155" t="str">
            <v>IV</v>
          </cell>
          <cell r="AP155" t="str">
            <v>pT4a N3b</v>
          </cell>
          <cell r="AS155" t="str">
            <v>Keratinizing squamous cell carcinoma of left posterolateral border of 
tongue with metastasis to left cervical lymph nodes and right level IB with 
extranodal extension.</v>
          </cell>
          <cell r="AV155">
            <v>44697</v>
          </cell>
          <cell r="AW155">
            <v>0.70833333333333337</v>
          </cell>
          <cell r="AX155">
            <v>0.80555555555555558</v>
          </cell>
          <cell r="AY155">
            <v>9.7222222222222224E-2</v>
          </cell>
          <cell r="AZ155">
            <v>0.12222222222222222</v>
          </cell>
          <cell r="BA155">
            <v>0.14305555555555555</v>
          </cell>
          <cell r="BB155" t="str">
            <v>2.0/1.4*2.0*2.0</v>
          </cell>
          <cell r="BC155" t="str">
            <v>2.0/1.4*2.0*2.0</v>
          </cell>
          <cell r="BD155" t="str">
            <v>Vibratome</v>
          </cell>
          <cell r="BE155">
            <v>15</v>
          </cell>
          <cell r="BF155" t="str">
            <v>Gowri</v>
          </cell>
          <cell r="BG155" t="str">
            <v>Y</v>
          </cell>
        </row>
        <row r="156">
          <cell r="A156" t="str">
            <v>FBR1K220120</v>
          </cell>
          <cell r="B156">
            <v>220120</v>
          </cell>
          <cell r="C156" t="str">
            <v>R&amp;D</v>
          </cell>
          <cell r="D156">
            <v>44698</v>
          </cell>
          <cell r="E156">
            <v>0.46180555555555558</v>
          </cell>
          <cell r="F156">
            <v>44682</v>
          </cell>
          <cell r="G156">
            <v>44698</v>
          </cell>
          <cell r="H156">
            <v>0.56458333333333333</v>
          </cell>
          <cell r="I156">
            <v>0.10277777777777777</v>
          </cell>
          <cell r="J156">
            <v>17</v>
          </cell>
          <cell r="K156" t="str">
            <v>FCB-PROTOCOL-01</v>
          </cell>
          <cell r="L156" t="str">
            <v>VYD/103</v>
          </cell>
          <cell r="M156" t="str">
            <v>Y</v>
          </cell>
          <cell r="N156" t="str">
            <v>DMS_v4(1K)</v>
          </cell>
          <cell r="O156" t="str">
            <v>Internal R&amp;D</v>
          </cell>
          <cell r="P156" t="str">
            <v>Q1 Passed</v>
          </cell>
          <cell r="Q156" t="str">
            <v>Q1 Passed</v>
          </cell>
          <cell r="R156" t="str">
            <v>Q1.5 Passed</v>
          </cell>
          <cell r="S156" t="str">
            <v>Q1.5 Rejected</v>
          </cell>
          <cell r="V156" t="str">
            <v>No tumor</v>
          </cell>
          <cell r="W156" t="str">
            <v>Private Hospital</v>
          </cell>
          <cell r="X156" t="str">
            <v>Vydehi Hospital, Bangalore</v>
          </cell>
          <cell r="Y156" t="str">
            <v>Vydehi Hospital, Bangalore</v>
          </cell>
          <cell r="Z156" t="str">
            <v>Dr Amritha Prabha, Bangalore</v>
          </cell>
          <cell r="AA156" t="str">
            <v>HNSCC</v>
          </cell>
          <cell r="AC156" t="str">
            <v>Buccal Mucosa</v>
          </cell>
          <cell r="AD156" t="str">
            <v>Left Buccal Mucosa</v>
          </cell>
          <cell r="AE156" t="str">
            <v>Female</v>
          </cell>
          <cell r="AF156">
            <v>73</v>
          </cell>
          <cell r="AG156" t="str">
            <v>N</v>
          </cell>
          <cell r="AH156">
            <v>5.3</v>
          </cell>
          <cell r="AI156" t="str">
            <v>Sashi</v>
          </cell>
          <cell r="AJ156" t="str">
            <v>Surgery</v>
          </cell>
          <cell r="AK156" t="str">
            <v>Primary</v>
          </cell>
          <cell r="AL156" t="str">
            <v>Radiotherapy</v>
          </cell>
          <cell r="AN156" t="str">
            <v>III</v>
          </cell>
          <cell r="AO156">
            <v>2</v>
          </cell>
          <cell r="AP156" t="str">
            <v>pT3N0</v>
          </cell>
          <cell r="AS156" t="str">
            <v>Squamous Cell Carcinoma</v>
          </cell>
          <cell r="AV156">
            <v>44698</v>
          </cell>
          <cell r="AW156">
            <v>0.6166666666666667</v>
          </cell>
          <cell r="AX156">
            <v>0.71527777777777779</v>
          </cell>
          <cell r="AY156">
            <v>9.8611111111111108E-2</v>
          </cell>
          <cell r="AZ156">
            <v>0.15069444444444444</v>
          </cell>
          <cell r="BA156">
            <v>0.25347222222222221</v>
          </cell>
          <cell r="BB156" t="str">
            <v>0.8*1.2*1.5</v>
          </cell>
          <cell r="BC156" t="str">
            <v>0.8*1.2*1.5</v>
          </cell>
          <cell r="BD156" t="str">
            <v>Manual</v>
          </cell>
          <cell r="BE156">
            <v>15</v>
          </cell>
          <cell r="BG156" t="str">
            <v>N</v>
          </cell>
        </row>
        <row r="157">
          <cell r="A157" t="str">
            <v>FBR1K220121</v>
          </cell>
          <cell r="B157">
            <v>220121</v>
          </cell>
          <cell r="C157" t="str">
            <v>R&amp;D</v>
          </cell>
          <cell r="D157">
            <v>44698</v>
          </cell>
          <cell r="E157">
            <v>0.63194444444444442</v>
          </cell>
          <cell r="F157">
            <v>44682</v>
          </cell>
          <cell r="G157">
            <v>44698</v>
          </cell>
          <cell r="H157">
            <v>0.68125000000000002</v>
          </cell>
          <cell r="I157">
            <v>4.9305555555555554E-2</v>
          </cell>
          <cell r="J157">
            <v>4</v>
          </cell>
          <cell r="K157" t="str">
            <v>FCB-PROTOCOL-01</v>
          </cell>
          <cell r="L157" t="str">
            <v>CLN/PRA/179</v>
          </cell>
          <cell r="M157" t="str">
            <v>Y</v>
          </cell>
          <cell r="N157" t="str">
            <v>DMS_v4(1K)</v>
          </cell>
          <cell r="O157" t="str">
            <v>Internal R&amp;D</v>
          </cell>
          <cell r="P157" t="str">
            <v>Q1 Passed</v>
          </cell>
          <cell r="Q157" t="str">
            <v>Q1 Passed</v>
          </cell>
          <cell r="R157" t="str">
            <v>Q1.5 Passed</v>
          </cell>
          <cell r="S157" t="str">
            <v>Q1.5 Passed</v>
          </cell>
          <cell r="V157" t="str">
            <v>Tumor content 10-80%, high immune component</v>
          </cell>
          <cell r="W157" t="str">
            <v>Consultant</v>
          </cell>
          <cell r="X157" t="str">
            <v>Dr Prakash BV, Bangalore</v>
          </cell>
          <cell r="Y157" t="str">
            <v>Sri Lakshmi Hospital, Bangalore</v>
          </cell>
          <cell r="Z157" t="str">
            <v>Dr Prakash BV, Bangalore</v>
          </cell>
          <cell r="AA157" t="str">
            <v>HNSCC</v>
          </cell>
          <cell r="AC157" t="str">
            <v>GBS</v>
          </cell>
          <cell r="AD157" t="str">
            <v>Right lower GBS</v>
          </cell>
          <cell r="AE157" t="str">
            <v>Female</v>
          </cell>
          <cell r="AF157">
            <v>45</v>
          </cell>
          <cell r="AG157" t="str">
            <v>N</v>
          </cell>
          <cell r="AH157">
            <v>5.2</v>
          </cell>
          <cell r="AI157" t="str">
            <v>Partha</v>
          </cell>
          <cell r="AJ157" t="str">
            <v>Surgery</v>
          </cell>
          <cell r="AK157" t="str">
            <v>Primary</v>
          </cell>
          <cell r="AN157" t="str">
            <v>II</v>
          </cell>
          <cell r="AO157">
            <v>2</v>
          </cell>
          <cell r="AP157" t="str">
            <v>pT2N0M0</v>
          </cell>
          <cell r="AS157" t="str">
            <v>Squamous Cell Carcinoma</v>
          </cell>
          <cell r="AV157">
            <v>44698</v>
          </cell>
          <cell r="AW157">
            <v>0.83333333333333337</v>
          </cell>
          <cell r="AX157">
            <v>0.89583333333333337</v>
          </cell>
          <cell r="AY157">
            <v>6.25E-2</v>
          </cell>
          <cell r="AZ157">
            <v>0.21458333333333332</v>
          </cell>
          <cell r="BA157">
            <v>0.2638888888888889</v>
          </cell>
          <cell r="BB157" t="str">
            <v>0.8*1.0*1.2</v>
          </cell>
          <cell r="BC157" t="str">
            <v>0.8*1.0*1.2</v>
          </cell>
          <cell r="BD157" t="str">
            <v>Manual</v>
          </cell>
          <cell r="BE157">
            <v>15</v>
          </cell>
          <cell r="BF157" t="str">
            <v>Gowri</v>
          </cell>
          <cell r="BG157" t="str">
            <v>Y</v>
          </cell>
        </row>
        <row r="158">
          <cell r="A158" t="str">
            <v>FBR1R220121</v>
          </cell>
          <cell r="B158">
            <v>220121</v>
          </cell>
          <cell r="C158" t="str">
            <v>R&amp;D</v>
          </cell>
          <cell r="D158">
            <v>44698</v>
          </cell>
          <cell r="E158">
            <v>0.63194444444444442</v>
          </cell>
          <cell r="F158">
            <v>44682</v>
          </cell>
          <cell r="G158">
            <v>44698</v>
          </cell>
          <cell r="H158">
            <v>0.68125000000000002</v>
          </cell>
          <cell r="I158">
            <v>4.9305555555555554E-2</v>
          </cell>
          <cell r="J158">
            <v>4</v>
          </cell>
          <cell r="K158" t="str">
            <v>FCB-PROTOCOL-01</v>
          </cell>
          <cell r="L158" t="str">
            <v>CLN/PRA/179</v>
          </cell>
          <cell r="M158" t="str">
            <v>Y</v>
          </cell>
          <cell r="N158" t="str">
            <v>BSS(1R)</v>
          </cell>
          <cell r="O158" t="str">
            <v>Internal R&amp;D</v>
          </cell>
          <cell r="P158" t="str">
            <v>Q1 Passed</v>
          </cell>
          <cell r="Q158" t="str">
            <v>Q1 Passed</v>
          </cell>
          <cell r="R158" t="str">
            <v>Q1.5 Passed</v>
          </cell>
          <cell r="S158" t="str">
            <v>Q1.5 Passed</v>
          </cell>
          <cell r="V158" t="str">
            <v>Trace -90%, high immune component</v>
          </cell>
          <cell r="W158" t="str">
            <v>Consultant</v>
          </cell>
          <cell r="X158" t="str">
            <v>Dr Prakash BV, Bangalore</v>
          </cell>
          <cell r="Y158" t="str">
            <v>Sri Lakshmi Hospital, Bangalore</v>
          </cell>
          <cell r="Z158" t="str">
            <v>Dr Prakash BV, Bangalore</v>
          </cell>
          <cell r="AA158" t="str">
            <v>HNSCC</v>
          </cell>
          <cell r="AC158" t="str">
            <v>GBS</v>
          </cell>
          <cell r="AD158" t="str">
            <v>Right lower GBS</v>
          </cell>
          <cell r="AE158" t="str">
            <v>Female</v>
          </cell>
          <cell r="AF158">
            <v>45</v>
          </cell>
          <cell r="AG158" t="str">
            <v>N</v>
          </cell>
          <cell r="AH158">
            <v>5.2</v>
          </cell>
          <cell r="AI158" t="str">
            <v>Partha</v>
          </cell>
          <cell r="AJ158" t="str">
            <v>Surgery</v>
          </cell>
          <cell r="AK158" t="str">
            <v>Primary</v>
          </cell>
          <cell r="AN158" t="str">
            <v>II</v>
          </cell>
          <cell r="AO158">
            <v>2</v>
          </cell>
          <cell r="AP158" t="str">
            <v>pT2N0M0</v>
          </cell>
          <cell r="AS158" t="str">
            <v>Squamous Cell Carcinoma</v>
          </cell>
          <cell r="AV158">
            <v>44698</v>
          </cell>
          <cell r="AW158">
            <v>0.83333333333333337</v>
          </cell>
          <cell r="AX158">
            <v>0.89583333333333337</v>
          </cell>
          <cell r="AY158">
            <v>6.25E-2</v>
          </cell>
          <cell r="AZ158">
            <v>0.21458333333333332</v>
          </cell>
          <cell r="BA158">
            <v>0.2638888888888889</v>
          </cell>
          <cell r="BB158" t="str">
            <v>0.8*1.0*1.2</v>
          </cell>
          <cell r="BC158" t="str">
            <v>0.8*1.0*1.2</v>
          </cell>
          <cell r="BD158" t="str">
            <v>Manual</v>
          </cell>
          <cell r="BE158">
            <v>15</v>
          </cell>
          <cell r="BF158" t="str">
            <v>Gowri</v>
          </cell>
          <cell r="BG158" t="str">
            <v>Y</v>
          </cell>
        </row>
        <row r="159">
          <cell r="A159" t="str">
            <v>FBR1k220122</v>
          </cell>
          <cell r="B159">
            <v>220122</v>
          </cell>
          <cell r="C159" t="str">
            <v>R&amp;D</v>
          </cell>
          <cell r="D159">
            <v>44700</v>
          </cell>
          <cell r="E159">
            <v>0.56736111111111109</v>
          </cell>
          <cell r="F159">
            <v>44682</v>
          </cell>
          <cell r="G159">
            <v>44700</v>
          </cell>
          <cell r="H159">
            <v>0.87152777777777779</v>
          </cell>
          <cell r="I159">
            <v>0.30416666666666664</v>
          </cell>
          <cell r="J159">
            <v>2</v>
          </cell>
          <cell r="K159" t="str">
            <v>FCB-PROTOCOL-01</v>
          </cell>
          <cell r="L159" t="str">
            <v>CLN/DBR/078</v>
          </cell>
          <cell r="M159" t="str">
            <v>Y</v>
          </cell>
          <cell r="N159" t="str">
            <v>DMS_v4(1K)</v>
          </cell>
          <cell r="O159" t="str">
            <v>Internal R&amp;D</v>
          </cell>
          <cell r="P159" t="str">
            <v>Q1 Passed</v>
          </cell>
          <cell r="Q159" t="str">
            <v>Q1 Rejected</v>
          </cell>
          <cell r="R159" t="str">
            <v>Q1.5 Passed</v>
          </cell>
          <cell r="S159" t="str">
            <v>Q1.5 Passed</v>
          </cell>
          <cell r="T159" t="str">
            <v>Blood clotted</v>
          </cell>
          <cell r="V159" t="str">
            <v>High tumor content&gt;80% in all explants</v>
          </cell>
          <cell r="W159" t="str">
            <v>Clinic'les</v>
          </cell>
          <cell r="X159" t="str">
            <v>Clinic'les- DBR &amp; SK Hospital, Tirupati</v>
          </cell>
          <cell r="Y159" t="str">
            <v>DBR &amp; SK Hospital, Tirupati</v>
          </cell>
          <cell r="Z159" t="str">
            <v>Dr C Jayaprakash, Tirupati</v>
          </cell>
          <cell r="AA159" t="str">
            <v>HNSCC</v>
          </cell>
          <cell r="AC159" t="str">
            <v>Buccal Mucosa</v>
          </cell>
          <cell r="AD159" t="str">
            <v>Buccal Mucosa</v>
          </cell>
          <cell r="AE159" t="str">
            <v>Male</v>
          </cell>
          <cell r="AF159">
            <v>47</v>
          </cell>
          <cell r="AG159" t="str">
            <v>N</v>
          </cell>
          <cell r="AH159">
            <v>5.3</v>
          </cell>
          <cell r="AI159" t="str">
            <v>Maruthi</v>
          </cell>
          <cell r="AJ159" t="str">
            <v>Surgery</v>
          </cell>
          <cell r="AK159" t="str">
            <v>Primary</v>
          </cell>
          <cell r="AL159" t="str">
            <v>Chemotherapy</v>
          </cell>
          <cell r="AN159" t="str">
            <v>II</v>
          </cell>
          <cell r="AP159" t="str">
            <v>T2N0MX</v>
          </cell>
          <cell r="AQ159">
            <v>6</v>
          </cell>
          <cell r="AR159" t="str">
            <v>Cisplatin, Paclitaxel, 5-FC</v>
          </cell>
          <cell r="AS159" t="str">
            <v>Squamous Cell Carcinoma</v>
          </cell>
          <cell r="AV159">
            <v>44700</v>
          </cell>
          <cell r="AW159">
            <v>0.92708333333333337</v>
          </cell>
          <cell r="AX159">
            <v>0.97916666666666663</v>
          </cell>
          <cell r="AY159">
            <v>5.2083333333333336E-2</v>
          </cell>
          <cell r="AZ159">
            <v>0.1076388888888889</v>
          </cell>
          <cell r="BA159">
            <v>0.41180555555555554</v>
          </cell>
          <cell r="BB159" t="str">
            <v>0.5/0.6*1.0*2.0</v>
          </cell>
          <cell r="BC159" t="str">
            <v>0.5/0.6*1.0*2.0</v>
          </cell>
          <cell r="BD159" t="str">
            <v>Manual</v>
          </cell>
          <cell r="BE159">
            <v>15</v>
          </cell>
          <cell r="BF159" t="str">
            <v>Vasanth</v>
          </cell>
          <cell r="BG159" t="str">
            <v>N</v>
          </cell>
        </row>
        <row r="160">
          <cell r="A160">
            <v>220123</v>
          </cell>
          <cell r="B160">
            <v>220123</v>
          </cell>
          <cell r="C160" t="str">
            <v>R&amp;D</v>
          </cell>
          <cell r="D160">
            <v>44701</v>
          </cell>
          <cell r="E160">
            <v>0.56736111111111109</v>
          </cell>
          <cell r="F160">
            <v>44682</v>
          </cell>
          <cell r="G160">
            <v>44701</v>
          </cell>
          <cell r="H160">
            <v>0.84375</v>
          </cell>
          <cell r="I160">
            <v>0.27638888888888891</v>
          </cell>
          <cell r="J160">
            <v>7</v>
          </cell>
          <cell r="K160" t="str">
            <v>FCB-PROTOCOL-01</v>
          </cell>
          <cell r="L160" t="str">
            <v>CLN/DBR/078-01</v>
          </cell>
          <cell r="M160" t="str">
            <v>Y</v>
          </cell>
          <cell r="N160" t="str">
            <v>No Study</v>
          </cell>
          <cell r="O160" t="str">
            <v>1st level attrition</v>
          </cell>
          <cell r="P160" t="str">
            <v>Q1 Rejected</v>
          </cell>
          <cell r="Q160" t="str">
            <v>Q1 Passed</v>
          </cell>
          <cell r="R160" t="str">
            <v>Q1.5 Rejected</v>
          </cell>
          <cell r="S160" t="str">
            <v>Q1.5 Rejected</v>
          </cell>
          <cell r="T160" t="str">
            <v>sample was frozon</v>
          </cell>
          <cell r="W160" t="str">
            <v>Clinic'les</v>
          </cell>
          <cell r="X160" t="str">
            <v>Clinic'les- DBR &amp; SK Hospital, Tirupati</v>
          </cell>
          <cell r="Y160" t="str">
            <v>DBR &amp; SK Hospital, Tirupati</v>
          </cell>
          <cell r="Z160" t="str">
            <v>Dr C Jayaprakash, Tirupati</v>
          </cell>
          <cell r="AA160" t="str">
            <v>HNSCC</v>
          </cell>
          <cell r="AC160" t="str">
            <v>Buccal Mucosa</v>
          </cell>
          <cell r="AD160" t="str">
            <v>Buccal Mucosa</v>
          </cell>
          <cell r="AE160" t="str">
            <v>Male</v>
          </cell>
          <cell r="AF160">
            <v>58</v>
          </cell>
          <cell r="AG160" t="str">
            <v>N</v>
          </cell>
          <cell r="AH160">
            <v>5.0999999999999996</v>
          </cell>
          <cell r="AI160" t="str">
            <v>Sashi</v>
          </cell>
          <cell r="AJ160" t="str">
            <v>Surgery</v>
          </cell>
          <cell r="AK160" t="str">
            <v>Primary</v>
          </cell>
          <cell r="AS160" t="str">
            <v>Squamous Cell Carcinoma</v>
          </cell>
          <cell r="AV160">
            <v>44701</v>
          </cell>
        </row>
        <row r="161">
          <cell r="A161">
            <v>220124</v>
          </cell>
          <cell r="B161">
            <v>220124</v>
          </cell>
          <cell r="C161" t="str">
            <v>R&amp;D</v>
          </cell>
          <cell r="D161">
            <v>44704</v>
          </cell>
          <cell r="E161">
            <v>0.54374999999999996</v>
          </cell>
          <cell r="F161">
            <v>44682</v>
          </cell>
          <cell r="G161">
            <v>44704</v>
          </cell>
          <cell r="H161">
            <v>0.58402777777777781</v>
          </cell>
          <cell r="I161">
            <v>4.027777777777778E-2</v>
          </cell>
          <cell r="J161">
            <v>6</v>
          </cell>
          <cell r="K161" t="str">
            <v>FCB-PROTOCOL-01</v>
          </cell>
          <cell r="L161" t="str">
            <v>VYD/104</v>
          </cell>
          <cell r="M161" t="str">
            <v>Y</v>
          </cell>
          <cell r="N161" t="str">
            <v>No Study</v>
          </cell>
          <cell r="O161" t="str">
            <v>1st level attrition</v>
          </cell>
          <cell r="P161" t="str">
            <v>Q1 Rejected</v>
          </cell>
          <cell r="Q161" t="str">
            <v>Q1 Passed</v>
          </cell>
          <cell r="R161" t="str">
            <v>Q1.5 Rejected</v>
          </cell>
          <cell r="S161" t="str">
            <v>Q1.5 Rejected</v>
          </cell>
          <cell r="T161" t="str">
            <v>No tumor</v>
          </cell>
          <cell r="V161" t="str">
            <v>3-4% tumor in 1/7 explants. Others no tumor</v>
          </cell>
          <cell r="W161" t="str">
            <v>Private Hospital</v>
          </cell>
          <cell r="X161" t="str">
            <v>Vydehi Hospital, Bangalore</v>
          </cell>
          <cell r="Y161" t="str">
            <v>Vydehi Hospital, Bangalore</v>
          </cell>
          <cell r="Z161" t="str">
            <v>Dr Amritha Prabha, Bangalore</v>
          </cell>
          <cell r="AA161" t="str">
            <v>HNSCC</v>
          </cell>
          <cell r="AC161" t="str">
            <v>Buccal Mucosa</v>
          </cell>
          <cell r="AD161" t="str">
            <v>Right Buccal Mucosa</v>
          </cell>
          <cell r="AE161" t="str">
            <v>Male</v>
          </cell>
          <cell r="AF161">
            <v>35</v>
          </cell>
          <cell r="AG161" t="str">
            <v>N</v>
          </cell>
          <cell r="AH161">
            <v>5.2</v>
          </cell>
          <cell r="AI161" t="str">
            <v>Partha</v>
          </cell>
          <cell r="AJ161" t="str">
            <v>Surgery</v>
          </cell>
          <cell r="AK161" t="str">
            <v>Primary</v>
          </cell>
          <cell r="AL161" t="str">
            <v>Radiotherapy</v>
          </cell>
          <cell r="AS161" t="str">
            <v>Squamous Cell Carcinoma</v>
          </cell>
          <cell r="AV161">
            <v>44704</v>
          </cell>
          <cell r="AW161">
            <v>0.625</v>
          </cell>
          <cell r="AX161">
            <v>0.68402777777777779</v>
          </cell>
          <cell r="AY161">
            <v>5.9027777777777776E-2</v>
          </cell>
          <cell r="AZ161">
            <v>0.1</v>
          </cell>
          <cell r="BA161">
            <v>0.14027777777777778</v>
          </cell>
          <cell r="BB161" t="str">
            <v>0.6*1.0*1.6</v>
          </cell>
          <cell r="BC161" t="str">
            <v>0.6*1.0*1.6</v>
          </cell>
          <cell r="BD161" t="str">
            <v>manual</v>
          </cell>
          <cell r="BE161">
            <v>15</v>
          </cell>
          <cell r="BF161" t="str">
            <v>Vasanth</v>
          </cell>
          <cell r="BG161" t="str">
            <v>Y</v>
          </cell>
        </row>
        <row r="162">
          <cell r="A162" t="str">
            <v>FBR1A220125</v>
          </cell>
          <cell r="B162">
            <v>220125</v>
          </cell>
          <cell r="C162" t="str">
            <v>R&amp;D</v>
          </cell>
          <cell r="D162">
            <v>44704</v>
          </cell>
          <cell r="E162">
            <v>0.64444444444444449</v>
          </cell>
          <cell r="F162">
            <v>44682</v>
          </cell>
          <cell r="G162">
            <v>44704</v>
          </cell>
          <cell r="H162">
            <v>0.69305555555555554</v>
          </cell>
          <cell r="I162">
            <v>4.8611111111111112E-2</v>
          </cell>
          <cell r="J162">
            <v>4</v>
          </cell>
          <cell r="K162" t="str">
            <v>FCB-PROTOCOL-01</v>
          </cell>
          <cell r="L162" t="str">
            <v>VYD/105</v>
          </cell>
          <cell r="M162" t="str">
            <v>Y</v>
          </cell>
          <cell r="N162" t="str">
            <v>Other Indication</v>
          </cell>
          <cell r="O162" t="str">
            <v>Internal R&amp;D</v>
          </cell>
          <cell r="P162" t="str">
            <v>Q1 Passed</v>
          </cell>
          <cell r="Q162" t="str">
            <v>Q1 Passed</v>
          </cell>
          <cell r="R162" t="str">
            <v>Q1.5 Passed</v>
          </cell>
          <cell r="S162" t="str">
            <v>Q1.5 Passed</v>
          </cell>
          <cell r="V162" t="str">
            <v>2-60% tumor</v>
          </cell>
          <cell r="W162" t="str">
            <v>Private Hospital</v>
          </cell>
          <cell r="X162" t="str">
            <v>Vydehi Hospital, Bangalore</v>
          </cell>
          <cell r="Y162" t="str">
            <v>Vydehi Hospital, Bangalore</v>
          </cell>
          <cell r="Z162" t="str">
            <v>Dr Amritha Prabha, Bangalore</v>
          </cell>
          <cell r="AA162" t="str">
            <v>Ca Breast</v>
          </cell>
          <cell r="AC162" t="str">
            <v>Breast</v>
          </cell>
          <cell r="AD162" t="str">
            <v>Left Breast</v>
          </cell>
          <cell r="AE162" t="str">
            <v>Female</v>
          </cell>
          <cell r="AF162">
            <v>45</v>
          </cell>
          <cell r="AG162" t="str">
            <v>N</v>
          </cell>
          <cell r="AH162">
            <v>5.6</v>
          </cell>
          <cell r="AI162" t="str">
            <v>Maruthi</v>
          </cell>
          <cell r="AJ162" t="str">
            <v>Surgery</v>
          </cell>
          <cell r="AK162" t="str">
            <v>Primary</v>
          </cell>
          <cell r="AN162" t="str">
            <v>IIIC</v>
          </cell>
          <cell r="AO162">
            <v>2</v>
          </cell>
          <cell r="AP162" t="str">
            <v>pT3N3b</v>
          </cell>
          <cell r="AV162">
            <v>44704</v>
          </cell>
          <cell r="AW162">
            <v>0.71180555555555558</v>
          </cell>
          <cell r="AX162">
            <v>0.74652777777777779</v>
          </cell>
          <cell r="AY162">
            <v>3.4722222222222224E-2</v>
          </cell>
          <cell r="AZ162">
            <v>5.347222222222222E-2</v>
          </cell>
          <cell r="BA162">
            <v>0.10208333333333333</v>
          </cell>
          <cell r="BB162" t="str">
            <v>0.6*1.4*1.8</v>
          </cell>
          <cell r="BC162" t="str">
            <v>0.6*1.4*1.8</v>
          </cell>
          <cell r="BD162" t="str">
            <v>Manual</v>
          </cell>
          <cell r="BE162">
            <v>15</v>
          </cell>
          <cell r="BF162" t="str">
            <v>Kowshik</v>
          </cell>
          <cell r="BG162" t="str">
            <v>Y</v>
          </cell>
        </row>
        <row r="163">
          <cell r="A163" t="str">
            <v>FBR1S220126</v>
          </cell>
          <cell r="B163">
            <v>220126</v>
          </cell>
          <cell r="C163" t="str">
            <v>R&amp;D</v>
          </cell>
          <cell r="D163">
            <v>44704</v>
          </cell>
          <cell r="E163">
            <v>0.56736111111111109</v>
          </cell>
          <cell r="F163">
            <v>44682</v>
          </cell>
          <cell r="G163">
            <v>44704</v>
          </cell>
          <cell r="H163">
            <v>0.96875</v>
          </cell>
          <cell r="I163">
            <v>0.40138888888888891</v>
          </cell>
          <cell r="J163">
            <v>2</v>
          </cell>
          <cell r="K163" t="str">
            <v>FCB-PROTOCOL-01</v>
          </cell>
          <cell r="L163" t="str">
            <v>CLN/DBR/079</v>
          </cell>
          <cell r="M163" t="str">
            <v>Y</v>
          </cell>
          <cell r="N163" t="str">
            <v>DMS_v5 (1S)</v>
          </cell>
          <cell r="O163" t="str">
            <v>Internal R&amp;D</v>
          </cell>
          <cell r="P163" t="str">
            <v>Q1 Passed</v>
          </cell>
          <cell r="Q163" t="str">
            <v>Q1 Passed</v>
          </cell>
          <cell r="R163" t="str">
            <v>Q1.5 Passed</v>
          </cell>
          <cell r="S163" t="str">
            <v>Q1.5 Passed</v>
          </cell>
          <cell r="V163" t="str">
            <v>Tumor in 4/7 explants.Tumor content 45-65% with high immune component</v>
          </cell>
          <cell r="W163" t="str">
            <v>Clinic'les</v>
          </cell>
          <cell r="X163" t="str">
            <v>Clinic'les- DBR &amp; SK Hospital, Tirupati</v>
          </cell>
          <cell r="Y163" t="str">
            <v>DBR &amp; SK Hospital, Tirupati</v>
          </cell>
          <cell r="Z163" t="str">
            <v>Dr C Jayaprakash, Tirupati</v>
          </cell>
          <cell r="AA163" t="str">
            <v>HNSCC</v>
          </cell>
          <cell r="AC163" t="str">
            <v>Buccal Mucosa</v>
          </cell>
          <cell r="AD163" t="str">
            <v>Buccal Mucosa</v>
          </cell>
          <cell r="AE163" t="str">
            <v>Male</v>
          </cell>
          <cell r="AF163">
            <v>31</v>
          </cell>
          <cell r="AG163" t="str">
            <v>N</v>
          </cell>
          <cell r="AH163">
            <v>7.2</v>
          </cell>
          <cell r="AI163" t="str">
            <v>Partha</v>
          </cell>
          <cell r="AJ163" t="str">
            <v>Surgery</v>
          </cell>
          <cell r="AK163" t="str">
            <v>Primary</v>
          </cell>
          <cell r="AN163" t="str">
            <v>III</v>
          </cell>
          <cell r="AO163">
            <v>1</v>
          </cell>
          <cell r="AP163" t="str">
            <v>pT3N0</v>
          </cell>
          <cell r="AS163" t="str">
            <v>Squamous Cell Carcinoma</v>
          </cell>
          <cell r="AV163">
            <v>44704</v>
          </cell>
          <cell r="AW163">
            <v>0.98333333333333328</v>
          </cell>
          <cell r="AX163">
            <v>1.0520833333333333</v>
          </cell>
          <cell r="AY163">
            <v>6.8750000000000006E-2</v>
          </cell>
          <cell r="AZ163">
            <v>8.3333333333333329E-2</v>
          </cell>
          <cell r="BA163">
            <v>0.48472222222222222</v>
          </cell>
          <cell r="BB163" t="str">
            <v>0.4*1.2*1.2</v>
          </cell>
          <cell r="BC163" t="str">
            <v>0.4*1.2*1.2</v>
          </cell>
          <cell r="BD163" t="str">
            <v>Vibratome</v>
          </cell>
          <cell r="BE163">
            <v>15</v>
          </cell>
          <cell r="BF163" t="str">
            <v>Vasanth</v>
          </cell>
          <cell r="BG163" t="str">
            <v>Y</v>
          </cell>
        </row>
        <row r="164">
          <cell r="A164" t="str">
            <v>FBR1S220127</v>
          </cell>
          <cell r="B164">
            <v>220127</v>
          </cell>
          <cell r="C164" t="str">
            <v>R&amp;D</v>
          </cell>
          <cell r="D164">
            <v>44705</v>
          </cell>
          <cell r="E164">
            <v>0.51944444444444449</v>
          </cell>
          <cell r="F164">
            <v>44682</v>
          </cell>
          <cell r="G164">
            <v>44705</v>
          </cell>
          <cell r="H164">
            <v>0.92013888888888884</v>
          </cell>
          <cell r="I164">
            <v>0.40069444444444446</v>
          </cell>
          <cell r="J164">
            <v>8</v>
          </cell>
          <cell r="K164" t="str">
            <v>FCB-PROTOCOL-01</v>
          </cell>
          <cell r="L164" t="str">
            <v>CLN/DBR/080</v>
          </cell>
          <cell r="M164" t="str">
            <v>Y</v>
          </cell>
          <cell r="N164" t="str">
            <v>DMS_v5 (1S)</v>
          </cell>
          <cell r="O164" t="str">
            <v>Internal R&amp;D</v>
          </cell>
          <cell r="P164" t="str">
            <v>Q1 Passed</v>
          </cell>
          <cell r="Q164" t="str">
            <v>Q1 Passed</v>
          </cell>
          <cell r="R164" t="str">
            <v>Q1.5 Passed</v>
          </cell>
          <cell r="S164" t="str">
            <v>Q1.5 Passed</v>
          </cell>
          <cell r="V164" t="str">
            <v>High tumor content in all fragments</v>
          </cell>
          <cell r="W164" t="str">
            <v>Clinic'les</v>
          </cell>
          <cell r="X164" t="str">
            <v>Clinic'les- DBR &amp; SK Hospital, Tirupati</v>
          </cell>
          <cell r="Y164" t="str">
            <v>DBR &amp; SK Hospital, Tirupati</v>
          </cell>
          <cell r="Z164" t="str">
            <v>Dr C Jayaprakash, Tirupati</v>
          </cell>
          <cell r="AA164" t="str">
            <v>HNSCC</v>
          </cell>
          <cell r="AC164" t="str">
            <v>Buccal Mucosa</v>
          </cell>
          <cell r="AD164" t="str">
            <v>Buccal Mucosa</v>
          </cell>
          <cell r="AE164" t="str">
            <v>Female</v>
          </cell>
          <cell r="AF164">
            <v>65</v>
          </cell>
          <cell r="AG164" t="str">
            <v>N</v>
          </cell>
          <cell r="AH164">
            <v>5.3</v>
          </cell>
          <cell r="AI164" t="str">
            <v>Sashi</v>
          </cell>
          <cell r="AJ164" t="str">
            <v>Surgery</v>
          </cell>
          <cell r="AK164" t="str">
            <v>Primary</v>
          </cell>
          <cell r="AN164" t="str">
            <v>III</v>
          </cell>
          <cell r="AP164" t="str">
            <v>T3N0MX</v>
          </cell>
          <cell r="AS164" t="str">
            <v>Squamous Cell Carcinoma</v>
          </cell>
          <cell r="AV164">
            <v>44705</v>
          </cell>
          <cell r="AW164">
            <v>0.93055555555555558</v>
          </cell>
          <cell r="AX164">
            <v>0.96875</v>
          </cell>
          <cell r="AY164">
            <v>3.8194444444444448E-2</v>
          </cell>
          <cell r="AZ164">
            <v>4.8611111111111112E-2</v>
          </cell>
          <cell r="BA164">
            <v>0.44930555555555557</v>
          </cell>
          <cell r="BB164" t="str">
            <v>0.4*0.6*1.0</v>
          </cell>
          <cell r="BC164" t="str">
            <v>0.4*0.6*1.0</v>
          </cell>
          <cell r="BD164" t="str">
            <v>Manual</v>
          </cell>
          <cell r="BE164">
            <v>15</v>
          </cell>
          <cell r="BF164" t="str">
            <v>Mani</v>
          </cell>
          <cell r="BG164" t="str">
            <v>Y</v>
          </cell>
        </row>
        <row r="165">
          <cell r="A165" t="str">
            <v>FBR1S220128</v>
          </cell>
          <cell r="B165">
            <v>220128</v>
          </cell>
          <cell r="C165" t="str">
            <v>R&amp;D</v>
          </cell>
          <cell r="D165">
            <v>44706</v>
          </cell>
          <cell r="E165">
            <v>0.55902777777777779</v>
          </cell>
          <cell r="F165">
            <v>44682</v>
          </cell>
          <cell r="G165">
            <v>44706</v>
          </cell>
          <cell r="H165">
            <v>0.8979166666666667</v>
          </cell>
          <cell r="I165">
            <v>0.33888888888888891</v>
          </cell>
          <cell r="J165">
            <v>15</v>
          </cell>
          <cell r="K165" t="str">
            <v>FCB-PROTOCOL-01</v>
          </cell>
          <cell r="L165" t="str">
            <v>CLN/DBR/081</v>
          </cell>
          <cell r="M165" t="str">
            <v>Y</v>
          </cell>
          <cell r="N165" t="str">
            <v>DMS_v5 (1S)</v>
          </cell>
          <cell r="O165" t="str">
            <v>Internal R&amp;D</v>
          </cell>
          <cell r="P165" t="str">
            <v>Q1 Passed</v>
          </cell>
          <cell r="Q165" t="str">
            <v>Q1 Passed</v>
          </cell>
          <cell r="R165" t="str">
            <v>Q1.5 Passed</v>
          </cell>
          <cell r="S165" t="str">
            <v>Q1.5 Passed</v>
          </cell>
          <cell r="V165" t="str">
            <v>Tumor in 4/7 explants with 70-95% tumor. Others show superficial epithelium</v>
          </cell>
          <cell r="W165" t="str">
            <v>Clinic'les</v>
          </cell>
          <cell r="X165" t="str">
            <v>Clinic'les- DBR &amp; SK Hospital, Tirupati</v>
          </cell>
          <cell r="Y165" t="str">
            <v>DBR &amp; SK Hospital, Tirupati</v>
          </cell>
          <cell r="Z165" t="str">
            <v>Dr C Jayaprakash, Tirupati</v>
          </cell>
          <cell r="AA165" t="str">
            <v>HNSCC</v>
          </cell>
          <cell r="AC165" t="str">
            <v>Buccal Mucosa</v>
          </cell>
          <cell r="AD165" t="str">
            <v>Buccal Mucosa</v>
          </cell>
          <cell r="AE165" t="str">
            <v>Female</v>
          </cell>
          <cell r="AF165">
            <v>75</v>
          </cell>
          <cell r="AG165" t="str">
            <v>N</v>
          </cell>
          <cell r="AH165">
            <v>5.3</v>
          </cell>
          <cell r="AI165" t="str">
            <v>Maruthi</v>
          </cell>
          <cell r="AJ165" t="str">
            <v>Surgery</v>
          </cell>
          <cell r="AK165" t="str">
            <v>Primary</v>
          </cell>
          <cell r="AN165" t="str">
            <v>III</v>
          </cell>
          <cell r="AP165" t="str">
            <v>T2N1MX</v>
          </cell>
          <cell r="AS165" t="str">
            <v>Squamous Cell Carcinoma</v>
          </cell>
          <cell r="AV165">
            <v>44706</v>
          </cell>
          <cell r="AW165">
            <v>0.90625</v>
          </cell>
          <cell r="AX165">
            <v>0.95138888888888884</v>
          </cell>
          <cell r="AY165">
            <v>4.5138888888888888E-2</v>
          </cell>
          <cell r="AZ165">
            <v>5.347222222222222E-2</v>
          </cell>
          <cell r="BA165">
            <v>0.3923611111111111</v>
          </cell>
          <cell r="BB165" t="str">
            <v>0.2/0.3*0.8*1.8</v>
          </cell>
          <cell r="BC165" t="str">
            <v>0.2/0.3*0.8*1.8</v>
          </cell>
          <cell r="BD165" t="str">
            <v>Manual</v>
          </cell>
          <cell r="BE165">
            <v>15</v>
          </cell>
          <cell r="BF165" t="str">
            <v>Mani</v>
          </cell>
          <cell r="BG165" t="str">
            <v>Y</v>
          </cell>
        </row>
        <row r="166">
          <cell r="A166" t="str">
            <v>FBR1R220129</v>
          </cell>
          <cell r="B166">
            <v>220129</v>
          </cell>
          <cell r="C166" t="str">
            <v>R&amp;D</v>
          </cell>
          <cell r="D166">
            <v>44707</v>
          </cell>
          <cell r="E166">
            <v>0.52708333333333335</v>
          </cell>
          <cell r="F166">
            <v>44682</v>
          </cell>
          <cell r="G166">
            <v>44707</v>
          </cell>
          <cell r="H166">
            <v>0.57013888888888886</v>
          </cell>
          <cell r="I166">
            <v>4.3055555555555555E-2</v>
          </cell>
          <cell r="J166">
            <v>5</v>
          </cell>
          <cell r="K166" t="str">
            <v>FCB-PROTOCOL-01</v>
          </cell>
          <cell r="L166" t="str">
            <v>VYD/106</v>
          </cell>
          <cell r="M166" t="str">
            <v>Y</v>
          </cell>
          <cell r="N166" t="str">
            <v>BSS(1R)</v>
          </cell>
          <cell r="O166" t="str">
            <v>Internal R&amp;D</v>
          </cell>
          <cell r="P166" t="str">
            <v>Q1 Passed</v>
          </cell>
          <cell r="Q166" t="str">
            <v>Q1 Passed</v>
          </cell>
          <cell r="R166" t="str">
            <v>Q1.5 Passed</v>
          </cell>
          <cell r="S166" t="str">
            <v>Q1.5 Passed</v>
          </cell>
          <cell r="V166" t="str">
            <v>Tumor content 3-98%</v>
          </cell>
          <cell r="W166" t="str">
            <v>Private Hospital</v>
          </cell>
          <cell r="X166" t="str">
            <v>Vydehi Hospital, Bangalore</v>
          </cell>
          <cell r="Y166" t="str">
            <v>Vydehi Hospital, Bangalore</v>
          </cell>
          <cell r="Z166" t="str">
            <v>Dr Amritha Prabha, Bangalore</v>
          </cell>
          <cell r="AA166" t="str">
            <v>HNSCC</v>
          </cell>
          <cell r="AC166" t="str">
            <v>Tongue</v>
          </cell>
          <cell r="AD166" t="str">
            <v>Left Lateral Border of Tongue</v>
          </cell>
          <cell r="AE166" t="str">
            <v>Female</v>
          </cell>
          <cell r="AF166">
            <v>48</v>
          </cell>
          <cell r="AG166" t="str">
            <v>N</v>
          </cell>
          <cell r="AH166">
            <v>5.4</v>
          </cell>
          <cell r="AI166" t="str">
            <v>Shashi</v>
          </cell>
          <cell r="AJ166" t="str">
            <v>Surgery</v>
          </cell>
          <cell r="AK166" t="str">
            <v>Primary</v>
          </cell>
          <cell r="AN166" t="str">
            <v>III</v>
          </cell>
          <cell r="AO166">
            <v>1</v>
          </cell>
          <cell r="AP166" t="str">
            <v>pT3N0</v>
          </cell>
          <cell r="AS166" t="str">
            <v>Squamous Cell Carcinoma</v>
          </cell>
          <cell r="AV166">
            <v>44707</v>
          </cell>
          <cell r="AW166">
            <v>0.62986111111111109</v>
          </cell>
          <cell r="AX166">
            <v>0.77430555555555558</v>
          </cell>
          <cell r="AY166">
            <v>0.14444444444444443</v>
          </cell>
          <cell r="AZ166">
            <v>0.20416666666666666</v>
          </cell>
          <cell r="BA166">
            <v>0.24722222222222223</v>
          </cell>
          <cell r="BB166" t="str">
            <v>2.2/0.8*1.6*1.4</v>
          </cell>
          <cell r="BC166" t="str">
            <v>2.2/0.8*1.6*1.4</v>
          </cell>
          <cell r="BD166" t="str">
            <v>Manual+Vibratome</v>
          </cell>
          <cell r="BE166">
            <v>15</v>
          </cell>
          <cell r="BF166" t="str">
            <v>Gowri</v>
          </cell>
          <cell r="BG166" t="str">
            <v>Y</v>
          </cell>
        </row>
        <row r="167">
          <cell r="A167" t="str">
            <v>FBR1S220129</v>
          </cell>
          <cell r="B167">
            <v>220129</v>
          </cell>
          <cell r="C167" t="str">
            <v>R&amp;D</v>
          </cell>
          <cell r="D167">
            <v>44707</v>
          </cell>
          <cell r="E167">
            <v>0.52708333333333335</v>
          </cell>
          <cell r="F167">
            <v>44682</v>
          </cell>
          <cell r="G167">
            <v>44707</v>
          </cell>
          <cell r="H167">
            <v>0.57013888888888886</v>
          </cell>
          <cell r="I167">
            <v>4.3055555555555555E-2</v>
          </cell>
          <cell r="J167">
            <v>5</v>
          </cell>
          <cell r="K167" t="str">
            <v>FCB-PROTOCOL-01</v>
          </cell>
          <cell r="L167" t="str">
            <v>VYD/106</v>
          </cell>
          <cell r="M167" t="str">
            <v>Y</v>
          </cell>
          <cell r="N167" t="str">
            <v>DMS_v5 (1S)</v>
          </cell>
          <cell r="O167" t="str">
            <v>Internal R&amp;D</v>
          </cell>
          <cell r="P167" t="str">
            <v>Q1 Passed</v>
          </cell>
          <cell r="Q167" t="str">
            <v>Q1 Passed</v>
          </cell>
          <cell r="R167" t="str">
            <v>Q1.5 Passed</v>
          </cell>
          <cell r="S167" t="str">
            <v>Q1.5 Passed</v>
          </cell>
          <cell r="V167" t="str">
            <v>Tumor content 4-99%</v>
          </cell>
          <cell r="W167" t="str">
            <v>Private Hospital</v>
          </cell>
          <cell r="X167" t="str">
            <v>Vydehi Hospital, Bangalore</v>
          </cell>
          <cell r="Y167" t="str">
            <v>Vydehi Hospital, Bangalore</v>
          </cell>
          <cell r="Z167" t="str">
            <v>Dr Amritha Prabha, Bangalore</v>
          </cell>
          <cell r="AA167" t="str">
            <v>HNSCC</v>
          </cell>
          <cell r="AC167" t="str">
            <v>Tongue</v>
          </cell>
          <cell r="AD167" t="str">
            <v>Left Lateral Border of Tongue</v>
          </cell>
          <cell r="AE167" t="str">
            <v>Female</v>
          </cell>
          <cell r="AF167">
            <v>48</v>
          </cell>
          <cell r="AG167" t="str">
            <v>N</v>
          </cell>
          <cell r="AH167">
            <v>5.4</v>
          </cell>
          <cell r="AI167" t="str">
            <v>Shashi</v>
          </cell>
          <cell r="AJ167" t="str">
            <v>Surgery</v>
          </cell>
          <cell r="AK167" t="str">
            <v>Primary</v>
          </cell>
          <cell r="AN167" t="str">
            <v>III</v>
          </cell>
          <cell r="AO167">
            <v>1</v>
          </cell>
          <cell r="AP167" t="str">
            <v>pT3N0</v>
          </cell>
          <cell r="AS167" t="str">
            <v>Squamous Cell Carcinoma</v>
          </cell>
          <cell r="AV167">
            <v>44707</v>
          </cell>
          <cell r="AW167">
            <v>0.62986111111111109</v>
          </cell>
          <cell r="AX167">
            <v>0.77430555555555558</v>
          </cell>
          <cell r="AY167">
            <v>0.14444444444444443</v>
          </cell>
          <cell r="AZ167">
            <v>0.20416666666666666</v>
          </cell>
          <cell r="BA167">
            <v>0.24722222222222223</v>
          </cell>
          <cell r="BB167" t="str">
            <v>2.2/0.8*1.6*1.4</v>
          </cell>
          <cell r="BC167" t="str">
            <v>2.2/0.8*1.6*1.4</v>
          </cell>
          <cell r="BD167" t="str">
            <v>Manual</v>
          </cell>
          <cell r="BE167">
            <v>15</v>
          </cell>
          <cell r="BF167" t="str">
            <v>Gowri</v>
          </cell>
          <cell r="BG167" t="str">
            <v>Y</v>
          </cell>
        </row>
        <row r="168">
          <cell r="A168" t="str">
            <v>FBR1M220130</v>
          </cell>
          <cell r="B168">
            <v>220130</v>
          </cell>
          <cell r="C168" t="str">
            <v>R&amp;D</v>
          </cell>
          <cell r="D168">
            <v>44708</v>
          </cell>
          <cell r="E168">
            <v>0.67500000000000004</v>
          </cell>
          <cell r="F168">
            <v>44682</v>
          </cell>
          <cell r="G168">
            <v>44708</v>
          </cell>
          <cell r="H168">
            <v>0.70138888888888884</v>
          </cell>
          <cell r="I168">
            <v>2.6388888888888889E-2</v>
          </cell>
          <cell r="J168">
            <v>2</v>
          </cell>
          <cell r="K168" t="str">
            <v>FCB-PROTOCOL-01</v>
          </cell>
          <cell r="L168" t="str">
            <v>CLN/PRA/180</v>
          </cell>
          <cell r="M168" t="str">
            <v>Y</v>
          </cell>
          <cell r="N168" t="str">
            <v>DMS_RCC</v>
          </cell>
          <cell r="O168" t="str">
            <v>Internal R&amp;D</v>
          </cell>
          <cell r="P168" t="str">
            <v>Q1 Passed</v>
          </cell>
          <cell r="Q168" t="str">
            <v>Q1 Rejected</v>
          </cell>
          <cell r="R168" t="str">
            <v>Q1.5 Passed</v>
          </cell>
          <cell r="S168" t="str">
            <v>Q1.5 Passed</v>
          </cell>
          <cell r="T168" t="str">
            <v>Blot was clotted andTissue complete blood clot and thicker layer of tissue below blood clot</v>
          </cell>
          <cell r="V168" t="str">
            <v>Tumor present in many explants with fair prescence of immune component</v>
          </cell>
          <cell r="W168" t="str">
            <v>Consultant</v>
          </cell>
          <cell r="X168" t="str">
            <v>Dr Prakash BV, Bangalore</v>
          </cell>
          <cell r="Y168" t="str">
            <v>Sri Lakshmi Hospital, Bangalore</v>
          </cell>
          <cell r="Z168" t="str">
            <v>Dr Prakash BV, Bangalore</v>
          </cell>
          <cell r="AA168" t="str">
            <v>RCC</v>
          </cell>
          <cell r="AC168" t="str">
            <v>Kidney</v>
          </cell>
          <cell r="AD168" t="str">
            <v>Right Kidney</v>
          </cell>
          <cell r="AE168" t="str">
            <v>Male</v>
          </cell>
          <cell r="AF168">
            <v>55</v>
          </cell>
          <cell r="AG168" t="str">
            <v>N</v>
          </cell>
          <cell r="AH168">
            <v>5.5</v>
          </cell>
          <cell r="AI168" t="str">
            <v>Shashi</v>
          </cell>
          <cell r="AJ168" t="str">
            <v>Surgery</v>
          </cell>
          <cell r="AK168" t="str">
            <v>Primary</v>
          </cell>
          <cell r="AS168" t="str">
            <v>Renal cell carcinoma</v>
          </cell>
          <cell r="AV168">
            <v>44708</v>
          </cell>
          <cell r="AW168">
            <v>0.74305555555555558</v>
          </cell>
          <cell r="AX168">
            <v>0.78472222222222221</v>
          </cell>
          <cell r="AY168">
            <v>4.1666666666666664E-2</v>
          </cell>
          <cell r="AZ168">
            <v>8.3333333333333329E-2</v>
          </cell>
          <cell r="BA168">
            <v>0.10972222222222222</v>
          </cell>
          <cell r="BB168" t="str">
            <v>1.0*3.8*2.2</v>
          </cell>
          <cell r="BC168" t="str">
            <v>1.0*3.8*2.2</v>
          </cell>
          <cell r="BD168" t="str">
            <v>Manual</v>
          </cell>
          <cell r="BE168">
            <v>15</v>
          </cell>
          <cell r="BF168" t="str">
            <v>Gowri</v>
          </cell>
          <cell r="BG168" t="str">
            <v>N</v>
          </cell>
        </row>
        <row r="169">
          <cell r="A169" t="str">
            <v>FBR1S220131</v>
          </cell>
          <cell r="B169">
            <v>220131</v>
          </cell>
          <cell r="C169" t="str">
            <v>R&amp;D</v>
          </cell>
          <cell r="D169">
            <v>44711</v>
          </cell>
          <cell r="E169">
            <v>0.53472222222222221</v>
          </cell>
          <cell r="F169">
            <v>44682</v>
          </cell>
          <cell r="G169">
            <v>44711</v>
          </cell>
          <cell r="H169">
            <v>0.89583333333333337</v>
          </cell>
          <cell r="I169">
            <v>0.3611111111111111</v>
          </cell>
          <cell r="J169">
            <v>10</v>
          </cell>
          <cell r="K169" t="str">
            <v>FCB-PROTOCOL-01</v>
          </cell>
          <cell r="L169" t="str">
            <v>CLN/DBR/082</v>
          </cell>
          <cell r="M169" t="str">
            <v>Y</v>
          </cell>
          <cell r="N169" t="str">
            <v>DMS_v5 (1S)</v>
          </cell>
          <cell r="O169" t="str">
            <v>Internal R&amp;D</v>
          </cell>
          <cell r="P169" t="str">
            <v>Q1 Passed</v>
          </cell>
          <cell r="Q169" t="str">
            <v>Q1 Passed</v>
          </cell>
          <cell r="R169" t="str">
            <v>Q1.5 Passed</v>
          </cell>
          <cell r="S169" t="str">
            <v>Q1.5 Passed</v>
          </cell>
          <cell r="V169" t="str">
            <v>Tumor content 25-96%</v>
          </cell>
          <cell r="W169" t="str">
            <v>Clinic'les</v>
          </cell>
          <cell r="X169" t="str">
            <v>Clinic'les- DBR &amp; SK Hospital, Tirupati</v>
          </cell>
          <cell r="Y169" t="str">
            <v>DBR &amp; SK Hospital, Tirupati</v>
          </cell>
          <cell r="Z169" t="str">
            <v>Dr C Jayaprakash, Tirupati</v>
          </cell>
          <cell r="AA169" t="str">
            <v>HNSCC</v>
          </cell>
          <cell r="AC169" t="str">
            <v>Buccal Mucosa</v>
          </cell>
          <cell r="AD169" t="str">
            <v>Buccal Mucosa</v>
          </cell>
          <cell r="AE169" t="str">
            <v>Female</v>
          </cell>
          <cell r="AF169">
            <v>66</v>
          </cell>
          <cell r="AG169" t="str">
            <v>N</v>
          </cell>
          <cell r="AH169">
            <v>7.8</v>
          </cell>
          <cell r="AI169" t="str">
            <v>Shashi</v>
          </cell>
          <cell r="AJ169" t="str">
            <v>Surgery</v>
          </cell>
          <cell r="AK169" t="str">
            <v>Primary</v>
          </cell>
          <cell r="AN169" t="str">
            <v>II</v>
          </cell>
          <cell r="AP169" t="str">
            <v>T2N0MX</v>
          </cell>
          <cell r="AS169" t="str">
            <v>Squamous Cell Carcinoma</v>
          </cell>
          <cell r="AV169">
            <v>44711</v>
          </cell>
          <cell r="AW169">
            <v>0.92500000000000004</v>
          </cell>
          <cell r="AX169">
            <v>0.95208333333333328</v>
          </cell>
          <cell r="AY169">
            <v>2.7083333333333334E-2</v>
          </cell>
          <cell r="AZ169">
            <v>5.6250000000000001E-2</v>
          </cell>
          <cell r="BA169">
            <v>0.41736111111111113</v>
          </cell>
          <cell r="BB169" t="str">
            <v>0.2/0.6*0.8*1.4</v>
          </cell>
          <cell r="BC169" t="str">
            <v>0.2/0.6*0.8*1.4</v>
          </cell>
          <cell r="BD169" t="str">
            <v>Manual</v>
          </cell>
          <cell r="BE169">
            <v>15</v>
          </cell>
          <cell r="BF169" t="str">
            <v>Gowri</v>
          </cell>
          <cell r="BG169" t="str">
            <v>Y</v>
          </cell>
        </row>
        <row r="170">
          <cell r="A170" t="str">
            <v>FBR1S220132</v>
          </cell>
          <cell r="B170">
            <v>220132</v>
          </cell>
          <cell r="C170" t="str">
            <v>R&amp;D</v>
          </cell>
          <cell r="D170">
            <v>44713</v>
          </cell>
          <cell r="E170">
            <v>0.5180555555555556</v>
          </cell>
          <cell r="F170">
            <v>44713</v>
          </cell>
          <cell r="G170">
            <v>44713</v>
          </cell>
          <cell r="H170">
            <v>0.57013888888888886</v>
          </cell>
          <cell r="I170">
            <v>5.2083333333333336E-2</v>
          </cell>
          <cell r="J170">
            <v>6</v>
          </cell>
          <cell r="K170" t="str">
            <v>FCB-PROTOCOL-01</v>
          </cell>
          <cell r="L170" t="str">
            <v>VYD/107</v>
          </cell>
          <cell r="M170" t="str">
            <v>Y</v>
          </cell>
          <cell r="N170" t="str">
            <v>DMS_v5 (1S)</v>
          </cell>
          <cell r="O170" t="str">
            <v>Internal R&amp;D</v>
          </cell>
          <cell r="P170" t="str">
            <v>Q1 Passed</v>
          </cell>
          <cell r="Q170" t="str">
            <v>Q1 Passed</v>
          </cell>
          <cell r="R170" t="str">
            <v>Q1.5 Passed</v>
          </cell>
          <cell r="S170" t="str">
            <v>Q1.5 Passed</v>
          </cell>
          <cell r="V170" t="str">
            <v>Tumor content 45-95%</v>
          </cell>
          <cell r="W170" t="str">
            <v>Private Hospital</v>
          </cell>
          <cell r="X170" t="str">
            <v>Vydehi Hospital, Bangalore</v>
          </cell>
          <cell r="Y170" t="str">
            <v>Vydehi Hospital, Bangalore</v>
          </cell>
          <cell r="Z170" t="str">
            <v>Dr Amritha Prabha, Bangalore</v>
          </cell>
          <cell r="AA170" t="str">
            <v>HNSCC</v>
          </cell>
          <cell r="AC170" t="str">
            <v>Buccal Mucosa</v>
          </cell>
          <cell r="AD170" t="str">
            <v>Left Buccal Mucosa</v>
          </cell>
          <cell r="AE170" t="str">
            <v>Female</v>
          </cell>
          <cell r="AF170">
            <v>57</v>
          </cell>
          <cell r="AG170" t="str">
            <v>N</v>
          </cell>
          <cell r="AH170">
            <v>6.4</v>
          </cell>
          <cell r="AI170" t="str">
            <v>Partha</v>
          </cell>
          <cell r="AJ170" t="str">
            <v>Surgery</v>
          </cell>
          <cell r="AK170" t="str">
            <v>Primary</v>
          </cell>
          <cell r="AN170" t="str">
            <v>II</v>
          </cell>
          <cell r="AO170">
            <v>2</v>
          </cell>
          <cell r="AP170" t="str">
            <v>pT2N0</v>
          </cell>
          <cell r="AS170" t="str">
            <v>Squamous Cell Carcinoma</v>
          </cell>
          <cell r="AV170">
            <v>44713</v>
          </cell>
          <cell r="AW170">
            <v>0.62708333333333333</v>
          </cell>
          <cell r="AX170">
            <v>0.75694444444444442</v>
          </cell>
          <cell r="AY170">
            <v>0.12986111111111112</v>
          </cell>
          <cell r="AZ170">
            <v>0.18680555555555556</v>
          </cell>
          <cell r="BA170">
            <v>0.2388888888888889</v>
          </cell>
          <cell r="BB170" t="str">
            <v>0.8/1.2*1.8*1.2</v>
          </cell>
          <cell r="BC170" t="str">
            <v>0.8*1.6*1.0</v>
          </cell>
          <cell r="BD170" t="str">
            <v>Vibratome</v>
          </cell>
          <cell r="BE170">
            <v>4</v>
          </cell>
          <cell r="BF170" t="str">
            <v>Gowri</v>
          </cell>
          <cell r="BG170" t="str">
            <v>Y</v>
          </cell>
        </row>
        <row r="171">
          <cell r="A171" t="str">
            <v>FBR1A220133</v>
          </cell>
          <cell r="B171">
            <v>220133</v>
          </cell>
          <cell r="C171" t="str">
            <v>R&amp;D</v>
          </cell>
          <cell r="D171">
            <v>44714</v>
          </cell>
          <cell r="E171">
            <v>0.51736111111111116</v>
          </cell>
          <cell r="F171">
            <v>44713</v>
          </cell>
          <cell r="G171">
            <v>44714</v>
          </cell>
          <cell r="H171">
            <v>0.85624999999999996</v>
          </cell>
          <cell r="I171">
            <v>0.33888888888888891</v>
          </cell>
          <cell r="J171">
            <v>10</v>
          </cell>
          <cell r="K171" t="str">
            <v>FCB-PROTOCOL-01</v>
          </cell>
          <cell r="L171" t="str">
            <v>CLN/DBR/083</v>
          </cell>
          <cell r="M171" t="str">
            <v>Y</v>
          </cell>
          <cell r="N171" t="str">
            <v>Other Indication</v>
          </cell>
          <cell r="O171" t="str">
            <v>Internal R&amp;D</v>
          </cell>
          <cell r="P171" t="str">
            <v>Q1 Passed</v>
          </cell>
          <cell r="Q171" t="str">
            <v>Q1 Rejected</v>
          </cell>
          <cell r="R171" t="str">
            <v>Q1.5 Passed</v>
          </cell>
          <cell r="S171" t="str">
            <v>Q1.5 Passed</v>
          </cell>
          <cell r="V171" t="str">
            <v>Only a small loose fragment of tumor cells seen in LB4; others no tumor</v>
          </cell>
          <cell r="W171" t="str">
            <v>Clinic'les</v>
          </cell>
          <cell r="X171" t="str">
            <v>Clinic'les- DBR &amp; SK Hospital, Tirupati</v>
          </cell>
          <cell r="Y171" t="str">
            <v>DBR &amp; SK Hospital, Tirupati</v>
          </cell>
          <cell r="Z171" t="str">
            <v>Dr C Jayaprakash, Tirupati</v>
          </cell>
          <cell r="AA171" t="str">
            <v>Ca Ovary</v>
          </cell>
          <cell r="AC171" t="str">
            <v>Ovary</v>
          </cell>
          <cell r="AD171" t="str">
            <v>Ovary</v>
          </cell>
          <cell r="AE171" t="str">
            <v>Female</v>
          </cell>
          <cell r="AF171">
            <v>56</v>
          </cell>
          <cell r="AG171" t="str">
            <v>N</v>
          </cell>
          <cell r="AH171">
            <v>5.3</v>
          </cell>
          <cell r="AI171" t="str">
            <v>Shashi</v>
          </cell>
          <cell r="AJ171" t="str">
            <v>Surgery</v>
          </cell>
          <cell r="AK171" t="str">
            <v>Primary</v>
          </cell>
          <cell r="AL171" t="str">
            <v>Chemotherapy</v>
          </cell>
          <cell r="AQ171">
            <v>6</v>
          </cell>
          <cell r="AR171" t="str">
            <v>Paclitaxel,Carboplatin</v>
          </cell>
          <cell r="AV171" t="str">
            <v>02-0-6-2022</v>
          </cell>
          <cell r="AW171">
            <v>0.87152777777777779</v>
          </cell>
          <cell r="AX171">
            <v>0.92361111111111116</v>
          </cell>
          <cell r="AY171">
            <v>5.2083333333333336E-2</v>
          </cell>
          <cell r="AZ171">
            <v>6.7361111111111108E-2</v>
          </cell>
          <cell r="BA171">
            <v>0.40625</v>
          </cell>
          <cell r="BB171" t="str">
            <v>0.8*1.6*1.8</v>
          </cell>
          <cell r="BC171" t="str">
            <v>0.8*1.6*1.8</v>
          </cell>
          <cell r="BD171" t="str">
            <v>Manual</v>
          </cell>
          <cell r="BE171">
            <v>4</v>
          </cell>
          <cell r="BF171" t="str">
            <v>Mani</v>
          </cell>
          <cell r="BG171" t="str">
            <v>Y</v>
          </cell>
        </row>
        <row r="172">
          <cell r="A172">
            <v>220134</v>
          </cell>
          <cell r="B172">
            <v>220134</v>
          </cell>
          <cell r="C172" t="str">
            <v>R&amp;D</v>
          </cell>
          <cell r="D172">
            <v>44719</v>
          </cell>
          <cell r="E172">
            <v>0.54166666666666663</v>
          </cell>
          <cell r="F172">
            <v>44713</v>
          </cell>
          <cell r="G172">
            <v>44719</v>
          </cell>
          <cell r="H172">
            <v>0.9375</v>
          </cell>
          <cell r="I172">
            <v>0.39583333333333331</v>
          </cell>
          <cell r="J172">
            <v>10</v>
          </cell>
          <cell r="K172" t="str">
            <v>FCB-PROTOCOL-01</v>
          </cell>
          <cell r="L172" t="str">
            <v>CLN/DBR/084</v>
          </cell>
          <cell r="M172" t="str">
            <v>Y</v>
          </cell>
          <cell r="N172" t="str">
            <v>No Study</v>
          </cell>
          <cell r="O172" t="str">
            <v>1st level attrition</v>
          </cell>
          <cell r="P172" t="str">
            <v>Q1 Passed</v>
          </cell>
          <cell r="Q172" t="str">
            <v>Q1 Passed</v>
          </cell>
          <cell r="R172" t="str">
            <v>Q1.5 Rejected</v>
          </cell>
          <cell r="S172" t="str">
            <v>Q1.5 Rejected</v>
          </cell>
          <cell r="V172" t="str">
            <v>Tumor content 3-45%, cells mostly degenerated/pyknotic</v>
          </cell>
          <cell r="W172" t="str">
            <v>Clinic'les</v>
          </cell>
          <cell r="X172" t="str">
            <v>Clinic'les- DBR &amp; SK Hospital, Tirupati</v>
          </cell>
          <cell r="Y172" t="str">
            <v>DBR &amp; SK Hospital, Tirupati</v>
          </cell>
          <cell r="Z172" t="str">
            <v>Dr C Jayaprakash, Tirupati</v>
          </cell>
          <cell r="AA172" t="str">
            <v>Ca Breast</v>
          </cell>
          <cell r="AC172" t="str">
            <v>Breast</v>
          </cell>
          <cell r="AE172" t="str">
            <v>Female</v>
          </cell>
          <cell r="AF172">
            <v>46</v>
          </cell>
          <cell r="AG172" t="str">
            <v>N</v>
          </cell>
          <cell r="AH172">
            <v>7.2</v>
          </cell>
          <cell r="AI172" t="str">
            <v>Partha</v>
          </cell>
          <cell r="AJ172" t="str">
            <v>Surgery</v>
          </cell>
          <cell r="AK172" t="str">
            <v>Primary</v>
          </cell>
          <cell r="AL172" t="str">
            <v>Chemotherapy</v>
          </cell>
          <cell r="AQ172">
            <v>7</v>
          </cell>
          <cell r="AR172" t="str">
            <v>Paclitaxel</v>
          </cell>
          <cell r="AV172">
            <v>44719</v>
          </cell>
          <cell r="AW172">
            <v>0.96875</v>
          </cell>
          <cell r="AX172">
            <v>1.0208333333333333</v>
          </cell>
          <cell r="AY172">
            <v>5.2083333333333336E-2</v>
          </cell>
          <cell r="AZ172">
            <v>8.3333333333333329E-2</v>
          </cell>
          <cell r="BA172">
            <v>0.47916666666666669</v>
          </cell>
          <cell r="BB172" t="str">
            <v>1.0*3.0*1.8</v>
          </cell>
          <cell r="BC172" t="str">
            <v>1.0*3.0*1.8</v>
          </cell>
          <cell r="BD172" t="str">
            <v>Manual</v>
          </cell>
          <cell r="BE172">
            <v>4</v>
          </cell>
          <cell r="BF172" t="str">
            <v>Mani</v>
          </cell>
          <cell r="BG172" t="str">
            <v>Y</v>
          </cell>
        </row>
        <row r="173">
          <cell r="A173">
            <v>220135</v>
          </cell>
          <cell r="B173">
            <v>220135</v>
          </cell>
          <cell r="C173" t="str">
            <v>R&amp;D</v>
          </cell>
          <cell r="D173">
            <v>44719</v>
          </cell>
          <cell r="E173">
            <v>0.61458333333333337</v>
          </cell>
          <cell r="F173">
            <v>44713</v>
          </cell>
          <cell r="G173">
            <v>44719</v>
          </cell>
          <cell r="H173">
            <v>0.92361111111111116</v>
          </cell>
          <cell r="I173">
            <v>0.30902777777777779</v>
          </cell>
          <cell r="J173">
            <v>10</v>
          </cell>
          <cell r="K173" t="str">
            <v>FCB-PROTOCOL-01</v>
          </cell>
          <cell r="L173" t="str">
            <v>CLN/DBR/085</v>
          </cell>
          <cell r="M173" t="str">
            <v>Y</v>
          </cell>
          <cell r="N173" t="str">
            <v>No Study</v>
          </cell>
          <cell r="O173" t="str">
            <v>1st level attrition</v>
          </cell>
          <cell r="P173" t="str">
            <v>Q1 Passed</v>
          </cell>
          <cell r="Q173" t="str">
            <v>Q1 Passed</v>
          </cell>
          <cell r="R173" t="str">
            <v>Q1.5 Rejected</v>
          </cell>
          <cell r="S173" t="str">
            <v>Q1.5 Rejected</v>
          </cell>
          <cell r="V173" t="str">
            <v>No tumor cells, only stromal tissue</v>
          </cell>
          <cell r="W173" t="str">
            <v>Clinic'les</v>
          </cell>
          <cell r="X173" t="str">
            <v>Clinic'les- DBR &amp; SK Hospital, Tirupati</v>
          </cell>
          <cell r="Y173" t="str">
            <v>DBR &amp; SK Hospital, Tirupati</v>
          </cell>
          <cell r="Z173" t="str">
            <v>Dr C Jayaprakash, Tirupati</v>
          </cell>
          <cell r="AA173" t="str">
            <v>Ca Ovary</v>
          </cell>
          <cell r="AC173" t="str">
            <v>Ovary</v>
          </cell>
          <cell r="AE173" t="str">
            <v>Female</v>
          </cell>
          <cell r="AF173">
            <v>43</v>
          </cell>
          <cell r="AG173" t="str">
            <v>N</v>
          </cell>
          <cell r="AH173">
            <v>7.2</v>
          </cell>
          <cell r="AI173" t="str">
            <v>Partha</v>
          </cell>
          <cell r="AJ173" t="str">
            <v>Surgery</v>
          </cell>
          <cell r="AK173" t="str">
            <v>Primary</v>
          </cell>
          <cell r="AL173" t="str">
            <v>Chemotherapy</v>
          </cell>
          <cell r="AQ173">
            <v>12</v>
          </cell>
          <cell r="AR173" t="str">
            <v>Paclitaxel,Carboplatin</v>
          </cell>
          <cell r="AV173">
            <v>44719</v>
          </cell>
          <cell r="AW173">
            <v>0.96875</v>
          </cell>
          <cell r="AX173">
            <v>1.0069444444444444</v>
          </cell>
          <cell r="AY173">
            <v>3.8194444444444448E-2</v>
          </cell>
          <cell r="AZ173">
            <v>8.3333333333333329E-2</v>
          </cell>
          <cell r="BA173">
            <v>0.3923611111111111</v>
          </cell>
          <cell r="BB173" t="str">
            <v>0.8/0.6*2.2*1.6</v>
          </cell>
          <cell r="BC173" t="str">
            <v>0.8/0.6*2.2*1.6</v>
          </cell>
          <cell r="BD173" t="str">
            <v>Manual</v>
          </cell>
          <cell r="BE173">
            <v>4</v>
          </cell>
          <cell r="BF173" t="str">
            <v>Mani</v>
          </cell>
          <cell r="BG173" t="str">
            <v>Y</v>
          </cell>
        </row>
        <row r="174">
          <cell r="A174" t="str">
            <v>FBR1M220136</v>
          </cell>
          <cell r="B174">
            <v>220136</v>
          </cell>
          <cell r="C174" t="str">
            <v>R&amp;D</v>
          </cell>
          <cell r="D174">
            <v>44721</v>
          </cell>
          <cell r="E174">
            <v>0.59027777777777779</v>
          </cell>
          <cell r="F174">
            <v>44713</v>
          </cell>
          <cell r="G174">
            <v>44721</v>
          </cell>
          <cell r="H174">
            <v>0.63194444444444442</v>
          </cell>
          <cell r="I174">
            <v>4.1666666666666664E-2</v>
          </cell>
          <cell r="J174">
            <v>57</v>
          </cell>
          <cell r="K174" t="str">
            <v>FCB-PROTOCOL-02</v>
          </cell>
          <cell r="L174" t="str">
            <v>RC006</v>
          </cell>
          <cell r="M174" t="str">
            <v>Y</v>
          </cell>
          <cell r="N174" t="str">
            <v>DMS_RCC</v>
          </cell>
          <cell r="O174" t="str">
            <v>Internal R&amp;D</v>
          </cell>
          <cell r="P174" t="str">
            <v>Q1 Passed</v>
          </cell>
          <cell r="Q174" t="str">
            <v>Q1 Passed</v>
          </cell>
          <cell r="R174" t="str">
            <v>Q1.5 Passed</v>
          </cell>
          <cell r="S174" t="str">
            <v>Q1.5 Passed</v>
          </cell>
          <cell r="V174" t="str">
            <v>Tumor content 10-95%</v>
          </cell>
          <cell r="W174" t="str">
            <v>Government Hospital</v>
          </cell>
          <cell r="X174" t="str">
            <v>Mazumdar Shaw Medical Centre, Bangalore</v>
          </cell>
          <cell r="Y174" t="str">
            <v>Mazumdar Shaw Medical Centre, Bangalore</v>
          </cell>
          <cell r="Z174" t="str">
            <v>Dr Saurabh Bhargav, Bangalore</v>
          </cell>
          <cell r="AA174" t="str">
            <v>RCC</v>
          </cell>
          <cell r="AC174" t="str">
            <v>Left upper pole renal mass</v>
          </cell>
          <cell r="AE174" t="str">
            <v>Male</v>
          </cell>
          <cell r="AF174">
            <v>52</v>
          </cell>
          <cell r="AG174" t="str">
            <v>N</v>
          </cell>
          <cell r="AH174">
            <v>5.0999999999999996</v>
          </cell>
          <cell r="AI174" t="str">
            <v>Shashi</v>
          </cell>
          <cell r="AJ174" t="str">
            <v>Surgery</v>
          </cell>
          <cell r="AK174" t="str">
            <v>Primary</v>
          </cell>
          <cell r="AN174" t="str">
            <v>I</v>
          </cell>
          <cell r="AO174" t="str">
            <v>I</v>
          </cell>
          <cell r="AP174" t="str">
            <v>pT1b</v>
          </cell>
          <cell r="AV174">
            <v>44721</v>
          </cell>
          <cell r="AW174">
            <v>0.65277777777777779</v>
          </cell>
          <cell r="AX174">
            <v>0.73263888888888884</v>
          </cell>
          <cell r="AY174">
            <v>7.9861111111111105E-2</v>
          </cell>
          <cell r="AZ174">
            <v>0.10069444444444445</v>
          </cell>
          <cell r="BA174">
            <v>0.1423611111111111</v>
          </cell>
          <cell r="BB174" t="str">
            <v>0.7/0.2-0.3*2.2*1.8</v>
          </cell>
          <cell r="BC174" t="str">
            <v>0.7/0.2-0.3*2.2*1.8</v>
          </cell>
          <cell r="BD174" t="str">
            <v>Manual</v>
          </cell>
          <cell r="BE174">
            <v>4</v>
          </cell>
          <cell r="BF174" t="str">
            <v>Kowshik</v>
          </cell>
          <cell r="BG174" t="str">
            <v>Y</v>
          </cell>
        </row>
        <row r="175">
          <cell r="A175" t="str">
            <v>FBB1F220136</v>
          </cell>
          <cell r="B175">
            <v>220136</v>
          </cell>
          <cell r="C175" t="str">
            <v>Biopharma</v>
          </cell>
          <cell r="D175">
            <v>44721</v>
          </cell>
          <cell r="E175">
            <v>0.59027777777777779</v>
          </cell>
          <cell r="F175">
            <v>44713</v>
          </cell>
          <cell r="G175">
            <v>44721</v>
          </cell>
          <cell r="H175">
            <v>0.63194444444444442</v>
          </cell>
          <cell r="I175">
            <v>4.1666666666666664E-2</v>
          </cell>
          <cell r="J175">
            <v>57</v>
          </cell>
          <cell r="K175" t="str">
            <v>FCB-PROTOCOL-02</v>
          </cell>
          <cell r="L175" t="str">
            <v>RC006</v>
          </cell>
          <cell r="M175" t="str">
            <v>Y</v>
          </cell>
          <cell r="N175" t="str">
            <v>BP006_Phase1C</v>
          </cell>
          <cell r="O175" t="str">
            <v>Biopharma</v>
          </cell>
          <cell r="P175" t="str">
            <v>Q1 Passed</v>
          </cell>
          <cell r="Q175" t="str">
            <v>Q1 Passed</v>
          </cell>
          <cell r="R175" t="str">
            <v>Q1.5 Passed</v>
          </cell>
          <cell r="S175" t="str">
            <v>Q1.5 Passed</v>
          </cell>
          <cell r="W175" t="str">
            <v>Government Hospital</v>
          </cell>
          <cell r="X175" t="str">
            <v>Mazumdar Shaw Medical Centre, Bangalore</v>
          </cell>
          <cell r="Y175" t="str">
            <v>Mazumdar Shaw Medical Centre, Bangalore</v>
          </cell>
          <cell r="Z175" t="str">
            <v>Dr Saurabh Bhargav, Bangalore</v>
          </cell>
          <cell r="AA175" t="str">
            <v>RCC</v>
          </cell>
          <cell r="AC175" t="str">
            <v>Left upper pole renal mass</v>
          </cell>
          <cell r="AE175" t="str">
            <v>Male</v>
          </cell>
          <cell r="AF175">
            <v>52</v>
          </cell>
          <cell r="AG175" t="str">
            <v>N</v>
          </cell>
          <cell r="AH175">
            <v>5.0999999999999996</v>
          </cell>
          <cell r="AI175" t="str">
            <v>Shashi</v>
          </cell>
          <cell r="AJ175" t="str">
            <v>Surgery</v>
          </cell>
          <cell r="AK175" t="str">
            <v>Primary</v>
          </cell>
          <cell r="AN175" t="str">
            <v>I</v>
          </cell>
          <cell r="AO175" t="str">
            <v>I</v>
          </cell>
          <cell r="AP175" t="str">
            <v>pT1b</v>
          </cell>
          <cell r="AV175">
            <v>44721</v>
          </cell>
          <cell r="AW175">
            <v>0.65277777777777779</v>
          </cell>
          <cell r="AX175">
            <v>0.71180555555555558</v>
          </cell>
          <cell r="AY175">
            <v>5.9027777777777776E-2</v>
          </cell>
          <cell r="AZ175">
            <v>7.9861111111111105E-2</v>
          </cell>
          <cell r="BA175">
            <v>0.12152777777777778</v>
          </cell>
          <cell r="BB175" t="str">
            <v>0.7/0.2-0.3*2.2*1.8</v>
          </cell>
          <cell r="BC175" t="str">
            <v>0.7/0.2-0.3*2.2*1.8</v>
          </cell>
          <cell r="BD175" t="str">
            <v>Manual</v>
          </cell>
          <cell r="BE175">
            <v>4</v>
          </cell>
          <cell r="BF175" t="str">
            <v>Kowshik</v>
          </cell>
          <cell r="BG175" t="str">
            <v>Y</v>
          </cell>
        </row>
        <row r="176">
          <cell r="A176" t="str">
            <v>FBR1S220137</v>
          </cell>
          <cell r="B176">
            <v>220137</v>
          </cell>
          <cell r="C176" t="str">
            <v>R&amp;D</v>
          </cell>
          <cell r="D176">
            <v>44725</v>
          </cell>
          <cell r="E176">
            <v>0.5395833333333333</v>
          </cell>
          <cell r="F176">
            <v>44713</v>
          </cell>
          <cell r="G176">
            <v>44725</v>
          </cell>
          <cell r="H176">
            <v>0.89166666666666672</v>
          </cell>
          <cell r="I176">
            <v>0.35208333333333336</v>
          </cell>
          <cell r="J176">
            <v>2</v>
          </cell>
          <cell r="K176" t="str">
            <v>FCB-PROTOCOL-01</v>
          </cell>
          <cell r="L176" t="str">
            <v>CLN/DBR/086</v>
          </cell>
          <cell r="M176" t="str">
            <v>Y</v>
          </cell>
          <cell r="N176" t="str">
            <v>DMS_v5 (1S)</v>
          </cell>
          <cell r="O176" t="str">
            <v>Internal R&amp;D</v>
          </cell>
          <cell r="P176" t="str">
            <v>Q1 Passed</v>
          </cell>
          <cell r="Q176" t="str">
            <v>Q1 Passed</v>
          </cell>
          <cell r="R176" t="str">
            <v>Q1.5 Passed</v>
          </cell>
          <cell r="S176" t="str">
            <v>Q1.5 Passed</v>
          </cell>
          <cell r="V176" t="str">
            <v>Tumor content 70-97%</v>
          </cell>
          <cell r="W176" t="str">
            <v>Clinic'les</v>
          </cell>
          <cell r="X176" t="str">
            <v>Clinic'les- DBR &amp; SK Hospital, Tirupati</v>
          </cell>
          <cell r="Y176" t="str">
            <v>DBR &amp; SK Hospital, Tirupati</v>
          </cell>
          <cell r="Z176" t="str">
            <v>Dr C Jayaprakash, Tirupati</v>
          </cell>
          <cell r="AA176" t="str">
            <v>HNSCC</v>
          </cell>
          <cell r="AC176" t="str">
            <v>Buccal Mucosa</v>
          </cell>
          <cell r="AD176" t="str">
            <v>Buccal Mucosa</v>
          </cell>
          <cell r="AE176" t="str">
            <v>Male</v>
          </cell>
          <cell r="AF176">
            <v>40</v>
          </cell>
          <cell r="AG176" t="str">
            <v>N</v>
          </cell>
          <cell r="AH176">
            <v>6.2</v>
          </cell>
          <cell r="AI176" t="str">
            <v>Kalappa</v>
          </cell>
          <cell r="AJ176" t="str">
            <v>Surgery</v>
          </cell>
          <cell r="AK176" t="str">
            <v>Primary</v>
          </cell>
          <cell r="AL176" t="str">
            <v>Chemotherapy</v>
          </cell>
          <cell r="AN176" t="str">
            <v>4a</v>
          </cell>
          <cell r="AP176" t="str">
            <v>T2N2MX</v>
          </cell>
          <cell r="AQ176">
            <v>5</v>
          </cell>
          <cell r="AR176" t="str">
            <v>Paclitaxel,Carboplatin</v>
          </cell>
          <cell r="AS176" t="str">
            <v>Squamous cell carcinoma</v>
          </cell>
          <cell r="AV176">
            <v>44725</v>
          </cell>
          <cell r="AW176">
            <v>0.92708333333333337</v>
          </cell>
          <cell r="AX176">
            <v>0.98958333333333337</v>
          </cell>
          <cell r="AY176">
            <v>6.25E-2</v>
          </cell>
          <cell r="AZ176">
            <v>9.7916666666666666E-2</v>
          </cell>
          <cell r="BA176">
            <v>0.45</v>
          </cell>
          <cell r="BB176" t="str">
            <v>0.4/0.2*1.4*1.7</v>
          </cell>
          <cell r="BC176" t="str">
            <v>0.4/0.2*1.4*1.7</v>
          </cell>
          <cell r="BD176" t="str">
            <v>Manual</v>
          </cell>
          <cell r="BE176">
            <v>4</v>
          </cell>
          <cell r="BF176" t="str">
            <v>Vasanth</v>
          </cell>
          <cell r="BG176" t="str">
            <v>Y</v>
          </cell>
        </row>
        <row r="177">
          <cell r="A177" t="str">
            <v>FBR1T220137</v>
          </cell>
          <cell r="B177">
            <v>220137</v>
          </cell>
          <cell r="C177" t="str">
            <v>R&amp;D</v>
          </cell>
          <cell r="D177">
            <v>44725</v>
          </cell>
          <cell r="E177">
            <v>0.5395833333333333</v>
          </cell>
          <cell r="F177">
            <v>44713</v>
          </cell>
          <cell r="G177">
            <v>44725</v>
          </cell>
          <cell r="H177">
            <v>0.89166666666666672</v>
          </cell>
          <cell r="I177">
            <v>0.35208333333333336</v>
          </cell>
          <cell r="J177">
            <v>2</v>
          </cell>
          <cell r="K177" t="str">
            <v>FCB-PROTOCOL-01</v>
          </cell>
          <cell r="L177" t="str">
            <v>CLN/DBR/086</v>
          </cell>
          <cell r="M177" t="str">
            <v>Y</v>
          </cell>
          <cell r="N177" t="str">
            <v>cc Study(1T)</v>
          </cell>
          <cell r="O177" t="str">
            <v>Internal R&amp;D</v>
          </cell>
          <cell r="P177" t="str">
            <v>Q1 Passed</v>
          </cell>
          <cell r="Q177" t="str">
            <v>Q1 Passed</v>
          </cell>
          <cell r="R177" t="str">
            <v>Q1.5 Passed</v>
          </cell>
          <cell r="S177" t="str">
            <v>Q1.5 Passed</v>
          </cell>
          <cell r="W177" t="str">
            <v>Clinic'les</v>
          </cell>
          <cell r="X177" t="str">
            <v>Clinic'les- DBR &amp; SK Hospital, Tirupati</v>
          </cell>
          <cell r="Y177" t="str">
            <v>DBR &amp; SK Hospital, Tirupati</v>
          </cell>
          <cell r="Z177" t="str">
            <v>Dr C Jayaprakash, Tirupati</v>
          </cell>
          <cell r="AA177" t="str">
            <v>HNSCC</v>
          </cell>
          <cell r="AC177" t="str">
            <v>Buccal Mucosa</v>
          </cell>
          <cell r="AD177" t="str">
            <v>Buccal Mucosa</v>
          </cell>
          <cell r="AE177" t="str">
            <v>Male</v>
          </cell>
          <cell r="AF177">
            <v>40</v>
          </cell>
          <cell r="AG177" t="str">
            <v>N</v>
          </cell>
          <cell r="AH177">
            <v>6.2</v>
          </cell>
          <cell r="AI177" t="str">
            <v>Kalappa</v>
          </cell>
          <cell r="AJ177" t="str">
            <v>Surgery</v>
          </cell>
          <cell r="AK177" t="str">
            <v>Primary</v>
          </cell>
          <cell r="AL177" t="str">
            <v>Chemotherapy</v>
          </cell>
          <cell r="AN177" t="str">
            <v>4a</v>
          </cell>
          <cell r="AP177" t="str">
            <v>T2N2MX</v>
          </cell>
          <cell r="AQ177">
            <v>5</v>
          </cell>
          <cell r="AR177" t="str">
            <v>Paclitaxel,Carboplatin</v>
          </cell>
          <cell r="AS177" t="str">
            <v>Squamous cell carcinoma</v>
          </cell>
          <cell r="AV177">
            <v>44725</v>
          </cell>
          <cell r="AW177">
            <v>0.92708333333333337</v>
          </cell>
          <cell r="AX177">
            <v>0.98958333333333337</v>
          </cell>
          <cell r="AY177">
            <v>6.25E-2</v>
          </cell>
          <cell r="AZ177">
            <v>9.7916666666666666E-2</v>
          </cell>
          <cell r="BA177">
            <v>0.45</v>
          </cell>
          <cell r="BB177" t="str">
            <v>0.4/0.2*1.4*1.7</v>
          </cell>
          <cell r="BC177" t="str">
            <v>0.4/0.2*1.4*1.7</v>
          </cell>
          <cell r="BD177" t="str">
            <v>Manual</v>
          </cell>
          <cell r="BE177">
            <v>4</v>
          </cell>
          <cell r="BF177" t="str">
            <v>Vasanth</v>
          </cell>
        </row>
        <row r="178">
          <cell r="A178" t="str">
            <v>FBR1S220138</v>
          </cell>
          <cell r="B178">
            <v>220138</v>
          </cell>
          <cell r="C178" t="str">
            <v>R&amp;D</v>
          </cell>
          <cell r="D178">
            <v>44726</v>
          </cell>
          <cell r="E178">
            <v>0.54652777777777772</v>
          </cell>
          <cell r="F178">
            <v>44713</v>
          </cell>
          <cell r="G178">
            <v>44726</v>
          </cell>
          <cell r="H178">
            <v>0.58888888888888891</v>
          </cell>
          <cell r="I178">
            <v>4.2361111111111113E-2</v>
          </cell>
          <cell r="J178">
            <v>8</v>
          </cell>
          <cell r="K178" t="str">
            <v>FCB-PROTOCOL-01</v>
          </cell>
          <cell r="L178" t="str">
            <v>VYD/108</v>
          </cell>
          <cell r="M178" t="str">
            <v>Y</v>
          </cell>
          <cell r="N178" t="str">
            <v>DMS_v5 (1S)</v>
          </cell>
          <cell r="O178" t="str">
            <v>Internal R&amp;D</v>
          </cell>
          <cell r="P178" t="str">
            <v>Q1 Passed</v>
          </cell>
          <cell r="Q178" t="str">
            <v>Q1 Passed</v>
          </cell>
          <cell r="R178" t="str">
            <v>Q1.5 Passed</v>
          </cell>
          <cell r="S178" t="str">
            <v>Q1.5 Passed</v>
          </cell>
          <cell r="V178" t="str">
            <v>Tumor content 2-20% in 5/7 explants;others no tumor</v>
          </cell>
          <cell r="W178" t="str">
            <v>Private Hospital</v>
          </cell>
          <cell r="X178" t="str">
            <v>Vydehi Hospital, Bangalore</v>
          </cell>
          <cell r="Y178" t="str">
            <v>Vydehi Hospital, Bangalore</v>
          </cell>
          <cell r="Z178" t="str">
            <v>Dr Amritha Prabha, Bangalore</v>
          </cell>
          <cell r="AA178" t="str">
            <v>HNSCC</v>
          </cell>
          <cell r="AC178" t="str">
            <v>Buccal Mucosa</v>
          </cell>
          <cell r="AD178" t="str">
            <v>Right Buccal Mucosa</v>
          </cell>
          <cell r="AE178" t="str">
            <v>Male</v>
          </cell>
          <cell r="AF178">
            <v>51</v>
          </cell>
          <cell r="AG178" t="str">
            <v>N</v>
          </cell>
          <cell r="AH178">
            <v>6.1</v>
          </cell>
          <cell r="AI178" t="str">
            <v>Maruthi</v>
          </cell>
          <cell r="AJ178" t="str">
            <v>Surgery</v>
          </cell>
          <cell r="AK178" t="str">
            <v>Primary</v>
          </cell>
          <cell r="AN178" t="str">
            <v>IVa</v>
          </cell>
          <cell r="AO178">
            <v>3</v>
          </cell>
          <cell r="AP178" t="str">
            <v>pT3N1</v>
          </cell>
          <cell r="AS178" t="str">
            <v>Squamous cell carcinoma</v>
          </cell>
          <cell r="AV178">
            <v>44726</v>
          </cell>
          <cell r="AW178">
            <v>0.60069444444444442</v>
          </cell>
          <cell r="AX178">
            <v>0.6875</v>
          </cell>
          <cell r="AY178">
            <v>8.6805555555555552E-2</v>
          </cell>
          <cell r="AZ178">
            <v>9.8611111111111108E-2</v>
          </cell>
          <cell r="BA178">
            <v>0.14097222222222222</v>
          </cell>
          <cell r="BB178" t="str">
            <v>0,6*1.6*1.2</v>
          </cell>
          <cell r="BC178" t="str">
            <v>0,6*1.6*1.2</v>
          </cell>
          <cell r="BD178" t="str">
            <v>Manual</v>
          </cell>
          <cell r="BE178">
            <v>4</v>
          </cell>
          <cell r="BF178" t="str">
            <v>Kowshik</v>
          </cell>
          <cell r="BG178" t="str">
            <v>Y</v>
          </cell>
        </row>
        <row r="179">
          <cell r="A179" t="str">
            <v>FBR1T220138</v>
          </cell>
          <cell r="B179">
            <v>220138</v>
          </cell>
          <cell r="C179" t="str">
            <v>R&amp;D</v>
          </cell>
          <cell r="D179">
            <v>44726</v>
          </cell>
          <cell r="E179">
            <v>0.54652777777777772</v>
          </cell>
          <cell r="F179">
            <v>44713</v>
          </cell>
          <cell r="G179">
            <v>44726</v>
          </cell>
          <cell r="H179">
            <v>0.58888888888888891</v>
          </cell>
          <cell r="I179">
            <v>4.2361111111111113E-2</v>
          </cell>
          <cell r="J179">
            <v>8</v>
          </cell>
          <cell r="K179" t="str">
            <v>FCB-PROTOCOL-01</v>
          </cell>
          <cell r="L179" t="str">
            <v>VYD/108</v>
          </cell>
          <cell r="M179" t="str">
            <v>Y</v>
          </cell>
          <cell r="N179" t="str">
            <v>cc Study(1T)</v>
          </cell>
          <cell r="O179" t="str">
            <v>Internal R&amp;D</v>
          </cell>
          <cell r="P179" t="str">
            <v>Q1 Passed</v>
          </cell>
          <cell r="Q179" t="str">
            <v>Q1 Passed</v>
          </cell>
          <cell r="R179" t="str">
            <v>Q1.5 Passed</v>
          </cell>
          <cell r="S179" t="str">
            <v>Q1.5 Passed</v>
          </cell>
          <cell r="W179" t="str">
            <v>Private Hospital</v>
          </cell>
          <cell r="X179" t="str">
            <v>Vydehi Hospital, Bangalore</v>
          </cell>
          <cell r="Y179" t="str">
            <v>Vydehi Hospital, Bangalore</v>
          </cell>
          <cell r="Z179" t="str">
            <v>Dr Amritha Prabha, Bangalore</v>
          </cell>
          <cell r="AA179" t="str">
            <v>HNSCC</v>
          </cell>
          <cell r="AC179" t="str">
            <v>Buccal Mucosa</v>
          </cell>
          <cell r="AD179" t="str">
            <v>Right Buccal Mucosa</v>
          </cell>
          <cell r="AE179" t="str">
            <v>Male</v>
          </cell>
          <cell r="AF179">
            <v>51</v>
          </cell>
          <cell r="AG179" t="str">
            <v>N</v>
          </cell>
          <cell r="AH179">
            <v>6.1</v>
          </cell>
          <cell r="AI179" t="str">
            <v>Maruthi</v>
          </cell>
          <cell r="AJ179" t="str">
            <v>Surgery</v>
          </cell>
          <cell r="AK179" t="str">
            <v>Primary</v>
          </cell>
          <cell r="AN179" t="str">
            <v>IVa</v>
          </cell>
          <cell r="AO179">
            <v>3</v>
          </cell>
          <cell r="AP179" t="str">
            <v>pT3N1</v>
          </cell>
          <cell r="AS179" t="str">
            <v>Squamous cell carcinoma</v>
          </cell>
          <cell r="AV179">
            <v>44726</v>
          </cell>
          <cell r="AW179">
            <v>0.60069444444444442</v>
          </cell>
          <cell r="AX179">
            <v>0.6875</v>
          </cell>
          <cell r="AY179">
            <v>8.6805555555555552E-2</v>
          </cell>
          <cell r="AZ179">
            <v>9.8611111111111108E-2</v>
          </cell>
          <cell r="BA179">
            <v>0.14097222222222222</v>
          </cell>
          <cell r="BB179" t="str">
            <v>0.6*1.6*1.2</v>
          </cell>
          <cell r="BC179" t="str">
            <v>0.6*1.6*1.2</v>
          </cell>
          <cell r="BD179" t="str">
            <v>Manual+Vibratome</v>
          </cell>
          <cell r="BE179">
            <v>4</v>
          </cell>
          <cell r="BF179" t="str">
            <v>Kowshik</v>
          </cell>
          <cell r="BG179" t="str">
            <v>Y</v>
          </cell>
        </row>
        <row r="180">
          <cell r="A180" t="str">
            <v>FBR1S220139</v>
          </cell>
          <cell r="B180">
            <v>220139</v>
          </cell>
          <cell r="C180" t="str">
            <v>R&amp;D</v>
          </cell>
          <cell r="D180">
            <v>44726</v>
          </cell>
          <cell r="E180">
            <v>0.52777777777777779</v>
          </cell>
          <cell r="F180">
            <v>44713</v>
          </cell>
          <cell r="G180">
            <v>44726</v>
          </cell>
          <cell r="H180">
            <v>0.90972222222222221</v>
          </cell>
          <cell r="I180">
            <v>0.38194444444444442</v>
          </cell>
          <cell r="J180">
            <v>10</v>
          </cell>
          <cell r="K180" t="str">
            <v>FCB-PROTOCOL-01</v>
          </cell>
          <cell r="L180" t="str">
            <v>CLN/DBR/087</v>
          </cell>
          <cell r="M180" t="str">
            <v>Y</v>
          </cell>
          <cell r="N180" t="str">
            <v>DMS_v5 (1S)</v>
          </cell>
          <cell r="O180" t="str">
            <v>Internal R&amp;D</v>
          </cell>
          <cell r="P180" t="str">
            <v>Q1 Passed</v>
          </cell>
          <cell r="Q180" t="str">
            <v>Q1 Passed</v>
          </cell>
          <cell r="R180" t="str">
            <v>Q1.5 Passed</v>
          </cell>
          <cell r="S180" t="str">
            <v>Q1.5 Passed</v>
          </cell>
          <cell r="V180" t="str">
            <v>Tumor content 8-40%, high immune component</v>
          </cell>
          <cell r="W180" t="str">
            <v>Clinic'les</v>
          </cell>
          <cell r="X180" t="str">
            <v>Clinic'les- DBR &amp; SK Hospital, Tirupati</v>
          </cell>
          <cell r="Y180" t="str">
            <v>DBR &amp; SK Hospital, Tirupati</v>
          </cell>
          <cell r="Z180" t="str">
            <v>Dr C Jayaprakash, Tirupati</v>
          </cell>
          <cell r="AA180" t="str">
            <v>HNSCC</v>
          </cell>
          <cell r="AC180" t="str">
            <v>Buccal Mucosa</v>
          </cell>
          <cell r="AD180" t="str">
            <v>Buccal Mucosa</v>
          </cell>
          <cell r="AE180" t="str">
            <v>Female</v>
          </cell>
          <cell r="AF180">
            <v>56</v>
          </cell>
          <cell r="AG180" t="str">
            <v>N</v>
          </cell>
          <cell r="AH180">
            <v>5.0999999999999996</v>
          </cell>
          <cell r="AI180" t="str">
            <v>Shashi</v>
          </cell>
          <cell r="AJ180" t="str">
            <v>Surgery</v>
          </cell>
          <cell r="AK180" t="str">
            <v>Primary</v>
          </cell>
          <cell r="AN180">
            <v>2</v>
          </cell>
          <cell r="AP180" t="str">
            <v>T2NoMX</v>
          </cell>
          <cell r="AS180" t="str">
            <v>Squamous cell carcinoma</v>
          </cell>
          <cell r="AV180">
            <v>44726</v>
          </cell>
          <cell r="AW180">
            <v>0.92013888888888884</v>
          </cell>
          <cell r="AX180">
            <v>0.97222222222222221</v>
          </cell>
          <cell r="AY180">
            <v>5.2083333333333336E-2</v>
          </cell>
          <cell r="AZ180">
            <v>6.25E-2</v>
          </cell>
          <cell r="BA180">
            <v>0.44444444444444442</v>
          </cell>
          <cell r="BB180" t="str">
            <v>2.5*0.8*1.0</v>
          </cell>
          <cell r="BC180" t="str">
            <v>2.5*0.8*1.0</v>
          </cell>
          <cell r="BD180" t="str">
            <v>Manual</v>
          </cell>
          <cell r="BE180">
            <v>4</v>
          </cell>
          <cell r="BF180" t="str">
            <v>Gowri</v>
          </cell>
          <cell r="BG180" t="str">
            <v>Y</v>
          </cell>
        </row>
        <row r="181">
          <cell r="A181" t="str">
            <v>FBR1S220140</v>
          </cell>
          <cell r="B181">
            <v>220140</v>
          </cell>
          <cell r="C181" t="str">
            <v>R&amp;D</v>
          </cell>
          <cell r="D181">
            <v>44727</v>
          </cell>
          <cell r="E181">
            <v>0.6020833333333333</v>
          </cell>
          <cell r="F181">
            <v>44713</v>
          </cell>
          <cell r="G181">
            <v>44727</v>
          </cell>
          <cell r="H181">
            <v>0.93888888888888888</v>
          </cell>
          <cell r="I181">
            <v>0.33680555555555558</v>
          </cell>
          <cell r="J181">
            <v>2</v>
          </cell>
          <cell r="K181" t="str">
            <v>FCB-PROTOCOL-01</v>
          </cell>
          <cell r="L181" t="str">
            <v>CLN/DBR/088</v>
          </cell>
          <cell r="M181" t="str">
            <v>Y</v>
          </cell>
          <cell r="N181" t="str">
            <v>DMS_v5 (1S)</v>
          </cell>
          <cell r="O181" t="str">
            <v>Internal R&amp;D</v>
          </cell>
          <cell r="P181" t="str">
            <v>Q1 Passed</v>
          </cell>
          <cell r="Q181" t="str">
            <v>Q1 Passed</v>
          </cell>
          <cell r="R181" t="str">
            <v>Q1.5 Passed</v>
          </cell>
          <cell r="S181" t="str">
            <v>Q1.5 Passed</v>
          </cell>
          <cell r="V181" t="str">
            <v>High tumor content in all fragments</v>
          </cell>
          <cell r="W181" t="str">
            <v>Clinic'les</v>
          </cell>
          <cell r="X181" t="str">
            <v>Clinic'les- DBR &amp; SK Hospital, Tirupati</v>
          </cell>
          <cell r="Y181" t="str">
            <v>DBR &amp; SK Hospital, Tirupati</v>
          </cell>
          <cell r="Z181" t="str">
            <v>Dr C Jayaprakash, Tirupati</v>
          </cell>
          <cell r="AA181" t="str">
            <v>HNSCC</v>
          </cell>
          <cell r="AC181" t="str">
            <v>Tongue</v>
          </cell>
          <cell r="AD181" t="str">
            <v>Tongue</v>
          </cell>
          <cell r="AE181" t="str">
            <v>Female</v>
          </cell>
          <cell r="AF181">
            <v>94</v>
          </cell>
          <cell r="AG181" t="str">
            <v>N</v>
          </cell>
          <cell r="AH181">
            <v>5.9</v>
          </cell>
          <cell r="AI181" t="str">
            <v>Kalappa</v>
          </cell>
          <cell r="AJ181" t="str">
            <v>Surgery</v>
          </cell>
          <cell r="AK181" t="str">
            <v>Primary</v>
          </cell>
          <cell r="AN181">
            <v>2</v>
          </cell>
          <cell r="AP181" t="str">
            <v>T2NoMX</v>
          </cell>
          <cell r="AS181" t="str">
            <v>Squamous cell carcinoma</v>
          </cell>
          <cell r="AV181">
            <v>44727</v>
          </cell>
          <cell r="AW181">
            <v>0.95277777777777772</v>
          </cell>
          <cell r="AX181">
            <v>0.99861111111111112</v>
          </cell>
          <cell r="AY181">
            <v>4.583333333333333E-2</v>
          </cell>
          <cell r="AZ181">
            <v>5.9722222222222225E-2</v>
          </cell>
          <cell r="BA181">
            <v>0.39652777777777776</v>
          </cell>
          <cell r="BB181" t="str">
            <v>1.0*1.2*1.8</v>
          </cell>
          <cell r="BC181" t="str">
            <v>1.0*1.2*1.8</v>
          </cell>
          <cell r="BD181" t="str">
            <v>Vibratome</v>
          </cell>
          <cell r="BE181">
            <v>4</v>
          </cell>
          <cell r="BF181" t="str">
            <v>Gowri</v>
          </cell>
          <cell r="BG181" t="str">
            <v>N</v>
          </cell>
        </row>
        <row r="182">
          <cell r="A182" t="str">
            <v>FBR1T220140</v>
          </cell>
          <cell r="B182">
            <v>220140</v>
          </cell>
          <cell r="C182" t="str">
            <v>R&amp;D</v>
          </cell>
          <cell r="D182">
            <v>44727</v>
          </cell>
          <cell r="E182">
            <v>0.6020833333333333</v>
          </cell>
          <cell r="F182">
            <v>44713</v>
          </cell>
          <cell r="G182">
            <v>44727</v>
          </cell>
          <cell r="H182">
            <v>0.93888888888888888</v>
          </cell>
          <cell r="I182">
            <v>0.33680555555555558</v>
          </cell>
          <cell r="J182">
            <v>2</v>
          </cell>
          <cell r="K182" t="str">
            <v>FCB-PROTOCOL-01</v>
          </cell>
          <cell r="L182" t="str">
            <v>CLN/DBR/088</v>
          </cell>
          <cell r="M182" t="str">
            <v>Y</v>
          </cell>
          <cell r="N182" t="str">
            <v>cc Study(1T)</v>
          </cell>
          <cell r="O182" t="str">
            <v>Internal R&amp;D</v>
          </cell>
          <cell r="P182" t="str">
            <v>Q1 Passed</v>
          </cell>
          <cell r="Q182" t="str">
            <v>Q1 Passed</v>
          </cell>
          <cell r="R182" t="str">
            <v>Q1.5 Passed</v>
          </cell>
          <cell r="S182" t="str">
            <v>Q1.5 Passed</v>
          </cell>
          <cell r="W182" t="str">
            <v>Clinic'les</v>
          </cell>
          <cell r="X182" t="str">
            <v>Clinic'les- DBR &amp; SK Hospital, Tirupati</v>
          </cell>
          <cell r="Y182" t="str">
            <v>DBR &amp; SK Hospital, Tirupati</v>
          </cell>
          <cell r="Z182" t="str">
            <v>Dr C Jayaprakash, Tirupati</v>
          </cell>
          <cell r="AA182" t="str">
            <v>HNSCC</v>
          </cell>
          <cell r="AC182" t="str">
            <v>Tongue</v>
          </cell>
          <cell r="AD182" t="str">
            <v>Tongue</v>
          </cell>
          <cell r="AE182" t="str">
            <v>Female</v>
          </cell>
          <cell r="AF182">
            <v>94</v>
          </cell>
          <cell r="AG182" t="str">
            <v>N</v>
          </cell>
          <cell r="AH182">
            <v>5.9</v>
          </cell>
          <cell r="AI182" t="str">
            <v>Kalappa</v>
          </cell>
          <cell r="AJ182" t="str">
            <v>Surgery</v>
          </cell>
          <cell r="AK182" t="str">
            <v>Primary</v>
          </cell>
          <cell r="AN182">
            <v>2</v>
          </cell>
          <cell r="AP182" t="str">
            <v>T2NoMX</v>
          </cell>
          <cell r="AS182" t="str">
            <v>Squamous cell carcinoma</v>
          </cell>
          <cell r="AV182">
            <v>44727</v>
          </cell>
          <cell r="AW182">
            <v>0.95277777777777772</v>
          </cell>
          <cell r="AX182">
            <v>0.99861111111111112</v>
          </cell>
          <cell r="AY182">
            <v>4.583333333333333E-2</v>
          </cell>
          <cell r="AZ182">
            <v>5.9722222222222225E-2</v>
          </cell>
          <cell r="BA182">
            <v>0.39652777777777776</v>
          </cell>
          <cell r="BB182" t="str">
            <v>1.0*1.2*1.8</v>
          </cell>
          <cell r="BC182" t="str">
            <v>1.0*1.2*1.8</v>
          </cell>
          <cell r="BD182" t="str">
            <v>Vibratome</v>
          </cell>
          <cell r="BE182">
            <v>4</v>
          </cell>
          <cell r="BF182" t="str">
            <v>Gowri</v>
          </cell>
          <cell r="BG182" t="str">
            <v>N</v>
          </cell>
        </row>
        <row r="183">
          <cell r="A183" t="str">
            <v>FBR1S220141</v>
          </cell>
          <cell r="B183">
            <v>220141</v>
          </cell>
          <cell r="C183" t="str">
            <v>R&amp;D</v>
          </cell>
          <cell r="D183">
            <v>44728</v>
          </cell>
          <cell r="E183">
            <v>0.49444444444444446</v>
          </cell>
          <cell r="F183">
            <v>44713</v>
          </cell>
          <cell r="G183">
            <v>44728</v>
          </cell>
          <cell r="H183">
            <v>0.54791666666666672</v>
          </cell>
          <cell r="I183">
            <v>5.347222222222222E-2</v>
          </cell>
          <cell r="J183">
            <v>4</v>
          </cell>
          <cell r="K183" t="str">
            <v>FCB-PROTOCOL-01</v>
          </cell>
          <cell r="L183" t="str">
            <v>VYD/109</v>
          </cell>
          <cell r="M183" t="str">
            <v>Y</v>
          </cell>
          <cell r="N183" t="str">
            <v>DMS_v5 (1S)</v>
          </cell>
          <cell r="O183" t="str">
            <v>Internal R&amp;D</v>
          </cell>
          <cell r="P183" t="str">
            <v>Q1 Passed</v>
          </cell>
          <cell r="Q183" t="str">
            <v>Q1 Passed</v>
          </cell>
          <cell r="R183" t="str">
            <v>Q1.5 Passed</v>
          </cell>
          <cell r="S183" t="str">
            <v>Q1.5 Passed</v>
          </cell>
          <cell r="V183" t="str">
            <v>High tumor content in all fragments</v>
          </cell>
          <cell r="W183" t="str">
            <v>Private Hospital</v>
          </cell>
          <cell r="X183" t="str">
            <v>Vydehi Hospital, Bangalore</v>
          </cell>
          <cell r="Y183" t="str">
            <v>Vydehi Hospital, Bangalore</v>
          </cell>
          <cell r="Z183" t="str">
            <v>Dr Amritha Prabha, Bangalore</v>
          </cell>
          <cell r="AA183" t="str">
            <v>HNSCC</v>
          </cell>
          <cell r="AC183" t="str">
            <v>Lip</v>
          </cell>
          <cell r="AD183" t="str">
            <v>lower lip</v>
          </cell>
          <cell r="AE183" t="str">
            <v>Male</v>
          </cell>
          <cell r="AF183">
            <v>72</v>
          </cell>
          <cell r="AG183" t="str">
            <v>N</v>
          </cell>
          <cell r="AH183">
            <v>3.1</v>
          </cell>
          <cell r="AI183" t="str">
            <v>Kalappa</v>
          </cell>
          <cell r="AJ183" t="str">
            <v>Surgery</v>
          </cell>
          <cell r="AK183" t="str">
            <v>Primary</v>
          </cell>
          <cell r="AN183" t="str">
            <v>IVa</v>
          </cell>
          <cell r="AO183">
            <v>2</v>
          </cell>
          <cell r="AP183" t="str">
            <v>pT3N2a</v>
          </cell>
          <cell r="AS183" t="str">
            <v>Squamous cell carcinoma</v>
          </cell>
          <cell r="AV183">
            <v>44728</v>
          </cell>
          <cell r="AW183">
            <v>0.625</v>
          </cell>
          <cell r="AX183">
            <v>0.65625</v>
          </cell>
          <cell r="AY183">
            <v>3.125E-2</v>
          </cell>
          <cell r="AZ183">
            <v>0.10833333333333334</v>
          </cell>
          <cell r="BA183">
            <v>0.16180555555555556</v>
          </cell>
          <cell r="BB183" t="str">
            <v>0.3*0.8*1.0
0.4*0.8*0.8
0.2*0.8*0.*</v>
          </cell>
          <cell r="BC183" t="str">
            <v>0.3*0.8*1.0
0.4*0.8*0.8
0.2*0.8*0.*</v>
          </cell>
          <cell r="BD183" t="str">
            <v>Manual</v>
          </cell>
          <cell r="BE183">
            <v>4</v>
          </cell>
          <cell r="BF183" t="str">
            <v>Kowshik</v>
          </cell>
          <cell r="BG183" t="str">
            <v>Y</v>
          </cell>
        </row>
        <row r="184">
          <cell r="A184" t="str">
            <v>FBR1T220141</v>
          </cell>
          <cell r="B184">
            <v>220141</v>
          </cell>
          <cell r="C184" t="str">
            <v>R&amp;D</v>
          </cell>
          <cell r="D184">
            <v>44728</v>
          </cell>
          <cell r="E184">
            <v>0.49444444444444446</v>
          </cell>
          <cell r="F184">
            <v>44713</v>
          </cell>
          <cell r="G184">
            <v>44728</v>
          </cell>
          <cell r="H184">
            <v>0.54791666666666672</v>
          </cell>
          <cell r="I184">
            <v>5.347222222222222E-2</v>
          </cell>
          <cell r="J184">
            <v>4</v>
          </cell>
          <cell r="K184" t="str">
            <v>FCB-PROTOCOL-01</v>
          </cell>
          <cell r="L184" t="str">
            <v>VYD/109</v>
          </cell>
          <cell r="M184" t="str">
            <v>Y</v>
          </cell>
          <cell r="N184" t="str">
            <v>cc Study(1T)</v>
          </cell>
          <cell r="O184" t="str">
            <v>Internal R&amp;D</v>
          </cell>
          <cell r="P184" t="str">
            <v>Q1 Passed</v>
          </cell>
          <cell r="Q184" t="str">
            <v>Q1 Passed</v>
          </cell>
          <cell r="R184" t="str">
            <v>Q1.5 Passed</v>
          </cell>
          <cell r="S184" t="str">
            <v>Q1.5 Passed</v>
          </cell>
          <cell r="W184" t="str">
            <v>Private Hospital</v>
          </cell>
          <cell r="X184" t="str">
            <v>Vydehi Hospital, Bangalore</v>
          </cell>
          <cell r="Y184" t="str">
            <v>Vydehi Hospital, Bangalore</v>
          </cell>
          <cell r="Z184" t="str">
            <v>Dr Amritha Prabha, Bangalore</v>
          </cell>
          <cell r="AA184" t="str">
            <v>HNSCC</v>
          </cell>
          <cell r="AC184" t="str">
            <v>Lip</v>
          </cell>
          <cell r="AD184" t="str">
            <v>lower lip</v>
          </cell>
          <cell r="AE184" t="str">
            <v>Male</v>
          </cell>
          <cell r="AF184">
            <v>72</v>
          </cell>
          <cell r="AG184" t="str">
            <v>N</v>
          </cell>
          <cell r="AH184">
            <v>3.1</v>
          </cell>
          <cell r="AI184" t="str">
            <v>Kalappa</v>
          </cell>
          <cell r="AJ184" t="str">
            <v>Surgery</v>
          </cell>
          <cell r="AK184" t="str">
            <v>Primary</v>
          </cell>
          <cell r="AN184" t="str">
            <v>IVa</v>
          </cell>
          <cell r="AO184">
            <v>2</v>
          </cell>
          <cell r="AP184" t="str">
            <v>pT3N2a</v>
          </cell>
          <cell r="AS184" t="str">
            <v>Squamous cell carcinoma</v>
          </cell>
          <cell r="AV184">
            <v>44728</v>
          </cell>
          <cell r="AW184">
            <v>0.625</v>
          </cell>
          <cell r="AX184">
            <v>0.65625</v>
          </cell>
          <cell r="AY184">
            <v>3.125E-2</v>
          </cell>
          <cell r="AZ184">
            <v>0.10833333333333334</v>
          </cell>
          <cell r="BA184">
            <v>0.16180555555555556</v>
          </cell>
          <cell r="BB184" t="str">
            <v>0.3*0.8*1.0
0.4*0.8*0.8
0.2*0.8*0.*</v>
          </cell>
          <cell r="BC184" t="str">
            <v>0.3*0.8*1.0
0.4*0.8*0.8
0.2*0.8*0.*</v>
          </cell>
          <cell r="BD184" t="str">
            <v>Manual</v>
          </cell>
          <cell r="BE184">
            <v>4</v>
          </cell>
          <cell r="BF184" t="str">
            <v>Kowshik</v>
          </cell>
          <cell r="BG184" t="str">
            <v>Y</v>
          </cell>
        </row>
        <row r="185">
          <cell r="A185" t="str">
            <v>FBR1M220142</v>
          </cell>
          <cell r="B185">
            <v>220142</v>
          </cell>
          <cell r="C185" t="str">
            <v>R&amp;D</v>
          </cell>
          <cell r="D185">
            <v>44728</v>
          </cell>
          <cell r="E185">
            <v>0.52430555555555558</v>
          </cell>
          <cell r="F185">
            <v>44713</v>
          </cell>
          <cell r="G185">
            <v>44728</v>
          </cell>
          <cell r="H185">
            <v>0.59722222222222221</v>
          </cell>
          <cell r="I185">
            <v>7.2916666666666671E-2</v>
          </cell>
          <cell r="J185">
            <v>92</v>
          </cell>
          <cell r="K185" t="str">
            <v>FCB-PROTOCOL-02</v>
          </cell>
          <cell r="L185" t="str">
            <v>RC007</v>
          </cell>
          <cell r="M185" t="str">
            <v>Y</v>
          </cell>
          <cell r="N185" t="str">
            <v>DMS_RCC</v>
          </cell>
          <cell r="O185" t="str">
            <v>Internal R&amp;D</v>
          </cell>
          <cell r="P185" t="str">
            <v>Q1 Passed</v>
          </cell>
          <cell r="Q185" t="str">
            <v>Q1 Passed</v>
          </cell>
          <cell r="R185" t="str">
            <v>Q1.5 Passed</v>
          </cell>
          <cell r="S185" t="str">
            <v>Q1.5 Passed</v>
          </cell>
          <cell r="V185" t="str">
            <v>Tumor content 4-40% in 3/7 explants. Hemorrhagic areas present.</v>
          </cell>
          <cell r="W185" t="str">
            <v>Government Hospital</v>
          </cell>
          <cell r="X185" t="str">
            <v>Mazumdar Shaw Medical Centre, Bangalore</v>
          </cell>
          <cell r="Y185" t="str">
            <v>Mazumdar Shaw Medical Centre, Bangalore</v>
          </cell>
          <cell r="Z185" t="str">
            <v>Dr Saurabh Bhargav, Bangalore</v>
          </cell>
          <cell r="AA185" t="str">
            <v>RCC</v>
          </cell>
          <cell r="AC185" t="str">
            <v>Renal</v>
          </cell>
          <cell r="AD185" t="str">
            <v>Right renal cell mass</v>
          </cell>
          <cell r="AE185" t="str">
            <v>Male</v>
          </cell>
          <cell r="AF185">
            <v>75</v>
          </cell>
          <cell r="AG185" t="str">
            <v>N</v>
          </cell>
          <cell r="AH185">
            <v>5.2</v>
          </cell>
          <cell r="AI185" t="str">
            <v>Shashi</v>
          </cell>
          <cell r="AJ185" t="str">
            <v>Surgery</v>
          </cell>
          <cell r="AK185" t="str">
            <v>Primary</v>
          </cell>
          <cell r="AN185">
            <v>1</v>
          </cell>
          <cell r="AO185" t="str">
            <v xml:space="preserve"> ISUP nuclear grade I
Tumor shows nested architecture and cystic spaces lined by clear cells and with eosinophilic secretions.
</v>
          </cell>
          <cell r="AP185" t="str">
            <v>pT1a</v>
          </cell>
          <cell r="AV185">
            <v>44728</v>
          </cell>
          <cell r="AW185">
            <v>0.63888888888888884</v>
          </cell>
          <cell r="AX185">
            <v>0.65277777777777779</v>
          </cell>
          <cell r="AY185">
            <v>1.3888888888888888E-2</v>
          </cell>
          <cell r="AZ185">
            <v>5.5555555555555552E-2</v>
          </cell>
          <cell r="BA185">
            <v>0.12847222222222221</v>
          </cell>
          <cell r="BB185" t="str">
            <v>0.6/0.2*0.8*0.6</v>
          </cell>
          <cell r="BC185" t="str">
            <v>0.6/0.2*0.8*0.6</v>
          </cell>
          <cell r="BD185" t="str">
            <v>Manual</v>
          </cell>
          <cell r="BE185">
            <v>4</v>
          </cell>
          <cell r="BF185" t="str">
            <v>Gowri</v>
          </cell>
          <cell r="BG185" t="str">
            <v>Y</v>
          </cell>
        </row>
        <row r="186">
          <cell r="A186" t="str">
            <v>FBR1M220143</v>
          </cell>
          <cell r="B186">
            <v>220143</v>
          </cell>
          <cell r="C186" t="str">
            <v>R&amp;D</v>
          </cell>
          <cell r="D186">
            <v>44728</v>
          </cell>
          <cell r="E186">
            <v>0.67500000000000004</v>
          </cell>
          <cell r="F186">
            <v>44713</v>
          </cell>
          <cell r="G186">
            <v>44728</v>
          </cell>
          <cell r="H186">
            <v>0.75069444444444444</v>
          </cell>
          <cell r="I186">
            <v>7.5694444444444439E-2</v>
          </cell>
          <cell r="J186">
            <v>49</v>
          </cell>
          <cell r="K186" t="str">
            <v>FCB-PROTOCOL-02</v>
          </cell>
          <cell r="L186" t="str">
            <v>RC008</v>
          </cell>
          <cell r="M186" t="str">
            <v>Y</v>
          </cell>
          <cell r="N186" t="str">
            <v>DMS_RCC</v>
          </cell>
          <cell r="O186" t="str">
            <v>Internal R&amp;D</v>
          </cell>
          <cell r="P186" t="str">
            <v>Q1 Passed</v>
          </cell>
          <cell r="Q186" t="str">
            <v>Q1 Passed</v>
          </cell>
          <cell r="R186" t="str">
            <v>Q1.5 Passed</v>
          </cell>
          <cell r="S186" t="str">
            <v>Q1.5 Passed</v>
          </cell>
          <cell r="V186" t="str">
            <v>Tumor content 40-95%</v>
          </cell>
          <cell r="W186" t="str">
            <v>Government Hospital</v>
          </cell>
          <cell r="X186" t="str">
            <v>Mazumdar Shaw Medical Centre, Bangalore</v>
          </cell>
          <cell r="Y186" t="str">
            <v>Mazumdar Shaw Medical Centre, Bangalore</v>
          </cell>
          <cell r="Z186" t="str">
            <v>Dr Saurabh Bhargav, Bangalore</v>
          </cell>
          <cell r="AA186" t="str">
            <v>RCC</v>
          </cell>
          <cell r="AC186" t="str">
            <v>Renal</v>
          </cell>
          <cell r="AD186" t="str">
            <v>Left renal Mass</v>
          </cell>
          <cell r="AE186" t="str">
            <v>Male</v>
          </cell>
          <cell r="AF186">
            <v>55</v>
          </cell>
          <cell r="AG186" t="str">
            <v>N</v>
          </cell>
          <cell r="AH186">
            <v>5.4</v>
          </cell>
          <cell r="AI186" t="str">
            <v>Maruthi</v>
          </cell>
          <cell r="AJ186" t="str">
            <v>Surgery</v>
          </cell>
          <cell r="AK186" t="str">
            <v>Primary</v>
          </cell>
          <cell r="AN186">
            <v>1</v>
          </cell>
          <cell r="AO186" t="str">
            <v>G1 (nucleoli absent or inconspicuous and basophilic 
at 400x magnification).</v>
          </cell>
          <cell r="AP186" t="str">
            <v>pT2a</v>
          </cell>
          <cell r="AV186">
            <v>44728</v>
          </cell>
          <cell r="AW186">
            <v>0.8125</v>
          </cell>
          <cell r="AX186">
            <v>0.84722222222222221</v>
          </cell>
          <cell r="AY186">
            <v>3.4722222222222224E-2</v>
          </cell>
          <cell r="AZ186">
            <v>9.6527777777777782E-2</v>
          </cell>
          <cell r="BA186">
            <v>0.17222222222222222</v>
          </cell>
          <cell r="BB186" t="str">
            <v>0.8*1.6*1.4</v>
          </cell>
          <cell r="BC186" t="str">
            <v>0.8*1.6*1.4</v>
          </cell>
          <cell r="BD186" t="str">
            <v>Manual</v>
          </cell>
          <cell r="BE186">
            <v>4</v>
          </cell>
          <cell r="BF186" t="str">
            <v>Gowri</v>
          </cell>
          <cell r="BG186" t="str">
            <v>Y</v>
          </cell>
        </row>
        <row r="187">
          <cell r="A187" t="str">
            <v>FBR1S220144</v>
          </cell>
          <cell r="B187">
            <v>220144</v>
          </cell>
          <cell r="C187" t="str">
            <v>R&amp;D</v>
          </cell>
          <cell r="D187">
            <v>44730</v>
          </cell>
          <cell r="E187">
            <v>0.52083333333333337</v>
          </cell>
          <cell r="F187">
            <v>44713</v>
          </cell>
          <cell r="G187">
            <v>44730</v>
          </cell>
          <cell r="H187">
            <v>0.86805555555555558</v>
          </cell>
          <cell r="I187">
            <v>0.34722222222222221</v>
          </cell>
          <cell r="J187">
            <v>10</v>
          </cell>
          <cell r="K187" t="str">
            <v>FCB-PROTOCOL-01</v>
          </cell>
          <cell r="L187" t="str">
            <v>CLN/DBR/089</v>
          </cell>
          <cell r="M187" t="str">
            <v>Y</v>
          </cell>
          <cell r="N187" t="str">
            <v>DMS_v5 (1S)</v>
          </cell>
          <cell r="O187" t="str">
            <v>Internal R&amp;D</v>
          </cell>
          <cell r="P187" t="str">
            <v>Q1 Passed</v>
          </cell>
          <cell r="Q187" t="str">
            <v>Q1 Passed</v>
          </cell>
          <cell r="R187" t="str">
            <v>Q1.5 Passed</v>
          </cell>
          <cell r="S187" t="str">
            <v>Q1.5 Passed</v>
          </cell>
          <cell r="V187" t="str">
            <v>Tumor content 65-90%</v>
          </cell>
          <cell r="W187" t="str">
            <v>Clinic'les</v>
          </cell>
          <cell r="X187" t="str">
            <v>Clinic'les- DBR &amp; SK Hospital, Tirupati</v>
          </cell>
          <cell r="Y187" t="str">
            <v>DBR &amp; SK Hospital, Tirupati</v>
          </cell>
          <cell r="Z187" t="str">
            <v>Dr C Jayaprakash, Tirupati</v>
          </cell>
          <cell r="AA187" t="str">
            <v>HNSCC</v>
          </cell>
          <cell r="AC187" t="str">
            <v>Buccal Mucosa</v>
          </cell>
          <cell r="AD187" t="str">
            <v>Buccal Mucosa</v>
          </cell>
          <cell r="AE187" t="str">
            <v>Female</v>
          </cell>
          <cell r="AF187">
            <v>45</v>
          </cell>
          <cell r="AG187" t="str">
            <v>N</v>
          </cell>
          <cell r="AH187">
            <v>5.0999999999999996</v>
          </cell>
          <cell r="AI187" t="str">
            <v>Shashi</v>
          </cell>
          <cell r="AJ187" t="str">
            <v>Surgery</v>
          </cell>
          <cell r="AK187" t="str">
            <v>Primary</v>
          </cell>
          <cell r="AN187">
            <v>3</v>
          </cell>
          <cell r="AP187" t="str">
            <v>T3NoMX</v>
          </cell>
          <cell r="AS187" t="str">
            <v>Squamous cell carcinoma</v>
          </cell>
          <cell r="AV187">
            <v>44730</v>
          </cell>
          <cell r="AW187">
            <v>0.88888888888888884</v>
          </cell>
          <cell r="AX187">
            <v>0.9375</v>
          </cell>
          <cell r="AY187">
            <v>4.8611111111111112E-2</v>
          </cell>
          <cell r="AZ187">
            <v>6.9444444444444448E-2</v>
          </cell>
          <cell r="BA187">
            <v>0.41666666666666669</v>
          </cell>
          <cell r="BB187" t="str">
            <v>0.4*1.2*0.8
0.3/0.5*1.0*0.6</v>
          </cell>
          <cell r="BC187" t="str">
            <v>0.4*1.2*0.6
0.4*1.0*0.6</v>
          </cell>
          <cell r="BD187" t="str">
            <v>Manual</v>
          </cell>
          <cell r="BE187">
            <v>4</v>
          </cell>
          <cell r="BF187" t="str">
            <v>Kowshik</v>
          </cell>
          <cell r="BG187" t="str">
            <v>Y</v>
          </cell>
        </row>
        <row r="188">
          <cell r="A188" t="str">
            <v>FBR1T220144</v>
          </cell>
          <cell r="B188">
            <v>220144</v>
          </cell>
          <cell r="C188" t="str">
            <v>R&amp;D</v>
          </cell>
          <cell r="D188">
            <v>44730</v>
          </cell>
          <cell r="E188">
            <v>0.52083333333333337</v>
          </cell>
          <cell r="F188">
            <v>44713</v>
          </cell>
          <cell r="G188">
            <v>44730</v>
          </cell>
          <cell r="H188">
            <v>0.86805555555555558</v>
          </cell>
          <cell r="I188">
            <v>0.34722222222222221</v>
          </cell>
          <cell r="J188">
            <v>10</v>
          </cell>
          <cell r="K188" t="str">
            <v>FCB-PROTOCOL-01</v>
          </cell>
          <cell r="L188" t="str">
            <v>CLN/DBR/089</v>
          </cell>
          <cell r="M188" t="str">
            <v>Y</v>
          </cell>
          <cell r="N188" t="str">
            <v>cc Study(1T)</v>
          </cell>
          <cell r="O188" t="str">
            <v>Internal R&amp;D</v>
          </cell>
          <cell r="P188" t="str">
            <v>Q1 Passed</v>
          </cell>
          <cell r="Q188" t="str">
            <v>Q1 Passed</v>
          </cell>
          <cell r="R188" t="str">
            <v>Q1.5 Passed</v>
          </cell>
          <cell r="S188" t="str">
            <v>Q1.5 Passed</v>
          </cell>
          <cell r="W188" t="str">
            <v>Clinic'les</v>
          </cell>
          <cell r="X188" t="str">
            <v>Clinic'les- DBR &amp; SK Hospital, Tirupati</v>
          </cell>
          <cell r="Y188" t="str">
            <v>DBR &amp; SK Hospital, Tirupati</v>
          </cell>
          <cell r="Z188" t="str">
            <v>Dr C Jayaprakash, Tirupati</v>
          </cell>
          <cell r="AA188" t="str">
            <v>HNSCC</v>
          </cell>
          <cell r="AC188" t="str">
            <v>Buccal Mucosa</v>
          </cell>
          <cell r="AD188" t="str">
            <v>Buccal Mucosa</v>
          </cell>
          <cell r="AE188" t="str">
            <v>Female</v>
          </cell>
          <cell r="AF188">
            <v>45</v>
          </cell>
          <cell r="AG188" t="str">
            <v>N</v>
          </cell>
          <cell r="AH188">
            <v>5.0999999999999996</v>
          </cell>
          <cell r="AI188" t="str">
            <v>Shashi</v>
          </cell>
          <cell r="AJ188" t="str">
            <v>Surgery</v>
          </cell>
          <cell r="AK188" t="str">
            <v>Primary</v>
          </cell>
          <cell r="AN188">
            <v>3</v>
          </cell>
          <cell r="AP188" t="str">
            <v>T3NoMX</v>
          </cell>
          <cell r="AS188" t="str">
            <v>Squamous cell carcinoma</v>
          </cell>
          <cell r="AV188">
            <v>44730</v>
          </cell>
          <cell r="AW188">
            <v>0.88888888888888884</v>
          </cell>
          <cell r="AX188">
            <v>0.9375</v>
          </cell>
          <cell r="AY188">
            <v>4.8611111111111112E-2</v>
          </cell>
          <cell r="AZ188">
            <v>6.9444444444444448E-2</v>
          </cell>
          <cell r="BA188">
            <v>0.41666666666666669</v>
          </cell>
          <cell r="BB188" t="str">
            <v>0.4*1.2*0.8
0.3/0.5*1.0*0.6</v>
          </cell>
          <cell r="BC188" t="str">
            <v>0.4*1.2*0.6
0.4*1.0*0.6</v>
          </cell>
          <cell r="BD188" t="str">
            <v>Manual</v>
          </cell>
          <cell r="BE188">
            <v>4</v>
          </cell>
          <cell r="BF188" t="str">
            <v>Kowshik</v>
          </cell>
          <cell r="BG188" t="str">
            <v>Y</v>
          </cell>
        </row>
        <row r="189">
          <cell r="A189">
            <v>220145</v>
          </cell>
          <cell r="B189">
            <v>220145</v>
          </cell>
          <cell r="C189" t="str">
            <v>R&amp;D</v>
          </cell>
          <cell r="D189">
            <v>44732</v>
          </cell>
          <cell r="E189">
            <v>0.55208333333333337</v>
          </cell>
          <cell r="F189">
            <v>44713</v>
          </cell>
          <cell r="G189">
            <v>44732</v>
          </cell>
          <cell r="H189">
            <v>0.59861111111111109</v>
          </cell>
          <cell r="I189">
            <v>4.6527777777777779E-2</v>
          </cell>
          <cell r="J189">
            <v>65</v>
          </cell>
          <cell r="K189" t="str">
            <v>FCB-PROTOCOL-02</v>
          </cell>
          <cell r="L189" t="str">
            <v>RC009</v>
          </cell>
          <cell r="M189" t="str">
            <v>Y</v>
          </cell>
          <cell r="N189" t="str">
            <v>No Study</v>
          </cell>
          <cell r="O189" t="str">
            <v>1st level attrition</v>
          </cell>
          <cell r="P189" t="str">
            <v>Q1 Passed</v>
          </cell>
          <cell r="Q189" t="str">
            <v>Q1 Passed</v>
          </cell>
          <cell r="R189" t="str">
            <v>Q1.5 Rejected</v>
          </cell>
          <cell r="S189" t="str">
            <v>Q1.5 Rejected</v>
          </cell>
          <cell r="T189" t="str">
            <v>No tumor</v>
          </cell>
          <cell r="U189" t="str">
            <v>yes</v>
          </cell>
          <cell r="V189" t="str">
            <v>No tumor. Only hemorrhagic necrosed tissue</v>
          </cell>
          <cell r="W189" t="str">
            <v>Government Hospital</v>
          </cell>
          <cell r="X189" t="str">
            <v>Mazumdar Shaw Medical Centre, Bangalore</v>
          </cell>
          <cell r="Y189" t="str">
            <v>Mazumdar Shaw Medical Centre, Bangalore</v>
          </cell>
          <cell r="Z189" t="str">
            <v>Dr Saurabh Bhargav, Bangalore</v>
          </cell>
          <cell r="AA189" t="str">
            <v>RCC</v>
          </cell>
          <cell r="AC189" t="str">
            <v>Left renal Mass</v>
          </cell>
          <cell r="AE189" t="str">
            <v>Male</v>
          </cell>
          <cell r="AF189">
            <v>53</v>
          </cell>
          <cell r="AG189" t="str">
            <v>N</v>
          </cell>
          <cell r="AH189">
            <v>3.3</v>
          </cell>
          <cell r="AI189" t="str">
            <v>Kalappa</v>
          </cell>
          <cell r="AJ189" t="str">
            <v>Surgery</v>
          </cell>
          <cell r="AK189" t="str">
            <v>Primary</v>
          </cell>
          <cell r="AV189">
            <v>44732</v>
          </cell>
          <cell r="AW189">
            <v>0.65208333333333335</v>
          </cell>
          <cell r="AX189">
            <v>0.71527777777777779</v>
          </cell>
          <cell r="AY189">
            <v>6.3194444444444442E-2</v>
          </cell>
          <cell r="AZ189">
            <v>0.11666666666666667</v>
          </cell>
          <cell r="BA189">
            <v>0.16319444444444445</v>
          </cell>
          <cell r="BB189" t="str">
            <v>1.4*2.3*2.4</v>
          </cell>
          <cell r="BC189" t="str">
            <v>1.4*2.3*2.4</v>
          </cell>
          <cell r="BD189" t="str">
            <v>Manual+Vibratome</v>
          </cell>
          <cell r="BE189">
            <v>4</v>
          </cell>
          <cell r="BF189" t="str">
            <v>vasanth</v>
          </cell>
          <cell r="BG189" t="str">
            <v>Y</v>
          </cell>
        </row>
        <row r="190">
          <cell r="A190" t="str">
            <v>FBR1Q220146</v>
          </cell>
          <cell r="B190">
            <v>220146</v>
          </cell>
          <cell r="C190" t="str">
            <v>R&amp;D</v>
          </cell>
          <cell r="D190">
            <v>44733</v>
          </cell>
          <cell r="E190">
            <v>0.42083333333333334</v>
          </cell>
          <cell r="F190">
            <v>44713</v>
          </cell>
          <cell r="G190">
            <v>44733</v>
          </cell>
          <cell r="H190">
            <v>0.53472222222222221</v>
          </cell>
          <cell r="I190">
            <v>0.11388888888888889</v>
          </cell>
          <cell r="J190">
            <v>5</v>
          </cell>
          <cell r="K190" t="str">
            <v>FCB-PROTOCOL-01</v>
          </cell>
          <cell r="L190" t="str">
            <v>VYD/110</v>
          </cell>
          <cell r="M190" t="str">
            <v>Y</v>
          </cell>
          <cell r="N190" t="str">
            <v>COSV4.1-CaBR</v>
          </cell>
          <cell r="O190" t="str">
            <v>Internal R&amp;D</v>
          </cell>
          <cell r="P190" t="str">
            <v>Q1 Passed</v>
          </cell>
          <cell r="Q190" t="str">
            <v>Q1 Passed</v>
          </cell>
          <cell r="R190" t="str">
            <v>Q1.5 Passed</v>
          </cell>
          <cell r="S190" t="str">
            <v>Q1.5 Passed</v>
          </cell>
          <cell r="V190" t="str">
            <v>Tumor content 5-90%</v>
          </cell>
          <cell r="W190" t="str">
            <v>Private Hospital</v>
          </cell>
          <cell r="X190" t="str">
            <v>Vydehi Hospital, Bangalore</v>
          </cell>
          <cell r="Y190" t="str">
            <v>Vydehi Hospital, Bangalore</v>
          </cell>
          <cell r="Z190" t="str">
            <v>Dr Amritha Prabha, Bangalore</v>
          </cell>
          <cell r="AA190" t="str">
            <v>Ca Breast</v>
          </cell>
          <cell r="AC190" t="str">
            <v>Right breast</v>
          </cell>
          <cell r="AE190" t="str">
            <v>Female</v>
          </cell>
          <cell r="AF190">
            <v>39</v>
          </cell>
          <cell r="AG190" t="str">
            <v>N</v>
          </cell>
          <cell r="AH190">
            <v>3.2</v>
          </cell>
          <cell r="AI190" t="str">
            <v>Kalappa</v>
          </cell>
          <cell r="AJ190" t="str">
            <v>Surgery</v>
          </cell>
          <cell r="AK190" t="str">
            <v>Primary</v>
          </cell>
          <cell r="AN190" t="str">
            <v>II</v>
          </cell>
          <cell r="AO190">
            <v>1</v>
          </cell>
          <cell r="AP190" t="str">
            <v>pT3N0</v>
          </cell>
          <cell r="AS190" t="str">
            <v>infiltrating ductal carcinoma</v>
          </cell>
          <cell r="AV190">
            <v>44733</v>
          </cell>
          <cell r="AW190">
            <v>0.56944444444444442</v>
          </cell>
          <cell r="AX190">
            <v>0.61111111111111116</v>
          </cell>
          <cell r="AY190">
            <v>4.1666666666666664E-2</v>
          </cell>
          <cell r="AZ190">
            <v>7.6388888888888895E-2</v>
          </cell>
          <cell r="BA190">
            <v>0.19027777777777777</v>
          </cell>
          <cell r="BB190" t="str">
            <v>1.0*2.2*1.4</v>
          </cell>
          <cell r="BC190" t="str">
            <v>0.8*1.4*1.0
1.0*1.6*1.0
0.6*0.6*0.6
0.8*1.0*1.2</v>
          </cell>
          <cell r="BD190" t="str">
            <v>Manual</v>
          </cell>
          <cell r="BE190">
            <v>4</v>
          </cell>
          <cell r="BF190" t="str">
            <v>Gowri</v>
          </cell>
          <cell r="BG190" t="str">
            <v>Y</v>
          </cell>
        </row>
        <row r="191">
          <cell r="A191" t="str">
            <v>FBR1T220147</v>
          </cell>
          <cell r="B191">
            <v>220147</v>
          </cell>
          <cell r="C191" t="str">
            <v>R&amp;D</v>
          </cell>
          <cell r="D191">
            <v>44734</v>
          </cell>
          <cell r="E191">
            <v>0.63541666666666663</v>
          </cell>
          <cell r="F191">
            <v>44713</v>
          </cell>
          <cell r="G191">
            <v>44734</v>
          </cell>
          <cell r="H191">
            <v>0.95625000000000004</v>
          </cell>
          <cell r="I191">
            <v>0.32083333333333336</v>
          </cell>
          <cell r="J191">
            <v>15</v>
          </cell>
          <cell r="K191" t="str">
            <v>FCB-PROTOCOL-01</v>
          </cell>
          <cell r="L191" t="str">
            <v>CLN/DBR/090</v>
          </cell>
          <cell r="M191" t="str">
            <v>Y</v>
          </cell>
          <cell r="N191" t="str">
            <v>cc Study(1T)</v>
          </cell>
          <cell r="O191" t="str">
            <v>Internal R&amp;D</v>
          </cell>
          <cell r="P191" t="str">
            <v>Q1 Passed</v>
          </cell>
          <cell r="Q191" t="str">
            <v>Q1 Passed</v>
          </cell>
          <cell r="R191" t="str">
            <v>Q1.5 Passed</v>
          </cell>
          <cell r="S191" t="str">
            <v>Q1.5 Passed</v>
          </cell>
          <cell r="V191" t="str">
            <v>Tumor content 20-96%</v>
          </cell>
          <cell r="W191" t="str">
            <v>Clinic'les</v>
          </cell>
          <cell r="X191" t="str">
            <v>Clinic'les- DBR &amp; SK Hospital, Tirupati</v>
          </cell>
          <cell r="Y191" t="str">
            <v>DBR &amp; SK Hospital, Tirupati</v>
          </cell>
          <cell r="Z191" t="str">
            <v>Dr C Jayaprakash, Tirupati</v>
          </cell>
          <cell r="AA191" t="str">
            <v>HNSCC</v>
          </cell>
          <cell r="AC191" t="str">
            <v>Buccal Mucosa</v>
          </cell>
          <cell r="AD191" t="str">
            <v>Buccal Mucosa</v>
          </cell>
          <cell r="AE191" t="str">
            <v>Female</v>
          </cell>
          <cell r="AF191">
            <v>71</v>
          </cell>
          <cell r="AG191" t="str">
            <v>N</v>
          </cell>
          <cell r="AH191">
            <v>5.9</v>
          </cell>
          <cell r="AI191" t="str">
            <v>Maruthi</v>
          </cell>
          <cell r="AJ191" t="str">
            <v>Surgery</v>
          </cell>
          <cell r="AK191" t="str">
            <v>Primary</v>
          </cell>
          <cell r="AL191" t="str">
            <v>Radiotherapy</v>
          </cell>
          <cell r="AS191" t="str">
            <v>Squamous cell carcinoma</v>
          </cell>
          <cell r="AV191">
            <v>44734</v>
          </cell>
          <cell r="AW191">
            <v>0.96527777777777779</v>
          </cell>
          <cell r="AX191">
            <v>0.99722222222222223</v>
          </cell>
          <cell r="AY191">
            <v>3.1944444444444442E-2</v>
          </cell>
          <cell r="AZ191">
            <v>4.0972222222222222E-2</v>
          </cell>
          <cell r="BA191">
            <v>0.36180555555555555</v>
          </cell>
          <cell r="BB191" t="str">
            <v>0.8*1.6*2.0</v>
          </cell>
          <cell r="BC191" t="str">
            <v>0.8*1.6*2.0</v>
          </cell>
          <cell r="BD191" t="str">
            <v>Manual</v>
          </cell>
          <cell r="BE191">
            <v>4</v>
          </cell>
          <cell r="BF191" t="str">
            <v>vasanth</v>
          </cell>
          <cell r="BG191" t="str">
            <v>N</v>
          </cell>
        </row>
        <row r="192">
          <cell r="A192" t="str">
            <v>FBR1S220147</v>
          </cell>
          <cell r="B192">
            <v>220147</v>
          </cell>
          <cell r="C192" t="str">
            <v>R&amp;D</v>
          </cell>
          <cell r="D192">
            <v>44734</v>
          </cell>
          <cell r="E192">
            <v>0.63541666666666663</v>
          </cell>
          <cell r="F192">
            <v>44713</v>
          </cell>
          <cell r="G192">
            <v>44734</v>
          </cell>
          <cell r="H192">
            <v>0.95625000000000004</v>
          </cell>
          <cell r="I192">
            <v>0.32083333333333336</v>
          </cell>
          <cell r="J192">
            <v>15</v>
          </cell>
          <cell r="K192" t="str">
            <v>FCB-PROTOCOL-01</v>
          </cell>
          <cell r="L192" t="str">
            <v>CLN/DBR/090</v>
          </cell>
          <cell r="M192" t="str">
            <v>Y</v>
          </cell>
          <cell r="N192" t="str">
            <v>DMS_v5 (1S)</v>
          </cell>
          <cell r="O192" t="str">
            <v>Internal R&amp;D</v>
          </cell>
          <cell r="P192" t="str">
            <v>Q1 Passed</v>
          </cell>
          <cell r="Q192" t="str">
            <v>Q1 Passed</v>
          </cell>
          <cell r="R192" t="str">
            <v>Q1.5 Passed</v>
          </cell>
          <cell r="S192" t="str">
            <v>Q1.5 Passed</v>
          </cell>
          <cell r="W192" t="str">
            <v>Clinic'les</v>
          </cell>
          <cell r="X192" t="str">
            <v>Clinic'les- DBR &amp; SK Hospital, Tirupati</v>
          </cell>
          <cell r="Y192" t="str">
            <v>DBR &amp; SK Hospital, Tirupati</v>
          </cell>
          <cell r="Z192" t="str">
            <v>Dr C Jayaprakash, Tirupati</v>
          </cell>
          <cell r="AA192" t="str">
            <v>HNSCC</v>
          </cell>
          <cell r="AC192" t="str">
            <v>Buccal Mucosa</v>
          </cell>
          <cell r="AD192" t="str">
            <v>Buccal Mucosa</v>
          </cell>
          <cell r="AE192" t="str">
            <v>Female</v>
          </cell>
          <cell r="AF192">
            <v>71</v>
          </cell>
          <cell r="AG192" t="str">
            <v>N</v>
          </cell>
          <cell r="AH192">
            <v>5.9</v>
          </cell>
          <cell r="AI192" t="str">
            <v>Maruthi</v>
          </cell>
          <cell r="AJ192" t="str">
            <v>Surgery</v>
          </cell>
          <cell r="AK192" t="str">
            <v>Primary</v>
          </cell>
          <cell r="AL192" t="str">
            <v>Radiotherapy</v>
          </cell>
          <cell r="AS192" t="str">
            <v>Squamous cell carcinoma</v>
          </cell>
          <cell r="AV192">
            <v>44734</v>
          </cell>
          <cell r="AW192">
            <v>0.96527777777777779</v>
          </cell>
          <cell r="AX192">
            <v>0.99722222222222223</v>
          </cell>
          <cell r="AY192">
            <v>3.1944444444444442E-2</v>
          </cell>
          <cell r="AZ192">
            <v>4.0972222222222222E-2</v>
          </cell>
          <cell r="BA192">
            <v>0.36180555555555555</v>
          </cell>
          <cell r="BB192" t="str">
            <v>0.8*1.6*2.0</v>
          </cell>
          <cell r="BC192" t="str">
            <v>0.8*1.6*2.0</v>
          </cell>
          <cell r="BD192" t="str">
            <v>Manual</v>
          </cell>
          <cell r="BE192">
            <v>4</v>
          </cell>
          <cell r="BF192" t="str">
            <v>vasanth</v>
          </cell>
          <cell r="BG192" t="str">
            <v>N</v>
          </cell>
        </row>
        <row r="193">
          <cell r="A193" t="str">
            <v>FBR1T220148</v>
          </cell>
          <cell r="B193">
            <v>220148</v>
          </cell>
          <cell r="C193" t="str">
            <v>R&amp;D</v>
          </cell>
          <cell r="D193">
            <v>44735</v>
          </cell>
          <cell r="E193">
            <v>0.44791666666666669</v>
          </cell>
          <cell r="F193">
            <v>44713</v>
          </cell>
          <cell r="G193">
            <v>44735</v>
          </cell>
          <cell r="H193">
            <v>0.56041666666666667</v>
          </cell>
          <cell r="I193">
            <v>0.1125</v>
          </cell>
          <cell r="J193">
            <v>4</v>
          </cell>
          <cell r="K193" t="str">
            <v>FCB-PROTOCOL-01</v>
          </cell>
          <cell r="L193" t="str">
            <v>VYD/111</v>
          </cell>
          <cell r="M193" t="str">
            <v>Y</v>
          </cell>
          <cell r="N193" t="str">
            <v>cc Study(1T)</v>
          </cell>
          <cell r="O193" t="str">
            <v>Internal R&amp;D</v>
          </cell>
          <cell r="P193" t="str">
            <v>Q1 Passed</v>
          </cell>
          <cell r="Q193" t="str">
            <v>Q1 Passed</v>
          </cell>
          <cell r="R193" t="str">
            <v>Q1.5 Passed</v>
          </cell>
          <cell r="S193" t="str">
            <v>Q1.5 Passed</v>
          </cell>
          <cell r="V193" t="str">
            <v>Tumor content 30-80%</v>
          </cell>
          <cell r="W193" t="str">
            <v>Private Hospital</v>
          </cell>
          <cell r="X193" t="str">
            <v>Vydehi Hospital, Bangalore</v>
          </cell>
          <cell r="Y193" t="str">
            <v>Vydehi Hospital, Bangalore</v>
          </cell>
          <cell r="Z193" t="str">
            <v>Dr Amritha Prabha, Bangalore</v>
          </cell>
          <cell r="AA193" t="str">
            <v>HNSCC</v>
          </cell>
          <cell r="AC193" t="str">
            <v>Buccal Mucosa</v>
          </cell>
          <cell r="AD193" t="str">
            <v>Left Buccal Mucosa</v>
          </cell>
          <cell r="AE193" t="str">
            <v>Female</v>
          </cell>
          <cell r="AF193">
            <v>47</v>
          </cell>
          <cell r="AG193" t="str">
            <v>N</v>
          </cell>
          <cell r="AH193">
            <v>3.1</v>
          </cell>
          <cell r="AI193" t="str">
            <v>Kalappa</v>
          </cell>
          <cell r="AJ193" t="str">
            <v>Surgery</v>
          </cell>
          <cell r="AK193" t="str">
            <v>Primary</v>
          </cell>
          <cell r="AN193" t="str">
            <v>III</v>
          </cell>
          <cell r="AO193">
            <v>1</v>
          </cell>
          <cell r="AP193" t="str">
            <v>pT3N1</v>
          </cell>
          <cell r="AS193" t="str">
            <v>Squamous cell carcinoma</v>
          </cell>
          <cell r="AV193">
            <v>44735</v>
          </cell>
          <cell r="AW193">
            <v>0.59166666666666667</v>
          </cell>
          <cell r="AX193">
            <v>0.6875</v>
          </cell>
          <cell r="AY193">
            <v>9.583333333333334E-2</v>
          </cell>
          <cell r="AZ193">
            <v>0.12708333333333333</v>
          </cell>
          <cell r="BA193">
            <v>0.23958333333333334</v>
          </cell>
          <cell r="BB193" t="str">
            <v>0.2*0.4*0.6
0.2*0.4*1.0
0.2/0.3*0.6*1.6</v>
          </cell>
          <cell r="BC193" t="str">
            <v>0.2*0.4*0.6
0.2*0.4*1.0
0.2/0.3*0.6*1.6</v>
          </cell>
          <cell r="BD193" t="str">
            <v>Manual</v>
          </cell>
          <cell r="BE193">
            <v>4</v>
          </cell>
          <cell r="BF193" t="str">
            <v>Biswajit</v>
          </cell>
          <cell r="BG193" t="str">
            <v>Y</v>
          </cell>
        </row>
        <row r="194">
          <cell r="A194" t="str">
            <v>FBR1S220148</v>
          </cell>
          <cell r="B194">
            <v>220148</v>
          </cell>
          <cell r="C194" t="str">
            <v>R&amp;D</v>
          </cell>
          <cell r="D194">
            <v>44735</v>
          </cell>
          <cell r="E194">
            <v>0.44791666666666669</v>
          </cell>
          <cell r="F194">
            <v>44713</v>
          </cell>
          <cell r="G194">
            <v>44735</v>
          </cell>
          <cell r="H194">
            <v>0.56041666666666667</v>
          </cell>
          <cell r="I194">
            <v>0.1125</v>
          </cell>
          <cell r="J194">
            <v>4</v>
          </cell>
          <cell r="K194" t="str">
            <v>FCB-PROTOCOL-01</v>
          </cell>
          <cell r="L194" t="str">
            <v>VYD/111</v>
          </cell>
          <cell r="M194" t="str">
            <v>Y</v>
          </cell>
          <cell r="N194" t="str">
            <v>DMS_v5 (1S)</v>
          </cell>
          <cell r="O194" t="str">
            <v>Internal R&amp;D</v>
          </cell>
          <cell r="P194" t="str">
            <v>Q1 Passed</v>
          </cell>
          <cell r="Q194" t="str">
            <v>Q1 Passed</v>
          </cell>
          <cell r="R194" t="str">
            <v>Q1.5 Passed</v>
          </cell>
          <cell r="S194" t="str">
            <v>Q1.5 Passed</v>
          </cell>
          <cell r="W194" t="str">
            <v>Private Hospital</v>
          </cell>
          <cell r="X194" t="str">
            <v>Vydehi Hospital, Bangalore</v>
          </cell>
          <cell r="Y194" t="str">
            <v>Vydehi Hospital, Bangalore</v>
          </cell>
          <cell r="Z194" t="str">
            <v>Dr Amritha Prabha, Bangalore</v>
          </cell>
          <cell r="AA194" t="str">
            <v>HNSCC</v>
          </cell>
          <cell r="AC194" t="str">
            <v>Buccal Mucosa</v>
          </cell>
          <cell r="AD194" t="str">
            <v>Left Buccal Mucosa</v>
          </cell>
          <cell r="AE194" t="str">
            <v>Female</v>
          </cell>
          <cell r="AF194">
            <v>47</v>
          </cell>
          <cell r="AG194" t="str">
            <v>N</v>
          </cell>
          <cell r="AH194">
            <v>3.1</v>
          </cell>
          <cell r="AI194" t="str">
            <v>Kalappa</v>
          </cell>
          <cell r="AJ194" t="str">
            <v>Surgery</v>
          </cell>
          <cell r="AK194" t="str">
            <v>Primary</v>
          </cell>
          <cell r="AN194" t="str">
            <v>III</v>
          </cell>
          <cell r="AO194">
            <v>1</v>
          </cell>
          <cell r="AP194" t="str">
            <v>pT3N1</v>
          </cell>
          <cell r="AS194" t="str">
            <v>Squamous cell carcinoma</v>
          </cell>
          <cell r="AV194">
            <v>44735</v>
          </cell>
          <cell r="AW194">
            <v>0.59166666666666667</v>
          </cell>
          <cell r="AX194">
            <v>0.6875</v>
          </cell>
          <cell r="AY194">
            <v>9.583333333333334E-2</v>
          </cell>
          <cell r="AZ194">
            <v>0.12708333333333333</v>
          </cell>
          <cell r="BA194">
            <v>0.23958333333333334</v>
          </cell>
          <cell r="BB194" t="str">
            <v>0.2*0.4*0.6
0.2*0.4*1.0
0.2/0.3*0.6*1.6</v>
          </cell>
          <cell r="BC194" t="str">
            <v>0.2*0.4*0.6
0.2*0.4*1.0
0.2/0.3*0.6*1.6</v>
          </cell>
          <cell r="BD194" t="str">
            <v>manual</v>
          </cell>
          <cell r="BE194">
            <v>4</v>
          </cell>
          <cell r="BF194" t="str">
            <v>Biswajit</v>
          </cell>
          <cell r="BG194" t="str">
            <v>Y</v>
          </cell>
        </row>
        <row r="195">
          <cell r="A195" t="str">
            <v>FBR1S220149</v>
          </cell>
          <cell r="B195">
            <v>220149</v>
          </cell>
          <cell r="C195" t="str">
            <v>R&amp;D</v>
          </cell>
          <cell r="D195">
            <v>44735</v>
          </cell>
          <cell r="E195">
            <v>0.60416666666666663</v>
          </cell>
          <cell r="F195">
            <v>44713</v>
          </cell>
          <cell r="G195">
            <v>44735</v>
          </cell>
          <cell r="H195">
            <v>0.90347222222222223</v>
          </cell>
          <cell r="I195">
            <v>0.29930555555555555</v>
          </cell>
          <cell r="J195">
            <v>10</v>
          </cell>
          <cell r="K195" t="str">
            <v>FCB-PROTOCOL-01</v>
          </cell>
          <cell r="L195" t="str">
            <v>CLN/DBR/091</v>
          </cell>
          <cell r="M195" t="str">
            <v>Y</v>
          </cell>
          <cell r="N195" t="str">
            <v>DMS_v5 (1S)</v>
          </cell>
          <cell r="O195" t="str">
            <v>Internal R&amp;D</v>
          </cell>
          <cell r="P195" t="str">
            <v>Q1 Passed</v>
          </cell>
          <cell r="Q195" t="str">
            <v>Q1 Passed</v>
          </cell>
          <cell r="R195" t="str">
            <v>Q1.5 Passed</v>
          </cell>
          <cell r="S195" t="str">
            <v>Q1.5 Passed</v>
          </cell>
          <cell r="V195" t="str">
            <v xml:space="preserve">Tumor content 60-96% </v>
          </cell>
          <cell r="W195" t="str">
            <v>Clinic'les</v>
          </cell>
          <cell r="X195" t="str">
            <v>Clinic'les- DBR &amp; SK Hospital, Tirupati</v>
          </cell>
          <cell r="Y195" t="str">
            <v>DBR &amp; SK Hospital, Tirupati</v>
          </cell>
          <cell r="Z195" t="str">
            <v>Dr C Jayaprakash, Tirupati</v>
          </cell>
          <cell r="AA195" t="str">
            <v>HNSCC</v>
          </cell>
          <cell r="AC195" t="str">
            <v>Buccal Mucosa</v>
          </cell>
          <cell r="AD195" t="str">
            <v>Buccal Mucosa</v>
          </cell>
          <cell r="AE195" t="str">
            <v>Male</v>
          </cell>
          <cell r="AF195">
            <v>70</v>
          </cell>
          <cell r="AG195" t="str">
            <v>N</v>
          </cell>
          <cell r="AH195">
            <v>5.9</v>
          </cell>
          <cell r="AI195" t="str">
            <v>Maruthi</v>
          </cell>
          <cell r="AJ195" t="str">
            <v>Surgery</v>
          </cell>
          <cell r="AK195" t="str">
            <v>Primary</v>
          </cell>
          <cell r="AN195">
            <v>2</v>
          </cell>
          <cell r="AP195" t="str">
            <v>T2NoMX</v>
          </cell>
          <cell r="AS195" t="str">
            <v>Squamous cell carcinoma</v>
          </cell>
          <cell r="AV195">
            <v>44735</v>
          </cell>
          <cell r="AW195">
            <v>0.94444444444444442</v>
          </cell>
          <cell r="AX195">
            <v>0.97222222222222221</v>
          </cell>
          <cell r="AY195">
            <v>2.7777777777777776E-2</v>
          </cell>
          <cell r="AZ195">
            <v>6.8750000000000006E-2</v>
          </cell>
          <cell r="BA195">
            <v>0.36805555555555558</v>
          </cell>
          <cell r="BB195" t="str">
            <v>0.4*2.0*1.4</v>
          </cell>
          <cell r="BC195" t="str">
            <v>0.4*2.0*1.4</v>
          </cell>
          <cell r="BD195" t="str">
            <v>manual</v>
          </cell>
          <cell r="BE195">
            <v>4</v>
          </cell>
          <cell r="BF195" t="str">
            <v>Gowri</v>
          </cell>
        </row>
        <row r="196">
          <cell r="A196" t="str">
            <v>FBR1T220149</v>
          </cell>
          <cell r="B196">
            <v>220149</v>
          </cell>
          <cell r="C196" t="str">
            <v>R&amp;D</v>
          </cell>
          <cell r="D196">
            <v>44735</v>
          </cell>
          <cell r="E196">
            <v>0.60416666666666663</v>
          </cell>
          <cell r="F196">
            <v>44713</v>
          </cell>
          <cell r="G196">
            <v>44735</v>
          </cell>
          <cell r="H196">
            <v>0.90347222222222223</v>
          </cell>
          <cell r="I196">
            <v>0.29930555555555555</v>
          </cell>
          <cell r="J196">
            <v>10</v>
          </cell>
          <cell r="K196" t="str">
            <v>FCB-PROTOCOL-01</v>
          </cell>
          <cell r="L196" t="str">
            <v>CLN/DBR/091</v>
          </cell>
          <cell r="M196" t="str">
            <v>Y</v>
          </cell>
          <cell r="N196" t="str">
            <v>cc Study(1T)</v>
          </cell>
          <cell r="O196" t="str">
            <v>Internal R&amp;D</v>
          </cell>
          <cell r="P196" t="str">
            <v>Q1 Passed</v>
          </cell>
          <cell r="Q196" t="str">
            <v>Q1 Passed</v>
          </cell>
          <cell r="R196" t="str">
            <v>Q1.5 Passed</v>
          </cell>
          <cell r="S196" t="str">
            <v>Q1.5 Passed</v>
          </cell>
          <cell r="W196" t="str">
            <v>Clinic'les</v>
          </cell>
          <cell r="X196" t="str">
            <v>Clinic'les- DBR &amp; SK Hospital, Tirupati</v>
          </cell>
          <cell r="Y196" t="str">
            <v>DBR &amp; SK Hospital, Tirupati</v>
          </cell>
          <cell r="Z196" t="str">
            <v>Dr C Jayaprakash, Tirupati</v>
          </cell>
          <cell r="AA196" t="str">
            <v>HNSCC</v>
          </cell>
          <cell r="AC196" t="str">
            <v>Buccal Mucosa</v>
          </cell>
          <cell r="AD196" t="str">
            <v>Buccal Mucosa</v>
          </cell>
          <cell r="AE196" t="str">
            <v>Male</v>
          </cell>
          <cell r="AF196">
            <v>70</v>
          </cell>
          <cell r="AG196" t="str">
            <v>N</v>
          </cell>
          <cell r="AH196">
            <v>5.9</v>
          </cell>
          <cell r="AI196" t="str">
            <v>Maruthi</v>
          </cell>
          <cell r="AJ196" t="str">
            <v>Surgery</v>
          </cell>
          <cell r="AK196" t="str">
            <v>Primary</v>
          </cell>
          <cell r="AN196">
            <v>2</v>
          </cell>
          <cell r="AP196" t="str">
            <v>T2NoMX</v>
          </cell>
          <cell r="AS196" t="str">
            <v>Squamous cell carcinoma</v>
          </cell>
          <cell r="AV196">
            <v>44735</v>
          </cell>
          <cell r="AW196">
            <v>0.94444444444444442</v>
          </cell>
          <cell r="AX196">
            <v>0.97222222222222221</v>
          </cell>
          <cell r="AY196">
            <v>2.7777777777777776E-2</v>
          </cell>
          <cell r="AZ196">
            <v>6.8750000000000006E-2</v>
          </cell>
          <cell r="BA196">
            <v>0.36805555555555558</v>
          </cell>
          <cell r="BB196" t="str">
            <v>0.4*2.0*1.4</v>
          </cell>
          <cell r="BC196" t="str">
            <v>0.4*2.0*1.4</v>
          </cell>
          <cell r="BD196" t="str">
            <v>manual</v>
          </cell>
          <cell r="BE196">
            <v>4</v>
          </cell>
          <cell r="BF196" t="str">
            <v>Gowri</v>
          </cell>
        </row>
        <row r="197">
          <cell r="A197" t="str">
            <v>FBR1S220150</v>
          </cell>
          <cell r="B197">
            <v>220150</v>
          </cell>
          <cell r="C197" t="str">
            <v>R&amp;D</v>
          </cell>
          <cell r="D197">
            <v>44736</v>
          </cell>
          <cell r="E197">
            <v>0.52430555555555558</v>
          </cell>
          <cell r="F197">
            <v>44713</v>
          </cell>
          <cell r="G197">
            <v>44736</v>
          </cell>
          <cell r="H197">
            <v>0.57638888888888884</v>
          </cell>
          <cell r="I197">
            <v>5.2083333333333336E-2</v>
          </cell>
          <cell r="J197">
            <v>5</v>
          </cell>
          <cell r="K197" t="str">
            <v>FCB-PROTOCOL-01</v>
          </cell>
          <cell r="L197" t="str">
            <v>VYD/112</v>
          </cell>
          <cell r="M197" t="str">
            <v>Y</v>
          </cell>
          <cell r="N197" t="str">
            <v>DMS_v5 (1S)</v>
          </cell>
          <cell r="O197" t="str">
            <v>Internal R&amp;D</v>
          </cell>
          <cell r="P197" t="str">
            <v>Q1 Passed</v>
          </cell>
          <cell r="Q197" t="str">
            <v>Q1 Passed</v>
          </cell>
          <cell r="R197" t="str">
            <v>Q1.5 Passed</v>
          </cell>
          <cell r="S197" t="str">
            <v>Q1.5 Passed</v>
          </cell>
          <cell r="V197" t="str">
            <v>Tumor content 25-98% in 5/7 explants</v>
          </cell>
          <cell r="W197" t="str">
            <v>Private Hospital</v>
          </cell>
          <cell r="X197" t="str">
            <v>Vydehi Hospital, Bangalore</v>
          </cell>
          <cell r="Y197" t="str">
            <v>Vydehi Hospital, Bangalore</v>
          </cell>
          <cell r="Z197" t="str">
            <v>Dr Amritha Prabha, Bangalore</v>
          </cell>
          <cell r="AA197" t="str">
            <v>HNSCC</v>
          </cell>
          <cell r="AC197" t="str">
            <v>Buccal Mucosa</v>
          </cell>
          <cell r="AD197" t="str">
            <v>Left Buccal Mucosa</v>
          </cell>
          <cell r="AE197" t="str">
            <v>Female</v>
          </cell>
          <cell r="AF197">
            <v>38</v>
          </cell>
          <cell r="AG197" t="str">
            <v>N</v>
          </cell>
          <cell r="AH197">
            <v>4.5999999999999996</v>
          </cell>
          <cell r="AI197" t="str">
            <v>Kalappa</v>
          </cell>
          <cell r="AJ197" t="str">
            <v>Surgery</v>
          </cell>
          <cell r="AK197" t="str">
            <v>Primary</v>
          </cell>
          <cell r="AN197" t="str">
            <v>IVa</v>
          </cell>
          <cell r="AO197">
            <v>2</v>
          </cell>
          <cell r="AP197" t="str">
            <v>pT3N2</v>
          </cell>
          <cell r="AS197" t="str">
            <v>Squamous cell carcinoma</v>
          </cell>
          <cell r="AV197">
            <v>44736</v>
          </cell>
          <cell r="AW197">
            <v>0.59375</v>
          </cell>
          <cell r="AX197">
            <v>0.6875</v>
          </cell>
          <cell r="AY197">
            <v>9.375E-2</v>
          </cell>
          <cell r="AZ197">
            <v>0.1111111111111111</v>
          </cell>
          <cell r="BA197">
            <v>0.16319444444444445</v>
          </cell>
          <cell r="BB197" t="str">
            <v>0.8*1.6*1.8</v>
          </cell>
          <cell r="BC197" t="str">
            <v>0.8*1.6*1.8</v>
          </cell>
          <cell r="BD197" t="str">
            <v>Manual+Vibratome</v>
          </cell>
          <cell r="BE197">
            <v>4</v>
          </cell>
          <cell r="BF197" t="str">
            <v>Kowshik</v>
          </cell>
          <cell r="BG197" t="str">
            <v>Y</v>
          </cell>
        </row>
        <row r="198">
          <cell r="A198" t="str">
            <v>FBR1T220150</v>
          </cell>
          <cell r="B198">
            <v>220150</v>
          </cell>
          <cell r="C198" t="str">
            <v>R&amp;D</v>
          </cell>
          <cell r="D198">
            <v>44736</v>
          </cell>
          <cell r="E198">
            <v>0.52430555555555558</v>
          </cell>
          <cell r="F198">
            <v>44713</v>
          </cell>
          <cell r="G198">
            <v>44736</v>
          </cell>
          <cell r="H198">
            <v>0.57638888888888884</v>
          </cell>
          <cell r="I198">
            <v>5.2083333333333336E-2</v>
          </cell>
          <cell r="J198">
            <v>5</v>
          </cell>
          <cell r="K198" t="str">
            <v>FCB-PROTOCOL-01</v>
          </cell>
          <cell r="L198" t="str">
            <v>VYD/112</v>
          </cell>
          <cell r="M198" t="str">
            <v>Y</v>
          </cell>
          <cell r="N198" t="str">
            <v>cc Study(1T)</v>
          </cell>
          <cell r="O198" t="str">
            <v>Internal R&amp;D</v>
          </cell>
          <cell r="P198" t="str">
            <v>Q1 Passed</v>
          </cell>
          <cell r="Q198" t="str">
            <v>Q1 Passed</v>
          </cell>
          <cell r="R198" t="str">
            <v>Q1.5 Passed</v>
          </cell>
          <cell r="S198" t="str">
            <v>Q1.5 Passed</v>
          </cell>
          <cell r="W198" t="str">
            <v>Private Hospital</v>
          </cell>
          <cell r="X198" t="str">
            <v>Vydehi Hospital, Bangalore</v>
          </cell>
          <cell r="Y198" t="str">
            <v>Vydehi Hospital, Bangalore</v>
          </cell>
          <cell r="Z198" t="str">
            <v>Dr Amritha Prabha, Bangalore</v>
          </cell>
          <cell r="AA198" t="str">
            <v>HNSCC</v>
          </cell>
          <cell r="AC198" t="str">
            <v>Buccal Mucosa</v>
          </cell>
          <cell r="AD198" t="str">
            <v>Left Buccal Mucosa</v>
          </cell>
          <cell r="AE198" t="str">
            <v>Female</v>
          </cell>
          <cell r="AF198">
            <v>38</v>
          </cell>
          <cell r="AG198" t="str">
            <v>N</v>
          </cell>
          <cell r="AH198">
            <v>4.5999999999999996</v>
          </cell>
          <cell r="AI198" t="str">
            <v>Kalappa</v>
          </cell>
          <cell r="AJ198" t="str">
            <v>Surgery</v>
          </cell>
          <cell r="AK198" t="str">
            <v>Primary</v>
          </cell>
          <cell r="AN198" t="str">
            <v>IVa</v>
          </cell>
          <cell r="AO198">
            <v>2</v>
          </cell>
          <cell r="AP198" t="str">
            <v>pT3N2</v>
          </cell>
          <cell r="AS198" t="str">
            <v>Squamous cell carcinoma</v>
          </cell>
          <cell r="AV198">
            <v>44736</v>
          </cell>
          <cell r="AW198">
            <v>0.59375</v>
          </cell>
          <cell r="AX198">
            <v>0.6875</v>
          </cell>
          <cell r="AY198">
            <v>9.375E-2</v>
          </cell>
          <cell r="AZ198">
            <v>0.1111111111111111</v>
          </cell>
          <cell r="BA198">
            <v>0.16319444444444445</v>
          </cell>
          <cell r="BB198" t="str">
            <v>0.8*1.6*1.8</v>
          </cell>
          <cell r="BC198" t="str">
            <v>0.8*1.6*1.8</v>
          </cell>
          <cell r="BD198" t="str">
            <v>Manual+Vibratome</v>
          </cell>
          <cell r="BE198">
            <v>4</v>
          </cell>
          <cell r="BF198" t="str">
            <v>Kowshik</v>
          </cell>
          <cell r="BG198" t="str">
            <v>Y</v>
          </cell>
        </row>
        <row r="199">
          <cell r="A199" t="str">
            <v>FBR1S220151</v>
          </cell>
          <cell r="B199">
            <v>220151</v>
          </cell>
          <cell r="C199" t="str">
            <v>R&amp;D</v>
          </cell>
          <cell r="D199">
            <v>44736</v>
          </cell>
          <cell r="E199">
            <v>0.66805555555555551</v>
          </cell>
          <cell r="F199">
            <v>44713</v>
          </cell>
          <cell r="G199">
            <v>44736</v>
          </cell>
          <cell r="H199">
            <v>0.69166666666666665</v>
          </cell>
          <cell r="I199">
            <v>2.361111111111111E-2</v>
          </cell>
          <cell r="J199">
            <v>22</v>
          </cell>
          <cell r="K199" t="str">
            <v>FCB-PROTOCOL-02</v>
          </cell>
          <cell r="L199" t="str">
            <v>HN008</v>
          </cell>
          <cell r="M199" t="str">
            <v>Y</v>
          </cell>
          <cell r="N199" t="str">
            <v>DMS_v5 (1S)</v>
          </cell>
          <cell r="O199" t="str">
            <v>Internal R&amp;D</v>
          </cell>
          <cell r="P199" t="str">
            <v>Q1 Passed</v>
          </cell>
          <cell r="Q199" t="str">
            <v>Q1 Passed</v>
          </cell>
          <cell r="R199" t="str">
            <v>Q1.5 Passed</v>
          </cell>
          <cell r="S199" t="str">
            <v>Q1.5 Passed</v>
          </cell>
          <cell r="V199" t="str">
            <v xml:space="preserve">Tumor content 6-96% </v>
          </cell>
          <cell r="W199" t="str">
            <v>Government Hospital</v>
          </cell>
          <cell r="X199" t="str">
            <v>Mazumdar Shaw Medical Centre, Bangalore</v>
          </cell>
          <cell r="Y199" t="str">
            <v>Mazumdar Shaw Medical Centre, Bangalore</v>
          </cell>
          <cell r="Z199" t="str">
            <v>Dr Vijay Pillai, Bangalore</v>
          </cell>
          <cell r="AA199" t="str">
            <v>HNSCC</v>
          </cell>
          <cell r="AC199" t="str">
            <v>Tongue</v>
          </cell>
          <cell r="AD199" t="str">
            <v>Left Lateral Border of Tongue</v>
          </cell>
          <cell r="AE199" t="str">
            <v>Male</v>
          </cell>
          <cell r="AF199">
            <v>40</v>
          </cell>
          <cell r="AG199" t="str">
            <v>N</v>
          </cell>
          <cell r="AH199">
            <v>3.5</v>
          </cell>
          <cell r="AI199" t="str">
            <v>Shashi</v>
          </cell>
          <cell r="AJ199" t="str">
            <v>Surgery</v>
          </cell>
          <cell r="AK199" t="str">
            <v>Primary</v>
          </cell>
          <cell r="AN199">
            <v>3</v>
          </cell>
          <cell r="AO199">
            <v>3</v>
          </cell>
          <cell r="AP199" t="str">
            <v>pT3N3b</v>
          </cell>
          <cell r="AS199" t="str">
            <v>Moderately- to poorly differentiated squamous cell carcinoma involving 
the right lateral border of tongue, extending laterally into the gingivo_x005F_x0002_lingual sulcus.</v>
          </cell>
          <cell r="AV199">
            <v>44736</v>
          </cell>
          <cell r="AW199">
            <v>0.76041666666666663</v>
          </cell>
          <cell r="AX199">
            <v>0.8125</v>
          </cell>
          <cell r="AY199">
            <v>5.2083333333333336E-2</v>
          </cell>
          <cell r="AZ199">
            <v>0.12083333333333333</v>
          </cell>
          <cell r="BA199">
            <v>0.14444444444444443</v>
          </cell>
          <cell r="BB199" t="str">
            <v>0.3*0.6*0.7
0.2/0.3*0.4*0.6</v>
          </cell>
          <cell r="BC199" t="str">
            <v>0.3*0.6*0.7
0.2/0.3*0.4*0.6</v>
          </cell>
          <cell r="BD199" t="str">
            <v>manual</v>
          </cell>
          <cell r="BE199">
            <v>4</v>
          </cell>
          <cell r="BF199" t="str">
            <v>vasanth</v>
          </cell>
        </row>
        <row r="200">
          <cell r="A200" t="str">
            <v>FBR1T220151</v>
          </cell>
          <cell r="B200">
            <v>220151</v>
          </cell>
          <cell r="C200" t="str">
            <v>R&amp;D</v>
          </cell>
          <cell r="D200">
            <v>44736</v>
          </cell>
          <cell r="E200">
            <v>0.66805555555555551</v>
          </cell>
          <cell r="F200">
            <v>44713</v>
          </cell>
          <cell r="G200">
            <v>44736</v>
          </cell>
          <cell r="H200">
            <v>0.69166666666666665</v>
          </cell>
          <cell r="I200">
            <v>2.361111111111111E-2</v>
          </cell>
          <cell r="J200">
            <v>22</v>
          </cell>
          <cell r="K200" t="str">
            <v>FCB-PROTOCOL-02</v>
          </cell>
          <cell r="L200" t="str">
            <v>HN008</v>
          </cell>
          <cell r="M200" t="str">
            <v>Y</v>
          </cell>
          <cell r="N200" t="str">
            <v>cc Study(1T)</v>
          </cell>
          <cell r="O200" t="str">
            <v>Internal R&amp;D</v>
          </cell>
          <cell r="P200" t="str">
            <v>Q1 Passed</v>
          </cell>
          <cell r="Q200" t="str">
            <v>Q1 Passed</v>
          </cell>
          <cell r="R200" t="str">
            <v>Q1.5 Passed</v>
          </cell>
          <cell r="S200" t="str">
            <v>Q1.5 Passed</v>
          </cell>
          <cell r="W200" t="str">
            <v>Government Hospital</v>
          </cell>
          <cell r="X200" t="str">
            <v>Mazumdar Shaw Medical Centre, Bangalore</v>
          </cell>
          <cell r="Y200" t="str">
            <v>Mazumdar Shaw Medical Centre, Bangalore</v>
          </cell>
          <cell r="Z200" t="str">
            <v>Dr Vijay Pillai, Bangalore</v>
          </cell>
          <cell r="AA200" t="str">
            <v>HNSCC</v>
          </cell>
          <cell r="AC200" t="str">
            <v>Tongue</v>
          </cell>
          <cell r="AD200" t="str">
            <v>Left Lateral Border of Tongue</v>
          </cell>
          <cell r="AE200" t="str">
            <v>Male</v>
          </cell>
          <cell r="AF200">
            <v>40</v>
          </cell>
          <cell r="AG200" t="str">
            <v>N</v>
          </cell>
          <cell r="AH200">
            <v>3.5</v>
          </cell>
          <cell r="AI200" t="str">
            <v>Shashi</v>
          </cell>
          <cell r="AJ200" t="str">
            <v>Surgery</v>
          </cell>
          <cell r="AK200" t="str">
            <v>Primary</v>
          </cell>
          <cell r="AN200">
            <v>3</v>
          </cell>
          <cell r="AO200">
            <v>3</v>
          </cell>
          <cell r="AP200" t="str">
            <v>pT3N3b</v>
          </cell>
          <cell r="AS200" t="str">
            <v>Moderately- to poorly differentiated squamous cell carcinoma involving 
the right lateral border of tongue, extending laterally into the gingivo_x005F_x0002_lingual sulcus.</v>
          </cell>
          <cell r="AV200">
            <v>44736</v>
          </cell>
          <cell r="AW200">
            <v>0.76041666666666663</v>
          </cell>
          <cell r="AX200">
            <v>0.8125</v>
          </cell>
          <cell r="AY200">
            <v>5.2083333333333336E-2</v>
          </cell>
          <cell r="AZ200">
            <v>0.12083333333333333</v>
          </cell>
          <cell r="BA200">
            <v>0.14444444444444443</v>
          </cell>
          <cell r="BB200" t="str">
            <v>0.3*0.6*0.7
0.2/0.3*0.4*0.6</v>
          </cell>
          <cell r="BC200" t="str">
            <v>0.3*0.6*0.7
0.2/0.3*0.4*0.6</v>
          </cell>
          <cell r="BD200" t="str">
            <v>manual</v>
          </cell>
          <cell r="BE200">
            <v>4</v>
          </cell>
          <cell r="BF200" t="str">
            <v>vasanth</v>
          </cell>
        </row>
        <row r="201">
          <cell r="A201">
            <v>220152</v>
          </cell>
          <cell r="B201">
            <v>220152</v>
          </cell>
          <cell r="C201" t="str">
            <v>R&amp;D</v>
          </cell>
          <cell r="D201">
            <v>44736</v>
          </cell>
          <cell r="E201">
            <v>0.40763888888888888</v>
          </cell>
          <cell r="F201">
            <v>44713</v>
          </cell>
          <cell r="G201">
            <v>44736</v>
          </cell>
          <cell r="H201">
            <v>0.77222222222222225</v>
          </cell>
          <cell r="I201">
            <v>0.36458333333333331</v>
          </cell>
          <cell r="J201">
            <v>1</v>
          </cell>
          <cell r="K201" t="str">
            <v>FCB-PROTOCOL-01</v>
          </cell>
          <cell r="L201" t="str">
            <v>CLN/JSS/007</v>
          </cell>
          <cell r="M201" t="str">
            <v>Y</v>
          </cell>
          <cell r="N201" t="str">
            <v>No Study</v>
          </cell>
          <cell r="O201" t="str">
            <v>1st level attrition</v>
          </cell>
          <cell r="P201" t="str">
            <v>Q1 Passed</v>
          </cell>
          <cell r="Q201" t="str">
            <v>Q1 Passed</v>
          </cell>
          <cell r="R201" t="str">
            <v>Q1.5 Rejected</v>
          </cell>
          <cell r="S201" t="str">
            <v>Q1.5 Rejected</v>
          </cell>
          <cell r="V201" t="str">
            <v>No epithelial tumor, only stromal cells</v>
          </cell>
          <cell r="W201" t="str">
            <v>Clinic'les</v>
          </cell>
          <cell r="X201" t="str">
            <v>Clinic'les- Dr Ravi Krishnappa, Mysore</v>
          </cell>
          <cell r="Y201" t="str">
            <v>JSS Hospital, Mysore</v>
          </cell>
          <cell r="Z201" t="str">
            <v>Dr Ravi Krishnappa, Mysore</v>
          </cell>
          <cell r="AA201" t="str">
            <v>Ca Ovary</v>
          </cell>
          <cell r="AC201" t="str">
            <v>Ovary</v>
          </cell>
          <cell r="AD201" t="str">
            <v>right ovary</v>
          </cell>
          <cell r="AE201" t="str">
            <v>Female</v>
          </cell>
          <cell r="AF201">
            <v>47</v>
          </cell>
          <cell r="AG201" t="str">
            <v>N</v>
          </cell>
          <cell r="AH201">
            <v>5.3</v>
          </cell>
          <cell r="AI201" t="str">
            <v>Maruthi</v>
          </cell>
          <cell r="AJ201" t="str">
            <v>Surgery</v>
          </cell>
          <cell r="AK201" t="str">
            <v>Primary</v>
          </cell>
          <cell r="AV201">
            <v>44736</v>
          </cell>
          <cell r="BB201" t="str">
            <v>0.8*1.4*1.4</v>
          </cell>
          <cell r="BC201" t="str">
            <v>0.8*1.4*1.4</v>
          </cell>
          <cell r="BD201" t="str">
            <v>manual</v>
          </cell>
          <cell r="BE201">
            <v>4</v>
          </cell>
          <cell r="BF201" t="str">
            <v>Syam</v>
          </cell>
          <cell r="BG201" t="str">
            <v>Y</v>
          </cell>
        </row>
        <row r="202">
          <cell r="A202" t="str">
            <v>FBR1M220153</v>
          </cell>
          <cell r="B202">
            <v>220153</v>
          </cell>
          <cell r="C202" t="str">
            <v>R&amp;D</v>
          </cell>
          <cell r="D202">
            <v>44739</v>
          </cell>
          <cell r="E202">
            <v>0.65138888888888891</v>
          </cell>
          <cell r="F202">
            <v>44713</v>
          </cell>
          <cell r="G202">
            <v>44739</v>
          </cell>
          <cell r="H202">
            <v>0.69652777777777775</v>
          </cell>
          <cell r="I202">
            <v>4.5138888888888888E-2</v>
          </cell>
          <cell r="J202">
            <v>48</v>
          </cell>
          <cell r="K202" t="str">
            <v>FCB-PROTOCOL-02</v>
          </cell>
          <cell r="L202" t="str">
            <v>RC010</v>
          </cell>
          <cell r="M202" t="str">
            <v>Y</v>
          </cell>
          <cell r="N202" t="str">
            <v>DMS_RCC</v>
          </cell>
          <cell r="O202" t="str">
            <v>Internal R&amp;D</v>
          </cell>
          <cell r="P202" t="str">
            <v>Q1 Passed</v>
          </cell>
          <cell r="Q202" t="str">
            <v>Q1 Passed</v>
          </cell>
          <cell r="R202" t="str">
            <v>Q1.5 Rejected</v>
          </cell>
          <cell r="S202" t="str">
            <v>Q1.5 Rejected</v>
          </cell>
          <cell r="T202" t="str">
            <v>Benign tumor</v>
          </cell>
          <cell r="U202" t="str">
            <v>yes</v>
          </cell>
          <cell r="V202" t="str">
            <v>Oncocytoma, benign tumor</v>
          </cell>
          <cell r="W202" t="str">
            <v>Government Hospital</v>
          </cell>
          <cell r="X202" t="str">
            <v>Mazumdar Shaw Medical Centre, Bangalore</v>
          </cell>
          <cell r="Y202" t="str">
            <v>Mazumdar Shaw Medical Centre, Bangalore</v>
          </cell>
          <cell r="Z202" t="str">
            <v>Dr Saurabh Bhargav, Bangalore</v>
          </cell>
          <cell r="AA202" t="str">
            <v>RCC</v>
          </cell>
          <cell r="AC202" t="str">
            <v>Renal</v>
          </cell>
          <cell r="AD202" t="str">
            <v>Right renal Mass</v>
          </cell>
          <cell r="AE202" t="str">
            <v>Male</v>
          </cell>
          <cell r="AF202">
            <v>70</v>
          </cell>
          <cell r="AG202" t="str">
            <v>N</v>
          </cell>
          <cell r="AH202">
            <v>3.5</v>
          </cell>
          <cell r="AI202" t="str">
            <v>Maruthi</v>
          </cell>
          <cell r="AJ202" t="str">
            <v>Surgery</v>
          </cell>
          <cell r="AK202" t="str">
            <v>Primary</v>
          </cell>
          <cell r="AV202">
            <v>44739</v>
          </cell>
          <cell r="AW202">
            <v>0.74305555555555558</v>
          </cell>
          <cell r="AX202">
            <v>0.80486111111111114</v>
          </cell>
          <cell r="AY202">
            <v>6.1805555555555558E-2</v>
          </cell>
          <cell r="AZ202">
            <v>0.10833333333333334</v>
          </cell>
          <cell r="BA202">
            <v>0.15347222222222223</v>
          </cell>
          <cell r="BB202" t="str">
            <v>2.0*2.8*2.4</v>
          </cell>
          <cell r="BC202" t="str">
            <v>2.0*2.8*2.4</v>
          </cell>
          <cell r="BD202" t="str">
            <v>Vibratome</v>
          </cell>
          <cell r="BE202">
            <v>4</v>
          </cell>
          <cell r="BF202" t="str">
            <v>Gowri</v>
          </cell>
          <cell r="BG202" t="str">
            <v>Y</v>
          </cell>
        </row>
        <row r="203">
          <cell r="A203" t="str">
            <v>FBR1S220154</v>
          </cell>
          <cell r="B203">
            <v>220154</v>
          </cell>
          <cell r="C203" t="str">
            <v>R&amp;D</v>
          </cell>
          <cell r="D203">
            <v>44739</v>
          </cell>
          <cell r="E203">
            <v>0.65277777777777779</v>
          </cell>
          <cell r="F203">
            <v>44713</v>
          </cell>
          <cell r="G203">
            <v>44739</v>
          </cell>
          <cell r="H203">
            <v>0.9375</v>
          </cell>
          <cell r="I203">
            <v>0.28472222222222221</v>
          </cell>
          <cell r="J203">
            <v>10</v>
          </cell>
          <cell r="K203" t="str">
            <v>FCB-PROTOCOL-01</v>
          </cell>
          <cell r="L203" t="str">
            <v>CLN/DBR/092</v>
          </cell>
          <cell r="M203" t="str">
            <v>Y</v>
          </cell>
          <cell r="N203" t="str">
            <v>DMS_v5 (1S)</v>
          </cell>
          <cell r="O203" t="str">
            <v>Internal R&amp;D</v>
          </cell>
          <cell r="P203" t="str">
            <v>Q1 Passed</v>
          </cell>
          <cell r="Q203" t="str">
            <v>Q1 Passed</v>
          </cell>
          <cell r="R203" t="str">
            <v>Q1.5 Passed</v>
          </cell>
          <cell r="S203" t="str">
            <v>Q1.5 Passed</v>
          </cell>
          <cell r="V203" t="str">
            <v>Tumor content 50-85%</v>
          </cell>
          <cell r="W203" t="str">
            <v>Clinic'les</v>
          </cell>
          <cell r="X203" t="str">
            <v>Clinic'les- DBR &amp; SK Hospital, Tirupati</v>
          </cell>
          <cell r="Y203" t="str">
            <v>DBR &amp; SK Hospital, Tirupati</v>
          </cell>
          <cell r="Z203" t="str">
            <v>Dr C Jayaprakash, Tirupati</v>
          </cell>
          <cell r="AA203" t="str">
            <v>HNSCC</v>
          </cell>
          <cell r="AC203" t="str">
            <v>Buccal Mucosa</v>
          </cell>
          <cell r="AD203" t="str">
            <v>Buccal Mucosa</v>
          </cell>
          <cell r="AE203" t="str">
            <v>Female</v>
          </cell>
          <cell r="AF203">
            <v>49</v>
          </cell>
          <cell r="AG203" t="str">
            <v>N</v>
          </cell>
          <cell r="AH203">
            <v>5.0999999999999996</v>
          </cell>
          <cell r="AI203" t="str">
            <v>Shashi</v>
          </cell>
          <cell r="AJ203" t="str">
            <v>Surgery</v>
          </cell>
          <cell r="AK203" t="str">
            <v>Primary</v>
          </cell>
          <cell r="AN203">
            <v>4</v>
          </cell>
          <cell r="AO203">
            <v>2</v>
          </cell>
          <cell r="AP203" t="str">
            <v>pT2a</v>
          </cell>
          <cell r="AS203" t="str">
            <v>Squamous cell carcinoma</v>
          </cell>
          <cell r="AV203">
            <v>44739</v>
          </cell>
          <cell r="AW203">
            <v>0.95138888888888884</v>
          </cell>
          <cell r="AX203">
            <v>0.98611111111111116</v>
          </cell>
          <cell r="AY203">
            <v>3.4722222222222224E-2</v>
          </cell>
          <cell r="AZ203">
            <v>4.8611111111111112E-2</v>
          </cell>
          <cell r="BA203">
            <v>0.33333333333333331</v>
          </cell>
          <cell r="BB203" t="str">
            <v>3.5*1.0*2.0
3.5*0.6*1.0
3.5*1.0*1.0</v>
          </cell>
          <cell r="BC203" t="str">
            <v>3.5*1.0*2.0
3.5*0.6*1.0
3.5*1.0*1.0</v>
          </cell>
          <cell r="BD203" t="str">
            <v>Manual</v>
          </cell>
          <cell r="BE203">
            <v>4</v>
          </cell>
          <cell r="BF203" t="str">
            <v>Gowri</v>
          </cell>
          <cell r="BG203" t="str">
            <v>Y</v>
          </cell>
        </row>
        <row r="204">
          <cell r="A204" t="str">
            <v>FBR1T220154</v>
          </cell>
          <cell r="B204">
            <v>220154</v>
          </cell>
          <cell r="C204" t="str">
            <v>R&amp;D</v>
          </cell>
          <cell r="D204">
            <v>44739</v>
          </cell>
          <cell r="E204">
            <v>0.65277777777777779</v>
          </cell>
          <cell r="F204">
            <v>44713</v>
          </cell>
          <cell r="G204">
            <v>44739</v>
          </cell>
          <cell r="H204">
            <v>0.9375</v>
          </cell>
          <cell r="I204">
            <v>0.28472222222222221</v>
          </cell>
          <cell r="J204">
            <v>10</v>
          </cell>
          <cell r="K204" t="str">
            <v>FCB-PROTOCOL-01</v>
          </cell>
          <cell r="L204" t="str">
            <v>CLN/DBR/092</v>
          </cell>
          <cell r="M204" t="str">
            <v>Y</v>
          </cell>
          <cell r="N204" t="str">
            <v>cc Study(1T)</v>
          </cell>
          <cell r="O204" t="str">
            <v>Internal R&amp;D</v>
          </cell>
          <cell r="P204" t="str">
            <v>Q1 Passed</v>
          </cell>
          <cell r="Q204" t="str">
            <v>Q1 Passed</v>
          </cell>
          <cell r="R204" t="str">
            <v>Q1.5 Passed</v>
          </cell>
          <cell r="S204" t="str">
            <v>Q1.5 Passed</v>
          </cell>
          <cell r="W204" t="str">
            <v>Clinic'les</v>
          </cell>
          <cell r="X204" t="str">
            <v>Clinic'les- DBR &amp; SK Hospital, Tirupati</v>
          </cell>
          <cell r="Y204" t="str">
            <v>DBR &amp; SK Hospital, Tirupati</v>
          </cell>
          <cell r="Z204" t="str">
            <v>Dr C Jayaprakash, Tirupati</v>
          </cell>
          <cell r="AA204" t="str">
            <v>HNSCC</v>
          </cell>
          <cell r="AC204" t="str">
            <v>Buccal Mucosa</v>
          </cell>
          <cell r="AD204" t="str">
            <v>Buccal Mucosa</v>
          </cell>
          <cell r="AE204" t="str">
            <v>Female</v>
          </cell>
          <cell r="AF204">
            <v>49</v>
          </cell>
          <cell r="AG204" t="str">
            <v>N</v>
          </cell>
          <cell r="AH204">
            <v>5.0999999999999996</v>
          </cell>
          <cell r="AI204" t="str">
            <v>Shashi</v>
          </cell>
          <cell r="AJ204" t="str">
            <v>Surgery</v>
          </cell>
          <cell r="AK204" t="str">
            <v>Primary</v>
          </cell>
          <cell r="AN204">
            <v>4</v>
          </cell>
          <cell r="AO204">
            <v>2</v>
          </cell>
          <cell r="AP204" t="str">
            <v>pT2a</v>
          </cell>
          <cell r="AS204" t="str">
            <v>Squamous cell carcinoma</v>
          </cell>
          <cell r="AV204">
            <v>44739</v>
          </cell>
          <cell r="AW204">
            <v>0.95138888888888884</v>
          </cell>
          <cell r="AX204">
            <v>0.98611111111111116</v>
          </cell>
          <cell r="AY204">
            <v>3.4722222222222224E-2</v>
          </cell>
          <cell r="AZ204">
            <v>4.8611111111111112E-2</v>
          </cell>
          <cell r="BA204">
            <v>0.33333333333333331</v>
          </cell>
          <cell r="BB204" t="str">
            <v>3.5*1.0*2.0
3.5*0.6*1.0
3.5*1.0*1.0</v>
          </cell>
          <cell r="BC204" t="str">
            <v>3.5*1.0*2.0
3.5*0.6*1.0
3.5*1.0*1.0</v>
          </cell>
          <cell r="BD204" t="str">
            <v>Manual</v>
          </cell>
          <cell r="BE204">
            <v>4</v>
          </cell>
          <cell r="BF204" t="str">
            <v>Gowri</v>
          </cell>
          <cell r="BG204" t="str">
            <v>Y</v>
          </cell>
        </row>
        <row r="205">
          <cell r="A205" t="str">
            <v>FBR1S220155</v>
          </cell>
          <cell r="B205">
            <v>220155</v>
          </cell>
          <cell r="C205" t="str">
            <v>R&amp;D</v>
          </cell>
          <cell r="D205">
            <v>44741</v>
          </cell>
          <cell r="E205">
            <v>0.64236111111111116</v>
          </cell>
          <cell r="F205">
            <v>44713</v>
          </cell>
          <cell r="G205">
            <v>44741</v>
          </cell>
          <cell r="H205">
            <v>0.67083333333333328</v>
          </cell>
          <cell r="I205">
            <v>2.8472222222222222E-2</v>
          </cell>
          <cell r="J205">
            <v>10</v>
          </cell>
          <cell r="K205" t="str">
            <v>FCB-PROTOCOL-02</v>
          </cell>
          <cell r="L205" t="str">
            <v>HN009</v>
          </cell>
          <cell r="M205" t="str">
            <v>Y</v>
          </cell>
          <cell r="N205" t="str">
            <v>DMS_v5 (1S)</v>
          </cell>
          <cell r="O205" t="str">
            <v>Internal R&amp;D</v>
          </cell>
          <cell r="P205" t="str">
            <v>Q1 Passed</v>
          </cell>
          <cell r="Q205" t="str">
            <v>Q1 Passed</v>
          </cell>
          <cell r="R205" t="str">
            <v>Q1.5 Passed</v>
          </cell>
          <cell r="S205" t="str">
            <v>Q1.5 Passed</v>
          </cell>
          <cell r="V205" t="str">
            <v>High tumor content in all fragments</v>
          </cell>
          <cell r="W205" t="str">
            <v>Government Hospital</v>
          </cell>
          <cell r="X205" t="str">
            <v>Mazumdar Shaw Medical Centre, Bangalore</v>
          </cell>
          <cell r="Y205" t="str">
            <v>Mazumdar Shaw Medical Centre, Bangalore</v>
          </cell>
          <cell r="Z205" t="str">
            <v>Dr Vijay Pillai, Bangalore</v>
          </cell>
          <cell r="AA205" t="str">
            <v>HNSCC</v>
          </cell>
          <cell r="AC205" t="str">
            <v>GBS</v>
          </cell>
          <cell r="AD205" t="str">
            <v>Left GBS</v>
          </cell>
          <cell r="AE205" t="str">
            <v>Male</v>
          </cell>
          <cell r="AF205">
            <v>51</v>
          </cell>
          <cell r="AG205" t="str">
            <v>N</v>
          </cell>
          <cell r="AH205">
            <v>3.5</v>
          </cell>
          <cell r="AI205" t="str">
            <v>Shashi</v>
          </cell>
          <cell r="AJ205" t="str">
            <v>Surgery</v>
          </cell>
          <cell r="AK205" t="str">
            <v>Primary</v>
          </cell>
          <cell r="AN205">
            <v>4</v>
          </cell>
          <cell r="AO205">
            <v>4</v>
          </cell>
          <cell r="AP205" t="str">
            <v>pT4bN3b</v>
          </cell>
          <cell r="AS205" t="str">
            <v>Moderately differentiated squamous cell carcinoma of left buccal mucosa with metastasis to bilateral cervical lymph nodes with extranodal extension</v>
          </cell>
          <cell r="AV205">
            <v>44741</v>
          </cell>
          <cell r="AW205">
            <v>0.6875</v>
          </cell>
          <cell r="AX205">
            <v>0.8125</v>
          </cell>
          <cell r="AY205">
            <v>0.125</v>
          </cell>
          <cell r="AZ205">
            <v>0.14166666666666666</v>
          </cell>
          <cell r="BA205">
            <v>0.1701388888888889</v>
          </cell>
          <cell r="BB205" t="str">
            <v>1.2*1.5*1.2</v>
          </cell>
          <cell r="BC205" t="str">
            <v>1.2*1.5*1.2</v>
          </cell>
          <cell r="BD205" t="str">
            <v>Vibratome</v>
          </cell>
          <cell r="BE205">
            <v>4</v>
          </cell>
          <cell r="BF205" t="str">
            <v>Biswajit</v>
          </cell>
          <cell r="BG205" t="str">
            <v>Y</v>
          </cell>
        </row>
        <row r="206">
          <cell r="A206" t="str">
            <v>FBR1T220155</v>
          </cell>
          <cell r="B206">
            <v>220155</v>
          </cell>
          <cell r="C206" t="str">
            <v>R&amp;D</v>
          </cell>
          <cell r="D206">
            <v>44741</v>
          </cell>
          <cell r="E206">
            <v>0.64236111111111116</v>
          </cell>
          <cell r="F206">
            <v>44713</v>
          </cell>
          <cell r="G206">
            <v>44741</v>
          </cell>
          <cell r="H206">
            <v>0.67083333333333328</v>
          </cell>
          <cell r="I206">
            <v>2.8472222222222222E-2</v>
          </cell>
          <cell r="J206">
            <v>10</v>
          </cell>
          <cell r="K206" t="str">
            <v>FCB-PROTOCOL-02</v>
          </cell>
          <cell r="L206" t="str">
            <v>HN009</v>
          </cell>
          <cell r="M206" t="str">
            <v>Y</v>
          </cell>
          <cell r="N206" t="str">
            <v>cc Study(1T)</v>
          </cell>
          <cell r="O206" t="str">
            <v>Internal R&amp;D</v>
          </cell>
          <cell r="P206" t="str">
            <v>Q1 Passed</v>
          </cell>
          <cell r="Q206" t="str">
            <v>Q1 Passed</v>
          </cell>
          <cell r="R206" t="str">
            <v>Q1.5 Passed</v>
          </cell>
          <cell r="S206" t="str">
            <v>Q1.5 Passed</v>
          </cell>
          <cell r="W206" t="str">
            <v>Government Hospital</v>
          </cell>
          <cell r="X206" t="str">
            <v>Mazumdar Shaw Medical Centre, Bangalore</v>
          </cell>
          <cell r="Y206" t="str">
            <v>Mazumdar Shaw Medical Centre, Bangalore</v>
          </cell>
          <cell r="Z206" t="str">
            <v>Dr Vijay Pillai, Bangalore</v>
          </cell>
          <cell r="AA206" t="str">
            <v>HNSCC</v>
          </cell>
          <cell r="AC206" t="str">
            <v>GBS</v>
          </cell>
          <cell r="AD206" t="str">
            <v>Left GBS</v>
          </cell>
          <cell r="AE206" t="str">
            <v>Male</v>
          </cell>
          <cell r="AF206">
            <v>51</v>
          </cell>
          <cell r="AG206" t="str">
            <v>N</v>
          </cell>
          <cell r="AH206">
            <v>3.5</v>
          </cell>
          <cell r="AI206" t="str">
            <v>Shashi</v>
          </cell>
          <cell r="AJ206" t="str">
            <v>Surgery</v>
          </cell>
          <cell r="AK206" t="str">
            <v>Primary</v>
          </cell>
          <cell r="AN206">
            <v>4</v>
          </cell>
          <cell r="AO206">
            <v>4</v>
          </cell>
          <cell r="AP206" t="str">
            <v>pT4bN3b</v>
          </cell>
          <cell r="AS206" t="str">
            <v>Moderately differentiated squamous cell carcinoma of left buccal mucosa with metastasis to bilateral cervical lymph nodes with extranodal extension</v>
          </cell>
          <cell r="AV206">
            <v>44741</v>
          </cell>
          <cell r="AW206">
            <v>0.6875</v>
          </cell>
          <cell r="AX206">
            <v>0.8125</v>
          </cell>
          <cell r="AY206">
            <v>0.125</v>
          </cell>
          <cell r="AZ206">
            <v>0.14166666666666666</v>
          </cell>
          <cell r="BA206">
            <v>0.1701388888888889</v>
          </cell>
          <cell r="BB206" t="str">
            <v>1.2*1.5*1.2</v>
          </cell>
          <cell r="BC206" t="str">
            <v>1.2*1.5*1.2</v>
          </cell>
          <cell r="BD206" t="str">
            <v>Vibratome</v>
          </cell>
          <cell r="BE206">
            <v>4</v>
          </cell>
          <cell r="BF206" t="str">
            <v>Biswajit</v>
          </cell>
          <cell r="BG206" t="str">
            <v>Y</v>
          </cell>
        </row>
        <row r="207">
          <cell r="A207" t="str">
            <v>FBR1S220156</v>
          </cell>
          <cell r="B207">
            <v>220156</v>
          </cell>
          <cell r="C207" t="str">
            <v>R&amp;D</v>
          </cell>
          <cell r="D207">
            <v>44742</v>
          </cell>
          <cell r="E207">
            <v>0.45069444444444445</v>
          </cell>
          <cell r="F207">
            <v>44713</v>
          </cell>
          <cell r="G207">
            <v>44742</v>
          </cell>
          <cell r="H207">
            <v>0.52430555555555558</v>
          </cell>
          <cell r="I207">
            <v>7.3611111111111113E-2</v>
          </cell>
          <cell r="J207">
            <v>7</v>
          </cell>
          <cell r="K207" t="str">
            <v>FCB-PROTOCOL-01</v>
          </cell>
          <cell r="L207" t="str">
            <v>VYD/113</v>
          </cell>
          <cell r="M207" t="str">
            <v>Y</v>
          </cell>
          <cell r="N207" t="str">
            <v>DMS_v5 (1S)</v>
          </cell>
          <cell r="O207" t="str">
            <v>Internal R&amp;D</v>
          </cell>
          <cell r="P207" t="str">
            <v>Q1 Passed</v>
          </cell>
          <cell r="Q207" t="str">
            <v>Q1 Passed</v>
          </cell>
          <cell r="R207" t="str">
            <v>Q1.5 Passed</v>
          </cell>
          <cell r="S207" t="str">
            <v>Q1.5 Passed</v>
          </cell>
          <cell r="V207" t="str">
            <v>Tumor content 3-50%</v>
          </cell>
          <cell r="W207" t="str">
            <v>Private Hospital</v>
          </cell>
          <cell r="X207" t="str">
            <v>Vydehi Hospital, Bangalore</v>
          </cell>
          <cell r="Y207" t="str">
            <v>Vydehi Hospital, Bangalore</v>
          </cell>
          <cell r="Z207" t="str">
            <v>Dr Amritha Prabha, Bangalore</v>
          </cell>
          <cell r="AA207" t="str">
            <v>HNSCC</v>
          </cell>
          <cell r="AC207" t="str">
            <v>Tongue</v>
          </cell>
          <cell r="AD207" t="str">
            <v>Left lateral border of tongue</v>
          </cell>
          <cell r="AE207" t="str">
            <v>Female</v>
          </cell>
          <cell r="AF207">
            <v>55</v>
          </cell>
          <cell r="AG207" t="str">
            <v>N</v>
          </cell>
          <cell r="AH207">
            <v>3.8</v>
          </cell>
          <cell r="AI207" t="str">
            <v>Kalappa</v>
          </cell>
          <cell r="AJ207" t="str">
            <v>Surgery</v>
          </cell>
          <cell r="AK207" t="str">
            <v>Primary</v>
          </cell>
          <cell r="AN207" t="str">
            <v>II</v>
          </cell>
          <cell r="AO207">
            <v>2</v>
          </cell>
          <cell r="AP207" t="str">
            <v>pT2Nx</v>
          </cell>
          <cell r="AS207" t="str">
            <v>Squamous cell carcinoma</v>
          </cell>
          <cell r="AV207">
            <v>44742</v>
          </cell>
          <cell r="AW207">
            <v>0.53888888888888886</v>
          </cell>
          <cell r="AX207">
            <v>0.65625</v>
          </cell>
          <cell r="AY207">
            <v>0.11736111111111111</v>
          </cell>
          <cell r="AZ207">
            <v>0.13194444444444445</v>
          </cell>
          <cell r="BA207">
            <v>0.20555555555555555</v>
          </cell>
          <cell r="BB207" t="str">
            <v>0.8*1.0*1.2</v>
          </cell>
          <cell r="BC207" t="str">
            <v>0.8*1.0*1.2</v>
          </cell>
          <cell r="BD207" t="str">
            <v>Manual+Vibratome</v>
          </cell>
          <cell r="BE207">
            <v>4</v>
          </cell>
          <cell r="BF207" t="str">
            <v>Biswajit</v>
          </cell>
          <cell r="BG207" t="str">
            <v>Y</v>
          </cell>
        </row>
        <row r="208">
          <cell r="A208" t="str">
            <v>FBR1T220156</v>
          </cell>
          <cell r="B208">
            <v>220156</v>
          </cell>
          <cell r="C208" t="str">
            <v>R&amp;D</v>
          </cell>
          <cell r="D208">
            <v>44742</v>
          </cell>
          <cell r="E208">
            <v>0.45069444444444445</v>
          </cell>
          <cell r="F208">
            <v>44713</v>
          </cell>
          <cell r="G208">
            <v>44742</v>
          </cell>
          <cell r="H208">
            <v>0.52430555555555558</v>
          </cell>
          <cell r="I208">
            <v>7.3611111111111113E-2</v>
          </cell>
          <cell r="J208">
            <v>7</v>
          </cell>
          <cell r="K208" t="str">
            <v>FCB-PROTOCOL-01</v>
          </cell>
          <cell r="L208" t="str">
            <v>VYD/113</v>
          </cell>
          <cell r="M208" t="str">
            <v>Y</v>
          </cell>
          <cell r="N208" t="str">
            <v>cc Study(1T)</v>
          </cell>
          <cell r="O208" t="str">
            <v>Internal R&amp;D</v>
          </cell>
          <cell r="P208" t="str">
            <v>Q1 Passed</v>
          </cell>
          <cell r="Q208" t="str">
            <v>Q1 Passed</v>
          </cell>
          <cell r="R208" t="str">
            <v>Q1.5 Passed</v>
          </cell>
          <cell r="S208" t="str">
            <v>Q1.5 Passed</v>
          </cell>
          <cell r="V208" t="str">
            <v>Tumor content 20-60%</v>
          </cell>
          <cell r="W208" t="str">
            <v>Private Hospital</v>
          </cell>
          <cell r="X208" t="str">
            <v>Vydehi Hospital, Bangalore</v>
          </cell>
          <cell r="Y208" t="str">
            <v>Vydehi Hospital, Bangalore</v>
          </cell>
          <cell r="Z208" t="str">
            <v>Dr Amritha Prabha, Bangalore</v>
          </cell>
          <cell r="AA208" t="str">
            <v>HNSCC</v>
          </cell>
          <cell r="AC208" t="str">
            <v>Tongue</v>
          </cell>
          <cell r="AD208" t="str">
            <v>Left lateral border of tongue</v>
          </cell>
          <cell r="AE208" t="str">
            <v>Female</v>
          </cell>
          <cell r="AF208">
            <v>55</v>
          </cell>
          <cell r="AG208" t="str">
            <v>N</v>
          </cell>
          <cell r="AH208">
            <v>3.8</v>
          </cell>
          <cell r="AI208" t="str">
            <v>Kalappa</v>
          </cell>
          <cell r="AJ208" t="str">
            <v>Surgery</v>
          </cell>
          <cell r="AK208" t="str">
            <v>Primary</v>
          </cell>
          <cell r="AN208" t="str">
            <v>II</v>
          </cell>
          <cell r="AO208">
            <v>2</v>
          </cell>
          <cell r="AP208" t="str">
            <v>pT2Nx</v>
          </cell>
          <cell r="AS208" t="str">
            <v>Squamous cell carcinoma</v>
          </cell>
          <cell r="AV208">
            <v>44742</v>
          </cell>
          <cell r="AW208">
            <v>0.53888888888888886</v>
          </cell>
          <cell r="AX208">
            <v>0.65625</v>
          </cell>
          <cell r="AY208">
            <v>0.11736111111111111</v>
          </cell>
          <cell r="AZ208">
            <v>0.13194444444444445</v>
          </cell>
          <cell r="BA208">
            <v>0.20555555555555555</v>
          </cell>
          <cell r="BB208" t="str">
            <v>0.8*1.0*1.2</v>
          </cell>
          <cell r="BC208" t="str">
            <v>0.8*1.0*1.2</v>
          </cell>
          <cell r="BD208" t="str">
            <v>Manual+Vibratome</v>
          </cell>
          <cell r="BE208">
            <v>4</v>
          </cell>
          <cell r="BF208" t="str">
            <v>Biswajit</v>
          </cell>
          <cell r="BG208" t="str">
            <v>Y</v>
          </cell>
        </row>
        <row r="209">
          <cell r="A209" t="str">
            <v>FBR1Q220157</v>
          </cell>
          <cell r="B209">
            <v>220157</v>
          </cell>
          <cell r="C209" t="str">
            <v>R&amp;D</v>
          </cell>
          <cell r="D209">
            <v>44742</v>
          </cell>
          <cell r="E209">
            <v>0.65902777777777777</v>
          </cell>
          <cell r="F209">
            <v>44713</v>
          </cell>
          <cell r="G209">
            <v>44742</v>
          </cell>
          <cell r="H209">
            <v>0.71250000000000002</v>
          </cell>
          <cell r="I209">
            <v>5.347222222222222E-2</v>
          </cell>
          <cell r="J209">
            <v>3</v>
          </cell>
          <cell r="K209" t="str">
            <v>FCB-PROTOCOL-01</v>
          </cell>
          <cell r="L209" t="str">
            <v>VYD/114</v>
          </cell>
          <cell r="M209" t="str">
            <v>Y</v>
          </cell>
          <cell r="N209" t="str">
            <v>COSV4.1-CaBR</v>
          </cell>
          <cell r="O209" t="str">
            <v>Internal R&amp;D</v>
          </cell>
          <cell r="P209" t="str">
            <v>Q1 Passed</v>
          </cell>
          <cell r="Q209" t="str">
            <v>Q1 Passed</v>
          </cell>
          <cell r="R209" t="str">
            <v>Q1.5 Passed</v>
          </cell>
          <cell r="S209" t="str">
            <v>Q1.5 Passed</v>
          </cell>
          <cell r="V209" t="str">
            <v>Tumor content 3-60%.Pyknosis high</v>
          </cell>
          <cell r="W209" t="str">
            <v>Private Hospital</v>
          </cell>
          <cell r="X209" t="str">
            <v>Vydehi Hospital, Bangalore</v>
          </cell>
          <cell r="Y209" t="str">
            <v>Vydehi Hospital, Bangalore</v>
          </cell>
          <cell r="Z209" t="str">
            <v>Dr Amritha Prabha, Bangalore</v>
          </cell>
          <cell r="AA209" t="str">
            <v>Ca Breast</v>
          </cell>
          <cell r="AC209" t="str">
            <v>Breast</v>
          </cell>
          <cell r="AD209" t="str">
            <v>Right Breast</v>
          </cell>
          <cell r="AE209" t="str">
            <v>Female</v>
          </cell>
          <cell r="AF209">
            <v>51</v>
          </cell>
          <cell r="AG209" t="str">
            <v>N</v>
          </cell>
          <cell r="AH209">
            <v>5.5</v>
          </cell>
          <cell r="AI209" t="str">
            <v>Maruthi</v>
          </cell>
          <cell r="AJ209" t="str">
            <v>Surgery</v>
          </cell>
          <cell r="AK209" t="str">
            <v>Primary</v>
          </cell>
          <cell r="AN209" t="str">
            <v>IIIa</v>
          </cell>
          <cell r="AO209">
            <v>2</v>
          </cell>
          <cell r="AP209" t="str">
            <v>pT2N1a</v>
          </cell>
          <cell r="AS209" t="str">
            <v>IDC</v>
          </cell>
          <cell r="AV209">
            <v>44742</v>
          </cell>
          <cell r="AW209">
            <v>0.73611111111111116</v>
          </cell>
          <cell r="AX209">
            <v>0.78472222222222221</v>
          </cell>
          <cell r="AY209">
            <v>4.8611111111111112E-2</v>
          </cell>
          <cell r="AZ209">
            <v>7.2222222222222215E-2</v>
          </cell>
          <cell r="BA209">
            <v>0.12569444444444444</v>
          </cell>
          <cell r="BB209" t="str">
            <v>3.2*2.2*3.4</v>
          </cell>
          <cell r="BC209" t="str">
            <v>3.2*2.2*3.4</v>
          </cell>
          <cell r="BD209" t="str">
            <v>Manual</v>
          </cell>
          <cell r="BE209">
            <v>4</v>
          </cell>
          <cell r="BF209" t="str">
            <v>Syam</v>
          </cell>
          <cell r="BG209" t="str">
            <v>Y</v>
          </cell>
        </row>
        <row r="210">
          <cell r="A210" t="str">
            <v>FBR1S220158</v>
          </cell>
          <cell r="B210">
            <v>220158</v>
          </cell>
          <cell r="C210" t="str">
            <v>R&amp;D</v>
          </cell>
          <cell r="D210">
            <v>44742</v>
          </cell>
          <cell r="E210">
            <v>0.53472222222222221</v>
          </cell>
          <cell r="F210">
            <v>44713</v>
          </cell>
          <cell r="G210">
            <v>44742</v>
          </cell>
          <cell r="H210">
            <v>0.88541666666666663</v>
          </cell>
          <cell r="I210">
            <v>0.35069444444444442</v>
          </cell>
          <cell r="J210">
            <v>20</v>
          </cell>
          <cell r="K210" t="str">
            <v>FCB-PROTOCOL-01</v>
          </cell>
          <cell r="L210" t="str">
            <v>CLN/DBR/094</v>
          </cell>
          <cell r="M210" t="str">
            <v>Y</v>
          </cell>
          <cell r="N210" t="str">
            <v>DMS_v5 (1S)</v>
          </cell>
          <cell r="O210" t="str">
            <v>Internal R&amp;D</v>
          </cell>
          <cell r="P210" t="str">
            <v>Q1 Passed</v>
          </cell>
          <cell r="Q210" t="str">
            <v>Q1 Passed</v>
          </cell>
          <cell r="R210" t="str">
            <v>Q1.5 Passed</v>
          </cell>
          <cell r="S210" t="str">
            <v>Q1.5 Passed</v>
          </cell>
          <cell r="V210" t="str">
            <v>Tumor content 8-35%. Immune component high</v>
          </cell>
          <cell r="W210" t="str">
            <v>Clinic'les</v>
          </cell>
          <cell r="X210" t="str">
            <v>Clinic'les- DBR &amp; SK Hospital, Tirupati</v>
          </cell>
          <cell r="Y210" t="str">
            <v>DBR &amp; SK Hospital, Tirupati</v>
          </cell>
          <cell r="Z210" t="str">
            <v>Dr C Jayaprakash, Tirupati</v>
          </cell>
          <cell r="AA210" t="str">
            <v>HNSCC</v>
          </cell>
          <cell r="AC210" t="str">
            <v>Buccal Mucosa</v>
          </cell>
          <cell r="AD210" t="str">
            <v>Buccal Mucosa</v>
          </cell>
          <cell r="AE210" t="str">
            <v>Female</v>
          </cell>
          <cell r="AF210">
            <v>46</v>
          </cell>
          <cell r="AG210" t="str">
            <v>N</v>
          </cell>
          <cell r="AH210">
            <v>5.0999999999999996</v>
          </cell>
          <cell r="AI210" t="str">
            <v>Shashi</v>
          </cell>
          <cell r="AJ210" t="str">
            <v>Surgery</v>
          </cell>
          <cell r="AK210" t="str">
            <v>Primary</v>
          </cell>
          <cell r="AS210" t="str">
            <v>Squamous cell carcinoma</v>
          </cell>
          <cell r="AV210">
            <v>44742</v>
          </cell>
          <cell r="AW210">
            <v>0.91666666666666663</v>
          </cell>
          <cell r="AX210">
            <v>0.96180555555555558</v>
          </cell>
          <cell r="AY210">
            <v>4.5138888888888888E-2</v>
          </cell>
          <cell r="AZ210">
            <v>7.6388888888888895E-2</v>
          </cell>
          <cell r="BA210">
            <v>0.42708333333333331</v>
          </cell>
          <cell r="BB210" t="str">
            <v>0.2/0.6*1.6*1.2</v>
          </cell>
          <cell r="BC210" t="str">
            <v>0.2/0.6*1.6*1.2</v>
          </cell>
          <cell r="BD210" t="str">
            <v>Manual</v>
          </cell>
          <cell r="BE210">
            <v>4</v>
          </cell>
          <cell r="BF210" t="str">
            <v>Gowri</v>
          </cell>
          <cell r="BG210" t="str">
            <v>Y</v>
          </cell>
        </row>
        <row r="211">
          <cell r="A211" t="str">
            <v>FBR1T220158</v>
          </cell>
          <cell r="B211">
            <v>220158</v>
          </cell>
          <cell r="C211" t="str">
            <v>R&amp;D</v>
          </cell>
          <cell r="D211">
            <v>44742</v>
          </cell>
          <cell r="E211">
            <v>0.53472222222222221</v>
          </cell>
          <cell r="F211">
            <v>44713</v>
          </cell>
          <cell r="G211">
            <v>44742</v>
          </cell>
          <cell r="H211">
            <v>0.88541666666666663</v>
          </cell>
          <cell r="I211">
            <v>0.35069444444444442</v>
          </cell>
          <cell r="J211">
            <v>20</v>
          </cell>
          <cell r="K211" t="str">
            <v>FCB-PROTOCOL-01</v>
          </cell>
          <cell r="L211" t="str">
            <v>CLN/DBR/094</v>
          </cell>
          <cell r="M211" t="str">
            <v>Y</v>
          </cell>
          <cell r="N211" t="str">
            <v>cc Study(1T)</v>
          </cell>
          <cell r="O211" t="str">
            <v>Internal R&amp;D</v>
          </cell>
          <cell r="P211" t="str">
            <v>Q1 Passed</v>
          </cell>
          <cell r="Q211" t="str">
            <v>Q1 Passed</v>
          </cell>
          <cell r="R211" t="str">
            <v>Q1.5 Passed</v>
          </cell>
          <cell r="S211" t="str">
            <v>Q1.5 Passed</v>
          </cell>
          <cell r="W211" t="str">
            <v>Clinic'les</v>
          </cell>
          <cell r="X211" t="str">
            <v>Clinic'les- DBR &amp; SK Hospital, Tirupati</v>
          </cell>
          <cell r="Y211" t="str">
            <v>DBR &amp; SK Hospital, Tirupati</v>
          </cell>
          <cell r="Z211" t="str">
            <v>Dr C Jayaprakash, Tirupati</v>
          </cell>
          <cell r="AA211" t="str">
            <v>HNSCC</v>
          </cell>
          <cell r="AC211" t="str">
            <v>Buccal Mucosa</v>
          </cell>
          <cell r="AD211" t="str">
            <v>Buccal Mucosa</v>
          </cell>
          <cell r="AE211" t="str">
            <v>Female</v>
          </cell>
          <cell r="AF211">
            <v>46</v>
          </cell>
          <cell r="AG211" t="str">
            <v>N</v>
          </cell>
          <cell r="AH211">
            <v>5.0999999999999996</v>
          </cell>
          <cell r="AI211" t="str">
            <v>Shashi</v>
          </cell>
          <cell r="AJ211" t="str">
            <v>Surgery</v>
          </cell>
          <cell r="AK211" t="str">
            <v>Primary</v>
          </cell>
          <cell r="AS211" t="str">
            <v>Squamous cell carcinoma</v>
          </cell>
          <cell r="AV211">
            <v>44742</v>
          </cell>
          <cell r="AW211">
            <v>0.91666666666666663</v>
          </cell>
          <cell r="AX211">
            <v>0.96180555555555558</v>
          </cell>
          <cell r="AY211">
            <v>4.5138888888888888E-2</v>
          </cell>
          <cell r="AZ211">
            <v>7.6388888888888895E-2</v>
          </cell>
          <cell r="BA211">
            <v>0.42708333333333331</v>
          </cell>
          <cell r="BB211" t="str">
            <v>0.2/0.6*1.6*1.2</v>
          </cell>
          <cell r="BC211" t="str">
            <v>0.2/0.6*1.6*1.2</v>
          </cell>
          <cell r="BD211" t="str">
            <v>Manual</v>
          </cell>
          <cell r="BE211">
            <v>4</v>
          </cell>
          <cell r="BF211" t="str">
            <v>Gowri</v>
          </cell>
          <cell r="BG211" t="str">
            <v>Y</v>
          </cell>
        </row>
        <row r="212">
          <cell r="A212" t="str">
            <v>FBR1Q220159</v>
          </cell>
          <cell r="B212">
            <v>220159</v>
          </cell>
          <cell r="C212" t="str">
            <v>R&amp;D</v>
          </cell>
          <cell r="D212">
            <v>44742</v>
          </cell>
          <cell r="E212">
            <v>0.49166666666666664</v>
          </cell>
          <cell r="F212">
            <v>44713</v>
          </cell>
          <cell r="G212">
            <v>44742</v>
          </cell>
          <cell r="H212">
            <v>0.88888888888888884</v>
          </cell>
          <cell r="I212">
            <v>0.3972222222222222</v>
          </cell>
          <cell r="J212">
            <v>8</v>
          </cell>
          <cell r="K212" t="str">
            <v>FCB-PROTOCOL-01</v>
          </cell>
          <cell r="L212" t="str">
            <v>CLN/DBR/093</v>
          </cell>
          <cell r="M212" t="str">
            <v>Y</v>
          </cell>
          <cell r="N212" t="str">
            <v>COSV4.1-CaBR</v>
          </cell>
          <cell r="O212" t="str">
            <v>Internal R&amp;D</v>
          </cell>
          <cell r="P212" t="str">
            <v>Q1 Passed</v>
          </cell>
          <cell r="Q212" t="str">
            <v>Q1 Passed</v>
          </cell>
          <cell r="R212" t="str">
            <v>Q1.5 Passed</v>
          </cell>
          <cell r="S212" t="str">
            <v>Q1.5 Passed</v>
          </cell>
          <cell r="V212" t="str">
            <v>Tumor content 1-60%.Pyknosis high</v>
          </cell>
          <cell r="W212" t="str">
            <v>Clinic'les</v>
          </cell>
          <cell r="X212" t="str">
            <v>Clinic'les- DBR &amp; SK Hospital, Tirupati</v>
          </cell>
          <cell r="Y212" t="str">
            <v>DBR &amp; SK Hospital, Tirupati</v>
          </cell>
          <cell r="Z212" t="str">
            <v>Dr C Jayaprakash, Tirupati</v>
          </cell>
          <cell r="AA212" t="str">
            <v>Ca Breast</v>
          </cell>
          <cell r="AC212" t="str">
            <v>Breast</v>
          </cell>
          <cell r="AD212" t="str">
            <v>left breast</v>
          </cell>
          <cell r="AE212" t="str">
            <v>Female</v>
          </cell>
          <cell r="AF212">
            <v>56</v>
          </cell>
          <cell r="AG212" t="str">
            <v>N</v>
          </cell>
          <cell r="AH212">
            <v>5.0999999999999996</v>
          </cell>
          <cell r="AI212" t="str">
            <v>Shashi</v>
          </cell>
          <cell r="AJ212" t="str">
            <v>Surgery</v>
          </cell>
          <cell r="AK212" t="str">
            <v>Primary</v>
          </cell>
          <cell r="AV212">
            <v>44742</v>
          </cell>
          <cell r="AW212">
            <v>0.92361111111111116</v>
          </cell>
          <cell r="AX212">
            <v>0.96180555555555558</v>
          </cell>
          <cell r="AY212">
            <v>3.8194444444444448E-2</v>
          </cell>
          <cell r="AZ212">
            <v>7.2916666666666671E-2</v>
          </cell>
          <cell r="BA212">
            <v>0.47013888888888888</v>
          </cell>
          <cell r="BB212" t="str">
            <v>0.6*2.6*1.0
0.6*3.6*1.2</v>
          </cell>
          <cell r="BC212" t="str">
            <v>0.6*2.6*1.0
0.6*3.6*1.2</v>
          </cell>
          <cell r="BD212" t="str">
            <v>manual</v>
          </cell>
          <cell r="BE212">
            <v>4</v>
          </cell>
          <cell r="BF212" t="str">
            <v>vasanth</v>
          </cell>
          <cell r="BG212" t="str">
            <v>Y</v>
          </cell>
        </row>
        <row r="213">
          <cell r="A213" t="str">
            <v>FBR1A220160</v>
          </cell>
          <cell r="B213">
            <v>220160</v>
          </cell>
          <cell r="C213" t="str">
            <v>R&amp;D</v>
          </cell>
          <cell r="D213">
            <v>44743</v>
          </cell>
          <cell r="E213">
            <v>0.41041666666666665</v>
          </cell>
          <cell r="F213">
            <v>44743</v>
          </cell>
          <cell r="G213">
            <v>44743</v>
          </cell>
          <cell r="H213">
            <v>0.77500000000000002</v>
          </cell>
          <cell r="I213">
            <v>0.36458333333333331</v>
          </cell>
          <cell r="J213">
            <v>6</v>
          </cell>
          <cell r="K213" t="str">
            <v>FCB-PROTOCOL-01</v>
          </cell>
          <cell r="L213" t="str">
            <v>CLN/JSS/008</v>
          </cell>
          <cell r="M213" t="str">
            <v>Y</v>
          </cell>
          <cell r="N213" t="str">
            <v>Other Indication</v>
          </cell>
          <cell r="O213" t="str">
            <v>Internal R&amp;D</v>
          </cell>
          <cell r="P213" t="str">
            <v>Q1 Passed</v>
          </cell>
          <cell r="Q213" t="str">
            <v>Q1 Passed</v>
          </cell>
          <cell r="R213" t="str">
            <v>Q1.5 Rejected</v>
          </cell>
          <cell r="S213" t="str">
            <v>Q1.5 Rejected</v>
          </cell>
          <cell r="T213" t="str">
            <v>contamination observed @T48</v>
          </cell>
          <cell r="V213" t="str">
            <v>Tumor content 8-70%</v>
          </cell>
          <cell r="W213" t="str">
            <v>Clinic'les</v>
          </cell>
          <cell r="X213" t="str">
            <v>Clinic'les- Dr Ravi Krishnappa, Mysore</v>
          </cell>
          <cell r="Y213" t="str">
            <v>JSS Hospital, Mysore</v>
          </cell>
          <cell r="Z213" t="str">
            <v>Dr Ravi Krishnappa, Mysore</v>
          </cell>
          <cell r="AA213" t="str">
            <v>Ca Ovary</v>
          </cell>
          <cell r="AC213" t="str">
            <v>Ovary</v>
          </cell>
          <cell r="AD213" t="str">
            <v>right ovary</v>
          </cell>
          <cell r="AE213" t="str">
            <v>Female</v>
          </cell>
          <cell r="AF213">
            <v>41</v>
          </cell>
          <cell r="AG213" t="str">
            <v>N</v>
          </cell>
          <cell r="AH213">
            <v>5.3</v>
          </cell>
          <cell r="AI213" t="str">
            <v>Maruthi</v>
          </cell>
          <cell r="AJ213" t="str">
            <v>Surgery</v>
          </cell>
          <cell r="AK213" t="str">
            <v>Primary</v>
          </cell>
          <cell r="AV213">
            <v>44743</v>
          </cell>
          <cell r="AW213">
            <v>0.77986111111111112</v>
          </cell>
          <cell r="AX213">
            <v>0.80902777777777779</v>
          </cell>
          <cell r="AY213">
            <v>2.9166666666666667E-2</v>
          </cell>
          <cell r="AZ213">
            <v>3.4027777777777775E-2</v>
          </cell>
          <cell r="BA213">
            <v>0.39861111111111114</v>
          </cell>
          <cell r="BB213" t="str">
            <v>1.0*1.6*2.8</v>
          </cell>
          <cell r="BC213" t="str">
            <v>1.0*1.6*2.8</v>
          </cell>
          <cell r="BD213" t="str">
            <v>manual</v>
          </cell>
          <cell r="BE213">
            <v>4</v>
          </cell>
          <cell r="BF213" t="str">
            <v>vasanth</v>
          </cell>
        </row>
        <row r="214">
          <cell r="A214" t="str">
            <v>FBR1Q220161</v>
          </cell>
          <cell r="B214">
            <v>220161</v>
          </cell>
          <cell r="C214" t="str">
            <v>R&amp;D</v>
          </cell>
          <cell r="D214">
            <v>44743</v>
          </cell>
          <cell r="E214">
            <v>0.52083333333333337</v>
          </cell>
          <cell r="F214">
            <v>44743</v>
          </cell>
          <cell r="G214">
            <v>44743</v>
          </cell>
          <cell r="H214">
            <v>0.92361111111111116</v>
          </cell>
          <cell r="I214">
            <v>0.40277777777777779</v>
          </cell>
          <cell r="J214">
            <v>10</v>
          </cell>
          <cell r="K214" t="str">
            <v>FCB-PROTOCOL-01</v>
          </cell>
          <cell r="L214" t="str">
            <v>CLN/DBR/095</v>
          </cell>
          <cell r="M214" t="str">
            <v>Y</v>
          </cell>
          <cell r="N214" t="str">
            <v>COSV4.1-CaBR</v>
          </cell>
          <cell r="O214" t="str">
            <v>Internal R&amp;D</v>
          </cell>
          <cell r="P214" t="str">
            <v>Q1 Passed</v>
          </cell>
          <cell r="Q214" t="str">
            <v>Q1 Passed</v>
          </cell>
          <cell r="R214" t="str">
            <v>Q1.5 Passed</v>
          </cell>
          <cell r="S214" t="str">
            <v>Q1.5 Passed</v>
          </cell>
          <cell r="V214" t="str">
            <v>Tumor content 1-30%</v>
          </cell>
          <cell r="W214" t="str">
            <v>Clinic'les</v>
          </cell>
          <cell r="X214" t="str">
            <v>Clinic'les- DBR &amp; SK Hospital, Tirupati</v>
          </cell>
          <cell r="Y214" t="str">
            <v>DBR &amp; SK Hospital, Tirupati</v>
          </cell>
          <cell r="Z214" t="str">
            <v>Dr C Jayaprakash, Tirupati</v>
          </cell>
          <cell r="AA214" t="str">
            <v>Ca Breast</v>
          </cell>
          <cell r="AC214" t="str">
            <v>Breast</v>
          </cell>
          <cell r="AD214" t="str">
            <v>Right Breast</v>
          </cell>
          <cell r="AE214" t="str">
            <v>Female</v>
          </cell>
          <cell r="AF214">
            <v>36</v>
          </cell>
          <cell r="AG214" t="str">
            <v>N</v>
          </cell>
          <cell r="AH214">
            <v>5.0999999999999996</v>
          </cell>
          <cell r="AI214" t="str">
            <v>Shashi</v>
          </cell>
          <cell r="AJ214" t="str">
            <v>Surgery</v>
          </cell>
          <cell r="AK214" t="str">
            <v>Primary</v>
          </cell>
          <cell r="AN214" t="str">
            <v>2b</v>
          </cell>
          <cell r="AP214" t="str">
            <v>T3NoMx</v>
          </cell>
          <cell r="AV214">
            <v>44743</v>
          </cell>
          <cell r="AW214">
            <v>0.92708333333333337</v>
          </cell>
          <cell r="AX214">
            <v>0.97916666666666663</v>
          </cell>
          <cell r="AY214">
            <v>5.2083333333333336E-2</v>
          </cell>
          <cell r="AZ214">
            <v>5.5555555555555552E-2</v>
          </cell>
          <cell r="BA214">
            <v>0.45833333333333331</v>
          </cell>
          <cell r="BB214" t="str">
            <v>0.6/0.8*1.8*1.6</v>
          </cell>
          <cell r="BC214" t="str">
            <v>0.6/0.8*1.8*1.6</v>
          </cell>
          <cell r="BD214" t="str">
            <v>manual</v>
          </cell>
          <cell r="BE214">
            <v>4</v>
          </cell>
          <cell r="BF214" t="str">
            <v>vasanth</v>
          </cell>
          <cell r="BG214" t="str">
            <v>Y</v>
          </cell>
        </row>
        <row r="215">
          <cell r="A215" t="str">
            <v>FBR1S220162</v>
          </cell>
          <cell r="B215">
            <v>220162</v>
          </cell>
          <cell r="C215" t="str">
            <v>R&amp;D</v>
          </cell>
          <cell r="D215">
            <v>44743</v>
          </cell>
          <cell r="E215">
            <v>0.56944444444444442</v>
          </cell>
          <cell r="F215">
            <v>44743</v>
          </cell>
          <cell r="G215">
            <v>44743</v>
          </cell>
          <cell r="H215">
            <v>0.92361111111111116</v>
          </cell>
          <cell r="I215">
            <v>0.35416666666666669</v>
          </cell>
          <cell r="J215">
            <v>10</v>
          </cell>
          <cell r="K215" t="str">
            <v>FCB-PROTOCOL-01</v>
          </cell>
          <cell r="L215" t="str">
            <v>CLN/DBR/096</v>
          </cell>
          <cell r="M215" t="str">
            <v>Y</v>
          </cell>
          <cell r="N215" t="str">
            <v>DMS_v5 (1S)</v>
          </cell>
          <cell r="O215" t="str">
            <v>Internal R&amp;D</v>
          </cell>
          <cell r="P215" t="str">
            <v>Q1 Passed</v>
          </cell>
          <cell r="Q215" t="str">
            <v>Q1 Passed</v>
          </cell>
          <cell r="R215" t="str">
            <v>Q1.5 Passed</v>
          </cell>
          <cell r="S215" t="str">
            <v>Q1.5 Passed</v>
          </cell>
          <cell r="V215" t="str">
            <v>Tumor content 20-85%, Immune content high</v>
          </cell>
          <cell r="W215" t="str">
            <v>Clinic'les</v>
          </cell>
          <cell r="X215" t="str">
            <v>Clinic'les- DBR &amp; SK Hospital, Tirupati</v>
          </cell>
          <cell r="Y215" t="str">
            <v>DBR &amp; SK Hospital, Tirupati</v>
          </cell>
          <cell r="Z215" t="str">
            <v>Dr C Jayaprakash, Tirupati</v>
          </cell>
          <cell r="AA215" t="str">
            <v>HNSCC</v>
          </cell>
          <cell r="AC215" t="str">
            <v>Buccal Mucosa</v>
          </cell>
          <cell r="AD215" t="str">
            <v>Buccal Mucosa</v>
          </cell>
          <cell r="AE215" t="str">
            <v>Male</v>
          </cell>
          <cell r="AF215">
            <v>72</v>
          </cell>
          <cell r="AG215" t="str">
            <v>N</v>
          </cell>
          <cell r="AH215">
            <v>5.0999999999999996</v>
          </cell>
          <cell r="AI215" t="str">
            <v>Shashi</v>
          </cell>
          <cell r="AJ215" t="str">
            <v>Surgery</v>
          </cell>
          <cell r="AK215" t="str">
            <v>Primary</v>
          </cell>
          <cell r="AN215">
            <v>3</v>
          </cell>
          <cell r="AP215" t="str">
            <v>T3NOMX</v>
          </cell>
          <cell r="AS215" t="str">
            <v>Squamous cell carcinoma</v>
          </cell>
          <cell r="AV215">
            <v>44743</v>
          </cell>
          <cell r="AW215">
            <v>0.92708333333333337</v>
          </cell>
          <cell r="AX215">
            <v>0.97916666666666663</v>
          </cell>
          <cell r="AY215">
            <v>5.2083333333333336E-2</v>
          </cell>
          <cell r="AZ215">
            <v>5.5555555555555552E-2</v>
          </cell>
          <cell r="BA215">
            <v>0.40972222222222221</v>
          </cell>
          <cell r="BB215" t="str">
            <v>0.6*1.4*1.4</v>
          </cell>
          <cell r="BC215" t="str">
            <v>0.6*1.4*1.4</v>
          </cell>
          <cell r="BD215" t="str">
            <v>Manual+Vibratome</v>
          </cell>
          <cell r="BE215">
            <v>4</v>
          </cell>
          <cell r="BF215" t="str">
            <v>Kowshik</v>
          </cell>
          <cell r="BG215" t="str">
            <v>Y</v>
          </cell>
        </row>
        <row r="216">
          <cell r="A216" t="str">
            <v>FBR1A220163</v>
          </cell>
          <cell r="B216">
            <v>220163</v>
          </cell>
          <cell r="C216" t="str">
            <v>R&amp;D</v>
          </cell>
          <cell r="D216">
            <v>44744</v>
          </cell>
          <cell r="E216">
            <v>0.54861111111111116</v>
          </cell>
          <cell r="F216">
            <v>44743</v>
          </cell>
          <cell r="G216">
            <v>44744</v>
          </cell>
          <cell r="H216">
            <v>0.88888888888888884</v>
          </cell>
          <cell r="I216">
            <v>0.34027777777777779</v>
          </cell>
          <cell r="J216">
            <v>15</v>
          </cell>
          <cell r="K216" t="str">
            <v>FCB-PROTOCOL-01</v>
          </cell>
          <cell r="L216" t="str">
            <v>CLN/DBR/097</v>
          </cell>
          <cell r="M216" t="str">
            <v>Y</v>
          </cell>
          <cell r="N216" t="str">
            <v>Other Indication</v>
          </cell>
          <cell r="O216" t="str">
            <v>Internal R&amp;D</v>
          </cell>
          <cell r="P216" t="str">
            <v>Q1 Passed</v>
          </cell>
          <cell r="Q216" t="str">
            <v>Q1 Passed</v>
          </cell>
          <cell r="R216" t="str">
            <v>Q1.5 Rejected</v>
          </cell>
          <cell r="S216" t="str">
            <v>Q1.5 Rejected</v>
          </cell>
          <cell r="T216" t="str">
            <v>contamination observed @T48</v>
          </cell>
          <cell r="V216" t="str">
            <v>20% tumor in 1/14 fragments. Others no tumor</v>
          </cell>
          <cell r="W216" t="str">
            <v>Clinic'les</v>
          </cell>
          <cell r="X216" t="str">
            <v>Clinic'les- DBR &amp; SK Hospital, Tirupati</v>
          </cell>
          <cell r="Y216" t="str">
            <v>DBR &amp; SK Hospital, Tirupati</v>
          </cell>
          <cell r="Z216" t="str">
            <v>Dr C Jayaprakash, Tirupati</v>
          </cell>
          <cell r="AA216" t="str">
            <v>Ca Ovary</v>
          </cell>
          <cell r="AC216" t="str">
            <v>Ovary</v>
          </cell>
          <cell r="AE216" t="str">
            <v>Female</v>
          </cell>
          <cell r="AF216">
            <v>54</v>
          </cell>
          <cell r="AG216" t="str">
            <v>N</v>
          </cell>
          <cell r="AH216">
            <v>5.3</v>
          </cell>
          <cell r="AI216" t="str">
            <v>Shashi</v>
          </cell>
          <cell r="AJ216" t="str">
            <v>Surgery</v>
          </cell>
          <cell r="AK216" t="str">
            <v>Primary</v>
          </cell>
          <cell r="AL216" t="str">
            <v>Chemotherapy</v>
          </cell>
          <cell r="AN216">
            <v>3</v>
          </cell>
          <cell r="AP216" t="str">
            <v>T3NOMX</v>
          </cell>
          <cell r="AQ216">
            <v>6</v>
          </cell>
          <cell r="AR216" t="str">
            <v>paclitaxel,carboplatin</v>
          </cell>
          <cell r="AV216">
            <v>44744</v>
          </cell>
          <cell r="AW216">
            <v>0.89930555555555558</v>
          </cell>
          <cell r="AX216">
            <v>0.92847222222222225</v>
          </cell>
          <cell r="AY216">
            <v>2.9166666666666667E-2</v>
          </cell>
          <cell r="AZ216">
            <v>3.9583333333333331E-2</v>
          </cell>
          <cell r="BA216">
            <v>0.37986111111111109</v>
          </cell>
          <cell r="BB216" t="str">
            <v>1.85*2.0*3.0</v>
          </cell>
          <cell r="BC216" t="str">
            <v>1.85*2.0*3.0</v>
          </cell>
          <cell r="BD216" t="str">
            <v>manual</v>
          </cell>
          <cell r="BE216">
            <v>4</v>
          </cell>
          <cell r="BF216" t="str">
            <v>vasanth</v>
          </cell>
        </row>
        <row r="217">
          <cell r="A217" t="str">
            <v>FBR1A220164</v>
          </cell>
          <cell r="B217">
            <v>220164</v>
          </cell>
          <cell r="C217" t="str">
            <v>R&amp;D</v>
          </cell>
          <cell r="D217">
            <v>44746</v>
          </cell>
          <cell r="E217">
            <v>0.53819444444444442</v>
          </cell>
          <cell r="F217">
            <v>44743</v>
          </cell>
          <cell r="G217">
            <v>44746</v>
          </cell>
          <cell r="H217">
            <v>0.8979166666666667</v>
          </cell>
          <cell r="I217">
            <v>0.35972222222222222</v>
          </cell>
          <cell r="J217">
            <v>10</v>
          </cell>
          <cell r="K217" t="str">
            <v>FCB-PROTOCOL-01</v>
          </cell>
          <cell r="L217" t="str">
            <v>CLN/DBR/098</v>
          </cell>
          <cell r="M217" t="str">
            <v>Y</v>
          </cell>
          <cell r="N217" t="str">
            <v>Other Indication</v>
          </cell>
          <cell r="O217" t="str">
            <v>Internal R&amp;D</v>
          </cell>
          <cell r="P217" t="str">
            <v>Q1 Passed</v>
          </cell>
          <cell r="Q217" t="str">
            <v>Q1 Passed</v>
          </cell>
          <cell r="R217" t="str">
            <v>Q1.5 Passed</v>
          </cell>
          <cell r="S217" t="str">
            <v>Q1.5 Passed</v>
          </cell>
          <cell r="V217" t="str">
            <v>High tumor content in most explants</v>
          </cell>
          <cell r="W217" t="str">
            <v>Clinic'les</v>
          </cell>
          <cell r="X217" t="str">
            <v>Clinic'les- DBR &amp; SK Hospital, Tirupati</v>
          </cell>
          <cell r="Y217" t="str">
            <v>DBR &amp; SK Hospital, Tirupati</v>
          </cell>
          <cell r="Z217" t="str">
            <v>Dr C Jayaprakash, Tirupati</v>
          </cell>
          <cell r="AA217" t="str">
            <v>Ca Ovary</v>
          </cell>
          <cell r="AC217" t="str">
            <v>Ovary</v>
          </cell>
          <cell r="AE217" t="str">
            <v>Female</v>
          </cell>
          <cell r="AF217">
            <v>61</v>
          </cell>
          <cell r="AG217" t="str">
            <v>N</v>
          </cell>
          <cell r="AH217">
            <v>5.2</v>
          </cell>
          <cell r="AI217" t="str">
            <v>Shashi</v>
          </cell>
          <cell r="AJ217" t="str">
            <v>Surgery</v>
          </cell>
          <cell r="AK217" t="str">
            <v>Primary</v>
          </cell>
          <cell r="AL217" t="str">
            <v>Chemotherapy</v>
          </cell>
          <cell r="AN217">
            <v>3</v>
          </cell>
          <cell r="AP217" t="str">
            <v>T3NOMX</v>
          </cell>
          <cell r="AQ217">
            <v>6</v>
          </cell>
          <cell r="AR217" t="str">
            <v>paclitaxel,carboplatin</v>
          </cell>
          <cell r="AV217">
            <v>44746</v>
          </cell>
          <cell r="AW217">
            <v>0.9145833333333333</v>
          </cell>
          <cell r="AX217">
            <v>0.96458333333333335</v>
          </cell>
          <cell r="AY217">
            <v>0.05</v>
          </cell>
          <cell r="AZ217">
            <v>6.6666666666666666E-2</v>
          </cell>
          <cell r="BA217">
            <v>0.42638888888888887</v>
          </cell>
          <cell r="BB217" t="str">
            <v>2.0*3.4*1.4</v>
          </cell>
          <cell r="BC217" t="str">
            <v>2.0*3.4*1.4</v>
          </cell>
          <cell r="BD217" t="str">
            <v>manual</v>
          </cell>
          <cell r="BE217">
            <v>15</v>
          </cell>
          <cell r="BF217" t="str">
            <v>Gowri</v>
          </cell>
        </row>
        <row r="218">
          <cell r="A218" t="str">
            <v>FBR1S220165</v>
          </cell>
          <cell r="B218">
            <v>220165</v>
          </cell>
          <cell r="C218" t="str">
            <v>R&amp;D</v>
          </cell>
          <cell r="D218">
            <v>44748</v>
          </cell>
          <cell r="E218">
            <v>0.52083333333333337</v>
          </cell>
          <cell r="F218">
            <v>44743</v>
          </cell>
          <cell r="G218">
            <v>44748</v>
          </cell>
          <cell r="H218">
            <v>0.87986111111111109</v>
          </cell>
          <cell r="I218">
            <v>0.35902777777777778</v>
          </cell>
          <cell r="J218">
            <v>10</v>
          </cell>
          <cell r="K218" t="str">
            <v>FCB-PROTOCOL-01</v>
          </cell>
          <cell r="L218" t="str">
            <v>CLN/DBR/099</v>
          </cell>
          <cell r="M218" t="str">
            <v>Y</v>
          </cell>
          <cell r="N218" t="str">
            <v>DMS_v5 (1S)</v>
          </cell>
          <cell r="O218" t="str">
            <v>Internal R&amp;D</v>
          </cell>
          <cell r="P218" t="str">
            <v>Q1 Passed</v>
          </cell>
          <cell r="Q218" t="str">
            <v>Q1 Passed</v>
          </cell>
          <cell r="R218" t="str">
            <v>Q1.5 Passed</v>
          </cell>
          <cell r="S218" t="str">
            <v>Q1.5 Passed</v>
          </cell>
          <cell r="V218" t="str">
            <v>Tumor content 75-95%</v>
          </cell>
          <cell r="W218" t="str">
            <v>Clinic'les</v>
          </cell>
          <cell r="X218" t="str">
            <v>Clinic'les- DBR &amp; SK Hospital, Tirupati</v>
          </cell>
          <cell r="Y218" t="str">
            <v>DBR &amp; SK Hospital, Tirupati</v>
          </cell>
          <cell r="Z218" t="str">
            <v>Dr C Jayaprakash, Tirupati</v>
          </cell>
          <cell r="AA218" t="str">
            <v>HNSCC</v>
          </cell>
          <cell r="AC218" t="str">
            <v>Buccal Mucosa</v>
          </cell>
          <cell r="AD218" t="str">
            <v>Buccal Mucosa</v>
          </cell>
          <cell r="AE218" t="str">
            <v>Female</v>
          </cell>
          <cell r="AF218">
            <v>48</v>
          </cell>
          <cell r="AG218" t="str">
            <v>N</v>
          </cell>
          <cell r="AH218">
            <v>5.4</v>
          </cell>
          <cell r="AI218" t="str">
            <v>Maruthi</v>
          </cell>
          <cell r="AJ218" t="str">
            <v>Surgery</v>
          </cell>
          <cell r="AK218" t="str">
            <v>Primary</v>
          </cell>
          <cell r="AN218">
            <v>2</v>
          </cell>
          <cell r="AP218" t="str">
            <v>T2NOMX</v>
          </cell>
          <cell r="AS218" t="str">
            <v>Squamous cell carcinoma</v>
          </cell>
          <cell r="AV218">
            <v>44749</v>
          </cell>
          <cell r="AW218">
            <v>0.90694444444444444</v>
          </cell>
          <cell r="AX218">
            <v>1.0104166666666667</v>
          </cell>
          <cell r="AY218">
            <v>0.10347222222222222</v>
          </cell>
          <cell r="AZ218">
            <v>0.13055555555555556</v>
          </cell>
          <cell r="BA218">
            <v>0.48958333333333331</v>
          </cell>
          <cell r="BB218" t="str">
            <v>1.2*2.0*3.6</v>
          </cell>
          <cell r="BC218" t="str">
            <v>1.2*2.0*3.6</v>
          </cell>
          <cell r="BD218" t="str">
            <v>Vibratome</v>
          </cell>
          <cell r="BE218">
            <v>15</v>
          </cell>
          <cell r="BF218" t="str">
            <v>Gowri</v>
          </cell>
          <cell r="BG218" t="str">
            <v>Y</v>
          </cell>
        </row>
        <row r="219">
          <cell r="A219" t="str">
            <v>FBR1T220165</v>
          </cell>
          <cell r="B219">
            <v>220165</v>
          </cell>
          <cell r="C219" t="str">
            <v>R&amp;D</v>
          </cell>
          <cell r="D219">
            <v>44748</v>
          </cell>
          <cell r="E219">
            <v>0.52083333333333337</v>
          </cell>
          <cell r="F219">
            <v>44743</v>
          </cell>
          <cell r="G219">
            <v>44748</v>
          </cell>
          <cell r="H219">
            <v>0.87986111111111109</v>
          </cell>
          <cell r="I219">
            <v>0.35902777777777778</v>
          </cell>
          <cell r="J219">
            <v>10</v>
          </cell>
          <cell r="K219" t="str">
            <v>FCB-PROTOCOL-01</v>
          </cell>
          <cell r="L219" t="str">
            <v>CLN/DBR/099</v>
          </cell>
          <cell r="M219" t="str">
            <v>Y</v>
          </cell>
          <cell r="N219" t="str">
            <v>cc Study(1T)</v>
          </cell>
          <cell r="O219" t="str">
            <v>Internal R&amp;D</v>
          </cell>
          <cell r="P219" t="str">
            <v>Q1 Passed</v>
          </cell>
          <cell r="Q219" t="str">
            <v>Q1 Passed</v>
          </cell>
          <cell r="R219" t="str">
            <v>Q1.5 Passed</v>
          </cell>
          <cell r="S219" t="str">
            <v>Q1.5 Passed</v>
          </cell>
          <cell r="V219" t="str">
            <v>Tumor content 80-95%. Contamination? Bacterial colonies? at LA3</v>
          </cell>
          <cell r="W219" t="str">
            <v>Clinic'les</v>
          </cell>
          <cell r="X219" t="str">
            <v>Clinic'les- DBR &amp; SK Hospital, Tirupati</v>
          </cell>
          <cell r="Y219" t="str">
            <v>DBR &amp; SK Hospital, Tirupati</v>
          </cell>
          <cell r="Z219" t="str">
            <v>Dr C Jayaprakash, Tirupati</v>
          </cell>
          <cell r="AA219" t="str">
            <v>HNSCC</v>
          </cell>
          <cell r="AC219" t="str">
            <v>Buccal Mucosa</v>
          </cell>
          <cell r="AD219" t="str">
            <v>Buccal Mucosa</v>
          </cell>
          <cell r="AE219" t="str">
            <v>Female</v>
          </cell>
          <cell r="AF219">
            <v>48</v>
          </cell>
          <cell r="AG219" t="str">
            <v>N</v>
          </cell>
          <cell r="AH219">
            <v>5.4</v>
          </cell>
          <cell r="AI219" t="str">
            <v>Maruthi</v>
          </cell>
          <cell r="AJ219" t="str">
            <v>Surgery</v>
          </cell>
          <cell r="AK219" t="str">
            <v>Primary</v>
          </cell>
          <cell r="AN219">
            <v>2</v>
          </cell>
          <cell r="AP219" t="str">
            <v>T2NOMX</v>
          </cell>
          <cell r="AS219" t="str">
            <v>Squamous cell carcinoma</v>
          </cell>
          <cell r="AV219">
            <v>44748</v>
          </cell>
          <cell r="AW219">
            <v>0.90694444444444444</v>
          </cell>
          <cell r="AX219">
            <v>1.0104166666666667</v>
          </cell>
          <cell r="AY219">
            <v>0.10347222222222222</v>
          </cell>
          <cell r="AZ219">
            <v>0.13055555555555556</v>
          </cell>
          <cell r="BA219">
            <v>0.48958333333333331</v>
          </cell>
          <cell r="BB219" t="str">
            <v>1.2*2.0*3.6</v>
          </cell>
          <cell r="BC219" t="str">
            <v>1.2*2.0*3.6</v>
          </cell>
          <cell r="BD219" t="str">
            <v>Vibratome</v>
          </cell>
          <cell r="BE219">
            <v>15</v>
          </cell>
          <cell r="BF219" t="str">
            <v>Gowri</v>
          </cell>
          <cell r="BG219" t="str">
            <v>Y</v>
          </cell>
        </row>
        <row r="220">
          <cell r="A220" t="str">
            <v>FBR1R220165</v>
          </cell>
          <cell r="B220">
            <v>220165</v>
          </cell>
          <cell r="C220" t="str">
            <v>R&amp;D</v>
          </cell>
          <cell r="D220">
            <v>44748</v>
          </cell>
          <cell r="E220">
            <v>0.52083333333333337</v>
          </cell>
          <cell r="F220">
            <v>44743</v>
          </cell>
          <cell r="G220">
            <v>44748</v>
          </cell>
          <cell r="H220">
            <v>0.87986111111111109</v>
          </cell>
          <cell r="I220">
            <v>0.35902777777777778</v>
          </cell>
          <cell r="J220">
            <v>10</v>
          </cell>
          <cell r="K220" t="str">
            <v>FCB-PROTOCOL-01</v>
          </cell>
          <cell r="L220" t="str">
            <v>CLN/DBR/099</v>
          </cell>
          <cell r="M220" t="str">
            <v>Y</v>
          </cell>
          <cell r="N220" t="str">
            <v>BSS(1R)</v>
          </cell>
          <cell r="O220" t="str">
            <v>Internal R&amp;D</v>
          </cell>
          <cell r="P220" t="str">
            <v>Q1 Passed</v>
          </cell>
          <cell r="Q220" t="str">
            <v>Q1 Passed</v>
          </cell>
          <cell r="R220" t="str">
            <v>Q1.5 Passed</v>
          </cell>
          <cell r="S220" t="str">
            <v>Q1.5 Passed</v>
          </cell>
          <cell r="V220" t="str">
            <v>Tumor content 70-92%</v>
          </cell>
          <cell r="W220" t="str">
            <v>Clinic'les</v>
          </cell>
          <cell r="X220" t="str">
            <v>Clinic'les- DBR &amp; SK Hospital, Tirupati</v>
          </cell>
          <cell r="Y220" t="str">
            <v>DBR &amp; SK Hospital, Tirupati</v>
          </cell>
          <cell r="Z220" t="str">
            <v>Dr C Jayaprakash, Tirupati</v>
          </cell>
          <cell r="AA220" t="str">
            <v>HNSCC</v>
          </cell>
          <cell r="AC220" t="str">
            <v>Buccal Mucosa</v>
          </cell>
          <cell r="AD220" t="str">
            <v>Buccal Mucosa</v>
          </cell>
          <cell r="AE220" t="str">
            <v>Female</v>
          </cell>
          <cell r="AF220">
            <v>48</v>
          </cell>
          <cell r="AG220" t="str">
            <v>N</v>
          </cell>
          <cell r="AH220">
            <v>5.4</v>
          </cell>
          <cell r="AI220" t="str">
            <v>Maruthi</v>
          </cell>
          <cell r="AJ220" t="str">
            <v>Surgery</v>
          </cell>
          <cell r="AK220" t="str">
            <v>Primary</v>
          </cell>
          <cell r="AN220">
            <v>2</v>
          </cell>
          <cell r="AP220" t="str">
            <v>T2NOMX</v>
          </cell>
          <cell r="AS220" t="str">
            <v>Squamous cell carcinoma</v>
          </cell>
          <cell r="AV220">
            <v>44748</v>
          </cell>
          <cell r="AW220">
            <v>0.90694444444444444</v>
          </cell>
          <cell r="AX220">
            <v>1.0104166666666667</v>
          </cell>
          <cell r="AY220">
            <v>0.10347222222222222</v>
          </cell>
          <cell r="AZ220">
            <v>0.13055555555555556</v>
          </cell>
          <cell r="BA220">
            <v>0.48958333333333331</v>
          </cell>
          <cell r="BB220" t="str">
            <v>1.2*2.0*3.6</v>
          </cell>
          <cell r="BC220" t="str">
            <v>1.2*2.0*3.6</v>
          </cell>
          <cell r="BD220" t="str">
            <v>Vibratome</v>
          </cell>
          <cell r="BE220">
            <v>15</v>
          </cell>
          <cell r="BF220" t="str">
            <v>Gowri</v>
          </cell>
          <cell r="BG220" t="str">
            <v>Y</v>
          </cell>
        </row>
        <row r="221">
          <cell r="A221" t="str">
            <v>FBR1C220165</v>
          </cell>
          <cell r="B221">
            <v>220165</v>
          </cell>
          <cell r="C221" t="str">
            <v>R&amp;D</v>
          </cell>
          <cell r="D221">
            <v>44748</v>
          </cell>
          <cell r="E221">
            <v>0.52083333333333337</v>
          </cell>
          <cell r="F221">
            <v>44743</v>
          </cell>
          <cell r="G221">
            <v>44748</v>
          </cell>
          <cell r="H221">
            <v>0.87986111111111109</v>
          </cell>
          <cell r="I221">
            <v>0.35902777777777778</v>
          </cell>
          <cell r="J221">
            <v>10</v>
          </cell>
          <cell r="K221" t="str">
            <v>FCB-PROTOCOL-01</v>
          </cell>
          <cell r="L221" t="str">
            <v>CLN/DBR/099</v>
          </cell>
          <cell r="M221" t="str">
            <v>Y</v>
          </cell>
          <cell r="N221" t="str">
            <v>Culture Improvement</v>
          </cell>
          <cell r="O221" t="str">
            <v>Internal R&amp;D</v>
          </cell>
          <cell r="P221" t="str">
            <v>Q1 Passed</v>
          </cell>
          <cell r="Q221" t="str">
            <v>Q1 Passed</v>
          </cell>
          <cell r="R221" t="str">
            <v>Q1.5 Passed</v>
          </cell>
          <cell r="S221" t="str">
            <v>Q1.5 Passed</v>
          </cell>
          <cell r="W221" t="str">
            <v>Clinic'les</v>
          </cell>
          <cell r="X221" t="str">
            <v>Clinic'les- DBR &amp; SK Hospital, Tirupati</v>
          </cell>
          <cell r="Y221" t="str">
            <v>DBR &amp; SK Hospital, Tirupati</v>
          </cell>
          <cell r="Z221" t="str">
            <v>Dr C Jayaprakash, Tirupati</v>
          </cell>
          <cell r="AA221" t="str">
            <v>HNSCC</v>
          </cell>
          <cell r="AC221" t="str">
            <v>Buccal Mucosa</v>
          </cell>
          <cell r="AD221" t="str">
            <v>Buccal Mucosa</v>
          </cell>
          <cell r="AE221" t="str">
            <v>Female</v>
          </cell>
          <cell r="AF221">
            <v>48</v>
          </cell>
          <cell r="AG221" t="str">
            <v>N</v>
          </cell>
          <cell r="AH221">
            <v>5.4</v>
          </cell>
          <cell r="AI221" t="str">
            <v>Maruthi</v>
          </cell>
          <cell r="AJ221" t="str">
            <v>Surgery</v>
          </cell>
          <cell r="AK221" t="str">
            <v>Primary</v>
          </cell>
          <cell r="AN221">
            <v>2</v>
          </cell>
          <cell r="AP221" t="str">
            <v>T2NOMX</v>
          </cell>
          <cell r="AS221" t="str">
            <v>Squamous cell carcinoma</v>
          </cell>
          <cell r="AV221">
            <v>44748</v>
          </cell>
          <cell r="AW221">
            <v>0.90694444444444444</v>
          </cell>
          <cell r="AX221">
            <v>1.0104166666666667</v>
          </cell>
          <cell r="AY221">
            <v>0.10347222222222222</v>
          </cell>
          <cell r="AZ221">
            <v>0.13055555555555556</v>
          </cell>
          <cell r="BA221">
            <v>0.48958333333333331</v>
          </cell>
          <cell r="BB221" t="str">
            <v>1.2*2.0*3.6</v>
          </cell>
          <cell r="BC221" t="str">
            <v>1.2*2.0*3.6</v>
          </cell>
          <cell r="BD221" t="str">
            <v>Vibratome</v>
          </cell>
          <cell r="BE221">
            <v>15</v>
          </cell>
          <cell r="BF221" t="str">
            <v>Gowri</v>
          </cell>
          <cell r="BG221" t="str">
            <v>Y</v>
          </cell>
        </row>
        <row r="222">
          <cell r="A222" t="str">
            <v>FBR1T220166</v>
          </cell>
          <cell r="B222">
            <v>220166</v>
          </cell>
          <cell r="C222" t="str">
            <v>R&amp;D</v>
          </cell>
          <cell r="D222">
            <v>44749</v>
          </cell>
          <cell r="E222">
            <v>0.45277777777777778</v>
          </cell>
          <cell r="F222">
            <v>44743</v>
          </cell>
          <cell r="G222">
            <v>44749</v>
          </cell>
          <cell r="H222">
            <v>0.52916666666666667</v>
          </cell>
          <cell r="I222">
            <v>7.6388888888888895E-2</v>
          </cell>
          <cell r="J222">
            <v>5</v>
          </cell>
          <cell r="K222" t="str">
            <v>FCB-PROTOCOL-01</v>
          </cell>
          <cell r="L222" t="str">
            <v>VYD/115</v>
          </cell>
          <cell r="M222" t="str">
            <v>Y</v>
          </cell>
          <cell r="N222" t="str">
            <v>cc Study(1T)</v>
          </cell>
          <cell r="O222" t="str">
            <v>Internal R&amp;D</v>
          </cell>
          <cell r="P222" t="str">
            <v>Q1 Passed</v>
          </cell>
          <cell r="Q222" t="str">
            <v>Q1 Passed</v>
          </cell>
          <cell r="R222" t="str">
            <v>Q1.5 Passed</v>
          </cell>
          <cell r="S222" t="str">
            <v>Q1.5 Passed</v>
          </cell>
          <cell r="V222" t="str">
            <v>2-5% tumor in 2/7 explants.Others no tumor</v>
          </cell>
          <cell r="W222" t="str">
            <v>Private Hospital</v>
          </cell>
          <cell r="X222" t="str">
            <v>Vydehi Hospital, Bangalore</v>
          </cell>
          <cell r="Y222" t="str">
            <v>Vydehi Hospital, Bangalore</v>
          </cell>
          <cell r="Z222" t="str">
            <v>Dr Amritha Prabha, Bangalore</v>
          </cell>
          <cell r="AA222" t="str">
            <v>HNSCC</v>
          </cell>
          <cell r="AC222" t="str">
            <v>Buccal Mucosa</v>
          </cell>
          <cell r="AD222" t="str">
            <v>Left Buccal Mucosa</v>
          </cell>
          <cell r="AE222" t="str">
            <v>Female</v>
          </cell>
          <cell r="AF222">
            <v>61</v>
          </cell>
          <cell r="AG222" t="str">
            <v>N</v>
          </cell>
          <cell r="AH222">
            <v>3.2</v>
          </cell>
          <cell r="AI222" t="str">
            <v>Kalappa</v>
          </cell>
          <cell r="AJ222" t="str">
            <v>Surgery</v>
          </cell>
          <cell r="AK222" t="str">
            <v>Primary</v>
          </cell>
          <cell r="AN222" t="str">
            <v>IVa</v>
          </cell>
          <cell r="AO222">
            <v>2</v>
          </cell>
          <cell r="AP222" t="str">
            <v>ypT4aN0</v>
          </cell>
          <cell r="AS222" t="str">
            <v>Squamous cell carcinoma</v>
          </cell>
          <cell r="AV222">
            <v>44749</v>
          </cell>
          <cell r="AW222">
            <v>0.59375</v>
          </cell>
          <cell r="AX222">
            <v>0.66666666666666663</v>
          </cell>
          <cell r="AY222">
            <v>7.2916666666666671E-2</v>
          </cell>
          <cell r="AZ222">
            <v>0.13750000000000001</v>
          </cell>
          <cell r="BA222">
            <v>0.21388888888888888</v>
          </cell>
          <cell r="BB222" t="str">
            <v>0.6*1.2*1.4</v>
          </cell>
          <cell r="BC222" t="str">
            <v>0.6*1.2*1.4</v>
          </cell>
          <cell r="BD222" t="str">
            <v>Manual+Vibratome</v>
          </cell>
          <cell r="BE222">
            <v>15</v>
          </cell>
          <cell r="BF222" t="str">
            <v>Kowshik</v>
          </cell>
          <cell r="BG222" t="str">
            <v>Y</v>
          </cell>
        </row>
        <row r="223">
          <cell r="A223" t="str">
            <v>FBR1C220166</v>
          </cell>
          <cell r="B223">
            <v>220166</v>
          </cell>
          <cell r="C223" t="str">
            <v>R&amp;D</v>
          </cell>
          <cell r="D223">
            <v>44749</v>
          </cell>
          <cell r="E223">
            <v>0.45277777777777778</v>
          </cell>
          <cell r="F223">
            <v>44743</v>
          </cell>
          <cell r="G223">
            <v>44749</v>
          </cell>
          <cell r="H223">
            <v>0.52916666666666667</v>
          </cell>
          <cell r="I223">
            <v>7.6388888888888895E-2</v>
          </cell>
          <cell r="J223">
            <v>5</v>
          </cell>
          <cell r="K223" t="str">
            <v>FCB-PROTOCOL-01</v>
          </cell>
          <cell r="L223" t="str">
            <v>VYD/115</v>
          </cell>
          <cell r="M223" t="str">
            <v>Y</v>
          </cell>
          <cell r="N223" t="str">
            <v>Culture Improvement</v>
          </cell>
          <cell r="O223" t="str">
            <v>Internal R&amp;D</v>
          </cell>
          <cell r="P223" t="str">
            <v>Q1 Passed</v>
          </cell>
          <cell r="Q223" t="str">
            <v>Q1 Passed</v>
          </cell>
          <cell r="R223" t="str">
            <v>Q1.5 Passed</v>
          </cell>
          <cell r="S223" t="str">
            <v>Q1.5 Passed</v>
          </cell>
          <cell r="V223" t="str">
            <v>1-10% tumor in 4/7explants. Others no tumor</v>
          </cell>
          <cell r="W223" t="str">
            <v>Private Hospital</v>
          </cell>
          <cell r="X223" t="str">
            <v>Vydehi Hospital, Bangalore</v>
          </cell>
          <cell r="Y223" t="str">
            <v>Vydehi Hospital, Bangalore</v>
          </cell>
          <cell r="Z223" t="str">
            <v>Dr Amritha Prabha, Bangalore</v>
          </cell>
          <cell r="AA223" t="str">
            <v>HNSCC</v>
          </cell>
          <cell r="AC223" t="str">
            <v>Buccal Mucosa</v>
          </cell>
          <cell r="AD223" t="str">
            <v>Left Buccal Mucosa</v>
          </cell>
          <cell r="AE223" t="str">
            <v>Female</v>
          </cell>
          <cell r="AF223">
            <v>61</v>
          </cell>
          <cell r="AG223" t="str">
            <v>N</v>
          </cell>
          <cell r="AH223">
            <v>3.2</v>
          </cell>
          <cell r="AI223" t="str">
            <v>Kalappa</v>
          </cell>
          <cell r="AJ223" t="str">
            <v>Surgery</v>
          </cell>
          <cell r="AK223" t="str">
            <v>Primary</v>
          </cell>
          <cell r="AN223" t="str">
            <v>IVa</v>
          </cell>
          <cell r="AO223">
            <v>2</v>
          </cell>
          <cell r="AP223" t="str">
            <v>ypT4aN0</v>
          </cell>
          <cell r="AS223" t="str">
            <v>Squamous cell carcinoma</v>
          </cell>
          <cell r="AV223">
            <v>44749</v>
          </cell>
          <cell r="AW223">
            <v>0.59375</v>
          </cell>
          <cell r="AX223">
            <v>0.65625</v>
          </cell>
          <cell r="AY223">
            <v>6.25E-2</v>
          </cell>
          <cell r="AZ223">
            <v>0.12708333333333333</v>
          </cell>
          <cell r="BA223">
            <v>0.20347222222222222</v>
          </cell>
          <cell r="BB223" t="str">
            <v>0.6*1.2*1.4</v>
          </cell>
          <cell r="BC223" t="str">
            <v>0.6*1.2*1.4</v>
          </cell>
          <cell r="BD223" t="str">
            <v>Manual+Vibratome</v>
          </cell>
          <cell r="BE223">
            <v>15</v>
          </cell>
          <cell r="BF223" t="str">
            <v>Kowshik</v>
          </cell>
          <cell r="BG223" t="str">
            <v>Y</v>
          </cell>
        </row>
        <row r="224">
          <cell r="A224" t="str">
            <v>FBR1S220167</v>
          </cell>
          <cell r="B224">
            <v>220167</v>
          </cell>
          <cell r="C224" t="str">
            <v>R&amp;D</v>
          </cell>
          <cell r="D224">
            <v>44751</v>
          </cell>
          <cell r="E224">
            <v>0.34930555555555554</v>
          </cell>
          <cell r="F224">
            <v>44743</v>
          </cell>
          <cell r="G224">
            <v>44751</v>
          </cell>
          <cell r="H224">
            <v>0.41041666666666665</v>
          </cell>
          <cell r="I224">
            <v>6.1111111111111109E-2</v>
          </cell>
          <cell r="J224">
            <v>3</v>
          </cell>
          <cell r="K224" t="str">
            <v>FCB-PROTOCOL-01</v>
          </cell>
          <cell r="L224" t="str">
            <v>CLN/PRA/181</v>
          </cell>
          <cell r="M224" t="str">
            <v>Y</v>
          </cell>
          <cell r="N224" t="str">
            <v>DMS_v5 (1S)</v>
          </cell>
          <cell r="O224" t="str">
            <v>Internal R&amp;D</v>
          </cell>
          <cell r="P224" t="str">
            <v>Q1 Passed</v>
          </cell>
          <cell r="Q224" t="str">
            <v>Q1 Passed</v>
          </cell>
          <cell r="R224" t="str">
            <v>Q1.5 Passed</v>
          </cell>
          <cell r="S224" t="str">
            <v>Q1.5 Passed</v>
          </cell>
          <cell r="V224" t="str">
            <v>Tumor content 6-70%</v>
          </cell>
          <cell r="W224" t="str">
            <v>Consultant</v>
          </cell>
          <cell r="X224" t="str">
            <v>Dr Prakash BV, Bangalore</v>
          </cell>
          <cell r="Y224" t="str">
            <v>Sri Lakshmi Hospital, Bangalore</v>
          </cell>
          <cell r="Z224" t="str">
            <v>Dr Prakash BV, Bangalore</v>
          </cell>
          <cell r="AA224" t="str">
            <v>HNSCC</v>
          </cell>
          <cell r="AC224" t="str">
            <v>Buccal Mucosa</v>
          </cell>
          <cell r="AD224" t="str">
            <v>Right Buccal Mucosa</v>
          </cell>
          <cell r="AE224" t="str">
            <v>Female</v>
          </cell>
          <cell r="AF224">
            <v>57</v>
          </cell>
          <cell r="AG224" t="str">
            <v>N</v>
          </cell>
          <cell r="AH224">
            <v>5.5</v>
          </cell>
          <cell r="AI224" t="str">
            <v>Shashi</v>
          </cell>
          <cell r="AJ224" t="str">
            <v>Surgery</v>
          </cell>
          <cell r="AK224" t="str">
            <v>Primary</v>
          </cell>
          <cell r="AO224" t="str">
            <v>II</v>
          </cell>
          <cell r="AP224" t="str">
            <v>pT2N1M0</v>
          </cell>
          <cell r="AS224" t="str">
            <v>Squamous Cell Carcinoma</v>
          </cell>
          <cell r="AV224">
            <v>44751</v>
          </cell>
          <cell r="AW224">
            <v>0.64583333333333337</v>
          </cell>
          <cell r="AX224">
            <v>0.73263888888888884</v>
          </cell>
          <cell r="AY224">
            <v>8.6805555555555552E-2</v>
          </cell>
          <cell r="AZ224">
            <v>0.32222222222222224</v>
          </cell>
          <cell r="BA224">
            <v>0.38333333333333336</v>
          </cell>
          <cell r="BB224" t="str">
            <v>1.0*1.8/1,4*1.2</v>
          </cell>
          <cell r="BC224" t="str">
            <v>1.0*1.8/1,4*1.2</v>
          </cell>
          <cell r="BD224" t="str">
            <v>Vibratome</v>
          </cell>
          <cell r="BE224">
            <v>15</v>
          </cell>
          <cell r="BF224" t="str">
            <v>Gowri</v>
          </cell>
          <cell r="BG224" t="str">
            <v>Y</v>
          </cell>
        </row>
        <row r="225">
          <cell r="A225" t="str">
            <v>FBR1R220167</v>
          </cell>
          <cell r="B225">
            <v>220167</v>
          </cell>
          <cell r="C225" t="str">
            <v>R&amp;D</v>
          </cell>
          <cell r="D225">
            <v>44751</v>
          </cell>
          <cell r="E225">
            <v>0.34930555555555554</v>
          </cell>
          <cell r="F225">
            <v>44743</v>
          </cell>
          <cell r="G225">
            <v>44751</v>
          </cell>
          <cell r="H225">
            <v>0.41041666666666665</v>
          </cell>
          <cell r="I225">
            <v>6.1111111111111109E-2</v>
          </cell>
          <cell r="J225">
            <v>3</v>
          </cell>
          <cell r="K225" t="str">
            <v>FCB-PROTOCOL-01</v>
          </cell>
          <cell r="L225" t="str">
            <v>CLN/PRA/181</v>
          </cell>
          <cell r="M225" t="str">
            <v>Y</v>
          </cell>
          <cell r="N225" t="str">
            <v>BSS(1R)</v>
          </cell>
          <cell r="O225" t="str">
            <v>Internal R&amp;D</v>
          </cell>
          <cell r="P225" t="str">
            <v>Q1 Passed</v>
          </cell>
          <cell r="Q225" t="str">
            <v>Q1 Passed</v>
          </cell>
          <cell r="R225" t="str">
            <v>Q1.5 Passed</v>
          </cell>
          <cell r="S225" t="str">
            <v>Q1.5 Passed</v>
          </cell>
          <cell r="V225" t="str">
            <v>Tumor content 65-90%</v>
          </cell>
          <cell r="W225" t="str">
            <v>Consultant</v>
          </cell>
          <cell r="X225" t="str">
            <v>Dr Prakash BV, Bangalore</v>
          </cell>
          <cell r="Y225" t="str">
            <v>Sri Lakshmi Hospital, Bangalore</v>
          </cell>
          <cell r="Z225" t="str">
            <v>Dr Prakash BV, Bangalore</v>
          </cell>
          <cell r="AA225" t="str">
            <v>HNSCC</v>
          </cell>
          <cell r="AC225" t="str">
            <v>Buccal Mucosa</v>
          </cell>
          <cell r="AD225" t="str">
            <v>Right Buccal Mucosa</v>
          </cell>
          <cell r="AE225" t="str">
            <v>Female</v>
          </cell>
          <cell r="AF225">
            <v>57</v>
          </cell>
          <cell r="AG225" t="str">
            <v>N</v>
          </cell>
          <cell r="AH225">
            <v>5.5</v>
          </cell>
          <cell r="AI225" t="str">
            <v>Shashi</v>
          </cell>
          <cell r="AJ225" t="str">
            <v>Surgery</v>
          </cell>
          <cell r="AK225" t="str">
            <v>Primary</v>
          </cell>
          <cell r="AO225" t="str">
            <v>II</v>
          </cell>
          <cell r="AP225" t="str">
            <v>pT2N1M0</v>
          </cell>
          <cell r="AS225" t="str">
            <v>Squamous Cell Carcinoma</v>
          </cell>
          <cell r="AV225">
            <v>44751</v>
          </cell>
          <cell r="AW225">
            <v>0.64583333333333337</v>
          </cell>
          <cell r="AX225">
            <v>0.73263888888888884</v>
          </cell>
          <cell r="AY225">
            <v>8.6805555555555552E-2</v>
          </cell>
          <cell r="AZ225">
            <v>0.32222222222222224</v>
          </cell>
          <cell r="BA225">
            <v>0.38333333333333336</v>
          </cell>
          <cell r="BB225" t="str">
            <v>1.0*1.8/1,4*1.2</v>
          </cell>
          <cell r="BC225" t="str">
            <v>1.0*1.8/1,4*1.2</v>
          </cell>
          <cell r="BD225" t="str">
            <v>Vibratome</v>
          </cell>
          <cell r="BE225">
            <v>15</v>
          </cell>
          <cell r="BF225" t="str">
            <v>Gowri</v>
          </cell>
          <cell r="BG225" t="str">
            <v>Y</v>
          </cell>
        </row>
        <row r="226">
          <cell r="A226" t="str">
            <v>FBR1C220167</v>
          </cell>
          <cell r="B226">
            <v>220167</v>
          </cell>
          <cell r="C226" t="str">
            <v>R&amp;D</v>
          </cell>
          <cell r="D226">
            <v>44751</v>
          </cell>
          <cell r="E226">
            <v>0.34930555555555554</v>
          </cell>
          <cell r="F226">
            <v>44743</v>
          </cell>
          <cell r="G226">
            <v>44751</v>
          </cell>
          <cell r="H226">
            <v>0.41041666666666665</v>
          </cell>
          <cell r="I226">
            <v>6.1111111111111109E-2</v>
          </cell>
          <cell r="J226">
            <v>3</v>
          </cell>
          <cell r="K226" t="str">
            <v>FCB-PROTOCOL-01</v>
          </cell>
          <cell r="L226" t="str">
            <v>CLN/PRA/181</v>
          </cell>
          <cell r="M226" t="str">
            <v>Y</v>
          </cell>
          <cell r="N226" t="str">
            <v>Culture Improvement</v>
          </cell>
          <cell r="O226" t="str">
            <v>Internal R&amp;D</v>
          </cell>
          <cell r="P226" t="str">
            <v>Q1 Passed</v>
          </cell>
          <cell r="Q226" t="str">
            <v>Q1 Passed</v>
          </cell>
          <cell r="R226" t="str">
            <v>Q1.5 Passed</v>
          </cell>
          <cell r="S226" t="str">
            <v>Q1.5 Passed</v>
          </cell>
          <cell r="W226" t="str">
            <v>Consultant</v>
          </cell>
          <cell r="X226" t="str">
            <v>Dr Prakash BV, Bangalore</v>
          </cell>
          <cell r="Y226" t="str">
            <v>Sri Lakshmi Hospital, Bangalore</v>
          </cell>
          <cell r="Z226" t="str">
            <v>Dr Prakash BV, Bangalore</v>
          </cell>
          <cell r="AA226" t="str">
            <v>HNSCC</v>
          </cell>
          <cell r="AC226" t="str">
            <v>Buccal Mucosa</v>
          </cell>
          <cell r="AD226" t="str">
            <v>Right Buccal Mucosa</v>
          </cell>
          <cell r="AE226" t="str">
            <v>Female</v>
          </cell>
          <cell r="AF226">
            <v>57</v>
          </cell>
          <cell r="AG226" t="str">
            <v>N</v>
          </cell>
          <cell r="AH226">
            <v>5.5</v>
          </cell>
          <cell r="AI226" t="str">
            <v>Shashi</v>
          </cell>
          <cell r="AJ226" t="str">
            <v>Surgery</v>
          </cell>
          <cell r="AK226" t="str">
            <v>Primary</v>
          </cell>
          <cell r="AO226" t="str">
            <v>II</v>
          </cell>
          <cell r="AP226" t="str">
            <v>pT2N1M0</v>
          </cell>
          <cell r="AS226" t="str">
            <v>Squamous Cell Carcinoma</v>
          </cell>
          <cell r="AV226">
            <v>44751</v>
          </cell>
          <cell r="AW226">
            <v>0.64583333333333337</v>
          </cell>
          <cell r="AX226">
            <v>0.72916666666666663</v>
          </cell>
          <cell r="AY226">
            <v>8.3333333333333329E-2</v>
          </cell>
          <cell r="AZ226">
            <v>0.31874999999999998</v>
          </cell>
          <cell r="BA226">
            <v>0.37986111111111109</v>
          </cell>
          <cell r="BB226" t="str">
            <v>1.0*1.8/1,4*1.2</v>
          </cell>
          <cell r="BC226" t="str">
            <v>1.0*1.8/1,4*1.2</v>
          </cell>
          <cell r="BD226" t="str">
            <v>Vibratome</v>
          </cell>
          <cell r="BE226">
            <v>15</v>
          </cell>
          <cell r="BF226" t="str">
            <v>Gowri</v>
          </cell>
          <cell r="BG226" t="str">
            <v>Y</v>
          </cell>
        </row>
        <row r="227">
          <cell r="A227" t="str">
            <v>FBR1Q220168</v>
          </cell>
          <cell r="B227">
            <v>220168</v>
          </cell>
          <cell r="C227" t="str">
            <v>R&amp;D</v>
          </cell>
          <cell r="D227">
            <v>44751</v>
          </cell>
          <cell r="E227">
            <v>0.44305555555555554</v>
          </cell>
          <cell r="F227">
            <v>44743</v>
          </cell>
          <cell r="G227">
            <v>44751</v>
          </cell>
          <cell r="H227">
            <v>0.5541666666666667</v>
          </cell>
          <cell r="I227">
            <v>0.1111111111111111</v>
          </cell>
          <cell r="J227">
            <v>4</v>
          </cell>
          <cell r="K227" t="str">
            <v>FCB-PROTOCOL-01</v>
          </cell>
          <cell r="L227" t="str">
            <v>VYD/116</v>
          </cell>
          <cell r="M227" t="str">
            <v>Y</v>
          </cell>
          <cell r="N227" t="str">
            <v>COSV4.1-CaBR</v>
          </cell>
          <cell r="O227" t="str">
            <v>Internal R&amp;D</v>
          </cell>
          <cell r="P227" t="str">
            <v>Q1 Passed</v>
          </cell>
          <cell r="Q227" t="str">
            <v>Q1 Passed</v>
          </cell>
          <cell r="R227" t="str">
            <v>Q1.5 Passed</v>
          </cell>
          <cell r="S227" t="str">
            <v>Q1.5 Passed</v>
          </cell>
          <cell r="V227" t="str">
            <v>Tumor content 6-80%</v>
          </cell>
          <cell r="W227" t="str">
            <v>Private Hospital</v>
          </cell>
          <cell r="X227" t="str">
            <v>Vydehi Hospital, Bangalore</v>
          </cell>
          <cell r="Y227" t="str">
            <v>Vydehi Hospital, Bangalore</v>
          </cell>
          <cell r="Z227" t="str">
            <v>Dr Amritha Prabha, Bangalore</v>
          </cell>
          <cell r="AA227" t="str">
            <v>Ca Breast</v>
          </cell>
          <cell r="AB227" t="str">
            <v>TNBC</v>
          </cell>
          <cell r="AC227" t="str">
            <v>Breast</v>
          </cell>
          <cell r="AD227" t="str">
            <v>Left Breast</v>
          </cell>
          <cell r="AE227" t="str">
            <v>Female</v>
          </cell>
          <cell r="AF227">
            <v>52</v>
          </cell>
          <cell r="AG227" t="str">
            <v>N</v>
          </cell>
          <cell r="AH227">
            <v>5.0999999999999996</v>
          </cell>
          <cell r="AI227" t="str">
            <v>Maruthi</v>
          </cell>
          <cell r="AJ227" t="str">
            <v>Surgery</v>
          </cell>
          <cell r="AK227" t="str">
            <v>Primary</v>
          </cell>
          <cell r="AL227" t="str">
            <v>Chemotherapy</v>
          </cell>
          <cell r="AN227" t="str">
            <v>III B</v>
          </cell>
          <cell r="AO227">
            <v>3</v>
          </cell>
          <cell r="AP227" t="str">
            <v>ypT4bN0</v>
          </cell>
          <cell r="AQ227">
            <v>3</v>
          </cell>
          <cell r="AR227" t="str">
            <v>Adriamycin, Paclitaxel</v>
          </cell>
          <cell r="AS227" t="str">
            <v>IDC</v>
          </cell>
          <cell r="AV227">
            <v>44751</v>
          </cell>
          <cell r="AW227">
            <v>0.64583333333333337</v>
          </cell>
          <cell r="AX227">
            <v>0.68055555555555558</v>
          </cell>
          <cell r="AY227">
            <v>3.4722222222222224E-2</v>
          </cell>
          <cell r="AZ227">
            <v>0.12638888888888888</v>
          </cell>
          <cell r="BA227">
            <v>0.23749999999999999</v>
          </cell>
          <cell r="BB227" t="str">
            <v>1.2*2.0*1.6</v>
          </cell>
          <cell r="BC227" t="str">
            <v>1.2*2.0*1.6</v>
          </cell>
          <cell r="BD227" t="str">
            <v>Manual</v>
          </cell>
          <cell r="BE227">
            <v>15</v>
          </cell>
          <cell r="BF227" t="str">
            <v>Gowri</v>
          </cell>
          <cell r="BG227" t="str">
            <v>Y</v>
          </cell>
        </row>
        <row r="228">
          <cell r="A228" t="str">
            <v>FBR1C220168</v>
          </cell>
          <cell r="B228">
            <v>220168</v>
          </cell>
          <cell r="C228" t="str">
            <v>R&amp;D</v>
          </cell>
          <cell r="D228">
            <v>44751</v>
          </cell>
          <cell r="E228">
            <v>0.44305555555555554</v>
          </cell>
          <cell r="F228">
            <v>44743</v>
          </cell>
          <cell r="G228">
            <v>44751</v>
          </cell>
          <cell r="H228">
            <v>0.5541666666666667</v>
          </cell>
          <cell r="I228">
            <v>0.1111111111111111</v>
          </cell>
          <cell r="J228">
            <v>4</v>
          </cell>
          <cell r="K228" t="str">
            <v>FCB-PROTOCOL-01</v>
          </cell>
          <cell r="L228" t="str">
            <v>VYD/116</v>
          </cell>
          <cell r="M228" t="str">
            <v>Y</v>
          </cell>
          <cell r="N228" t="str">
            <v>Culture Improvement</v>
          </cell>
          <cell r="O228" t="str">
            <v>Internal R&amp;D</v>
          </cell>
          <cell r="P228" t="str">
            <v>Q1 Passed</v>
          </cell>
          <cell r="Q228" t="str">
            <v>Q1 Passed</v>
          </cell>
          <cell r="R228" t="str">
            <v>Q1.5 Passed</v>
          </cell>
          <cell r="S228" t="str">
            <v>Q1.5 Passed</v>
          </cell>
          <cell r="W228" t="str">
            <v>Private Hospital</v>
          </cell>
          <cell r="X228" t="str">
            <v>Vydehi Hospital, Bangalore</v>
          </cell>
          <cell r="Y228" t="str">
            <v>Vydehi Hospital, Bangalore</v>
          </cell>
          <cell r="Z228" t="str">
            <v>Dr Amritha Prabha, Bangalore</v>
          </cell>
          <cell r="AA228" t="str">
            <v>Ca Breast</v>
          </cell>
          <cell r="AB228" t="str">
            <v>TNBC</v>
          </cell>
          <cell r="AC228" t="str">
            <v>Breast</v>
          </cell>
          <cell r="AD228" t="str">
            <v>Left Breast</v>
          </cell>
          <cell r="AE228" t="str">
            <v>Female</v>
          </cell>
          <cell r="AF228">
            <v>52</v>
          </cell>
          <cell r="AG228" t="str">
            <v>N</v>
          </cell>
          <cell r="AH228">
            <v>5.0999999999999996</v>
          </cell>
          <cell r="AI228" t="str">
            <v>Maruthi</v>
          </cell>
          <cell r="AJ228" t="str">
            <v>Surgery</v>
          </cell>
          <cell r="AK228" t="str">
            <v>Primary</v>
          </cell>
          <cell r="AL228" t="str">
            <v>Chemotherapy</v>
          </cell>
          <cell r="AN228" t="str">
            <v>III B</v>
          </cell>
          <cell r="AO228">
            <v>3</v>
          </cell>
          <cell r="AP228" t="str">
            <v>ypT4bN0</v>
          </cell>
          <cell r="AQ228">
            <v>3</v>
          </cell>
          <cell r="AR228" t="str">
            <v>Adriamycin, Paclitaxel</v>
          </cell>
          <cell r="AS228" t="str">
            <v>IDC</v>
          </cell>
          <cell r="AV228">
            <v>44751</v>
          </cell>
          <cell r="AW228">
            <v>0.64583333333333337</v>
          </cell>
          <cell r="AX228">
            <v>0.68055555555555558</v>
          </cell>
          <cell r="AY228">
            <v>3.4722222222222224E-2</v>
          </cell>
          <cell r="AZ228">
            <v>0.12638888888888888</v>
          </cell>
          <cell r="BA228">
            <v>0.23749999999999999</v>
          </cell>
          <cell r="BB228" t="str">
            <v>1.2*2.0*1.6</v>
          </cell>
          <cell r="BC228" t="str">
            <v>1.2*2.0*1.6</v>
          </cell>
          <cell r="BD228" t="str">
            <v>Manual</v>
          </cell>
          <cell r="BE228">
            <v>15</v>
          </cell>
          <cell r="BF228" t="str">
            <v>Gowri</v>
          </cell>
          <cell r="BG228" t="str">
            <v>Y</v>
          </cell>
        </row>
        <row r="229">
          <cell r="A229" t="str">
            <v>FBR1S220169</v>
          </cell>
          <cell r="B229">
            <v>220169</v>
          </cell>
          <cell r="C229" t="str">
            <v>R&amp;D</v>
          </cell>
          <cell r="D229">
            <v>44751</v>
          </cell>
          <cell r="E229">
            <v>0.49305555555555558</v>
          </cell>
          <cell r="F229">
            <v>44743</v>
          </cell>
          <cell r="G229">
            <v>44751</v>
          </cell>
          <cell r="H229">
            <v>0.83750000000000002</v>
          </cell>
          <cell r="I229">
            <v>0.34444444444444444</v>
          </cell>
          <cell r="J229">
            <v>10</v>
          </cell>
          <cell r="K229" t="str">
            <v>FCB-PROTOCOL-01</v>
          </cell>
          <cell r="L229" t="str">
            <v>CLN/DBR/100</v>
          </cell>
          <cell r="M229" t="str">
            <v>Y</v>
          </cell>
          <cell r="N229" t="str">
            <v>DMS_v5 (1S)</v>
          </cell>
          <cell r="O229" t="str">
            <v>Internal R&amp;D</v>
          </cell>
          <cell r="P229" t="str">
            <v>Q1 Passed</v>
          </cell>
          <cell r="Q229" t="str">
            <v>Q1 Passed</v>
          </cell>
          <cell r="R229" t="str">
            <v>Q1.5 Passed</v>
          </cell>
          <cell r="S229" t="str">
            <v>Q1.5 Passed</v>
          </cell>
          <cell r="V229" t="str">
            <v>Tumor content 10-35%</v>
          </cell>
          <cell r="W229" t="str">
            <v>Clinic'les</v>
          </cell>
          <cell r="X229" t="str">
            <v>Clinic'les- DBR &amp; SK Hospital, Tirupati</v>
          </cell>
          <cell r="Y229" t="str">
            <v>DBR &amp; SK Hospital, Tirupati</v>
          </cell>
          <cell r="Z229" t="str">
            <v>Dr C Jayaprakash, Tirupati</v>
          </cell>
          <cell r="AA229" t="str">
            <v>HNSCC</v>
          </cell>
          <cell r="AC229" t="str">
            <v>Buccal Mucosa</v>
          </cell>
          <cell r="AD229" t="str">
            <v>Buccal Mucosa</v>
          </cell>
          <cell r="AE229" t="str">
            <v>Male</v>
          </cell>
          <cell r="AF229">
            <v>45</v>
          </cell>
          <cell r="AG229" t="str">
            <v>N</v>
          </cell>
          <cell r="AH229">
            <v>5.3</v>
          </cell>
          <cell r="AI229" t="str">
            <v>Maruthi</v>
          </cell>
          <cell r="AJ229" t="str">
            <v>Surgery</v>
          </cell>
          <cell r="AK229" t="str">
            <v>Primary</v>
          </cell>
          <cell r="AN229" t="str">
            <v>4a</v>
          </cell>
          <cell r="AP229" t="str">
            <v>T3N2MX</v>
          </cell>
          <cell r="AS229" t="str">
            <v>Squamous cell carcinoma</v>
          </cell>
          <cell r="AV229">
            <v>44751</v>
          </cell>
          <cell r="AW229">
            <v>0.85416666666666663</v>
          </cell>
          <cell r="AX229">
            <v>0.91666666666666663</v>
          </cell>
          <cell r="AY229">
            <v>6.25E-2</v>
          </cell>
          <cell r="AZ229">
            <v>7.9166666666666663E-2</v>
          </cell>
          <cell r="BA229">
            <v>0.4236111111111111</v>
          </cell>
          <cell r="BB229" t="str">
            <v>1.0*2.0*2.2</v>
          </cell>
          <cell r="BC229" t="str">
            <v>1.0*2.0*2.2</v>
          </cell>
          <cell r="BD229" t="str">
            <v>Manual+Vibratome</v>
          </cell>
          <cell r="BE229">
            <v>15</v>
          </cell>
          <cell r="BF229" t="str">
            <v>gowri</v>
          </cell>
          <cell r="BG229" t="str">
            <v>Y</v>
          </cell>
        </row>
        <row r="230">
          <cell r="A230" t="str">
            <v>FBR1C220169</v>
          </cell>
          <cell r="B230">
            <v>220169</v>
          </cell>
          <cell r="C230" t="str">
            <v>R&amp;D</v>
          </cell>
          <cell r="D230">
            <v>44751</v>
          </cell>
          <cell r="E230">
            <v>0.49305555555555558</v>
          </cell>
          <cell r="F230">
            <v>44743</v>
          </cell>
          <cell r="G230">
            <v>44751</v>
          </cell>
          <cell r="H230">
            <v>0.83750000000000002</v>
          </cell>
          <cell r="I230">
            <v>0.34444444444444444</v>
          </cell>
          <cell r="J230">
            <v>10</v>
          </cell>
          <cell r="K230" t="str">
            <v>FCB-PROTOCOL-01</v>
          </cell>
          <cell r="L230" t="str">
            <v>CLN/DBR/100</v>
          </cell>
          <cell r="M230" t="str">
            <v>Y</v>
          </cell>
          <cell r="N230" t="str">
            <v>Culture Improvement</v>
          </cell>
          <cell r="O230" t="str">
            <v>Internal R&amp;D</v>
          </cell>
          <cell r="P230" t="str">
            <v>Q1 Passed</v>
          </cell>
          <cell r="Q230" t="str">
            <v>Q1 Passed</v>
          </cell>
          <cell r="R230" t="str">
            <v>Q1.5 Passed</v>
          </cell>
          <cell r="S230" t="str">
            <v>Q1.5 Passed</v>
          </cell>
          <cell r="V230" t="str">
            <v>Tumor contnet 10-60%. ?Possible contamination at LA3</v>
          </cell>
          <cell r="W230" t="str">
            <v>Clinic'les</v>
          </cell>
          <cell r="X230" t="str">
            <v>Clinic'les- DBR &amp; SK Hospital, Tirupati</v>
          </cell>
          <cell r="Y230" t="str">
            <v>DBR &amp; SK Hospital, Tirupati</v>
          </cell>
          <cell r="Z230" t="str">
            <v>Dr C Jayaprakash, Tirupati</v>
          </cell>
          <cell r="AA230" t="str">
            <v>HNSCC</v>
          </cell>
          <cell r="AC230" t="str">
            <v>Buccal Mucosa</v>
          </cell>
          <cell r="AD230" t="str">
            <v>Buccal Mucosa</v>
          </cell>
          <cell r="AE230" t="str">
            <v>Male</v>
          </cell>
          <cell r="AF230">
            <v>45</v>
          </cell>
          <cell r="AG230" t="str">
            <v>N</v>
          </cell>
          <cell r="AH230">
            <v>5.3</v>
          </cell>
          <cell r="AI230" t="str">
            <v>Maruthi</v>
          </cell>
          <cell r="AJ230" t="str">
            <v>Surgery</v>
          </cell>
          <cell r="AK230" t="str">
            <v>Primary</v>
          </cell>
          <cell r="AN230" t="str">
            <v>4a</v>
          </cell>
          <cell r="AP230" t="str">
            <v>T3N2MX</v>
          </cell>
          <cell r="AS230" t="str">
            <v>Squamous cell carcinoma</v>
          </cell>
          <cell r="AV230">
            <v>44751</v>
          </cell>
          <cell r="AW230">
            <v>0.85416666666666663</v>
          </cell>
          <cell r="AX230">
            <v>0.91666666666666663</v>
          </cell>
          <cell r="AY230">
            <v>6.25E-2</v>
          </cell>
          <cell r="AZ230">
            <v>7.9166666666666663E-2</v>
          </cell>
          <cell r="BA230">
            <v>0.4236111111111111</v>
          </cell>
          <cell r="BB230" t="str">
            <v>1.0*2.0*2.2</v>
          </cell>
          <cell r="BC230" t="str">
            <v>1.0*2.0*2.2</v>
          </cell>
          <cell r="BD230" t="str">
            <v>Manual+Vibratome</v>
          </cell>
          <cell r="BE230">
            <v>15</v>
          </cell>
          <cell r="BF230" t="str">
            <v>gowri</v>
          </cell>
          <cell r="BG230" t="str">
            <v>Y</v>
          </cell>
        </row>
        <row r="231">
          <cell r="A231" t="str">
            <v>FBR1T220169</v>
          </cell>
          <cell r="B231">
            <v>220169</v>
          </cell>
          <cell r="C231" t="str">
            <v>R&amp;D</v>
          </cell>
          <cell r="D231">
            <v>44751</v>
          </cell>
          <cell r="E231">
            <v>0.49305555555555558</v>
          </cell>
          <cell r="F231">
            <v>44743</v>
          </cell>
          <cell r="G231">
            <v>44751</v>
          </cell>
          <cell r="H231">
            <v>0.83750000000000002</v>
          </cell>
          <cell r="I231">
            <v>0.34444444444444444</v>
          </cell>
          <cell r="J231">
            <v>10</v>
          </cell>
          <cell r="K231" t="str">
            <v>FCB-PROTOCOL-01</v>
          </cell>
          <cell r="L231" t="str">
            <v>CLN/DBR/100</v>
          </cell>
          <cell r="M231" t="str">
            <v>Y</v>
          </cell>
          <cell r="N231" t="str">
            <v>cc Study(1T)</v>
          </cell>
          <cell r="O231" t="str">
            <v>Internal R&amp;D</v>
          </cell>
          <cell r="P231" t="str">
            <v>Q1 Passed</v>
          </cell>
          <cell r="Q231" t="str">
            <v>Q1 Passed</v>
          </cell>
          <cell r="R231" t="str">
            <v>Q1.5 Passed</v>
          </cell>
          <cell r="S231" t="str">
            <v>Q1.5 Passed</v>
          </cell>
          <cell r="W231" t="str">
            <v>Clinic'les</v>
          </cell>
          <cell r="X231" t="str">
            <v>Clinic'les- DBR &amp; SK Hospital, Tirupati</v>
          </cell>
          <cell r="Y231" t="str">
            <v>DBR &amp; SK Hospital, Tirupati</v>
          </cell>
          <cell r="Z231" t="str">
            <v>Dr C Jayaprakash, Tirupati</v>
          </cell>
          <cell r="AA231" t="str">
            <v>HNSCC</v>
          </cell>
          <cell r="AC231" t="str">
            <v>Buccal Mucosa</v>
          </cell>
          <cell r="AD231" t="str">
            <v>Buccal Mucosa</v>
          </cell>
          <cell r="AE231" t="str">
            <v>Male</v>
          </cell>
          <cell r="AF231">
            <v>45</v>
          </cell>
          <cell r="AG231" t="str">
            <v>N</v>
          </cell>
          <cell r="AH231">
            <v>5.3</v>
          </cell>
          <cell r="AI231" t="str">
            <v>Maruthi</v>
          </cell>
          <cell r="AJ231" t="str">
            <v>Surgery</v>
          </cell>
          <cell r="AK231" t="str">
            <v>Primary</v>
          </cell>
          <cell r="AN231" t="str">
            <v>4a</v>
          </cell>
          <cell r="AP231" t="str">
            <v>T3N2MX</v>
          </cell>
          <cell r="AS231" t="str">
            <v>Squamous cell carcinoma</v>
          </cell>
          <cell r="AV231">
            <v>44751</v>
          </cell>
          <cell r="AW231">
            <v>0.85416666666666663</v>
          </cell>
          <cell r="AX231">
            <v>0.91666666666666663</v>
          </cell>
          <cell r="AY231">
            <v>6.25E-2</v>
          </cell>
          <cell r="AZ231">
            <v>7.9166666666666663E-2</v>
          </cell>
          <cell r="BA231">
            <v>0.4236111111111111</v>
          </cell>
          <cell r="BB231" t="str">
            <v>1.0*2.0*2.2</v>
          </cell>
          <cell r="BC231" t="str">
            <v>1.0*2.0*2.2</v>
          </cell>
          <cell r="BD231" t="str">
            <v>Manual+Vibratome</v>
          </cell>
          <cell r="BE231">
            <v>15</v>
          </cell>
          <cell r="BF231" t="str">
            <v>gowri</v>
          </cell>
          <cell r="BG231" t="str">
            <v>Y</v>
          </cell>
        </row>
        <row r="232">
          <cell r="A232" t="str">
            <v>FBR1S220170</v>
          </cell>
          <cell r="B232">
            <v>220170</v>
          </cell>
          <cell r="C232" t="str">
            <v>R&amp;D</v>
          </cell>
          <cell r="D232">
            <v>44753</v>
          </cell>
          <cell r="E232">
            <v>0.57986111111111116</v>
          </cell>
          <cell r="F232">
            <v>44743</v>
          </cell>
          <cell r="G232">
            <v>44753</v>
          </cell>
          <cell r="H232">
            <v>0.90138888888888891</v>
          </cell>
          <cell r="I232">
            <v>0.3215277777777778</v>
          </cell>
          <cell r="J232">
            <v>15</v>
          </cell>
          <cell r="K232" t="str">
            <v>FCB-PROTOCOL-01</v>
          </cell>
          <cell r="L232" t="str">
            <v>CLN/DBR/101</v>
          </cell>
          <cell r="M232" t="str">
            <v>Y</v>
          </cell>
          <cell r="N232" t="str">
            <v>DMS_v5 (1S)</v>
          </cell>
          <cell r="O232" t="str">
            <v>Internal R&amp;D</v>
          </cell>
          <cell r="P232" t="str">
            <v>Q1 Passed</v>
          </cell>
          <cell r="Q232" t="str">
            <v>Q1 Passed</v>
          </cell>
          <cell r="R232" t="str">
            <v>Q1.5 Passed</v>
          </cell>
          <cell r="S232" t="str">
            <v>Q1.5 Passed</v>
          </cell>
          <cell r="V232" t="str">
            <v>Tumor content 50-95%, high immune prescence</v>
          </cell>
          <cell r="W232" t="str">
            <v>Clinic'les</v>
          </cell>
          <cell r="X232" t="str">
            <v>Clinic'les- DBR &amp; SK Hospital, Tirupati</v>
          </cell>
          <cell r="Y232" t="str">
            <v>DBR &amp; SK Hospital, Tirupati</v>
          </cell>
          <cell r="Z232" t="str">
            <v>Dr C Jayaprakash, Tirupati</v>
          </cell>
          <cell r="AA232" t="str">
            <v>HNSCC</v>
          </cell>
          <cell r="AC232" t="str">
            <v>Buccal Mucosa</v>
          </cell>
          <cell r="AD232" t="str">
            <v>Buccal Mucosa</v>
          </cell>
          <cell r="AE232" t="str">
            <v>Female</v>
          </cell>
          <cell r="AF232">
            <v>51</v>
          </cell>
          <cell r="AG232" t="str">
            <v>N</v>
          </cell>
          <cell r="AH232">
            <v>5.2</v>
          </cell>
          <cell r="AI232" t="str">
            <v>Maruthi</v>
          </cell>
          <cell r="AJ232" t="str">
            <v>Surgery</v>
          </cell>
          <cell r="AK232" t="str">
            <v>Primary</v>
          </cell>
          <cell r="AN232">
            <v>4</v>
          </cell>
          <cell r="AP232" t="str">
            <v>T2N3bmx</v>
          </cell>
          <cell r="AS232" t="str">
            <v>Squamous cell carcinoma</v>
          </cell>
          <cell r="AV232">
            <v>44753</v>
          </cell>
          <cell r="AW232">
            <v>0.91180555555555554</v>
          </cell>
          <cell r="AX232">
            <v>0.97847222222222219</v>
          </cell>
          <cell r="AY232">
            <v>6.6666666666666666E-2</v>
          </cell>
          <cell r="AZ232">
            <v>7.7083333333333337E-2</v>
          </cell>
          <cell r="BA232">
            <v>0.39861111111111114</v>
          </cell>
          <cell r="BB232" t="str">
            <v>0.6*1.2*1.0
0.2*0.7*0.7</v>
          </cell>
          <cell r="BC232" t="str">
            <v>0.6*1.2*1.0
0.2*0.7*0.7</v>
          </cell>
          <cell r="BD232" t="str">
            <v>Manual+Vibratome</v>
          </cell>
          <cell r="BE232">
            <v>15</v>
          </cell>
          <cell r="BF232" t="str">
            <v>Kowshik</v>
          </cell>
          <cell r="BG232" t="str">
            <v>Y</v>
          </cell>
        </row>
        <row r="233">
          <cell r="A233" t="str">
            <v>FBR1C220170</v>
          </cell>
          <cell r="B233">
            <v>220170</v>
          </cell>
          <cell r="C233" t="str">
            <v>R&amp;D</v>
          </cell>
          <cell r="D233">
            <v>44753</v>
          </cell>
          <cell r="E233">
            <v>0.57986111111111116</v>
          </cell>
          <cell r="F233">
            <v>44743</v>
          </cell>
          <cell r="G233">
            <v>44753</v>
          </cell>
          <cell r="H233">
            <v>0.90138888888888891</v>
          </cell>
          <cell r="I233">
            <v>0.3215277777777778</v>
          </cell>
          <cell r="J233">
            <v>15</v>
          </cell>
          <cell r="K233" t="str">
            <v>FCB-PROTOCOL-01</v>
          </cell>
          <cell r="L233" t="str">
            <v>CLN/DBR/101</v>
          </cell>
          <cell r="M233" t="str">
            <v>Y</v>
          </cell>
          <cell r="N233" t="str">
            <v>Culture Improvement</v>
          </cell>
          <cell r="O233" t="str">
            <v>Internal R&amp;D</v>
          </cell>
          <cell r="P233" t="str">
            <v>Q1 Passed</v>
          </cell>
          <cell r="Q233" t="str">
            <v>Q1 Passed</v>
          </cell>
          <cell r="R233" t="str">
            <v>Q1.5 Passed</v>
          </cell>
          <cell r="S233" t="str">
            <v>Q1.5 Passed</v>
          </cell>
          <cell r="V233" t="str">
            <v>Tumor content 40-90%</v>
          </cell>
          <cell r="W233" t="str">
            <v>Clinic'les</v>
          </cell>
          <cell r="X233" t="str">
            <v>Clinic'les- DBR &amp; SK Hospital, Tirupati</v>
          </cell>
          <cell r="Y233" t="str">
            <v>DBR &amp; SK Hospital, Tirupati</v>
          </cell>
          <cell r="Z233" t="str">
            <v>Dr C Jayaprakash, Tirupati</v>
          </cell>
          <cell r="AA233" t="str">
            <v>HNSCC</v>
          </cell>
          <cell r="AC233" t="str">
            <v>Buccal Mucosa</v>
          </cell>
          <cell r="AD233" t="str">
            <v>Buccal Mucosa</v>
          </cell>
          <cell r="AE233" t="str">
            <v>Female</v>
          </cell>
          <cell r="AF233">
            <v>51</v>
          </cell>
          <cell r="AG233" t="str">
            <v>N</v>
          </cell>
          <cell r="AH233">
            <v>5.2</v>
          </cell>
          <cell r="AI233" t="str">
            <v>Maruthi</v>
          </cell>
          <cell r="AJ233" t="str">
            <v>Surgery</v>
          </cell>
          <cell r="AK233" t="str">
            <v>Primary</v>
          </cell>
          <cell r="AN233">
            <v>4</v>
          </cell>
          <cell r="AP233" t="str">
            <v>T2N3bmx</v>
          </cell>
          <cell r="AS233" t="str">
            <v>Squamous cell carcinoma</v>
          </cell>
          <cell r="AV233">
            <v>44753</v>
          </cell>
          <cell r="AW233">
            <v>0.91180555555555554</v>
          </cell>
          <cell r="AX233">
            <v>0.97847222222222219</v>
          </cell>
          <cell r="AY233">
            <v>6.6666666666666666E-2</v>
          </cell>
          <cell r="AZ233">
            <v>7.7083333333333337E-2</v>
          </cell>
          <cell r="BA233">
            <v>0.39861111111111114</v>
          </cell>
          <cell r="BB233" t="str">
            <v>0.6*1.2*1.0
0.2*0.7*0.7</v>
          </cell>
          <cell r="BC233" t="str">
            <v>0.6*1.2*1.0
0.2*0.7*0.7</v>
          </cell>
          <cell r="BD233" t="str">
            <v>Manual+Vibratome</v>
          </cell>
          <cell r="BE233">
            <v>15</v>
          </cell>
          <cell r="BF233" t="str">
            <v>Kowshik</v>
          </cell>
          <cell r="BG233" t="str">
            <v>Y</v>
          </cell>
        </row>
        <row r="234">
          <cell r="A234" t="str">
            <v>FBR1T220171</v>
          </cell>
          <cell r="B234">
            <v>220171</v>
          </cell>
          <cell r="C234" t="str">
            <v>R&amp;D</v>
          </cell>
          <cell r="D234">
            <v>44754</v>
          </cell>
          <cell r="E234">
            <v>0.44930555555555557</v>
          </cell>
          <cell r="F234">
            <v>44743</v>
          </cell>
          <cell r="G234">
            <v>44754</v>
          </cell>
          <cell r="H234">
            <v>0.53888888888888886</v>
          </cell>
          <cell r="I234">
            <v>8.9583333333333334E-2</v>
          </cell>
          <cell r="J234">
            <v>7</v>
          </cell>
          <cell r="K234" t="str">
            <v>FCB-PROTOCOL-01</v>
          </cell>
          <cell r="L234" t="str">
            <v>VYD/117</v>
          </cell>
          <cell r="M234" t="str">
            <v>Y</v>
          </cell>
          <cell r="N234" t="str">
            <v>cc Study(1T)</v>
          </cell>
          <cell r="O234" t="str">
            <v>Internal R&amp;D</v>
          </cell>
          <cell r="P234" t="str">
            <v>Q1 Passed</v>
          </cell>
          <cell r="Q234" t="str">
            <v>Q1 Passed</v>
          </cell>
          <cell r="R234" t="str">
            <v>Q1.5 Passed</v>
          </cell>
          <cell r="S234" t="str">
            <v>Q1.5 Passed</v>
          </cell>
          <cell r="V234" t="str">
            <v>Tumor content 2-96% in 6/7 explants</v>
          </cell>
          <cell r="W234" t="str">
            <v>Private Hospital</v>
          </cell>
          <cell r="X234" t="str">
            <v>Vydehi Hospital, Bangalore</v>
          </cell>
          <cell r="Y234" t="str">
            <v>Vydehi Hospital, Bangalore</v>
          </cell>
          <cell r="Z234" t="str">
            <v>Dr Amritha Prabha, Bangalore</v>
          </cell>
          <cell r="AA234" t="str">
            <v>HNSCC</v>
          </cell>
          <cell r="AC234" t="str">
            <v>Mouth</v>
          </cell>
          <cell r="AD234" t="str">
            <v>Floor of Mouth right side</v>
          </cell>
          <cell r="AE234" t="str">
            <v>Male</v>
          </cell>
          <cell r="AF234">
            <v>57</v>
          </cell>
          <cell r="AG234" t="str">
            <v>N</v>
          </cell>
          <cell r="AH234">
            <v>5.0999999999999996</v>
          </cell>
          <cell r="AI234" t="str">
            <v>Kalappa</v>
          </cell>
          <cell r="AJ234" t="str">
            <v>Surgery</v>
          </cell>
          <cell r="AK234" t="str">
            <v>Primary</v>
          </cell>
          <cell r="AN234" t="str">
            <v>II</v>
          </cell>
          <cell r="AO234">
            <v>2</v>
          </cell>
          <cell r="AP234" t="str">
            <v>pT2N0</v>
          </cell>
          <cell r="AS234" t="str">
            <v>Squamous cell carcinoma</v>
          </cell>
          <cell r="AV234">
            <v>44754</v>
          </cell>
          <cell r="AW234">
            <v>0.51597222222222228</v>
          </cell>
          <cell r="AX234">
            <v>0.63263888888888886</v>
          </cell>
          <cell r="AY234">
            <v>0.11666666666666667</v>
          </cell>
          <cell r="AZ234">
            <v>9.375E-2</v>
          </cell>
          <cell r="BA234">
            <v>0.18333333333333332</v>
          </cell>
          <cell r="BB234" t="str">
            <v>0.65*0.6*1.2</v>
          </cell>
          <cell r="BC234" t="str">
            <v>0.65*0.6*1.2</v>
          </cell>
          <cell r="BD234" t="str">
            <v>manual</v>
          </cell>
          <cell r="BE234">
            <v>15</v>
          </cell>
          <cell r="BF234" t="str">
            <v>Vasanth</v>
          </cell>
          <cell r="BG234" t="str">
            <v>Y</v>
          </cell>
        </row>
        <row r="235">
          <cell r="A235" t="str">
            <v>FBR1T220172</v>
          </cell>
          <cell r="B235">
            <v>220172</v>
          </cell>
          <cell r="C235" t="str">
            <v>R&amp;D</v>
          </cell>
          <cell r="D235">
            <v>44755</v>
          </cell>
          <cell r="E235">
            <v>0.5229166666666667</v>
          </cell>
          <cell r="F235">
            <v>44743</v>
          </cell>
          <cell r="G235">
            <v>44755</v>
          </cell>
          <cell r="H235">
            <v>0.57222222222222219</v>
          </cell>
          <cell r="I235">
            <v>4.9305555555555554E-2</v>
          </cell>
          <cell r="J235">
            <v>23</v>
          </cell>
          <cell r="K235" t="str">
            <v>FCB-PROTOCOL-02</v>
          </cell>
          <cell r="L235" t="str">
            <v>HN010</v>
          </cell>
          <cell r="M235" t="str">
            <v>Y</v>
          </cell>
          <cell r="N235" t="str">
            <v>cc Study(1T)</v>
          </cell>
          <cell r="O235" t="str">
            <v>Internal R&amp;D</v>
          </cell>
          <cell r="P235" t="str">
            <v>Q1 Passed</v>
          </cell>
          <cell r="Q235" t="str">
            <v>Q1 Passed</v>
          </cell>
          <cell r="R235" t="str">
            <v>Q1.5 Passed</v>
          </cell>
          <cell r="S235" t="str">
            <v>Q1.5 Passed</v>
          </cell>
          <cell r="V235" t="str">
            <v>Tumor content 30-70% with good immune presence</v>
          </cell>
          <cell r="W235" t="str">
            <v>Government Hospital</v>
          </cell>
          <cell r="X235" t="str">
            <v>Mazumdar Shaw Medical Centre, Bangalore</v>
          </cell>
          <cell r="Y235" t="str">
            <v>Mazumdar Shaw Medical Centre, Bangalore</v>
          </cell>
          <cell r="Z235" t="str">
            <v>Dr Vijay Pillai, Bangalore</v>
          </cell>
          <cell r="AA235" t="str">
            <v>HNSCC</v>
          </cell>
          <cell r="AC235" t="str">
            <v>Alveolus</v>
          </cell>
          <cell r="AD235" t="str">
            <v>Right Lower Alveolus</v>
          </cell>
          <cell r="AE235" t="str">
            <v>Male</v>
          </cell>
          <cell r="AF235">
            <v>53</v>
          </cell>
          <cell r="AG235" t="str">
            <v>N</v>
          </cell>
          <cell r="AH235">
            <v>5</v>
          </cell>
          <cell r="AI235" t="str">
            <v>Kalappa</v>
          </cell>
          <cell r="AJ235" t="str">
            <v>Surgery</v>
          </cell>
          <cell r="AK235" t="str">
            <v>Primary</v>
          </cell>
          <cell r="AN235">
            <v>4</v>
          </cell>
          <cell r="AO235">
            <v>4</v>
          </cell>
          <cell r="AP235" t="str">
            <v>pT4bN3b</v>
          </cell>
          <cell r="AS235" t="str">
            <v> Moderetely differentiated squamous cell carcinoma  Right cervical lymph nodes-Selective Neck dissection:Metastasis of squamous cell carcinoma</v>
          </cell>
          <cell r="AV235">
            <v>44755</v>
          </cell>
          <cell r="AW235">
            <v>0.64583333333333337</v>
          </cell>
          <cell r="AX235">
            <v>0.67777777777777781</v>
          </cell>
          <cell r="AY235">
            <v>3.1944444444444442E-2</v>
          </cell>
          <cell r="AZ235">
            <v>0.10555555555555556</v>
          </cell>
          <cell r="BA235">
            <v>0.15486111111111112</v>
          </cell>
          <cell r="BB235" t="str">
            <v>0.8*1.6*3.2</v>
          </cell>
          <cell r="BC235" t="str">
            <v>0.8*1.6*3.2</v>
          </cell>
          <cell r="BD235" t="str">
            <v>manual</v>
          </cell>
          <cell r="BE235">
            <v>15</v>
          </cell>
          <cell r="BF235" t="str">
            <v>Vasanth</v>
          </cell>
          <cell r="BG235" t="str">
            <v>N</v>
          </cell>
        </row>
        <row r="236">
          <cell r="A236" t="str">
            <v>FBR1S220173</v>
          </cell>
          <cell r="B236">
            <v>220173</v>
          </cell>
          <cell r="C236" t="str">
            <v>R&amp;D</v>
          </cell>
          <cell r="D236">
            <v>44755</v>
          </cell>
          <cell r="E236">
            <v>0.5625</v>
          </cell>
          <cell r="F236">
            <v>44743</v>
          </cell>
          <cell r="G236">
            <v>44755</v>
          </cell>
          <cell r="H236">
            <v>0.88888888888888884</v>
          </cell>
          <cell r="I236">
            <v>0.3263888888888889</v>
          </cell>
          <cell r="J236">
            <v>10</v>
          </cell>
          <cell r="K236" t="str">
            <v>FCB-PROTOCOL-01</v>
          </cell>
          <cell r="L236" t="str">
            <v>CLN/DBR/102</v>
          </cell>
          <cell r="M236" t="str">
            <v>Y</v>
          </cell>
          <cell r="N236" t="str">
            <v>DMS_v5 (1S)</v>
          </cell>
          <cell r="O236" t="str">
            <v>Internal R&amp;D</v>
          </cell>
          <cell r="P236" t="str">
            <v>Q1 Passed</v>
          </cell>
          <cell r="Q236" t="str">
            <v>Q1 Passed</v>
          </cell>
          <cell r="R236" t="str">
            <v>Q1.5 Passed</v>
          </cell>
          <cell r="S236" t="str">
            <v>Q1.5 Passed</v>
          </cell>
          <cell r="V236" t="str">
            <v>High tumor content in all fragments with good immune prescence</v>
          </cell>
          <cell r="W236" t="str">
            <v>Clinic'les</v>
          </cell>
          <cell r="X236" t="str">
            <v>Clinic'les- DBR &amp; SK Hospital, Tirupati</v>
          </cell>
          <cell r="Y236" t="str">
            <v>DBR &amp; SK Hospital, Tirupati</v>
          </cell>
          <cell r="Z236" t="str">
            <v>Dr C Jayaprakash, Tirupati</v>
          </cell>
          <cell r="AA236" t="str">
            <v>HNSCC</v>
          </cell>
          <cell r="AC236" t="str">
            <v>Buccal Mucosa</v>
          </cell>
          <cell r="AD236" t="str">
            <v>Buccal Mucosa</v>
          </cell>
          <cell r="AE236" t="str">
            <v>Female</v>
          </cell>
          <cell r="AF236">
            <v>65</v>
          </cell>
          <cell r="AG236" t="str">
            <v>N</v>
          </cell>
          <cell r="AH236">
            <v>5.3</v>
          </cell>
          <cell r="AI236" t="str">
            <v>Maruthi</v>
          </cell>
          <cell r="AJ236" t="str">
            <v>Surgery</v>
          </cell>
          <cell r="AK236" t="str">
            <v>Primary</v>
          </cell>
          <cell r="AN236">
            <v>2</v>
          </cell>
          <cell r="AP236" t="str">
            <v>T2NoMX</v>
          </cell>
          <cell r="AS236" t="str">
            <v>Squamous cell carcinoma</v>
          </cell>
          <cell r="AV236">
            <v>44755</v>
          </cell>
          <cell r="AW236">
            <v>0.89583333333333337</v>
          </cell>
          <cell r="AX236">
            <v>0.97916666666666663</v>
          </cell>
          <cell r="AY236">
            <v>8.3333333333333329E-2</v>
          </cell>
          <cell r="AZ236">
            <v>9.0277777777777776E-2</v>
          </cell>
          <cell r="BA236">
            <v>0.41666666666666669</v>
          </cell>
          <cell r="BB236" t="str">
            <v>0.6-0.8*1.6*0.9/1.8</v>
          </cell>
          <cell r="BC236" t="str">
            <v>0.6-0.8*1.6*0.9/1.8</v>
          </cell>
          <cell r="BD236" t="str">
            <v>Vibratome</v>
          </cell>
          <cell r="BE236">
            <v>15</v>
          </cell>
          <cell r="BF236" t="str">
            <v>Kowshik</v>
          </cell>
          <cell r="BG236" t="str">
            <v>Y</v>
          </cell>
        </row>
        <row r="237">
          <cell r="A237" t="str">
            <v>FBR1T220173</v>
          </cell>
          <cell r="B237">
            <v>220173</v>
          </cell>
          <cell r="C237" t="str">
            <v>R&amp;D</v>
          </cell>
          <cell r="D237">
            <v>44755</v>
          </cell>
          <cell r="E237">
            <v>0.5625</v>
          </cell>
          <cell r="F237">
            <v>44743</v>
          </cell>
          <cell r="G237">
            <v>44755</v>
          </cell>
          <cell r="H237">
            <v>0.88888888888888884</v>
          </cell>
          <cell r="I237">
            <v>0.3263888888888889</v>
          </cell>
          <cell r="J237">
            <v>10</v>
          </cell>
          <cell r="K237" t="str">
            <v>FCB-PROTOCOL-01</v>
          </cell>
          <cell r="L237" t="str">
            <v>CLN/DBR/102</v>
          </cell>
          <cell r="M237" t="str">
            <v>Y</v>
          </cell>
          <cell r="N237" t="str">
            <v>cc Study(1T)</v>
          </cell>
          <cell r="O237" t="str">
            <v>Internal R&amp;D</v>
          </cell>
          <cell r="P237" t="str">
            <v>Q1 Passed</v>
          </cell>
          <cell r="Q237" t="str">
            <v>Q1 Passed</v>
          </cell>
          <cell r="R237" t="str">
            <v>Q1.5 Passed</v>
          </cell>
          <cell r="S237" t="str">
            <v>Q1.5 Passed</v>
          </cell>
          <cell r="V237" t="str">
            <v>High tumor content in all fragments with good immune prescence</v>
          </cell>
          <cell r="W237" t="str">
            <v>Clinic'les</v>
          </cell>
          <cell r="X237" t="str">
            <v>Clinic'les- DBR &amp; SK Hospital, Tirupati</v>
          </cell>
          <cell r="Y237" t="str">
            <v>DBR &amp; SK Hospital, Tirupati</v>
          </cell>
          <cell r="Z237" t="str">
            <v>Dr C Jayaprakash, Tirupati</v>
          </cell>
          <cell r="AA237" t="str">
            <v>HNSCC</v>
          </cell>
          <cell r="AC237" t="str">
            <v>Buccal Mucosa</v>
          </cell>
          <cell r="AD237" t="str">
            <v>Buccal Mucosa</v>
          </cell>
          <cell r="AE237" t="str">
            <v>Female</v>
          </cell>
          <cell r="AF237">
            <v>65</v>
          </cell>
          <cell r="AG237" t="str">
            <v>N</v>
          </cell>
          <cell r="AH237">
            <v>5.3</v>
          </cell>
          <cell r="AI237" t="str">
            <v>Maruthi</v>
          </cell>
          <cell r="AJ237" t="str">
            <v>Surgery</v>
          </cell>
          <cell r="AK237" t="str">
            <v>Primary</v>
          </cell>
          <cell r="AN237">
            <v>2</v>
          </cell>
          <cell r="AP237" t="str">
            <v>T2NoMX</v>
          </cell>
          <cell r="AS237" t="str">
            <v>Squamous cell carcinoma</v>
          </cell>
          <cell r="AV237">
            <v>44755</v>
          </cell>
          <cell r="AW237">
            <v>0.89583333333333337</v>
          </cell>
          <cell r="AX237">
            <v>0.97916666666666663</v>
          </cell>
          <cell r="AY237">
            <v>8.3333333333333329E-2</v>
          </cell>
          <cell r="AZ237">
            <v>9.0277777777777776E-2</v>
          </cell>
          <cell r="BA237">
            <v>0.41666666666666669</v>
          </cell>
          <cell r="BB237" t="str">
            <v>0.6-0.8*1.6*0.9/1.8</v>
          </cell>
          <cell r="BC237" t="str">
            <v>0.6-0.8*1.6*0.9/1.8</v>
          </cell>
          <cell r="BD237" t="str">
            <v>Vibratome</v>
          </cell>
          <cell r="BE237">
            <v>15</v>
          </cell>
          <cell r="BF237" t="str">
            <v>Kowshik</v>
          </cell>
          <cell r="BG237" t="str">
            <v>Y</v>
          </cell>
        </row>
        <row r="238">
          <cell r="A238" t="str">
            <v>FBR1C220173</v>
          </cell>
          <cell r="B238">
            <v>220173</v>
          </cell>
          <cell r="C238" t="str">
            <v>R&amp;D</v>
          </cell>
          <cell r="D238">
            <v>44755</v>
          </cell>
          <cell r="E238">
            <v>0.5625</v>
          </cell>
          <cell r="F238">
            <v>44743</v>
          </cell>
          <cell r="G238">
            <v>44755</v>
          </cell>
          <cell r="H238">
            <v>0.88888888888888884</v>
          </cell>
          <cell r="I238">
            <v>0.3263888888888889</v>
          </cell>
          <cell r="J238">
            <v>10</v>
          </cell>
          <cell r="K238" t="str">
            <v>FCB-PROTOCOL-01</v>
          </cell>
          <cell r="L238" t="str">
            <v>CLN/DBR/102</v>
          </cell>
          <cell r="M238" t="str">
            <v>Y</v>
          </cell>
          <cell r="N238" t="str">
            <v>Culture Improvement</v>
          </cell>
          <cell r="O238" t="str">
            <v>Internal R&amp;D</v>
          </cell>
          <cell r="P238" t="str">
            <v>Q1 Passed</v>
          </cell>
          <cell r="Q238" t="str">
            <v>Q1 Passed</v>
          </cell>
          <cell r="R238" t="str">
            <v>Q1.5 Passed</v>
          </cell>
          <cell r="S238" t="str">
            <v>Q1.5 Passed</v>
          </cell>
          <cell r="W238" t="str">
            <v>Clinic'les</v>
          </cell>
          <cell r="X238" t="str">
            <v>Clinic'les- DBR &amp; SK Hospital, Tirupati</v>
          </cell>
          <cell r="Y238" t="str">
            <v>DBR &amp; SK Hospital, Tirupati</v>
          </cell>
          <cell r="Z238" t="str">
            <v>Dr C Jayaprakash, Tirupati</v>
          </cell>
          <cell r="AA238" t="str">
            <v>HNSCC</v>
          </cell>
          <cell r="AC238" t="str">
            <v>Buccal Mucosa</v>
          </cell>
          <cell r="AD238" t="str">
            <v>Buccal Mucosa</v>
          </cell>
          <cell r="AE238" t="str">
            <v>Female</v>
          </cell>
          <cell r="AF238">
            <v>65</v>
          </cell>
          <cell r="AG238" t="str">
            <v>N</v>
          </cell>
          <cell r="AH238">
            <v>5.3</v>
          </cell>
          <cell r="AI238" t="str">
            <v>Maruthi</v>
          </cell>
          <cell r="AJ238" t="str">
            <v>Surgery</v>
          </cell>
          <cell r="AK238" t="str">
            <v>Primary</v>
          </cell>
          <cell r="AN238">
            <v>2</v>
          </cell>
          <cell r="AP238" t="str">
            <v>T2NoMX</v>
          </cell>
          <cell r="AS238" t="str">
            <v>Squamous cell carcinoma</v>
          </cell>
          <cell r="AV238">
            <v>44755</v>
          </cell>
          <cell r="AW238">
            <v>0.89583333333333337</v>
          </cell>
          <cell r="AX238">
            <v>0.97916666666666663</v>
          </cell>
          <cell r="AY238">
            <v>8.3333333333333329E-2</v>
          </cell>
          <cell r="AZ238">
            <v>9.0277777777777776E-2</v>
          </cell>
          <cell r="BA238">
            <v>0.41666666666666669</v>
          </cell>
          <cell r="BB238" t="str">
            <v>0.6-0.8*1.6*0.9/1.8</v>
          </cell>
          <cell r="BC238" t="str">
            <v>0.6-0.8*1.6*0.9/1.8</v>
          </cell>
          <cell r="BD238" t="str">
            <v>Vibratome</v>
          </cell>
          <cell r="BE238">
            <v>15</v>
          </cell>
          <cell r="BF238" t="str">
            <v>Kowshik</v>
          </cell>
          <cell r="BG238" t="str">
            <v>Y</v>
          </cell>
        </row>
        <row r="239">
          <cell r="A239" t="str">
            <v>FBR1T220174</v>
          </cell>
          <cell r="B239">
            <v>220174</v>
          </cell>
          <cell r="C239" t="str">
            <v>R&amp;D</v>
          </cell>
          <cell r="D239">
            <v>44757</v>
          </cell>
          <cell r="E239">
            <v>0.35208333333333336</v>
          </cell>
          <cell r="F239">
            <v>44743</v>
          </cell>
          <cell r="G239">
            <v>44757</v>
          </cell>
          <cell r="H239">
            <v>0.41319444444444442</v>
          </cell>
          <cell r="I239">
            <v>6.1111111111111109E-2</v>
          </cell>
          <cell r="J239">
            <v>2</v>
          </cell>
          <cell r="K239" t="str">
            <v>FCB-PROTOCOL-01</v>
          </cell>
          <cell r="L239" t="str">
            <v>CLN/PRA/182</v>
          </cell>
          <cell r="M239" t="str">
            <v>Y</v>
          </cell>
          <cell r="N239" t="str">
            <v>cc Study(1T)</v>
          </cell>
          <cell r="O239" t="str">
            <v>Internal R&amp;D</v>
          </cell>
          <cell r="P239" t="str">
            <v>Q1 Passed</v>
          </cell>
          <cell r="Q239" t="str">
            <v>Q1 Passed</v>
          </cell>
          <cell r="R239" t="str">
            <v>Q1.5 Passed</v>
          </cell>
          <cell r="S239" t="str">
            <v>Q1.5 Rejected</v>
          </cell>
          <cell r="V239" t="str">
            <v>All explants show mostly SSE. No tumor</v>
          </cell>
          <cell r="W239" t="str">
            <v>Consultant</v>
          </cell>
          <cell r="X239" t="str">
            <v>Dr Prakash BV, Bangalore</v>
          </cell>
          <cell r="Y239" t="str">
            <v>Sri Lakshmi Hospital, Bangalore</v>
          </cell>
          <cell r="Z239" t="str">
            <v>Dr Prakash BV, Bangalore</v>
          </cell>
          <cell r="AA239" t="str">
            <v>HNSCC</v>
          </cell>
          <cell r="AC239" t="str">
            <v>Alveolus+GBS</v>
          </cell>
          <cell r="AD239" t="str">
            <v>Left lower alveolus+Lower GBS</v>
          </cell>
          <cell r="AE239" t="str">
            <v>Male</v>
          </cell>
          <cell r="AF239">
            <v>55</v>
          </cell>
          <cell r="AG239" t="str">
            <v>N</v>
          </cell>
          <cell r="AH239">
            <v>4.0999999999999996</v>
          </cell>
          <cell r="AI239" t="str">
            <v>Kalappa</v>
          </cell>
          <cell r="AJ239" t="str">
            <v>Surgery</v>
          </cell>
          <cell r="AK239" t="str">
            <v>Primary</v>
          </cell>
          <cell r="AO239" t="str">
            <v>II</v>
          </cell>
          <cell r="AP239" t="str">
            <v>pT4aN1M0</v>
          </cell>
          <cell r="AS239" t="str">
            <v>Squamous Cell Carcinoma</v>
          </cell>
          <cell r="AV239">
            <v>44757</v>
          </cell>
          <cell r="AW239">
            <v>0.70138888888888884</v>
          </cell>
          <cell r="AX239">
            <v>0.74305555555555558</v>
          </cell>
          <cell r="AY239">
            <v>4.1666666666666664E-2</v>
          </cell>
          <cell r="AZ239">
            <v>0.3298611111111111</v>
          </cell>
          <cell r="BA239">
            <v>0.39097222222222222</v>
          </cell>
          <cell r="BB239" t="str">
            <v>0.43*1.6*2.2</v>
          </cell>
          <cell r="BC239" t="str">
            <v>0.43*1.6*2.2</v>
          </cell>
          <cell r="BD239" t="str">
            <v>manual</v>
          </cell>
          <cell r="BE239">
            <v>15</v>
          </cell>
          <cell r="BF239" t="str">
            <v>Vasanth</v>
          </cell>
          <cell r="BG239" t="str">
            <v>Y</v>
          </cell>
        </row>
        <row r="240">
          <cell r="A240" t="str">
            <v>FBR1C220174</v>
          </cell>
          <cell r="B240">
            <v>220174</v>
          </cell>
          <cell r="C240" t="str">
            <v>R&amp;D</v>
          </cell>
          <cell r="D240">
            <v>44757</v>
          </cell>
          <cell r="E240">
            <v>0.35208333333333336</v>
          </cell>
          <cell r="F240">
            <v>44743</v>
          </cell>
          <cell r="G240">
            <v>44757</v>
          </cell>
          <cell r="H240">
            <v>0.41319444444444442</v>
          </cell>
          <cell r="I240">
            <v>6.1111111111111109E-2</v>
          </cell>
          <cell r="J240">
            <v>2</v>
          </cell>
          <cell r="K240" t="str">
            <v>FCB-PROTOCOL-01</v>
          </cell>
          <cell r="L240" t="str">
            <v>CLN/PRA/182</v>
          </cell>
          <cell r="M240" t="str">
            <v>Y</v>
          </cell>
          <cell r="N240" t="str">
            <v>Culture Improvement</v>
          </cell>
          <cell r="O240" t="str">
            <v>Internal R&amp;D</v>
          </cell>
          <cell r="P240" t="str">
            <v>Q1 Passed</v>
          </cell>
          <cell r="Q240" t="str">
            <v>Q1 Passed</v>
          </cell>
          <cell r="R240" t="str">
            <v>Q1.5 Passed</v>
          </cell>
          <cell r="S240" t="str">
            <v>Q1.5 Passed</v>
          </cell>
          <cell r="W240" t="str">
            <v>Consultant</v>
          </cell>
          <cell r="X240" t="str">
            <v>Dr Prakash BV, Bangalore</v>
          </cell>
          <cell r="Y240" t="str">
            <v>Sri Lakshmi Hospital, Bangalore</v>
          </cell>
          <cell r="Z240" t="str">
            <v>Dr Prakash BV, Bangalore</v>
          </cell>
          <cell r="AA240" t="str">
            <v>HNSCC</v>
          </cell>
          <cell r="AC240" t="str">
            <v>Alveolus+GBS</v>
          </cell>
          <cell r="AD240" t="str">
            <v>Left lower alveolus+Lower GBS</v>
          </cell>
          <cell r="AE240" t="str">
            <v>Male</v>
          </cell>
          <cell r="AF240">
            <v>55</v>
          </cell>
          <cell r="AG240" t="str">
            <v>N</v>
          </cell>
          <cell r="AH240">
            <v>4.0999999999999996</v>
          </cell>
          <cell r="AI240" t="str">
            <v>Kalappa</v>
          </cell>
          <cell r="AJ240" t="str">
            <v>Surgery</v>
          </cell>
          <cell r="AK240" t="str">
            <v>Primary</v>
          </cell>
          <cell r="AO240" t="str">
            <v>II</v>
          </cell>
          <cell r="AP240" t="str">
            <v>pT4aN1M0</v>
          </cell>
          <cell r="AS240" t="str">
            <v>Squamous Cell Carcinoma</v>
          </cell>
          <cell r="AV240">
            <v>44757</v>
          </cell>
          <cell r="AW240">
            <v>0.70138888888888884</v>
          </cell>
          <cell r="AX240">
            <v>0.74305555555555558</v>
          </cell>
          <cell r="AY240">
            <v>4.1666666666666664E-2</v>
          </cell>
          <cell r="AZ240">
            <v>0.3298611111111111</v>
          </cell>
          <cell r="BA240">
            <v>0.39097222222222222</v>
          </cell>
          <cell r="BB240" t="str">
            <v>0,43*1.6*2.2</v>
          </cell>
          <cell r="BC240" t="str">
            <v>0,43*1.6*2.2</v>
          </cell>
          <cell r="BD240" t="str">
            <v>Manual</v>
          </cell>
          <cell r="BE240">
            <v>15</v>
          </cell>
          <cell r="BF240" t="str">
            <v>Vasanth</v>
          </cell>
          <cell r="BG240" t="str">
            <v>Y</v>
          </cell>
        </row>
        <row r="241">
          <cell r="A241" t="str">
            <v>FBR1T220175</v>
          </cell>
          <cell r="B241">
            <v>220175</v>
          </cell>
          <cell r="C241" t="str">
            <v>R&amp;D</v>
          </cell>
          <cell r="D241">
            <v>44757</v>
          </cell>
          <cell r="E241">
            <v>0.52777777777777779</v>
          </cell>
          <cell r="F241">
            <v>44743</v>
          </cell>
          <cell r="G241">
            <v>44757</v>
          </cell>
          <cell r="H241">
            <v>0.60069444444444442</v>
          </cell>
          <cell r="I241">
            <v>7.2916666666666671E-2</v>
          </cell>
          <cell r="J241">
            <v>4</v>
          </cell>
          <cell r="K241" t="str">
            <v>FCB-PROTOCOL-01</v>
          </cell>
          <cell r="L241" t="str">
            <v>VYD/118</v>
          </cell>
          <cell r="M241" t="str">
            <v>Y</v>
          </cell>
          <cell r="N241" t="str">
            <v>cc Study(1T)</v>
          </cell>
          <cell r="O241" t="str">
            <v>Internal R&amp;D</v>
          </cell>
          <cell r="P241" t="str">
            <v>Q1 Passed</v>
          </cell>
          <cell r="Q241" t="str">
            <v>Q1 Passed</v>
          </cell>
          <cell r="R241" t="str">
            <v>Q1.5 Passed</v>
          </cell>
          <cell r="S241" t="str">
            <v>Q1.5 Passed</v>
          </cell>
          <cell r="V241" t="str">
            <v>Tumor content 20-80%. Good immune content</v>
          </cell>
          <cell r="W241" t="str">
            <v>Private Hospital</v>
          </cell>
          <cell r="X241" t="str">
            <v>Vydehi Hospital, Bangalore</v>
          </cell>
          <cell r="Y241" t="str">
            <v>Vydehi Hospital, Bangalore</v>
          </cell>
          <cell r="Z241" t="str">
            <v>Dr Amritha Prabha, Bangalore</v>
          </cell>
          <cell r="AA241" t="str">
            <v>HNSCC</v>
          </cell>
          <cell r="AC241" t="str">
            <v>Tongue</v>
          </cell>
          <cell r="AD241" t="str">
            <v>Left lateral Border of Tongue</v>
          </cell>
          <cell r="AE241" t="str">
            <v>Female</v>
          </cell>
          <cell r="AF241">
            <v>45</v>
          </cell>
          <cell r="AG241" t="str">
            <v>N</v>
          </cell>
          <cell r="AH241">
            <v>4.5</v>
          </cell>
          <cell r="AI241" t="str">
            <v>Kalappa</v>
          </cell>
          <cell r="AJ241" t="str">
            <v>Surgery</v>
          </cell>
          <cell r="AK241" t="str">
            <v>Primary</v>
          </cell>
          <cell r="AN241" t="str">
            <v>III</v>
          </cell>
          <cell r="AO241">
            <v>2</v>
          </cell>
          <cell r="AP241" t="str">
            <v>pT3N0</v>
          </cell>
          <cell r="AS241" t="str">
            <v>Squamous cell carcinoma</v>
          </cell>
          <cell r="AV241">
            <v>44757</v>
          </cell>
          <cell r="AW241">
            <v>0.70138888888888884</v>
          </cell>
          <cell r="AX241">
            <v>0.80972222222222223</v>
          </cell>
          <cell r="AY241">
            <v>0.10833333333333334</v>
          </cell>
          <cell r="AZ241">
            <v>0.20902777777777778</v>
          </cell>
          <cell r="BA241">
            <v>0.28194444444444444</v>
          </cell>
          <cell r="BB241" t="str">
            <v>0.8*1.3*1.4</v>
          </cell>
          <cell r="BC241" t="str">
            <v>0.8*1.3*1.4</v>
          </cell>
          <cell r="BD241" t="str">
            <v>Vibratome</v>
          </cell>
          <cell r="BE241">
            <v>15</v>
          </cell>
          <cell r="BF241" t="str">
            <v>Gowri</v>
          </cell>
          <cell r="BG241" t="str">
            <v>Y</v>
          </cell>
        </row>
        <row r="242">
          <cell r="A242" t="str">
            <v>FBR1C220176</v>
          </cell>
          <cell r="B242">
            <v>220176</v>
          </cell>
          <cell r="C242" t="str">
            <v>R&amp;D</v>
          </cell>
          <cell r="D242">
            <v>44757</v>
          </cell>
          <cell r="E242">
            <v>0.58333333333333337</v>
          </cell>
          <cell r="F242">
            <v>44743</v>
          </cell>
          <cell r="G242">
            <v>44757</v>
          </cell>
          <cell r="H242">
            <v>0.64097222222222228</v>
          </cell>
          <cell r="I242">
            <v>5.7638888888888892E-2</v>
          </cell>
          <cell r="J242">
            <v>6</v>
          </cell>
          <cell r="K242" t="str">
            <v>FCB-PROTOCOL-02</v>
          </cell>
          <cell r="L242" t="str">
            <v>HN011</v>
          </cell>
          <cell r="M242" t="str">
            <v>Y</v>
          </cell>
          <cell r="N242" t="str">
            <v>Culture Improvement</v>
          </cell>
          <cell r="O242" t="str">
            <v>Internal R&amp;D</v>
          </cell>
          <cell r="P242" t="str">
            <v>Q1 Passed</v>
          </cell>
          <cell r="Q242" t="str">
            <v>Q1 Passed</v>
          </cell>
          <cell r="R242" t="str">
            <v>Q1.5 Passed</v>
          </cell>
          <cell r="S242" t="str">
            <v>Q1.5 Passed</v>
          </cell>
          <cell r="V242" t="str">
            <v>Tumor content 3-90%</v>
          </cell>
          <cell r="W242" t="str">
            <v>Government Hospital</v>
          </cell>
          <cell r="X242" t="str">
            <v>Mazumdar Shaw Medical Centre, Bangalore</v>
          </cell>
          <cell r="Y242" t="str">
            <v>Mazumdar Shaw Medical Centre, Bangalore</v>
          </cell>
          <cell r="Z242" t="str">
            <v>Dr Vijay Pillai, Bangalore</v>
          </cell>
          <cell r="AA242" t="str">
            <v>HNSCC</v>
          </cell>
          <cell r="AC242" t="str">
            <v>Buccal Mucosa</v>
          </cell>
          <cell r="AD242" t="str">
            <v>Right Buccal Mucosa</v>
          </cell>
          <cell r="AE242" t="str">
            <v>Female</v>
          </cell>
          <cell r="AF242">
            <v>39</v>
          </cell>
          <cell r="AG242" t="str">
            <v>N</v>
          </cell>
          <cell r="AH242">
            <v>5.0999999999999996</v>
          </cell>
          <cell r="AI242" t="str">
            <v>Shashi</v>
          </cell>
          <cell r="AJ242" t="str">
            <v>Surgery</v>
          </cell>
          <cell r="AK242" t="str">
            <v>Primary</v>
          </cell>
          <cell r="AN242">
            <v>4</v>
          </cell>
          <cell r="AO242">
            <v>4</v>
          </cell>
          <cell r="AP242" t="str">
            <v>pT4aN0</v>
          </cell>
          <cell r="AS242" t="str">
            <v>Well differentiated squamous cell carcinoma, Well differentiated squamous cell carcinoma
Right cervical lymph node:Reactive lymph nodes
Right cervical lymph node:Reactive lymph nodes
wide excision: - Moderetely differentiated squamous cell carcinoma 
Right cervical lymph nodes-Selective Neck dissection:Metastasis of 
squamous cell carcinoma.</v>
          </cell>
          <cell r="AV242">
            <v>44757</v>
          </cell>
          <cell r="AW242">
            <v>0.70625000000000004</v>
          </cell>
          <cell r="AX242">
            <v>0.81944444444444442</v>
          </cell>
          <cell r="AY242">
            <v>0.11319444444444444</v>
          </cell>
          <cell r="AZ242">
            <v>0.17847222222222223</v>
          </cell>
          <cell r="BA242">
            <v>0.2361111111111111</v>
          </cell>
          <cell r="BB242" t="str">
            <v>1.0*1.5*1.6</v>
          </cell>
          <cell r="BC242" t="str">
            <v>1.0*1.5*1.6</v>
          </cell>
          <cell r="BD242" t="str">
            <v>Vibratome</v>
          </cell>
          <cell r="BE242">
            <v>15</v>
          </cell>
          <cell r="BF242" t="str">
            <v>Gowri</v>
          </cell>
          <cell r="BG242" t="str">
            <v>Y</v>
          </cell>
        </row>
        <row r="243">
          <cell r="A243" t="str">
            <v>FBR1T220176</v>
          </cell>
          <cell r="B243">
            <v>220176</v>
          </cell>
          <cell r="C243" t="str">
            <v>R&amp;D</v>
          </cell>
          <cell r="D243">
            <v>44757</v>
          </cell>
          <cell r="E243">
            <v>0.58333333333333337</v>
          </cell>
          <cell r="F243">
            <v>44743</v>
          </cell>
          <cell r="G243">
            <v>44757</v>
          </cell>
          <cell r="H243">
            <v>0.64097222222222228</v>
          </cell>
          <cell r="I243">
            <v>5.7638888888888892E-2</v>
          </cell>
          <cell r="J243">
            <v>6</v>
          </cell>
          <cell r="K243" t="str">
            <v>FCB-PROTOCOL-02</v>
          </cell>
          <cell r="L243" t="str">
            <v>HN011</v>
          </cell>
          <cell r="M243" t="str">
            <v>Y</v>
          </cell>
          <cell r="N243" t="str">
            <v>cc Study(1T)</v>
          </cell>
          <cell r="O243" t="str">
            <v>Internal R&amp;D</v>
          </cell>
          <cell r="P243" t="str">
            <v>Q1 Passed</v>
          </cell>
          <cell r="Q243" t="str">
            <v>Q1 Passed</v>
          </cell>
          <cell r="R243" t="str">
            <v>Q1.5 Passed</v>
          </cell>
          <cell r="S243" t="str">
            <v>Q1.5 Passed</v>
          </cell>
          <cell r="V243" t="str">
            <v xml:space="preserve">Tumor content high </v>
          </cell>
          <cell r="W243" t="str">
            <v>Government Hospital</v>
          </cell>
          <cell r="X243" t="str">
            <v>Mazumdar Shaw Medical Centre, Bangalore</v>
          </cell>
          <cell r="Y243" t="str">
            <v>Mazumdar Shaw Medical Centre, Bangalore</v>
          </cell>
          <cell r="Z243" t="str">
            <v>Dr Vijay Pillai, Bangalore</v>
          </cell>
          <cell r="AA243" t="str">
            <v>HNSCC</v>
          </cell>
          <cell r="AC243" t="str">
            <v>Buccal Mucosa</v>
          </cell>
          <cell r="AD243" t="str">
            <v>Right Buccal Mucosa</v>
          </cell>
          <cell r="AE243" t="str">
            <v>Female</v>
          </cell>
          <cell r="AF243">
            <v>39</v>
          </cell>
          <cell r="AG243" t="str">
            <v>N</v>
          </cell>
          <cell r="AH243">
            <v>5.0999999999999996</v>
          </cell>
          <cell r="AI243" t="str">
            <v>Shashi</v>
          </cell>
          <cell r="AJ243" t="str">
            <v>Surgery</v>
          </cell>
          <cell r="AK243" t="str">
            <v>Primary</v>
          </cell>
          <cell r="AN243">
            <v>4</v>
          </cell>
          <cell r="AO243">
            <v>4</v>
          </cell>
          <cell r="AP243" t="str">
            <v>pT4aN0</v>
          </cell>
          <cell r="AS243" t="str">
            <v>Well differentiated squamous cell carcinoma, Well differentiated squamous cell carcinoma
Right cervical lymph node:Reactive lymph nodes
Right cervical lymph node:Reactive lymph nodes
wide excision: - Moderetely differentiated squamous cell carcinoma 
Right cervical lymph nodes-Selective Neck dissection:Metastasis of 
squamous cell carcinoma.</v>
          </cell>
          <cell r="AV243">
            <v>44757</v>
          </cell>
          <cell r="AW243">
            <v>0.70625000000000004</v>
          </cell>
          <cell r="AX243">
            <v>0.81944444444444442</v>
          </cell>
          <cell r="AY243">
            <v>0.11319444444444444</v>
          </cell>
          <cell r="AZ243">
            <v>0.17847222222222223</v>
          </cell>
          <cell r="BA243">
            <v>0.2361111111111111</v>
          </cell>
          <cell r="BB243" t="str">
            <v>1.0*1.5*1.6</v>
          </cell>
          <cell r="BC243" t="str">
            <v>1.0*1.5*1.6</v>
          </cell>
          <cell r="BD243" t="str">
            <v>Vibratome</v>
          </cell>
          <cell r="BE243">
            <v>15</v>
          </cell>
          <cell r="BF243" t="str">
            <v>Gowri</v>
          </cell>
          <cell r="BG243" t="str">
            <v>Y</v>
          </cell>
        </row>
        <row r="244">
          <cell r="A244" t="str">
            <v>FBR1R220176</v>
          </cell>
          <cell r="B244">
            <v>220176</v>
          </cell>
          <cell r="C244" t="str">
            <v>R&amp;D</v>
          </cell>
          <cell r="D244">
            <v>44757</v>
          </cell>
          <cell r="E244">
            <v>0.58333333333333337</v>
          </cell>
          <cell r="F244">
            <v>44743</v>
          </cell>
          <cell r="G244">
            <v>44757</v>
          </cell>
          <cell r="H244">
            <v>0.64097222222222228</v>
          </cell>
          <cell r="I244">
            <v>5.7638888888888892E-2</v>
          </cell>
          <cell r="J244">
            <v>6</v>
          </cell>
          <cell r="K244" t="str">
            <v>FCB-PROTOCOL-02</v>
          </cell>
          <cell r="L244" t="str">
            <v>HN011</v>
          </cell>
          <cell r="M244" t="str">
            <v>Y</v>
          </cell>
          <cell r="N244" t="str">
            <v>BSS(1R)</v>
          </cell>
          <cell r="O244" t="str">
            <v>Internal R&amp;D</v>
          </cell>
          <cell r="P244" t="str">
            <v>Q1 Passed</v>
          </cell>
          <cell r="Q244" t="str">
            <v>Q1 Passed</v>
          </cell>
          <cell r="R244" t="str">
            <v>Q1.5 Passed</v>
          </cell>
          <cell r="S244" t="str">
            <v>Q1.5 Passed</v>
          </cell>
          <cell r="V244" t="str">
            <v xml:space="preserve">Tumor content high </v>
          </cell>
          <cell r="W244" t="str">
            <v>Government Hospital</v>
          </cell>
          <cell r="X244" t="str">
            <v>Mazumdar Shaw Medical Centre, Bangalore</v>
          </cell>
          <cell r="Y244" t="str">
            <v>Mazumdar Shaw Medical Centre, Bangalore</v>
          </cell>
          <cell r="Z244" t="str">
            <v>Dr Vijay Pillai, Bangalore</v>
          </cell>
          <cell r="AA244" t="str">
            <v>HNSCC</v>
          </cell>
          <cell r="AC244" t="str">
            <v>Buccal Mucosa</v>
          </cell>
          <cell r="AD244" t="str">
            <v>Right Buccal Mucosa</v>
          </cell>
          <cell r="AE244" t="str">
            <v>Female</v>
          </cell>
          <cell r="AF244">
            <v>39</v>
          </cell>
          <cell r="AG244" t="str">
            <v>N</v>
          </cell>
          <cell r="AH244">
            <v>5.0999999999999996</v>
          </cell>
          <cell r="AI244" t="str">
            <v>Shashi</v>
          </cell>
          <cell r="AJ244" t="str">
            <v>Surgery</v>
          </cell>
          <cell r="AK244" t="str">
            <v>Primary</v>
          </cell>
          <cell r="AN244">
            <v>4</v>
          </cell>
          <cell r="AO244">
            <v>4</v>
          </cell>
          <cell r="AP244" t="str">
            <v>pT4aN0</v>
          </cell>
          <cell r="AS244" t="str">
            <v>Well differentiated squamous cell carcinoma, Well differentiated squamous cell carcinoma
Right cervical lymph node:Reactive lymph nodes
Right cervical lymph node:Reactive lymph nodes
wide excision: - Moderetely differentiated squamous cell carcinoma 
Right cervical lymph nodes-Selective Neck dissection:Metastasis of 
squamous cell carcinoma.</v>
          </cell>
          <cell r="AV244">
            <v>44757</v>
          </cell>
          <cell r="AW244">
            <v>0.70625000000000004</v>
          </cell>
          <cell r="AX244">
            <v>0.81944444444444442</v>
          </cell>
          <cell r="AY244">
            <v>0.11319444444444444</v>
          </cell>
          <cell r="AZ244">
            <v>0.17847222222222223</v>
          </cell>
          <cell r="BA244">
            <v>0.2361111111111111</v>
          </cell>
          <cell r="BB244" t="str">
            <v>1.0*1.5*1.6</v>
          </cell>
          <cell r="BC244" t="str">
            <v>1.0*1.5*1.6</v>
          </cell>
          <cell r="BD244" t="str">
            <v>Vibratome</v>
          </cell>
          <cell r="BE244">
            <v>15</v>
          </cell>
          <cell r="BF244" t="str">
            <v>Gowri</v>
          </cell>
          <cell r="BG244" t="str">
            <v>Y</v>
          </cell>
        </row>
        <row r="245">
          <cell r="A245" t="str">
            <v>FBR1T220177</v>
          </cell>
          <cell r="B245">
            <v>220177</v>
          </cell>
          <cell r="C245" t="str">
            <v>R&amp;D</v>
          </cell>
          <cell r="D245">
            <v>44757</v>
          </cell>
          <cell r="E245">
            <v>0.5</v>
          </cell>
          <cell r="F245">
            <v>44743</v>
          </cell>
          <cell r="G245">
            <v>44757</v>
          </cell>
          <cell r="H245">
            <v>0.93541666666666667</v>
          </cell>
          <cell r="I245">
            <v>0.43541666666666667</v>
          </cell>
          <cell r="J245">
            <v>10</v>
          </cell>
          <cell r="K245" t="str">
            <v>FCB-PROTOCOL-01</v>
          </cell>
          <cell r="L245" t="str">
            <v>CLN/DBR/103</v>
          </cell>
          <cell r="M245" t="str">
            <v>Y</v>
          </cell>
          <cell r="N245" t="str">
            <v>cc Study(1T)</v>
          </cell>
          <cell r="O245" t="str">
            <v>Internal R&amp;D</v>
          </cell>
          <cell r="P245" t="str">
            <v>Q1 Passed</v>
          </cell>
          <cell r="Q245" t="str">
            <v>Q1 Passed</v>
          </cell>
          <cell r="R245" t="str">
            <v>Q1.5 Passed</v>
          </cell>
          <cell r="S245" t="str">
            <v>Q1.5 Passed</v>
          </cell>
          <cell r="V245" t="str">
            <v>Tumor content 40-90% in 6/7 explants</v>
          </cell>
          <cell r="W245" t="str">
            <v>Clinic'les</v>
          </cell>
          <cell r="X245" t="str">
            <v>Clinic'les- DBR &amp; SK Hospital, Tirupati</v>
          </cell>
          <cell r="Y245" t="str">
            <v>DBR &amp; SK Hospital, Tirupati</v>
          </cell>
          <cell r="Z245" t="str">
            <v>Dr C Jayaprakash, Tirupati</v>
          </cell>
          <cell r="AA245" t="str">
            <v>HNSCC</v>
          </cell>
          <cell r="AC245" t="str">
            <v>Buccal Mucosa</v>
          </cell>
          <cell r="AD245" t="str">
            <v>Buccal Mucosa</v>
          </cell>
          <cell r="AE245" t="str">
            <v>Female</v>
          </cell>
          <cell r="AF245">
            <v>60</v>
          </cell>
          <cell r="AG245" t="str">
            <v>N</v>
          </cell>
          <cell r="AH245">
            <v>5.4</v>
          </cell>
          <cell r="AI245" t="str">
            <v>Maruthi</v>
          </cell>
          <cell r="AJ245" t="str">
            <v>Surgery</v>
          </cell>
          <cell r="AK245" t="str">
            <v>Primary</v>
          </cell>
          <cell r="AN245" t="str">
            <v>4a</v>
          </cell>
          <cell r="AP245" t="str">
            <v>T2aN2Mx</v>
          </cell>
          <cell r="AS245" t="str">
            <v>Squamous cell carcinoma</v>
          </cell>
          <cell r="AV245">
            <v>44757</v>
          </cell>
          <cell r="AW245">
            <v>0.96180555555555558</v>
          </cell>
          <cell r="AX245">
            <v>0</v>
          </cell>
          <cell r="AY245">
            <v>3.8194444444444448E-2</v>
          </cell>
          <cell r="AZ245">
            <v>6.458333333333334E-2</v>
          </cell>
          <cell r="BA245">
            <v>0.5</v>
          </cell>
          <cell r="BB245" t="str">
            <v>0.43*1.8*2.6</v>
          </cell>
          <cell r="BC245" t="str">
            <v>0.43*1.8*2.6</v>
          </cell>
          <cell r="BD245" t="str">
            <v>Manual</v>
          </cell>
          <cell r="BE245">
            <v>15</v>
          </cell>
          <cell r="BF245" t="str">
            <v>Vasanth</v>
          </cell>
          <cell r="BG245" t="str">
            <v>Y</v>
          </cell>
        </row>
        <row r="246">
          <cell r="A246" t="str">
            <v>FBR1C220177</v>
          </cell>
          <cell r="B246">
            <v>220177</v>
          </cell>
          <cell r="C246" t="str">
            <v>R&amp;D</v>
          </cell>
          <cell r="D246">
            <v>44757</v>
          </cell>
          <cell r="E246">
            <v>0.5</v>
          </cell>
          <cell r="F246">
            <v>44743</v>
          </cell>
          <cell r="G246">
            <v>44757</v>
          </cell>
          <cell r="H246">
            <v>0.93541666666666667</v>
          </cell>
          <cell r="I246">
            <v>0.43541666666666667</v>
          </cell>
          <cell r="J246">
            <v>10</v>
          </cell>
          <cell r="K246" t="str">
            <v>FCB-PROTOCOL-01</v>
          </cell>
          <cell r="L246" t="str">
            <v>CLN/DBR/103</v>
          </cell>
          <cell r="M246" t="str">
            <v>Y</v>
          </cell>
          <cell r="N246" t="str">
            <v>Culture Improvement</v>
          </cell>
          <cell r="O246" t="str">
            <v>Internal R&amp;D</v>
          </cell>
          <cell r="P246" t="str">
            <v>Q1 Passed</v>
          </cell>
          <cell r="Q246" t="str">
            <v>Q1 Passed</v>
          </cell>
          <cell r="R246" t="str">
            <v>Q1.5 Passed</v>
          </cell>
          <cell r="S246" t="str">
            <v>Q1.5 Passed</v>
          </cell>
          <cell r="W246" t="str">
            <v>Clinic'les</v>
          </cell>
          <cell r="X246" t="str">
            <v>Clinic'les- DBR &amp; SK Hospital, Tirupati</v>
          </cell>
          <cell r="Y246" t="str">
            <v>DBR &amp; SK Hospital, Tirupati</v>
          </cell>
          <cell r="Z246" t="str">
            <v>Dr C Jayaprakash, Tirupati</v>
          </cell>
          <cell r="AA246" t="str">
            <v>HNSCC</v>
          </cell>
          <cell r="AC246" t="str">
            <v>Buccal Mucosa</v>
          </cell>
          <cell r="AD246" t="str">
            <v>Buccal Mucosa</v>
          </cell>
          <cell r="AE246" t="str">
            <v>Female</v>
          </cell>
          <cell r="AF246">
            <v>60</v>
          </cell>
          <cell r="AG246" t="str">
            <v>N</v>
          </cell>
          <cell r="AH246">
            <v>5.4</v>
          </cell>
          <cell r="AI246" t="str">
            <v>Maruthi</v>
          </cell>
          <cell r="AJ246" t="str">
            <v>Surgery</v>
          </cell>
          <cell r="AK246" t="str">
            <v>Primary</v>
          </cell>
          <cell r="AN246" t="str">
            <v>4a</v>
          </cell>
          <cell r="AP246" t="str">
            <v>T2aN2Mx</v>
          </cell>
          <cell r="AS246" t="str">
            <v>Squamous cell carcinoma</v>
          </cell>
          <cell r="AV246">
            <v>44757</v>
          </cell>
          <cell r="AW246">
            <v>0.96180555555555558</v>
          </cell>
          <cell r="AX246">
            <v>0</v>
          </cell>
          <cell r="AY246">
            <v>3.8194444444444448E-2</v>
          </cell>
          <cell r="AZ246">
            <v>6.458333333333334E-2</v>
          </cell>
          <cell r="BA246">
            <v>0.5</v>
          </cell>
          <cell r="BB246" t="str">
            <v>0.43*1.8*2.6</v>
          </cell>
          <cell r="BC246" t="str">
            <v>0.43*1.8*2.6</v>
          </cell>
          <cell r="BD246" t="str">
            <v>Manual</v>
          </cell>
          <cell r="BE246">
            <v>15</v>
          </cell>
          <cell r="BF246" t="str">
            <v>Vasanth</v>
          </cell>
          <cell r="BG246" t="str">
            <v>Y</v>
          </cell>
        </row>
        <row r="247">
          <cell r="A247" t="str">
            <v>FBR1Q220178</v>
          </cell>
          <cell r="B247">
            <v>220178</v>
          </cell>
          <cell r="C247" t="str">
            <v>R&amp;D</v>
          </cell>
          <cell r="D247">
            <v>44757</v>
          </cell>
          <cell r="E247">
            <v>0.63888888888888884</v>
          </cell>
          <cell r="F247">
            <v>44743</v>
          </cell>
          <cell r="G247">
            <v>44757</v>
          </cell>
          <cell r="H247">
            <v>0.93541666666666667</v>
          </cell>
          <cell r="I247">
            <v>0.29652777777777778</v>
          </cell>
          <cell r="J247">
            <v>10</v>
          </cell>
          <cell r="K247" t="str">
            <v>FCB-PROTOCOL-01</v>
          </cell>
          <cell r="L247" t="str">
            <v>CLN/DBR/104</v>
          </cell>
          <cell r="M247" t="str">
            <v>Y</v>
          </cell>
          <cell r="N247" t="str">
            <v>COSV4.1-CaBR</v>
          </cell>
          <cell r="O247" t="str">
            <v>Internal R&amp;D</v>
          </cell>
          <cell r="P247" t="str">
            <v>Q1 Passed</v>
          </cell>
          <cell r="Q247" t="str">
            <v>Q1 Passed</v>
          </cell>
          <cell r="R247" t="str">
            <v>Q1.5 Passed</v>
          </cell>
          <cell r="S247" t="str">
            <v>Q1.5 Passed</v>
          </cell>
          <cell r="V247" t="str">
            <v>Tumor content 2-90%</v>
          </cell>
          <cell r="W247" t="str">
            <v>Clinic'les</v>
          </cell>
          <cell r="X247" t="str">
            <v>Clinic'les- DBR &amp; SK Hospital, Tirupati</v>
          </cell>
          <cell r="Y247" t="str">
            <v>DBR &amp; SK Hospital, Tirupati</v>
          </cell>
          <cell r="Z247" t="str">
            <v>Dr C Jayaprakash, Tirupati</v>
          </cell>
          <cell r="AA247" t="str">
            <v>Ca Breast</v>
          </cell>
          <cell r="AC247" t="str">
            <v>Breast</v>
          </cell>
          <cell r="AD247" t="str">
            <v>Left Breast</v>
          </cell>
          <cell r="AE247" t="str">
            <v>Female</v>
          </cell>
          <cell r="AF247">
            <v>44</v>
          </cell>
          <cell r="AG247" t="str">
            <v>N</v>
          </cell>
          <cell r="AH247">
            <v>5.5</v>
          </cell>
          <cell r="AI247" t="str">
            <v>Maruthi</v>
          </cell>
          <cell r="AJ247" t="str">
            <v>Surgery</v>
          </cell>
          <cell r="AK247" t="str">
            <v>Primary</v>
          </cell>
          <cell r="AN247" t="str">
            <v>3a</v>
          </cell>
          <cell r="AP247" t="str">
            <v>T2N2mx</v>
          </cell>
          <cell r="AV247">
            <v>44757</v>
          </cell>
          <cell r="AW247">
            <v>0.96180555555555558</v>
          </cell>
          <cell r="AX247">
            <v>1</v>
          </cell>
          <cell r="AY247">
            <v>3.8194444444444448E-2</v>
          </cell>
          <cell r="AZ247">
            <v>6.458333333333334E-2</v>
          </cell>
          <cell r="BA247">
            <v>0.3611111111111111</v>
          </cell>
          <cell r="BB247" t="str">
            <v>0.4*1.6*3.4</v>
          </cell>
          <cell r="BC247" t="str">
            <v>0.4*1.6*3.4</v>
          </cell>
          <cell r="BD247" t="str">
            <v>Manual</v>
          </cell>
          <cell r="BE247">
            <v>15</v>
          </cell>
          <cell r="BF247" t="str">
            <v>Gowri</v>
          </cell>
          <cell r="BG247" t="str">
            <v>Y</v>
          </cell>
        </row>
        <row r="248">
          <cell r="A248" t="str">
            <v>FBR1T220179</v>
          </cell>
          <cell r="B248">
            <v>220179</v>
          </cell>
          <cell r="C248" t="str">
            <v>R&amp;D</v>
          </cell>
          <cell r="D248">
            <v>44758</v>
          </cell>
          <cell r="E248">
            <v>0.51388888888888884</v>
          </cell>
          <cell r="F248">
            <v>44743</v>
          </cell>
          <cell r="G248">
            <v>44758</v>
          </cell>
          <cell r="H248">
            <v>0.94236111111111109</v>
          </cell>
          <cell r="I248">
            <v>0.4284722222222222</v>
          </cell>
          <cell r="J248">
            <v>10</v>
          </cell>
          <cell r="K248" t="str">
            <v>FCB-PROTOCOL-01</v>
          </cell>
          <cell r="L248" t="str">
            <v>CLN/DBR/105</v>
          </cell>
          <cell r="M248" t="str">
            <v>Y</v>
          </cell>
          <cell r="N248" t="str">
            <v>cc Study(1T)</v>
          </cell>
          <cell r="O248" t="str">
            <v>Internal R&amp;D</v>
          </cell>
          <cell r="P248" t="str">
            <v>Q1 Passed</v>
          </cell>
          <cell r="Q248" t="str">
            <v>Q1 Passed</v>
          </cell>
          <cell r="R248" t="str">
            <v>Q1.5 Passed</v>
          </cell>
          <cell r="S248" t="str">
            <v>Q1.5 Passed</v>
          </cell>
          <cell r="V248" t="str">
            <v>Tumor content high , parts of tumor hughly pyknotic</v>
          </cell>
          <cell r="W248" t="str">
            <v>Clinic'les</v>
          </cell>
          <cell r="X248" t="str">
            <v>Clinic'les- DBR &amp; SK Hospital, Tirupati</v>
          </cell>
          <cell r="Y248" t="str">
            <v>DBR &amp; SK Hospital, Tirupati</v>
          </cell>
          <cell r="Z248" t="str">
            <v>Dr C Jayaprakash, Tirupati</v>
          </cell>
          <cell r="AA248" t="str">
            <v>HNSCC</v>
          </cell>
          <cell r="AC248" t="str">
            <v>Buccal Mucosa</v>
          </cell>
          <cell r="AD248" t="str">
            <v>Buccal Mucosa</v>
          </cell>
          <cell r="AE248" t="str">
            <v>Female</v>
          </cell>
          <cell r="AF248">
            <v>41</v>
          </cell>
          <cell r="AG248" t="str">
            <v>N</v>
          </cell>
          <cell r="AH248">
            <v>5.3</v>
          </cell>
          <cell r="AI248" t="str">
            <v>Maruthi</v>
          </cell>
          <cell r="AJ248" t="str">
            <v>Surgery</v>
          </cell>
          <cell r="AK248" t="str">
            <v>Primary</v>
          </cell>
          <cell r="AN248" t="str">
            <v>4a</v>
          </cell>
          <cell r="AP248" t="str">
            <v>T2N2Mx</v>
          </cell>
          <cell r="AS248" t="str">
            <v>Squamous cell carcinoma</v>
          </cell>
          <cell r="AV248">
            <v>44758</v>
          </cell>
          <cell r="AW248">
            <v>0.96875</v>
          </cell>
          <cell r="AX248">
            <v>1.0243055555555556</v>
          </cell>
          <cell r="AY248">
            <v>5.5555555555555552E-2</v>
          </cell>
          <cell r="AZ248">
            <v>8.1944444444444445E-2</v>
          </cell>
          <cell r="BA248">
            <v>0.51041666666666663</v>
          </cell>
          <cell r="BB248" t="str">
            <v>0.37*1.0*0.6
0.4*1.2*1.4
0.43*0.8*1.0</v>
          </cell>
          <cell r="BC248" t="str">
            <v>0.37*1.0*0.6
0.4*1.2*1.4
0.43*0.8*1.0</v>
          </cell>
          <cell r="BD248" t="str">
            <v>manual</v>
          </cell>
          <cell r="BE248">
            <v>15</v>
          </cell>
          <cell r="BF248" t="str">
            <v>Gowri</v>
          </cell>
          <cell r="BG248" t="str">
            <v>Y</v>
          </cell>
        </row>
        <row r="249">
          <cell r="A249" t="str">
            <v>FBR1C220179</v>
          </cell>
          <cell r="B249">
            <v>220179</v>
          </cell>
          <cell r="C249" t="str">
            <v>R&amp;D</v>
          </cell>
          <cell r="D249">
            <v>44758</v>
          </cell>
          <cell r="E249">
            <v>0.51388888888888884</v>
          </cell>
          <cell r="F249">
            <v>44743</v>
          </cell>
          <cell r="G249">
            <v>44758</v>
          </cell>
          <cell r="H249">
            <v>0.94236111111111109</v>
          </cell>
          <cell r="I249">
            <v>0.4284722222222222</v>
          </cell>
          <cell r="J249">
            <v>10</v>
          </cell>
          <cell r="K249" t="str">
            <v>FCB-PROTOCOL-01</v>
          </cell>
          <cell r="L249" t="str">
            <v>CLN/DBR/105</v>
          </cell>
          <cell r="M249" t="str">
            <v>Y</v>
          </cell>
          <cell r="N249" t="str">
            <v>Culture Improvement</v>
          </cell>
          <cell r="O249" t="str">
            <v>Internal R&amp;D</v>
          </cell>
          <cell r="P249" t="str">
            <v>Q1 Passed</v>
          </cell>
          <cell r="Q249" t="str">
            <v>Q1 Passed</v>
          </cell>
          <cell r="R249" t="str">
            <v>Q1.5 Passed</v>
          </cell>
          <cell r="S249" t="str">
            <v>Q1.5 Passed</v>
          </cell>
          <cell r="W249" t="str">
            <v>Clinic'les</v>
          </cell>
          <cell r="X249" t="str">
            <v>Clinic'les- DBR &amp; SK Hospital, Tirupati</v>
          </cell>
          <cell r="Y249" t="str">
            <v>DBR &amp; SK Hospital, Tirupati</v>
          </cell>
          <cell r="Z249" t="str">
            <v>Dr C Jayaprakash, Tirupati</v>
          </cell>
          <cell r="AA249" t="str">
            <v>HNSCC</v>
          </cell>
          <cell r="AC249" t="str">
            <v>Buccal Mucosa</v>
          </cell>
          <cell r="AD249" t="str">
            <v>Buccal Mucosa</v>
          </cell>
          <cell r="AE249" t="str">
            <v>Female</v>
          </cell>
          <cell r="AF249">
            <v>41</v>
          </cell>
          <cell r="AG249" t="str">
            <v>N</v>
          </cell>
          <cell r="AH249">
            <v>5.3</v>
          </cell>
          <cell r="AI249" t="str">
            <v>Maruthi</v>
          </cell>
          <cell r="AJ249" t="str">
            <v>Surgery</v>
          </cell>
          <cell r="AK249" t="str">
            <v>Primary</v>
          </cell>
          <cell r="AN249" t="str">
            <v>4a</v>
          </cell>
          <cell r="AP249" t="str">
            <v>T2N2Mx</v>
          </cell>
          <cell r="AS249" t="str">
            <v>Squamous cell carcinoma</v>
          </cell>
          <cell r="AV249">
            <v>44758</v>
          </cell>
          <cell r="AW249">
            <v>0.96875</v>
          </cell>
          <cell r="AX249">
            <v>1.0243055555555556</v>
          </cell>
          <cell r="AY249">
            <v>5.5555555555555552E-2</v>
          </cell>
          <cell r="AZ249">
            <v>8.1944444444444445E-2</v>
          </cell>
          <cell r="BA249">
            <v>0.51041666666666663</v>
          </cell>
          <cell r="BB249" t="str">
            <v>0.37*1.0*0.6
0.4*1.2*1.4
0.43*0.8*1.0</v>
          </cell>
          <cell r="BC249" t="str">
            <v>0.37*1.0*0.6
0.4*1.2*1.4
0.43*0.8*1.0</v>
          </cell>
          <cell r="BD249" t="str">
            <v>manual</v>
          </cell>
          <cell r="BE249">
            <v>15</v>
          </cell>
          <cell r="BF249" t="str">
            <v>Gowri</v>
          </cell>
          <cell r="BG249" t="str">
            <v>Y</v>
          </cell>
        </row>
        <row r="250">
          <cell r="A250" t="str">
            <v>FBR1T220180</v>
          </cell>
          <cell r="B250">
            <v>220180</v>
          </cell>
          <cell r="C250" t="str">
            <v>R&amp;D</v>
          </cell>
          <cell r="D250">
            <v>44758</v>
          </cell>
          <cell r="E250">
            <v>0.59722222222222221</v>
          </cell>
          <cell r="F250">
            <v>44743</v>
          </cell>
          <cell r="G250">
            <v>44758</v>
          </cell>
          <cell r="H250">
            <v>0.94236111111111109</v>
          </cell>
          <cell r="I250">
            <v>0.34513888888888888</v>
          </cell>
          <cell r="J250">
            <v>10</v>
          </cell>
          <cell r="K250" t="str">
            <v>FCB-PROTOCOL-01</v>
          </cell>
          <cell r="L250" t="str">
            <v>CLN/DBR/106</v>
          </cell>
          <cell r="M250" t="str">
            <v>Y</v>
          </cell>
          <cell r="N250" t="str">
            <v>cc Study(1T)</v>
          </cell>
          <cell r="O250" t="str">
            <v>Internal R&amp;D</v>
          </cell>
          <cell r="P250" t="str">
            <v>Q1 Passed</v>
          </cell>
          <cell r="Q250" t="str">
            <v>Q1 Passed</v>
          </cell>
          <cell r="R250" t="str">
            <v>Q1.5 Passed</v>
          </cell>
          <cell r="S250" t="str">
            <v>Q1.5 Passed</v>
          </cell>
          <cell r="V250" t="str">
            <v>Tumor content high in all fragments</v>
          </cell>
          <cell r="W250" t="str">
            <v>Clinic'les</v>
          </cell>
          <cell r="X250" t="str">
            <v>Clinic'les- DBR &amp; SK Hospital, Tirupati</v>
          </cell>
          <cell r="Y250" t="str">
            <v>DBR &amp; SK Hospital, Tirupati</v>
          </cell>
          <cell r="Z250" t="str">
            <v>Dr C Jayaprakash, Tirupati</v>
          </cell>
          <cell r="AA250" t="str">
            <v>HNSCC</v>
          </cell>
          <cell r="AC250" t="str">
            <v>Buccal Mucosa</v>
          </cell>
          <cell r="AD250" t="str">
            <v>Buccal Mucosa</v>
          </cell>
          <cell r="AE250" t="str">
            <v>Female</v>
          </cell>
          <cell r="AF250">
            <v>66</v>
          </cell>
          <cell r="AG250" t="str">
            <v>N</v>
          </cell>
          <cell r="AH250">
            <v>5.3</v>
          </cell>
          <cell r="AI250" t="str">
            <v>Maruthi</v>
          </cell>
          <cell r="AJ250" t="str">
            <v>Surgery</v>
          </cell>
          <cell r="AK250" t="str">
            <v>Primary</v>
          </cell>
          <cell r="AN250">
            <v>3</v>
          </cell>
          <cell r="AP250" t="str">
            <v>T3Nomx</v>
          </cell>
          <cell r="AS250" t="str">
            <v>Squamous cell carcinoma</v>
          </cell>
          <cell r="AV250">
            <v>44758</v>
          </cell>
          <cell r="AW250">
            <v>0.96875</v>
          </cell>
          <cell r="AX250">
            <v>1.0222222222222221</v>
          </cell>
          <cell r="AY250">
            <v>5.347222222222222E-2</v>
          </cell>
          <cell r="AZ250">
            <v>7.9861111111111105E-2</v>
          </cell>
          <cell r="BA250">
            <v>0.42499999999999999</v>
          </cell>
          <cell r="BB250" t="str">
            <v>0.9*0.9*1.4
0.32*1.4*1.8</v>
          </cell>
          <cell r="BC250" t="str">
            <v>0.9*0.9*1.4
0.32*1.4*1.8</v>
          </cell>
          <cell r="BD250" t="str">
            <v>manual</v>
          </cell>
          <cell r="BE250">
            <v>15</v>
          </cell>
          <cell r="BF250" t="str">
            <v>Gowri</v>
          </cell>
          <cell r="BG250" t="str">
            <v>Y</v>
          </cell>
        </row>
        <row r="251">
          <cell r="A251" t="str">
            <v>FBR1C220180</v>
          </cell>
          <cell r="B251">
            <v>220180</v>
          </cell>
          <cell r="C251" t="str">
            <v>R&amp;D</v>
          </cell>
          <cell r="D251">
            <v>44758</v>
          </cell>
          <cell r="E251">
            <v>0.59722222222222221</v>
          </cell>
          <cell r="F251">
            <v>44743</v>
          </cell>
          <cell r="G251">
            <v>44758</v>
          </cell>
          <cell r="H251">
            <v>0.94236111111111109</v>
          </cell>
          <cell r="I251">
            <v>0.34513888888888888</v>
          </cell>
          <cell r="J251">
            <v>10</v>
          </cell>
          <cell r="K251" t="str">
            <v>FCB-PROTOCOL-01</v>
          </cell>
          <cell r="L251" t="str">
            <v>CLN/DBR/106</v>
          </cell>
          <cell r="M251" t="str">
            <v>Y</v>
          </cell>
          <cell r="N251" t="str">
            <v>Culture Improvement</v>
          </cell>
          <cell r="O251" t="str">
            <v>Internal R&amp;D</v>
          </cell>
          <cell r="P251" t="str">
            <v>Q1 Passed</v>
          </cell>
          <cell r="Q251" t="str">
            <v>Q1 Passed</v>
          </cell>
          <cell r="R251" t="str">
            <v>Q1.5 Passed</v>
          </cell>
          <cell r="S251" t="str">
            <v>Q1.5 Passed</v>
          </cell>
          <cell r="W251" t="str">
            <v>Clinic'les</v>
          </cell>
          <cell r="X251" t="str">
            <v>Clinic'les- DBR &amp; SK Hospital, Tirupati</v>
          </cell>
          <cell r="Y251" t="str">
            <v>DBR &amp; SK Hospital, Tirupati</v>
          </cell>
          <cell r="Z251" t="str">
            <v>Dr C Jayaprakash, Tirupati</v>
          </cell>
          <cell r="AA251" t="str">
            <v>HNSCC</v>
          </cell>
          <cell r="AC251" t="str">
            <v>Buccal Mucosa</v>
          </cell>
          <cell r="AD251" t="str">
            <v>Buccal Mucosa</v>
          </cell>
          <cell r="AE251" t="str">
            <v>Female</v>
          </cell>
          <cell r="AF251">
            <v>66</v>
          </cell>
          <cell r="AG251" t="str">
            <v>N</v>
          </cell>
          <cell r="AH251">
            <v>5.3</v>
          </cell>
          <cell r="AI251" t="str">
            <v>Maruthi</v>
          </cell>
          <cell r="AJ251" t="str">
            <v>Surgery</v>
          </cell>
          <cell r="AK251" t="str">
            <v>Primary</v>
          </cell>
          <cell r="AN251">
            <v>3</v>
          </cell>
          <cell r="AP251" t="str">
            <v>T3Nomx</v>
          </cell>
          <cell r="AS251" t="str">
            <v>Squamous cell carcinoma</v>
          </cell>
          <cell r="AV251">
            <v>44758</v>
          </cell>
          <cell r="AW251">
            <v>0.96875</v>
          </cell>
          <cell r="AX251">
            <v>1.0243055555555556</v>
          </cell>
          <cell r="AY251">
            <v>5.5555555555555552E-2</v>
          </cell>
          <cell r="AZ251">
            <v>8.1944444444444445E-2</v>
          </cell>
          <cell r="BA251">
            <v>0.42708333333333331</v>
          </cell>
          <cell r="BB251" t="str">
            <v>0.37*1.0*1.6
0.4*1.2*1.4
0.43*0.8*1.0</v>
          </cell>
          <cell r="BC251" t="str">
            <v>0.37*1.0*1.6
0.4*1.2*1.4
0.43*0.8*1.0</v>
          </cell>
          <cell r="BD251" t="str">
            <v>Manual</v>
          </cell>
          <cell r="BE251">
            <v>15</v>
          </cell>
          <cell r="BF251" t="str">
            <v>Gowri</v>
          </cell>
          <cell r="BG251" t="str">
            <v>Y</v>
          </cell>
        </row>
        <row r="252">
          <cell r="A252" t="str">
            <v>FBR1T220181</v>
          </cell>
          <cell r="B252">
            <v>220181</v>
          </cell>
          <cell r="C252" t="str">
            <v>R&amp;D</v>
          </cell>
          <cell r="D252">
            <v>44760</v>
          </cell>
          <cell r="E252">
            <v>0.44166666666666665</v>
          </cell>
          <cell r="F252">
            <v>44743</v>
          </cell>
          <cell r="G252">
            <v>44760</v>
          </cell>
          <cell r="H252">
            <v>0.54583333333333328</v>
          </cell>
          <cell r="I252">
            <v>0.10416666666666667</v>
          </cell>
          <cell r="J252">
            <v>6</v>
          </cell>
          <cell r="K252" t="str">
            <v>FCB-PROTOCOL-01</v>
          </cell>
          <cell r="L252" t="str">
            <v>VYD/119</v>
          </cell>
          <cell r="M252" t="str">
            <v>Y</v>
          </cell>
          <cell r="N252" t="str">
            <v>cc Study(1T)</v>
          </cell>
          <cell r="O252" t="str">
            <v>Internal R&amp;D</v>
          </cell>
          <cell r="P252" t="str">
            <v>Q1 Passed</v>
          </cell>
          <cell r="Q252" t="str">
            <v>Q1 Passed</v>
          </cell>
          <cell r="R252" t="str">
            <v>Q1.5 Passed</v>
          </cell>
          <cell r="S252" t="str">
            <v>Q1.5 Passed</v>
          </cell>
          <cell r="V252" t="str">
            <v>Tumor content 4-15%</v>
          </cell>
          <cell r="W252" t="str">
            <v>Private Hospital</v>
          </cell>
          <cell r="X252" t="str">
            <v>Vydehi Hospital, Bangalore</v>
          </cell>
          <cell r="Y252" t="str">
            <v>Vydehi Hospital, Bangalore</v>
          </cell>
          <cell r="Z252" t="str">
            <v>Dr Amritha Prabha, Bangalore</v>
          </cell>
          <cell r="AA252" t="str">
            <v>HNSCC</v>
          </cell>
          <cell r="AC252" t="str">
            <v>Alveolus</v>
          </cell>
          <cell r="AD252" t="str">
            <v>Lower Alveolus</v>
          </cell>
          <cell r="AE252" t="str">
            <v>Male</v>
          </cell>
          <cell r="AF252">
            <v>65</v>
          </cell>
          <cell r="AG252" t="str">
            <v>N</v>
          </cell>
          <cell r="AH252">
            <v>4.5</v>
          </cell>
          <cell r="AI252" t="str">
            <v>Kalappa</v>
          </cell>
          <cell r="AJ252" t="str">
            <v>Surgery</v>
          </cell>
          <cell r="AK252" t="str">
            <v>Primary</v>
          </cell>
          <cell r="AN252" t="str">
            <v>IVa</v>
          </cell>
          <cell r="AO252">
            <v>2</v>
          </cell>
          <cell r="AP252" t="str">
            <v>ypT4aN0</v>
          </cell>
          <cell r="AS252" t="str">
            <v>Squamous cell carcinoma</v>
          </cell>
          <cell r="AV252">
            <v>44760</v>
          </cell>
          <cell r="AW252">
            <v>0.58333333333333337</v>
          </cell>
          <cell r="AX252">
            <v>0.66666666666666663</v>
          </cell>
          <cell r="AY252">
            <v>8.3333333333333329E-2</v>
          </cell>
          <cell r="AZ252">
            <v>0.12083333333333333</v>
          </cell>
          <cell r="BA252">
            <v>0.22500000000000001</v>
          </cell>
          <cell r="BB252" t="str">
            <v>0.8*1.4*1.2</v>
          </cell>
          <cell r="BC252" t="str">
            <v>0.8*1.4*1.2</v>
          </cell>
          <cell r="BD252" t="str">
            <v>Manual</v>
          </cell>
          <cell r="BE252">
            <v>15</v>
          </cell>
          <cell r="BF252" t="str">
            <v>kowshik</v>
          </cell>
          <cell r="BG252" t="str">
            <v>N</v>
          </cell>
        </row>
        <row r="253">
          <cell r="A253" t="str">
            <v>FBR1C220181</v>
          </cell>
          <cell r="B253">
            <v>220181</v>
          </cell>
          <cell r="C253" t="str">
            <v>R&amp;D</v>
          </cell>
          <cell r="D253">
            <v>44760</v>
          </cell>
          <cell r="E253">
            <v>0.44166666666666665</v>
          </cell>
          <cell r="F253">
            <v>44743</v>
          </cell>
          <cell r="G253">
            <v>44760</v>
          </cell>
          <cell r="H253">
            <v>0.54583333333333328</v>
          </cell>
          <cell r="I253">
            <v>0.10416666666666667</v>
          </cell>
          <cell r="J253">
            <v>6</v>
          </cell>
          <cell r="K253" t="str">
            <v>FCB-PROTOCOL-01</v>
          </cell>
          <cell r="L253" t="str">
            <v>VYD/119</v>
          </cell>
          <cell r="M253" t="str">
            <v>Y</v>
          </cell>
          <cell r="N253" t="str">
            <v>Culture Improvement</v>
          </cell>
          <cell r="O253" t="str">
            <v>Internal R&amp;D</v>
          </cell>
          <cell r="P253" t="str">
            <v>Q1 Passed</v>
          </cell>
          <cell r="Q253" t="str">
            <v>Q1 Passed</v>
          </cell>
          <cell r="R253" t="str">
            <v>Q1.5 Passed</v>
          </cell>
          <cell r="S253" t="str">
            <v>Q1.5 Passed</v>
          </cell>
          <cell r="W253" t="str">
            <v>Private Hospital</v>
          </cell>
          <cell r="X253" t="str">
            <v>Vydehi Hospital, Bangalore</v>
          </cell>
          <cell r="Y253" t="str">
            <v>Vydehi Hospital, Bangalore</v>
          </cell>
          <cell r="Z253" t="str">
            <v>Dr Amritha Prabha, Bangalore</v>
          </cell>
          <cell r="AA253" t="str">
            <v>HNSCC</v>
          </cell>
          <cell r="AC253" t="str">
            <v>Alveolus</v>
          </cell>
          <cell r="AD253" t="str">
            <v>Lower Alveolus</v>
          </cell>
          <cell r="AE253" t="str">
            <v>Male</v>
          </cell>
          <cell r="AF253">
            <v>65</v>
          </cell>
          <cell r="AG253" t="str">
            <v>N</v>
          </cell>
          <cell r="AH253">
            <v>4.5</v>
          </cell>
          <cell r="AI253" t="str">
            <v>Kalappa</v>
          </cell>
          <cell r="AJ253" t="str">
            <v>Surgery</v>
          </cell>
          <cell r="AK253" t="str">
            <v>Primary</v>
          </cell>
          <cell r="AN253" t="str">
            <v>IVa</v>
          </cell>
          <cell r="AO253">
            <v>2</v>
          </cell>
          <cell r="AP253" t="str">
            <v>ypT4aN0</v>
          </cell>
          <cell r="AS253" t="str">
            <v>Squamous cell carcinoma</v>
          </cell>
          <cell r="AV253">
            <v>44760</v>
          </cell>
          <cell r="AW253">
            <v>0.58333333333333337</v>
          </cell>
          <cell r="AX253">
            <v>0.66666666666666663</v>
          </cell>
          <cell r="AY253">
            <v>8.3333333333333329E-2</v>
          </cell>
          <cell r="AZ253">
            <v>0.12083333333333333</v>
          </cell>
          <cell r="BA253">
            <v>0.22500000000000001</v>
          </cell>
          <cell r="BB253" t="str">
            <v>0.8*1.4*1.2</v>
          </cell>
          <cell r="BC253" t="str">
            <v>0.8*1.4*1.2</v>
          </cell>
          <cell r="BD253" t="str">
            <v>Manual+Vibratome</v>
          </cell>
          <cell r="BE253">
            <v>15</v>
          </cell>
          <cell r="BF253" t="str">
            <v>Kowshik</v>
          </cell>
          <cell r="BG253" t="str">
            <v>N</v>
          </cell>
        </row>
        <row r="254">
          <cell r="A254" t="str">
            <v>FBR1T220182</v>
          </cell>
          <cell r="B254">
            <v>220182</v>
          </cell>
          <cell r="C254" t="str">
            <v>R&amp;D</v>
          </cell>
          <cell r="D254">
            <v>44760</v>
          </cell>
          <cell r="E254">
            <v>0.47222222222222221</v>
          </cell>
          <cell r="F254">
            <v>44743</v>
          </cell>
          <cell r="G254">
            <v>44760</v>
          </cell>
          <cell r="H254">
            <v>0.83263888888888893</v>
          </cell>
          <cell r="I254">
            <v>0.36041666666666666</v>
          </cell>
          <cell r="J254">
            <v>10</v>
          </cell>
          <cell r="K254" t="str">
            <v>FCB-PROTOCOL-01</v>
          </cell>
          <cell r="L254" t="str">
            <v>CLN/DBR/107</v>
          </cell>
          <cell r="M254" t="str">
            <v>Y</v>
          </cell>
          <cell r="N254" t="str">
            <v>cc Study(1T)</v>
          </cell>
          <cell r="O254" t="str">
            <v>Internal R&amp;D</v>
          </cell>
          <cell r="P254" t="str">
            <v>Q1 Passed</v>
          </cell>
          <cell r="Q254" t="str">
            <v>Q1 Passed</v>
          </cell>
          <cell r="R254" t="str">
            <v>Q1.5 Passed</v>
          </cell>
          <cell r="S254" t="str">
            <v>Q1.5 Passed</v>
          </cell>
          <cell r="V254" t="str">
            <v>Tumor present only in 2/7 explants.( 15-60%). Others no tumor</v>
          </cell>
          <cell r="W254" t="str">
            <v>Clinic'les</v>
          </cell>
          <cell r="X254" t="str">
            <v>Clinic'les- DBR &amp; SK Hospital, Tirupati</v>
          </cell>
          <cell r="Y254" t="str">
            <v>DBR &amp; SK Hospital, Tirupati</v>
          </cell>
          <cell r="Z254" t="str">
            <v>Dr C Jayaprakash, Tirupati</v>
          </cell>
          <cell r="AA254" t="str">
            <v>HNSCC</v>
          </cell>
          <cell r="AC254" t="str">
            <v>Tongue</v>
          </cell>
          <cell r="AE254" t="str">
            <v>Male</v>
          </cell>
          <cell r="AF254">
            <v>63</v>
          </cell>
          <cell r="AG254" t="str">
            <v>N</v>
          </cell>
          <cell r="AH254">
            <v>5.3</v>
          </cell>
          <cell r="AI254" t="str">
            <v>Partha</v>
          </cell>
          <cell r="AJ254" t="str">
            <v>Surgery</v>
          </cell>
          <cell r="AK254" t="str">
            <v>Primary</v>
          </cell>
          <cell r="AN254">
            <v>1</v>
          </cell>
          <cell r="AP254" t="str">
            <v>T1NoMX</v>
          </cell>
          <cell r="AS254" t="str">
            <v>Squamous cell carcinoma</v>
          </cell>
          <cell r="AV254">
            <v>44760</v>
          </cell>
          <cell r="AW254">
            <v>0.84722222222222221</v>
          </cell>
          <cell r="AX254">
            <v>0.88194444444444442</v>
          </cell>
          <cell r="AY254">
            <v>3.4722222222222224E-2</v>
          </cell>
          <cell r="AZ254">
            <v>4.9305555555555554E-2</v>
          </cell>
          <cell r="BA254">
            <v>0.40972222222222221</v>
          </cell>
          <cell r="BB254" t="str">
            <v>0.2/0.3*0.8*1.0</v>
          </cell>
          <cell r="BC254" t="str">
            <v>0.2/0.3*0.8*1.0</v>
          </cell>
          <cell r="BD254" t="str">
            <v>Manual</v>
          </cell>
          <cell r="BE254">
            <v>15</v>
          </cell>
          <cell r="BF254" t="str">
            <v>Kowshik</v>
          </cell>
        </row>
        <row r="255">
          <cell r="A255" t="str">
            <v>FBR1T220183</v>
          </cell>
          <cell r="B255">
            <v>220183</v>
          </cell>
          <cell r="C255" t="str">
            <v>R&amp;D</v>
          </cell>
          <cell r="D255">
            <v>44761</v>
          </cell>
          <cell r="E255">
            <v>0.51180555555555551</v>
          </cell>
          <cell r="F255">
            <v>44743</v>
          </cell>
          <cell r="G255">
            <v>44761</v>
          </cell>
          <cell r="H255">
            <v>0.56874999999999998</v>
          </cell>
          <cell r="I255">
            <v>5.6944444444444443E-2</v>
          </cell>
          <cell r="J255">
            <v>10</v>
          </cell>
          <cell r="K255" t="str">
            <v>FCB-PROTOCOL-01</v>
          </cell>
          <cell r="L255" t="str">
            <v>VYD/120</v>
          </cell>
          <cell r="M255" t="str">
            <v>Y</v>
          </cell>
          <cell r="N255" t="str">
            <v>cc Study(1T)</v>
          </cell>
          <cell r="O255" t="str">
            <v>Internal R&amp;D</v>
          </cell>
          <cell r="P255" t="str">
            <v>Q1 Passed</v>
          </cell>
          <cell r="Q255" t="str">
            <v>Q1 Passed</v>
          </cell>
          <cell r="R255" t="str">
            <v>Q1.5 Passed</v>
          </cell>
          <cell r="S255" t="str">
            <v>Q1.5 Passed</v>
          </cell>
          <cell r="V255" t="str">
            <v>Scanty tumor in 2 explants. Others no tumor</v>
          </cell>
          <cell r="W255" t="str">
            <v>Private Hospital</v>
          </cell>
          <cell r="X255" t="str">
            <v>Vydehi Hospital, Bangalore</v>
          </cell>
          <cell r="Y255" t="str">
            <v>Vydehi Hospital, Bangalore</v>
          </cell>
          <cell r="Z255" t="str">
            <v>Dr Amritha Prabha, Bangalore</v>
          </cell>
          <cell r="AA255" t="str">
            <v>HNSCC</v>
          </cell>
          <cell r="AC255" t="str">
            <v>Buccal Mucosa</v>
          </cell>
          <cell r="AD255" t="str">
            <v>Left Buccal Mucosa</v>
          </cell>
          <cell r="AE255" t="str">
            <v>Female</v>
          </cell>
          <cell r="AF255">
            <v>54</v>
          </cell>
          <cell r="AG255" t="str">
            <v>N</v>
          </cell>
          <cell r="AH255">
            <v>2.9</v>
          </cell>
          <cell r="AI255" t="str">
            <v>Kalappa</v>
          </cell>
          <cell r="AJ255" t="str">
            <v>Surgery</v>
          </cell>
          <cell r="AK255" t="str">
            <v>Primary</v>
          </cell>
          <cell r="AN255" t="str">
            <v>IVa</v>
          </cell>
          <cell r="AO255">
            <v>3</v>
          </cell>
          <cell r="AP255" t="str">
            <v>ypT4aN1</v>
          </cell>
          <cell r="AS255" t="str">
            <v>Squamous cell carcinoma</v>
          </cell>
          <cell r="AV255">
            <v>44761</v>
          </cell>
          <cell r="AW255">
            <v>0.59027777777777779</v>
          </cell>
          <cell r="BE255">
            <v>15</v>
          </cell>
          <cell r="BG255" t="str">
            <v>Y</v>
          </cell>
        </row>
        <row r="256">
          <cell r="A256" t="str">
            <v>FBR1A220184</v>
          </cell>
          <cell r="B256">
            <v>220184</v>
          </cell>
          <cell r="C256" t="str">
            <v>R&amp;D</v>
          </cell>
          <cell r="D256">
            <v>44761</v>
          </cell>
          <cell r="E256">
            <v>0.62222222222222223</v>
          </cell>
          <cell r="F256">
            <v>44743</v>
          </cell>
          <cell r="G256">
            <v>44761</v>
          </cell>
          <cell r="H256">
            <v>0.67361111111111116</v>
          </cell>
          <cell r="I256">
            <v>5.1388888888888887E-2</v>
          </cell>
          <cell r="J256">
            <v>6</v>
          </cell>
          <cell r="K256" t="str">
            <v>FCB-PROTOCOL-02</v>
          </cell>
          <cell r="L256" t="str">
            <v>OC001</v>
          </cell>
          <cell r="M256" t="str">
            <v>Y</v>
          </cell>
          <cell r="N256" t="str">
            <v>Other Indication</v>
          </cell>
          <cell r="O256" t="str">
            <v>Internal R&amp;D</v>
          </cell>
          <cell r="P256" t="str">
            <v>Q1 Passed</v>
          </cell>
          <cell r="Q256" t="str">
            <v>Q1 Passed</v>
          </cell>
          <cell r="R256" t="str">
            <v>Q1.5 Passed</v>
          </cell>
          <cell r="S256" t="str">
            <v>Q1.5 Passed</v>
          </cell>
          <cell r="V256" t="str">
            <v>Good tumor content in Arms A and B; many explnts in Arms C and D have no tumor</v>
          </cell>
          <cell r="W256" t="str">
            <v>Government Hospital</v>
          </cell>
          <cell r="X256" t="str">
            <v>Mazumdar Shaw Medical Centre, Bangalore</v>
          </cell>
          <cell r="Y256" t="str">
            <v>Mazumdar Shaw Medical Centre, Bangalore</v>
          </cell>
          <cell r="Z256" t="str">
            <v>Dr Rohit Ranade, Bangalore</v>
          </cell>
          <cell r="AA256" t="str">
            <v>Ca Ovary</v>
          </cell>
          <cell r="AC256" t="str">
            <v>Ovary</v>
          </cell>
          <cell r="AD256" t="str">
            <v>Left Ovary Mass</v>
          </cell>
          <cell r="AE256" t="str">
            <v>Female</v>
          </cell>
          <cell r="AF256">
            <v>54</v>
          </cell>
          <cell r="AG256" t="str">
            <v>N</v>
          </cell>
          <cell r="AH256">
            <v>2.5</v>
          </cell>
          <cell r="AI256" t="str">
            <v>Kalappa</v>
          </cell>
          <cell r="AJ256" t="str">
            <v>Surgery</v>
          </cell>
          <cell r="AK256" t="str">
            <v>Primary</v>
          </cell>
          <cell r="AN256">
            <v>3</v>
          </cell>
          <cell r="AO256">
            <v>3</v>
          </cell>
          <cell r="AP256" t="str">
            <v>pT3(IIIc), pNIb</v>
          </cell>
          <cell r="AS256" t="str">
            <v>High grade serous carcinoma of left ovary with pelvic lymph node 
metastasis.</v>
          </cell>
          <cell r="AV256">
            <v>44761</v>
          </cell>
          <cell r="AW256">
            <v>0.68819444444444444</v>
          </cell>
          <cell r="AX256">
            <v>0.72916666666666663</v>
          </cell>
          <cell r="AY256">
            <v>4.0972222222222222E-2</v>
          </cell>
          <cell r="AZ256">
            <v>5.5555555555555552E-2</v>
          </cell>
          <cell r="BA256">
            <v>0.10694444444444444</v>
          </cell>
          <cell r="BB256" t="str">
            <v>1.0*2.2*1.6</v>
          </cell>
          <cell r="BC256" t="str">
            <v>1.0*2.2*1.6</v>
          </cell>
          <cell r="BD256" t="str">
            <v>Manual</v>
          </cell>
          <cell r="BE256">
            <v>15</v>
          </cell>
          <cell r="BF256" t="str">
            <v>Gowri</v>
          </cell>
        </row>
        <row r="257">
          <cell r="A257" t="str">
            <v>FBR1C220184</v>
          </cell>
          <cell r="B257">
            <v>220184</v>
          </cell>
          <cell r="C257" t="str">
            <v>R&amp;D</v>
          </cell>
          <cell r="D257">
            <v>44761</v>
          </cell>
          <cell r="E257">
            <v>0.62222222222222223</v>
          </cell>
          <cell r="F257">
            <v>44743</v>
          </cell>
          <cell r="G257">
            <v>44761</v>
          </cell>
          <cell r="H257">
            <v>0.67361111111111116</v>
          </cell>
          <cell r="I257">
            <v>5.1388888888888887E-2</v>
          </cell>
          <cell r="J257">
            <v>6</v>
          </cell>
          <cell r="K257" t="str">
            <v>FCB-PROTOCOL-02</v>
          </cell>
          <cell r="L257" t="str">
            <v>OC001</v>
          </cell>
          <cell r="M257" t="str">
            <v>Y</v>
          </cell>
          <cell r="N257" t="str">
            <v>Culture Improvement</v>
          </cell>
          <cell r="O257" t="str">
            <v>Internal R&amp;D</v>
          </cell>
          <cell r="P257" t="str">
            <v>Q1 Passed</v>
          </cell>
          <cell r="Q257" t="str">
            <v>Q1 Passed</v>
          </cell>
          <cell r="R257" t="str">
            <v>Q1.5 Passed</v>
          </cell>
          <cell r="S257" t="str">
            <v>Q1.5 Passed</v>
          </cell>
          <cell r="W257" t="str">
            <v>Government Hospital</v>
          </cell>
          <cell r="X257" t="str">
            <v>Mazumdar Shaw Medical Centre, Bangalore</v>
          </cell>
          <cell r="Y257" t="str">
            <v>Mazumdar Shaw Medical Centre, Bangalore</v>
          </cell>
          <cell r="Z257" t="str">
            <v>Dr Rohit Ranade, Bangalore</v>
          </cell>
          <cell r="AA257" t="str">
            <v>Ca Ovary</v>
          </cell>
          <cell r="AC257" t="str">
            <v>Ovary</v>
          </cell>
          <cell r="AD257" t="str">
            <v>Left Ovary Mass</v>
          </cell>
          <cell r="AE257" t="str">
            <v>Female</v>
          </cell>
          <cell r="AF257">
            <v>54</v>
          </cell>
          <cell r="AG257" t="str">
            <v>N</v>
          </cell>
          <cell r="AH257">
            <v>2.5</v>
          </cell>
          <cell r="AI257" t="str">
            <v>Kalappa</v>
          </cell>
          <cell r="AJ257" t="str">
            <v>Surgery</v>
          </cell>
          <cell r="AK257" t="str">
            <v>Primary</v>
          </cell>
          <cell r="AN257">
            <v>3</v>
          </cell>
          <cell r="AO257">
            <v>3</v>
          </cell>
          <cell r="AP257" t="str">
            <v>pT3(IIIc), pNIb</v>
          </cell>
          <cell r="AS257" t="str">
            <v>High grade serous carcinoma of left ovary with pelvic lymph node 
metastasis.</v>
          </cell>
          <cell r="AV257">
            <v>44761</v>
          </cell>
          <cell r="AW257">
            <v>0.68819444444444444</v>
          </cell>
          <cell r="AX257">
            <v>0.72916666666666663</v>
          </cell>
          <cell r="AY257">
            <v>4.0972222222222222E-2</v>
          </cell>
          <cell r="AZ257">
            <v>5.5555555555555552E-2</v>
          </cell>
          <cell r="BA257">
            <v>0.10694444444444444</v>
          </cell>
          <cell r="BB257" t="str">
            <v>1.0*2.2*1.6</v>
          </cell>
          <cell r="BC257" t="str">
            <v>1.0*2.2*1.6</v>
          </cell>
          <cell r="BD257" t="str">
            <v>Manual</v>
          </cell>
          <cell r="BE257">
            <v>15</v>
          </cell>
          <cell r="BF257" t="str">
            <v>Gowri</v>
          </cell>
        </row>
        <row r="258">
          <cell r="A258" t="str">
            <v>FBR1T220185</v>
          </cell>
          <cell r="B258">
            <v>220185</v>
          </cell>
          <cell r="C258" t="str">
            <v>R&amp;D</v>
          </cell>
          <cell r="D258">
            <v>44761</v>
          </cell>
          <cell r="E258">
            <v>0.4861111111111111</v>
          </cell>
          <cell r="F258">
            <v>44743</v>
          </cell>
          <cell r="G258">
            <v>44761</v>
          </cell>
          <cell r="H258">
            <v>0.85833333333333328</v>
          </cell>
          <cell r="I258">
            <v>0.37222222222222223</v>
          </cell>
          <cell r="J258">
            <v>10</v>
          </cell>
          <cell r="K258" t="str">
            <v>FCB-PROTOCOL-01</v>
          </cell>
          <cell r="L258" t="str">
            <v>CLN/DBR/108</v>
          </cell>
          <cell r="M258" t="str">
            <v>Y</v>
          </cell>
          <cell r="N258" t="str">
            <v>cc Study(1T)</v>
          </cell>
          <cell r="O258" t="str">
            <v>Internal R&amp;D</v>
          </cell>
          <cell r="P258" t="str">
            <v>Q1 Passed</v>
          </cell>
          <cell r="Q258" t="str">
            <v>Q1 Passed</v>
          </cell>
          <cell r="R258" t="str">
            <v>Q1.5 Passed</v>
          </cell>
          <cell r="S258" t="str">
            <v>Q1.5 Passed</v>
          </cell>
          <cell r="V258" t="str">
            <v>Tumor content 55-96%</v>
          </cell>
          <cell r="W258" t="str">
            <v>Clinic'les</v>
          </cell>
          <cell r="X258" t="str">
            <v>Clinic'les- DBR &amp; SK Hospital, Tirupati</v>
          </cell>
          <cell r="Y258" t="str">
            <v>DBR &amp; SK Hospital, Tirupati</v>
          </cell>
          <cell r="Z258" t="str">
            <v>Dr C Jayaprakash, Tirupati</v>
          </cell>
          <cell r="AA258" t="str">
            <v>HNSCC</v>
          </cell>
          <cell r="AC258" t="str">
            <v>Buccal Mucosa</v>
          </cell>
          <cell r="AD258" t="str">
            <v>Buccal Mucosa</v>
          </cell>
          <cell r="AE258" t="str">
            <v>Male</v>
          </cell>
          <cell r="AF258">
            <v>72</v>
          </cell>
          <cell r="AG258" t="str">
            <v>N</v>
          </cell>
          <cell r="AH258">
            <v>7.6</v>
          </cell>
          <cell r="AI258" t="str">
            <v>Partha</v>
          </cell>
          <cell r="AJ258" t="str">
            <v>Surgery</v>
          </cell>
          <cell r="AK258" t="str">
            <v>Primary</v>
          </cell>
          <cell r="AN258" t="str">
            <v>4a</v>
          </cell>
          <cell r="AP258" t="str">
            <v>T4aN2Mx</v>
          </cell>
          <cell r="AS258" t="str">
            <v>High grade ofcarcinoma of right and left ovary with capsular
breech, left ovary, along with involvement of bilateral fallopian
tubes, uterine serosa, with sigmoid deposits.</v>
          </cell>
          <cell r="AV258">
            <v>44761</v>
          </cell>
          <cell r="AW258">
            <v>0.86944444444444446</v>
          </cell>
          <cell r="AX258">
            <v>0.91666666666666663</v>
          </cell>
          <cell r="AY258">
            <v>4.7222222222222221E-2</v>
          </cell>
          <cell r="AZ258">
            <v>5.8333333333333334E-2</v>
          </cell>
          <cell r="BA258">
            <v>0.43055555555555558</v>
          </cell>
          <cell r="BB258" t="str">
            <v>0.3*1.0-1.3*1.6</v>
          </cell>
          <cell r="BC258" t="str">
            <v>0.3*1.0-1.3*1.6</v>
          </cell>
          <cell r="BD258" t="str">
            <v>Manual</v>
          </cell>
          <cell r="BE258">
            <v>15</v>
          </cell>
          <cell r="BF258" t="str">
            <v>Kowshik</v>
          </cell>
          <cell r="BG258" t="str">
            <v>N</v>
          </cell>
        </row>
        <row r="259">
          <cell r="A259" t="str">
            <v>FBR1C220185</v>
          </cell>
          <cell r="B259">
            <v>220185</v>
          </cell>
          <cell r="C259" t="str">
            <v>R&amp;D</v>
          </cell>
          <cell r="D259">
            <v>44761</v>
          </cell>
          <cell r="E259">
            <v>0.4861111111111111</v>
          </cell>
          <cell r="F259">
            <v>44743</v>
          </cell>
          <cell r="G259">
            <v>44761</v>
          </cell>
          <cell r="H259">
            <v>0.85833333333333328</v>
          </cell>
          <cell r="I259">
            <v>0.37222222222222223</v>
          </cell>
          <cell r="J259">
            <v>10</v>
          </cell>
          <cell r="K259" t="str">
            <v>FCB-PROTOCOL-01</v>
          </cell>
          <cell r="L259" t="str">
            <v>CLN/DBR/108</v>
          </cell>
          <cell r="M259" t="str">
            <v>Y</v>
          </cell>
          <cell r="N259" t="str">
            <v>Culture Improvement</v>
          </cell>
          <cell r="O259" t="str">
            <v>Internal R&amp;D</v>
          </cell>
          <cell r="P259" t="str">
            <v>Q1 Passed</v>
          </cell>
          <cell r="Q259" t="str">
            <v>Q1 Passed</v>
          </cell>
          <cell r="R259" t="str">
            <v>Q1.5 Passed</v>
          </cell>
          <cell r="S259" t="str">
            <v>Q1.5 Passed</v>
          </cell>
          <cell r="W259" t="str">
            <v>Clinic'les</v>
          </cell>
          <cell r="X259" t="str">
            <v>Clinic'les- DBR &amp; SK Hospital, Tirupati</v>
          </cell>
          <cell r="Y259" t="str">
            <v>DBR &amp; SK Hospital, Tirupati</v>
          </cell>
          <cell r="Z259" t="str">
            <v>Dr C Jayaprakash, Tirupati</v>
          </cell>
          <cell r="AA259" t="str">
            <v>HNSCC</v>
          </cell>
          <cell r="AC259" t="str">
            <v>Buccal Mucosa</v>
          </cell>
          <cell r="AD259" t="str">
            <v>Buccal Mucosa</v>
          </cell>
          <cell r="AE259" t="str">
            <v>Male</v>
          </cell>
          <cell r="AF259">
            <v>72</v>
          </cell>
          <cell r="AG259" t="str">
            <v>N</v>
          </cell>
          <cell r="AH259">
            <v>7.6</v>
          </cell>
          <cell r="AI259" t="str">
            <v>Partha</v>
          </cell>
          <cell r="AJ259" t="str">
            <v>Surgery</v>
          </cell>
          <cell r="AK259" t="str">
            <v>Primary</v>
          </cell>
          <cell r="AN259" t="str">
            <v>4a</v>
          </cell>
          <cell r="AP259" t="str">
            <v>T4aN2Mx</v>
          </cell>
          <cell r="AS259" t="str">
            <v>Dermoid with malignancy tumor - squamous cell
carcinoma</v>
          </cell>
          <cell r="AV259">
            <v>44761</v>
          </cell>
          <cell r="AW259">
            <v>0.86944444444444446</v>
          </cell>
          <cell r="AX259">
            <v>0.91666666666666663</v>
          </cell>
          <cell r="AY259">
            <v>4.7222222222222221E-2</v>
          </cell>
          <cell r="AZ259">
            <v>5.8333333333333334E-2</v>
          </cell>
          <cell r="BA259">
            <v>0.43055555555555558</v>
          </cell>
          <cell r="BB259" t="str">
            <v>0.3*1.0-1.3*1.6</v>
          </cell>
          <cell r="BC259" t="str">
            <v>0.3*1.0-1.3*1.6</v>
          </cell>
          <cell r="BD259" t="str">
            <v>Manual</v>
          </cell>
          <cell r="BE259">
            <v>15</v>
          </cell>
          <cell r="BF259" t="str">
            <v>Kowshik</v>
          </cell>
          <cell r="BG259" t="str">
            <v>N</v>
          </cell>
        </row>
        <row r="260">
          <cell r="A260" t="str">
            <v>FBR1T220186</v>
          </cell>
          <cell r="B260">
            <v>220186</v>
          </cell>
          <cell r="C260" t="str">
            <v>R&amp;D</v>
          </cell>
          <cell r="D260">
            <v>44763</v>
          </cell>
          <cell r="E260">
            <v>0.48194444444444445</v>
          </cell>
          <cell r="F260">
            <v>44743</v>
          </cell>
          <cell r="G260">
            <v>44763</v>
          </cell>
          <cell r="H260">
            <v>0.55208333333333337</v>
          </cell>
          <cell r="I260">
            <v>7.013888888888889E-2</v>
          </cell>
          <cell r="J260">
            <v>7</v>
          </cell>
          <cell r="K260" t="str">
            <v>FCB-PROTOCOL-01</v>
          </cell>
          <cell r="L260" t="str">
            <v>VYD/121</v>
          </cell>
          <cell r="M260" t="str">
            <v>Y</v>
          </cell>
          <cell r="N260" t="str">
            <v>cc Study(1T)</v>
          </cell>
          <cell r="O260" t="str">
            <v>Internal R&amp;D</v>
          </cell>
          <cell r="P260" t="str">
            <v>Q1 Passed</v>
          </cell>
          <cell r="Q260" t="str">
            <v>Q1 Passed</v>
          </cell>
          <cell r="R260" t="str">
            <v>Q1.5 Passed</v>
          </cell>
          <cell r="S260" t="str">
            <v>Q1.5 Passed</v>
          </cell>
          <cell r="V260" t="str">
            <v>Tumor content 4-80%.High immune content. Some tumor regions necrosed.</v>
          </cell>
          <cell r="W260" t="str">
            <v>Private Hospital</v>
          </cell>
          <cell r="X260" t="str">
            <v>Vydehi Hospital, Bangalore</v>
          </cell>
          <cell r="Y260" t="str">
            <v>Vydehi Hospital, Bangalore</v>
          </cell>
          <cell r="Z260" t="str">
            <v>Dr Amritha Prabha, Bangalore</v>
          </cell>
          <cell r="AA260" t="str">
            <v>HNSCC</v>
          </cell>
          <cell r="AC260" t="str">
            <v>Buccal Mucosa</v>
          </cell>
          <cell r="AD260" t="str">
            <v>Right Buccal Mucosa</v>
          </cell>
          <cell r="AE260" t="str">
            <v>Female</v>
          </cell>
          <cell r="AF260">
            <v>44</v>
          </cell>
          <cell r="AG260" t="str">
            <v>N</v>
          </cell>
          <cell r="AH260">
            <v>5.0999999999999996</v>
          </cell>
          <cell r="AI260" t="str">
            <v>Kalappa</v>
          </cell>
          <cell r="AJ260" t="str">
            <v>Surgery</v>
          </cell>
          <cell r="AK260" t="str">
            <v>Primary</v>
          </cell>
          <cell r="AN260" t="str">
            <v>IVa</v>
          </cell>
          <cell r="AO260">
            <v>2</v>
          </cell>
          <cell r="AP260" t="str">
            <v>pT4aN2b</v>
          </cell>
          <cell r="AS260" t="str">
            <v>m (multiple primary tumors)
y (post-treatment)
pT1c2: Capsule ruptured before surgery or tumor on ovarian or
fallopian tube surface
pN0: No regional lymph node metastasis</v>
          </cell>
          <cell r="AV260">
            <v>44763</v>
          </cell>
          <cell r="AW260">
            <v>0.625</v>
          </cell>
          <cell r="AX260">
            <v>0.70833333333333337</v>
          </cell>
          <cell r="AY260">
            <v>8.3333333333333329E-2</v>
          </cell>
          <cell r="AZ260">
            <v>0.15625</v>
          </cell>
          <cell r="BA260">
            <v>0.22638888888888889</v>
          </cell>
          <cell r="BB260" t="str">
            <v>1.0*1.6*1.7</v>
          </cell>
          <cell r="BC260" t="str">
            <v>1.0*1.6*1.7</v>
          </cell>
          <cell r="BD260" t="str">
            <v>Vibratome</v>
          </cell>
          <cell r="BE260">
            <v>15</v>
          </cell>
          <cell r="BF260" t="str">
            <v>Syam</v>
          </cell>
          <cell r="BG260" t="str">
            <v>Y</v>
          </cell>
        </row>
        <row r="261">
          <cell r="A261" t="str">
            <v>FBR1M220187</v>
          </cell>
          <cell r="B261">
            <v>220187</v>
          </cell>
          <cell r="C261" t="str">
            <v>R&amp;D</v>
          </cell>
          <cell r="D261">
            <v>44763</v>
          </cell>
          <cell r="E261">
            <v>0.72916666666666663</v>
          </cell>
          <cell r="F261">
            <v>44743</v>
          </cell>
          <cell r="G261">
            <v>44763</v>
          </cell>
          <cell r="H261">
            <v>0.7583333333333333</v>
          </cell>
          <cell r="I261">
            <v>2.9166666666666667E-2</v>
          </cell>
          <cell r="J261">
            <v>40</v>
          </cell>
          <cell r="K261" t="str">
            <v>FCB-PROTOCOL-02</v>
          </cell>
          <cell r="L261" t="str">
            <v>RC011</v>
          </cell>
          <cell r="M261" t="str">
            <v>Y</v>
          </cell>
          <cell r="N261" t="str">
            <v>DMS_RCC</v>
          </cell>
          <cell r="O261" t="str">
            <v>Internal R&amp;D</v>
          </cell>
          <cell r="P261" t="str">
            <v>Q1 Passed</v>
          </cell>
          <cell r="Q261" t="str">
            <v>Q1 Passed</v>
          </cell>
          <cell r="R261" t="str">
            <v>Q1.5 Passed</v>
          </cell>
          <cell r="S261" t="str">
            <v>Q1.5 Passed</v>
          </cell>
          <cell r="V261" t="str">
            <v>Tumorcontent 35-90%.</v>
          </cell>
          <cell r="W261" t="str">
            <v>Government Hospital</v>
          </cell>
          <cell r="X261" t="str">
            <v>Mazumdar Shaw Medical Centre, Bangalore</v>
          </cell>
          <cell r="Y261" t="str">
            <v>Mazumdar Shaw Medical Centre, Bangalore</v>
          </cell>
          <cell r="Z261" t="str">
            <v>Dr Saurabh Bhargav, Bangalore</v>
          </cell>
          <cell r="AA261" t="str">
            <v>RCC</v>
          </cell>
          <cell r="AC261" t="str">
            <v>Renal</v>
          </cell>
          <cell r="AD261" t="str">
            <v>Left Renal Mass</v>
          </cell>
          <cell r="AE261" t="str">
            <v>Male</v>
          </cell>
          <cell r="AF261">
            <v>66</v>
          </cell>
          <cell r="AG261" t="str">
            <v>N</v>
          </cell>
          <cell r="AH261">
            <v>5.2</v>
          </cell>
          <cell r="AI261" t="str">
            <v>Maruthi</v>
          </cell>
          <cell r="AJ261" t="str">
            <v>Surgery</v>
          </cell>
          <cell r="AK261" t="str">
            <v>Primary</v>
          </cell>
          <cell r="AN261">
            <v>3</v>
          </cell>
          <cell r="AO261">
            <v>3</v>
          </cell>
          <cell r="AP261" t="str">
            <v xml:space="preserve"> pT3a</v>
          </cell>
          <cell r="AV261">
            <v>44763</v>
          </cell>
          <cell r="AW261">
            <v>0.77777777777777779</v>
          </cell>
          <cell r="AX261">
            <v>0.84027777777777779</v>
          </cell>
          <cell r="AY261">
            <v>6.25E-2</v>
          </cell>
          <cell r="AZ261">
            <v>8.1944444444444445E-2</v>
          </cell>
          <cell r="BA261">
            <v>0.1111111111111111</v>
          </cell>
          <cell r="BB261" t="str">
            <v>1.2*1.4*2.0</v>
          </cell>
          <cell r="BC261" t="str">
            <v>1.2*1.4*2.0</v>
          </cell>
          <cell r="BD261" t="str">
            <v>Vibratome</v>
          </cell>
          <cell r="BE261">
            <v>15</v>
          </cell>
          <cell r="BF261" t="str">
            <v>Kowshik</v>
          </cell>
          <cell r="BG261" t="str">
            <v>Y</v>
          </cell>
        </row>
        <row r="262">
          <cell r="A262" t="str">
            <v>FBR1T220188</v>
          </cell>
          <cell r="B262">
            <v>220188</v>
          </cell>
          <cell r="C262" t="str">
            <v>R&amp;D</v>
          </cell>
          <cell r="D262">
            <v>44764</v>
          </cell>
          <cell r="E262">
            <v>0.48402777777777778</v>
          </cell>
          <cell r="F262">
            <v>44743</v>
          </cell>
          <cell r="G262">
            <v>44764</v>
          </cell>
          <cell r="H262">
            <v>0.53680555555555554</v>
          </cell>
          <cell r="I262">
            <v>5.2777777777777778E-2</v>
          </cell>
          <cell r="J262">
            <v>3</v>
          </cell>
          <cell r="K262" t="str">
            <v>FCB-PROTOCOL-01</v>
          </cell>
          <cell r="L262" t="str">
            <v>VYD/122</v>
          </cell>
          <cell r="M262" t="str">
            <v>Y</v>
          </cell>
          <cell r="N262" t="str">
            <v>cc Study(1T)</v>
          </cell>
          <cell r="O262" t="str">
            <v>Internal R&amp;D</v>
          </cell>
          <cell r="P262" t="str">
            <v>Q1 Passed</v>
          </cell>
          <cell r="Q262" t="str">
            <v>Q1 Passed</v>
          </cell>
          <cell r="R262" t="str">
            <v>Q1.5 Passed</v>
          </cell>
          <cell r="S262" t="str">
            <v>Q1.5 Passed</v>
          </cell>
          <cell r="V262" t="str">
            <v>M-Tumor 40-96%,high immune component  in some fragments</v>
          </cell>
          <cell r="W262" t="str">
            <v>Private Hospital</v>
          </cell>
          <cell r="X262" t="str">
            <v>Vydehi Hospital, Bangalore</v>
          </cell>
          <cell r="Y262" t="str">
            <v>Vydehi Hospital, Bangalore</v>
          </cell>
          <cell r="Z262" t="str">
            <v>Dr Amritha Prabha, Bangalore</v>
          </cell>
          <cell r="AA262" t="str">
            <v>HNSCC</v>
          </cell>
          <cell r="AC262" t="str">
            <v>Tongue</v>
          </cell>
          <cell r="AD262" t="str">
            <v>Right Lateral Tongue</v>
          </cell>
          <cell r="AE262" t="str">
            <v>Male</v>
          </cell>
          <cell r="AF262">
            <v>47</v>
          </cell>
          <cell r="AG262" t="str">
            <v>N</v>
          </cell>
          <cell r="AH262">
            <v>3.3</v>
          </cell>
          <cell r="AI262" t="str">
            <v>Kalappa</v>
          </cell>
          <cell r="AJ262" t="str">
            <v>Surgery</v>
          </cell>
          <cell r="AK262" t="str">
            <v>Primary</v>
          </cell>
          <cell r="AN262" t="str">
            <v>II</v>
          </cell>
          <cell r="AO262">
            <v>2</v>
          </cell>
          <cell r="AP262" t="str">
            <v>pT3N0</v>
          </cell>
          <cell r="AS262" t="str">
            <v>Squamous cell carcinoma</v>
          </cell>
          <cell r="AV262">
            <v>44764</v>
          </cell>
          <cell r="AX262">
            <v>0.70138888888888884</v>
          </cell>
          <cell r="AY262">
            <v>0.70138888888888884</v>
          </cell>
          <cell r="AZ262">
            <v>0.16458333333333333</v>
          </cell>
          <cell r="BA262">
            <v>0.21736111111111112</v>
          </cell>
          <cell r="BB262" t="str">
            <v>1.2*1.6*2.0</v>
          </cell>
          <cell r="BC262" t="str">
            <v>1.2*1.6*2.0</v>
          </cell>
          <cell r="BD262" t="str">
            <v>Manual+Vibratome</v>
          </cell>
          <cell r="BE262">
            <v>15</v>
          </cell>
          <cell r="BF262" t="str">
            <v>Gowri</v>
          </cell>
          <cell r="BG262" t="str">
            <v>Y</v>
          </cell>
        </row>
        <row r="263">
          <cell r="A263" t="str">
            <v>FBR1T220189</v>
          </cell>
          <cell r="B263">
            <v>220189</v>
          </cell>
          <cell r="C263" t="str">
            <v>R&amp;D</v>
          </cell>
          <cell r="D263">
            <v>44765</v>
          </cell>
          <cell r="E263">
            <v>0.47291666666666665</v>
          </cell>
          <cell r="F263">
            <v>44743</v>
          </cell>
          <cell r="G263">
            <v>44765</v>
          </cell>
          <cell r="H263">
            <v>0.5625</v>
          </cell>
          <cell r="I263">
            <v>8.9583333333333334E-2</v>
          </cell>
          <cell r="J263">
            <v>5</v>
          </cell>
          <cell r="K263" t="str">
            <v>FCB-PROTOCOL-01</v>
          </cell>
          <cell r="L263" t="str">
            <v>VYD/123</v>
          </cell>
          <cell r="M263" t="str">
            <v>Y</v>
          </cell>
          <cell r="N263" t="str">
            <v>cc Study(1T)</v>
          </cell>
          <cell r="O263" t="str">
            <v>Internal R&amp;D</v>
          </cell>
          <cell r="P263" t="str">
            <v>Q1 Passed</v>
          </cell>
          <cell r="Q263" t="str">
            <v>Q1 Passed</v>
          </cell>
          <cell r="R263" t="str">
            <v>Q1.5 Passed</v>
          </cell>
          <cell r="S263" t="str">
            <v>Q1.5 Passed</v>
          </cell>
          <cell r="V263" t="str">
            <v>Tumor content 55-96% in 6/7 explants</v>
          </cell>
          <cell r="W263" t="str">
            <v>Private Hospital</v>
          </cell>
          <cell r="X263" t="str">
            <v>Vydehi Hospital, Bangalore</v>
          </cell>
          <cell r="Y263" t="str">
            <v>Vydehi Hospital, Bangalore</v>
          </cell>
          <cell r="Z263" t="str">
            <v>Dr Amritha Prabha, Bangalore</v>
          </cell>
          <cell r="AA263" t="str">
            <v>HNSCC</v>
          </cell>
          <cell r="AC263" t="str">
            <v>Gingiva buccal</v>
          </cell>
          <cell r="AD263" t="str">
            <v>Left lower gingiva buccal sulcus</v>
          </cell>
          <cell r="AE263" t="str">
            <v>Female</v>
          </cell>
          <cell r="AF263">
            <v>67</v>
          </cell>
          <cell r="AG263" t="str">
            <v>N</v>
          </cell>
          <cell r="AH263">
            <v>5.0999999999999996</v>
          </cell>
          <cell r="AI263" t="str">
            <v>Shashi</v>
          </cell>
          <cell r="AJ263" t="str">
            <v>Surgery</v>
          </cell>
          <cell r="AK263" t="str">
            <v>Primary</v>
          </cell>
          <cell r="AN263" t="str">
            <v>II</v>
          </cell>
          <cell r="AO263">
            <v>2</v>
          </cell>
          <cell r="AP263" t="str">
            <v>pT2N0</v>
          </cell>
          <cell r="AS263" t="str">
            <v>Squamous cell carcinoma</v>
          </cell>
          <cell r="AV263">
            <v>44765</v>
          </cell>
          <cell r="AW263">
            <v>0.61111111111111116</v>
          </cell>
          <cell r="AX263">
            <v>0.66666666666666663</v>
          </cell>
          <cell r="AY263">
            <v>5.5555555555555552E-2</v>
          </cell>
          <cell r="AZ263">
            <v>0.10416666666666667</v>
          </cell>
          <cell r="BA263">
            <v>0.19375000000000001</v>
          </cell>
          <cell r="BB263" t="str">
            <v>0.6*0.9*1.0
0.5*0.8*0.12</v>
          </cell>
          <cell r="BC263" t="str">
            <v>0.6*0.9*1.0
0.5*0.8*0.12</v>
          </cell>
          <cell r="BD263" t="str">
            <v>Manual</v>
          </cell>
          <cell r="BE263">
            <v>15</v>
          </cell>
          <cell r="BF263" t="str">
            <v>Gowri</v>
          </cell>
          <cell r="BG263" t="str">
            <v>Y</v>
          </cell>
        </row>
        <row r="264">
          <cell r="A264" t="str">
            <v>FBR1M220190</v>
          </cell>
          <cell r="B264">
            <v>220190</v>
          </cell>
          <cell r="C264" t="str">
            <v>R&amp;D</v>
          </cell>
          <cell r="D264">
            <v>44765</v>
          </cell>
          <cell r="E264">
            <v>0.49166666666666664</v>
          </cell>
          <cell r="F264">
            <v>44743</v>
          </cell>
          <cell r="G264">
            <v>44765</v>
          </cell>
          <cell r="H264">
            <v>0.5625</v>
          </cell>
          <cell r="I264">
            <v>7.0833333333333331E-2</v>
          </cell>
          <cell r="J264">
            <v>28</v>
          </cell>
          <cell r="K264" t="str">
            <v>FCB-PROTOCOL-01</v>
          </cell>
          <cell r="L264" t="str">
            <v>VYD/124</v>
          </cell>
          <cell r="M264" t="str">
            <v>Y</v>
          </cell>
          <cell r="N264" t="str">
            <v>DMS_RCC</v>
          </cell>
          <cell r="O264" t="str">
            <v>Internal R&amp;D</v>
          </cell>
          <cell r="P264" t="str">
            <v>Q1 Passed</v>
          </cell>
          <cell r="Q264" t="str">
            <v>Q1 Passed</v>
          </cell>
          <cell r="R264" t="str">
            <v>Q1.5 Passed</v>
          </cell>
          <cell r="S264" t="str">
            <v>Q1.5 Passed</v>
          </cell>
          <cell r="V264" t="str">
            <v>Tumor content 10-80%. Some explants without tumor</v>
          </cell>
          <cell r="W264" t="str">
            <v>Private Hospital</v>
          </cell>
          <cell r="X264" t="str">
            <v>Vydehi Hospital, Bangalore</v>
          </cell>
          <cell r="Y264" t="str">
            <v>Vydehi Hospital, Bangalore</v>
          </cell>
          <cell r="Z264" t="str">
            <v>Dr Amritha Prabha, Bangalore</v>
          </cell>
          <cell r="AA264" t="str">
            <v>RCC</v>
          </cell>
          <cell r="AC264" t="str">
            <v>Kidney</v>
          </cell>
          <cell r="AD264" t="str">
            <v>Left Kidney</v>
          </cell>
          <cell r="AE264" t="str">
            <v>Male</v>
          </cell>
          <cell r="AF264">
            <v>56</v>
          </cell>
          <cell r="AG264" t="str">
            <v>N</v>
          </cell>
          <cell r="AH264">
            <v>5.0999999999999996</v>
          </cell>
          <cell r="AI264" t="str">
            <v>Shashi</v>
          </cell>
          <cell r="AJ264" t="str">
            <v>Surgery</v>
          </cell>
          <cell r="AK264" t="str">
            <v>Primary</v>
          </cell>
          <cell r="AN264" t="str">
            <v>IIb</v>
          </cell>
          <cell r="AO264">
            <v>1</v>
          </cell>
          <cell r="AP264" t="str">
            <v>pT2bN0</v>
          </cell>
          <cell r="AS264" t="str">
            <v>clear cell renal cell carcinoma</v>
          </cell>
          <cell r="AV264">
            <v>44765</v>
          </cell>
          <cell r="AW264">
            <v>0.61111111111111116</v>
          </cell>
          <cell r="AX264">
            <v>0.69791666666666663</v>
          </cell>
          <cell r="AY264">
            <v>8.6805555555555552E-2</v>
          </cell>
          <cell r="AZ264">
            <v>0.13541666666666666</v>
          </cell>
          <cell r="BA264">
            <v>0.20624999999999999</v>
          </cell>
          <cell r="BB264" t="str">
            <v>1.4*2.9*3.</v>
          </cell>
          <cell r="BC264" t="str">
            <v>1.4*2.9*3.</v>
          </cell>
          <cell r="BD264" t="str">
            <v>Manual</v>
          </cell>
          <cell r="BE264">
            <v>15</v>
          </cell>
          <cell r="BF264" t="str">
            <v>Gowri</v>
          </cell>
          <cell r="BG264" t="str">
            <v>N</v>
          </cell>
        </row>
        <row r="265">
          <cell r="A265">
            <v>220191</v>
          </cell>
          <cell r="B265">
            <v>220191</v>
          </cell>
          <cell r="C265" t="str">
            <v>R&amp;D</v>
          </cell>
          <cell r="D265">
            <v>44774</v>
          </cell>
          <cell r="E265">
            <v>0.58680555555555558</v>
          </cell>
          <cell r="F265">
            <v>44774</v>
          </cell>
          <cell r="G265">
            <v>44774</v>
          </cell>
          <cell r="H265">
            <v>0.69097222222222221</v>
          </cell>
          <cell r="I265">
            <v>0.10416666666666667</v>
          </cell>
          <cell r="J265">
            <v>10</v>
          </cell>
          <cell r="K265" t="str">
            <v>FCB-PROTOCOL-02</v>
          </cell>
          <cell r="L265" t="str">
            <v>HN012</v>
          </cell>
          <cell r="M265" t="str">
            <v>Y</v>
          </cell>
          <cell r="N265" t="str">
            <v>No Study</v>
          </cell>
          <cell r="O265" t="str">
            <v>Internal R&amp;D</v>
          </cell>
          <cell r="P265" t="str">
            <v>Q1 Rejected</v>
          </cell>
          <cell r="Q265" t="str">
            <v>Q1 Passed</v>
          </cell>
          <cell r="R265" t="str">
            <v>Q1.5 Rejected</v>
          </cell>
          <cell r="S265" t="str">
            <v>Q1.5 Rejected</v>
          </cell>
          <cell r="T265" t="str">
            <v>Size was small(5mm*5mm*3/4mm)</v>
          </cell>
          <cell r="U265" t="str">
            <v>yes</v>
          </cell>
          <cell r="V265" t="str">
            <v>FFPE</v>
          </cell>
          <cell r="W265" t="str">
            <v>Government Hospital</v>
          </cell>
          <cell r="X265" t="str">
            <v>Mazumdar Shaw Medical Centre, Bangalore</v>
          </cell>
          <cell r="Y265" t="str">
            <v>Mazumdar Shaw Medical Centre, Bangalore</v>
          </cell>
          <cell r="Z265" t="str">
            <v>Dr Vijay Pillai, Bangalore</v>
          </cell>
          <cell r="AA265" t="str">
            <v>HNSCC</v>
          </cell>
          <cell r="AC265" t="str">
            <v>Buccal Mucosa</v>
          </cell>
          <cell r="AD265" t="str">
            <v>Left Buccal Mucosa</v>
          </cell>
          <cell r="AE265" t="str">
            <v>Male</v>
          </cell>
          <cell r="AF265">
            <v>45</v>
          </cell>
          <cell r="AG265" t="str">
            <v>N</v>
          </cell>
          <cell r="AH265">
            <v>5.7</v>
          </cell>
          <cell r="AI265" t="str">
            <v>Maruthi</v>
          </cell>
          <cell r="AJ265" t="str">
            <v>Surgery</v>
          </cell>
          <cell r="AK265" t="str">
            <v>Primary</v>
          </cell>
          <cell r="AS265" t="str">
            <v>Squamous Cell Carcinoma</v>
          </cell>
          <cell r="AV265">
            <v>44774</v>
          </cell>
          <cell r="AW265">
            <v>0.70833333333333337</v>
          </cell>
          <cell r="BB265" t="str">
            <v>0.3*0.5*0.5</v>
          </cell>
          <cell r="BC265" t="str">
            <v>0.3*0.5*0.5</v>
          </cell>
          <cell r="BE265">
            <v>4</v>
          </cell>
          <cell r="BF265" t="str">
            <v>Kowshik</v>
          </cell>
          <cell r="BG265" t="str">
            <v>N</v>
          </cell>
        </row>
        <row r="266">
          <cell r="A266" t="str">
            <v>FBR1T220192</v>
          </cell>
          <cell r="B266">
            <v>220192</v>
          </cell>
          <cell r="C266" t="str">
            <v>R&amp;D</v>
          </cell>
          <cell r="D266">
            <v>44775</v>
          </cell>
          <cell r="E266">
            <v>0.56597222222222221</v>
          </cell>
          <cell r="F266">
            <v>44774</v>
          </cell>
          <cell r="G266">
            <v>44775</v>
          </cell>
          <cell r="H266">
            <v>0.90833333333333333</v>
          </cell>
          <cell r="I266">
            <v>0.34236111111111112</v>
          </cell>
          <cell r="J266">
            <v>10</v>
          </cell>
          <cell r="K266" t="str">
            <v>FCB-PROTOCOL-01</v>
          </cell>
          <cell r="L266" t="str">
            <v>CLN/DBR/109</v>
          </cell>
          <cell r="M266" t="str">
            <v>Y</v>
          </cell>
          <cell r="N266" t="str">
            <v>cc Study(1T)</v>
          </cell>
          <cell r="O266" t="str">
            <v>Internal R&amp;D</v>
          </cell>
          <cell r="P266" t="str">
            <v>Q1 Passed</v>
          </cell>
          <cell r="Q266" t="str">
            <v>Q1 Passed</v>
          </cell>
          <cell r="R266" t="str">
            <v>Q1.5 Passed</v>
          </cell>
          <cell r="S266" t="str">
            <v>Q1.5 Passed</v>
          </cell>
          <cell r="V266" t="str">
            <v>Tumor content 30-85%</v>
          </cell>
          <cell r="W266" t="str">
            <v>Clinic'les</v>
          </cell>
          <cell r="X266" t="str">
            <v>Clinic'les- DBR &amp; SK Hospital, Tirupati</v>
          </cell>
          <cell r="Y266" t="str">
            <v>DBR &amp; SK Hospital, Tirupati</v>
          </cell>
          <cell r="Z266" t="str">
            <v>Dr C Jayaprakash, Tirupati</v>
          </cell>
          <cell r="AA266" t="str">
            <v>HNSCC</v>
          </cell>
          <cell r="AC266" t="str">
            <v>Buccal Mucosa</v>
          </cell>
          <cell r="AD266" t="str">
            <v>Buccal Mucosa</v>
          </cell>
          <cell r="AE266" t="str">
            <v>Female</v>
          </cell>
          <cell r="AF266">
            <v>42</v>
          </cell>
          <cell r="AG266" t="str">
            <v>N</v>
          </cell>
          <cell r="AH266">
            <v>5.8</v>
          </cell>
          <cell r="AI266" t="str">
            <v>Maruthi</v>
          </cell>
          <cell r="AJ266" t="str">
            <v>Surgery</v>
          </cell>
          <cell r="AK266" t="str">
            <v>Primary</v>
          </cell>
          <cell r="AN266" t="str">
            <v>4a</v>
          </cell>
          <cell r="AP266" t="str">
            <v>T4aN2mx</v>
          </cell>
          <cell r="AS266" t="str">
            <v>Squamous cell carcinoma</v>
          </cell>
          <cell r="AV266">
            <v>44775</v>
          </cell>
          <cell r="AW266">
            <v>0.89930555555555558</v>
          </cell>
          <cell r="AX266">
            <v>0.98611111111111116</v>
          </cell>
          <cell r="AY266">
            <v>8.6805555555555552E-2</v>
          </cell>
          <cell r="AZ266">
            <v>7.7777777777777779E-2</v>
          </cell>
          <cell r="BA266">
            <v>0.4201388888888889</v>
          </cell>
          <cell r="BB266" t="str">
            <v>0.4/0.5*0.8*2.4</v>
          </cell>
          <cell r="BC266" t="str">
            <v>0.4/0.5*0.8*2.4</v>
          </cell>
          <cell r="BD266" t="str">
            <v>Vibratome</v>
          </cell>
          <cell r="BE266">
            <v>4</v>
          </cell>
          <cell r="BF266" t="str">
            <v>Kowshik</v>
          </cell>
          <cell r="BG266" t="str">
            <v>Y</v>
          </cell>
        </row>
        <row r="267">
          <cell r="A267" t="str">
            <v>FBR1T220193</v>
          </cell>
          <cell r="B267">
            <v>220193</v>
          </cell>
          <cell r="C267" t="str">
            <v>R&amp;D</v>
          </cell>
          <cell r="D267">
            <v>44777</v>
          </cell>
          <cell r="E267">
            <v>0.4861111111111111</v>
          </cell>
          <cell r="F267">
            <v>44774</v>
          </cell>
          <cell r="G267">
            <v>44777</v>
          </cell>
          <cell r="H267">
            <v>0.8666666666666667</v>
          </cell>
          <cell r="I267">
            <v>0.38055555555555554</v>
          </cell>
          <cell r="J267">
            <v>10</v>
          </cell>
          <cell r="K267" t="str">
            <v>FCB-PROTOCOL-01</v>
          </cell>
          <cell r="L267" t="str">
            <v>CLN/DBR/110</v>
          </cell>
          <cell r="M267" t="str">
            <v>Y</v>
          </cell>
          <cell r="N267" t="str">
            <v>cc Study(1T)</v>
          </cell>
          <cell r="O267" t="str">
            <v>Internal R&amp;D</v>
          </cell>
          <cell r="P267" t="str">
            <v>Q1 Passed</v>
          </cell>
          <cell r="Q267" t="str">
            <v>Q1 Passed</v>
          </cell>
          <cell r="R267" t="str">
            <v>Q1.5 Passed</v>
          </cell>
          <cell r="S267" t="str">
            <v>Q1.5 Passed</v>
          </cell>
          <cell r="V267" t="str">
            <v>Tumor content 35-70% ? Sarcamatoid variant of SCC</v>
          </cell>
          <cell r="W267" t="str">
            <v>Clinic'les</v>
          </cell>
          <cell r="X267" t="str">
            <v>Clinic'les- DBR &amp; SK Hospital, Tirupati</v>
          </cell>
          <cell r="Y267" t="str">
            <v>DBR &amp; SK Hospital, Tirupati</v>
          </cell>
          <cell r="Z267" t="str">
            <v>Dr C Jayaprakash, Tirupati</v>
          </cell>
          <cell r="AA267" t="str">
            <v>HNSCC</v>
          </cell>
          <cell r="AC267" t="str">
            <v>Buccal Mucosa</v>
          </cell>
          <cell r="AD267" t="str">
            <v>Buccal Mucosa</v>
          </cell>
          <cell r="AE267" t="str">
            <v>Female</v>
          </cell>
          <cell r="AF267">
            <v>65</v>
          </cell>
          <cell r="AG267" t="str">
            <v>N</v>
          </cell>
          <cell r="AH267">
            <v>6.4</v>
          </cell>
          <cell r="AI267" t="str">
            <v>Maruthi</v>
          </cell>
          <cell r="AJ267" t="str">
            <v>Surgery</v>
          </cell>
          <cell r="AK267" t="str">
            <v>Primary</v>
          </cell>
          <cell r="AN267" t="str">
            <v>4a</v>
          </cell>
          <cell r="AP267" t="str">
            <v>T3N2Mx</v>
          </cell>
          <cell r="AS267" t="str">
            <v>Squamous cell carcinoma</v>
          </cell>
          <cell r="AV267">
            <v>44777</v>
          </cell>
          <cell r="AW267">
            <v>0.875</v>
          </cell>
          <cell r="AX267">
            <v>0.95138888888888884</v>
          </cell>
          <cell r="AY267">
            <v>7.6388888888888895E-2</v>
          </cell>
          <cell r="AZ267">
            <v>8.4722222222222227E-2</v>
          </cell>
          <cell r="BA267">
            <v>0.46527777777777779</v>
          </cell>
          <cell r="BB267" t="str">
            <v>0.8*1.2*1.6</v>
          </cell>
          <cell r="BC267" t="str">
            <v>0.8*1.2*1.6</v>
          </cell>
          <cell r="BD267" t="str">
            <v>Vibratome</v>
          </cell>
          <cell r="BE267">
            <v>4</v>
          </cell>
          <cell r="BF267" t="str">
            <v>Biswajit</v>
          </cell>
          <cell r="BG267" t="str">
            <v>N</v>
          </cell>
        </row>
        <row r="268">
          <cell r="A268" t="str">
            <v>FBB1D220194</v>
          </cell>
          <cell r="B268">
            <v>220194</v>
          </cell>
          <cell r="C268" t="str">
            <v>Biopharma</v>
          </cell>
          <cell r="D268">
            <v>44782</v>
          </cell>
          <cell r="E268">
            <v>0.5625</v>
          </cell>
          <cell r="F268">
            <v>44774</v>
          </cell>
          <cell r="G268">
            <v>44782</v>
          </cell>
          <cell r="H268">
            <v>0.87847222222222221</v>
          </cell>
          <cell r="I268">
            <v>0.31597222222222221</v>
          </cell>
          <cell r="J268">
            <v>10</v>
          </cell>
          <cell r="K268" t="str">
            <v>FCB-PROTOCOL-01</v>
          </cell>
          <cell r="L268" t="str">
            <v>CLN/DBR/111</v>
          </cell>
          <cell r="M268" t="str">
            <v>Y</v>
          </cell>
          <cell r="N268" t="str">
            <v>BP005_SOW1_2021</v>
          </cell>
          <cell r="O268" t="str">
            <v>Biopharma</v>
          </cell>
          <cell r="P268" t="str">
            <v>Q1 Passed</v>
          </cell>
          <cell r="Q268" t="str">
            <v>Q1 Passed</v>
          </cell>
          <cell r="R268" t="str">
            <v>Q1.5 Passed</v>
          </cell>
          <cell r="S268" t="str">
            <v>Q1.5 Passed</v>
          </cell>
          <cell r="V268" t="str">
            <v>Tumor content 55-85%</v>
          </cell>
          <cell r="W268" t="str">
            <v>Clinic'les</v>
          </cell>
          <cell r="X268" t="str">
            <v>Clinic'les- DBR &amp; SK Hospital, Tirupati</v>
          </cell>
          <cell r="Y268" t="str">
            <v>DBR &amp; SK Hospital, Tirupati</v>
          </cell>
          <cell r="Z268" t="str">
            <v>Dr C Jayaprakash, Tirupati</v>
          </cell>
          <cell r="AA268" t="str">
            <v>HNSCC</v>
          </cell>
          <cell r="AC268" t="str">
            <v>Buccal Mucosa</v>
          </cell>
          <cell r="AD268" t="str">
            <v>Buccal Mucosa</v>
          </cell>
          <cell r="AE268" t="str">
            <v>Female</v>
          </cell>
          <cell r="AF268">
            <v>56</v>
          </cell>
          <cell r="AG268" t="str">
            <v>N</v>
          </cell>
          <cell r="AH268">
            <v>5.4</v>
          </cell>
          <cell r="AI268" t="str">
            <v>Maruthi</v>
          </cell>
          <cell r="AJ268" t="str">
            <v>Surgery</v>
          </cell>
          <cell r="AK268" t="str">
            <v>Primary</v>
          </cell>
          <cell r="AN268">
            <v>2</v>
          </cell>
          <cell r="AP268" t="str">
            <v>T2Nomx</v>
          </cell>
          <cell r="AS268" t="str">
            <v>Squamous cell carcinoma</v>
          </cell>
          <cell r="AV268">
            <v>44782</v>
          </cell>
          <cell r="AW268">
            <v>0.89027777777777772</v>
          </cell>
          <cell r="AX268">
            <v>0.96875</v>
          </cell>
          <cell r="AY268">
            <v>7.8472222222222221E-2</v>
          </cell>
          <cell r="AZ268">
            <v>9.0277777777777776E-2</v>
          </cell>
          <cell r="BA268">
            <v>0.40625</v>
          </cell>
          <cell r="BB268" t="str">
            <v>0.4*0.8*1.0
0.4*1.2*1.0</v>
          </cell>
          <cell r="BC268" t="str">
            <v>0.4*0.8*1.0
0.4*1.2*1.0</v>
          </cell>
          <cell r="BD268" t="str">
            <v>Vibratome</v>
          </cell>
          <cell r="BE268">
            <v>4</v>
          </cell>
          <cell r="BF268" t="str">
            <v>Kowshik</v>
          </cell>
          <cell r="BG268" t="str">
            <v>Y</v>
          </cell>
        </row>
        <row r="269">
          <cell r="A269" t="str">
            <v>FBR1T220194</v>
          </cell>
          <cell r="B269">
            <v>220194</v>
          </cell>
          <cell r="C269" t="str">
            <v>R&amp;D</v>
          </cell>
          <cell r="D269">
            <v>44782</v>
          </cell>
          <cell r="E269">
            <v>0.5625</v>
          </cell>
          <cell r="F269">
            <v>44774</v>
          </cell>
          <cell r="G269">
            <v>44782</v>
          </cell>
          <cell r="H269">
            <v>0.87847222222222221</v>
          </cell>
          <cell r="I269">
            <v>0.31597222222222221</v>
          </cell>
          <cell r="J269">
            <v>10</v>
          </cell>
          <cell r="K269" t="str">
            <v>FCB-PROTOCOL-01</v>
          </cell>
          <cell r="L269" t="str">
            <v>CLN/DBR/111</v>
          </cell>
          <cell r="M269" t="str">
            <v>Y</v>
          </cell>
          <cell r="N269" t="str">
            <v>cc Study(1T)</v>
          </cell>
          <cell r="O269" t="str">
            <v>Internal R&amp;D</v>
          </cell>
          <cell r="P269" t="str">
            <v>Q1 Passed</v>
          </cell>
          <cell r="Q269" t="str">
            <v>Q1 Passed</v>
          </cell>
          <cell r="R269" t="str">
            <v>Q1.5 Passed</v>
          </cell>
          <cell r="S269" t="str">
            <v>Q1.5 Passed</v>
          </cell>
          <cell r="V269" t="str">
            <v>Tumor content 65-85%</v>
          </cell>
          <cell r="W269" t="str">
            <v>Clinic'les</v>
          </cell>
          <cell r="X269" t="str">
            <v>Clinic'les- DBR &amp; SK Hospital, Tirupati</v>
          </cell>
          <cell r="Y269" t="str">
            <v>DBR &amp; SK Hospital, Tirupati</v>
          </cell>
          <cell r="Z269" t="str">
            <v>Dr C Jayaprakash, Tirupati</v>
          </cell>
          <cell r="AA269" t="str">
            <v>HNSCC</v>
          </cell>
          <cell r="AC269" t="str">
            <v>Buccal Mucosa</v>
          </cell>
          <cell r="AD269" t="str">
            <v>Buccal Mucosa</v>
          </cell>
          <cell r="AE269" t="str">
            <v>Female</v>
          </cell>
          <cell r="AF269">
            <v>56</v>
          </cell>
          <cell r="AG269" t="str">
            <v>N</v>
          </cell>
          <cell r="AH269">
            <v>5.4</v>
          </cell>
          <cell r="AI269" t="str">
            <v>Maruthi</v>
          </cell>
          <cell r="AJ269" t="str">
            <v>Surgery</v>
          </cell>
          <cell r="AK269" t="str">
            <v>Primary</v>
          </cell>
          <cell r="AN269">
            <v>2</v>
          </cell>
          <cell r="AP269" t="str">
            <v>T2Nomx</v>
          </cell>
          <cell r="AS269" t="str">
            <v>Squamous cell carcinoma</v>
          </cell>
          <cell r="AV269">
            <v>44782</v>
          </cell>
          <cell r="AW269">
            <v>0.89027777777777772</v>
          </cell>
          <cell r="AX269">
            <v>0.96875</v>
          </cell>
          <cell r="AY269">
            <v>7.8472222222222221E-2</v>
          </cell>
          <cell r="AZ269">
            <v>9.0277777777777776E-2</v>
          </cell>
          <cell r="BA269">
            <v>0.40625</v>
          </cell>
          <cell r="BB269" t="str">
            <v>0.4*0.8*1.0
0.4*1.2*1.0</v>
          </cell>
          <cell r="BC269" t="str">
            <v>0.4*0.8*1.0
0.4*1.2*1.0</v>
          </cell>
          <cell r="BD269" t="str">
            <v>Vibratome</v>
          </cell>
          <cell r="BE269">
            <v>4</v>
          </cell>
          <cell r="BF269" t="str">
            <v>Kowshik</v>
          </cell>
          <cell r="BG269" t="str">
            <v>Y</v>
          </cell>
        </row>
        <row r="270">
          <cell r="A270" t="str">
            <v>FBR1K220194</v>
          </cell>
          <cell r="B270">
            <v>220194</v>
          </cell>
          <cell r="C270" t="str">
            <v>R&amp;D</v>
          </cell>
          <cell r="D270">
            <v>44782</v>
          </cell>
          <cell r="E270">
            <v>0.5625</v>
          </cell>
          <cell r="F270">
            <v>44774</v>
          </cell>
          <cell r="G270">
            <v>44782</v>
          </cell>
          <cell r="H270">
            <v>0.87847222222222221</v>
          </cell>
          <cell r="I270">
            <v>0.31597222222222221</v>
          </cell>
          <cell r="J270">
            <v>10</v>
          </cell>
          <cell r="K270" t="str">
            <v>FCB-PROTOCOL-01</v>
          </cell>
          <cell r="L270" t="str">
            <v>CLN/DBR/111</v>
          </cell>
          <cell r="M270" t="str">
            <v>Y</v>
          </cell>
          <cell r="N270" t="str">
            <v>DMS_v4(1K)</v>
          </cell>
          <cell r="O270" t="str">
            <v>Internal R&amp;D</v>
          </cell>
          <cell r="P270" t="str">
            <v>Q1 Passed</v>
          </cell>
          <cell r="Q270" t="str">
            <v>Q1 Passed</v>
          </cell>
          <cell r="R270" t="str">
            <v>Q1.5 Passed</v>
          </cell>
          <cell r="S270" t="str">
            <v>Q1.5 Passed</v>
          </cell>
          <cell r="W270" t="str">
            <v>Clinic'les</v>
          </cell>
          <cell r="X270" t="str">
            <v>Clinic'les- DBR &amp; SK Hospital, Tirupati</v>
          </cell>
          <cell r="Y270" t="str">
            <v>DBR &amp; SK Hospital, Tirupati</v>
          </cell>
          <cell r="Z270" t="str">
            <v>Dr C Jayaprakash, Tirupati</v>
          </cell>
          <cell r="AA270" t="str">
            <v>HNSCC</v>
          </cell>
          <cell r="AC270" t="str">
            <v>Buccal Mucosa</v>
          </cell>
          <cell r="AD270" t="str">
            <v>Buccal Mucosa</v>
          </cell>
          <cell r="AE270" t="str">
            <v>Female</v>
          </cell>
          <cell r="AF270">
            <v>56</v>
          </cell>
          <cell r="AG270" t="str">
            <v>N</v>
          </cell>
          <cell r="AH270">
            <v>5.4</v>
          </cell>
          <cell r="AI270" t="str">
            <v>Maruthi</v>
          </cell>
          <cell r="AJ270" t="str">
            <v>Surgery</v>
          </cell>
          <cell r="AK270" t="str">
            <v>Primary</v>
          </cell>
          <cell r="AN270">
            <v>2</v>
          </cell>
          <cell r="AP270" t="str">
            <v>T2Nomx</v>
          </cell>
          <cell r="AS270" t="str">
            <v>Squamous cell carcinoma</v>
          </cell>
          <cell r="AV270">
            <v>44782</v>
          </cell>
          <cell r="AW270">
            <v>0.89027777777777772</v>
          </cell>
          <cell r="AX270">
            <v>0.96875</v>
          </cell>
          <cell r="AY270">
            <v>7.8472222222222221E-2</v>
          </cell>
          <cell r="AZ270">
            <v>9.0277777777777776E-2</v>
          </cell>
          <cell r="BA270">
            <v>0.40625</v>
          </cell>
          <cell r="BB270" t="str">
            <v>0.4*0.8*1.0
0.4*1.2*1.0</v>
          </cell>
          <cell r="BC270" t="str">
            <v>0.4*0.8*1.0
0.4*1.2*1.0</v>
          </cell>
          <cell r="BD270" t="str">
            <v>Vibratome</v>
          </cell>
          <cell r="BE270">
            <v>4</v>
          </cell>
          <cell r="BF270" t="str">
            <v>Kowshik</v>
          </cell>
          <cell r="BG270" t="str">
            <v>Y</v>
          </cell>
        </row>
        <row r="271">
          <cell r="A271" t="str">
            <v>FBB1D220195</v>
          </cell>
          <cell r="B271">
            <v>220195</v>
          </cell>
          <cell r="C271" t="str">
            <v>Biopharma</v>
          </cell>
          <cell r="D271">
            <v>44783</v>
          </cell>
          <cell r="E271">
            <v>0.48819444444444443</v>
          </cell>
          <cell r="F271">
            <v>44774</v>
          </cell>
          <cell r="G271">
            <v>44783</v>
          </cell>
          <cell r="H271">
            <v>0.55625000000000002</v>
          </cell>
          <cell r="I271">
            <v>6.805555555555555E-2</v>
          </cell>
          <cell r="J271">
            <v>13</v>
          </cell>
          <cell r="K271" t="str">
            <v>FCB-PROTOCOL-01</v>
          </cell>
          <cell r="L271" t="str">
            <v>HN013</v>
          </cell>
          <cell r="M271" t="str">
            <v>Y</v>
          </cell>
          <cell r="N271" t="str">
            <v>BP005_SOW1_2021</v>
          </cell>
          <cell r="O271" t="str">
            <v>Biopharma</v>
          </cell>
          <cell r="P271" t="str">
            <v>Q1 Passed</v>
          </cell>
          <cell r="Q271" t="str">
            <v>Q1 Passed</v>
          </cell>
          <cell r="R271" t="str">
            <v>Q1.5 Passed</v>
          </cell>
          <cell r="S271" t="str">
            <v>Q1.5 Passed</v>
          </cell>
          <cell r="T271" t="str">
            <v>blood volume was less(5ml)</v>
          </cell>
          <cell r="V271" t="str">
            <v xml:space="preserve">Tumor content 6-80%. Good immune prescence. Many explants have fragmented, pyknotic tumor cells  </v>
          </cell>
          <cell r="W271" t="str">
            <v>Government Hospital</v>
          </cell>
          <cell r="X271" t="str">
            <v>Mazumdar Shaw Medical Centre, Bangalore</v>
          </cell>
          <cell r="Y271" t="str">
            <v>Mazumdar Shaw Medical Centre, Bangalore</v>
          </cell>
          <cell r="Z271" t="str">
            <v>Dr Vijay Pillai, Bangalore</v>
          </cell>
          <cell r="AA271" t="str">
            <v>HNSCC</v>
          </cell>
          <cell r="AC271" t="str">
            <v>Tongue</v>
          </cell>
          <cell r="AD271" t="str">
            <v>Left Lateral Border of Tongue</v>
          </cell>
          <cell r="AE271" t="str">
            <v>Male</v>
          </cell>
          <cell r="AF271">
            <v>57</v>
          </cell>
          <cell r="AG271" t="str">
            <v>N</v>
          </cell>
          <cell r="AH271">
            <v>3.1</v>
          </cell>
          <cell r="AI271" t="str">
            <v>Kalappa</v>
          </cell>
          <cell r="AJ271" t="str">
            <v>Surgery</v>
          </cell>
          <cell r="AK271" t="str">
            <v>Primary</v>
          </cell>
          <cell r="AO271">
            <v>2</v>
          </cell>
          <cell r="AP271" t="str">
            <v>pT2N0</v>
          </cell>
          <cell r="AS271" t="str">
            <v>Moderately differentiated squamous cell carcinoma.</v>
          </cell>
          <cell r="AV271">
            <v>44783</v>
          </cell>
          <cell r="AW271">
            <v>0.59722222222222221</v>
          </cell>
          <cell r="AX271">
            <v>0.71527777777777779</v>
          </cell>
          <cell r="AY271">
            <v>0.11805555555555555</v>
          </cell>
          <cell r="AZ271">
            <v>0.15902777777777777</v>
          </cell>
          <cell r="BA271">
            <v>0.22708333333333333</v>
          </cell>
          <cell r="BB271" t="str">
            <v>1.0*1.8*2.4</v>
          </cell>
          <cell r="BC271" t="str">
            <v>1.0*1.8*2.4</v>
          </cell>
          <cell r="BD271" t="str">
            <v>Vibratome</v>
          </cell>
          <cell r="BE271">
            <v>4</v>
          </cell>
          <cell r="BF271" t="str">
            <v>Gowri</v>
          </cell>
          <cell r="BG271" t="str">
            <v>Y</v>
          </cell>
        </row>
        <row r="272">
          <cell r="A272" t="str">
            <v>FBB1K220195</v>
          </cell>
          <cell r="B272">
            <v>220195</v>
          </cell>
          <cell r="C272" t="str">
            <v>R&amp;D</v>
          </cell>
          <cell r="D272">
            <v>44783</v>
          </cell>
          <cell r="E272">
            <v>0.48819444444444443</v>
          </cell>
          <cell r="F272">
            <v>44774</v>
          </cell>
          <cell r="G272">
            <v>44783</v>
          </cell>
          <cell r="H272">
            <v>0.55625000000000002</v>
          </cell>
          <cell r="I272">
            <v>6.805555555555555E-2</v>
          </cell>
          <cell r="J272">
            <v>13</v>
          </cell>
          <cell r="K272" t="str">
            <v>FCB-PROTOCOL-01</v>
          </cell>
          <cell r="L272" t="str">
            <v>HN013</v>
          </cell>
          <cell r="M272" t="str">
            <v>Y</v>
          </cell>
          <cell r="N272" t="str">
            <v>DMS_v4(1K)</v>
          </cell>
          <cell r="O272" t="str">
            <v>Internal R&amp;D</v>
          </cell>
          <cell r="P272" t="str">
            <v>Q1 Passed</v>
          </cell>
          <cell r="Q272" t="str">
            <v>Q1 Passed</v>
          </cell>
          <cell r="R272" t="str">
            <v>Q1.5 Passed</v>
          </cell>
          <cell r="S272" t="str">
            <v>Q1.5 Passed</v>
          </cell>
          <cell r="T272" t="str">
            <v>blood volume was less(5ml)</v>
          </cell>
          <cell r="W272" t="str">
            <v>Government Hospital</v>
          </cell>
          <cell r="X272" t="str">
            <v>Mazumdar Shaw Medical Centre, Bangalore</v>
          </cell>
          <cell r="Y272" t="str">
            <v>Mazumdar Shaw Medical Centre, Bangalore</v>
          </cell>
          <cell r="Z272" t="str">
            <v>Dr Vijay Pillai, Bangalore</v>
          </cell>
          <cell r="AA272" t="str">
            <v>HNSCC</v>
          </cell>
          <cell r="AC272" t="str">
            <v>Tongue</v>
          </cell>
          <cell r="AD272" t="str">
            <v>Left Lateral Border of Tongue</v>
          </cell>
          <cell r="AE272" t="str">
            <v>Male</v>
          </cell>
          <cell r="AF272">
            <v>57</v>
          </cell>
          <cell r="AG272" t="str">
            <v>N</v>
          </cell>
          <cell r="AH272">
            <v>3.1</v>
          </cell>
          <cell r="AI272" t="str">
            <v>Kalappa</v>
          </cell>
          <cell r="AJ272" t="str">
            <v>Surgery</v>
          </cell>
          <cell r="AK272" t="str">
            <v>Primary</v>
          </cell>
          <cell r="AO272">
            <v>2</v>
          </cell>
          <cell r="AP272" t="str">
            <v>pT2N0</v>
          </cell>
          <cell r="AS272" t="str">
            <v>Moderately differentiated squamous cell carcinoma.</v>
          </cell>
          <cell r="AV272">
            <v>44783</v>
          </cell>
          <cell r="AW272">
            <v>0.59722222222222221</v>
          </cell>
          <cell r="AX272">
            <v>0.71527777777777779</v>
          </cell>
          <cell r="AY272">
            <v>0.11805555555555555</v>
          </cell>
          <cell r="AZ272">
            <v>0.15902777777777777</v>
          </cell>
          <cell r="BA272">
            <v>0.22708333333333333</v>
          </cell>
          <cell r="BB272" t="str">
            <v>1.0*1.8*2.4</v>
          </cell>
          <cell r="BC272" t="str">
            <v>1.0*1.8*2.4</v>
          </cell>
          <cell r="BD272" t="str">
            <v>Vibratome</v>
          </cell>
          <cell r="BE272">
            <v>4</v>
          </cell>
          <cell r="BF272" t="str">
            <v>Gowri</v>
          </cell>
          <cell r="BG272" t="str">
            <v>Y</v>
          </cell>
        </row>
        <row r="273">
          <cell r="A273">
            <v>220196</v>
          </cell>
          <cell r="B273">
            <v>220196</v>
          </cell>
          <cell r="C273" t="str">
            <v>R&amp;D</v>
          </cell>
          <cell r="D273">
            <v>44783</v>
          </cell>
          <cell r="E273">
            <v>0.62708333333333333</v>
          </cell>
          <cell r="F273">
            <v>44774</v>
          </cell>
          <cell r="G273">
            <v>44783</v>
          </cell>
          <cell r="H273">
            <v>0.70833333333333337</v>
          </cell>
          <cell r="I273">
            <v>8.1250000000000003E-2</v>
          </cell>
          <cell r="J273">
            <v>3</v>
          </cell>
          <cell r="K273" t="str">
            <v>FCB-PROTOCOL-02</v>
          </cell>
          <cell r="L273" t="str">
            <v>VYD/125</v>
          </cell>
          <cell r="M273" t="str">
            <v>Y</v>
          </cell>
          <cell r="N273" t="str">
            <v>No Study</v>
          </cell>
          <cell r="O273" t="str">
            <v>1st level attrition</v>
          </cell>
          <cell r="P273" t="str">
            <v>Q1 Rejected</v>
          </cell>
          <cell r="Q273" t="str">
            <v>Q1 Passed</v>
          </cell>
          <cell r="R273" t="str">
            <v>Q1.5 Rejected</v>
          </cell>
          <cell r="S273" t="str">
            <v>Q1.5 Rejected</v>
          </cell>
          <cell r="T273" t="str">
            <v>Sampl height is 2mm and tissue very powdery</v>
          </cell>
          <cell r="W273" t="str">
            <v>Private Hospital</v>
          </cell>
          <cell r="X273" t="str">
            <v>Vydehi Hospital, Bangalore</v>
          </cell>
          <cell r="Y273" t="str">
            <v>Vydehi Hospital, Bangalore</v>
          </cell>
          <cell r="Z273" t="str">
            <v>Dr Amritha Prabha, Bangalore</v>
          </cell>
          <cell r="AA273" t="str">
            <v>HNSCC</v>
          </cell>
          <cell r="AC273" t="str">
            <v>Buccal Mucosa</v>
          </cell>
          <cell r="AD273" t="str">
            <v>Left buccal mucosa</v>
          </cell>
          <cell r="AE273" t="str">
            <v>Female</v>
          </cell>
          <cell r="AF273">
            <v>44</v>
          </cell>
          <cell r="AG273" t="str">
            <v>N</v>
          </cell>
          <cell r="AH273">
            <v>5.0999999999999996</v>
          </cell>
          <cell r="AI273" t="str">
            <v>Partha</v>
          </cell>
          <cell r="AJ273" t="str">
            <v>Surgery</v>
          </cell>
          <cell r="AK273" t="str">
            <v>Primary</v>
          </cell>
          <cell r="AS273" t="str">
            <v>Squamous Cell Carcinoma</v>
          </cell>
          <cell r="AV273">
            <v>44782</v>
          </cell>
          <cell r="AW273">
            <v>0.71875</v>
          </cell>
          <cell r="BB273" t="str">
            <v>0.2*0.8*1.0</v>
          </cell>
          <cell r="BC273" t="str">
            <v>0.2*0.8*1.0</v>
          </cell>
          <cell r="BE273">
            <v>4</v>
          </cell>
          <cell r="BF273" t="str">
            <v>Kowshik</v>
          </cell>
          <cell r="BG273" t="str">
            <v>N</v>
          </cell>
        </row>
        <row r="274">
          <cell r="A274">
            <v>220197</v>
          </cell>
          <cell r="B274">
            <v>220197</v>
          </cell>
          <cell r="C274" t="str">
            <v>R&amp;D</v>
          </cell>
          <cell r="D274">
            <v>44783</v>
          </cell>
          <cell r="E274">
            <v>0.52777777777777779</v>
          </cell>
          <cell r="F274">
            <v>44774</v>
          </cell>
          <cell r="G274">
            <v>44783</v>
          </cell>
          <cell r="H274">
            <v>0.88888888888888884</v>
          </cell>
          <cell r="I274">
            <v>0.3611111111111111</v>
          </cell>
          <cell r="J274">
            <v>10</v>
          </cell>
          <cell r="K274" t="str">
            <v>FCB-PROTOCOL-01</v>
          </cell>
          <cell r="L274" t="str">
            <v>CLN/DBR/112</v>
          </cell>
          <cell r="M274" t="str">
            <v>Y</v>
          </cell>
          <cell r="N274" t="str">
            <v>BioBank</v>
          </cell>
          <cell r="O274" t="str">
            <v>BioBank</v>
          </cell>
          <cell r="P274" t="str">
            <v>Q1 Passed</v>
          </cell>
          <cell r="Q274" t="str">
            <v>Q1 Rejected</v>
          </cell>
          <cell r="R274" t="str">
            <v>Q1.5 Rejected</v>
          </cell>
          <cell r="S274" t="str">
            <v>Q1.5 Rejected</v>
          </cell>
          <cell r="T274" t="str">
            <v>blood volume was High(10ml)</v>
          </cell>
          <cell r="W274" t="str">
            <v>Clinic'les</v>
          </cell>
          <cell r="X274" t="str">
            <v>Clinic'les- DBR &amp; SK Hospital, Tirupati</v>
          </cell>
          <cell r="Y274" t="str">
            <v>DBR &amp; SK Hospital, Tirupati</v>
          </cell>
          <cell r="Z274" t="str">
            <v>Dr C Jayaprakash, Tirupati</v>
          </cell>
          <cell r="AA274" t="str">
            <v>HNSCC</v>
          </cell>
          <cell r="AC274" t="str">
            <v>Buccal Mucosa</v>
          </cell>
          <cell r="AD274" t="str">
            <v>Buccal Mucosa</v>
          </cell>
          <cell r="AE274" t="str">
            <v>Female</v>
          </cell>
          <cell r="AF274">
            <v>54</v>
          </cell>
          <cell r="AG274" t="str">
            <v>N</v>
          </cell>
          <cell r="AH274">
            <v>5.6</v>
          </cell>
          <cell r="AI274" t="str">
            <v>Maruthi</v>
          </cell>
          <cell r="AJ274" t="str">
            <v>Surgery</v>
          </cell>
          <cell r="AK274" t="str">
            <v>Primary</v>
          </cell>
          <cell r="AS274" t="str">
            <v>Squamous cell carcinoma</v>
          </cell>
          <cell r="AV274">
            <v>44783</v>
          </cell>
          <cell r="AW274">
            <v>0.90069444444444446</v>
          </cell>
          <cell r="BB274" t="str">
            <v>0.2/0.3*0.6*1.4</v>
          </cell>
          <cell r="BC274" t="str">
            <v>0.2/0.3*0.6*1.4</v>
          </cell>
          <cell r="BE274">
            <v>4</v>
          </cell>
          <cell r="BF274" t="str">
            <v>Kowshik</v>
          </cell>
          <cell r="BG274" t="str">
            <v>N</v>
          </cell>
        </row>
        <row r="275">
          <cell r="A275">
            <v>220198</v>
          </cell>
          <cell r="B275">
            <v>220198</v>
          </cell>
          <cell r="C275" t="str">
            <v>R&amp;D</v>
          </cell>
          <cell r="D275">
            <v>44785</v>
          </cell>
          <cell r="E275">
            <v>0.53749999999999998</v>
          </cell>
          <cell r="F275">
            <v>44774</v>
          </cell>
          <cell r="G275">
            <v>44785</v>
          </cell>
          <cell r="H275">
            <v>0.59652777777777777</v>
          </cell>
          <cell r="I275">
            <v>5.9027777777777776E-2</v>
          </cell>
          <cell r="J275">
            <v>24</v>
          </cell>
          <cell r="K275" t="str">
            <v>FCB-PROTOCOL-01</v>
          </cell>
          <cell r="L275" t="str">
            <v>HN014</v>
          </cell>
          <cell r="M275" t="str">
            <v>Y</v>
          </cell>
          <cell r="N275" t="str">
            <v>No Study</v>
          </cell>
          <cell r="O275" t="str">
            <v>1st level attrition</v>
          </cell>
          <cell r="P275" t="str">
            <v>Q1 Rejected</v>
          </cell>
          <cell r="Q275" t="str">
            <v>Q1 Passed</v>
          </cell>
          <cell r="R275" t="str">
            <v>Q1.5 Rejected</v>
          </cell>
          <cell r="S275" t="str">
            <v>Q1.5 Rejected</v>
          </cell>
          <cell r="T275" t="str">
            <v>Tissue has multiple layer and broken</v>
          </cell>
          <cell r="U275" t="str">
            <v>yes</v>
          </cell>
          <cell r="V275" t="str">
            <v>FFPE</v>
          </cell>
          <cell r="W275" t="str">
            <v>Government Hospital</v>
          </cell>
          <cell r="X275" t="str">
            <v>Mazumdar Shaw Medical Centre, Bangalore</v>
          </cell>
          <cell r="Y275" t="str">
            <v>Mazumdar Shaw Medical Centre, Bangalore</v>
          </cell>
          <cell r="Z275" t="str">
            <v>Dr Vijay Pillai, Bangalore</v>
          </cell>
          <cell r="AA275" t="str">
            <v>HNSCC</v>
          </cell>
          <cell r="AC275" t="str">
            <v>Buccal Mucosa</v>
          </cell>
          <cell r="AD275" t="str">
            <v>Left Buccal Mucosa</v>
          </cell>
          <cell r="AE275" t="str">
            <v>Male</v>
          </cell>
          <cell r="AF275">
            <v>55</v>
          </cell>
          <cell r="AG275" t="str">
            <v>N</v>
          </cell>
          <cell r="AH275">
            <v>2.7</v>
          </cell>
          <cell r="AI275" t="str">
            <v>Kalappa</v>
          </cell>
          <cell r="AJ275" t="str">
            <v>Surgery</v>
          </cell>
          <cell r="AK275" t="str">
            <v>Primary</v>
          </cell>
          <cell r="AS275" t="str">
            <v>Squamous cell carcinoma</v>
          </cell>
          <cell r="AV275">
            <v>44785</v>
          </cell>
          <cell r="AW275">
            <v>0.62152777777777779</v>
          </cell>
          <cell r="BB275" t="str">
            <v>0.4*1.6*1.0
0.4*1.4*1.0</v>
          </cell>
          <cell r="BC275" t="str">
            <v>0.4*1.6*1.0
0.4*1.4*1.0</v>
          </cell>
          <cell r="BE275">
            <v>4</v>
          </cell>
          <cell r="BF275" t="str">
            <v>Syam</v>
          </cell>
          <cell r="BG275" t="str">
            <v>N</v>
          </cell>
        </row>
        <row r="276">
          <cell r="A276">
            <v>220199</v>
          </cell>
          <cell r="B276">
            <v>220199</v>
          </cell>
          <cell r="C276" t="str">
            <v>R&amp;D</v>
          </cell>
          <cell r="D276">
            <v>44789</v>
          </cell>
          <cell r="E276">
            <v>0.58333333333333337</v>
          </cell>
          <cell r="F276">
            <v>44774</v>
          </cell>
          <cell r="G276">
            <v>44789</v>
          </cell>
          <cell r="H276">
            <v>0.63958333333333328</v>
          </cell>
          <cell r="I276">
            <v>5.6250000000000001E-2</v>
          </cell>
          <cell r="J276">
            <v>30</v>
          </cell>
          <cell r="K276" t="str">
            <v>FCB-PROTOCOL-01</v>
          </cell>
          <cell r="L276" t="str">
            <v>HN015</v>
          </cell>
          <cell r="M276" t="str">
            <v>Y</v>
          </cell>
          <cell r="N276" t="str">
            <v>No Study</v>
          </cell>
          <cell r="O276" t="str">
            <v>1st level attrition</v>
          </cell>
          <cell r="P276" t="str">
            <v>Q1 Rejected</v>
          </cell>
          <cell r="Q276" t="str">
            <v>Q1 Passed</v>
          </cell>
          <cell r="R276" t="str">
            <v>Q1.5 Rejected</v>
          </cell>
          <cell r="S276" t="str">
            <v>Q1.5 Rejected</v>
          </cell>
          <cell r="T276" t="str">
            <v>Tissue size was small-pyramid shape</v>
          </cell>
          <cell r="U276" t="str">
            <v>yes</v>
          </cell>
          <cell r="V276" t="str">
            <v>FFPE</v>
          </cell>
          <cell r="W276" t="str">
            <v>Government Hospital</v>
          </cell>
          <cell r="X276" t="str">
            <v>Mazumdar Shaw Medical Centre, Bangalore</v>
          </cell>
          <cell r="Y276" t="str">
            <v>Mazumdar Shaw Medical Centre, Bangalore</v>
          </cell>
          <cell r="Z276" t="str">
            <v>Dr Vijay Pillai, Bangalore</v>
          </cell>
          <cell r="AA276" t="str">
            <v>HNSCC</v>
          </cell>
          <cell r="AC276" t="str">
            <v>Buccal Mucosa</v>
          </cell>
          <cell r="AD276" t="str">
            <v>Left Buccal Mucosa</v>
          </cell>
          <cell r="AE276" t="str">
            <v>Male</v>
          </cell>
          <cell r="AF276">
            <v>58</v>
          </cell>
          <cell r="AG276" t="str">
            <v>N</v>
          </cell>
          <cell r="AH276">
            <v>3.1</v>
          </cell>
          <cell r="AI276" t="str">
            <v>Kalappa</v>
          </cell>
          <cell r="AJ276" t="str">
            <v>Surgery</v>
          </cell>
          <cell r="AK276" t="str">
            <v>Primary</v>
          </cell>
          <cell r="AS276" t="str">
            <v>Squamous cell carcinoma</v>
          </cell>
          <cell r="AV276">
            <v>44789</v>
          </cell>
          <cell r="AW276">
            <v>0.65486111111111112</v>
          </cell>
          <cell r="BB276" t="str">
            <v>0.3*0.8*1.0</v>
          </cell>
          <cell r="BC276" t="str">
            <v>0.3*0.8*1.0</v>
          </cell>
          <cell r="BE276">
            <v>4</v>
          </cell>
          <cell r="BF276" t="str">
            <v>Biswajit</v>
          </cell>
          <cell r="BG276" t="str">
            <v>N</v>
          </cell>
        </row>
        <row r="277">
          <cell r="A277" t="str">
            <v>FBB1D220200</v>
          </cell>
          <cell r="B277">
            <v>220200</v>
          </cell>
          <cell r="C277" t="str">
            <v>Biopharma</v>
          </cell>
          <cell r="D277">
            <v>44792</v>
          </cell>
          <cell r="E277">
            <v>0.44236111111111109</v>
          </cell>
          <cell r="F277">
            <v>44774</v>
          </cell>
          <cell r="G277">
            <v>44792</v>
          </cell>
          <cell r="H277">
            <v>0.54097222222222219</v>
          </cell>
          <cell r="I277">
            <v>9.8611111111111108E-2</v>
          </cell>
          <cell r="J277">
            <v>5</v>
          </cell>
          <cell r="K277" t="str">
            <v>FCB-PROTOCOL-02</v>
          </cell>
          <cell r="L277" t="str">
            <v>VYD/126</v>
          </cell>
          <cell r="M277" t="str">
            <v>Y</v>
          </cell>
          <cell r="N277" t="str">
            <v>BP005_SOW1_2021</v>
          </cell>
          <cell r="O277" t="str">
            <v>Biopharma</v>
          </cell>
          <cell r="P277" t="str">
            <v>Q1 Passed</v>
          </cell>
          <cell r="Q277" t="str">
            <v>Q1 Passed</v>
          </cell>
          <cell r="R277" t="str">
            <v>Q1.5 Passed</v>
          </cell>
          <cell r="S277" t="str">
            <v>Q1.5 Passed</v>
          </cell>
          <cell r="W277" t="str">
            <v>Private Hospital</v>
          </cell>
          <cell r="X277" t="str">
            <v>Vydehi Hospital, Bangalore</v>
          </cell>
          <cell r="Y277" t="str">
            <v>Vydehi Hospital, Bangalore</v>
          </cell>
          <cell r="Z277" t="str">
            <v>Dr Amritha Prabha, Bangalore</v>
          </cell>
          <cell r="AA277" t="str">
            <v>HNSCC</v>
          </cell>
          <cell r="AC277" t="str">
            <v>Buccal Mucosa</v>
          </cell>
          <cell r="AD277" t="str">
            <v>Left buccal mucosa</v>
          </cell>
          <cell r="AE277" t="str">
            <v>Female</v>
          </cell>
          <cell r="AF277">
            <v>52</v>
          </cell>
          <cell r="AG277" t="str">
            <v>N</v>
          </cell>
          <cell r="AH277">
            <v>3.1</v>
          </cell>
          <cell r="AI277" t="str">
            <v>Kalappa</v>
          </cell>
          <cell r="AJ277" t="str">
            <v>Surgery</v>
          </cell>
          <cell r="AK277" t="str">
            <v>Primary</v>
          </cell>
          <cell r="AN277" t="str">
            <v>IVa</v>
          </cell>
          <cell r="AO277">
            <v>2</v>
          </cell>
          <cell r="AP277" t="str">
            <v>pT3N2</v>
          </cell>
          <cell r="AS277" t="str">
            <v>Squamous Cell Carcinoma</v>
          </cell>
          <cell r="AV277">
            <v>44792</v>
          </cell>
          <cell r="AW277">
            <v>0.65625</v>
          </cell>
          <cell r="AX277">
            <v>0.71527777777777779</v>
          </cell>
          <cell r="AY277">
            <v>5.9027777777777776E-2</v>
          </cell>
          <cell r="AZ277">
            <v>0.17430555555555555</v>
          </cell>
          <cell r="BA277">
            <v>0.27291666666666664</v>
          </cell>
          <cell r="BB277" t="str">
            <v>1.4*1.6*1.7</v>
          </cell>
          <cell r="BC277" t="str">
            <v>1.4*1.6*1.7</v>
          </cell>
          <cell r="BD277" t="str">
            <v>Vibratome</v>
          </cell>
          <cell r="BE277">
            <v>4</v>
          </cell>
          <cell r="BF277" t="str">
            <v>Gowri</v>
          </cell>
        </row>
        <row r="278">
          <cell r="A278" t="str">
            <v>FBR1K220200</v>
          </cell>
          <cell r="B278">
            <v>220200</v>
          </cell>
          <cell r="C278" t="str">
            <v>R&amp;D</v>
          </cell>
          <cell r="D278">
            <v>44792</v>
          </cell>
          <cell r="E278">
            <v>0.44236111111111109</v>
          </cell>
          <cell r="F278">
            <v>44774</v>
          </cell>
          <cell r="G278">
            <v>44792</v>
          </cell>
          <cell r="H278">
            <v>0.54097222222222219</v>
          </cell>
          <cell r="I278">
            <v>9.8611111111111108E-2</v>
          </cell>
          <cell r="J278">
            <v>5</v>
          </cell>
          <cell r="K278" t="str">
            <v>FCB-PROTOCOL-02</v>
          </cell>
          <cell r="L278" t="str">
            <v>VYD/126</v>
          </cell>
          <cell r="M278" t="str">
            <v>Y</v>
          </cell>
          <cell r="N278" t="str">
            <v>DMS_v4(1K)</v>
          </cell>
          <cell r="O278" t="str">
            <v>Internal R&amp;D</v>
          </cell>
          <cell r="P278" t="str">
            <v>Q1 Passed</v>
          </cell>
          <cell r="Q278" t="str">
            <v>Q1 Passed</v>
          </cell>
          <cell r="R278" t="str">
            <v>Q1.5 Passed</v>
          </cell>
          <cell r="S278" t="str">
            <v>Q1.5 Passed</v>
          </cell>
          <cell r="W278" t="str">
            <v>Private Hospital</v>
          </cell>
          <cell r="X278" t="str">
            <v>Vydehi Hospital, Bangalore</v>
          </cell>
          <cell r="Y278" t="str">
            <v>Vydehi Hospital, Bangalore</v>
          </cell>
          <cell r="Z278" t="str">
            <v>Dr Amritha Prabha, Bangalore</v>
          </cell>
          <cell r="AA278" t="str">
            <v>HNSCC</v>
          </cell>
          <cell r="AC278" t="str">
            <v>Buccal Mucosa</v>
          </cell>
          <cell r="AD278" t="str">
            <v>Left buccal mucosa</v>
          </cell>
          <cell r="AE278" t="str">
            <v>Female</v>
          </cell>
          <cell r="AF278">
            <v>52</v>
          </cell>
          <cell r="AG278" t="str">
            <v>N</v>
          </cell>
          <cell r="AH278">
            <v>3.1</v>
          </cell>
          <cell r="AI278" t="str">
            <v>Kalappa</v>
          </cell>
          <cell r="AJ278" t="str">
            <v>Surgery</v>
          </cell>
          <cell r="AK278" t="str">
            <v>Primary</v>
          </cell>
          <cell r="AN278" t="str">
            <v>IVa</v>
          </cell>
          <cell r="AO278">
            <v>2</v>
          </cell>
          <cell r="AP278" t="str">
            <v>pT3N2</v>
          </cell>
          <cell r="AS278" t="str">
            <v>Squamous Cell Carcinoma</v>
          </cell>
          <cell r="AV278">
            <v>44792</v>
          </cell>
          <cell r="AW278">
            <v>0.65625</v>
          </cell>
          <cell r="AX278">
            <v>0.71527777777777779</v>
          </cell>
          <cell r="AY278">
            <v>5.9027777777777776E-2</v>
          </cell>
          <cell r="AZ278">
            <v>0.17430555555555555</v>
          </cell>
          <cell r="BA278">
            <v>0.27291666666666664</v>
          </cell>
          <cell r="BB278" t="str">
            <v>1.4*1.6*1.7</v>
          </cell>
          <cell r="BC278" t="str">
            <v>1.4*1.6*1.7</v>
          </cell>
          <cell r="BD278" t="str">
            <v>Vibratome</v>
          </cell>
          <cell r="BE278">
            <v>4</v>
          </cell>
          <cell r="BF278" t="str">
            <v>Gowri</v>
          </cell>
        </row>
        <row r="279">
          <cell r="A279">
            <v>220201</v>
          </cell>
          <cell r="B279">
            <v>220201</v>
          </cell>
          <cell r="C279" t="str">
            <v>R&amp;D</v>
          </cell>
          <cell r="D279">
            <v>44793</v>
          </cell>
          <cell r="E279">
            <v>0.5</v>
          </cell>
          <cell r="F279">
            <v>44774</v>
          </cell>
          <cell r="G279">
            <v>44793</v>
          </cell>
          <cell r="H279">
            <v>0.82708333333333328</v>
          </cell>
          <cell r="I279">
            <v>0.32708333333333334</v>
          </cell>
          <cell r="J279">
            <v>15</v>
          </cell>
          <cell r="K279" t="str">
            <v>FCB-PROTOCOL-01</v>
          </cell>
          <cell r="L279" t="str">
            <v>CLN/DBR/113</v>
          </cell>
          <cell r="M279" t="str">
            <v>Y</v>
          </cell>
          <cell r="N279" t="str">
            <v>BioBank</v>
          </cell>
          <cell r="O279" t="str">
            <v>BioBank</v>
          </cell>
          <cell r="P279" t="str">
            <v>Q1 Passed</v>
          </cell>
          <cell r="Q279" t="str">
            <v>Q1 Rejected</v>
          </cell>
          <cell r="R279" t="str">
            <v>Q1.5 Rejected</v>
          </cell>
          <cell r="S279" t="str">
            <v>Q1.5 Rejected</v>
          </cell>
          <cell r="T279" t="str">
            <v>Tissue has broken and hollow in the middle</v>
          </cell>
          <cell r="W279" t="str">
            <v>Clinic'les</v>
          </cell>
          <cell r="X279" t="str">
            <v>Clinic'les- DBR &amp; SK Hospital, Tirupati</v>
          </cell>
          <cell r="Y279" t="str">
            <v>DBR &amp; SK Hospital, Tirupati</v>
          </cell>
          <cell r="Z279" t="str">
            <v>Dr C Jayaprakash, Tirupati</v>
          </cell>
          <cell r="AA279" t="str">
            <v>HNSCC</v>
          </cell>
          <cell r="AC279" t="str">
            <v>Buccal Mucosa</v>
          </cell>
          <cell r="AD279" t="str">
            <v>Buccal Mucosa</v>
          </cell>
          <cell r="AE279" t="str">
            <v>Female</v>
          </cell>
          <cell r="AF279">
            <v>61</v>
          </cell>
          <cell r="AG279" t="str">
            <v>N</v>
          </cell>
          <cell r="AH279">
            <v>5.3</v>
          </cell>
          <cell r="AI279" t="str">
            <v>Maruthi</v>
          </cell>
          <cell r="AJ279" t="str">
            <v>Surgery</v>
          </cell>
          <cell r="AK279" t="str">
            <v>Primary</v>
          </cell>
          <cell r="AS279" t="str">
            <v>Squamous cell carcinoma</v>
          </cell>
          <cell r="AV279">
            <v>44793</v>
          </cell>
          <cell r="AW279">
            <v>0.85416666666666663</v>
          </cell>
          <cell r="BB279" t="str">
            <v>0.2*0.6*0.6
0.4*1.0*0.8
0.2*0.8*0.4</v>
          </cell>
          <cell r="BC279" t="str">
            <v>0.2*0.6*0.6
0.4*1.0*0.8
0.2*0.8*0.4</v>
          </cell>
          <cell r="BE279">
            <v>4</v>
          </cell>
          <cell r="BF279" t="str">
            <v>gowri</v>
          </cell>
          <cell r="BG279" t="str">
            <v>N</v>
          </cell>
        </row>
        <row r="280">
          <cell r="A280" t="str">
            <v>FBR1M220202</v>
          </cell>
          <cell r="B280">
            <v>220202</v>
          </cell>
          <cell r="C280" t="str">
            <v>R&amp;D</v>
          </cell>
          <cell r="D280">
            <v>44802</v>
          </cell>
          <cell r="E280">
            <v>0.52986111111111112</v>
          </cell>
          <cell r="F280">
            <v>44774</v>
          </cell>
          <cell r="G280">
            <v>44802</v>
          </cell>
          <cell r="H280">
            <v>0.65416666666666667</v>
          </cell>
          <cell r="I280">
            <v>0.12430555555555556</v>
          </cell>
          <cell r="J280">
            <v>27</v>
          </cell>
          <cell r="K280" t="str">
            <v>FCB-PROTOCOL-02</v>
          </cell>
          <cell r="L280" t="str">
            <v>RC012</v>
          </cell>
          <cell r="M280" t="str">
            <v>Y</v>
          </cell>
          <cell r="N280" t="str">
            <v>DMS_RCC</v>
          </cell>
          <cell r="O280" t="str">
            <v>Internal R&amp;D</v>
          </cell>
          <cell r="P280" t="str">
            <v>Q1 Passed</v>
          </cell>
          <cell r="Q280" t="str">
            <v>Q1 Passed</v>
          </cell>
          <cell r="R280" t="str">
            <v>Q1.5 Rejected</v>
          </cell>
          <cell r="S280" t="str">
            <v>Q1.5 Rejected</v>
          </cell>
          <cell r="T280" t="str">
            <v>No tumor</v>
          </cell>
          <cell r="V280" t="str">
            <v>No tumor</v>
          </cell>
          <cell r="W280" t="str">
            <v>Government Hospital</v>
          </cell>
          <cell r="X280" t="str">
            <v>Mazumdar Shaw Medical Centre, Bangalore</v>
          </cell>
          <cell r="Y280" t="str">
            <v>Mazumdar Shaw Medical Centre, Bangalore</v>
          </cell>
          <cell r="Z280" t="str">
            <v>Dr Saurabh Bhargav, Bangalore</v>
          </cell>
          <cell r="AA280" t="str">
            <v>RCC</v>
          </cell>
          <cell r="AC280" t="str">
            <v>Renal</v>
          </cell>
          <cell r="AD280" t="str">
            <v>Left Renal Mass</v>
          </cell>
          <cell r="AE280" t="str">
            <v>Male</v>
          </cell>
          <cell r="AF280">
            <v>49</v>
          </cell>
          <cell r="AG280" t="str">
            <v>N</v>
          </cell>
          <cell r="AH280">
            <v>4</v>
          </cell>
          <cell r="AI280" t="str">
            <v>Kalappa</v>
          </cell>
          <cell r="AJ280" t="str">
            <v>Surgery</v>
          </cell>
          <cell r="AK280" t="str">
            <v>Primary</v>
          </cell>
          <cell r="AN280">
            <v>4</v>
          </cell>
          <cell r="AO280">
            <v>2</v>
          </cell>
          <cell r="AP280" t="str">
            <v>pT2a</v>
          </cell>
          <cell r="AV280">
            <v>44802</v>
          </cell>
          <cell r="AW280">
            <v>0.67361111111111116</v>
          </cell>
          <cell r="AX280">
            <v>0.76388888888888884</v>
          </cell>
          <cell r="AY280">
            <v>9.0277777777777776E-2</v>
          </cell>
          <cell r="AZ280">
            <v>0.10972222222222222</v>
          </cell>
          <cell r="BA280">
            <v>0.23402777777777778</v>
          </cell>
          <cell r="BB280" t="str">
            <v>0.4*1.6*1.6
0.4*0.8*1.4
0.3*0.8*1.6</v>
          </cell>
          <cell r="BC280" t="str">
            <v>0.4*1.6*1.6
0.4*0.8*1.4
0.3*0.8*1.6</v>
          </cell>
          <cell r="BD280" t="str">
            <v>Vibratome</v>
          </cell>
          <cell r="BE280">
            <v>15</v>
          </cell>
          <cell r="BF280" t="str">
            <v>Kowshik</v>
          </cell>
          <cell r="BG280" t="str">
            <v>Y</v>
          </cell>
        </row>
        <row r="281">
          <cell r="A281" t="str">
            <v>FBR1R220203</v>
          </cell>
          <cell r="B281">
            <v>220203</v>
          </cell>
          <cell r="C281" t="str">
            <v>R&amp;D</v>
          </cell>
          <cell r="D281">
            <v>44802</v>
          </cell>
          <cell r="E281">
            <v>0.55555555555555558</v>
          </cell>
          <cell r="F281">
            <v>44774</v>
          </cell>
          <cell r="G281">
            <v>44802</v>
          </cell>
          <cell r="H281">
            <v>0.65416666666666667</v>
          </cell>
          <cell r="I281">
            <v>9.8611111111111108E-2</v>
          </cell>
          <cell r="J281">
            <v>20</v>
          </cell>
          <cell r="K281" t="str">
            <v>FCB-PROTOCOL-01</v>
          </cell>
          <cell r="L281" t="str">
            <v>HN016</v>
          </cell>
          <cell r="M281" t="str">
            <v>Y</v>
          </cell>
          <cell r="N281" t="str">
            <v>BSS(1R)</v>
          </cell>
          <cell r="O281" t="str">
            <v>Internal R&amp;D</v>
          </cell>
          <cell r="P281" t="str">
            <v>Q1 Passed</v>
          </cell>
          <cell r="Q281" t="str">
            <v>Q1 Rejected</v>
          </cell>
          <cell r="R281" t="str">
            <v>Q1.5 Passed</v>
          </cell>
          <cell r="S281" t="str">
            <v>Q1.5 Passed</v>
          </cell>
          <cell r="T281" t="str">
            <v>Blood heamolysed and clotted, L-10,b-6,h-5mm</v>
          </cell>
          <cell r="V281" t="str">
            <v>Tumor content 60-80%</v>
          </cell>
          <cell r="W281" t="str">
            <v>Government Hospital</v>
          </cell>
          <cell r="X281" t="str">
            <v>Mazumdar Shaw Medical Centre, Bangalore</v>
          </cell>
          <cell r="Y281" t="str">
            <v>Mazumdar Shaw Medical Centre, Bangalore</v>
          </cell>
          <cell r="Z281" t="str">
            <v>Dr Vijay Pillai, Bangalore</v>
          </cell>
          <cell r="AA281" t="str">
            <v>HNSCC</v>
          </cell>
          <cell r="AC281" t="str">
            <v>Buccal Mucosa</v>
          </cell>
          <cell r="AD281" t="str">
            <v>Right  Buccal Mucosa</v>
          </cell>
          <cell r="AE281" t="str">
            <v>Male</v>
          </cell>
          <cell r="AF281">
            <v>47</v>
          </cell>
          <cell r="AG281" t="str">
            <v>N</v>
          </cell>
          <cell r="AH281">
            <v>4</v>
          </cell>
          <cell r="AI281" t="str">
            <v>Kalappa</v>
          </cell>
          <cell r="AJ281" t="str">
            <v>Surgery</v>
          </cell>
          <cell r="AK281" t="str">
            <v>Primary</v>
          </cell>
          <cell r="AS281" t="str">
            <v>Squamous cell carcinoma</v>
          </cell>
          <cell r="AV281">
            <v>44802</v>
          </cell>
          <cell r="AW281">
            <v>0.67708333333333337</v>
          </cell>
          <cell r="AX281">
            <v>0.76041666666666663</v>
          </cell>
          <cell r="AY281">
            <v>8.3333333333333329E-2</v>
          </cell>
          <cell r="AZ281">
            <v>0.10625</v>
          </cell>
          <cell r="BA281">
            <v>0.2048611111111111</v>
          </cell>
          <cell r="BB281" t="str">
            <v>0.5*0.6*1.0</v>
          </cell>
          <cell r="BC281" t="str">
            <v>0.5*0.6*1.0</v>
          </cell>
          <cell r="BD281" t="str">
            <v>Vibratome</v>
          </cell>
          <cell r="BE281">
            <v>15</v>
          </cell>
          <cell r="BF281" t="str">
            <v>Biswajit</v>
          </cell>
          <cell r="BG281" t="str">
            <v>N</v>
          </cell>
        </row>
        <row r="282">
          <cell r="A282" t="str">
            <v>FBB1D220204</v>
          </cell>
          <cell r="B282">
            <v>220204</v>
          </cell>
          <cell r="C282" t="str">
            <v>Biopharma</v>
          </cell>
          <cell r="D282">
            <v>44802</v>
          </cell>
          <cell r="E282">
            <v>0.51388888888888884</v>
          </cell>
          <cell r="F282">
            <v>44774</v>
          </cell>
          <cell r="G282">
            <v>44802</v>
          </cell>
          <cell r="H282">
            <v>0.86805555555555558</v>
          </cell>
          <cell r="I282">
            <v>0.35416666666666669</v>
          </cell>
          <cell r="J282">
            <v>30</v>
          </cell>
          <cell r="K282" t="str">
            <v>FCB-PROTOCOL-01</v>
          </cell>
          <cell r="L282" t="str">
            <v>CLN/DBR/114</v>
          </cell>
          <cell r="M282" t="str">
            <v>Y</v>
          </cell>
          <cell r="N282" t="str">
            <v>BP005_SOW1_2021</v>
          </cell>
          <cell r="O282" t="str">
            <v>Biopharma</v>
          </cell>
          <cell r="P282" t="str">
            <v>Q1 Passed</v>
          </cell>
          <cell r="Q282" t="str">
            <v>Q1 Passed</v>
          </cell>
          <cell r="R282" t="str">
            <v>Q1.5 Passed</v>
          </cell>
          <cell r="S282" t="str">
            <v>Q1.5 Passed</v>
          </cell>
          <cell r="V282" t="str">
            <v>Tumor content 70-85%</v>
          </cell>
          <cell r="W282" t="str">
            <v>Clinic'les</v>
          </cell>
          <cell r="X282" t="str">
            <v>Clinic'les- DBR &amp; SK Hospital, Tirupati</v>
          </cell>
          <cell r="Y282" t="str">
            <v>DBR &amp; SK Hospital, Tirupati</v>
          </cell>
          <cell r="Z282" t="str">
            <v>Dr C Jayaprakash, Tirupati</v>
          </cell>
          <cell r="AA282" t="str">
            <v>HNSCC</v>
          </cell>
          <cell r="AC282" t="str">
            <v>Buccal Mucosa</v>
          </cell>
          <cell r="AD282" t="str">
            <v>Buccal Mucosa</v>
          </cell>
          <cell r="AE282" t="str">
            <v>Female</v>
          </cell>
          <cell r="AF282">
            <v>57</v>
          </cell>
          <cell r="AG282" t="str">
            <v>N</v>
          </cell>
          <cell r="AH282">
            <v>5.3</v>
          </cell>
          <cell r="AI282" t="str">
            <v>Maruthi</v>
          </cell>
          <cell r="AJ282" t="str">
            <v>Surgery</v>
          </cell>
          <cell r="AK282" t="str">
            <v>Primary</v>
          </cell>
          <cell r="AN282">
            <v>3</v>
          </cell>
          <cell r="AS282" t="str">
            <v>Squamous cell carcinoma</v>
          </cell>
          <cell r="AV282">
            <v>44802</v>
          </cell>
          <cell r="AW282">
            <v>0.88541666666666663</v>
          </cell>
          <cell r="AX282">
            <v>0.94791666666666663</v>
          </cell>
          <cell r="AY282">
            <v>6.25E-2</v>
          </cell>
          <cell r="AZ282">
            <v>7.9861111111111105E-2</v>
          </cell>
          <cell r="BA282">
            <v>0.43402777777777779</v>
          </cell>
          <cell r="BB282" t="str">
            <v>1.0*1.4*2.0</v>
          </cell>
          <cell r="BC282" t="str">
            <v>1.0*1.4*2.0</v>
          </cell>
          <cell r="BD282" t="str">
            <v>Vibratome</v>
          </cell>
          <cell r="BE282">
            <v>15</v>
          </cell>
          <cell r="BF282" t="str">
            <v>Kowshik</v>
          </cell>
          <cell r="BG282" t="str">
            <v>Y</v>
          </cell>
        </row>
        <row r="283">
          <cell r="A283" t="str">
            <v>FBR1K220204</v>
          </cell>
          <cell r="B283">
            <v>220204</v>
          </cell>
          <cell r="C283" t="str">
            <v>R&amp;D</v>
          </cell>
          <cell r="D283">
            <v>44802</v>
          </cell>
          <cell r="E283">
            <v>0.51388888888888884</v>
          </cell>
          <cell r="F283">
            <v>44774</v>
          </cell>
          <cell r="G283">
            <v>44802</v>
          </cell>
          <cell r="H283">
            <v>0.86805555555555558</v>
          </cell>
          <cell r="I283">
            <v>0.35416666666666669</v>
          </cell>
          <cell r="J283">
            <v>30</v>
          </cell>
          <cell r="K283" t="str">
            <v>FCB-PROTOCOL-01</v>
          </cell>
          <cell r="L283" t="str">
            <v>CLN/DBR/114</v>
          </cell>
          <cell r="M283" t="str">
            <v>Y</v>
          </cell>
          <cell r="N283" t="str">
            <v>DMS_v4(1K)</v>
          </cell>
          <cell r="O283" t="str">
            <v>Internal R&amp;D</v>
          </cell>
          <cell r="P283" t="str">
            <v>Q1 Passed</v>
          </cell>
          <cell r="Q283" t="str">
            <v>Q1 Passed</v>
          </cell>
          <cell r="R283" t="str">
            <v>Q1.5 Passed</v>
          </cell>
          <cell r="S283" t="str">
            <v>Q1.5 Passed</v>
          </cell>
          <cell r="W283" t="str">
            <v>Clinic'les</v>
          </cell>
          <cell r="X283" t="str">
            <v>Clinic'les- DBR &amp; SK Hospital, Tirupati</v>
          </cell>
          <cell r="Y283" t="str">
            <v>DBR &amp; SK Hospital, Tirupati</v>
          </cell>
          <cell r="Z283" t="str">
            <v>Dr C Jayaprakash, Tirupati</v>
          </cell>
          <cell r="AA283" t="str">
            <v>HNSCC</v>
          </cell>
          <cell r="AC283" t="str">
            <v>Buccal Mucosa</v>
          </cell>
          <cell r="AD283" t="str">
            <v>Buccal Mucosa</v>
          </cell>
          <cell r="AE283" t="str">
            <v>Female</v>
          </cell>
          <cell r="AF283">
            <v>57</v>
          </cell>
          <cell r="AG283" t="str">
            <v>N</v>
          </cell>
          <cell r="AH283">
            <v>5.3</v>
          </cell>
          <cell r="AI283" t="str">
            <v>Maruthi</v>
          </cell>
          <cell r="AJ283" t="str">
            <v>Surgery</v>
          </cell>
          <cell r="AK283" t="str">
            <v>Primary</v>
          </cell>
          <cell r="AN283">
            <v>3</v>
          </cell>
          <cell r="AS283" t="str">
            <v>Squamous cell carcinoma</v>
          </cell>
          <cell r="AV283">
            <v>44802</v>
          </cell>
          <cell r="AW283">
            <v>0.88541666666666663</v>
          </cell>
          <cell r="AX283">
            <v>0.95138888888888884</v>
          </cell>
          <cell r="AY283">
            <v>6.5972222222222224E-2</v>
          </cell>
          <cell r="AZ283">
            <v>8.3333333333333329E-2</v>
          </cell>
          <cell r="BA283">
            <v>0.4375</v>
          </cell>
          <cell r="BB283" t="str">
            <v>1.0*1.4*2.0</v>
          </cell>
          <cell r="BC283" t="str">
            <v>1.0*1.4*2.0</v>
          </cell>
          <cell r="BD283" t="str">
            <v>Vibratome</v>
          </cell>
          <cell r="BE283">
            <v>15</v>
          </cell>
          <cell r="BF283" t="str">
            <v>Kowshik</v>
          </cell>
          <cell r="BG283" t="str">
            <v>Y</v>
          </cell>
        </row>
        <row r="284">
          <cell r="A284" t="str">
            <v>FBR1T220204</v>
          </cell>
          <cell r="B284">
            <v>220204</v>
          </cell>
          <cell r="C284" t="str">
            <v>R&amp;D</v>
          </cell>
          <cell r="D284">
            <v>44802</v>
          </cell>
          <cell r="E284">
            <v>0.51388888888888884</v>
          </cell>
          <cell r="F284">
            <v>44774</v>
          </cell>
          <cell r="G284">
            <v>44802</v>
          </cell>
          <cell r="H284">
            <v>0.86805555555555558</v>
          </cell>
          <cell r="I284">
            <v>0.35416666666666669</v>
          </cell>
          <cell r="J284">
            <v>30</v>
          </cell>
          <cell r="K284" t="str">
            <v>FCB-PROTOCOL-01</v>
          </cell>
          <cell r="L284" t="str">
            <v>CLN/DBR/114</v>
          </cell>
          <cell r="M284" t="str">
            <v>Y</v>
          </cell>
          <cell r="O284" t="str">
            <v>Internal R&amp;D</v>
          </cell>
          <cell r="P284" t="str">
            <v>Q1 Passed</v>
          </cell>
          <cell r="Q284" t="str">
            <v>Q1 Passed</v>
          </cell>
          <cell r="R284" t="str">
            <v>Q1.5 Passed</v>
          </cell>
          <cell r="S284" t="str">
            <v>Q1.5 Passed</v>
          </cell>
          <cell r="V284" t="str">
            <v>Tumor content 45-85%</v>
          </cell>
          <cell r="W284" t="str">
            <v>Clinic'les</v>
          </cell>
          <cell r="X284" t="str">
            <v>Clinic'les- DBR &amp; SK Hospital, Tirupati</v>
          </cell>
          <cell r="Y284" t="str">
            <v>DBR &amp; SK Hospital, Tirupati</v>
          </cell>
          <cell r="Z284" t="str">
            <v>Dr C Jayaprakash, Tirupati</v>
          </cell>
          <cell r="AA284" t="str">
            <v>HNSCC</v>
          </cell>
          <cell r="AC284" t="str">
            <v>Buccal Mucosa</v>
          </cell>
          <cell r="AD284" t="str">
            <v>Buccal Mucosa</v>
          </cell>
          <cell r="AE284" t="str">
            <v>Female</v>
          </cell>
          <cell r="AF284">
            <v>57</v>
          </cell>
          <cell r="AG284" t="str">
            <v>N</v>
          </cell>
          <cell r="AH284">
            <v>5.3</v>
          </cell>
          <cell r="AI284" t="str">
            <v>Maruthi</v>
          </cell>
          <cell r="AJ284" t="str">
            <v>Surgery</v>
          </cell>
          <cell r="AK284" t="str">
            <v>Primary</v>
          </cell>
          <cell r="AN284">
            <v>3</v>
          </cell>
          <cell r="AS284" t="str">
            <v>Squamous cell carcinoma</v>
          </cell>
          <cell r="AV284">
            <v>44802</v>
          </cell>
          <cell r="AW284">
            <v>0.88541666666666663</v>
          </cell>
          <cell r="AX284">
            <v>0.95138888888888884</v>
          </cell>
          <cell r="AY284">
            <v>6.5972222222222224E-2</v>
          </cell>
          <cell r="AZ284">
            <v>8.3333333333333329E-2</v>
          </cell>
          <cell r="BA284">
            <v>0.4375</v>
          </cell>
          <cell r="BB284" t="str">
            <v>1.0*1.4*2.0</v>
          </cell>
          <cell r="BC284" t="str">
            <v>1.0*1.4*2.0</v>
          </cell>
          <cell r="BD284" t="str">
            <v>Vibratome</v>
          </cell>
          <cell r="BE284">
            <v>15</v>
          </cell>
          <cell r="BF284" t="str">
            <v>Kowshik</v>
          </cell>
          <cell r="BG284" t="str">
            <v>Y</v>
          </cell>
        </row>
        <row r="285">
          <cell r="A285">
            <v>220205</v>
          </cell>
          <cell r="B285">
            <v>220205</v>
          </cell>
          <cell r="C285" t="str">
            <v>R&amp;D</v>
          </cell>
          <cell r="D285">
            <v>44805</v>
          </cell>
          <cell r="E285">
            <v>0.54097222222222219</v>
          </cell>
          <cell r="F285">
            <v>44805</v>
          </cell>
          <cell r="G285">
            <v>44805</v>
          </cell>
          <cell r="H285">
            <v>0.58958333333333335</v>
          </cell>
          <cell r="I285">
            <v>4.8611111111111112E-2</v>
          </cell>
          <cell r="J285">
            <v>19</v>
          </cell>
          <cell r="K285" t="str">
            <v>FCB-PROTOCOL-01</v>
          </cell>
          <cell r="L285" t="str">
            <v>HN017</v>
          </cell>
          <cell r="M285" t="str">
            <v>Y</v>
          </cell>
          <cell r="N285" t="str">
            <v>No Study</v>
          </cell>
          <cell r="O285" t="str">
            <v>1st level attrition</v>
          </cell>
          <cell r="P285" t="str">
            <v>Q1 Rejected</v>
          </cell>
          <cell r="Q285" t="str">
            <v>Q1 Passed</v>
          </cell>
          <cell r="R285" t="str">
            <v>Q1.5 Rejected</v>
          </cell>
          <cell r="S285" t="str">
            <v>Q1.5 Rejected</v>
          </cell>
          <cell r="T285" t="str">
            <v>Fatty and small size</v>
          </cell>
          <cell r="W285" t="str">
            <v>Government Hospital</v>
          </cell>
          <cell r="X285" t="str">
            <v>Mazumdar Shaw Medical Centre, Bangalore</v>
          </cell>
          <cell r="Y285" t="str">
            <v>Mazumdar Shaw Medical Centre, Bangalore</v>
          </cell>
          <cell r="Z285" t="str">
            <v>Dr Vijay Pillai, Bangalore</v>
          </cell>
          <cell r="AA285" t="str">
            <v>HNSCC</v>
          </cell>
          <cell r="AC285" t="str">
            <v>Buccal Mucosa</v>
          </cell>
          <cell r="AD285" t="str">
            <v>Buccal Mucosa</v>
          </cell>
          <cell r="AE285" t="str">
            <v>Female</v>
          </cell>
          <cell r="AF285">
            <v>61</v>
          </cell>
          <cell r="AG285" t="str">
            <v>N</v>
          </cell>
          <cell r="AH285">
            <v>5.5</v>
          </cell>
          <cell r="AI285" t="str">
            <v>Shashi</v>
          </cell>
          <cell r="AJ285" t="str">
            <v>Surgery</v>
          </cell>
          <cell r="AK285" t="str">
            <v>Primary</v>
          </cell>
          <cell r="AS285" t="str">
            <v>Squamous cell carcinoma</v>
          </cell>
          <cell r="AV285">
            <v>44805</v>
          </cell>
          <cell r="AW285">
            <v>0.93055555555555558</v>
          </cell>
          <cell r="BB285" t="str">
            <v>0.6*0.6*1.2</v>
          </cell>
          <cell r="BC285" t="str">
            <v>0.6*0.6*1.2</v>
          </cell>
          <cell r="BD285" t="str">
            <v>Vibratome</v>
          </cell>
          <cell r="BE285">
            <v>15</v>
          </cell>
          <cell r="BF285" t="str">
            <v>Biswajit</v>
          </cell>
        </row>
        <row r="286">
          <cell r="A286" t="str">
            <v>FER1R220206</v>
          </cell>
          <cell r="B286">
            <v>220206</v>
          </cell>
          <cell r="C286" t="str">
            <v>R&amp;D</v>
          </cell>
          <cell r="D286">
            <v>44806</v>
          </cell>
          <cell r="E286">
            <v>0.50694444444444442</v>
          </cell>
          <cell r="F286">
            <v>44805</v>
          </cell>
          <cell r="G286">
            <v>44806</v>
          </cell>
          <cell r="H286">
            <v>0.85069444444444442</v>
          </cell>
          <cell r="I286">
            <v>0.34375</v>
          </cell>
          <cell r="J286">
            <v>30</v>
          </cell>
          <cell r="K286" t="str">
            <v>FCB-PROTOCOL-01</v>
          </cell>
          <cell r="L286" t="str">
            <v>CLN/DBR/115</v>
          </cell>
          <cell r="M286" t="str">
            <v>Y</v>
          </cell>
          <cell r="N286" t="str">
            <v>BSS(1R)</v>
          </cell>
          <cell r="O286" t="str">
            <v>Internal R&amp;D</v>
          </cell>
          <cell r="P286" t="str">
            <v>Q1 Passed</v>
          </cell>
          <cell r="Q286" t="str">
            <v>Q1 Passed</v>
          </cell>
          <cell r="R286" t="str">
            <v>Q1.5 Passed</v>
          </cell>
          <cell r="S286" t="str">
            <v>Q1.5 Passed</v>
          </cell>
          <cell r="V286" t="str">
            <v>Tumor content 60-80%</v>
          </cell>
          <cell r="W286" t="str">
            <v>Clinic'les</v>
          </cell>
          <cell r="X286" t="str">
            <v>Clinic'les- DBR &amp; SK Hospital, Tirupati</v>
          </cell>
          <cell r="Y286" t="str">
            <v>DBR &amp; SK Hospital, Tirupati</v>
          </cell>
          <cell r="Z286" t="str">
            <v>Dr C Jayaprakash, Tirupati</v>
          </cell>
          <cell r="AA286" t="str">
            <v>HNSCC</v>
          </cell>
          <cell r="AC286" t="str">
            <v>Buccal Mucosa</v>
          </cell>
          <cell r="AD286" t="str">
            <v>Buccal Mucosa</v>
          </cell>
          <cell r="AE286" t="str">
            <v>Female</v>
          </cell>
          <cell r="AF286">
            <v>57</v>
          </cell>
          <cell r="AG286" t="str">
            <v>N</v>
          </cell>
          <cell r="AH286">
            <v>5.3</v>
          </cell>
          <cell r="AI286" t="str">
            <v>Maruthi</v>
          </cell>
          <cell r="AJ286" t="str">
            <v>Surgery</v>
          </cell>
          <cell r="AK286" t="str">
            <v>Primary</v>
          </cell>
          <cell r="AN286">
            <v>4</v>
          </cell>
          <cell r="AP286" t="str">
            <v>T4aN1MX</v>
          </cell>
          <cell r="AS286" t="str">
            <v>Squamous cell carcinoma</v>
          </cell>
          <cell r="AV286">
            <v>44806</v>
          </cell>
          <cell r="AW286">
            <v>0.85833333333333328</v>
          </cell>
          <cell r="AX286">
            <v>0.91874999999999996</v>
          </cell>
          <cell r="AY286">
            <v>6.0416666666666667E-2</v>
          </cell>
          <cell r="AZ286">
            <v>6.805555555555555E-2</v>
          </cell>
          <cell r="BA286">
            <v>0.41180555555555554</v>
          </cell>
          <cell r="BB286" t="str">
            <v>0.2/0.6/0.2*2.2*1.2</v>
          </cell>
          <cell r="BC286" t="str">
            <v>0.2/0.4/0.2*2.0*1.0</v>
          </cell>
          <cell r="BD286" t="str">
            <v>Vibratome</v>
          </cell>
          <cell r="BE286">
            <v>15</v>
          </cell>
          <cell r="BF286" t="str">
            <v>Gowri</v>
          </cell>
          <cell r="BG286" t="str">
            <v>N</v>
          </cell>
        </row>
        <row r="287">
          <cell r="A287" t="str">
            <v>FBR1R220207</v>
          </cell>
          <cell r="B287">
            <v>220207</v>
          </cell>
          <cell r="C287" t="str">
            <v>R&amp;D</v>
          </cell>
          <cell r="D287">
            <v>44810</v>
          </cell>
          <cell r="E287">
            <v>0.51944444444444449</v>
          </cell>
          <cell r="F287">
            <v>44805</v>
          </cell>
          <cell r="G287">
            <v>44810</v>
          </cell>
          <cell r="H287">
            <v>0.61111111111111116</v>
          </cell>
          <cell r="I287">
            <v>9.166666666666666E-2</v>
          </cell>
          <cell r="J287">
            <v>9</v>
          </cell>
          <cell r="K287" t="str">
            <v>FCB-PROTOCOL-02</v>
          </cell>
          <cell r="L287" t="str">
            <v>VYD/127</v>
          </cell>
          <cell r="M287" t="str">
            <v>Y</v>
          </cell>
          <cell r="N287" t="str">
            <v>BSS(1R)</v>
          </cell>
          <cell r="O287" t="str">
            <v>Internal R&amp;D</v>
          </cell>
          <cell r="P287" t="str">
            <v>Q1 Passed</v>
          </cell>
          <cell r="Q287" t="str">
            <v>Q1 Passed</v>
          </cell>
          <cell r="R287" t="str">
            <v>Q1.5 Passed</v>
          </cell>
          <cell r="S287" t="str">
            <v>Q1.5 Passed</v>
          </cell>
          <cell r="V287" t="str">
            <v>High tumor content in all fragments</v>
          </cell>
          <cell r="W287" t="str">
            <v>Private Hospital</v>
          </cell>
          <cell r="X287" t="str">
            <v>Vydehi Hospital, Bangalore</v>
          </cell>
          <cell r="Y287" t="str">
            <v>Vydehi Hospital, Bangalore</v>
          </cell>
          <cell r="Z287" t="str">
            <v>Dr Amritha Prabha, Bangalore</v>
          </cell>
          <cell r="AA287" t="str">
            <v>HNSCC</v>
          </cell>
          <cell r="AC287" t="str">
            <v>Buccal Mucosa</v>
          </cell>
          <cell r="AD287" t="str">
            <v>Left buccal mucosa</v>
          </cell>
          <cell r="AE287" t="str">
            <v>Female</v>
          </cell>
          <cell r="AF287">
            <v>51</v>
          </cell>
          <cell r="AG287" t="str">
            <v>N</v>
          </cell>
          <cell r="AH287">
            <v>3.3</v>
          </cell>
          <cell r="AI287" t="str">
            <v>Kalappa</v>
          </cell>
          <cell r="AJ287" t="str">
            <v>Surgery</v>
          </cell>
          <cell r="AK287" t="str">
            <v>Primary</v>
          </cell>
          <cell r="AM287" t="str">
            <v>cT4N3</v>
          </cell>
          <cell r="AN287" t="str">
            <v>IVa</v>
          </cell>
          <cell r="AO287">
            <v>2</v>
          </cell>
          <cell r="AP287" t="str">
            <v>pT4aN0</v>
          </cell>
          <cell r="AS287" t="str">
            <v>Squamous Cell Carcinoma</v>
          </cell>
          <cell r="AV287">
            <v>44810</v>
          </cell>
          <cell r="AW287">
            <v>0.625</v>
          </cell>
          <cell r="AX287">
            <v>0.72013888888888888</v>
          </cell>
          <cell r="AY287">
            <v>9.5138888888888884E-2</v>
          </cell>
          <cell r="AZ287">
            <v>0.10902777777777778</v>
          </cell>
          <cell r="BA287">
            <v>0.20069444444444445</v>
          </cell>
          <cell r="BB287" t="str">
            <v>0.4*1.0*1.0
0.4*0.6*0.8
0.2*0.6*0.6</v>
          </cell>
          <cell r="BC287" t="str">
            <v>0.4*1.0*1.0
0.4*0.6*0.8
0.2*0.6*0.6</v>
          </cell>
          <cell r="BD287" t="str">
            <v>Vibratome</v>
          </cell>
          <cell r="BE287">
            <v>15</v>
          </cell>
          <cell r="BF287" t="str">
            <v>Biswajit</v>
          </cell>
          <cell r="BG287" t="str">
            <v>Y</v>
          </cell>
        </row>
        <row r="288">
          <cell r="A288" t="str">
            <v>FBR1M220208</v>
          </cell>
          <cell r="B288">
            <v>220208</v>
          </cell>
          <cell r="C288" t="str">
            <v>R&amp;D</v>
          </cell>
          <cell r="D288">
            <v>44812</v>
          </cell>
          <cell r="E288">
            <v>0.53125</v>
          </cell>
          <cell r="F288">
            <v>44805</v>
          </cell>
          <cell r="G288">
            <v>44812</v>
          </cell>
          <cell r="H288">
            <v>0.65555555555555556</v>
          </cell>
          <cell r="I288">
            <v>0.12430555555555556</v>
          </cell>
          <cell r="J288">
            <v>5</v>
          </cell>
          <cell r="K288" t="str">
            <v>FCB-PROTOCOL-02</v>
          </cell>
          <cell r="L288" t="str">
            <v>VYD/128</v>
          </cell>
          <cell r="M288" t="str">
            <v>Y</v>
          </cell>
          <cell r="N288" t="str">
            <v>DMS_RCC</v>
          </cell>
          <cell r="O288" t="str">
            <v>Internal R&amp;D</v>
          </cell>
          <cell r="P288" t="str">
            <v>Q1 Passed</v>
          </cell>
          <cell r="Q288" t="str">
            <v>Q1 Passed</v>
          </cell>
          <cell r="R288" t="str">
            <v>Q1.5 Passed</v>
          </cell>
          <cell r="S288" t="str">
            <v>Q1.5 Passed</v>
          </cell>
          <cell r="T288" t="str">
            <v>benign tumor</v>
          </cell>
          <cell r="V288" t="str">
            <v>? Oncocytoma, benign tumor</v>
          </cell>
          <cell r="W288" t="str">
            <v>Private Hospital</v>
          </cell>
          <cell r="X288" t="str">
            <v>Vydehi Hospital, Bangalore</v>
          </cell>
          <cell r="Y288" t="str">
            <v>Vydehi Hospital, Bangalore</v>
          </cell>
          <cell r="Z288" t="str">
            <v>Dr Amritha Prabha, Bangalore</v>
          </cell>
          <cell r="AA288" t="str">
            <v>RCC</v>
          </cell>
          <cell r="AC288" t="str">
            <v>Kidney</v>
          </cell>
          <cell r="AD288" t="str">
            <v>Right Kidney</v>
          </cell>
          <cell r="AE288" t="str">
            <v>Male</v>
          </cell>
          <cell r="AF288">
            <v>50</v>
          </cell>
          <cell r="AG288" t="str">
            <v>N</v>
          </cell>
          <cell r="AH288">
            <v>3.2</v>
          </cell>
          <cell r="AI288" t="str">
            <v>Kalappa</v>
          </cell>
          <cell r="AJ288" t="str">
            <v>Surgery</v>
          </cell>
          <cell r="AK288" t="str">
            <v>Primary</v>
          </cell>
          <cell r="AV288">
            <v>44812</v>
          </cell>
          <cell r="AW288">
            <v>0.6875</v>
          </cell>
          <cell r="AX288">
            <v>0.75694444444444442</v>
          </cell>
          <cell r="AY288">
            <v>6.9444444444444448E-2</v>
          </cell>
          <cell r="AZ288">
            <v>0.10138888888888889</v>
          </cell>
          <cell r="BA288">
            <v>0.22569444444444445</v>
          </cell>
          <cell r="BB288" t="str">
            <v>0.2/0.4*1.2*1.2</v>
          </cell>
          <cell r="BC288" t="str">
            <v>0.2/0.4*1.2*1.2</v>
          </cell>
          <cell r="BD288" t="str">
            <v>Vibratome</v>
          </cell>
          <cell r="BE288">
            <v>15</v>
          </cell>
          <cell r="BF288" t="str">
            <v>Gowri</v>
          </cell>
        </row>
        <row r="289">
          <cell r="A289" t="str">
            <v>FBB1D220209</v>
          </cell>
          <cell r="B289">
            <v>220209</v>
          </cell>
          <cell r="C289" t="str">
            <v>Biopharma</v>
          </cell>
          <cell r="D289">
            <v>44817</v>
          </cell>
          <cell r="E289">
            <v>0.5</v>
          </cell>
          <cell r="F289">
            <v>44805</v>
          </cell>
          <cell r="G289">
            <v>44817</v>
          </cell>
          <cell r="H289">
            <v>0.82916666666666672</v>
          </cell>
          <cell r="I289">
            <v>0.32916666666666666</v>
          </cell>
          <cell r="J289">
            <v>15</v>
          </cell>
          <cell r="K289" t="str">
            <v>FCB-PROTOCOL-01</v>
          </cell>
          <cell r="L289" t="str">
            <v>CLN/DBR/116</v>
          </cell>
          <cell r="M289" t="str">
            <v>Y</v>
          </cell>
          <cell r="N289" t="str">
            <v>BP005_SOW1_2021</v>
          </cell>
          <cell r="O289" t="str">
            <v>Biopharma</v>
          </cell>
          <cell r="P289" t="str">
            <v>Q1 Passed</v>
          </cell>
          <cell r="Q289" t="str">
            <v>Q1 Passed</v>
          </cell>
          <cell r="R289" t="str">
            <v>Q1.5 Passed</v>
          </cell>
          <cell r="S289" t="str">
            <v>Q1.5 Passed</v>
          </cell>
          <cell r="V289" t="str">
            <v>Tumor content 65-85%</v>
          </cell>
          <cell r="W289" t="str">
            <v>Clinic'les</v>
          </cell>
          <cell r="X289" t="str">
            <v>Clinic'les- DBR &amp; SK Hospital, Tirupati</v>
          </cell>
          <cell r="Y289" t="str">
            <v>DBR &amp; SK Hospital, Tirupati</v>
          </cell>
          <cell r="Z289" t="str">
            <v>Dr C Jayaprakash, Tirupati</v>
          </cell>
          <cell r="AA289" t="str">
            <v>HNSCC</v>
          </cell>
          <cell r="AC289" t="str">
            <v>Buccal Mucosa</v>
          </cell>
          <cell r="AD289" t="str">
            <v>Buccal Mucosa</v>
          </cell>
          <cell r="AE289" t="str">
            <v>Male</v>
          </cell>
          <cell r="AF289">
            <v>36</v>
          </cell>
          <cell r="AG289" t="str">
            <v>N</v>
          </cell>
          <cell r="AH289">
            <v>5.0999999999999996</v>
          </cell>
          <cell r="AI289" t="str">
            <v>Shashi</v>
          </cell>
          <cell r="AJ289" t="str">
            <v>Surgery</v>
          </cell>
          <cell r="AK289" t="str">
            <v>Primary</v>
          </cell>
          <cell r="AN289">
            <v>2</v>
          </cell>
          <cell r="AP289" t="str">
            <v>T3NOMX</v>
          </cell>
          <cell r="AS289" t="str">
            <v>Squamous cell carcinoma</v>
          </cell>
          <cell r="AV289">
            <v>44817</v>
          </cell>
          <cell r="AW289">
            <v>0.84722222222222221</v>
          </cell>
          <cell r="AX289">
            <v>0.9375</v>
          </cell>
          <cell r="AY289">
            <v>9.0277777777777776E-2</v>
          </cell>
          <cell r="AZ289">
            <v>0.10833333333333334</v>
          </cell>
          <cell r="BA289">
            <v>0.4375</v>
          </cell>
          <cell r="BB289" t="str">
            <v>1.2*2.4*1.6</v>
          </cell>
          <cell r="BC289" t="str">
            <v>1.2*2.4*1.6</v>
          </cell>
          <cell r="BD289" t="str">
            <v>Vibratome</v>
          </cell>
          <cell r="BE289">
            <v>15</v>
          </cell>
          <cell r="BF289" t="str">
            <v>Rajashekhar</v>
          </cell>
          <cell r="BG289" t="str">
            <v>Y</v>
          </cell>
        </row>
        <row r="290">
          <cell r="A290" t="str">
            <v>FBR1K220209</v>
          </cell>
          <cell r="B290">
            <v>220209</v>
          </cell>
          <cell r="C290" t="str">
            <v>R&amp;D</v>
          </cell>
          <cell r="D290">
            <v>44817</v>
          </cell>
          <cell r="E290">
            <v>0.5</v>
          </cell>
          <cell r="F290">
            <v>44805</v>
          </cell>
          <cell r="G290">
            <v>44817</v>
          </cell>
          <cell r="H290">
            <v>0.82916666666666672</v>
          </cell>
          <cell r="I290">
            <v>0.32916666666666666</v>
          </cell>
          <cell r="J290">
            <v>15</v>
          </cell>
          <cell r="K290" t="str">
            <v>FCB-PROTOCOL-01</v>
          </cell>
          <cell r="L290" t="str">
            <v>CLN/DBR/116</v>
          </cell>
          <cell r="M290" t="str">
            <v>Y</v>
          </cell>
          <cell r="N290" t="str">
            <v>DMS_v4(1K)</v>
          </cell>
          <cell r="O290" t="str">
            <v>Internal R&amp;D</v>
          </cell>
          <cell r="P290" t="str">
            <v>Q1 Passed</v>
          </cell>
          <cell r="Q290" t="str">
            <v>Q1 Passed</v>
          </cell>
          <cell r="R290" t="str">
            <v>Q1.5 Passed</v>
          </cell>
          <cell r="S290" t="str">
            <v>Q1.5 Passed</v>
          </cell>
          <cell r="V290" t="str">
            <v>Tumor content 65-85%</v>
          </cell>
          <cell r="W290" t="str">
            <v>Clinic'les</v>
          </cell>
          <cell r="X290" t="str">
            <v>Clinic'les- DBR &amp; SK Hospital, Tirupati</v>
          </cell>
          <cell r="Y290" t="str">
            <v>DBR &amp; SK Hospital, Tirupati</v>
          </cell>
          <cell r="Z290" t="str">
            <v>Dr C Jayaprakash, Tirupati</v>
          </cell>
          <cell r="AA290" t="str">
            <v>HNSCC</v>
          </cell>
          <cell r="AC290" t="str">
            <v>Buccal Mucosa</v>
          </cell>
          <cell r="AD290" t="str">
            <v>Buccal Mucosa</v>
          </cell>
          <cell r="AE290" t="str">
            <v>Male</v>
          </cell>
          <cell r="AF290">
            <v>36</v>
          </cell>
          <cell r="AG290" t="str">
            <v>N</v>
          </cell>
          <cell r="AH290">
            <v>5.0999999999999996</v>
          </cell>
          <cell r="AI290" t="str">
            <v>Shashi</v>
          </cell>
          <cell r="AJ290" t="str">
            <v>Surgery</v>
          </cell>
          <cell r="AK290" t="str">
            <v>Primary</v>
          </cell>
          <cell r="AN290">
            <v>2</v>
          </cell>
          <cell r="AP290" t="str">
            <v>T3NOMX</v>
          </cell>
          <cell r="AS290" t="str">
            <v>Squamous cell carcinoma</v>
          </cell>
          <cell r="AV290">
            <v>44817</v>
          </cell>
          <cell r="AW290">
            <v>0.84722222222222221</v>
          </cell>
          <cell r="AX290">
            <v>0.9375</v>
          </cell>
          <cell r="AY290">
            <v>9.0277777777777776E-2</v>
          </cell>
          <cell r="AZ290">
            <v>0.10833333333333334</v>
          </cell>
          <cell r="BA290">
            <v>0.4375</v>
          </cell>
          <cell r="BB290" t="str">
            <v>1.2*2.4*1.6</v>
          </cell>
          <cell r="BC290" t="str">
            <v>1.2*2.4*1.6</v>
          </cell>
          <cell r="BD290" t="str">
            <v>Vibratome</v>
          </cell>
          <cell r="BE290">
            <v>15</v>
          </cell>
          <cell r="BF290" t="str">
            <v>Rajashekhar</v>
          </cell>
          <cell r="BG290" t="str">
            <v>Y</v>
          </cell>
        </row>
        <row r="291">
          <cell r="A291" t="str">
            <v>FBR1T220209</v>
          </cell>
          <cell r="B291">
            <v>220209</v>
          </cell>
          <cell r="C291" t="str">
            <v>R&amp;D</v>
          </cell>
          <cell r="D291">
            <v>44817</v>
          </cell>
          <cell r="E291">
            <v>0.5</v>
          </cell>
          <cell r="F291">
            <v>44805</v>
          </cell>
          <cell r="G291">
            <v>44817</v>
          </cell>
          <cell r="H291">
            <v>0.82916666666666672</v>
          </cell>
          <cell r="I291">
            <v>0.32916666666666666</v>
          </cell>
          <cell r="J291">
            <v>15</v>
          </cell>
          <cell r="K291" t="str">
            <v>FCB-PROTOCOL-01</v>
          </cell>
          <cell r="L291" t="str">
            <v>CLN/DBR/116</v>
          </cell>
          <cell r="M291" t="str">
            <v>Y</v>
          </cell>
          <cell r="N291" t="str">
            <v>cc Study(1T)</v>
          </cell>
          <cell r="O291" t="str">
            <v>Internal R&amp;D</v>
          </cell>
          <cell r="P291" t="str">
            <v>Q1 Passed</v>
          </cell>
          <cell r="Q291" t="str">
            <v>Q1 Passed</v>
          </cell>
          <cell r="R291" t="str">
            <v>Q1.5 Passed</v>
          </cell>
          <cell r="S291" t="str">
            <v>Q1.5 Passed</v>
          </cell>
          <cell r="V291" t="str">
            <v>Tumor content 45-90%</v>
          </cell>
          <cell r="W291" t="str">
            <v>Clinic'les</v>
          </cell>
          <cell r="X291" t="str">
            <v>Clinic'les- DBR &amp; SK Hospital, Tirupati</v>
          </cell>
          <cell r="Y291" t="str">
            <v>DBR &amp; SK Hospital, Tirupati</v>
          </cell>
          <cell r="Z291" t="str">
            <v>Dr C Jayaprakash, Tirupati</v>
          </cell>
          <cell r="AA291" t="str">
            <v>HNSCC</v>
          </cell>
          <cell r="AC291" t="str">
            <v>Buccal Mucosa</v>
          </cell>
          <cell r="AD291" t="str">
            <v>Buccal Mucosa</v>
          </cell>
          <cell r="AE291" t="str">
            <v>Male</v>
          </cell>
          <cell r="AF291">
            <v>36</v>
          </cell>
          <cell r="AG291" t="str">
            <v>N</v>
          </cell>
          <cell r="AH291">
            <v>5.0999999999999996</v>
          </cell>
          <cell r="AI291" t="str">
            <v>Shashi</v>
          </cell>
          <cell r="AJ291" t="str">
            <v>Surgery</v>
          </cell>
          <cell r="AK291" t="str">
            <v>Primary</v>
          </cell>
          <cell r="AN291">
            <v>2</v>
          </cell>
          <cell r="AP291" t="str">
            <v>T3NOMX</v>
          </cell>
          <cell r="AS291" t="str">
            <v>Squamous cell carcinoma</v>
          </cell>
          <cell r="AV291">
            <v>44817</v>
          </cell>
          <cell r="AW291">
            <v>0.84722222222222221</v>
          </cell>
          <cell r="AX291">
            <v>0.9375</v>
          </cell>
          <cell r="AY291">
            <v>9.0277777777777776E-2</v>
          </cell>
          <cell r="AZ291">
            <v>0.10833333333333334</v>
          </cell>
          <cell r="BA291">
            <v>0.4375</v>
          </cell>
          <cell r="BB291" t="str">
            <v>1.2*2.4*1.6</v>
          </cell>
          <cell r="BC291" t="str">
            <v>1.2*2.4*1.6</v>
          </cell>
          <cell r="BD291" t="str">
            <v>Vibratome</v>
          </cell>
          <cell r="BE291">
            <v>15</v>
          </cell>
          <cell r="BF291" t="str">
            <v>Rajashekhar</v>
          </cell>
          <cell r="BG291" t="str">
            <v>Y</v>
          </cell>
        </row>
        <row r="292">
          <cell r="A292" t="str">
            <v>FBR1R220209</v>
          </cell>
          <cell r="B292">
            <v>220209</v>
          </cell>
          <cell r="C292" t="str">
            <v>R&amp;D</v>
          </cell>
          <cell r="D292">
            <v>44817</v>
          </cell>
          <cell r="E292">
            <v>0.5</v>
          </cell>
          <cell r="F292">
            <v>44805</v>
          </cell>
          <cell r="G292">
            <v>44817</v>
          </cell>
          <cell r="H292">
            <v>0.82916666666666672</v>
          </cell>
          <cell r="I292">
            <v>0.32916666666666666</v>
          </cell>
          <cell r="J292">
            <v>15</v>
          </cell>
          <cell r="K292" t="str">
            <v>FCB-PROTOCOL-01</v>
          </cell>
          <cell r="L292" t="str">
            <v>CLN/DBR/116</v>
          </cell>
          <cell r="M292" t="str">
            <v>Y</v>
          </cell>
          <cell r="N292" t="str">
            <v>BSS(1R)</v>
          </cell>
          <cell r="O292" t="str">
            <v>Internal R&amp;D</v>
          </cell>
          <cell r="P292" t="str">
            <v>Q1 Passed</v>
          </cell>
          <cell r="Q292" t="str">
            <v>Q1 Passed</v>
          </cell>
          <cell r="R292" t="str">
            <v>Q1.5 Passed</v>
          </cell>
          <cell r="S292" t="str">
            <v>Q1.5 Passed</v>
          </cell>
          <cell r="V292" t="str">
            <v>Tumor content 65-85%</v>
          </cell>
          <cell r="W292" t="str">
            <v>Clinic'les</v>
          </cell>
          <cell r="X292" t="str">
            <v>Clinic'les- DBR &amp; SK Hospital, Tirupati</v>
          </cell>
          <cell r="Y292" t="str">
            <v>DBR &amp; SK Hospital, Tirupati</v>
          </cell>
          <cell r="Z292" t="str">
            <v>Dr C Jayaprakash, Tirupati</v>
          </cell>
          <cell r="AA292" t="str">
            <v>HNSCC</v>
          </cell>
          <cell r="AC292" t="str">
            <v>Buccal Mucosa</v>
          </cell>
          <cell r="AD292" t="str">
            <v>Buccal Mucosa</v>
          </cell>
          <cell r="AE292" t="str">
            <v>Male</v>
          </cell>
          <cell r="AF292">
            <v>36</v>
          </cell>
          <cell r="AG292" t="str">
            <v>N</v>
          </cell>
          <cell r="AH292">
            <v>5.0999999999999996</v>
          </cell>
          <cell r="AI292" t="str">
            <v>Shashi</v>
          </cell>
          <cell r="AJ292" t="str">
            <v>Surgery</v>
          </cell>
          <cell r="AK292" t="str">
            <v>Primary</v>
          </cell>
          <cell r="AN292">
            <v>2</v>
          </cell>
          <cell r="AP292" t="str">
            <v>T3NOMX</v>
          </cell>
          <cell r="AS292" t="str">
            <v>Squamous cell carcinoma</v>
          </cell>
          <cell r="AV292">
            <v>44817</v>
          </cell>
          <cell r="AW292">
            <v>0.84722222222222221</v>
          </cell>
          <cell r="AX292">
            <v>0.9375</v>
          </cell>
          <cell r="AY292">
            <v>9.0277777777777776E-2</v>
          </cell>
          <cell r="AZ292">
            <v>0.10833333333333334</v>
          </cell>
          <cell r="BA292">
            <v>0.4375</v>
          </cell>
          <cell r="BB292" t="str">
            <v>1.2*2.4*1.6</v>
          </cell>
          <cell r="BC292" t="str">
            <v>1.2*2.4*1.6</v>
          </cell>
          <cell r="BD292" t="str">
            <v>Vibratome</v>
          </cell>
          <cell r="BE292">
            <v>15</v>
          </cell>
          <cell r="BF292" t="str">
            <v>Rajashekhar</v>
          </cell>
          <cell r="BG292" t="str">
            <v>Y</v>
          </cell>
        </row>
        <row r="293">
          <cell r="A293" t="str">
            <v>FBB1D220210</v>
          </cell>
          <cell r="B293">
            <v>220210</v>
          </cell>
          <cell r="C293" t="str">
            <v>Biopharma</v>
          </cell>
          <cell r="D293">
            <v>44818</v>
          </cell>
          <cell r="E293">
            <v>0.51388888888888884</v>
          </cell>
          <cell r="F293">
            <v>44805</v>
          </cell>
          <cell r="G293">
            <v>44818</v>
          </cell>
          <cell r="H293">
            <v>0.89027777777777772</v>
          </cell>
          <cell r="I293">
            <v>0.37638888888888888</v>
          </cell>
          <cell r="J293">
            <v>10</v>
          </cell>
          <cell r="K293" t="str">
            <v>FCB-PROTOCOL-01</v>
          </cell>
          <cell r="L293" t="str">
            <v>CLN/DBR/117</v>
          </cell>
          <cell r="M293" t="str">
            <v>Y</v>
          </cell>
          <cell r="N293" t="str">
            <v>BP005_SOW1_2021</v>
          </cell>
          <cell r="O293" t="str">
            <v>Biopharma</v>
          </cell>
          <cell r="P293" t="str">
            <v>Q1 Passed</v>
          </cell>
          <cell r="Q293" t="str">
            <v>Q1 Passed</v>
          </cell>
          <cell r="R293" t="str">
            <v>Q1.5 Passed</v>
          </cell>
          <cell r="S293" t="str">
            <v>Q1.5 Passed</v>
          </cell>
          <cell r="V293" t="str">
            <v>Tumor content 55-95%</v>
          </cell>
          <cell r="W293" t="str">
            <v>Clinic'les</v>
          </cell>
          <cell r="X293" t="str">
            <v>Clinic'les- DBR &amp; SK Hospital, Tirupati</v>
          </cell>
          <cell r="Y293" t="str">
            <v>DBR &amp; SK Hospital, Tirupati</v>
          </cell>
          <cell r="Z293" t="str">
            <v>Dr C Jayaprakash, Tirupati</v>
          </cell>
          <cell r="AA293" t="str">
            <v>HNSCC</v>
          </cell>
          <cell r="AC293" t="str">
            <v>Buccal Mucosa</v>
          </cell>
          <cell r="AD293" t="str">
            <v>Buccal Mucosa</v>
          </cell>
          <cell r="AE293" t="str">
            <v>Female</v>
          </cell>
          <cell r="AF293">
            <v>60</v>
          </cell>
          <cell r="AG293" t="str">
            <v>N</v>
          </cell>
          <cell r="AH293">
            <v>7.4</v>
          </cell>
          <cell r="AI293" t="str">
            <v>Partha</v>
          </cell>
          <cell r="AJ293" t="str">
            <v>Surgery</v>
          </cell>
          <cell r="AK293" t="str">
            <v>Primary</v>
          </cell>
          <cell r="AN293">
            <v>2</v>
          </cell>
          <cell r="AP293" t="str">
            <v>T2Nomx</v>
          </cell>
          <cell r="AS293" t="str">
            <v>Squamous cell carcinoma</v>
          </cell>
          <cell r="AV293">
            <v>44818</v>
          </cell>
          <cell r="AW293">
            <v>0.90972222222222221</v>
          </cell>
          <cell r="AX293">
            <v>0.98611111111111116</v>
          </cell>
          <cell r="AY293">
            <v>7.6388888888888895E-2</v>
          </cell>
          <cell r="AZ293">
            <v>9.583333333333334E-2</v>
          </cell>
          <cell r="BA293">
            <v>0.47222222222222221</v>
          </cell>
          <cell r="BB293" t="str">
            <v>0.2/0.8*2.0*1.2</v>
          </cell>
          <cell r="BC293" t="str">
            <v>0.2/0.8*2.0*1.2</v>
          </cell>
          <cell r="BD293" t="str">
            <v>Vibratome</v>
          </cell>
          <cell r="BE293">
            <v>15</v>
          </cell>
          <cell r="BF293" t="str">
            <v>Gowri</v>
          </cell>
          <cell r="BG293" t="str">
            <v>Y</v>
          </cell>
        </row>
        <row r="294">
          <cell r="A294" t="str">
            <v>FBR1K220210</v>
          </cell>
          <cell r="B294">
            <v>220210</v>
          </cell>
          <cell r="C294" t="str">
            <v>R&amp;D</v>
          </cell>
          <cell r="D294">
            <v>44818</v>
          </cell>
          <cell r="E294">
            <v>0.51388888888888884</v>
          </cell>
          <cell r="F294">
            <v>44805</v>
          </cell>
          <cell r="G294">
            <v>44818</v>
          </cell>
          <cell r="H294">
            <v>0.89027777777777772</v>
          </cell>
          <cell r="I294">
            <v>0.37638888888888888</v>
          </cell>
          <cell r="J294">
            <v>10</v>
          </cell>
          <cell r="K294" t="str">
            <v>FCB-PROTOCOL-01</v>
          </cell>
          <cell r="L294" t="str">
            <v>CLN/DBR/117</v>
          </cell>
          <cell r="M294" t="str">
            <v>Y</v>
          </cell>
          <cell r="N294" t="str">
            <v>DMS_v4(1K)</v>
          </cell>
          <cell r="O294" t="str">
            <v>Internal R&amp;D</v>
          </cell>
          <cell r="P294" t="str">
            <v>Q1 Passed</v>
          </cell>
          <cell r="Q294" t="str">
            <v>Q1 Passed</v>
          </cell>
          <cell r="R294" t="str">
            <v>Q1.5 Passed</v>
          </cell>
          <cell r="S294" t="str">
            <v>Q1.5 Passed</v>
          </cell>
          <cell r="V294" t="str">
            <v>Tumor content 55-95%</v>
          </cell>
          <cell r="W294" t="str">
            <v>Clinic'les</v>
          </cell>
          <cell r="X294" t="str">
            <v>Clinic'les- DBR &amp; SK Hospital, Tirupati</v>
          </cell>
          <cell r="Y294" t="str">
            <v>DBR &amp; SK Hospital, Tirupati</v>
          </cell>
          <cell r="Z294" t="str">
            <v>Dr C Jayaprakash, Tirupati</v>
          </cell>
          <cell r="AA294" t="str">
            <v>HNSCC</v>
          </cell>
          <cell r="AC294" t="str">
            <v>Buccal Mucosa</v>
          </cell>
          <cell r="AD294" t="str">
            <v>Buccal Mucosa</v>
          </cell>
          <cell r="AE294" t="str">
            <v>Female</v>
          </cell>
          <cell r="AF294">
            <v>60</v>
          </cell>
          <cell r="AG294" t="str">
            <v>N</v>
          </cell>
          <cell r="AH294">
            <v>7.4</v>
          </cell>
          <cell r="AI294" t="str">
            <v>Partha</v>
          </cell>
          <cell r="AJ294" t="str">
            <v>Surgery</v>
          </cell>
          <cell r="AK294" t="str">
            <v>Primary</v>
          </cell>
          <cell r="AN294">
            <v>2</v>
          </cell>
          <cell r="AP294" t="str">
            <v>T2Nomx</v>
          </cell>
          <cell r="AS294" t="str">
            <v>Squamous cell carcinoma</v>
          </cell>
          <cell r="AV294">
            <v>44818</v>
          </cell>
          <cell r="AW294">
            <v>0.90972222222222221</v>
          </cell>
          <cell r="AX294">
            <v>0.98611111111111116</v>
          </cell>
          <cell r="AY294">
            <v>7.6388888888888895E-2</v>
          </cell>
          <cell r="AZ294">
            <v>9.583333333333334E-2</v>
          </cell>
          <cell r="BA294">
            <v>0.47222222222222221</v>
          </cell>
          <cell r="BB294" t="str">
            <v>0.2/0.8*2.0*1.2</v>
          </cell>
          <cell r="BC294" t="str">
            <v>0.2/0.8*2.0*1.2</v>
          </cell>
          <cell r="BD294" t="str">
            <v>Vibratome</v>
          </cell>
          <cell r="BE294">
            <v>15</v>
          </cell>
          <cell r="BF294" t="str">
            <v>Gowri</v>
          </cell>
          <cell r="BG294" t="str">
            <v>Y</v>
          </cell>
        </row>
        <row r="295">
          <cell r="A295" t="str">
            <v>FBR1A220211</v>
          </cell>
          <cell r="B295">
            <v>220211</v>
          </cell>
          <cell r="C295" t="str">
            <v>R&amp;D</v>
          </cell>
          <cell r="D295">
            <v>44819</v>
          </cell>
          <cell r="E295">
            <v>0.43263888888888891</v>
          </cell>
          <cell r="F295">
            <v>44805</v>
          </cell>
          <cell r="G295">
            <v>44819</v>
          </cell>
          <cell r="H295">
            <v>0.50138888888888888</v>
          </cell>
          <cell r="I295">
            <v>6.8750000000000006E-2</v>
          </cell>
          <cell r="J295">
            <v>3</v>
          </cell>
          <cell r="K295" t="str">
            <v>FCB-PROTOCOL-01</v>
          </cell>
          <cell r="L295" t="str">
            <v>OC002</v>
          </cell>
          <cell r="M295" t="str">
            <v>Y</v>
          </cell>
          <cell r="N295" t="str">
            <v>Other Indication</v>
          </cell>
          <cell r="O295" t="str">
            <v>Internal R&amp;D</v>
          </cell>
          <cell r="P295" t="str">
            <v>Q1 Passed</v>
          </cell>
          <cell r="Q295" t="str">
            <v>Q1 Passed</v>
          </cell>
          <cell r="R295" t="str">
            <v>Q1.5 Passed</v>
          </cell>
          <cell r="S295" t="str">
            <v>Q1.5 Passed</v>
          </cell>
          <cell r="V295" t="str">
            <v>Good tumor content in 26/28 explants</v>
          </cell>
          <cell r="W295" t="str">
            <v>Government Hospital</v>
          </cell>
          <cell r="X295" t="str">
            <v>Mazumdar Shaw Medical Centre, Bangalore</v>
          </cell>
          <cell r="Y295" t="str">
            <v>Mazumdar Shaw Medical Centre, Bangalore</v>
          </cell>
          <cell r="Z295" t="str">
            <v>Dr Rohit Ranade, Bangalore</v>
          </cell>
          <cell r="AA295" t="str">
            <v>Ca Ovary</v>
          </cell>
          <cell r="AC295" t="str">
            <v>Ovary</v>
          </cell>
          <cell r="AD295" t="str">
            <v>right ovary</v>
          </cell>
          <cell r="AE295" t="str">
            <v>Female</v>
          </cell>
          <cell r="AF295">
            <v>38</v>
          </cell>
          <cell r="AG295" t="str">
            <v>N</v>
          </cell>
          <cell r="AH295">
            <v>3.2</v>
          </cell>
          <cell r="AI295" t="str">
            <v>Kalappa</v>
          </cell>
          <cell r="AJ295" t="str">
            <v>Surgery</v>
          </cell>
          <cell r="AK295" t="str">
            <v>Primary</v>
          </cell>
          <cell r="AL295" t="str">
            <v>Chemotherapy</v>
          </cell>
          <cell r="AN295">
            <v>3</v>
          </cell>
          <cell r="AO295">
            <v>3</v>
          </cell>
          <cell r="AP295" t="str">
            <v xml:space="preserve"> y pT3b N1b
Mx</v>
          </cell>
          <cell r="AQ295">
            <v>3</v>
          </cell>
          <cell r="AR295" t="str">
            <v>Paclitaxel, Carboplatin</v>
          </cell>
          <cell r="AS295" t="str">
            <v>High grade ofcarcinoma of right and left ovary with capsular
breech, left ovary, along with involvement of bilateral fallopian
tubes, uterine serosa, with sigmoid deposits.</v>
          </cell>
          <cell r="AV295">
            <v>44819</v>
          </cell>
          <cell r="AW295">
            <v>0.54166666666666663</v>
          </cell>
          <cell r="AX295">
            <v>0.61111111111111116</v>
          </cell>
          <cell r="AY295">
            <v>6.9444444444444448E-2</v>
          </cell>
          <cell r="AZ295">
            <v>0.10972222222222222</v>
          </cell>
          <cell r="BA295">
            <v>0.17847222222222223</v>
          </cell>
          <cell r="BB295" t="str">
            <v>1.2*3.6*1.6</v>
          </cell>
          <cell r="BC295" t="str">
            <v>1.2*3.6*1.6</v>
          </cell>
          <cell r="BD295" t="str">
            <v>Manual</v>
          </cell>
          <cell r="BE295">
            <v>15</v>
          </cell>
          <cell r="BF295" t="str">
            <v>Gowri</v>
          </cell>
          <cell r="BG295" t="str">
            <v>Y</v>
          </cell>
        </row>
        <row r="296">
          <cell r="A296" t="str">
            <v>FBB1D220212</v>
          </cell>
          <cell r="B296">
            <v>220212</v>
          </cell>
          <cell r="C296" t="str">
            <v>Biopharma</v>
          </cell>
          <cell r="D296">
            <v>44819</v>
          </cell>
          <cell r="E296">
            <v>0.54374999999999996</v>
          </cell>
          <cell r="F296">
            <v>44805</v>
          </cell>
          <cell r="G296">
            <v>44819</v>
          </cell>
          <cell r="H296">
            <v>0.59791666666666665</v>
          </cell>
          <cell r="I296">
            <v>5.4166666666666669E-2</v>
          </cell>
          <cell r="J296">
            <v>5</v>
          </cell>
          <cell r="K296" t="str">
            <v>FCB-PROTOCOL-02</v>
          </cell>
          <cell r="L296" t="str">
            <v>VYD/129</v>
          </cell>
          <cell r="M296" t="str">
            <v>Y</v>
          </cell>
          <cell r="N296" t="str">
            <v>BP005_SOW1_2021</v>
          </cell>
          <cell r="O296" t="str">
            <v>Biopharma</v>
          </cell>
          <cell r="P296" t="str">
            <v>Q1 Passed</v>
          </cell>
          <cell r="Q296" t="str">
            <v>Q1 Passed</v>
          </cell>
          <cell r="R296" t="str">
            <v>Q1.5 Passed</v>
          </cell>
          <cell r="S296" t="str">
            <v>Q1.5 Passed</v>
          </cell>
          <cell r="V296" t="str">
            <v>Tumor content 4-60%</v>
          </cell>
          <cell r="W296" t="str">
            <v>Private Hospital</v>
          </cell>
          <cell r="X296" t="str">
            <v>Vydehi Hospital, Bangalore</v>
          </cell>
          <cell r="Y296" t="str">
            <v>Vydehi Hospital, Bangalore</v>
          </cell>
          <cell r="Z296" t="str">
            <v>Dr Amritha Prabha, Bangalore</v>
          </cell>
          <cell r="AA296" t="str">
            <v>HNSCC</v>
          </cell>
          <cell r="AC296" t="str">
            <v>Buccal Mucosa</v>
          </cell>
          <cell r="AD296" t="str">
            <v>Left buccal mucosa</v>
          </cell>
          <cell r="AE296" t="str">
            <v>Male</v>
          </cell>
          <cell r="AF296">
            <v>39</v>
          </cell>
          <cell r="AG296" t="str">
            <v>N</v>
          </cell>
          <cell r="AH296">
            <v>6.6</v>
          </cell>
          <cell r="AI296" t="str">
            <v>Maruthi</v>
          </cell>
          <cell r="AJ296" t="str">
            <v>Surgery</v>
          </cell>
          <cell r="AK296" t="str">
            <v>Primary</v>
          </cell>
          <cell r="AM296" t="str">
            <v>cT4N0</v>
          </cell>
          <cell r="AN296" t="str">
            <v>II</v>
          </cell>
          <cell r="AO296">
            <v>2</v>
          </cell>
          <cell r="AP296" t="str">
            <v>pT2N0</v>
          </cell>
          <cell r="AS296" t="str">
            <v>Squamous Cell Carcinoma</v>
          </cell>
          <cell r="AV296">
            <v>44819</v>
          </cell>
          <cell r="AW296">
            <v>0.63194444444444442</v>
          </cell>
          <cell r="AX296">
            <v>0.70833333333333337</v>
          </cell>
          <cell r="AY296">
            <v>7.6388888888888895E-2</v>
          </cell>
          <cell r="AZ296">
            <v>0.11041666666666666</v>
          </cell>
          <cell r="BA296">
            <v>0.16458333333333333</v>
          </cell>
          <cell r="BB296" t="str">
            <v>1.2*1.4*1.6</v>
          </cell>
          <cell r="BC296" t="str">
            <v>1.2*1.4*1.6</v>
          </cell>
          <cell r="BD296" t="str">
            <v>Vibratome</v>
          </cell>
          <cell r="BE296">
            <v>15</v>
          </cell>
          <cell r="BF296" t="str">
            <v>Gowri</v>
          </cell>
          <cell r="BG296" t="str">
            <v>Y</v>
          </cell>
        </row>
        <row r="297">
          <cell r="A297">
            <v>220213</v>
          </cell>
          <cell r="B297">
            <v>220213</v>
          </cell>
          <cell r="C297" t="str">
            <v>R&amp;D</v>
          </cell>
          <cell r="D297">
            <v>44820</v>
          </cell>
          <cell r="E297">
            <v>0.4826388888888889</v>
          </cell>
          <cell r="F297">
            <v>44805</v>
          </cell>
          <cell r="G297">
            <v>44820</v>
          </cell>
          <cell r="H297">
            <v>0.59861111111111109</v>
          </cell>
          <cell r="I297">
            <v>0.11597222222222223</v>
          </cell>
          <cell r="J297">
            <v>5</v>
          </cell>
          <cell r="K297" t="str">
            <v>FCB-PROTOCOL-02</v>
          </cell>
          <cell r="L297" t="str">
            <v>VYD/130</v>
          </cell>
          <cell r="M297" t="str">
            <v>Y</v>
          </cell>
          <cell r="N297" t="str">
            <v>No Study</v>
          </cell>
          <cell r="O297" t="str">
            <v>1st level attrition</v>
          </cell>
          <cell r="P297" t="str">
            <v>Q1 Rejected</v>
          </cell>
          <cell r="Q297" t="str">
            <v>Q1 Rejected</v>
          </cell>
          <cell r="R297" t="str">
            <v>Q1.5 Rejected</v>
          </cell>
          <cell r="S297" t="str">
            <v>Q1.5 Rejected</v>
          </cell>
          <cell r="T297" t="str">
            <v>Powdry and blood clotted</v>
          </cell>
          <cell r="W297" t="str">
            <v>Private Hospital</v>
          </cell>
          <cell r="X297" t="str">
            <v>Vydehi Hospital, Bangalore</v>
          </cell>
          <cell r="Y297" t="str">
            <v>Vydehi Hospital, Bangalore</v>
          </cell>
          <cell r="Z297" t="str">
            <v>Dr Amritha Prabha, Bangalore</v>
          </cell>
          <cell r="AA297" t="str">
            <v>HNSCC</v>
          </cell>
          <cell r="AC297" t="str">
            <v>Buccal Mucosa</v>
          </cell>
          <cell r="AD297" t="str">
            <v>Left buccal mucosa</v>
          </cell>
          <cell r="AE297" t="str">
            <v>Male</v>
          </cell>
          <cell r="AF297">
            <v>44</v>
          </cell>
          <cell r="AG297" t="str">
            <v>N</v>
          </cell>
          <cell r="AH297">
            <v>5.5</v>
          </cell>
          <cell r="AI297" t="str">
            <v>Maruthi</v>
          </cell>
          <cell r="AJ297" t="str">
            <v>Surgery</v>
          </cell>
          <cell r="AK297" t="str">
            <v>Primary</v>
          </cell>
          <cell r="AS297" t="str">
            <v>Squamous Cell Carcinoma</v>
          </cell>
          <cell r="AV297">
            <v>44820</v>
          </cell>
          <cell r="AW297">
            <v>0.61111111111111116</v>
          </cell>
          <cell r="BB297" t="str">
            <v>0.4/0.6*1.6</v>
          </cell>
          <cell r="BC297" t="str">
            <v>0.4/0.6*1.6</v>
          </cell>
          <cell r="BE297">
            <v>15</v>
          </cell>
          <cell r="BF297" t="str">
            <v>Syam</v>
          </cell>
        </row>
        <row r="298">
          <cell r="A298" t="str">
            <v>FBR1A220214</v>
          </cell>
          <cell r="B298">
            <v>220214</v>
          </cell>
          <cell r="C298" t="str">
            <v>R&amp;D</v>
          </cell>
          <cell r="D298">
            <v>44820</v>
          </cell>
          <cell r="E298">
            <v>0.54791666666666672</v>
          </cell>
          <cell r="F298">
            <v>44805</v>
          </cell>
          <cell r="G298">
            <v>44820</v>
          </cell>
          <cell r="H298">
            <v>0.60416666666666663</v>
          </cell>
          <cell r="I298">
            <v>5.6250000000000001E-2</v>
          </cell>
          <cell r="J298">
            <v>1</v>
          </cell>
          <cell r="K298" t="str">
            <v>FCB-PROTOCOL-01</v>
          </cell>
          <cell r="L298" t="str">
            <v>OC003</v>
          </cell>
          <cell r="M298" t="str">
            <v>Y</v>
          </cell>
          <cell r="N298" t="str">
            <v>Other Indication</v>
          </cell>
          <cell r="O298" t="str">
            <v>Internal R&amp;D</v>
          </cell>
          <cell r="P298" t="str">
            <v>Q1 Passed</v>
          </cell>
          <cell r="Q298" t="str">
            <v>Q1 Passed</v>
          </cell>
          <cell r="R298" t="str">
            <v>Q1.5 Passed</v>
          </cell>
          <cell r="S298" t="str">
            <v>Q1.5 Passed</v>
          </cell>
          <cell r="V298" t="str">
            <v>A:Tumor content Trace- 30% in 5 explants.Others noTumor</v>
          </cell>
          <cell r="W298" t="str">
            <v>Government Hospital</v>
          </cell>
          <cell r="X298" t="str">
            <v>Mazumdar Shaw Medical Centre, Bangalore</v>
          </cell>
          <cell r="Y298" t="str">
            <v>Mazumdar Shaw Medical Centre, Bangalore</v>
          </cell>
          <cell r="Z298" t="str">
            <v>Dr Rohit Ranade, Bangalore</v>
          </cell>
          <cell r="AA298" t="str">
            <v>Ca Ovary</v>
          </cell>
          <cell r="AC298" t="str">
            <v>Ovary</v>
          </cell>
          <cell r="AD298" t="str">
            <v>Ovary</v>
          </cell>
          <cell r="AE298" t="str">
            <v>Female</v>
          </cell>
          <cell r="AF298">
            <v>33</v>
          </cell>
          <cell r="AG298" t="str">
            <v>N</v>
          </cell>
          <cell r="AH298">
            <v>5.0999999999999996</v>
          </cell>
          <cell r="AI298" t="str">
            <v>Shashi</v>
          </cell>
          <cell r="AJ298" t="str">
            <v>Surgery</v>
          </cell>
          <cell r="AK298" t="str">
            <v>Primary</v>
          </cell>
          <cell r="AN298" t="str">
            <v>NA</v>
          </cell>
          <cell r="AO298" t="str">
            <v>NA</v>
          </cell>
          <cell r="AP298" t="str">
            <v>pT stage can be determined accurately after IHC on omental sections.
pN0: No regional lymph node metastasis</v>
          </cell>
          <cell r="AS298" t="str">
            <v>Dermoid with malignancy tumor - squamous cell
carcinoma</v>
          </cell>
          <cell r="AV298">
            <v>44820</v>
          </cell>
          <cell r="AW298">
            <v>0.62847222222222221</v>
          </cell>
          <cell r="AX298">
            <v>0.72916666666666663</v>
          </cell>
          <cell r="AY298">
            <v>0.10069444444444445</v>
          </cell>
          <cell r="AZ298">
            <v>0.125</v>
          </cell>
          <cell r="BA298">
            <v>0.18124999999999999</v>
          </cell>
          <cell r="BB298" t="str">
            <v>1.2*2.4*1.8</v>
          </cell>
          <cell r="BC298" t="str">
            <v>1.2*2.4*1.8</v>
          </cell>
          <cell r="BD298" t="str">
            <v>Manual</v>
          </cell>
          <cell r="BE298">
            <v>15</v>
          </cell>
          <cell r="BF298" t="str">
            <v>Rajashekhar</v>
          </cell>
          <cell r="BG298" t="str">
            <v>Y</v>
          </cell>
        </row>
        <row r="299">
          <cell r="A299" t="str">
            <v>FBR1S220215</v>
          </cell>
          <cell r="B299">
            <v>220215</v>
          </cell>
          <cell r="C299" t="str">
            <v>R&amp;D</v>
          </cell>
          <cell r="D299">
            <v>44820</v>
          </cell>
          <cell r="E299">
            <v>0.49305555555555558</v>
          </cell>
          <cell r="F299">
            <v>44805</v>
          </cell>
          <cell r="G299">
            <v>44820</v>
          </cell>
          <cell r="H299">
            <v>0.84513888888888888</v>
          </cell>
          <cell r="I299">
            <v>0.35208333333333336</v>
          </cell>
          <cell r="J299">
            <v>10</v>
          </cell>
          <cell r="K299" t="str">
            <v>FCB-PROTOCOL-01</v>
          </cell>
          <cell r="L299" t="str">
            <v>CLN/DBR/118</v>
          </cell>
          <cell r="M299" t="str">
            <v>Y</v>
          </cell>
          <cell r="N299" t="str">
            <v>DMS_v5 (1S)</v>
          </cell>
          <cell r="O299" t="str">
            <v>Internal R&amp;D</v>
          </cell>
          <cell r="P299" t="str">
            <v>Q1 Passed</v>
          </cell>
          <cell r="Q299" t="str">
            <v>Q1 Passed</v>
          </cell>
          <cell r="R299" t="str">
            <v>Q1.5 Passed</v>
          </cell>
          <cell r="S299" t="str">
            <v>Q1.5 Passed</v>
          </cell>
          <cell r="V299" t="str">
            <v>Tumor content 8-60%</v>
          </cell>
          <cell r="W299" t="str">
            <v>Clinic'les</v>
          </cell>
          <cell r="X299" t="str">
            <v>Clinic'les- DBR &amp; SK Hospital, Tirupati</v>
          </cell>
          <cell r="Y299" t="str">
            <v>DBR &amp; SK Hospital, Tirupati</v>
          </cell>
          <cell r="Z299" t="str">
            <v>Dr C Jayaprakash, Tirupati</v>
          </cell>
          <cell r="AA299" t="str">
            <v>HNSCC</v>
          </cell>
          <cell r="AC299" t="str">
            <v>Tongue</v>
          </cell>
          <cell r="AD299" t="str">
            <v>Tongue</v>
          </cell>
          <cell r="AE299" t="str">
            <v>Female</v>
          </cell>
          <cell r="AF299">
            <v>45</v>
          </cell>
          <cell r="AG299" t="str">
            <v>N</v>
          </cell>
          <cell r="AH299">
            <v>7.2</v>
          </cell>
          <cell r="AI299" t="str">
            <v>Partha</v>
          </cell>
          <cell r="AJ299" t="str">
            <v>Surgery</v>
          </cell>
          <cell r="AK299" t="str">
            <v>Primary</v>
          </cell>
          <cell r="AN299">
            <v>3</v>
          </cell>
          <cell r="AP299" t="str">
            <v>T3Nomx</v>
          </cell>
          <cell r="AS299" t="str">
            <v>Squamous cell carcinoma</v>
          </cell>
          <cell r="AV299">
            <v>44820</v>
          </cell>
          <cell r="AW299">
            <v>0.90277777777777779</v>
          </cell>
          <cell r="AX299">
            <v>1.0069444444444444</v>
          </cell>
          <cell r="AY299">
            <v>0.10416666666666667</v>
          </cell>
          <cell r="AZ299">
            <v>0.16180555555555556</v>
          </cell>
          <cell r="BA299">
            <v>0.51388888888888884</v>
          </cell>
          <cell r="BB299" t="str">
            <v>0.8*2.8*1.6</v>
          </cell>
          <cell r="BC299" t="str">
            <v>0.8*2.8*1.6</v>
          </cell>
          <cell r="BD299" t="str">
            <v>Vibratome</v>
          </cell>
          <cell r="BE299">
            <v>15</v>
          </cell>
          <cell r="BF299" t="str">
            <v>Gowri</v>
          </cell>
          <cell r="BG299" t="str">
            <v>Y</v>
          </cell>
        </row>
        <row r="300">
          <cell r="A300" t="str">
            <v>FBR1R220215</v>
          </cell>
          <cell r="B300">
            <v>220215</v>
          </cell>
          <cell r="C300" t="str">
            <v>R&amp;D</v>
          </cell>
          <cell r="D300">
            <v>44820</v>
          </cell>
          <cell r="E300">
            <v>0.49305555555555558</v>
          </cell>
          <cell r="F300">
            <v>44805</v>
          </cell>
          <cell r="G300">
            <v>44820</v>
          </cell>
          <cell r="H300">
            <v>0.84513888888888888</v>
          </cell>
          <cell r="I300">
            <v>0.35208333333333336</v>
          </cell>
          <cell r="J300">
            <v>10</v>
          </cell>
          <cell r="K300" t="str">
            <v>FCB-PROTOCOL-01</v>
          </cell>
          <cell r="L300" t="str">
            <v>CLN/DBR/118</v>
          </cell>
          <cell r="M300" t="str">
            <v>Y</v>
          </cell>
          <cell r="N300" t="str">
            <v>BSS(1R)</v>
          </cell>
          <cell r="O300" t="str">
            <v>Internal R&amp;D</v>
          </cell>
          <cell r="P300" t="str">
            <v>Q1 Passed</v>
          </cell>
          <cell r="Q300" t="str">
            <v>Q1 Passed</v>
          </cell>
          <cell r="R300" t="str">
            <v>Q1.5 Passed</v>
          </cell>
          <cell r="S300" t="str">
            <v>Q1.5 Passed</v>
          </cell>
          <cell r="V300" t="str">
            <v>Tumor content 75-92%</v>
          </cell>
          <cell r="W300" t="str">
            <v>Clinic'les</v>
          </cell>
          <cell r="X300" t="str">
            <v>Clinic'les- DBR &amp; SK Hospital, Tirupati</v>
          </cell>
          <cell r="Y300" t="str">
            <v>DBR &amp; SK Hospital, Tirupati</v>
          </cell>
          <cell r="Z300" t="str">
            <v>Dr C Jayaprakash, Tirupati</v>
          </cell>
          <cell r="AA300" t="str">
            <v>HNSCC</v>
          </cell>
          <cell r="AC300" t="str">
            <v>Tongue</v>
          </cell>
          <cell r="AD300" t="str">
            <v>Tongue</v>
          </cell>
          <cell r="AE300" t="str">
            <v>Female</v>
          </cell>
          <cell r="AF300">
            <v>45</v>
          </cell>
          <cell r="AG300" t="str">
            <v>N</v>
          </cell>
          <cell r="AH300">
            <v>7.2</v>
          </cell>
          <cell r="AI300" t="str">
            <v>Partha</v>
          </cell>
          <cell r="AJ300" t="str">
            <v>Surgery</v>
          </cell>
          <cell r="AK300" t="str">
            <v>Primary</v>
          </cell>
          <cell r="AN300">
            <v>3</v>
          </cell>
          <cell r="AP300" t="str">
            <v>T3Nomx</v>
          </cell>
          <cell r="AS300" t="str">
            <v>Squamous cell carcinoma</v>
          </cell>
          <cell r="AV300">
            <v>44820</v>
          </cell>
          <cell r="AW300">
            <v>0.90277777777777779</v>
          </cell>
          <cell r="AX300">
            <v>1.0069444444444444</v>
          </cell>
          <cell r="AY300">
            <v>0.10416666666666667</v>
          </cell>
          <cell r="AZ300">
            <v>0.16180555555555556</v>
          </cell>
          <cell r="BA300">
            <v>0.51388888888888884</v>
          </cell>
          <cell r="BB300" t="str">
            <v>0.8*2.8*1.6</v>
          </cell>
          <cell r="BC300" t="str">
            <v>0.8*2.8*1.6</v>
          </cell>
          <cell r="BD300" t="str">
            <v>Vibratome</v>
          </cell>
          <cell r="BE300">
            <v>15</v>
          </cell>
          <cell r="BF300" t="str">
            <v>Gowri</v>
          </cell>
          <cell r="BG300" t="str">
            <v>Y</v>
          </cell>
        </row>
        <row r="301">
          <cell r="A301" t="str">
            <v>FBR1T220215</v>
          </cell>
          <cell r="B301">
            <v>220215</v>
          </cell>
          <cell r="C301" t="str">
            <v>R&amp;D</v>
          </cell>
          <cell r="D301">
            <v>44820</v>
          </cell>
          <cell r="E301">
            <v>0.49305555555555558</v>
          </cell>
          <cell r="F301">
            <v>44805</v>
          </cell>
          <cell r="G301">
            <v>44820</v>
          </cell>
          <cell r="H301">
            <v>0.84513888888888888</v>
          </cell>
          <cell r="I301">
            <v>0.35208333333333336</v>
          </cell>
          <cell r="J301">
            <v>10</v>
          </cell>
          <cell r="K301" t="str">
            <v>FCB-PROTOCOL-01</v>
          </cell>
          <cell r="L301" t="str">
            <v>CLN/DBR/118</v>
          </cell>
          <cell r="M301" t="str">
            <v>Y</v>
          </cell>
          <cell r="N301" t="str">
            <v>cc Study(1T)</v>
          </cell>
          <cell r="O301" t="str">
            <v>Internal R&amp;D</v>
          </cell>
          <cell r="P301" t="str">
            <v>Q1 Passed</v>
          </cell>
          <cell r="Q301" t="str">
            <v>Q1 Passed</v>
          </cell>
          <cell r="R301" t="str">
            <v>Q1.5 Passed</v>
          </cell>
          <cell r="S301" t="str">
            <v>Q1.5 Passed</v>
          </cell>
          <cell r="V301" t="str">
            <v>Tumor content 45-95%</v>
          </cell>
          <cell r="W301" t="str">
            <v>Clinic'les</v>
          </cell>
          <cell r="X301" t="str">
            <v>Clinic'les- DBR &amp; SK Hospital, Tirupati</v>
          </cell>
          <cell r="Y301" t="str">
            <v>DBR &amp; SK Hospital, Tirupati</v>
          </cell>
          <cell r="Z301" t="str">
            <v>Dr C Jayaprakash, Tirupati</v>
          </cell>
          <cell r="AA301" t="str">
            <v>HNSCC</v>
          </cell>
          <cell r="AC301" t="str">
            <v>Tongue</v>
          </cell>
          <cell r="AD301" t="str">
            <v>Tongue</v>
          </cell>
          <cell r="AE301" t="str">
            <v>Female</v>
          </cell>
          <cell r="AF301">
            <v>45</v>
          </cell>
          <cell r="AG301" t="str">
            <v>N</v>
          </cell>
          <cell r="AH301">
            <v>7.2</v>
          </cell>
          <cell r="AI301" t="str">
            <v>Partha</v>
          </cell>
          <cell r="AJ301" t="str">
            <v>Surgery</v>
          </cell>
          <cell r="AK301" t="str">
            <v>Primary</v>
          </cell>
          <cell r="AN301">
            <v>3</v>
          </cell>
          <cell r="AP301" t="str">
            <v>T3Nomx</v>
          </cell>
          <cell r="AS301" t="str">
            <v>Squamous cell carcinoma</v>
          </cell>
          <cell r="AV301">
            <v>44820</v>
          </cell>
          <cell r="AW301">
            <v>0.90277777777777779</v>
          </cell>
          <cell r="AX301">
            <v>1.0069444444444444</v>
          </cell>
          <cell r="AY301">
            <v>0.10416666666666667</v>
          </cell>
          <cell r="AZ301">
            <v>0.16180555555555556</v>
          </cell>
          <cell r="BA301">
            <v>0.51388888888888884</v>
          </cell>
          <cell r="BB301" t="str">
            <v>0.8*2.8*1.6</v>
          </cell>
          <cell r="BC301" t="str">
            <v>0.8*2.8*1.6</v>
          </cell>
          <cell r="BD301" t="str">
            <v>Vibratome</v>
          </cell>
          <cell r="BE301">
            <v>15</v>
          </cell>
          <cell r="BF301" t="str">
            <v>Gowri</v>
          </cell>
          <cell r="BG301" t="str">
            <v>Y</v>
          </cell>
        </row>
        <row r="302">
          <cell r="A302" t="str">
            <v>FBR1M220216</v>
          </cell>
          <cell r="B302">
            <v>220216</v>
          </cell>
          <cell r="C302" t="str">
            <v>R&amp;D</v>
          </cell>
          <cell r="D302">
            <v>44823</v>
          </cell>
          <cell r="E302">
            <v>0.58680555555555558</v>
          </cell>
          <cell r="F302">
            <v>44805</v>
          </cell>
          <cell r="G302">
            <v>44823</v>
          </cell>
          <cell r="H302">
            <v>0.77569444444444446</v>
          </cell>
          <cell r="I302">
            <v>0.18888888888888888</v>
          </cell>
          <cell r="J302">
            <v>35</v>
          </cell>
          <cell r="K302" t="str">
            <v>FCB-PROTOCOL-01</v>
          </cell>
          <cell r="L302" t="str">
            <v>RC013</v>
          </cell>
          <cell r="M302" t="str">
            <v>Y</v>
          </cell>
          <cell r="N302" t="str">
            <v>DMS_RCC</v>
          </cell>
          <cell r="O302" t="str">
            <v>Internal R&amp;D</v>
          </cell>
          <cell r="P302" t="str">
            <v>Q1 Passed</v>
          </cell>
          <cell r="Q302" t="str">
            <v>Q1 Passed</v>
          </cell>
          <cell r="R302" t="str">
            <v>Q1.5 Passed</v>
          </cell>
          <cell r="S302" t="str">
            <v>Q1.5 Passed</v>
          </cell>
          <cell r="V302" t="str">
            <v>Good tumor content in all fragments</v>
          </cell>
          <cell r="W302" t="str">
            <v>Government Hospital</v>
          </cell>
          <cell r="X302" t="str">
            <v>Mazumdar Shaw Medical Centre, Bangalore</v>
          </cell>
          <cell r="Y302" t="str">
            <v>Mazumdar Shaw Medical Centre, Bangalore</v>
          </cell>
          <cell r="Z302" t="str">
            <v>Dr Saurabh Bhargav, Bangalore</v>
          </cell>
          <cell r="AA302" t="str">
            <v>RCC</v>
          </cell>
          <cell r="AC302" t="str">
            <v>Renal</v>
          </cell>
          <cell r="AD302" t="str">
            <v>Right upper pole of Kidney</v>
          </cell>
          <cell r="AE302" t="str">
            <v>Male</v>
          </cell>
          <cell r="AF302">
            <v>72</v>
          </cell>
          <cell r="AG302" t="str">
            <v>N</v>
          </cell>
          <cell r="AH302">
            <v>5.6</v>
          </cell>
          <cell r="AI302" t="str">
            <v>Maruthi</v>
          </cell>
          <cell r="AJ302" t="str">
            <v>Surgery</v>
          </cell>
          <cell r="AK302" t="str">
            <v>Primary</v>
          </cell>
          <cell r="AN302">
            <v>2</v>
          </cell>
          <cell r="AO302">
            <v>1</v>
          </cell>
          <cell r="AP302" t="str">
            <v>pT1bN0</v>
          </cell>
          <cell r="AV302">
            <v>44823</v>
          </cell>
          <cell r="AW302">
            <v>0.79861111111111116</v>
          </cell>
          <cell r="AX302">
            <v>0.86805555555555558</v>
          </cell>
          <cell r="AY302">
            <v>6.9444444444444448E-2</v>
          </cell>
          <cell r="AZ302">
            <v>9.2361111111111116E-2</v>
          </cell>
          <cell r="BA302">
            <v>0.28125</v>
          </cell>
          <cell r="BB302" t="str">
            <v>0.6*1.6*1.6</v>
          </cell>
          <cell r="BC302" t="str">
            <v>0.6*1.6*1.6</v>
          </cell>
          <cell r="BD302" t="str">
            <v>Vibratome</v>
          </cell>
          <cell r="BE302">
            <v>15</v>
          </cell>
          <cell r="BF302" t="str">
            <v>Kowshik</v>
          </cell>
          <cell r="BG302" t="str">
            <v>Y</v>
          </cell>
        </row>
        <row r="303">
          <cell r="A303" t="str">
            <v>FBR1M220217</v>
          </cell>
          <cell r="B303">
            <v>220217</v>
          </cell>
          <cell r="C303" t="str">
            <v>R&amp;D</v>
          </cell>
          <cell r="D303">
            <v>44823</v>
          </cell>
          <cell r="E303">
            <v>0.7319444444444444</v>
          </cell>
          <cell r="F303">
            <v>44805</v>
          </cell>
          <cell r="G303">
            <v>44823</v>
          </cell>
          <cell r="H303">
            <v>0.77569444444444446</v>
          </cell>
          <cell r="I303">
            <v>4.3749999999999997E-2</v>
          </cell>
          <cell r="J303">
            <v>44</v>
          </cell>
          <cell r="K303" t="str">
            <v>FCB-PROTOCOL-01</v>
          </cell>
          <cell r="L303" t="str">
            <v>RC014</v>
          </cell>
          <cell r="M303" t="str">
            <v>Y</v>
          </cell>
          <cell r="N303" t="str">
            <v>DMS_RCC</v>
          </cell>
          <cell r="O303" t="str">
            <v>Internal R&amp;D</v>
          </cell>
          <cell r="P303" t="str">
            <v>Q1 Passed</v>
          </cell>
          <cell r="Q303" t="str">
            <v>Q1 Passed</v>
          </cell>
          <cell r="R303" t="str">
            <v>Q1.5 Passed</v>
          </cell>
          <cell r="S303" t="str">
            <v>Q1.5 Passed</v>
          </cell>
          <cell r="V303" t="str">
            <v>Tumor content 3-40%</v>
          </cell>
          <cell r="W303" t="str">
            <v>Government Hospital</v>
          </cell>
          <cell r="X303" t="str">
            <v>Mazumdar Shaw Medical Centre, Bangalore</v>
          </cell>
          <cell r="Y303" t="str">
            <v>Mazumdar Shaw Medical Centre, Bangalore</v>
          </cell>
          <cell r="Z303" t="str">
            <v>Dr Saurabh Bhargav, Bangalore</v>
          </cell>
          <cell r="AA303" t="str">
            <v>RCC</v>
          </cell>
          <cell r="AC303" t="str">
            <v>Renal</v>
          </cell>
          <cell r="AD303" t="str">
            <v>Left Renal Mass</v>
          </cell>
          <cell r="AE303" t="str">
            <v>Male</v>
          </cell>
          <cell r="AF303">
            <v>43</v>
          </cell>
          <cell r="AG303" t="str">
            <v>N</v>
          </cell>
          <cell r="AH303">
            <v>5.6</v>
          </cell>
          <cell r="AI303" t="str">
            <v>Maruthi</v>
          </cell>
          <cell r="AJ303" t="str">
            <v>Surgery</v>
          </cell>
          <cell r="AK303" t="str">
            <v>Primary</v>
          </cell>
          <cell r="AN303">
            <v>2</v>
          </cell>
          <cell r="AO303">
            <v>2</v>
          </cell>
          <cell r="AP303" t="str">
            <v>pT2a</v>
          </cell>
          <cell r="AV303">
            <v>44823</v>
          </cell>
          <cell r="AW303">
            <v>0.80694444444444446</v>
          </cell>
          <cell r="AX303">
            <v>0.89583333333333337</v>
          </cell>
          <cell r="AY303">
            <v>8.8888888888888892E-2</v>
          </cell>
          <cell r="AZ303">
            <v>0.12013888888888889</v>
          </cell>
          <cell r="BA303">
            <v>0.16388888888888889</v>
          </cell>
          <cell r="BB303" t="str">
            <v>0.5/0.7*2.0*2.2
0.4*1.4*1.2</v>
          </cell>
          <cell r="BC303" t="str">
            <v>0.5/0.7*2.0*2.2
0.4*1.4*1.2</v>
          </cell>
          <cell r="BD303" t="str">
            <v>Manual</v>
          </cell>
          <cell r="BE303">
            <v>15</v>
          </cell>
          <cell r="BF303" t="str">
            <v>Biswajit</v>
          </cell>
          <cell r="BG303" t="str">
            <v>Y</v>
          </cell>
        </row>
        <row r="304">
          <cell r="A304" t="str">
            <v>FBR1T220218</v>
          </cell>
          <cell r="B304">
            <v>220218</v>
          </cell>
          <cell r="C304" t="str">
            <v>R&amp;D</v>
          </cell>
          <cell r="D304">
            <v>44823</v>
          </cell>
          <cell r="E304">
            <v>0.52430555555555558</v>
          </cell>
          <cell r="F304">
            <v>44805</v>
          </cell>
          <cell r="G304">
            <v>44823</v>
          </cell>
          <cell r="H304">
            <v>0.89583333333333337</v>
          </cell>
          <cell r="I304">
            <v>0.37152777777777779</v>
          </cell>
          <cell r="J304">
            <v>10</v>
          </cell>
          <cell r="K304" t="str">
            <v>FCB-PROTOCOL-01</v>
          </cell>
          <cell r="L304" t="str">
            <v>CLN/DBR/119</v>
          </cell>
          <cell r="M304" t="str">
            <v>Y</v>
          </cell>
          <cell r="N304" t="str">
            <v>cc Study(1T)</v>
          </cell>
          <cell r="O304" t="str">
            <v>Internal R&amp;D</v>
          </cell>
          <cell r="P304" t="str">
            <v>Q1 Passed</v>
          </cell>
          <cell r="Q304" t="str">
            <v>Q1 Passed</v>
          </cell>
          <cell r="R304" t="str">
            <v>Q1.5 Passed</v>
          </cell>
          <cell r="S304" t="str">
            <v>Q1.5 Passed</v>
          </cell>
          <cell r="V304" t="str">
            <v>Tumor content 60-80%</v>
          </cell>
          <cell r="W304" t="str">
            <v>Clinic'les</v>
          </cell>
          <cell r="X304" t="str">
            <v>Clinic'les- DBR &amp; SK Hospital, Tirupati</v>
          </cell>
          <cell r="Y304" t="str">
            <v>DBR &amp; SK Hospital, Tirupati</v>
          </cell>
          <cell r="Z304" t="str">
            <v>Dr C Jayaprakash, Tirupati</v>
          </cell>
          <cell r="AA304" t="str">
            <v>HNSCC</v>
          </cell>
          <cell r="AC304" t="str">
            <v>Buccal Mucosa</v>
          </cell>
          <cell r="AD304" t="str">
            <v>Buccal Mucosa</v>
          </cell>
          <cell r="AE304" t="str">
            <v>Female</v>
          </cell>
          <cell r="AF304">
            <v>41</v>
          </cell>
          <cell r="AG304" t="str">
            <v>N</v>
          </cell>
          <cell r="AH304">
            <v>5.0999999999999996</v>
          </cell>
          <cell r="AI304" t="str">
            <v>Shashi</v>
          </cell>
          <cell r="AJ304" t="str">
            <v>Surgery</v>
          </cell>
          <cell r="AK304" t="str">
            <v>Primary</v>
          </cell>
          <cell r="AN304">
            <v>4</v>
          </cell>
          <cell r="AP304" t="str">
            <v>T3N3bmx</v>
          </cell>
          <cell r="AS304" t="str">
            <v>Squamous cell carcinoma</v>
          </cell>
          <cell r="AV304">
            <v>44823</v>
          </cell>
          <cell r="AW304">
            <v>0.92708333333333337</v>
          </cell>
          <cell r="AX304">
            <v>0.99652777777777779</v>
          </cell>
          <cell r="AY304">
            <v>6.9444444444444448E-2</v>
          </cell>
          <cell r="AZ304">
            <v>0.10069444444444445</v>
          </cell>
          <cell r="BA304">
            <v>0.47222222222222221</v>
          </cell>
          <cell r="BB304" t="str">
            <v>0.5*1.0*2.4</v>
          </cell>
          <cell r="BC304" t="str">
            <v>0.5*1.0*2.4</v>
          </cell>
          <cell r="BD304" t="str">
            <v>vibratome</v>
          </cell>
          <cell r="BE304">
            <v>15</v>
          </cell>
          <cell r="BF304" t="str">
            <v>Biswajit</v>
          </cell>
          <cell r="BG304" t="str">
            <v>Y</v>
          </cell>
        </row>
        <row r="305">
          <cell r="A305" t="str">
            <v>FBR1S220218</v>
          </cell>
          <cell r="B305">
            <v>220218</v>
          </cell>
          <cell r="C305" t="str">
            <v>R&amp;D</v>
          </cell>
          <cell r="D305">
            <v>44823</v>
          </cell>
          <cell r="E305">
            <v>0.52430555555555558</v>
          </cell>
          <cell r="F305">
            <v>44805</v>
          </cell>
          <cell r="G305">
            <v>44823</v>
          </cell>
          <cell r="H305">
            <v>0.89583333333333337</v>
          </cell>
          <cell r="I305">
            <v>0.37152777777777779</v>
          </cell>
          <cell r="J305">
            <v>10</v>
          </cell>
          <cell r="K305" t="str">
            <v>FCB-PROTOCOL-01</v>
          </cell>
          <cell r="L305" t="str">
            <v>CLN/DBR/119</v>
          </cell>
          <cell r="M305" t="str">
            <v>Y</v>
          </cell>
          <cell r="N305" t="str">
            <v>DMS_v5 (1S)</v>
          </cell>
          <cell r="O305" t="str">
            <v>Internal R&amp;D</v>
          </cell>
          <cell r="P305" t="str">
            <v>Q1 Passed</v>
          </cell>
          <cell r="Q305" t="str">
            <v>Q1 Passed</v>
          </cell>
          <cell r="R305" t="str">
            <v>Q1.5 Passed</v>
          </cell>
          <cell r="S305" t="str">
            <v>Q1.5 Passed</v>
          </cell>
          <cell r="W305" t="str">
            <v>Clinic'les</v>
          </cell>
          <cell r="X305" t="str">
            <v>Clinic'les- DBR &amp; SK Hospital, Tirupati</v>
          </cell>
          <cell r="Y305" t="str">
            <v>DBR &amp; SK Hospital, Tirupati</v>
          </cell>
          <cell r="Z305" t="str">
            <v>Dr C Jayaprakash, Tirupati</v>
          </cell>
          <cell r="AA305" t="str">
            <v>HNSCC</v>
          </cell>
          <cell r="AC305" t="str">
            <v>Buccal Mucosa</v>
          </cell>
          <cell r="AD305" t="str">
            <v>Buccal Mucosa</v>
          </cell>
          <cell r="AE305" t="str">
            <v>Female</v>
          </cell>
          <cell r="AF305">
            <v>41</v>
          </cell>
          <cell r="AG305" t="str">
            <v>N</v>
          </cell>
          <cell r="AH305">
            <v>5.0999999999999996</v>
          </cell>
          <cell r="AI305" t="str">
            <v>Shashi</v>
          </cell>
          <cell r="AJ305" t="str">
            <v>Surgery</v>
          </cell>
          <cell r="AK305" t="str">
            <v>Primary</v>
          </cell>
          <cell r="AN305">
            <v>4</v>
          </cell>
          <cell r="AP305" t="str">
            <v>T3N3bmx</v>
          </cell>
          <cell r="AS305" t="str">
            <v>Squamous cell carcinoma</v>
          </cell>
          <cell r="AV305">
            <v>44823</v>
          </cell>
          <cell r="AW305">
            <v>0.92708333333333337</v>
          </cell>
          <cell r="AX305">
            <v>0.99652777777777779</v>
          </cell>
          <cell r="AY305">
            <v>6.9444444444444448E-2</v>
          </cell>
          <cell r="AZ305">
            <v>0.10069444444444445</v>
          </cell>
          <cell r="BA305">
            <v>0.47222222222222221</v>
          </cell>
          <cell r="BB305" t="str">
            <v>0.5*1.0*2.4</v>
          </cell>
          <cell r="BC305" t="str">
            <v>0.5*1.0*2.4</v>
          </cell>
          <cell r="BD305" t="str">
            <v>vibratome</v>
          </cell>
          <cell r="BE305">
            <v>15</v>
          </cell>
          <cell r="BF305" t="str">
            <v>Biswajit</v>
          </cell>
          <cell r="BG305" t="str">
            <v>Y</v>
          </cell>
        </row>
        <row r="306">
          <cell r="A306" t="str">
            <v>FBR1S220219</v>
          </cell>
          <cell r="B306">
            <v>220219</v>
          </cell>
          <cell r="C306" t="str">
            <v>R&amp;D</v>
          </cell>
          <cell r="D306">
            <v>44824</v>
          </cell>
          <cell r="E306">
            <v>0.53125</v>
          </cell>
          <cell r="F306">
            <v>44805</v>
          </cell>
          <cell r="G306">
            <v>44824</v>
          </cell>
          <cell r="H306">
            <v>0.90625</v>
          </cell>
          <cell r="I306">
            <v>0.375</v>
          </cell>
          <cell r="J306">
            <v>10</v>
          </cell>
          <cell r="K306" t="str">
            <v>FCB-PROTOCOL-01</v>
          </cell>
          <cell r="L306" t="str">
            <v>CLN/DBR/120</v>
          </cell>
          <cell r="M306" t="str">
            <v>Y</v>
          </cell>
          <cell r="N306" t="str">
            <v>DMS_v5 (1S)</v>
          </cell>
          <cell r="O306" t="str">
            <v>Internal R&amp;D</v>
          </cell>
          <cell r="P306" t="str">
            <v>Q1 Passed</v>
          </cell>
          <cell r="Q306" t="str">
            <v>Q1 Passed</v>
          </cell>
          <cell r="R306" t="str">
            <v>Q1.5 Passed</v>
          </cell>
          <cell r="S306" t="str">
            <v>Q1.5 Passed</v>
          </cell>
          <cell r="V306" t="str">
            <v>Tumor content 8-70% with high immune component</v>
          </cell>
          <cell r="W306" t="str">
            <v>Clinic'les</v>
          </cell>
          <cell r="X306" t="str">
            <v>Clinic'les- DBR &amp; SK Hospital, Tirupati</v>
          </cell>
          <cell r="Y306" t="str">
            <v>DBR &amp; SK Hospital, Tirupati</v>
          </cell>
          <cell r="Z306" t="str">
            <v>Dr C Jayaprakash, Tirupati</v>
          </cell>
          <cell r="AA306" t="str">
            <v>HNSCC</v>
          </cell>
          <cell r="AC306" t="str">
            <v>Buccal Mucosa</v>
          </cell>
          <cell r="AD306" t="str">
            <v>Buccal Mucosa</v>
          </cell>
          <cell r="AE306" t="str">
            <v>Male</v>
          </cell>
          <cell r="AF306">
            <v>76</v>
          </cell>
          <cell r="AG306" t="str">
            <v>N</v>
          </cell>
          <cell r="AH306">
            <v>5.3</v>
          </cell>
          <cell r="AI306" t="str">
            <v>Shashi</v>
          </cell>
          <cell r="AJ306" t="str">
            <v>Surgery</v>
          </cell>
          <cell r="AK306" t="str">
            <v>Primary</v>
          </cell>
          <cell r="AN306">
            <v>2</v>
          </cell>
          <cell r="AP306" t="str">
            <v>T2Nomx</v>
          </cell>
          <cell r="AS306" t="str">
            <v>Squamous cell carcinoma</v>
          </cell>
          <cell r="AV306">
            <v>44824</v>
          </cell>
          <cell r="AW306">
            <v>0.92013888888888884</v>
          </cell>
          <cell r="AX306">
            <v>0.96805555555555556</v>
          </cell>
          <cell r="AY306">
            <v>4.791666666666667E-2</v>
          </cell>
          <cell r="AZ306">
            <v>6.1805555555555558E-2</v>
          </cell>
          <cell r="BA306">
            <v>0.43680555555555556</v>
          </cell>
          <cell r="BB306" t="str">
            <v>0.4*1.6*2.2</v>
          </cell>
          <cell r="BC306" t="str">
            <v>0.4*1.6*2.2</v>
          </cell>
          <cell r="BD306" t="str">
            <v>Vibratome</v>
          </cell>
          <cell r="BE306">
            <v>15</v>
          </cell>
          <cell r="BF306" t="str">
            <v>Rajashekhar</v>
          </cell>
          <cell r="BG306" t="str">
            <v>Y</v>
          </cell>
        </row>
        <row r="307">
          <cell r="A307" t="str">
            <v>FBR1T220219</v>
          </cell>
          <cell r="B307">
            <v>220219</v>
          </cell>
          <cell r="C307" t="str">
            <v>R&amp;D</v>
          </cell>
          <cell r="D307">
            <v>44824</v>
          </cell>
          <cell r="E307">
            <v>0.53125</v>
          </cell>
          <cell r="F307">
            <v>44805</v>
          </cell>
          <cell r="G307">
            <v>44824</v>
          </cell>
          <cell r="H307">
            <v>0.90625</v>
          </cell>
          <cell r="I307">
            <v>0.375</v>
          </cell>
          <cell r="J307">
            <v>10</v>
          </cell>
          <cell r="K307" t="str">
            <v>FCB-PROTOCOL-01</v>
          </cell>
          <cell r="L307" t="str">
            <v>CLN/DBR/120</v>
          </cell>
          <cell r="M307" t="str">
            <v>Y</v>
          </cell>
          <cell r="N307" t="str">
            <v>cc Study(1T)</v>
          </cell>
          <cell r="O307" t="str">
            <v>Internal R&amp;D</v>
          </cell>
          <cell r="P307" t="str">
            <v>Q1 Passed</v>
          </cell>
          <cell r="Q307" t="str">
            <v>Q1 Passed</v>
          </cell>
          <cell r="R307" t="str">
            <v>Q1.5 Passed</v>
          </cell>
          <cell r="S307" t="str">
            <v>Q1.5 Passed</v>
          </cell>
          <cell r="W307" t="str">
            <v>Clinic'les</v>
          </cell>
          <cell r="X307" t="str">
            <v>Clinic'les- DBR &amp; SK Hospital, Tirupati</v>
          </cell>
          <cell r="Y307" t="str">
            <v>DBR &amp; SK Hospital, Tirupati</v>
          </cell>
          <cell r="Z307" t="str">
            <v>Dr C Jayaprakash, Tirupati</v>
          </cell>
          <cell r="AA307" t="str">
            <v>HNSCC</v>
          </cell>
          <cell r="AC307" t="str">
            <v>Buccal Mucosa</v>
          </cell>
          <cell r="AD307" t="str">
            <v>Buccal Mucosa</v>
          </cell>
          <cell r="AE307" t="str">
            <v>Male</v>
          </cell>
          <cell r="AF307">
            <v>76</v>
          </cell>
          <cell r="AG307" t="str">
            <v>N</v>
          </cell>
          <cell r="AH307">
            <v>5.3</v>
          </cell>
          <cell r="AI307" t="str">
            <v>Shashi</v>
          </cell>
          <cell r="AJ307" t="str">
            <v>Surgery</v>
          </cell>
          <cell r="AK307" t="str">
            <v>Primary</v>
          </cell>
          <cell r="AN307">
            <v>2</v>
          </cell>
          <cell r="AP307" t="str">
            <v>T2Nomx</v>
          </cell>
          <cell r="AS307" t="str">
            <v>Squamous cell carcinoma</v>
          </cell>
          <cell r="AV307">
            <v>44824</v>
          </cell>
          <cell r="AW307">
            <v>0.92013888888888884</v>
          </cell>
          <cell r="AX307">
            <v>0.96805555555555556</v>
          </cell>
          <cell r="AY307">
            <v>4.791666666666667E-2</v>
          </cell>
          <cell r="AZ307">
            <v>6.1805555555555558E-2</v>
          </cell>
          <cell r="BA307">
            <v>0.43680555555555556</v>
          </cell>
          <cell r="BB307" t="str">
            <v>0.4*1.6*2.2</v>
          </cell>
          <cell r="BC307" t="str">
            <v>0.4*1.6*2.2</v>
          </cell>
          <cell r="BD307" t="str">
            <v>Vibratome</v>
          </cell>
          <cell r="BE307">
            <v>15</v>
          </cell>
          <cell r="BF307" t="str">
            <v>Rajashekhar</v>
          </cell>
          <cell r="BG307" t="str">
            <v>Y</v>
          </cell>
        </row>
        <row r="308">
          <cell r="A308" t="str">
            <v>FBR1S220220</v>
          </cell>
          <cell r="B308">
            <v>220220</v>
          </cell>
          <cell r="C308" t="str">
            <v>R&amp;D</v>
          </cell>
          <cell r="D308">
            <v>44825</v>
          </cell>
          <cell r="E308">
            <v>0.49444444444444446</v>
          </cell>
          <cell r="F308">
            <v>44805</v>
          </cell>
          <cell r="G308">
            <v>44825</v>
          </cell>
          <cell r="H308">
            <v>0.5625</v>
          </cell>
          <cell r="I308">
            <v>6.805555555555555E-2</v>
          </cell>
          <cell r="J308">
            <v>3</v>
          </cell>
          <cell r="K308" t="str">
            <v>FCB-PROTOCOL-02</v>
          </cell>
          <cell r="L308" t="str">
            <v>VYD/131</v>
          </cell>
          <cell r="M308" t="str">
            <v>Y</v>
          </cell>
          <cell r="N308" t="str">
            <v>DMS_v5 (1S)</v>
          </cell>
          <cell r="O308" t="str">
            <v>Internal R&amp;D</v>
          </cell>
          <cell r="P308" t="str">
            <v>Q1 Passed</v>
          </cell>
          <cell r="Q308" t="str">
            <v>Q1 Passed</v>
          </cell>
          <cell r="R308" t="str">
            <v>Q1.5 Passed</v>
          </cell>
          <cell r="S308" t="str">
            <v>Q1.5 Passed</v>
          </cell>
          <cell r="V308" t="str">
            <v>Good tumor content in all fragments</v>
          </cell>
          <cell r="W308" t="str">
            <v>Private Hospital</v>
          </cell>
          <cell r="X308" t="str">
            <v>Vydehi Hospital, Bangalore</v>
          </cell>
          <cell r="Y308" t="str">
            <v>Vydehi Hospital, Bangalore</v>
          </cell>
          <cell r="Z308" t="str">
            <v>Dr Amritha Prabha, Bangalore</v>
          </cell>
          <cell r="AA308" t="str">
            <v>HNSCC</v>
          </cell>
          <cell r="AC308" t="str">
            <v>Maxilla</v>
          </cell>
          <cell r="AD308" t="str">
            <v>Left Maxilla</v>
          </cell>
          <cell r="AE308" t="str">
            <v>Male</v>
          </cell>
          <cell r="AF308">
            <v>59</v>
          </cell>
          <cell r="AG308" t="str">
            <v>N</v>
          </cell>
          <cell r="AH308">
            <v>5.6</v>
          </cell>
          <cell r="AI308" t="str">
            <v>Maruthi</v>
          </cell>
          <cell r="AJ308" t="str">
            <v>Surgery</v>
          </cell>
          <cell r="AK308" t="str">
            <v>Primary</v>
          </cell>
          <cell r="AM308" t="str">
            <v>cT4N1</v>
          </cell>
          <cell r="AN308" t="str">
            <v>IVa</v>
          </cell>
          <cell r="AO308">
            <v>2</v>
          </cell>
          <cell r="AP308" t="str">
            <v>pT2N1</v>
          </cell>
          <cell r="AS308" t="str">
            <v>Squamous Cell Carcinoma</v>
          </cell>
          <cell r="AV308">
            <v>44825</v>
          </cell>
          <cell r="AW308">
            <v>0.57986111111111116</v>
          </cell>
          <cell r="AX308">
            <v>0.65277777777777779</v>
          </cell>
          <cell r="AY308">
            <v>7.2916666666666671E-2</v>
          </cell>
          <cell r="AZ308">
            <v>9.0277777777777776E-2</v>
          </cell>
          <cell r="BA308">
            <v>0.15833333333333333</v>
          </cell>
          <cell r="BB308" t="str">
            <v>0.8*1.4*1.4</v>
          </cell>
          <cell r="BC308" t="str">
            <v>0.8*1.4*1.4</v>
          </cell>
          <cell r="BD308" t="str">
            <v>Vibratome</v>
          </cell>
          <cell r="BE308">
            <v>15</v>
          </cell>
          <cell r="BF308" t="str">
            <v>Rajashekhar</v>
          </cell>
          <cell r="BG308" t="str">
            <v>Y</v>
          </cell>
        </row>
        <row r="309">
          <cell r="A309" t="str">
            <v>FBR1T220220</v>
          </cell>
          <cell r="B309">
            <v>220220</v>
          </cell>
          <cell r="C309" t="str">
            <v>R&amp;D</v>
          </cell>
          <cell r="D309">
            <v>44825</v>
          </cell>
          <cell r="E309">
            <v>0.49444444444444446</v>
          </cell>
          <cell r="F309">
            <v>44805</v>
          </cell>
          <cell r="G309">
            <v>44825</v>
          </cell>
          <cell r="H309">
            <v>0.5625</v>
          </cell>
          <cell r="I309">
            <v>6.805555555555555E-2</v>
          </cell>
          <cell r="J309">
            <v>3</v>
          </cell>
          <cell r="K309" t="str">
            <v>FCB-PROTOCOL-02</v>
          </cell>
          <cell r="L309" t="str">
            <v>VYD/131</v>
          </cell>
          <cell r="M309" t="str">
            <v>Y</v>
          </cell>
          <cell r="N309" t="str">
            <v>cc Study(1T)</v>
          </cell>
          <cell r="O309" t="str">
            <v>Internal R&amp;D</v>
          </cell>
          <cell r="P309" t="str">
            <v>Q1 Passed</v>
          </cell>
          <cell r="Q309" t="str">
            <v>Q1 Passed</v>
          </cell>
          <cell r="R309" t="str">
            <v>Q1.5 Passed</v>
          </cell>
          <cell r="S309" t="str">
            <v>Q1.5 Passed</v>
          </cell>
          <cell r="W309" t="str">
            <v>Private Hospital</v>
          </cell>
          <cell r="X309" t="str">
            <v>Vydehi Hospital, Bangalore</v>
          </cell>
          <cell r="Y309" t="str">
            <v>Vydehi Hospital, Bangalore</v>
          </cell>
          <cell r="Z309" t="str">
            <v>Dr Amritha Prabha, Bangalore</v>
          </cell>
          <cell r="AA309" t="str">
            <v>HNSCC</v>
          </cell>
          <cell r="AC309" t="str">
            <v>Maxilla</v>
          </cell>
          <cell r="AD309" t="str">
            <v>Left Maxilla</v>
          </cell>
          <cell r="AE309" t="str">
            <v>Male</v>
          </cell>
          <cell r="AF309">
            <v>59</v>
          </cell>
          <cell r="AG309" t="str">
            <v>N</v>
          </cell>
          <cell r="AH309">
            <v>5.6</v>
          </cell>
          <cell r="AI309" t="str">
            <v>Maruthi</v>
          </cell>
          <cell r="AJ309" t="str">
            <v>Surgery</v>
          </cell>
          <cell r="AK309" t="str">
            <v>Primary</v>
          </cell>
          <cell r="AM309" t="str">
            <v>cT4N1</v>
          </cell>
          <cell r="AN309" t="str">
            <v>IVa</v>
          </cell>
          <cell r="AO309">
            <v>2</v>
          </cell>
          <cell r="AP309" t="str">
            <v>pT2N1</v>
          </cell>
          <cell r="AS309" t="str">
            <v>Squamous Cell Carcinoma</v>
          </cell>
          <cell r="AV309">
            <v>44825</v>
          </cell>
          <cell r="AW309">
            <v>0.57986111111111116</v>
          </cell>
          <cell r="AX309">
            <v>0.65277777777777779</v>
          </cell>
          <cell r="AY309">
            <v>7.2916666666666671E-2</v>
          </cell>
          <cell r="AZ309">
            <v>9.0277777777777776E-2</v>
          </cell>
          <cell r="BA309">
            <v>0.15833333333333333</v>
          </cell>
          <cell r="BB309" t="str">
            <v>0.8*1.4*1.4</v>
          </cell>
          <cell r="BC309" t="str">
            <v>0.8*1.4*1.4</v>
          </cell>
          <cell r="BD309" t="str">
            <v>Vibratome</v>
          </cell>
          <cell r="BE309">
            <v>15</v>
          </cell>
          <cell r="BF309" t="str">
            <v>Rajashekhar</v>
          </cell>
          <cell r="BG309" t="str">
            <v>Y</v>
          </cell>
        </row>
        <row r="310">
          <cell r="A310" t="str">
            <v>FBR1S220221</v>
          </cell>
          <cell r="B310">
            <v>220221</v>
          </cell>
          <cell r="C310" t="str">
            <v>R&amp;D</v>
          </cell>
          <cell r="D310">
            <v>44827</v>
          </cell>
          <cell r="E310">
            <v>0.55763888888888891</v>
          </cell>
          <cell r="F310">
            <v>44805</v>
          </cell>
          <cell r="G310">
            <v>44827</v>
          </cell>
          <cell r="H310">
            <v>0.61805555555555558</v>
          </cell>
          <cell r="I310">
            <v>6.0416666666666667E-2</v>
          </cell>
          <cell r="J310">
            <v>23</v>
          </cell>
          <cell r="K310" t="str">
            <v>FCB-PROTOCOL-01</v>
          </cell>
          <cell r="L310" t="str">
            <v>HN018</v>
          </cell>
          <cell r="M310" t="str">
            <v>Y</v>
          </cell>
          <cell r="N310" t="str">
            <v>DMS_v5 (1S)</v>
          </cell>
          <cell r="O310" t="str">
            <v>Internal R&amp;D</v>
          </cell>
          <cell r="P310" t="str">
            <v>Q1 Passed</v>
          </cell>
          <cell r="Q310" t="str">
            <v>Q1 Passed</v>
          </cell>
          <cell r="R310" t="str">
            <v>Q1.5 Passed</v>
          </cell>
          <cell r="S310" t="str">
            <v>Q1.5 Passed</v>
          </cell>
          <cell r="V310" t="str">
            <v>Tumor content 45-95% ? Sarcamatoid variant of SCC</v>
          </cell>
          <cell r="W310" t="str">
            <v>Government Hospital</v>
          </cell>
          <cell r="X310" t="str">
            <v>Mazumdar Shaw Medical Centre, Bangalore</v>
          </cell>
          <cell r="Y310" t="str">
            <v>Mazumdar Shaw Medical Centre, Bangalore</v>
          </cell>
          <cell r="Z310" t="str">
            <v>Dr Vijay Pillai, Bangalore</v>
          </cell>
          <cell r="AA310" t="str">
            <v>HNSCC</v>
          </cell>
          <cell r="AC310" t="str">
            <v>Tongue</v>
          </cell>
          <cell r="AD310" t="str">
            <v>Right Tongue</v>
          </cell>
          <cell r="AE310" t="str">
            <v>Male</v>
          </cell>
          <cell r="AF310">
            <v>35</v>
          </cell>
          <cell r="AG310" t="str">
            <v>N</v>
          </cell>
          <cell r="AH310">
            <v>5.3</v>
          </cell>
          <cell r="AI310" t="str">
            <v>Shashi</v>
          </cell>
          <cell r="AJ310" t="str">
            <v>Surgery</v>
          </cell>
          <cell r="AK310" t="str">
            <v>Primary</v>
          </cell>
          <cell r="AN310">
            <v>3</v>
          </cell>
          <cell r="AO310">
            <v>4</v>
          </cell>
          <cell r="AP310" t="str">
            <v>pT4aN3b</v>
          </cell>
          <cell r="AS310" t="str">
            <v xml:space="preserve">Poorly differentiated squamous cell carcinoma, spindle cell variant.
Left selective neck dissection - Metastasis of squamous cell
carcinoma. </v>
          </cell>
          <cell r="AV310">
            <v>44827</v>
          </cell>
          <cell r="AW310">
            <v>0.62847222222222221</v>
          </cell>
          <cell r="AX310">
            <v>0.70833333333333337</v>
          </cell>
          <cell r="AY310">
            <v>7.9861111111111105E-2</v>
          </cell>
          <cell r="AZ310">
            <v>9.0277777777777776E-2</v>
          </cell>
          <cell r="BA310">
            <v>0.15069444444444444</v>
          </cell>
          <cell r="BB310" t="str">
            <v>0.6/0.8*1.6*1.6</v>
          </cell>
          <cell r="BC310" t="str">
            <v>0.4/0.6*1.2*1.2
0.3/0.4*1.2*1.0</v>
          </cell>
          <cell r="BD310" t="str">
            <v>Vibratome</v>
          </cell>
          <cell r="BE310">
            <v>15</v>
          </cell>
          <cell r="BF310" t="str">
            <v>Arjun</v>
          </cell>
          <cell r="BG310" t="str">
            <v>Y</v>
          </cell>
        </row>
        <row r="311">
          <cell r="A311" t="str">
            <v>FBR1T220221</v>
          </cell>
          <cell r="B311">
            <v>220221</v>
          </cell>
          <cell r="C311" t="str">
            <v>R&amp;D</v>
          </cell>
          <cell r="D311">
            <v>44827</v>
          </cell>
          <cell r="E311">
            <v>0.55763888888888891</v>
          </cell>
          <cell r="F311">
            <v>44805</v>
          </cell>
          <cell r="G311">
            <v>44827</v>
          </cell>
          <cell r="H311">
            <v>0.61805555555555558</v>
          </cell>
          <cell r="I311">
            <v>6.0416666666666667E-2</v>
          </cell>
          <cell r="J311">
            <v>23</v>
          </cell>
          <cell r="K311" t="str">
            <v>FCB-PROTOCOL-01</v>
          </cell>
          <cell r="L311" t="str">
            <v>HN018</v>
          </cell>
          <cell r="M311" t="str">
            <v>Y</v>
          </cell>
          <cell r="N311" t="str">
            <v>cc Study(1T)</v>
          </cell>
          <cell r="O311" t="str">
            <v>Internal R&amp;D</v>
          </cell>
          <cell r="P311" t="str">
            <v>Q1 Passed</v>
          </cell>
          <cell r="Q311" t="str">
            <v>Q1 Passed</v>
          </cell>
          <cell r="R311" t="str">
            <v>Q1.5 Passed</v>
          </cell>
          <cell r="S311" t="str">
            <v>Q1.5 Passed</v>
          </cell>
          <cell r="W311" t="str">
            <v>Government Hospital</v>
          </cell>
          <cell r="X311" t="str">
            <v>Mazumdar Shaw Medical Centre, Bangalore</v>
          </cell>
          <cell r="Y311" t="str">
            <v>Mazumdar Shaw Medical Centre, Bangalore</v>
          </cell>
          <cell r="Z311" t="str">
            <v>Dr Vijay Pillai, Bangalore</v>
          </cell>
          <cell r="AA311" t="str">
            <v>HNSCC</v>
          </cell>
          <cell r="AC311" t="str">
            <v>Tongue</v>
          </cell>
          <cell r="AD311" t="str">
            <v>Right Tongue</v>
          </cell>
          <cell r="AE311" t="str">
            <v>Male</v>
          </cell>
          <cell r="AF311">
            <v>35</v>
          </cell>
          <cell r="AG311" t="str">
            <v>N</v>
          </cell>
          <cell r="AH311">
            <v>5.3</v>
          </cell>
          <cell r="AI311" t="str">
            <v>Shashi</v>
          </cell>
          <cell r="AJ311" t="str">
            <v>Surgery</v>
          </cell>
          <cell r="AK311" t="str">
            <v>Primary</v>
          </cell>
          <cell r="AN311">
            <v>3</v>
          </cell>
          <cell r="AO311">
            <v>4</v>
          </cell>
          <cell r="AP311" t="str">
            <v>pT4aN3b</v>
          </cell>
          <cell r="AS311" t="str">
            <v xml:space="preserve">Poorly differentiated squamous cell carcinoma, spindle cell variant.
Left selective neck dissection - Metastasis of squamous cell
carcinoma. </v>
          </cell>
          <cell r="AV311">
            <v>44827</v>
          </cell>
          <cell r="AW311">
            <v>0.62847222222222221</v>
          </cell>
          <cell r="AX311">
            <v>0.70833333333333337</v>
          </cell>
          <cell r="AY311">
            <v>7.9861111111111105E-2</v>
          </cell>
          <cell r="AZ311">
            <v>9.0277777777777776E-2</v>
          </cell>
          <cell r="BA311">
            <v>0.15069444444444444</v>
          </cell>
          <cell r="BB311" t="str">
            <v>0.6/0.8*1.6*1.6</v>
          </cell>
          <cell r="BC311" t="str">
            <v>0.4/0.6*1.2*1.2
0.3/0.4*1.2*1.0</v>
          </cell>
          <cell r="BD311" t="str">
            <v>Vibratome</v>
          </cell>
          <cell r="BE311">
            <v>15</v>
          </cell>
          <cell r="BF311" t="str">
            <v>Arjun</v>
          </cell>
          <cell r="BG311" t="str">
            <v>Y</v>
          </cell>
        </row>
        <row r="312">
          <cell r="A312" t="str">
            <v>FBR1T220222</v>
          </cell>
          <cell r="B312">
            <v>220222</v>
          </cell>
          <cell r="C312" t="str">
            <v>R&amp;D</v>
          </cell>
          <cell r="D312">
            <v>44830</v>
          </cell>
          <cell r="E312">
            <v>0.39930555555555558</v>
          </cell>
          <cell r="F312">
            <v>44805</v>
          </cell>
          <cell r="G312">
            <v>44830</v>
          </cell>
          <cell r="H312">
            <v>0.5395833333333333</v>
          </cell>
          <cell r="I312">
            <v>0.14027777777777778</v>
          </cell>
          <cell r="J312">
            <v>5</v>
          </cell>
          <cell r="K312" t="str">
            <v>MBT-TB-070_v2.0</v>
          </cell>
          <cell r="L312" t="str">
            <v>BBH012</v>
          </cell>
          <cell r="M312" t="str">
            <v>Y</v>
          </cell>
          <cell r="N312" t="str">
            <v>cc Study(1T)</v>
          </cell>
          <cell r="O312" t="str">
            <v>Internal R&amp;D</v>
          </cell>
          <cell r="P312" t="str">
            <v>Q1 Passed</v>
          </cell>
          <cell r="Q312" t="str">
            <v>Q1 Passed</v>
          </cell>
          <cell r="R312" t="str">
            <v>Q1.5 Passed</v>
          </cell>
          <cell r="S312" t="str">
            <v>Q1.5 Passed</v>
          </cell>
          <cell r="V312" t="str">
            <v>Sarcamatoid variant of SCC. High tumor content in all fragments</v>
          </cell>
          <cell r="W312" t="str">
            <v>Private Hospital</v>
          </cell>
          <cell r="X312" t="str">
            <v>Bangalore Baptist Hospital, Bangalore</v>
          </cell>
          <cell r="Y312" t="str">
            <v>Bangalore Baptist Hospital, Bangalore</v>
          </cell>
          <cell r="Z312" t="str">
            <v>Dr BV Manjula, Bangalore</v>
          </cell>
          <cell r="AA312" t="str">
            <v>HNSCC</v>
          </cell>
          <cell r="AC312" t="str">
            <v>Buccal Mucosa</v>
          </cell>
          <cell r="AD312" t="str">
            <v>Right Buccal Mucosa</v>
          </cell>
          <cell r="AE312" t="str">
            <v>Female</v>
          </cell>
          <cell r="AF312">
            <v>51</v>
          </cell>
          <cell r="AG312" t="str">
            <v>N</v>
          </cell>
          <cell r="AH312">
            <v>3</v>
          </cell>
          <cell r="AI312" t="str">
            <v>Kalappa</v>
          </cell>
          <cell r="AJ312" t="str">
            <v>Surgery</v>
          </cell>
          <cell r="AK312" t="str">
            <v>Local Recurrent</v>
          </cell>
          <cell r="AL312" t="str">
            <v>Surgery+Radiotherapy</v>
          </cell>
          <cell r="AM312" t="str">
            <v>cT4aN1M0</v>
          </cell>
          <cell r="AN312" t="str">
            <v>IVa</v>
          </cell>
          <cell r="AP312" t="str">
            <v>ypT4aN1M</v>
          </cell>
          <cell r="AV312">
            <v>44830</v>
          </cell>
          <cell r="AW312">
            <v>0.59027777777777779</v>
          </cell>
          <cell r="AX312">
            <v>0.65625</v>
          </cell>
          <cell r="AY312">
            <v>6.5972222222222224E-2</v>
          </cell>
          <cell r="AZ312">
            <v>0.11666666666666667</v>
          </cell>
          <cell r="BA312">
            <v>0.25694444444444442</v>
          </cell>
          <cell r="BB312" t="str">
            <v>0.8*1.6*2.0
0.4*0.6*0.8</v>
          </cell>
          <cell r="BC312" t="str">
            <v>0.8*1.6*2.0
0.4*0.6*0.8</v>
          </cell>
          <cell r="BD312" t="str">
            <v>Vibratome</v>
          </cell>
          <cell r="BE312">
            <v>15</v>
          </cell>
          <cell r="BF312" t="str">
            <v>Kowshik</v>
          </cell>
          <cell r="BG312" t="str">
            <v>Y</v>
          </cell>
        </row>
        <row r="313">
          <cell r="A313" t="str">
            <v>FBR1M220223</v>
          </cell>
          <cell r="B313">
            <v>220223</v>
          </cell>
          <cell r="C313" t="str">
            <v>R&amp;D</v>
          </cell>
          <cell r="D313">
            <v>44830</v>
          </cell>
          <cell r="E313">
            <v>0.52777777777777779</v>
          </cell>
          <cell r="F313">
            <v>44805</v>
          </cell>
          <cell r="G313">
            <v>44830</v>
          </cell>
          <cell r="H313">
            <v>0.57638888888888884</v>
          </cell>
          <cell r="I313">
            <v>4.8611111111111112E-2</v>
          </cell>
          <cell r="J313">
            <v>5</v>
          </cell>
          <cell r="K313" t="str">
            <v>FCB-PROTOCOL-01</v>
          </cell>
          <cell r="L313" t="str">
            <v>RC015</v>
          </cell>
          <cell r="M313" t="str">
            <v>Y</v>
          </cell>
          <cell r="N313" t="str">
            <v>DMS_RCC</v>
          </cell>
          <cell r="O313" t="str">
            <v>Internal R&amp;D</v>
          </cell>
          <cell r="P313" t="str">
            <v>Q1 Passed</v>
          </cell>
          <cell r="Q313" t="str">
            <v>Q1 Passed</v>
          </cell>
          <cell r="R313" t="str">
            <v>Q1.5 Passed</v>
          </cell>
          <cell r="S313" t="str">
            <v>Q1.5 Passed</v>
          </cell>
          <cell r="V313" t="str">
            <v>Clear cell RCC. High tumor content in all fragments</v>
          </cell>
          <cell r="W313" t="str">
            <v>Government Hospital</v>
          </cell>
          <cell r="X313" t="str">
            <v>Mazumdar Shaw Medical Centre, Bangalore</v>
          </cell>
          <cell r="Y313" t="str">
            <v>Mazumdar Shaw Medical Centre, Bangalore</v>
          </cell>
          <cell r="Z313" t="str">
            <v>Dr Saurabh Bhargav, Bangalore</v>
          </cell>
          <cell r="AA313" t="str">
            <v>RCC</v>
          </cell>
          <cell r="AC313" t="str">
            <v>Renal</v>
          </cell>
          <cell r="AD313" t="str">
            <v>Right Renal Mass</v>
          </cell>
          <cell r="AE313" t="str">
            <v>Male</v>
          </cell>
          <cell r="AF313">
            <v>39</v>
          </cell>
          <cell r="AG313" t="str">
            <v>N</v>
          </cell>
          <cell r="AH313">
            <v>4.4000000000000004</v>
          </cell>
          <cell r="AI313" t="str">
            <v>Partha</v>
          </cell>
          <cell r="AJ313" t="str">
            <v>Surgery</v>
          </cell>
          <cell r="AK313" t="str">
            <v>Primary</v>
          </cell>
          <cell r="AN313">
            <v>2</v>
          </cell>
          <cell r="AO313">
            <v>1</v>
          </cell>
          <cell r="AP313" t="str">
            <v>pT1b</v>
          </cell>
          <cell r="AV313">
            <v>44830</v>
          </cell>
          <cell r="AW313">
            <v>0.59027777777777779</v>
          </cell>
          <cell r="AX313">
            <v>0.71875</v>
          </cell>
          <cell r="AY313">
            <v>0.12847222222222221</v>
          </cell>
          <cell r="AZ313">
            <v>0.1423611111111111</v>
          </cell>
          <cell r="BA313">
            <v>0.19097222222222221</v>
          </cell>
          <cell r="BB313" t="str">
            <v>0.8*1.2*1.6</v>
          </cell>
          <cell r="BC313" t="str">
            <v>0.8*1.2*1.6</v>
          </cell>
          <cell r="BD313" t="str">
            <v>Vibratome</v>
          </cell>
          <cell r="BE313">
            <v>15</v>
          </cell>
          <cell r="BF313" t="str">
            <v>Syam</v>
          </cell>
          <cell r="BG313" t="str">
            <v>Y</v>
          </cell>
        </row>
        <row r="314">
          <cell r="A314" t="str">
            <v>FBR1M220224</v>
          </cell>
          <cell r="B314">
            <v>220224</v>
          </cell>
          <cell r="C314" t="str">
            <v>R&amp;D</v>
          </cell>
          <cell r="D314">
            <v>44830</v>
          </cell>
          <cell r="E314">
            <v>0.69722222222222219</v>
          </cell>
          <cell r="F314">
            <v>44805</v>
          </cell>
          <cell r="G314">
            <v>44830</v>
          </cell>
          <cell r="H314">
            <v>0.73472222222222228</v>
          </cell>
          <cell r="I314">
            <v>3.7499999999999999E-2</v>
          </cell>
          <cell r="J314">
            <v>34</v>
          </cell>
          <cell r="K314" t="str">
            <v>FCB-PROTOCOL-01</v>
          </cell>
          <cell r="L314" t="str">
            <v>RC016</v>
          </cell>
          <cell r="M314" t="str">
            <v>Y</v>
          </cell>
          <cell r="N314" t="str">
            <v>DMS_RCC</v>
          </cell>
          <cell r="O314" t="str">
            <v>Internal R&amp;D</v>
          </cell>
          <cell r="P314" t="str">
            <v>Q1 Passed</v>
          </cell>
          <cell r="Q314" t="str">
            <v>Q1 Passed</v>
          </cell>
          <cell r="R314" t="str">
            <v>Q1.5 Passed</v>
          </cell>
          <cell r="S314" t="str">
            <v>Q1.5 Passed</v>
          </cell>
          <cell r="V314" t="str">
            <v>Clear cell RCC. Tumor 65-90% in 5/7 explants. Others no Tumor</v>
          </cell>
          <cell r="W314" t="str">
            <v>Government Hospital</v>
          </cell>
          <cell r="X314" t="str">
            <v>Mazumdar Shaw Medical Centre, Bangalore</v>
          </cell>
          <cell r="Y314" t="str">
            <v>Mazumdar Shaw Medical Centre, Bangalore</v>
          </cell>
          <cell r="Z314" t="str">
            <v>Dr Saurabh Bhargav, Bangalore</v>
          </cell>
          <cell r="AA314" t="str">
            <v>RCC</v>
          </cell>
          <cell r="AC314" t="str">
            <v>Renal</v>
          </cell>
          <cell r="AD314" t="str">
            <v>Left Renal Mass</v>
          </cell>
          <cell r="AE314" t="str">
            <v>Female</v>
          </cell>
          <cell r="AF314">
            <v>67</v>
          </cell>
          <cell r="AG314" t="str">
            <v>N</v>
          </cell>
          <cell r="AH314">
            <v>3.3</v>
          </cell>
          <cell r="AI314" t="str">
            <v>Partha</v>
          </cell>
          <cell r="AJ314" t="str">
            <v>Surgery</v>
          </cell>
          <cell r="AK314" t="str">
            <v>Primary</v>
          </cell>
          <cell r="AN314">
            <v>4</v>
          </cell>
          <cell r="AO314">
            <v>1</v>
          </cell>
          <cell r="AP314" t="str">
            <v>pT1a</v>
          </cell>
          <cell r="AV314">
            <v>44830</v>
          </cell>
          <cell r="AW314">
            <v>0.77083333333333337</v>
          </cell>
          <cell r="AX314">
            <v>0.82291666666666663</v>
          </cell>
          <cell r="AY314">
            <v>5.2083333333333336E-2</v>
          </cell>
          <cell r="AZ314">
            <v>8.819444444444445E-2</v>
          </cell>
          <cell r="BA314">
            <v>0.12569444444444444</v>
          </cell>
          <cell r="BB314" t="str">
            <v>0.3/0.4*0.4*0.4</v>
          </cell>
          <cell r="BC314" t="str">
            <v>0.3/0.4*0.4*0.4</v>
          </cell>
          <cell r="BD314" t="str">
            <v>Manual</v>
          </cell>
          <cell r="BE314">
            <v>15</v>
          </cell>
          <cell r="BF314" t="str">
            <v>Kowshik</v>
          </cell>
          <cell r="BG314" t="str">
            <v>Y</v>
          </cell>
        </row>
        <row r="315">
          <cell r="A315" t="str">
            <v>FBR1R220225</v>
          </cell>
          <cell r="B315">
            <v>220225</v>
          </cell>
          <cell r="C315" t="str">
            <v>R&amp;D</v>
          </cell>
          <cell r="D315">
            <v>44831</v>
          </cell>
          <cell r="E315">
            <v>0.47499999999999998</v>
          </cell>
          <cell r="F315">
            <v>44805</v>
          </cell>
          <cell r="G315">
            <v>44831</v>
          </cell>
          <cell r="H315">
            <v>0.51736111111111116</v>
          </cell>
          <cell r="I315">
            <v>4.2361111111111113E-2</v>
          </cell>
          <cell r="J315">
            <v>19</v>
          </cell>
          <cell r="K315" t="str">
            <v>FCB-PROTOCOL-01</v>
          </cell>
          <cell r="L315" t="str">
            <v>HN019</v>
          </cell>
          <cell r="M315" t="str">
            <v>Y</v>
          </cell>
          <cell r="N315" t="str">
            <v>BSS(1R)</v>
          </cell>
          <cell r="O315" t="str">
            <v>Internal R&amp;D</v>
          </cell>
          <cell r="P315" t="str">
            <v>Q1 Passed</v>
          </cell>
          <cell r="Q315" t="str">
            <v>Q1 Rejected</v>
          </cell>
          <cell r="R315" t="str">
            <v>Q1.5 Passed</v>
          </cell>
          <cell r="S315" t="str">
            <v>Q1.5 Passed</v>
          </cell>
          <cell r="T315" t="str">
            <v>Blood sample was hemolysed</v>
          </cell>
          <cell r="V315" t="str">
            <v>Tumor content 40-80% in 4/7 explants.Others no tumor</v>
          </cell>
          <cell r="W315" t="str">
            <v>Government Hospital</v>
          </cell>
          <cell r="X315" t="str">
            <v>Mazumdar Shaw Medical Centre, Bangalore</v>
          </cell>
          <cell r="Y315" t="str">
            <v>Mazumdar Shaw Medical Centre, Bangalore</v>
          </cell>
          <cell r="Z315" t="str">
            <v>Dr Vijay Pillai, Bangalore</v>
          </cell>
          <cell r="AA315" t="str">
            <v>HNSCC</v>
          </cell>
          <cell r="AC315" t="str">
            <v>Hard Palate</v>
          </cell>
          <cell r="AD315" t="str">
            <v>Left Hard Palate</v>
          </cell>
          <cell r="AE315" t="str">
            <v>Male</v>
          </cell>
          <cell r="AF315">
            <v>53</v>
          </cell>
          <cell r="AG315" t="str">
            <v>N</v>
          </cell>
          <cell r="AH315">
            <v>5.0999999999999996</v>
          </cell>
          <cell r="AI315" t="str">
            <v>Maruthi</v>
          </cell>
          <cell r="AJ315" t="str">
            <v>Surgery</v>
          </cell>
          <cell r="AK315" t="str">
            <v>Primary</v>
          </cell>
          <cell r="AN315">
            <v>2</v>
          </cell>
          <cell r="AO315">
            <v>4</v>
          </cell>
          <cell r="AP315" t="str">
            <v>pT4a</v>
          </cell>
          <cell r="AS315" t="str">
            <v>Moderately differentiated , squamous cell carcinoma
Perineural invasion seen</v>
          </cell>
          <cell r="AV315">
            <v>44831</v>
          </cell>
          <cell r="AW315">
            <v>0.54166666666666663</v>
          </cell>
          <cell r="AX315">
            <v>0.66666666666666663</v>
          </cell>
          <cell r="AY315">
            <v>0.125</v>
          </cell>
          <cell r="AZ315">
            <v>0.14930555555555555</v>
          </cell>
          <cell r="BA315">
            <v>0.19166666666666668</v>
          </cell>
          <cell r="BB315" t="str">
            <v>0.6/0.8*1.6*1.6</v>
          </cell>
          <cell r="BC315" t="str">
            <v>0.6/0.8*1.6*1.6</v>
          </cell>
          <cell r="BD315" t="str">
            <v>Vibratome</v>
          </cell>
          <cell r="BE315">
            <v>15</v>
          </cell>
          <cell r="BF315" t="str">
            <v>Rajashekhar</v>
          </cell>
          <cell r="BG315" t="str">
            <v>N</v>
          </cell>
        </row>
        <row r="316">
          <cell r="A316" t="str">
            <v>FBR1S220225</v>
          </cell>
          <cell r="B316">
            <v>220225</v>
          </cell>
          <cell r="C316" t="str">
            <v>R&amp;D</v>
          </cell>
          <cell r="D316">
            <v>44831</v>
          </cell>
          <cell r="E316">
            <v>0.47499999999999998</v>
          </cell>
          <cell r="F316">
            <v>44805</v>
          </cell>
          <cell r="G316">
            <v>44831</v>
          </cell>
          <cell r="H316">
            <v>0.51736111111111116</v>
          </cell>
          <cell r="I316">
            <v>4.2361111111111113E-2</v>
          </cell>
          <cell r="J316">
            <v>19</v>
          </cell>
          <cell r="K316" t="str">
            <v>FCB-PROTOCOL-01</v>
          </cell>
          <cell r="L316" t="str">
            <v>HN019</v>
          </cell>
          <cell r="M316" t="str">
            <v>Y</v>
          </cell>
          <cell r="N316" t="str">
            <v>DMS_v5 (1S)</v>
          </cell>
          <cell r="O316" t="str">
            <v>Internal R&amp;D</v>
          </cell>
          <cell r="P316" t="str">
            <v>Q1 Passed</v>
          </cell>
          <cell r="Q316" t="str">
            <v>Q1 Rejected</v>
          </cell>
          <cell r="R316" t="str">
            <v>Q1.5 Passed</v>
          </cell>
          <cell r="S316" t="str">
            <v>Q1.5 Passed</v>
          </cell>
          <cell r="T316" t="str">
            <v>Blood sample was hemolysed</v>
          </cell>
          <cell r="V316" t="str">
            <v>Tumor content 40-85%</v>
          </cell>
          <cell r="W316" t="str">
            <v>Government Hospital</v>
          </cell>
          <cell r="X316" t="str">
            <v>Mazumdar Shaw Medical Centre, Bangalore</v>
          </cell>
          <cell r="Y316" t="str">
            <v>Mazumdar Shaw Medical Centre, Bangalore</v>
          </cell>
          <cell r="Z316" t="str">
            <v>Dr Vijay Pillai, Bangalore</v>
          </cell>
          <cell r="AA316" t="str">
            <v>HNSCC</v>
          </cell>
          <cell r="AC316" t="str">
            <v>Hard Palate</v>
          </cell>
          <cell r="AD316" t="str">
            <v>Left Hard Palate</v>
          </cell>
          <cell r="AE316" t="str">
            <v>Male</v>
          </cell>
          <cell r="AF316">
            <v>53</v>
          </cell>
          <cell r="AG316" t="str">
            <v>N</v>
          </cell>
          <cell r="AH316">
            <v>5.0999999999999996</v>
          </cell>
          <cell r="AI316" t="str">
            <v>Maruthi</v>
          </cell>
          <cell r="AJ316" t="str">
            <v>Surgery</v>
          </cell>
          <cell r="AK316" t="str">
            <v>Primary</v>
          </cell>
          <cell r="AN316">
            <v>2</v>
          </cell>
          <cell r="AO316">
            <v>4</v>
          </cell>
          <cell r="AP316" t="str">
            <v>pT4a</v>
          </cell>
          <cell r="AS316" t="str">
            <v>Moderately differentiated , squamous cell carcinoma
Perineural invasion seen</v>
          </cell>
          <cell r="AV316">
            <v>44831</v>
          </cell>
          <cell r="AW316">
            <v>0.54166666666666663</v>
          </cell>
          <cell r="AX316">
            <v>0.66666666666666663</v>
          </cell>
          <cell r="AY316">
            <v>0.125</v>
          </cell>
          <cell r="AZ316">
            <v>0.14930555555555555</v>
          </cell>
          <cell r="BA316">
            <v>0.19166666666666668</v>
          </cell>
          <cell r="BB316" t="str">
            <v>0.6/0.8*1.6*1.6</v>
          </cell>
          <cell r="BC316" t="str">
            <v>0.6/0.8*1.6*1.6</v>
          </cell>
          <cell r="BD316" t="str">
            <v>Vibratome</v>
          </cell>
          <cell r="BE316">
            <v>15</v>
          </cell>
          <cell r="BF316" t="str">
            <v>Rajashekhar</v>
          </cell>
          <cell r="BG316" t="str">
            <v>N</v>
          </cell>
        </row>
        <row r="317">
          <cell r="A317" t="str">
            <v>FBR1T220225</v>
          </cell>
          <cell r="B317">
            <v>220225</v>
          </cell>
          <cell r="C317" t="str">
            <v>R&amp;D</v>
          </cell>
          <cell r="D317">
            <v>44831</v>
          </cell>
          <cell r="E317">
            <v>0.47499999999999998</v>
          </cell>
          <cell r="F317">
            <v>44805</v>
          </cell>
          <cell r="G317">
            <v>44831</v>
          </cell>
          <cell r="H317">
            <v>0.51736111111111116</v>
          </cell>
          <cell r="I317">
            <v>4.2361111111111113E-2</v>
          </cell>
          <cell r="J317">
            <v>19</v>
          </cell>
          <cell r="K317" t="str">
            <v>FCB-PROTOCOL-01</v>
          </cell>
          <cell r="L317" t="str">
            <v>HN019</v>
          </cell>
          <cell r="M317" t="str">
            <v>Y</v>
          </cell>
          <cell r="N317" t="str">
            <v>cc Study(1T)</v>
          </cell>
          <cell r="O317" t="str">
            <v>Internal R&amp;D</v>
          </cell>
          <cell r="P317" t="str">
            <v>Q1 Passed</v>
          </cell>
          <cell r="Q317" t="str">
            <v>Q1 Rejected</v>
          </cell>
          <cell r="R317" t="str">
            <v>Q1.5 Passed</v>
          </cell>
          <cell r="S317" t="str">
            <v>Q1.5 Passed</v>
          </cell>
          <cell r="T317" t="str">
            <v>Blood sample was hemolysed</v>
          </cell>
          <cell r="W317" t="str">
            <v>Government Hospital</v>
          </cell>
          <cell r="X317" t="str">
            <v>Mazumdar Shaw Medical Centre, Bangalore</v>
          </cell>
          <cell r="Y317" t="str">
            <v>Mazumdar Shaw Medical Centre, Bangalore</v>
          </cell>
          <cell r="Z317" t="str">
            <v>Dr Vijay Pillai, Bangalore</v>
          </cell>
          <cell r="AA317" t="str">
            <v>HNSCC</v>
          </cell>
          <cell r="AC317" t="str">
            <v>Hard Palate</v>
          </cell>
          <cell r="AD317" t="str">
            <v>Left Hard Palate</v>
          </cell>
          <cell r="AE317" t="str">
            <v>Male</v>
          </cell>
          <cell r="AF317">
            <v>53</v>
          </cell>
          <cell r="AG317" t="str">
            <v>N</v>
          </cell>
          <cell r="AH317">
            <v>5.0999999999999996</v>
          </cell>
          <cell r="AI317" t="str">
            <v>Maruthi</v>
          </cell>
          <cell r="AJ317" t="str">
            <v>Surgery</v>
          </cell>
          <cell r="AK317" t="str">
            <v>Primary</v>
          </cell>
          <cell r="AN317">
            <v>2</v>
          </cell>
          <cell r="AO317">
            <v>4</v>
          </cell>
          <cell r="AP317" t="str">
            <v>pT4a</v>
          </cell>
          <cell r="AS317" t="str">
            <v>Moderately differentiated , squamous cell carcinoma
Perineural invasion seen</v>
          </cell>
          <cell r="AV317">
            <v>44831</v>
          </cell>
          <cell r="AW317">
            <v>0.54166666666666663</v>
          </cell>
          <cell r="AX317">
            <v>0.66666666666666663</v>
          </cell>
          <cell r="AY317">
            <v>0.125</v>
          </cell>
          <cell r="AZ317">
            <v>0.14930555555555555</v>
          </cell>
          <cell r="BA317">
            <v>0.19166666666666668</v>
          </cell>
          <cell r="BB317" t="str">
            <v>0.6/0.8*1.6*1.6</v>
          </cell>
          <cell r="BC317" t="str">
            <v>0.6/0.8*1.6*1.6</v>
          </cell>
          <cell r="BD317" t="str">
            <v>Vibratome</v>
          </cell>
          <cell r="BE317">
            <v>15</v>
          </cell>
          <cell r="BF317" t="str">
            <v>Rajashekhar</v>
          </cell>
          <cell r="BG317" t="str">
            <v>N</v>
          </cell>
        </row>
        <row r="318">
          <cell r="A318" t="str">
            <v>FBR1A220226</v>
          </cell>
          <cell r="B318">
            <v>220226</v>
          </cell>
          <cell r="C318" t="str">
            <v>R&amp;D</v>
          </cell>
          <cell r="D318">
            <v>44832</v>
          </cell>
          <cell r="E318">
            <v>0.4465277777777778</v>
          </cell>
          <cell r="F318">
            <v>44805</v>
          </cell>
          <cell r="G318">
            <v>44832</v>
          </cell>
          <cell r="H318">
            <v>0.5541666666666667</v>
          </cell>
          <cell r="I318">
            <v>0.1076388888888889</v>
          </cell>
          <cell r="J318">
            <v>6</v>
          </cell>
          <cell r="K318" t="str">
            <v>FCB-PROTOCOL-01</v>
          </cell>
          <cell r="L318" t="str">
            <v>OC004</v>
          </cell>
          <cell r="M318" t="str">
            <v>Y</v>
          </cell>
          <cell r="N318" t="str">
            <v>Other Indication</v>
          </cell>
          <cell r="O318" t="str">
            <v>Internal R&amp;D</v>
          </cell>
          <cell r="P318" t="str">
            <v>Q1 Passed</v>
          </cell>
          <cell r="Q318" t="str">
            <v>Q1 Passed</v>
          </cell>
          <cell r="R318" t="str">
            <v>Q1.5 Passed</v>
          </cell>
          <cell r="S318" t="str">
            <v>Q1.5 Passed</v>
          </cell>
          <cell r="V318" t="str">
            <v>Tumor content trace to 35%</v>
          </cell>
          <cell r="W318" t="str">
            <v>Government Hospital</v>
          </cell>
          <cell r="X318" t="str">
            <v>Mazumdar Shaw Medical Centre, Bangalore</v>
          </cell>
          <cell r="Y318" t="str">
            <v>Mazumdar Shaw Medical Centre, Bangalore</v>
          </cell>
          <cell r="Z318" t="str">
            <v>Dr Rohit Ranade, Bangalore</v>
          </cell>
          <cell r="AA318" t="str">
            <v>Ca Ovary</v>
          </cell>
          <cell r="AC318" t="str">
            <v>Ovary</v>
          </cell>
          <cell r="AD318" t="str">
            <v>right ovary</v>
          </cell>
          <cell r="AE318" t="str">
            <v>Female</v>
          </cell>
          <cell r="AF318">
            <v>49</v>
          </cell>
          <cell r="AG318" t="str">
            <v>N</v>
          </cell>
          <cell r="AH318">
            <v>5.4</v>
          </cell>
          <cell r="AI318" t="str">
            <v>Maruthi</v>
          </cell>
          <cell r="AJ318" t="str">
            <v>Surgery</v>
          </cell>
          <cell r="AK318" t="str">
            <v>Primary</v>
          </cell>
          <cell r="AL318" t="str">
            <v>Chemotherapy</v>
          </cell>
          <cell r="AN318">
            <v>1</v>
          </cell>
          <cell r="AO318" t="str">
            <v>High grade</v>
          </cell>
          <cell r="AP318" t="str">
            <v>pT1c2</v>
          </cell>
          <cell r="AQ318">
            <v>3</v>
          </cell>
          <cell r="AR318" t="str">
            <v>Paclitaxel, Carboplatin</v>
          </cell>
          <cell r="AS318" t="str">
            <v>m (multiple primary tumors)
y (post-treatment)
pT1c2: Capsule ruptured before surgery or tumor on ovarian or
fallopian tube surface
pN0: No regional lymph node metastasis</v>
          </cell>
          <cell r="AV318">
            <v>44832</v>
          </cell>
          <cell r="AW318">
            <v>0.57291666666666663</v>
          </cell>
          <cell r="AX318">
            <v>0.6875</v>
          </cell>
          <cell r="AY318">
            <v>0.11458333333333333</v>
          </cell>
          <cell r="AZ318">
            <v>0.13333333333333333</v>
          </cell>
          <cell r="BA318">
            <v>0.24097222222222223</v>
          </cell>
          <cell r="BB318" t="str">
            <v>0.6/0.8*1.2*2.0</v>
          </cell>
          <cell r="BC318" t="str">
            <v>0.6/0.8*1.2*2.0</v>
          </cell>
          <cell r="BD318" t="str">
            <v>Manual</v>
          </cell>
          <cell r="BE318">
            <v>15</v>
          </cell>
          <cell r="BF318" t="str">
            <v>Rajashekhar</v>
          </cell>
          <cell r="BG318" t="str">
            <v>Y</v>
          </cell>
        </row>
        <row r="319">
          <cell r="A319" t="str">
            <v>FBB1D220227</v>
          </cell>
          <cell r="B319">
            <v>220227</v>
          </cell>
          <cell r="C319" t="str">
            <v>Biopharma</v>
          </cell>
          <cell r="D319">
            <v>44832</v>
          </cell>
          <cell r="E319">
            <v>0.54166666666666663</v>
          </cell>
          <cell r="F319">
            <v>44805</v>
          </cell>
          <cell r="G319">
            <v>44832</v>
          </cell>
          <cell r="H319">
            <v>0.90277777777777779</v>
          </cell>
          <cell r="I319">
            <v>0.3611111111111111</v>
          </cell>
          <cell r="J319">
            <v>15</v>
          </cell>
          <cell r="K319" t="str">
            <v>FCB-PROTOCOL-01</v>
          </cell>
          <cell r="L319" t="str">
            <v>CLN/DBR/121</v>
          </cell>
          <cell r="M319" t="str">
            <v>Y</v>
          </cell>
          <cell r="N319" t="str">
            <v>BP005_SOW1_2021</v>
          </cell>
          <cell r="O319" t="str">
            <v>1st level attrition</v>
          </cell>
          <cell r="P319" t="str">
            <v>Q1 Passed</v>
          </cell>
          <cell r="Q319" t="str">
            <v>Q1 Passed</v>
          </cell>
          <cell r="R319" t="str">
            <v>Q1.5 Passed</v>
          </cell>
          <cell r="S319" t="str">
            <v>Q1.5 Passed</v>
          </cell>
          <cell r="V319" t="str">
            <v>Approximate Tumor content %fragmnet wise: LA1-25 LA2- 4, LA3-15, LA4-4, LA5-60, LA6-55, LA7-8</v>
          </cell>
          <cell r="W319" t="str">
            <v>Clinic'les</v>
          </cell>
          <cell r="X319" t="str">
            <v>Clinic'les- DBR &amp; SK Hospital, Tirupati</v>
          </cell>
          <cell r="Y319" t="str">
            <v>DBR &amp; SK Hospital, Tirupati</v>
          </cell>
          <cell r="Z319" t="str">
            <v>Dr C Jayaprakash, Tirupati</v>
          </cell>
          <cell r="AA319" t="str">
            <v>HNSCC</v>
          </cell>
          <cell r="AC319" t="str">
            <v>Buccal Mucosa</v>
          </cell>
          <cell r="AD319" t="str">
            <v>Buccal Mucosa</v>
          </cell>
          <cell r="AE319" t="str">
            <v>Male</v>
          </cell>
          <cell r="AF319">
            <v>42</v>
          </cell>
          <cell r="AG319" t="str">
            <v>N</v>
          </cell>
          <cell r="AH319">
            <v>5.0999999999999996</v>
          </cell>
          <cell r="AI319" t="str">
            <v>Shashi</v>
          </cell>
          <cell r="AJ319" t="str">
            <v>Surgery</v>
          </cell>
          <cell r="AK319" t="str">
            <v>Primary</v>
          </cell>
          <cell r="AN319">
            <v>3</v>
          </cell>
          <cell r="AP319" t="str">
            <v>T3N1mx</v>
          </cell>
          <cell r="AS319" t="str">
            <v>Squamous cell carcinoma</v>
          </cell>
          <cell r="AV319">
            <v>44832</v>
          </cell>
          <cell r="AW319">
            <v>0.90763888888888888</v>
          </cell>
          <cell r="AX319">
            <v>0.97916666666666663</v>
          </cell>
          <cell r="AY319">
            <v>7.1527777777777773E-2</v>
          </cell>
          <cell r="AZ319">
            <v>7.6388888888888895E-2</v>
          </cell>
          <cell r="BA319">
            <v>0.4375</v>
          </cell>
          <cell r="BB319" t="str">
            <v>0.8/0.4/0.6*2.0*1.8</v>
          </cell>
          <cell r="BC319" t="str">
            <v>0.8/0.4/0.6*2.0*1.8</v>
          </cell>
          <cell r="BD319" t="str">
            <v>Vibratome</v>
          </cell>
          <cell r="BE319">
            <v>15</v>
          </cell>
          <cell r="BF319" t="str">
            <v>Gowri</v>
          </cell>
          <cell r="BG319" t="str">
            <v>Y</v>
          </cell>
        </row>
        <row r="320">
          <cell r="A320" t="str">
            <v>FBR1K220227</v>
          </cell>
          <cell r="B320">
            <v>220227</v>
          </cell>
          <cell r="C320" t="str">
            <v>R&amp;D</v>
          </cell>
          <cell r="D320">
            <v>44832</v>
          </cell>
          <cell r="E320">
            <v>0.54166666666666663</v>
          </cell>
          <cell r="F320">
            <v>44805</v>
          </cell>
          <cell r="G320">
            <v>44832</v>
          </cell>
          <cell r="H320">
            <v>0.90277777777777779</v>
          </cell>
          <cell r="I320">
            <v>0.3611111111111111</v>
          </cell>
          <cell r="J320">
            <v>15</v>
          </cell>
          <cell r="K320" t="str">
            <v>FCB-PROTOCOL-01</v>
          </cell>
          <cell r="L320" t="str">
            <v>CLN/DBR/121</v>
          </cell>
          <cell r="M320" t="str">
            <v>Y</v>
          </cell>
          <cell r="N320" t="str">
            <v>DMS_v4(1K)</v>
          </cell>
          <cell r="O320" t="str">
            <v>Internal R&amp;D</v>
          </cell>
          <cell r="P320" t="str">
            <v>Q1 Passed</v>
          </cell>
          <cell r="Q320" t="str">
            <v>Q1 Passed</v>
          </cell>
          <cell r="R320" t="str">
            <v>Q1.5 Passed</v>
          </cell>
          <cell r="S320" t="str">
            <v>Q1.5 Passed</v>
          </cell>
          <cell r="W320" t="str">
            <v>Clinic'les</v>
          </cell>
          <cell r="X320" t="str">
            <v>Clinic'les- DBR &amp; SK Hospital, Tirupati</v>
          </cell>
          <cell r="Y320" t="str">
            <v>DBR &amp; SK Hospital, Tirupati</v>
          </cell>
          <cell r="Z320" t="str">
            <v>Dr C Jayaprakash, Tirupati</v>
          </cell>
          <cell r="AA320" t="str">
            <v>HNSCC</v>
          </cell>
          <cell r="AC320" t="str">
            <v>Buccal Mucosa</v>
          </cell>
          <cell r="AD320" t="str">
            <v>Buccal Mucosa</v>
          </cell>
          <cell r="AE320" t="str">
            <v>Male</v>
          </cell>
          <cell r="AF320">
            <v>42</v>
          </cell>
          <cell r="AG320" t="str">
            <v>N</v>
          </cell>
          <cell r="AH320">
            <v>5.0999999999999996</v>
          </cell>
          <cell r="AI320" t="str">
            <v>Shashi</v>
          </cell>
          <cell r="AJ320" t="str">
            <v>Surgery</v>
          </cell>
          <cell r="AK320" t="str">
            <v>Primary</v>
          </cell>
          <cell r="AN320">
            <v>3</v>
          </cell>
          <cell r="AP320" t="str">
            <v>T3N1mx</v>
          </cell>
          <cell r="AS320" t="str">
            <v>Squamous cell carcinoma</v>
          </cell>
          <cell r="AV320">
            <v>44832</v>
          </cell>
          <cell r="AW320">
            <v>0.90763888888888888</v>
          </cell>
          <cell r="AX320">
            <v>0.97916666666666663</v>
          </cell>
          <cell r="AY320">
            <v>7.1527777777777773E-2</v>
          </cell>
          <cell r="AZ320">
            <v>7.6388888888888895E-2</v>
          </cell>
          <cell r="BA320">
            <v>0.4375</v>
          </cell>
          <cell r="BB320" t="str">
            <v>0.8/0.4/0.6*2.0*1.8</v>
          </cell>
          <cell r="BC320" t="str">
            <v>0.8/0.4/0.6*2.0*1.8</v>
          </cell>
          <cell r="BD320" t="str">
            <v>Vibratome</v>
          </cell>
          <cell r="BE320">
            <v>15</v>
          </cell>
          <cell r="BF320" t="str">
            <v>Gowri</v>
          </cell>
          <cell r="BG320" t="str">
            <v>Y</v>
          </cell>
        </row>
        <row r="321">
          <cell r="A321">
            <v>220228</v>
          </cell>
          <cell r="B321">
            <v>220228</v>
          </cell>
          <cell r="C321" t="str">
            <v>R&amp;D</v>
          </cell>
          <cell r="D321">
            <v>44834</v>
          </cell>
          <cell r="E321">
            <v>0.61111111111111116</v>
          </cell>
          <cell r="F321">
            <v>44805</v>
          </cell>
          <cell r="G321">
            <v>44834</v>
          </cell>
          <cell r="H321">
            <v>0.71250000000000002</v>
          </cell>
          <cell r="I321">
            <v>0.10138888888888889</v>
          </cell>
          <cell r="J321">
            <v>10</v>
          </cell>
          <cell r="K321" t="str">
            <v>MBT-TB-070_v2.0</v>
          </cell>
          <cell r="L321" t="str">
            <v>BBH013</v>
          </cell>
          <cell r="M321" t="str">
            <v>Y</v>
          </cell>
          <cell r="N321" t="str">
            <v>No Study</v>
          </cell>
          <cell r="O321" t="str">
            <v>1st level attrition</v>
          </cell>
          <cell r="P321" t="str">
            <v>Q1 Rejected</v>
          </cell>
          <cell r="Q321" t="str">
            <v>Q1 Passed</v>
          </cell>
          <cell r="R321" t="str">
            <v>Q1.5 Rejected</v>
          </cell>
          <cell r="S321" t="str">
            <v>Q1.5 Rejected</v>
          </cell>
          <cell r="T321" t="str">
            <v>small and completely floating</v>
          </cell>
          <cell r="W321" t="str">
            <v>Private Hospital</v>
          </cell>
          <cell r="X321" t="str">
            <v>Bangalore Baptist Hospital, Bangalore</v>
          </cell>
          <cell r="Y321" t="str">
            <v>Bangalore Baptist Hospital, Bangalore</v>
          </cell>
          <cell r="Z321" t="str">
            <v>Dr BV Manjula, Bangalore</v>
          </cell>
          <cell r="AA321" t="str">
            <v>HNSCC</v>
          </cell>
          <cell r="AC321" t="str">
            <v>Buccal Mucosa</v>
          </cell>
          <cell r="AD321" t="str">
            <v>Right Buccal Mucosa</v>
          </cell>
          <cell r="AE321" t="str">
            <v>Female</v>
          </cell>
          <cell r="AF321">
            <v>66</v>
          </cell>
          <cell r="AG321" t="str">
            <v>N</v>
          </cell>
          <cell r="AH321">
            <v>4.2</v>
          </cell>
          <cell r="AI321" t="str">
            <v>Kalappa</v>
          </cell>
          <cell r="AJ321" t="str">
            <v>Surgery</v>
          </cell>
          <cell r="AK321" t="str">
            <v>Primary</v>
          </cell>
          <cell r="AV321">
            <v>44834</v>
          </cell>
          <cell r="AW321">
            <v>0.73263888888888884</v>
          </cell>
          <cell r="BB321" t="str">
            <v>0.4*1.0*0.6
0.2*0.8*0.4</v>
          </cell>
          <cell r="BC321" t="str">
            <v>0.4*1.0*0.6
0.2*0.8*0.4</v>
          </cell>
          <cell r="BE321">
            <v>15</v>
          </cell>
          <cell r="BF321" t="str">
            <v>Arjun</v>
          </cell>
          <cell r="BG321" t="str">
            <v>N</v>
          </cell>
        </row>
        <row r="322">
          <cell r="A322">
            <v>220229</v>
          </cell>
          <cell r="B322">
            <v>220229</v>
          </cell>
          <cell r="C322" t="str">
            <v>R&amp;D</v>
          </cell>
          <cell r="D322">
            <v>44837</v>
          </cell>
          <cell r="E322">
            <v>0.49027777777777776</v>
          </cell>
          <cell r="F322">
            <v>44835</v>
          </cell>
          <cell r="G322">
            <v>44837</v>
          </cell>
          <cell r="H322">
            <v>0.5708333333333333</v>
          </cell>
          <cell r="I322">
            <v>8.0555555555555561E-2</v>
          </cell>
          <cell r="J322">
            <v>6</v>
          </cell>
          <cell r="K322" t="str">
            <v>FCB-PROTOCOL-01</v>
          </cell>
          <cell r="L322" t="str">
            <v>OC005</v>
          </cell>
          <cell r="M322" t="str">
            <v>Y</v>
          </cell>
          <cell r="N322" t="str">
            <v>No Study</v>
          </cell>
          <cell r="O322" t="str">
            <v>1st level attrition</v>
          </cell>
          <cell r="P322" t="str">
            <v>Q1 Rejected</v>
          </cell>
          <cell r="Q322" t="str">
            <v>Q1 Passed</v>
          </cell>
          <cell r="R322" t="str">
            <v>Q1.5 Rejected</v>
          </cell>
          <cell r="S322" t="str">
            <v>Q1.5 Rejected</v>
          </cell>
          <cell r="T322" t="str">
            <v>Omentum sample not collection</v>
          </cell>
          <cell r="W322" t="str">
            <v>Government Hospital</v>
          </cell>
          <cell r="X322" t="str">
            <v>Mazumdar Shaw Medical Centre, Bangalore</v>
          </cell>
          <cell r="Y322" t="str">
            <v>Mazumdar Shaw Medical Centre, Bangalore</v>
          </cell>
          <cell r="Z322" t="str">
            <v>Dr Rohit Ranade, Bangalore</v>
          </cell>
          <cell r="AA322" t="str">
            <v>Ca Ovary</v>
          </cell>
          <cell r="AC322" t="str">
            <v>Omentum</v>
          </cell>
          <cell r="AD322" t="str">
            <v>Omentum</v>
          </cell>
          <cell r="AE322" t="str">
            <v>Female</v>
          </cell>
          <cell r="AF322">
            <v>49</v>
          </cell>
          <cell r="AG322" t="str">
            <v>N</v>
          </cell>
          <cell r="AH322">
            <v>5.4</v>
          </cell>
          <cell r="AI322" t="str">
            <v>Maruthi</v>
          </cell>
          <cell r="AJ322" t="str">
            <v>Surgery</v>
          </cell>
          <cell r="AK322" t="str">
            <v>Metastatic</v>
          </cell>
          <cell r="AL322" t="str">
            <v>Chemotherapy</v>
          </cell>
          <cell r="AV322">
            <v>44837</v>
          </cell>
          <cell r="AW322">
            <v>0.59375</v>
          </cell>
          <cell r="BB322" t="str">
            <v>0.4*0.4/0.6*0.6/1.0
0.2*0.6*1.2/1.0</v>
          </cell>
          <cell r="BC322" t="str">
            <v>0.4*0.4/0.6*0.6/1.0
0.2*0.6*1.2/1.0</v>
          </cell>
          <cell r="BE322">
            <v>15</v>
          </cell>
          <cell r="BF322" t="str">
            <v>chandan</v>
          </cell>
          <cell r="BG322" t="str">
            <v>N</v>
          </cell>
        </row>
        <row r="323">
          <cell r="A323" t="str">
            <v>FBB1D220230</v>
          </cell>
          <cell r="B323">
            <v>220230</v>
          </cell>
          <cell r="C323" t="str">
            <v>Biopharma</v>
          </cell>
          <cell r="D323">
            <v>44838</v>
          </cell>
          <cell r="E323">
            <v>0.52083333333333337</v>
          </cell>
          <cell r="F323">
            <v>44835</v>
          </cell>
          <cell r="G323">
            <v>44838</v>
          </cell>
          <cell r="H323">
            <v>0.8618055555555556</v>
          </cell>
          <cell r="I323">
            <v>0.34097222222222223</v>
          </cell>
          <cell r="J323">
            <v>10</v>
          </cell>
          <cell r="K323" t="str">
            <v>FCB-PROTOCOL-01</v>
          </cell>
          <cell r="L323" t="str">
            <v>CLN/DBR/122</v>
          </cell>
          <cell r="M323" t="str">
            <v>Y</v>
          </cell>
          <cell r="N323" t="str">
            <v>BP005_SOW1_2021</v>
          </cell>
          <cell r="O323" t="str">
            <v>Biopharma</v>
          </cell>
          <cell r="P323" t="str">
            <v>Q1 Passed</v>
          </cell>
          <cell r="Q323" t="str">
            <v>Q1 Passed</v>
          </cell>
          <cell r="R323" t="str">
            <v>Q1.5 Passed</v>
          </cell>
          <cell r="S323" t="str">
            <v>Q1.5 Passed</v>
          </cell>
          <cell r="V323" t="str">
            <v>Tumor only in one fragment (80%), others no tumor only muscle and other stromal tissue</v>
          </cell>
          <cell r="W323" t="str">
            <v>Clinic'les</v>
          </cell>
          <cell r="X323" t="str">
            <v>Clinic'les- DBR &amp; SK Hospital, Tirupati</v>
          </cell>
          <cell r="Y323" t="str">
            <v>DBR &amp; SK Hospital, Tirupati</v>
          </cell>
          <cell r="Z323" t="str">
            <v>Dr C Jayaprakash, Tirupati</v>
          </cell>
          <cell r="AA323" t="str">
            <v>HNSCC</v>
          </cell>
          <cell r="AC323" t="str">
            <v>Buccal Mucosa</v>
          </cell>
          <cell r="AD323" t="str">
            <v>Buccal Mucosa</v>
          </cell>
          <cell r="AE323" t="str">
            <v>Male</v>
          </cell>
          <cell r="AF323">
            <v>46</v>
          </cell>
          <cell r="AG323" t="str">
            <v>N</v>
          </cell>
          <cell r="AH323">
            <v>7.4</v>
          </cell>
          <cell r="AI323" t="str">
            <v>Partha</v>
          </cell>
          <cell r="AJ323" t="str">
            <v>Surgery</v>
          </cell>
          <cell r="AK323" t="str">
            <v>Primary</v>
          </cell>
          <cell r="AN323" t="str">
            <v>4a</v>
          </cell>
          <cell r="AP323" t="str">
            <v>T2N2Mx</v>
          </cell>
          <cell r="AS323" t="str">
            <v>Squamous cell carcinoma</v>
          </cell>
          <cell r="AV323">
            <v>44838</v>
          </cell>
          <cell r="AW323">
            <v>0.89583333333333337</v>
          </cell>
          <cell r="AX323">
            <v>0.94097222222222221</v>
          </cell>
          <cell r="AY323">
            <v>4.5138888888888888E-2</v>
          </cell>
          <cell r="AZ323">
            <v>7.9166666666666663E-2</v>
          </cell>
          <cell r="BA323">
            <v>0.4201388888888889</v>
          </cell>
          <cell r="BB323" t="str">
            <v>0.4/0.6/0.8*1.6*1.4</v>
          </cell>
          <cell r="BC323" t="str">
            <v>0.4/0.6/0.8*1.6*1.4</v>
          </cell>
          <cell r="BD323" t="str">
            <v>Vibratome</v>
          </cell>
          <cell r="BE323">
            <v>15</v>
          </cell>
          <cell r="BF323" t="str">
            <v>Gowri</v>
          </cell>
          <cell r="BG323" t="str">
            <v>Y</v>
          </cell>
        </row>
        <row r="324">
          <cell r="A324" t="str">
            <v>FBB1D220231</v>
          </cell>
          <cell r="B324">
            <v>220231</v>
          </cell>
          <cell r="C324" t="str">
            <v>Biopharma</v>
          </cell>
          <cell r="D324">
            <v>44841</v>
          </cell>
          <cell r="E324">
            <v>0.50972222222222219</v>
          </cell>
          <cell r="F324">
            <v>44835</v>
          </cell>
          <cell r="G324">
            <v>44841</v>
          </cell>
          <cell r="H324">
            <v>0.5625</v>
          </cell>
          <cell r="I324">
            <v>5.2777777777777778E-2</v>
          </cell>
          <cell r="J324">
            <v>24</v>
          </cell>
          <cell r="K324" t="str">
            <v>FCB-PROTOCOL-01</v>
          </cell>
          <cell r="L324" t="str">
            <v>HN020</v>
          </cell>
          <cell r="M324" t="str">
            <v>Y</v>
          </cell>
          <cell r="N324" t="str">
            <v>BP005_SOW1_2021</v>
          </cell>
          <cell r="O324" t="str">
            <v>Biopharma</v>
          </cell>
          <cell r="P324" t="str">
            <v>Q1 Passed</v>
          </cell>
          <cell r="Q324" t="str">
            <v>Q1 Passed</v>
          </cell>
          <cell r="R324" t="str">
            <v>Q1.5 Passed</v>
          </cell>
          <cell r="S324" t="str">
            <v>Q1.5 Passed</v>
          </cell>
          <cell r="V324" t="str">
            <v>Tumor content 10-95%.</v>
          </cell>
          <cell r="W324" t="str">
            <v>Government Hospital</v>
          </cell>
          <cell r="X324" t="str">
            <v>Mazumdar Shaw Medical Centre, Bangalore</v>
          </cell>
          <cell r="Y324" t="str">
            <v>Mazumdar Shaw Medical Centre, Bangalore</v>
          </cell>
          <cell r="Z324" t="str">
            <v>Dr Vijay Pillai, Bangalore</v>
          </cell>
          <cell r="AA324" t="str">
            <v>HNSCC</v>
          </cell>
          <cell r="AC324" t="str">
            <v>RMT</v>
          </cell>
          <cell r="AD324" t="str">
            <v>Right RMT WDSCC</v>
          </cell>
          <cell r="AE324" t="str">
            <v>Female</v>
          </cell>
          <cell r="AF324">
            <v>67</v>
          </cell>
          <cell r="AG324" t="str">
            <v>N</v>
          </cell>
          <cell r="AH324">
            <v>5.0999999999999996</v>
          </cell>
          <cell r="AI324" t="str">
            <v>Shashi</v>
          </cell>
          <cell r="AJ324" t="str">
            <v>Surgery</v>
          </cell>
          <cell r="AK324" t="str">
            <v>Primary</v>
          </cell>
          <cell r="AN324">
            <v>3</v>
          </cell>
          <cell r="AO324">
            <v>4</v>
          </cell>
          <cell r="AP324" t="str">
            <v>pT4bN0</v>
          </cell>
          <cell r="AS324" t="str">
            <v>Poorly differentiated squamous cell carcinoma.
Right selective neck dissection-Negative for metastasis</v>
          </cell>
          <cell r="AV324">
            <v>44841</v>
          </cell>
          <cell r="AW324">
            <v>0.57638888888888884</v>
          </cell>
          <cell r="AX324">
            <v>0.66319444444444442</v>
          </cell>
          <cell r="AY324">
            <v>8.6805555555555552E-2</v>
          </cell>
          <cell r="AZ324">
            <v>0.10069444444444445</v>
          </cell>
          <cell r="BA324">
            <v>0.15347222222222223</v>
          </cell>
          <cell r="BB324" t="str">
            <v>0.6*1.0*1.0</v>
          </cell>
          <cell r="BC324" t="str">
            <v>0.6*1.0*1.0</v>
          </cell>
          <cell r="BD324" t="str">
            <v>Vibratome</v>
          </cell>
          <cell r="BE324">
            <v>4</v>
          </cell>
          <cell r="BF324" t="str">
            <v>Rajashekhar</v>
          </cell>
          <cell r="BG324" t="str">
            <v>Y</v>
          </cell>
        </row>
        <row r="325">
          <cell r="A325">
            <v>220232</v>
          </cell>
          <cell r="B325">
            <v>220232</v>
          </cell>
          <cell r="C325" t="str">
            <v>R&amp;D</v>
          </cell>
          <cell r="D325">
            <v>44845</v>
          </cell>
          <cell r="E325">
            <v>0.52777777777777779</v>
          </cell>
          <cell r="F325">
            <v>44835</v>
          </cell>
          <cell r="G325">
            <v>44845</v>
          </cell>
          <cell r="H325">
            <v>0.89583333333333337</v>
          </cell>
          <cell r="I325">
            <v>0.36805555555555558</v>
          </cell>
          <cell r="J325">
            <v>15</v>
          </cell>
          <cell r="K325" t="str">
            <v>FCB-PROTOCOL-01</v>
          </cell>
          <cell r="L325" t="str">
            <v>CLN/DBR/123</v>
          </cell>
          <cell r="M325" t="str">
            <v>Y</v>
          </cell>
          <cell r="N325" t="str">
            <v>No Study</v>
          </cell>
          <cell r="O325" t="str">
            <v>1st level attrition</v>
          </cell>
          <cell r="P325" t="str">
            <v>Q1 Rejected</v>
          </cell>
          <cell r="Q325" t="str">
            <v>Q1 Passed</v>
          </cell>
          <cell r="R325" t="str">
            <v>Q1.5 Rejected</v>
          </cell>
          <cell r="S325" t="str">
            <v>Q1.5 Rejected</v>
          </cell>
          <cell r="T325" t="str">
            <v>Tissue very small size</v>
          </cell>
          <cell r="W325" t="str">
            <v>Clinic'les</v>
          </cell>
          <cell r="X325" t="str">
            <v>Clinic'les- DBR &amp; SK Hospital, Tirupati</v>
          </cell>
          <cell r="Y325" t="str">
            <v>DBR &amp; SK Hospital, Tirupati</v>
          </cell>
          <cell r="Z325" t="str">
            <v>Dr C Jayaprakash, Tirupati</v>
          </cell>
          <cell r="AA325" t="str">
            <v>HNSCC</v>
          </cell>
          <cell r="AC325" t="str">
            <v>Buccal Mucosa</v>
          </cell>
          <cell r="AD325" t="str">
            <v>Buccal Mucosa</v>
          </cell>
          <cell r="AE325" t="str">
            <v>Female</v>
          </cell>
          <cell r="AF325">
            <v>56</v>
          </cell>
          <cell r="AG325" t="str">
            <v>N</v>
          </cell>
          <cell r="AH325">
            <v>5.3</v>
          </cell>
          <cell r="AI325" t="str">
            <v>Maruthi</v>
          </cell>
          <cell r="AJ325" t="str">
            <v>Surgery</v>
          </cell>
          <cell r="AK325" t="str">
            <v>Primary</v>
          </cell>
          <cell r="AN325">
            <v>3</v>
          </cell>
          <cell r="AP325" t="str">
            <v>pT3N0Mx</v>
          </cell>
          <cell r="AS325" t="str">
            <v>Squamous cell carcinoma</v>
          </cell>
          <cell r="AV325">
            <v>44845</v>
          </cell>
          <cell r="AW325">
            <v>0.91319444444444442</v>
          </cell>
          <cell r="BB325" t="str">
            <v>0.2*0.6*0.6/0.8
0.2*1.4*2.0/1.8</v>
          </cell>
          <cell r="BC325" t="str">
            <v>0.2*0.6*0.6/0.8
0.2*1.4*2.0/1.8</v>
          </cell>
          <cell r="BE325">
            <v>4</v>
          </cell>
          <cell r="BF325" t="str">
            <v>chandan</v>
          </cell>
          <cell r="BG325" t="str">
            <v>N</v>
          </cell>
        </row>
        <row r="326">
          <cell r="A326" t="str">
            <v>FBR1M220233</v>
          </cell>
          <cell r="B326">
            <v>220233</v>
          </cell>
          <cell r="C326" t="str">
            <v>R&amp;D</v>
          </cell>
          <cell r="D326">
            <v>44847</v>
          </cell>
          <cell r="E326">
            <v>0.52777777777777779</v>
          </cell>
          <cell r="F326">
            <v>44835</v>
          </cell>
          <cell r="G326">
            <v>44847</v>
          </cell>
          <cell r="H326">
            <v>0.62708333333333333</v>
          </cell>
          <cell r="I326">
            <v>9.930555555555555E-2</v>
          </cell>
          <cell r="J326">
            <v>54</v>
          </cell>
          <cell r="K326" t="str">
            <v>FCB-PROTOCOL-01</v>
          </cell>
          <cell r="L326" t="str">
            <v>RC017</v>
          </cell>
          <cell r="M326" t="str">
            <v>Y</v>
          </cell>
          <cell r="N326" t="str">
            <v>DMS_RCC</v>
          </cell>
          <cell r="O326" t="str">
            <v>Internal R&amp;D</v>
          </cell>
          <cell r="P326" t="str">
            <v>Q1 Passed</v>
          </cell>
          <cell r="Q326" t="str">
            <v>Q1 Passed</v>
          </cell>
          <cell r="R326" t="str">
            <v>Q1.5 Passed</v>
          </cell>
          <cell r="S326" t="str">
            <v>Q1.5 Passed</v>
          </cell>
          <cell r="V326" t="str">
            <v>Tumor present in all Arms , varies from 5% -85%</v>
          </cell>
          <cell r="W326" t="str">
            <v>Government Hospital</v>
          </cell>
          <cell r="X326" t="str">
            <v>Mazumdar Shaw Medical Centre, Bangalore</v>
          </cell>
          <cell r="Y326" t="str">
            <v>Mazumdar Shaw Medical Centre, Bangalore</v>
          </cell>
          <cell r="Z326" t="str">
            <v>Dr Saurabh Bhargav, Bangalore</v>
          </cell>
          <cell r="AA326" t="str">
            <v>RCC</v>
          </cell>
          <cell r="AC326" t="str">
            <v>Renal</v>
          </cell>
          <cell r="AD326" t="str">
            <v>Left Renal Mass</v>
          </cell>
          <cell r="AE326" t="str">
            <v>Male</v>
          </cell>
          <cell r="AF326">
            <v>42</v>
          </cell>
          <cell r="AG326" t="str">
            <v>N</v>
          </cell>
          <cell r="AH326">
            <v>5.8</v>
          </cell>
          <cell r="AI326" t="str">
            <v>Maruthi</v>
          </cell>
          <cell r="AJ326" t="str">
            <v>Surgery</v>
          </cell>
          <cell r="AK326" t="str">
            <v>Primary</v>
          </cell>
          <cell r="AN326">
            <v>2</v>
          </cell>
          <cell r="AO326">
            <v>2</v>
          </cell>
          <cell r="AP326" t="str">
            <v>pT1a</v>
          </cell>
          <cell r="AV326">
            <v>44847</v>
          </cell>
          <cell r="AW326">
            <v>0.66319444444444442</v>
          </cell>
          <cell r="AX326">
            <v>0.74652777777777779</v>
          </cell>
          <cell r="AY326">
            <v>8.3333333333333329E-2</v>
          </cell>
          <cell r="AZ326">
            <v>0.11944444444444445</v>
          </cell>
          <cell r="BA326">
            <v>0.21875</v>
          </cell>
          <cell r="BB326" t="str">
            <v>0.6*1.4*1.2</v>
          </cell>
          <cell r="BC326" t="str">
            <v>0.6*1.4*1.2</v>
          </cell>
          <cell r="BD326" t="str">
            <v>Manual</v>
          </cell>
          <cell r="BE326">
            <v>4</v>
          </cell>
          <cell r="BF326" t="str">
            <v>Syam</v>
          </cell>
          <cell r="BG326" t="str">
            <v>Y</v>
          </cell>
        </row>
        <row r="327">
          <cell r="A327">
            <v>220234</v>
          </cell>
          <cell r="B327">
            <v>220234</v>
          </cell>
          <cell r="C327" t="str">
            <v>R&amp;D</v>
          </cell>
          <cell r="D327">
            <v>44848</v>
          </cell>
          <cell r="E327">
            <v>0.49652777777777779</v>
          </cell>
          <cell r="F327">
            <v>44835</v>
          </cell>
          <cell r="G327">
            <v>44848</v>
          </cell>
          <cell r="H327">
            <v>0.55347222222222225</v>
          </cell>
          <cell r="I327">
            <v>5.6944444444444443E-2</v>
          </cell>
          <cell r="J327">
            <v>10</v>
          </cell>
          <cell r="K327" t="str">
            <v>MBT-TB-070_v2.0</v>
          </cell>
          <cell r="L327" t="str">
            <v>BBH014</v>
          </cell>
          <cell r="M327" t="str">
            <v>Y</v>
          </cell>
          <cell r="N327" t="str">
            <v>No Study</v>
          </cell>
          <cell r="O327" t="str">
            <v>1st level attrition</v>
          </cell>
          <cell r="P327" t="str">
            <v>Q1 Rejected</v>
          </cell>
          <cell r="Q327" t="str">
            <v>Q1 Rejected</v>
          </cell>
          <cell r="R327" t="str">
            <v>Q1.5 Rejected</v>
          </cell>
          <cell r="S327" t="str">
            <v>Q1.5 Rejected</v>
          </cell>
          <cell r="T327" t="str">
            <v>tissue size was small and Blood cloted</v>
          </cell>
          <cell r="W327" t="str">
            <v>Private Hospital</v>
          </cell>
          <cell r="X327" t="str">
            <v>Bangalore Baptist Hospital, Bangalore</v>
          </cell>
          <cell r="Y327" t="str">
            <v>Bangalore Baptist Hospital, Bangalore</v>
          </cell>
          <cell r="Z327" t="str">
            <v>Dr BV Manjula, Bangalore</v>
          </cell>
          <cell r="AA327" t="str">
            <v>HNSCC</v>
          </cell>
          <cell r="AC327" t="str">
            <v>Buccal Mucosa</v>
          </cell>
          <cell r="AD327" t="str">
            <v>Left  Buccal Mucosa</v>
          </cell>
          <cell r="AE327" t="str">
            <v>Male</v>
          </cell>
          <cell r="AF327">
            <v>70</v>
          </cell>
          <cell r="AG327" t="str">
            <v>N</v>
          </cell>
          <cell r="AH327">
            <v>3.2</v>
          </cell>
          <cell r="AI327" t="str">
            <v>Kalappa</v>
          </cell>
          <cell r="AJ327" t="str">
            <v>Surgery</v>
          </cell>
          <cell r="AK327" t="str">
            <v>Primary</v>
          </cell>
          <cell r="AV327">
            <v>44848</v>
          </cell>
          <cell r="AW327">
            <v>0.57291666666666663</v>
          </cell>
          <cell r="BB327" t="str">
            <v>0.8*1.0*1.2</v>
          </cell>
          <cell r="BC327" t="str">
            <v>0.8*1.0*1.2</v>
          </cell>
          <cell r="BD327" t="str">
            <v>Vibratome</v>
          </cell>
          <cell r="BE327">
            <v>4</v>
          </cell>
          <cell r="BF327" t="str">
            <v>Biswajit</v>
          </cell>
          <cell r="BG327" t="str">
            <v>N</v>
          </cell>
        </row>
        <row r="328">
          <cell r="A328" t="str">
            <v>FBR1T220235</v>
          </cell>
          <cell r="B328">
            <v>220235</v>
          </cell>
          <cell r="C328" t="str">
            <v>R&amp;D</v>
          </cell>
          <cell r="D328">
            <v>44851</v>
          </cell>
          <cell r="E328">
            <v>0.69027777777777777</v>
          </cell>
          <cell r="F328">
            <v>44835</v>
          </cell>
          <cell r="G328">
            <v>44851</v>
          </cell>
          <cell r="H328">
            <v>0.73888888888888893</v>
          </cell>
          <cell r="I328">
            <v>4.8611111111111112E-2</v>
          </cell>
          <cell r="J328">
            <v>19</v>
          </cell>
          <cell r="K328" t="str">
            <v>FCB-PROTOCOL-01</v>
          </cell>
          <cell r="L328" t="str">
            <v>HN021</v>
          </cell>
          <cell r="M328" t="str">
            <v>Y</v>
          </cell>
          <cell r="N328" t="str">
            <v>cc Study(1T)</v>
          </cell>
          <cell r="O328" t="str">
            <v>Internal R&amp;D</v>
          </cell>
          <cell r="P328" t="str">
            <v>Q1 Passed</v>
          </cell>
          <cell r="Q328" t="str">
            <v>Q1 Passed</v>
          </cell>
          <cell r="R328" t="str">
            <v>Q1.5 Passed</v>
          </cell>
          <cell r="S328" t="str">
            <v>Q1.5 Passed</v>
          </cell>
          <cell r="V328" t="str">
            <v>Tumor content 3-90%</v>
          </cell>
          <cell r="W328" t="str">
            <v>Government Hospital</v>
          </cell>
          <cell r="X328" t="str">
            <v>Mazumdar Shaw Medical Centre, Bangalore</v>
          </cell>
          <cell r="Y328" t="str">
            <v>Mazumdar Shaw Medical Centre, Bangalore</v>
          </cell>
          <cell r="Z328" t="str">
            <v>Dr Vijay Pillai, Bangalore</v>
          </cell>
          <cell r="AA328" t="str">
            <v>HNSCC</v>
          </cell>
          <cell r="AC328" t="str">
            <v>Tongue</v>
          </cell>
          <cell r="AD328" t="str">
            <v>Right Lateral Tongue</v>
          </cell>
          <cell r="AE328" t="str">
            <v>Female</v>
          </cell>
          <cell r="AF328">
            <v>36</v>
          </cell>
          <cell r="AG328" t="str">
            <v>N</v>
          </cell>
          <cell r="AH328">
            <v>3.8</v>
          </cell>
          <cell r="AI328" t="str">
            <v>Partha</v>
          </cell>
          <cell r="AJ328" t="str">
            <v>Surgery</v>
          </cell>
          <cell r="AK328" t="str">
            <v>Primary</v>
          </cell>
          <cell r="AN328">
            <v>4</v>
          </cell>
          <cell r="AO328">
            <v>2</v>
          </cell>
          <cell r="AP328" t="str">
            <v>pT4bN3b</v>
          </cell>
          <cell r="AS328" t="str">
            <v>Moderately differentiated , squamous cell carcinoma, right hard
palate.</v>
          </cell>
          <cell r="AV328">
            <v>44851</v>
          </cell>
          <cell r="AW328">
            <v>0.76388888888888884</v>
          </cell>
          <cell r="AX328">
            <v>0.81319444444444444</v>
          </cell>
          <cell r="AY328">
            <v>4.9305555555555554E-2</v>
          </cell>
          <cell r="AZ328">
            <v>7.4305555555555555E-2</v>
          </cell>
          <cell r="BA328">
            <v>0.12291666666666666</v>
          </cell>
          <cell r="BB328" t="str">
            <v>0.8/0.4*1.0*1,4</v>
          </cell>
          <cell r="BC328" t="str">
            <v>0.8/0.4*1.0*1,4</v>
          </cell>
          <cell r="BD328" t="str">
            <v>Vibratome</v>
          </cell>
          <cell r="BE328">
            <v>4</v>
          </cell>
          <cell r="BF328" t="str">
            <v>syam</v>
          </cell>
          <cell r="BG328" t="str">
            <v>Y</v>
          </cell>
        </row>
        <row r="329">
          <cell r="A329" t="str">
            <v>FBR1T220236</v>
          </cell>
          <cell r="B329">
            <v>220236</v>
          </cell>
          <cell r="C329" t="str">
            <v>R&amp;D</v>
          </cell>
          <cell r="D329">
            <v>44854</v>
          </cell>
          <cell r="E329">
            <v>0.47569444444444442</v>
          </cell>
          <cell r="F329">
            <v>44835</v>
          </cell>
          <cell r="G329">
            <v>44854</v>
          </cell>
          <cell r="H329">
            <v>0.55902777777777779</v>
          </cell>
          <cell r="I329">
            <v>8.3333333333333329E-2</v>
          </cell>
          <cell r="J329">
            <v>10</v>
          </cell>
          <cell r="K329" t="str">
            <v>MBT-TB-070_v2.0</v>
          </cell>
          <cell r="L329" t="str">
            <v>BBH015</v>
          </cell>
          <cell r="M329" t="str">
            <v>Y</v>
          </cell>
          <cell r="N329" t="str">
            <v>cc Study(1T)</v>
          </cell>
          <cell r="O329" t="str">
            <v>Internal R&amp;D</v>
          </cell>
          <cell r="P329" t="str">
            <v>Q1 Passed</v>
          </cell>
          <cell r="Q329" t="str">
            <v>Q1 Passed</v>
          </cell>
          <cell r="R329" t="str">
            <v>Q1.5 Passed</v>
          </cell>
          <cell r="S329" t="str">
            <v>Q1.5 Passed</v>
          </cell>
          <cell r="V329" t="str">
            <v>High tumor content in all fragments</v>
          </cell>
          <cell r="W329" t="str">
            <v>Private Hospital</v>
          </cell>
          <cell r="X329" t="str">
            <v>Bangalore Baptist Hospital, Bangalore</v>
          </cell>
          <cell r="Y329" t="str">
            <v>Bangalore Baptist Hospital, Bangalore</v>
          </cell>
          <cell r="Z329" t="str">
            <v>Dr BV Manjula, Bangalore</v>
          </cell>
          <cell r="AA329" t="str">
            <v>HNSCC</v>
          </cell>
          <cell r="AC329" t="str">
            <v>Buccal Mucosa</v>
          </cell>
          <cell r="AD329" t="str">
            <v>Right Buccal Mucosa</v>
          </cell>
          <cell r="AE329" t="str">
            <v>Male</v>
          </cell>
          <cell r="AF329">
            <v>45</v>
          </cell>
          <cell r="AG329" t="str">
            <v>N</v>
          </cell>
          <cell r="AH329">
            <v>3.3</v>
          </cell>
          <cell r="AI329" t="str">
            <v>Kalappa</v>
          </cell>
          <cell r="AJ329" t="str">
            <v>Surgery</v>
          </cell>
          <cell r="AK329" t="str">
            <v>Primary</v>
          </cell>
          <cell r="AV329">
            <v>44854</v>
          </cell>
          <cell r="AW329">
            <v>0.57291666666666663</v>
          </cell>
          <cell r="AX329">
            <v>0.66319444444444442</v>
          </cell>
          <cell r="AY329">
            <v>9.0277777777777776E-2</v>
          </cell>
          <cell r="AZ329">
            <v>0.10416666666666667</v>
          </cell>
          <cell r="BA329">
            <v>0.1875</v>
          </cell>
          <cell r="BB329" t="str">
            <v>0.6/0.8*1.2*2.0
0.6/1.0*1.6*1.4</v>
          </cell>
          <cell r="BC329" t="str">
            <v>0.6/0.8*1.2*2.0
0.6/1.0*1.6*1.4</v>
          </cell>
          <cell r="BD329" t="str">
            <v>Vibratome</v>
          </cell>
          <cell r="BE329">
            <v>4</v>
          </cell>
          <cell r="BF329" t="str">
            <v>Rajashekhar</v>
          </cell>
          <cell r="BG329" t="str">
            <v>Y</v>
          </cell>
        </row>
        <row r="330">
          <cell r="A330" t="str">
            <v>FBR1R220236</v>
          </cell>
          <cell r="B330">
            <v>220236</v>
          </cell>
          <cell r="C330" t="str">
            <v>R&amp;D</v>
          </cell>
          <cell r="D330">
            <v>44854</v>
          </cell>
          <cell r="E330">
            <v>0.47569444444444442</v>
          </cell>
          <cell r="F330">
            <v>44835</v>
          </cell>
          <cell r="G330">
            <v>44854</v>
          </cell>
          <cell r="H330">
            <v>0.55902777777777779</v>
          </cell>
          <cell r="I330">
            <v>8.3333333333333329E-2</v>
          </cell>
          <cell r="J330">
            <v>10</v>
          </cell>
          <cell r="K330" t="str">
            <v>MBT-TB-070_v2.0</v>
          </cell>
          <cell r="L330" t="str">
            <v>BBH015</v>
          </cell>
          <cell r="M330" t="str">
            <v>Y</v>
          </cell>
          <cell r="N330" t="str">
            <v>BSS(1R)</v>
          </cell>
          <cell r="O330" t="str">
            <v>Internal R&amp;D</v>
          </cell>
          <cell r="P330" t="str">
            <v>Q1 Passed</v>
          </cell>
          <cell r="Q330" t="str">
            <v>Q1 Passed</v>
          </cell>
          <cell r="R330" t="str">
            <v>Q1.5 Passed</v>
          </cell>
          <cell r="S330" t="str">
            <v>Q1.5 Passed</v>
          </cell>
          <cell r="V330" t="str">
            <v>High tumor content in all fragments with good immune prescence in some fragments</v>
          </cell>
          <cell r="W330" t="str">
            <v>Private Hospital</v>
          </cell>
          <cell r="X330" t="str">
            <v>Bangalore Baptist Hospital, Bangalore</v>
          </cell>
          <cell r="Y330" t="str">
            <v>Bangalore Baptist Hospital, Bangalore</v>
          </cell>
          <cell r="Z330" t="str">
            <v>Dr BV Manjula, Bangalore</v>
          </cell>
          <cell r="AA330" t="str">
            <v>HNSCC</v>
          </cell>
          <cell r="AC330" t="str">
            <v>Buccal Mucosa</v>
          </cell>
          <cell r="AD330" t="str">
            <v>Right Buccal Mucosa</v>
          </cell>
          <cell r="AE330" t="str">
            <v>Male</v>
          </cell>
          <cell r="AF330">
            <v>45</v>
          </cell>
          <cell r="AG330" t="str">
            <v>N</v>
          </cell>
          <cell r="AH330">
            <v>3.3</v>
          </cell>
          <cell r="AI330" t="str">
            <v>Kalappa</v>
          </cell>
          <cell r="AJ330" t="str">
            <v>Surgery</v>
          </cell>
          <cell r="AK330" t="str">
            <v>Primary</v>
          </cell>
          <cell r="AV330">
            <v>44854</v>
          </cell>
          <cell r="AW330">
            <v>0.57291666666666663</v>
          </cell>
          <cell r="AX330">
            <v>0.70833333333333337</v>
          </cell>
          <cell r="AY330">
            <v>0.13541666666666666</v>
          </cell>
          <cell r="AZ330">
            <v>0.14930555555555555</v>
          </cell>
          <cell r="BA330">
            <v>0.2326388888888889</v>
          </cell>
          <cell r="BB330" t="str">
            <v>0.6/0.8*1.2*2.0
0.6/1.0*1.6*1.4</v>
          </cell>
          <cell r="BC330" t="str">
            <v>0.6/0.8*1.2*2.0
0.6/1.0*1.6*1.4</v>
          </cell>
          <cell r="BD330" t="str">
            <v>Vibratome</v>
          </cell>
          <cell r="BE330">
            <v>4</v>
          </cell>
          <cell r="BF330" t="str">
            <v>Rajashekhar</v>
          </cell>
          <cell r="BG330" t="str">
            <v>Y</v>
          </cell>
        </row>
        <row r="331">
          <cell r="A331" t="str">
            <v>FBR1T220237</v>
          </cell>
          <cell r="B331">
            <v>220237</v>
          </cell>
          <cell r="C331" t="str">
            <v>R&amp;D</v>
          </cell>
          <cell r="D331">
            <v>44860</v>
          </cell>
          <cell r="E331">
            <v>0.54861111111111116</v>
          </cell>
          <cell r="F331">
            <v>44835</v>
          </cell>
          <cell r="G331">
            <v>44860</v>
          </cell>
          <cell r="H331">
            <v>0.64097222222222228</v>
          </cell>
          <cell r="I331">
            <v>9.2361111111111116E-2</v>
          </cell>
          <cell r="J331">
            <v>10</v>
          </cell>
          <cell r="K331" t="str">
            <v>MBT-TB-070_v2.0</v>
          </cell>
          <cell r="L331" t="str">
            <v>BBH016</v>
          </cell>
          <cell r="M331" t="str">
            <v>Y</v>
          </cell>
          <cell r="N331" t="str">
            <v>cc Study(1T)</v>
          </cell>
          <cell r="O331" t="str">
            <v>Internal R&amp;D</v>
          </cell>
          <cell r="P331" t="str">
            <v>Q1 Passed</v>
          </cell>
          <cell r="Q331" t="str">
            <v>Q1 Passed</v>
          </cell>
          <cell r="R331" t="str">
            <v>Q1.5 Passed</v>
          </cell>
          <cell r="S331" t="str">
            <v>Q1.5 Passed</v>
          </cell>
          <cell r="V331" t="str">
            <v xml:space="preserve"> High tumor content in all fragments</v>
          </cell>
          <cell r="W331" t="str">
            <v>Private Hospital</v>
          </cell>
          <cell r="X331" t="str">
            <v>Bangalore Baptist Hospital, Bangalore</v>
          </cell>
          <cell r="Y331" t="str">
            <v>Bangalore Baptist Hospital, Bangalore</v>
          </cell>
          <cell r="Z331" t="str">
            <v>Dr BV Manjula, Bangalore</v>
          </cell>
          <cell r="AA331" t="str">
            <v>HNSCC</v>
          </cell>
          <cell r="AC331" t="str">
            <v>Buccal Mucosa</v>
          </cell>
          <cell r="AD331" t="str">
            <v>Right Buccal Mucosa</v>
          </cell>
          <cell r="AE331" t="str">
            <v>Female</v>
          </cell>
          <cell r="AF331">
            <v>66</v>
          </cell>
          <cell r="AG331" t="str">
            <v>N</v>
          </cell>
          <cell r="AH331">
            <v>3.9</v>
          </cell>
          <cell r="AI331" t="str">
            <v>Partha</v>
          </cell>
          <cell r="AJ331" t="str">
            <v>Surgery</v>
          </cell>
          <cell r="AK331" t="str">
            <v>Primary</v>
          </cell>
          <cell r="AV331">
            <v>44860</v>
          </cell>
          <cell r="AW331">
            <v>0.67083333333333328</v>
          </cell>
          <cell r="AX331">
            <v>0.75347222222222221</v>
          </cell>
          <cell r="AY331">
            <v>8.2638888888888887E-2</v>
          </cell>
          <cell r="AZ331">
            <v>0.1125</v>
          </cell>
          <cell r="BA331">
            <v>0.2048611111111111</v>
          </cell>
          <cell r="BB331" t="str">
            <v>0.8*1.8*1.6
0.6*0.8*1.6</v>
          </cell>
          <cell r="BC331" t="str">
            <v>0.8*1.8*1.6
0.6*0.8*1.6</v>
          </cell>
          <cell r="BD331" t="str">
            <v>Vibratome</v>
          </cell>
          <cell r="BE331">
            <v>4</v>
          </cell>
          <cell r="BF331" t="str">
            <v>Rajashekhar</v>
          </cell>
          <cell r="BG331" t="str">
            <v>Y</v>
          </cell>
        </row>
        <row r="332">
          <cell r="A332" t="str">
            <v>FBR1U220237</v>
          </cell>
          <cell r="B332">
            <v>220237</v>
          </cell>
          <cell r="C332" t="str">
            <v>R&amp;D</v>
          </cell>
          <cell r="D332">
            <v>44860</v>
          </cell>
          <cell r="E332">
            <v>0.54861111111111116</v>
          </cell>
          <cell r="F332">
            <v>44835</v>
          </cell>
          <cell r="G332">
            <v>44860</v>
          </cell>
          <cell r="H332">
            <v>0.64097222222222228</v>
          </cell>
          <cell r="I332">
            <v>9.2361111111111116E-2</v>
          </cell>
          <cell r="J332">
            <v>10</v>
          </cell>
          <cell r="K332" t="str">
            <v>MBT-TB-070_v2.0</v>
          </cell>
          <cell r="L332" t="str">
            <v>BBH016</v>
          </cell>
          <cell r="M332" t="str">
            <v>Y</v>
          </cell>
          <cell r="N332" t="str">
            <v>AES (1U)</v>
          </cell>
          <cell r="O332" t="str">
            <v>Internal R&amp;D</v>
          </cell>
          <cell r="P332" t="str">
            <v>Q1 Passed</v>
          </cell>
          <cell r="Q332" t="str">
            <v>Q1 Passed</v>
          </cell>
          <cell r="R332" t="str">
            <v>Q1.5 Passed</v>
          </cell>
          <cell r="S332" t="str">
            <v>Q1.5 Passed</v>
          </cell>
          <cell r="V332" t="str">
            <v xml:space="preserve"> High tumor content in all fragments</v>
          </cell>
          <cell r="W332" t="str">
            <v>Private Hospital</v>
          </cell>
          <cell r="X332" t="str">
            <v>Bangalore Baptist Hospital, Bangalore</v>
          </cell>
          <cell r="Y332" t="str">
            <v>Bangalore Baptist Hospital, Bangalore</v>
          </cell>
          <cell r="Z332" t="str">
            <v>Dr BV Manjula, Bangalore</v>
          </cell>
          <cell r="AA332" t="str">
            <v>HNSCC</v>
          </cell>
          <cell r="AC332" t="str">
            <v>Buccal Mucosa</v>
          </cell>
          <cell r="AD332" t="str">
            <v>Right Buccal Mucosa</v>
          </cell>
          <cell r="AE332" t="str">
            <v>Female</v>
          </cell>
          <cell r="AF332">
            <v>66</v>
          </cell>
          <cell r="AG332" t="str">
            <v>N</v>
          </cell>
          <cell r="AH332">
            <v>3.9</v>
          </cell>
          <cell r="AI332" t="str">
            <v>Partha</v>
          </cell>
          <cell r="AJ332" t="str">
            <v>Surgery</v>
          </cell>
          <cell r="AK332" t="str">
            <v>Primary</v>
          </cell>
          <cell r="AV332">
            <v>44860</v>
          </cell>
          <cell r="AW332">
            <v>0.67083333333333328</v>
          </cell>
          <cell r="AX332">
            <v>0.75347222222222221</v>
          </cell>
          <cell r="AY332">
            <v>8.2638888888888887E-2</v>
          </cell>
          <cell r="AZ332">
            <v>0.1125</v>
          </cell>
          <cell r="BA332">
            <v>0.2048611111111111</v>
          </cell>
          <cell r="BB332" t="str">
            <v>0.8*1.8*1.6
0.6*0.8*1.6</v>
          </cell>
          <cell r="BC332" t="str">
            <v>0.8*1.8*1.6
0.6*0.8*1.6</v>
          </cell>
          <cell r="BD332" t="str">
            <v>Vibratome</v>
          </cell>
          <cell r="BE332">
            <v>4</v>
          </cell>
          <cell r="BF332" t="str">
            <v>Rajashekhar</v>
          </cell>
          <cell r="BG332" t="str">
            <v>Y</v>
          </cell>
        </row>
        <row r="333">
          <cell r="A333" t="str">
            <v>FBR1T220238</v>
          </cell>
          <cell r="B333">
            <v>220238</v>
          </cell>
          <cell r="C333" t="str">
            <v>R&amp;D</v>
          </cell>
          <cell r="D333">
            <v>44861</v>
          </cell>
          <cell r="E333">
            <v>0.47569444444444442</v>
          </cell>
          <cell r="F333">
            <v>44835</v>
          </cell>
          <cell r="G333">
            <v>44861</v>
          </cell>
          <cell r="H333">
            <v>0.57916666666666672</v>
          </cell>
          <cell r="I333">
            <v>0.10347222222222222</v>
          </cell>
          <cell r="J333">
            <v>10</v>
          </cell>
          <cell r="K333" t="str">
            <v>MBT-TB-070_v2.0</v>
          </cell>
          <cell r="L333" t="str">
            <v>BBH017</v>
          </cell>
          <cell r="M333" t="str">
            <v>Y</v>
          </cell>
          <cell r="N333" t="str">
            <v>cc Study(1T)</v>
          </cell>
          <cell r="O333" t="str">
            <v>Internal R&amp;D</v>
          </cell>
          <cell r="P333" t="str">
            <v>Q1 Passed</v>
          </cell>
          <cell r="Q333" t="str">
            <v>Q1 Passed</v>
          </cell>
          <cell r="R333" t="str">
            <v>Q1.5 Passed</v>
          </cell>
          <cell r="S333" t="str">
            <v>Q1.5 Passed</v>
          </cell>
          <cell r="V333" t="str">
            <v>Tumor content 5-80%</v>
          </cell>
          <cell r="W333" t="str">
            <v>Private Hospital</v>
          </cell>
          <cell r="X333" t="str">
            <v>Bangalore Baptist Hospital, Bangalore</v>
          </cell>
          <cell r="Y333" t="str">
            <v>Bangalore Baptist Hospital, Bangalore</v>
          </cell>
          <cell r="Z333" t="str">
            <v>Dr BV Manjula, Bangalore</v>
          </cell>
          <cell r="AA333" t="str">
            <v>HNSCC</v>
          </cell>
          <cell r="AC333" t="str">
            <v>RMT</v>
          </cell>
          <cell r="AD333" t="str">
            <v>Left RMT</v>
          </cell>
          <cell r="AE333" t="str">
            <v>Female</v>
          </cell>
          <cell r="AF333">
            <v>70</v>
          </cell>
          <cell r="AG333" t="str">
            <v>N</v>
          </cell>
          <cell r="AH333">
            <v>3.4</v>
          </cell>
          <cell r="AI333" t="str">
            <v>Kalappa</v>
          </cell>
          <cell r="AJ333" t="str">
            <v>Surgery</v>
          </cell>
          <cell r="AK333" t="str">
            <v>Primary</v>
          </cell>
          <cell r="AV333">
            <v>44861</v>
          </cell>
          <cell r="AW333">
            <v>0.59930555555555554</v>
          </cell>
          <cell r="AX333">
            <v>0.70486111111111116</v>
          </cell>
          <cell r="AY333">
            <v>0.10555555555555556</v>
          </cell>
          <cell r="AZ333">
            <v>0.12569444444444444</v>
          </cell>
          <cell r="BA333">
            <v>0.22916666666666666</v>
          </cell>
          <cell r="BB333" t="str">
            <v>0.4*1.2*1.9</v>
          </cell>
          <cell r="BC333" t="str">
            <v>0.4*1.2*1.9</v>
          </cell>
          <cell r="BD333" t="str">
            <v>Vibratome</v>
          </cell>
          <cell r="BE333">
            <v>4</v>
          </cell>
          <cell r="BF333" t="str">
            <v>Biswajit</v>
          </cell>
          <cell r="BG333" t="str">
            <v>Y</v>
          </cell>
        </row>
        <row r="334">
          <cell r="A334" t="str">
            <v>FBR1R220238</v>
          </cell>
          <cell r="B334">
            <v>220238</v>
          </cell>
          <cell r="C334" t="str">
            <v>R&amp;D</v>
          </cell>
          <cell r="D334">
            <v>44861</v>
          </cell>
          <cell r="E334">
            <v>0.47569444444444442</v>
          </cell>
          <cell r="F334">
            <v>44835</v>
          </cell>
          <cell r="G334">
            <v>44861</v>
          </cell>
          <cell r="H334">
            <v>0.57916666666666672</v>
          </cell>
          <cell r="I334">
            <v>0.10347222222222222</v>
          </cell>
          <cell r="J334">
            <v>10</v>
          </cell>
          <cell r="K334" t="str">
            <v>MBT-TB-070_v2.0</v>
          </cell>
          <cell r="L334" t="str">
            <v>BBH017</v>
          </cell>
          <cell r="M334" t="str">
            <v>Y</v>
          </cell>
          <cell r="N334" t="str">
            <v>BSS(1R)</v>
          </cell>
          <cell r="O334" t="str">
            <v>Internal R&amp;D</v>
          </cell>
          <cell r="P334" t="str">
            <v>Q1 Passed</v>
          </cell>
          <cell r="Q334" t="str">
            <v>Q1 Passed</v>
          </cell>
          <cell r="R334" t="str">
            <v>Q1.5 Passed</v>
          </cell>
          <cell r="S334" t="str">
            <v>Q1.5 Passed</v>
          </cell>
          <cell r="V334" t="str">
            <v>Tumor content 10-95%</v>
          </cell>
          <cell r="W334" t="str">
            <v>Private Hospital</v>
          </cell>
          <cell r="X334" t="str">
            <v>Bangalore Baptist Hospital, Bangalore</v>
          </cell>
          <cell r="Y334" t="str">
            <v>Bangalore Baptist Hospital, Bangalore</v>
          </cell>
          <cell r="Z334" t="str">
            <v>Dr BV Manjula, Bangalore</v>
          </cell>
          <cell r="AA334" t="str">
            <v>HNSCC</v>
          </cell>
          <cell r="AC334" t="str">
            <v>RMT</v>
          </cell>
          <cell r="AD334" t="str">
            <v>Left RMT</v>
          </cell>
          <cell r="AE334" t="str">
            <v>Female</v>
          </cell>
          <cell r="AF334">
            <v>70</v>
          </cell>
          <cell r="AG334" t="str">
            <v>N</v>
          </cell>
          <cell r="AH334">
            <v>3.4</v>
          </cell>
          <cell r="AI334" t="str">
            <v>Kalappa</v>
          </cell>
          <cell r="AJ334" t="str">
            <v>Surgery</v>
          </cell>
          <cell r="AK334" t="str">
            <v>Primary</v>
          </cell>
          <cell r="AV334">
            <v>44861</v>
          </cell>
          <cell r="AW334">
            <v>0.59930555555555554</v>
          </cell>
          <cell r="AX334">
            <v>0.70486111111111116</v>
          </cell>
          <cell r="AY334">
            <v>0.10555555555555556</v>
          </cell>
          <cell r="AZ334">
            <v>0.12569444444444444</v>
          </cell>
          <cell r="BA334">
            <v>0.22916666666666666</v>
          </cell>
          <cell r="BB334" t="str">
            <v>0.4*1.2*1.9</v>
          </cell>
          <cell r="BC334" t="str">
            <v>0.4*1.2*1.9</v>
          </cell>
          <cell r="BD334" t="str">
            <v>Vibratome</v>
          </cell>
          <cell r="BE334">
            <v>4</v>
          </cell>
          <cell r="BF334" t="str">
            <v>Biswajit</v>
          </cell>
          <cell r="BG334" t="str">
            <v>Y</v>
          </cell>
        </row>
        <row r="335">
          <cell r="A335">
            <v>220239</v>
          </cell>
          <cell r="B335">
            <v>220239</v>
          </cell>
          <cell r="C335" t="str">
            <v>R&amp;D</v>
          </cell>
          <cell r="D335">
            <v>44866</v>
          </cell>
          <cell r="E335">
            <v>0.5</v>
          </cell>
          <cell r="F335">
            <v>44866</v>
          </cell>
          <cell r="G335">
            <v>44866</v>
          </cell>
          <cell r="H335">
            <v>0.88680555555555551</v>
          </cell>
          <cell r="I335">
            <v>0.38680555555555557</v>
          </cell>
          <cell r="J335">
            <v>25</v>
          </cell>
          <cell r="K335" t="str">
            <v>FCB-PROTOCOL-01</v>
          </cell>
          <cell r="L335" t="str">
            <v>CLN/DBR/124</v>
          </cell>
          <cell r="M335" t="str">
            <v>Y</v>
          </cell>
          <cell r="N335" t="str">
            <v>No Study</v>
          </cell>
          <cell r="O335" t="str">
            <v>BioBank</v>
          </cell>
          <cell r="P335" t="str">
            <v>Q1 Passed</v>
          </cell>
          <cell r="Q335" t="str">
            <v>Q1 Passed</v>
          </cell>
          <cell r="R335" t="str">
            <v>Q1.5 Rejected</v>
          </cell>
          <cell r="S335" t="str">
            <v>Q1.5 Rejected</v>
          </cell>
          <cell r="T335" t="str">
            <v>tissue was hard and Vibrotome make 3 section only, not processed manually</v>
          </cell>
          <cell r="W335" t="str">
            <v>Clinic'les</v>
          </cell>
          <cell r="X335" t="str">
            <v>Clinic'les- DBR &amp; SK Hospital, Tirupati</v>
          </cell>
          <cell r="Y335" t="str">
            <v>DBR &amp; SK Hospital, Tirupati</v>
          </cell>
          <cell r="Z335" t="str">
            <v>Dr C Jayaprakash, Tirupati</v>
          </cell>
          <cell r="AA335" t="str">
            <v>HNSCC</v>
          </cell>
          <cell r="AC335" t="str">
            <v>Buccal Mucosa</v>
          </cell>
          <cell r="AD335" t="str">
            <v>Buccal Mucosa</v>
          </cell>
          <cell r="AE335" t="str">
            <v>Female</v>
          </cell>
          <cell r="AF335">
            <v>71</v>
          </cell>
          <cell r="AG335" t="str">
            <v>N</v>
          </cell>
          <cell r="AH335">
            <v>5.3</v>
          </cell>
          <cell r="AI335" t="str">
            <v>Maruthi</v>
          </cell>
          <cell r="AJ335" t="str">
            <v>Surgery</v>
          </cell>
          <cell r="AK335" t="str">
            <v>Primary</v>
          </cell>
          <cell r="AN335">
            <v>3</v>
          </cell>
          <cell r="AP335" t="str">
            <v>pT3N1Mx</v>
          </cell>
          <cell r="AS335" t="str">
            <v>Squamous cell carcinoma</v>
          </cell>
          <cell r="AV335">
            <v>44866</v>
          </cell>
          <cell r="AW335">
            <v>0.90625</v>
          </cell>
          <cell r="BB335" t="str">
            <v>0.6*1.4*2.2</v>
          </cell>
          <cell r="BC335" t="str">
            <v>0.6*1.4*2.2</v>
          </cell>
          <cell r="BD335" t="str">
            <v>Vibratome</v>
          </cell>
          <cell r="BE335">
            <v>15</v>
          </cell>
          <cell r="BF335" t="str">
            <v>Syam</v>
          </cell>
          <cell r="BG335" t="str">
            <v>Y</v>
          </cell>
        </row>
        <row r="336">
          <cell r="A336" t="str">
            <v>FBR1T220240</v>
          </cell>
          <cell r="B336">
            <v>220240</v>
          </cell>
          <cell r="C336" t="str">
            <v>R&amp;D</v>
          </cell>
          <cell r="D336">
            <v>44873</v>
          </cell>
          <cell r="E336">
            <v>0.625</v>
          </cell>
          <cell r="F336">
            <v>44866</v>
          </cell>
          <cell r="G336">
            <v>44873</v>
          </cell>
          <cell r="H336">
            <v>0.68055555555555558</v>
          </cell>
          <cell r="I336">
            <v>5.5555555555555552E-2</v>
          </cell>
          <cell r="J336">
            <v>30</v>
          </cell>
          <cell r="K336" t="str">
            <v>FCB-PROTOCOL-01</v>
          </cell>
          <cell r="L336" t="str">
            <v>HN022</v>
          </cell>
          <cell r="M336" t="str">
            <v>Y</v>
          </cell>
          <cell r="N336" t="str">
            <v>cc Study(1T)</v>
          </cell>
          <cell r="O336" t="str">
            <v>Internal R&amp;D</v>
          </cell>
          <cell r="P336" t="str">
            <v>Q1 Passed</v>
          </cell>
          <cell r="Q336" t="str">
            <v>Q1 Passed</v>
          </cell>
          <cell r="R336" t="str">
            <v>Q1.5 Passed</v>
          </cell>
          <cell r="S336" t="str">
            <v>Q1.5 Passed</v>
          </cell>
          <cell r="V336" t="str">
            <v>Tumor content 40-85%</v>
          </cell>
          <cell r="W336" t="str">
            <v>Government Hospital</v>
          </cell>
          <cell r="X336" t="str">
            <v>Mazumdar Shaw Medical Centre, Bangalore</v>
          </cell>
          <cell r="Y336" t="str">
            <v>Mazumdar Shaw Medical Centre, Bangalore</v>
          </cell>
          <cell r="Z336" t="str">
            <v>Dr Vijay Pillai, Bangalore</v>
          </cell>
          <cell r="AA336" t="str">
            <v>HNSCC</v>
          </cell>
          <cell r="AC336" t="str">
            <v>Buccal Mucosa</v>
          </cell>
          <cell r="AD336" t="str">
            <v>Left Buccal mucosa</v>
          </cell>
          <cell r="AE336" t="str">
            <v>Male</v>
          </cell>
          <cell r="AF336">
            <v>36</v>
          </cell>
          <cell r="AG336" t="str">
            <v>N</v>
          </cell>
          <cell r="AH336">
            <v>5.0999999999999996</v>
          </cell>
          <cell r="AI336" t="str">
            <v>Maruthi</v>
          </cell>
          <cell r="AJ336" t="str">
            <v>Surgery</v>
          </cell>
          <cell r="AK336" t="str">
            <v>Primary</v>
          </cell>
          <cell r="AN336">
            <v>4</v>
          </cell>
          <cell r="AO336">
            <v>2</v>
          </cell>
          <cell r="AP336" t="str">
            <v>pT4bpN3b</v>
          </cell>
          <cell r="AS336" t="str">
            <v>Moderately differentiated squamous
cell carcinoma.</v>
          </cell>
          <cell r="AV336">
            <v>44873</v>
          </cell>
          <cell r="AW336">
            <v>0.69861111111111107</v>
          </cell>
          <cell r="AX336">
            <v>0.75694444444444442</v>
          </cell>
          <cell r="AY336">
            <v>5.8333333333333334E-2</v>
          </cell>
          <cell r="AZ336">
            <v>7.6388888888888895E-2</v>
          </cell>
          <cell r="BA336">
            <v>0.13194444444444445</v>
          </cell>
          <cell r="BB336" t="str">
            <v>0.4/0.5*1.8*1.4</v>
          </cell>
          <cell r="BC336" t="str">
            <v>0.4/0.5*1.8*1.4</v>
          </cell>
          <cell r="BD336" t="str">
            <v>Vibratome</v>
          </cell>
          <cell r="BE336">
            <v>15</v>
          </cell>
          <cell r="BF336" t="str">
            <v>Biswajit</v>
          </cell>
          <cell r="BG336" t="str">
            <v>Y</v>
          </cell>
        </row>
        <row r="337">
          <cell r="A337">
            <v>220241</v>
          </cell>
          <cell r="B337">
            <v>220241</v>
          </cell>
          <cell r="C337" t="str">
            <v>R&amp;D</v>
          </cell>
          <cell r="D337">
            <v>44875</v>
          </cell>
          <cell r="E337">
            <v>0.49027777777777776</v>
          </cell>
          <cell r="F337">
            <v>44866</v>
          </cell>
          <cell r="G337">
            <v>44875</v>
          </cell>
          <cell r="H337">
            <v>0.5541666666666667</v>
          </cell>
          <cell r="I337">
            <v>6.3888888888888884E-2</v>
          </cell>
          <cell r="J337">
            <v>5</v>
          </cell>
          <cell r="K337" t="str">
            <v>FCB-PROTOCOL-02</v>
          </cell>
          <cell r="L337" t="str">
            <v>VYD/132</v>
          </cell>
          <cell r="M337" t="str">
            <v>Y</v>
          </cell>
          <cell r="N337" t="str">
            <v>No Study</v>
          </cell>
          <cell r="O337" t="str">
            <v>1st level attrition</v>
          </cell>
          <cell r="P337" t="str">
            <v>Q1 Passed</v>
          </cell>
          <cell r="Q337" t="str">
            <v>Q1 Passed</v>
          </cell>
          <cell r="R337" t="str">
            <v>Q1.5 Rejected</v>
          </cell>
          <cell r="S337" t="str">
            <v>Q1.5 Rejected</v>
          </cell>
          <cell r="T337" t="str">
            <v>Hard tumor and not suitable for vibratome</v>
          </cell>
          <cell r="W337" t="str">
            <v>Private Hospital</v>
          </cell>
          <cell r="X337" t="str">
            <v>Vydehi Hospital, Bangalore</v>
          </cell>
          <cell r="Y337" t="str">
            <v>Vydehi Hospital, Bangalore</v>
          </cell>
          <cell r="Z337" t="str">
            <v>Dr Amritha Prabha, Bangalore</v>
          </cell>
          <cell r="AA337" t="str">
            <v>HNSCC</v>
          </cell>
          <cell r="AC337" t="str">
            <v>supraglottis</v>
          </cell>
          <cell r="AD337" t="str">
            <v>Left supraglottis</v>
          </cell>
          <cell r="AE337" t="str">
            <v>Male</v>
          </cell>
          <cell r="AF337">
            <v>69</v>
          </cell>
          <cell r="AG337" t="str">
            <v>N</v>
          </cell>
          <cell r="AH337">
            <v>3.4</v>
          </cell>
          <cell r="AI337" t="str">
            <v>Kalappa</v>
          </cell>
          <cell r="AJ337" t="str">
            <v>Surgery</v>
          </cell>
          <cell r="AK337" t="str">
            <v>Primary</v>
          </cell>
          <cell r="AS337" t="str">
            <v>Squamous Cell Carcinoma</v>
          </cell>
          <cell r="AV337">
            <v>44875</v>
          </cell>
          <cell r="AW337">
            <v>0.58333333333333337</v>
          </cell>
          <cell r="BB337" t="str">
            <v>0.6*1.2*1.2</v>
          </cell>
          <cell r="BC337" t="str">
            <v>0.6*1.2*1.2</v>
          </cell>
          <cell r="BD337" t="str">
            <v>vibratome</v>
          </cell>
          <cell r="BE337">
            <v>15</v>
          </cell>
          <cell r="BF337" t="str">
            <v>Kowshik</v>
          </cell>
          <cell r="BG337" t="str">
            <v>Y</v>
          </cell>
        </row>
        <row r="338">
          <cell r="A338" t="str">
            <v>FBR1T220242</v>
          </cell>
          <cell r="B338">
            <v>220242</v>
          </cell>
          <cell r="C338" t="str">
            <v>R&amp;D</v>
          </cell>
          <cell r="D338">
            <v>44876</v>
          </cell>
          <cell r="E338">
            <v>0.47222222222222221</v>
          </cell>
          <cell r="F338">
            <v>44866</v>
          </cell>
          <cell r="G338">
            <v>44876</v>
          </cell>
          <cell r="H338">
            <v>0.84791666666666665</v>
          </cell>
          <cell r="I338">
            <v>0.37569444444444444</v>
          </cell>
          <cell r="J338">
            <v>25</v>
          </cell>
          <cell r="K338" t="str">
            <v>FCB-PROTOCOL-01</v>
          </cell>
          <cell r="L338" t="str">
            <v>CLN/DBR/125</v>
          </cell>
          <cell r="M338" t="str">
            <v>Y</v>
          </cell>
          <cell r="N338" t="str">
            <v>cc Study(1T)</v>
          </cell>
          <cell r="O338" t="str">
            <v>Internal R&amp;D</v>
          </cell>
          <cell r="P338" t="str">
            <v>Q1 Passed</v>
          </cell>
          <cell r="Q338" t="str">
            <v>Q1 Passed</v>
          </cell>
          <cell r="R338" t="str">
            <v>Q1.5 Passed</v>
          </cell>
          <cell r="S338" t="str">
            <v>Q1.5 Passed</v>
          </cell>
          <cell r="V338" t="str">
            <v>Tumor content 60-80%</v>
          </cell>
          <cell r="W338" t="str">
            <v>Clinic'les</v>
          </cell>
          <cell r="X338" t="str">
            <v>Clinic'les- DBR &amp; SK Hospital, Tirupati</v>
          </cell>
          <cell r="Y338" t="str">
            <v>DBR &amp; SK Hospital, Tirupati</v>
          </cell>
          <cell r="Z338" t="str">
            <v>Dr C Jayaprakash, Tirupati</v>
          </cell>
          <cell r="AA338" t="str">
            <v>HNSCC</v>
          </cell>
          <cell r="AC338" t="str">
            <v>Buccal Mucosa</v>
          </cell>
          <cell r="AD338" t="str">
            <v>Buccal Mucosa</v>
          </cell>
          <cell r="AE338" t="str">
            <v>Female</v>
          </cell>
          <cell r="AF338">
            <v>45</v>
          </cell>
          <cell r="AG338" t="str">
            <v>N</v>
          </cell>
          <cell r="AH338">
            <v>6.3</v>
          </cell>
          <cell r="AI338" t="str">
            <v>Maruthi</v>
          </cell>
          <cell r="AJ338" t="str">
            <v>Surgery</v>
          </cell>
          <cell r="AK338" t="str">
            <v>Primary</v>
          </cell>
          <cell r="AN338" t="str">
            <v>4a</v>
          </cell>
          <cell r="AP338" t="str">
            <v>pT3N2Mx</v>
          </cell>
          <cell r="AS338" t="str">
            <v>Squamous cell carcinoma</v>
          </cell>
          <cell r="AV338">
            <v>44876</v>
          </cell>
          <cell r="AW338">
            <v>0.86805555555555558</v>
          </cell>
          <cell r="AX338">
            <v>0.92361111111111116</v>
          </cell>
          <cell r="AY338">
            <v>5.5555555555555552E-2</v>
          </cell>
          <cell r="AZ338">
            <v>7.5694444444444439E-2</v>
          </cell>
          <cell r="BA338">
            <v>0.4513888888888889</v>
          </cell>
          <cell r="BB338" t="str">
            <v>0.5*1.0*1.4</v>
          </cell>
          <cell r="BC338" t="str">
            <v>0.5*1.0*1.4</v>
          </cell>
          <cell r="BD338" t="str">
            <v>Vibratome</v>
          </cell>
          <cell r="BE338">
            <v>15</v>
          </cell>
          <cell r="BF338" t="str">
            <v>kowshik</v>
          </cell>
          <cell r="BG338" t="str">
            <v>Y</v>
          </cell>
        </row>
        <row r="339">
          <cell r="A339">
            <v>220243</v>
          </cell>
          <cell r="B339">
            <v>220243</v>
          </cell>
          <cell r="C339" t="str">
            <v>R&amp;D</v>
          </cell>
          <cell r="D339">
            <v>44879</v>
          </cell>
          <cell r="E339">
            <v>0.51041666666666663</v>
          </cell>
          <cell r="F339">
            <v>44866</v>
          </cell>
          <cell r="G339">
            <v>44879</v>
          </cell>
          <cell r="H339">
            <v>0.55138888888888893</v>
          </cell>
          <cell r="I339">
            <v>4.0972222222222222E-2</v>
          </cell>
          <cell r="J339">
            <v>15</v>
          </cell>
          <cell r="K339" t="str">
            <v>FCB-PROTOCOL-01</v>
          </cell>
          <cell r="L339" t="str">
            <v>HN023</v>
          </cell>
          <cell r="M339" t="str">
            <v>Y</v>
          </cell>
          <cell r="N339" t="str">
            <v>No Study</v>
          </cell>
          <cell r="O339" t="str">
            <v>1st level attrition</v>
          </cell>
          <cell r="P339" t="str">
            <v>Q1 Passed</v>
          </cell>
          <cell r="Q339" t="str">
            <v>Q1 Passed</v>
          </cell>
          <cell r="R339" t="str">
            <v>Q1.5 Rejected</v>
          </cell>
          <cell r="S339" t="str">
            <v>Q1.5 Rejected</v>
          </cell>
          <cell r="T339" t="str">
            <v>very hard tissue</v>
          </cell>
          <cell r="W339" t="str">
            <v>Government Hospital</v>
          </cell>
          <cell r="X339" t="str">
            <v>Mazumdar Shaw Medical Centre, Bangalore</v>
          </cell>
          <cell r="Y339" t="str">
            <v>Mazumdar Shaw Medical Centre, Bangalore</v>
          </cell>
          <cell r="Z339" t="str">
            <v>Dr Vijay Pillai, Bangalore</v>
          </cell>
          <cell r="AA339" t="str">
            <v>HNSCC</v>
          </cell>
          <cell r="AC339" t="str">
            <v>alveolus</v>
          </cell>
          <cell r="AD339" t="str">
            <v>Right Lower Alveolus</v>
          </cell>
          <cell r="AE339" t="str">
            <v>Male</v>
          </cell>
          <cell r="AF339">
            <v>68</v>
          </cell>
          <cell r="AG339" t="str">
            <v>N</v>
          </cell>
          <cell r="AH339">
            <v>3.2</v>
          </cell>
          <cell r="AI339" t="str">
            <v>Kalappa</v>
          </cell>
          <cell r="AJ339" t="str">
            <v>Surgery</v>
          </cell>
          <cell r="AK339" t="str">
            <v>Primary</v>
          </cell>
          <cell r="AN339">
            <v>4</v>
          </cell>
          <cell r="AO339">
            <v>2</v>
          </cell>
          <cell r="AP339" t="str">
            <v>pT4a N0</v>
          </cell>
          <cell r="AS339" t="str">
            <v>Moderately differentiated , squamous cell carcinoma, right lower
alveolus</v>
          </cell>
          <cell r="AV339">
            <v>44879</v>
          </cell>
          <cell r="AW339">
            <v>0.57986111111111116</v>
          </cell>
          <cell r="BB339" t="str">
            <v>0.8*1.0*1.6</v>
          </cell>
          <cell r="BC339" t="str">
            <v>0.8*1.0*1.6</v>
          </cell>
          <cell r="BD339" t="str">
            <v>Vibratome</v>
          </cell>
          <cell r="BE339">
            <v>15</v>
          </cell>
          <cell r="BF339" t="str">
            <v>Syam</v>
          </cell>
          <cell r="BG339" t="str">
            <v>Y</v>
          </cell>
        </row>
        <row r="340">
          <cell r="A340" t="str">
            <v>FBR1M220244</v>
          </cell>
          <cell r="B340">
            <v>220244</v>
          </cell>
          <cell r="C340" t="str">
            <v>R&amp;D</v>
          </cell>
          <cell r="D340">
            <v>44879</v>
          </cell>
          <cell r="E340">
            <v>0.60416666666666663</v>
          </cell>
          <cell r="F340">
            <v>44866</v>
          </cell>
          <cell r="G340">
            <v>44879</v>
          </cell>
          <cell r="H340">
            <v>0.67361111111111116</v>
          </cell>
          <cell r="I340">
            <v>6.9444444444444448E-2</v>
          </cell>
          <cell r="J340">
            <v>37</v>
          </cell>
          <cell r="K340" t="str">
            <v>FCB-PROTOCOL-01</v>
          </cell>
          <cell r="L340" t="str">
            <v>RC018</v>
          </cell>
          <cell r="M340" t="str">
            <v>Y</v>
          </cell>
          <cell r="N340" t="str">
            <v>DMS_RCC</v>
          </cell>
          <cell r="O340" t="str">
            <v>Internal R&amp;D</v>
          </cell>
          <cell r="P340" t="str">
            <v>Q1 Passed</v>
          </cell>
          <cell r="Q340" t="str">
            <v>Q1 Passed</v>
          </cell>
          <cell r="R340" t="str">
            <v>Q1.5 Passed</v>
          </cell>
          <cell r="S340" t="str">
            <v>Q1.5 Passed</v>
          </cell>
          <cell r="V340" t="str">
            <v>Tumor content 35-85%</v>
          </cell>
          <cell r="W340" t="str">
            <v>Government Hospital</v>
          </cell>
          <cell r="X340" t="str">
            <v>Mazumdar Shaw Medical Centre, Bangalore</v>
          </cell>
          <cell r="Y340" t="str">
            <v>Mazumdar Shaw Medical Centre, Bangalore</v>
          </cell>
          <cell r="Z340" t="str">
            <v>Dr Saurabh Bhargav, Bangalore</v>
          </cell>
          <cell r="AA340" t="str">
            <v>RCC</v>
          </cell>
          <cell r="AC340" t="str">
            <v>Renal</v>
          </cell>
          <cell r="AD340" t="str">
            <v>Left Renal Mass</v>
          </cell>
          <cell r="AE340" t="str">
            <v>Male</v>
          </cell>
          <cell r="AF340">
            <v>68</v>
          </cell>
          <cell r="AG340" t="str">
            <v>N</v>
          </cell>
          <cell r="AH340">
            <v>5.2</v>
          </cell>
          <cell r="AI340" t="str">
            <v>Shashi</v>
          </cell>
          <cell r="AJ340" t="str">
            <v>Surgery</v>
          </cell>
          <cell r="AK340" t="str">
            <v>Primary</v>
          </cell>
          <cell r="AV340">
            <v>44879</v>
          </cell>
          <cell r="AW340">
            <v>0.68194444444444446</v>
          </cell>
          <cell r="AX340">
            <v>0.72916666666666663</v>
          </cell>
          <cell r="AY340">
            <v>4.7222222222222221E-2</v>
          </cell>
          <cell r="AZ340">
            <v>5.5555555555555552E-2</v>
          </cell>
          <cell r="BA340">
            <v>0.125</v>
          </cell>
          <cell r="BB340" t="str">
            <v>0.6*1.6*1.2</v>
          </cell>
          <cell r="BC340" t="str">
            <v>0.6*1.6*1.2</v>
          </cell>
          <cell r="BD340" t="str">
            <v>Vibratome</v>
          </cell>
          <cell r="BE340">
            <v>15</v>
          </cell>
          <cell r="BF340" t="str">
            <v>Gowri</v>
          </cell>
          <cell r="BG340" t="str">
            <v>Y</v>
          </cell>
        </row>
        <row r="341">
          <cell r="A341" t="str">
            <v>FBR1T220245</v>
          </cell>
          <cell r="B341">
            <v>220245</v>
          </cell>
          <cell r="C341" t="str">
            <v>R&amp;D</v>
          </cell>
          <cell r="D341">
            <v>44880</v>
          </cell>
          <cell r="E341">
            <v>0.52777777777777779</v>
          </cell>
          <cell r="F341">
            <v>44866</v>
          </cell>
          <cell r="G341">
            <v>44880</v>
          </cell>
          <cell r="H341">
            <v>0.88541666666666663</v>
          </cell>
          <cell r="I341">
            <v>0.3576388888888889</v>
          </cell>
          <cell r="J341">
            <v>25</v>
          </cell>
          <cell r="K341" t="str">
            <v>FCB-PROTOCOL-01</v>
          </cell>
          <cell r="L341" t="str">
            <v>CLN/DBR/126</v>
          </cell>
          <cell r="M341" t="str">
            <v>Y</v>
          </cell>
          <cell r="N341" t="str">
            <v>cc Study(1T)</v>
          </cell>
          <cell r="O341" t="str">
            <v>Internal R&amp;D</v>
          </cell>
          <cell r="P341" t="str">
            <v>Q1 Passed</v>
          </cell>
          <cell r="Q341" t="str">
            <v>Q1 Passed</v>
          </cell>
          <cell r="R341" t="str">
            <v>Q1.5 Passed</v>
          </cell>
          <cell r="S341" t="str">
            <v>Q1.5 Passed</v>
          </cell>
          <cell r="V341" t="str">
            <v>Tumor content 60-90%</v>
          </cell>
          <cell r="W341" t="str">
            <v>Clinic'les</v>
          </cell>
          <cell r="X341" t="str">
            <v>Clinic'les- DBR &amp; SK Hospital, Tirupati</v>
          </cell>
          <cell r="Y341" t="str">
            <v>DBR &amp; SK Hospital, Tirupati</v>
          </cell>
          <cell r="Z341" t="str">
            <v>Dr C Jayaprakash, Tirupati</v>
          </cell>
          <cell r="AA341" t="str">
            <v>HNSCC</v>
          </cell>
          <cell r="AC341" t="str">
            <v>Buccal Mucosa</v>
          </cell>
          <cell r="AD341" t="str">
            <v>Buccal Mucosa</v>
          </cell>
          <cell r="AE341" t="str">
            <v>Male</v>
          </cell>
          <cell r="AF341">
            <v>71</v>
          </cell>
          <cell r="AG341" t="str">
            <v>N</v>
          </cell>
          <cell r="AH341">
            <v>5.0999999999999996</v>
          </cell>
          <cell r="AI341" t="str">
            <v>Shashi</v>
          </cell>
          <cell r="AJ341" t="str">
            <v>Surgery</v>
          </cell>
          <cell r="AK341" t="str">
            <v>Primary</v>
          </cell>
          <cell r="AN341">
            <v>3</v>
          </cell>
          <cell r="AP341" t="str">
            <v>pT3N0Mx</v>
          </cell>
          <cell r="AV341">
            <v>44880</v>
          </cell>
          <cell r="AW341">
            <v>0.90277777777777779</v>
          </cell>
          <cell r="AX341">
            <v>0.99305555555555558</v>
          </cell>
          <cell r="AY341">
            <v>9.0277777777777776E-2</v>
          </cell>
          <cell r="AZ341">
            <v>0.1076388888888889</v>
          </cell>
          <cell r="BA341">
            <v>0.46527777777777779</v>
          </cell>
          <cell r="BB341" t="str">
            <v>0.6*1.2*3.0</v>
          </cell>
          <cell r="BC341" t="str">
            <v>0.6*1.2*3.0</v>
          </cell>
          <cell r="BD341" t="str">
            <v>Vibratome</v>
          </cell>
          <cell r="BE341">
            <v>15</v>
          </cell>
          <cell r="BF341" t="str">
            <v>Biswajit</v>
          </cell>
          <cell r="BG341" t="str">
            <v>Y</v>
          </cell>
        </row>
        <row r="342">
          <cell r="A342" t="str">
            <v>FBR1V220245</v>
          </cell>
          <cell r="B342">
            <v>220245</v>
          </cell>
          <cell r="C342" t="str">
            <v>R&amp;D</v>
          </cell>
          <cell r="D342">
            <v>44880</v>
          </cell>
          <cell r="E342">
            <v>0.52777777777777779</v>
          </cell>
          <cell r="F342">
            <v>44866</v>
          </cell>
          <cell r="G342">
            <v>44880</v>
          </cell>
          <cell r="H342">
            <v>0.88541666666666663</v>
          </cell>
          <cell r="I342">
            <v>0.3576388888888889</v>
          </cell>
          <cell r="J342">
            <v>25</v>
          </cell>
          <cell r="K342" t="str">
            <v>FCB-PROTOCOL-01</v>
          </cell>
          <cell r="L342" t="str">
            <v>CLN/DBR/126</v>
          </cell>
          <cell r="M342" t="str">
            <v>Y</v>
          </cell>
          <cell r="N342" t="str">
            <v>TPC (1V)</v>
          </cell>
          <cell r="O342" t="str">
            <v>Internal R&amp;D</v>
          </cell>
          <cell r="P342" t="str">
            <v>Q1 Passed</v>
          </cell>
          <cell r="Q342" t="str">
            <v>Q1 Passed</v>
          </cell>
          <cell r="R342" t="str">
            <v>Q1.5 Passed</v>
          </cell>
          <cell r="S342" t="str">
            <v>Q1.5 Passed</v>
          </cell>
          <cell r="V342" t="str">
            <v>Tumor content 55-80%; immune component 8-20%</v>
          </cell>
          <cell r="W342" t="str">
            <v>Clinic'les</v>
          </cell>
          <cell r="X342" t="str">
            <v>Clinic'les- DBR &amp; SK Hospital, Tirupati</v>
          </cell>
          <cell r="Y342" t="str">
            <v>DBR &amp; SK Hospital, Tirupati</v>
          </cell>
          <cell r="Z342" t="str">
            <v>Dr C Jayaprakash, Tirupati</v>
          </cell>
          <cell r="AA342" t="str">
            <v>HNSCC</v>
          </cell>
          <cell r="AC342" t="str">
            <v>Buccal Mucosa</v>
          </cell>
          <cell r="AD342" t="str">
            <v>Buccal Mucosa</v>
          </cell>
          <cell r="AE342" t="str">
            <v>Male</v>
          </cell>
          <cell r="AF342">
            <v>71</v>
          </cell>
          <cell r="AG342" t="str">
            <v>N</v>
          </cell>
          <cell r="AH342">
            <v>5.0999999999999996</v>
          </cell>
          <cell r="AI342" t="str">
            <v>Shashi</v>
          </cell>
          <cell r="AJ342" t="str">
            <v>Surgery</v>
          </cell>
          <cell r="AK342" t="str">
            <v>Primary</v>
          </cell>
          <cell r="AN342">
            <v>3</v>
          </cell>
          <cell r="AP342" t="str">
            <v>pT3N0Mx</v>
          </cell>
          <cell r="AV342">
            <v>44880</v>
          </cell>
          <cell r="AW342">
            <v>0.90277777777777779</v>
          </cell>
          <cell r="AX342">
            <v>0.99305555555555558</v>
          </cell>
          <cell r="AY342">
            <v>9.0277777777777776E-2</v>
          </cell>
          <cell r="AZ342">
            <v>0.1076388888888889</v>
          </cell>
          <cell r="BA342">
            <v>0.46527777777777779</v>
          </cell>
          <cell r="BB342" t="str">
            <v>0.6*1.2*3.0</v>
          </cell>
          <cell r="BC342" t="str">
            <v>0.6*1.2*3.0</v>
          </cell>
          <cell r="BD342" t="str">
            <v>Vibratome</v>
          </cell>
          <cell r="BE342">
            <v>15</v>
          </cell>
          <cell r="BF342" t="str">
            <v>Biswajit</v>
          </cell>
          <cell r="BG342" t="str">
            <v>Y</v>
          </cell>
        </row>
        <row r="343">
          <cell r="A343">
            <v>220246</v>
          </cell>
          <cell r="B343">
            <v>220246</v>
          </cell>
          <cell r="C343" t="str">
            <v>R&amp;D</v>
          </cell>
          <cell r="D343">
            <v>44881</v>
          </cell>
          <cell r="E343">
            <v>0.51249999999999996</v>
          </cell>
          <cell r="F343">
            <v>44866</v>
          </cell>
          <cell r="G343">
            <v>44881</v>
          </cell>
          <cell r="H343">
            <v>0.55972222222222223</v>
          </cell>
          <cell r="I343">
            <v>4.7222222222222221E-2</v>
          </cell>
          <cell r="J343">
            <v>7</v>
          </cell>
          <cell r="K343" t="str">
            <v>FCB-PROTOCOL-02</v>
          </cell>
          <cell r="L343" t="str">
            <v>VYD/133</v>
          </cell>
          <cell r="M343" t="str">
            <v>Y</v>
          </cell>
          <cell r="N343" t="str">
            <v>No Study</v>
          </cell>
          <cell r="O343" t="str">
            <v>1st level attrition</v>
          </cell>
          <cell r="P343" t="str">
            <v>Q1 Passed</v>
          </cell>
          <cell r="Q343" t="str">
            <v>Q1 Passed</v>
          </cell>
          <cell r="R343" t="str">
            <v>Q1.5 Rejected</v>
          </cell>
          <cell r="S343" t="str">
            <v>Q1.5 Rejected</v>
          </cell>
          <cell r="T343" t="str">
            <v>Hard tumor and not suitable for vibratome</v>
          </cell>
          <cell r="W343" t="str">
            <v>Private Hospital</v>
          </cell>
          <cell r="X343" t="str">
            <v>Vydehi Hospital, Bangalore</v>
          </cell>
          <cell r="Y343" t="str">
            <v>Vydehi Hospital, Bangalore</v>
          </cell>
          <cell r="Z343" t="str">
            <v>Dr Amritha Prabha, Bangalore</v>
          </cell>
          <cell r="AA343" t="str">
            <v>HNSCC</v>
          </cell>
          <cell r="AC343" t="str">
            <v>Tongue</v>
          </cell>
          <cell r="AD343" t="str">
            <v>Right tongue</v>
          </cell>
          <cell r="AE343" t="str">
            <v>Male</v>
          </cell>
          <cell r="AF343">
            <v>47</v>
          </cell>
          <cell r="AG343" t="str">
            <v>N</v>
          </cell>
          <cell r="AH343">
            <v>3.4</v>
          </cell>
          <cell r="AI343" t="str">
            <v>Kalappa</v>
          </cell>
          <cell r="AJ343" t="str">
            <v>Surgery</v>
          </cell>
          <cell r="AK343" t="str">
            <v>Primary</v>
          </cell>
          <cell r="AV343">
            <v>44881</v>
          </cell>
          <cell r="AW343">
            <v>0.57291666666666663</v>
          </cell>
          <cell r="BB343" t="str">
            <v>1.0*1.0*1.2</v>
          </cell>
          <cell r="BC343" t="str">
            <v>1.0*1.0*1.2</v>
          </cell>
          <cell r="BD343" t="str">
            <v>Vibratome</v>
          </cell>
          <cell r="BE343">
            <v>15</v>
          </cell>
          <cell r="BF343" t="str">
            <v>Gowri</v>
          </cell>
          <cell r="BG343" t="str">
            <v>Y</v>
          </cell>
        </row>
        <row r="344">
          <cell r="A344" t="str">
            <v>FBR1T220247</v>
          </cell>
          <cell r="B344">
            <v>220247</v>
          </cell>
          <cell r="C344" t="str">
            <v>R&amp;D</v>
          </cell>
          <cell r="D344">
            <v>44882</v>
          </cell>
          <cell r="E344">
            <v>0.63194444444444442</v>
          </cell>
          <cell r="F344">
            <v>44866</v>
          </cell>
          <cell r="G344">
            <v>44882</v>
          </cell>
          <cell r="H344">
            <v>0.68333333333333335</v>
          </cell>
          <cell r="I344">
            <v>5.1388888888888887E-2</v>
          </cell>
          <cell r="J344">
            <v>15</v>
          </cell>
          <cell r="K344" t="str">
            <v>FCB-PROTOCOL-01</v>
          </cell>
          <cell r="L344" t="str">
            <v>HN024</v>
          </cell>
          <cell r="M344" t="str">
            <v>Y</v>
          </cell>
          <cell r="N344" t="str">
            <v>cc Study(1T)</v>
          </cell>
          <cell r="O344" t="str">
            <v>Internal R&amp;D</v>
          </cell>
          <cell r="P344" t="str">
            <v>Q1 Passed</v>
          </cell>
          <cell r="Q344" t="str">
            <v>Q1 Passed</v>
          </cell>
          <cell r="R344" t="str">
            <v>Q1.5 Passed</v>
          </cell>
          <cell r="S344" t="str">
            <v>Q1.5 Passed</v>
          </cell>
          <cell r="V344" t="str">
            <v>Tumor content 35-85%</v>
          </cell>
          <cell r="W344" t="str">
            <v>Government Hospital</v>
          </cell>
          <cell r="X344" t="str">
            <v>Mazumdar Shaw Medical Centre, Bangalore</v>
          </cell>
          <cell r="Y344" t="str">
            <v>Mazumdar Shaw Medical Centre, Bangalore</v>
          </cell>
          <cell r="Z344" t="str">
            <v>Dr Vijay Pillai, Bangalore</v>
          </cell>
          <cell r="AA344" t="str">
            <v>HNSCC</v>
          </cell>
          <cell r="AC344" t="str">
            <v>Tongue</v>
          </cell>
          <cell r="AD344" t="str">
            <v>Left Lateral Border of Tongue</v>
          </cell>
          <cell r="AE344" t="str">
            <v>Male</v>
          </cell>
          <cell r="AF344">
            <v>53</v>
          </cell>
          <cell r="AG344" t="str">
            <v>N</v>
          </cell>
          <cell r="AH344">
            <v>4.0999999999999996</v>
          </cell>
          <cell r="AI344" t="str">
            <v>Kalappa</v>
          </cell>
          <cell r="AJ344" t="str">
            <v>Surgery</v>
          </cell>
          <cell r="AK344" t="str">
            <v>Primary</v>
          </cell>
          <cell r="AN344">
            <v>4</v>
          </cell>
          <cell r="AO344">
            <v>2</v>
          </cell>
          <cell r="AP344" t="str">
            <v>pT4 a N0</v>
          </cell>
          <cell r="AS344" t="str">
            <v>Moderately differentiated , squamous cell carcinoma, left lateral
border of tongue</v>
          </cell>
          <cell r="AV344">
            <v>44882</v>
          </cell>
          <cell r="AW344">
            <v>0.69791666666666663</v>
          </cell>
          <cell r="AX344">
            <v>0.80208333333333337</v>
          </cell>
          <cell r="AY344">
            <v>0.10416666666666667</v>
          </cell>
          <cell r="AZ344">
            <v>0.11874999999999999</v>
          </cell>
          <cell r="BA344">
            <v>0.1701388888888889</v>
          </cell>
          <cell r="BB344" t="str">
            <v>1.2*1.4*1.6</v>
          </cell>
          <cell r="BC344" t="str">
            <v>1.2*1.4*1.6</v>
          </cell>
          <cell r="BD344" t="str">
            <v>Vibratome</v>
          </cell>
          <cell r="BE344">
            <v>15</v>
          </cell>
          <cell r="BF344" t="str">
            <v>Rajashekhar</v>
          </cell>
          <cell r="BG344" t="str">
            <v>Y</v>
          </cell>
        </row>
        <row r="345">
          <cell r="A345" t="str">
            <v>FBR1V220247</v>
          </cell>
          <cell r="B345">
            <v>220247</v>
          </cell>
          <cell r="C345" t="str">
            <v>R&amp;D</v>
          </cell>
          <cell r="D345">
            <v>44882</v>
          </cell>
          <cell r="E345">
            <v>0.63194444444444442</v>
          </cell>
          <cell r="F345">
            <v>44866</v>
          </cell>
          <cell r="G345">
            <v>44882</v>
          </cell>
          <cell r="H345">
            <v>0.68333333333333335</v>
          </cell>
          <cell r="I345">
            <v>5.1388888888888887E-2</v>
          </cell>
          <cell r="J345">
            <v>15</v>
          </cell>
          <cell r="K345" t="str">
            <v>FCB-PROTOCOL-01</v>
          </cell>
          <cell r="L345" t="str">
            <v>HN024</v>
          </cell>
          <cell r="M345" t="str">
            <v>Y</v>
          </cell>
          <cell r="N345" t="str">
            <v>TPC (1V)</v>
          </cell>
          <cell r="O345" t="str">
            <v>Internal R&amp;D</v>
          </cell>
          <cell r="P345" t="str">
            <v>Q1 Passed</v>
          </cell>
          <cell r="Q345" t="str">
            <v>Q1 Passed</v>
          </cell>
          <cell r="R345" t="str">
            <v>Q1.5 Passed</v>
          </cell>
          <cell r="S345" t="str">
            <v>Q1.5 Passed</v>
          </cell>
          <cell r="V345" t="str">
            <v>Tumor content 55-90%, immune component 4-8%</v>
          </cell>
          <cell r="W345" t="str">
            <v>Government Hospital</v>
          </cell>
          <cell r="X345" t="str">
            <v>Mazumdar Shaw Medical Centre, Bangalore</v>
          </cell>
          <cell r="Y345" t="str">
            <v>Mazumdar Shaw Medical Centre, Bangalore</v>
          </cell>
          <cell r="Z345" t="str">
            <v>Dr Vijay Pillai, Bangalore</v>
          </cell>
          <cell r="AA345" t="str">
            <v>HNSCC</v>
          </cell>
          <cell r="AC345" t="str">
            <v>Tongue</v>
          </cell>
          <cell r="AD345" t="str">
            <v>Left Lateral Border of Tongue</v>
          </cell>
          <cell r="AE345" t="str">
            <v>Male</v>
          </cell>
          <cell r="AF345">
            <v>53</v>
          </cell>
          <cell r="AG345" t="str">
            <v>N</v>
          </cell>
          <cell r="AH345">
            <v>4.0999999999999996</v>
          </cell>
          <cell r="AI345" t="str">
            <v>Kalappa</v>
          </cell>
          <cell r="AJ345" t="str">
            <v>Surgery</v>
          </cell>
          <cell r="AK345" t="str">
            <v>Primary</v>
          </cell>
          <cell r="AN345">
            <v>4</v>
          </cell>
          <cell r="AO345">
            <v>2</v>
          </cell>
          <cell r="AP345" t="str">
            <v>pT4 a N0</v>
          </cell>
          <cell r="AS345" t="str">
            <v>Moderately differentiated , squamous cell carcinoma, left lateral
border of tongue</v>
          </cell>
          <cell r="AV345">
            <v>44882</v>
          </cell>
          <cell r="AW345">
            <v>0.69791666666666663</v>
          </cell>
          <cell r="AX345">
            <v>0.80208333333333337</v>
          </cell>
          <cell r="AY345">
            <v>0.10416666666666667</v>
          </cell>
          <cell r="AZ345">
            <v>0.11874999999999999</v>
          </cell>
          <cell r="BA345">
            <v>0.1701388888888889</v>
          </cell>
          <cell r="BB345" t="str">
            <v>1.2*1.4*1.6</v>
          </cell>
          <cell r="BC345" t="str">
            <v>1.2*1.4*1.6</v>
          </cell>
          <cell r="BD345" t="str">
            <v>Vibratome</v>
          </cell>
          <cell r="BE345">
            <v>15</v>
          </cell>
          <cell r="BF345" t="str">
            <v>Rajashekhar</v>
          </cell>
          <cell r="BG345" t="str">
            <v>Y</v>
          </cell>
        </row>
        <row r="346">
          <cell r="A346">
            <v>220248</v>
          </cell>
          <cell r="B346">
            <v>220248</v>
          </cell>
          <cell r="C346" t="str">
            <v>R&amp;D</v>
          </cell>
          <cell r="D346">
            <v>44882</v>
          </cell>
          <cell r="E346">
            <v>0.50694444444444442</v>
          </cell>
          <cell r="F346">
            <v>44866</v>
          </cell>
          <cell r="G346">
            <v>44882</v>
          </cell>
          <cell r="H346">
            <v>0.87986111111111109</v>
          </cell>
          <cell r="I346">
            <v>0.37291666666666667</v>
          </cell>
          <cell r="J346">
            <v>30</v>
          </cell>
          <cell r="K346" t="str">
            <v>FCB-PROTOCOL-01</v>
          </cell>
          <cell r="L346" t="str">
            <v>CLN/DBR/127</v>
          </cell>
          <cell r="M346" t="str">
            <v>Y</v>
          </cell>
          <cell r="N346" t="str">
            <v>No Study</v>
          </cell>
          <cell r="O346" t="str">
            <v>1st level attrition</v>
          </cell>
          <cell r="P346" t="str">
            <v>Q1 Rejected</v>
          </cell>
          <cell r="Q346" t="str">
            <v>Q1 Rejected</v>
          </cell>
          <cell r="R346" t="str">
            <v>Q1.5 Rejected</v>
          </cell>
          <cell r="S346" t="str">
            <v>Q1.5 Rejected</v>
          </cell>
          <cell r="T346" t="str">
            <v>big tumour and blood sample was above 10ml</v>
          </cell>
          <cell r="W346" t="str">
            <v>Clinic'les</v>
          </cell>
          <cell r="X346" t="str">
            <v>Clinic'les- DBR &amp; SK Hospital, Tirupati</v>
          </cell>
          <cell r="Y346" t="str">
            <v>DBR &amp; SK Hospital, Tirupati</v>
          </cell>
          <cell r="Z346" t="str">
            <v>Dr C Jayaprakash, Tirupati</v>
          </cell>
          <cell r="AA346" t="str">
            <v>HNSCC</v>
          </cell>
          <cell r="AC346" t="str">
            <v>Buccal Mucosa</v>
          </cell>
          <cell r="AD346" t="str">
            <v>Buccal Mucosa</v>
          </cell>
          <cell r="AE346" t="str">
            <v>female</v>
          </cell>
          <cell r="AF346">
            <v>53</v>
          </cell>
          <cell r="AG346" t="str">
            <v>N</v>
          </cell>
          <cell r="AH346">
            <v>5.0999999999999996</v>
          </cell>
          <cell r="AI346" t="str">
            <v>Shashi</v>
          </cell>
          <cell r="AJ346" t="str">
            <v>Surgery</v>
          </cell>
          <cell r="AK346" t="str">
            <v>Primary</v>
          </cell>
          <cell r="AN346">
            <v>3</v>
          </cell>
          <cell r="AP346" t="str">
            <v>pT3N1Mx</v>
          </cell>
          <cell r="AV346">
            <v>44883</v>
          </cell>
          <cell r="AW346">
            <v>0.37847222222222221</v>
          </cell>
          <cell r="BE346">
            <v>15</v>
          </cell>
          <cell r="BF346" t="str">
            <v>kowshik</v>
          </cell>
          <cell r="BG346" t="str">
            <v>N</v>
          </cell>
        </row>
        <row r="347">
          <cell r="A347">
            <v>220249</v>
          </cell>
          <cell r="B347">
            <v>220249</v>
          </cell>
          <cell r="C347" t="str">
            <v>R&amp;D</v>
          </cell>
          <cell r="D347">
            <v>44886</v>
          </cell>
          <cell r="E347">
            <v>0.45208333333333334</v>
          </cell>
          <cell r="F347">
            <v>44866</v>
          </cell>
          <cell r="G347">
            <v>44886</v>
          </cell>
          <cell r="H347">
            <v>0.48472222222222222</v>
          </cell>
          <cell r="I347">
            <v>3.2638888888888891E-2</v>
          </cell>
          <cell r="J347">
            <v>11</v>
          </cell>
          <cell r="K347" t="str">
            <v>FCB-PROTOCOL-01</v>
          </cell>
          <cell r="L347" t="str">
            <v>OC006</v>
          </cell>
          <cell r="M347" t="str">
            <v>Y</v>
          </cell>
          <cell r="N347" t="str">
            <v>No Study</v>
          </cell>
          <cell r="O347" t="str">
            <v>1st level attrition</v>
          </cell>
          <cell r="P347" t="str">
            <v>Q1 Passed</v>
          </cell>
          <cell r="Q347" t="str">
            <v>Q1 Passed</v>
          </cell>
          <cell r="R347" t="str">
            <v>Q1.5 Rejected</v>
          </cell>
          <cell r="S347" t="str">
            <v>Q1.5 Rejected</v>
          </cell>
          <cell r="T347" t="str">
            <v>very less tumor content</v>
          </cell>
          <cell r="V347" t="str">
            <v>Tumor seen in 7-8 explants, mostly &lt;5%, except one with 15% tumor</v>
          </cell>
          <cell r="W347" t="str">
            <v>Government Hospital</v>
          </cell>
          <cell r="X347" t="str">
            <v>Mazumdar Shaw Medical Centre, Bangalore</v>
          </cell>
          <cell r="Y347" t="str">
            <v>Mazumdar Shaw Medical Centre, Bangalore</v>
          </cell>
          <cell r="Z347" t="str">
            <v>Dr Rohit Ranade, Bangalore</v>
          </cell>
          <cell r="AA347" t="str">
            <v>Ca Ovary</v>
          </cell>
          <cell r="AC347" t="str">
            <v>Ovary</v>
          </cell>
          <cell r="AD347" t="str">
            <v>Left Ovary</v>
          </cell>
          <cell r="AE347" t="str">
            <v>Female</v>
          </cell>
          <cell r="AF347">
            <v>60</v>
          </cell>
          <cell r="AG347" t="str">
            <v>N</v>
          </cell>
          <cell r="AH347">
            <v>4.2</v>
          </cell>
          <cell r="AI347" t="str">
            <v>Kalappa</v>
          </cell>
          <cell r="AJ347" t="str">
            <v>Surgery</v>
          </cell>
          <cell r="AK347" t="str">
            <v>Primary</v>
          </cell>
          <cell r="AL347" t="str">
            <v>Chemotherapy</v>
          </cell>
          <cell r="AQ347">
            <v>3</v>
          </cell>
          <cell r="AR347" t="str">
            <v>Paclitaxel, Carboplatin</v>
          </cell>
          <cell r="AV347">
            <v>44886</v>
          </cell>
          <cell r="AW347">
            <v>0.66111111111111109</v>
          </cell>
          <cell r="AX347">
            <v>0.71527777777777779</v>
          </cell>
          <cell r="AY347">
            <v>5.4166666666666669E-2</v>
          </cell>
          <cell r="AZ347">
            <v>0.23055555555555557</v>
          </cell>
          <cell r="BA347">
            <v>0.26319444444444445</v>
          </cell>
          <cell r="BB347" t="str">
            <v>0.4*1.2*1.4</v>
          </cell>
          <cell r="BC347" t="str">
            <v>0.4*1.2*1.4</v>
          </cell>
          <cell r="BD347" t="str">
            <v>manual</v>
          </cell>
          <cell r="BE347">
            <v>4</v>
          </cell>
          <cell r="BF347" t="str">
            <v>Gowri</v>
          </cell>
          <cell r="BG347" t="str">
            <v>N</v>
          </cell>
        </row>
        <row r="348">
          <cell r="A348" t="str">
            <v>FBR1T220250</v>
          </cell>
          <cell r="B348">
            <v>220250</v>
          </cell>
          <cell r="C348" t="str">
            <v>R&amp;D</v>
          </cell>
          <cell r="D348">
            <v>44886</v>
          </cell>
          <cell r="E348">
            <v>0.5625</v>
          </cell>
          <cell r="F348">
            <v>44866</v>
          </cell>
          <cell r="G348">
            <v>44886</v>
          </cell>
          <cell r="H348">
            <v>0.63194444444444442</v>
          </cell>
          <cell r="I348">
            <v>6.9444444444444448E-2</v>
          </cell>
          <cell r="J348">
            <v>40</v>
          </cell>
          <cell r="K348" t="str">
            <v>FCB-PROTOCOL-01</v>
          </cell>
          <cell r="L348" t="str">
            <v>HN025</v>
          </cell>
          <cell r="M348" t="str">
            <v>Y</v>
          </cell>
          <cell r="N348" t="str">
            <v>cc Study(1T)</v>
          </cell>
          <cell r="O348" t="str">
            <v>Internal R&amp;D</v>
          </cell>
          <cell r="P348" t="str">
            <v>Q1 Passed</v>
          </cell>
          <cell r="Q348" t="str">
            <v>Q1 Passed</v>
          </cell>
          <cell r="R348" t="str">
            <v>Q1.5 Passed</v>
          </cell>
          <cell r="S348" t="str">
            <v>Q1.5 Passed</v>
          </cell>
          <cell r="V348" t="str">
            <v>Tumor content 15-75%. About 3 explants have aprroximately 4% immune cells, others 6-9%</v>
          </cell>
          <cell r="W348" t="str">
            <v>Government Hospital</v>
          </cell>
          <cell r="X348" t="str">
            <v>Mazumdar Shaw Medical Centre, Bangalore</v>
          </cell>
          <cell r="Y348" t="str">
            <v>Mazumdar Shaw Medical Centre, Bangalore</v>
          </cell>
          <cell r="Z348" t="str">
            <v>Dr Vijay Pillai, Bangalore</v>
          </cell>
          <cell r="AA348" t="str">
            <v>HNSCC</v>
          </cell>
          <cell r="AC348" t="str">
            <v>Buccal Mucosa</v>
          </cell>
          <cell r="AD348" t="str">
            <v>Left Buccal Mucosa</v>
          </cell>
          <cell r="AE348" t="str">
            <v>Male</v>
          </cell>
          <cell r="AF348">
            <v>62</v>
          </cell>
          <cell r="AG348" t="str">
            <v>N</v>
          </cell>
          <cell r="AH348">
            <v>5.0999999999999996</v>
          </cell>
          <cell r="AI348" t="str">
            <v>Shashi</v>
          </cell>
          <cell r="AJ348" t="str">
            <v>Surgery</v>
          </cell>
          <cell r="AK348" t="str">
            <v>Primary</v>
          </cell>
          <cell r="AN348">
            <v>4</v>
          </cell>
          <cell r="AO348">
            <v>2</v>
          </cell>
          <cell r="AP348" t="str">
            <v>pT4b</v>
          </cell>
          <cell r="AS348" t="str">
            <v xml:space="preserve"> moderately differentiated squamous cell
carcinoma.</v>
          </cell>
          <cell r="AV348">
            <v>44886</v>
          </cell>
          <cell r="AW348">
            <v>0.66666666666666663</v>
          </cell>
          <cell r="AX348">
            <v>0.79861111111111116</v>
          </cell>
          <cell r="AY348">
            <v>0.13194444444444445</v>
          </cell>
          <cell r="AZ348">
            <v>0.16666666666666666</v>
          </cell>
          <cell r="BA348">
            <v>0.2361111111111111</v>
          </cell>
          <cell r="BB348" t="str">
            <v>0.6/0.8*1.6*2.4</v>
          </cell>
          <cell r="BC348" t="str">
            <v>0.6*1.4*2.0</v>
          </cell>
          <cell r="BD348" t="str">
            <v>Vibratome</v>
          </cell>
          <cell r="BE348">
            <v>4</v>
          </cell>
          <cell r="BF348" t="str">
            <v>Syam</v>
          </cell>
          <cell r="BG348" t="str">
            <v>Y</v>
          </cell>
        </row>
        <row r="349">
          <cell r="A349" t="str">
            <v>FBR1V220250</v>
          </cell>
          <cell r="B349">
            <v>220250</v>
          </cell>
          <cell r="C349" t="str">
            <v>R&amp;D</v>
          </cell>
          <cell r="D349">
            <v>44886</v>
          </cell>
          <cell r="E349">
            <v>0.5625</v>
          </cell>
          <cell r="F349">
            <v>44866</v>
          </cell>
          <cell r="G349">
            <v>44886</v>
          </cell>
          <cell r="H349">
            <v>0.63194444444444442</v>
          </cell>
          <cell r="I349">
            <v>6.9444444444444448E-2</v>
          </cell>
          <cell r="J349">
            <v>40</v>
          </cell>
          <cell r="K349" t="str">
            <v>FCB-PROTOCOL-01</v>
          </cell>
          <cell r="L349" t="str">
            <v>HN025</v>
          </cell>
          <cell r="M349" t="str">
            <v>Y</v>
          </cell>
          <cell r="N349" t="str">
            <v>TPC (1V)</v>
          </cell>
          <cell r="O349" t="str">
            <v>Internal R&amp;D</v>
          </cell>
          <cell r="P349" t="str">
            <v>Q1 Passed</v>
          </cell>
          <cell r="Q349" t="str">
            <v>Q1 Passed</v>
          </cell>
          <cell r="R349" t="str">
            <v>Q1.5 Passed</v>
          </cell>
          <cell r="S349" t="str">
            <v>Q1.5 Passed</v>
          </cell>
          <cell r="W349" t="str">
            <v>Government Hospital</v>
          </cell>
          <cell r="X349" t="str">
            <v>Mazumdar Shaw Medical Centre, Bangalore</v>
          </cell>
          <cell r="Y349" t="str">
            <v>Mazumdar Shaw Medical Centre, Bangalore</v>
          </cell>
          <cell r="Z349" t="str">
            <v>Dr Vijay Pillai, Bangalore</v>
          </cell>
          <cell r="AA349" t="str">
            <v>HNSCC</v>
          </cell>
          <cell r="AC349" t="str">
            <v>Buccal Mucosa</v>
          </cell>
          <cell r="AD349" t="str">
            <v>Left Buccal Mucosa</v>
          </cell>
          <cell r="AE349" t="str">
            <v>Male</v>
          </cell>
          <cell r="AF349">
            <v>62</v>
          </cell>
          <cell r="AG349" t="str">
            <v>N</v>
          </cell>
          <cell r="AH349">
            <v>5.0999999999999996</v>
          </cell>
          <cell r="AI349" t="str">
            <v>Shashi</v>
          </cell>
          <cell r="AJ349" t="str">
            <v>Surgery</v>
          </cell>
          <cell r="AK349" t="str">
            <v>Primary</v>
          </cell>
          <cell r="AN349">
            <v>4</v>
          </cell>
          <cell r="AO349">
            <v>2</v>
          </cell>
          <cell r="AP349" t="str">
            <v>pT4b</v>
          </cell>
          <cell r="AS349" t="str">
            <v xml:space="preserve"> moderately differentiated squamous cell
carcinoma.</v>
          </cell>
          <cell r="AV349">
            <v>44886</v>
          </cell>
          <cell r="AW349">
            <v>0.66666666666666663</v>
          </cell>
          <cell r="AX349">
            <v>0.79861111111111116</v>
          </cell>
          <cell r="AY349">
            <v>0.13194444444444445</v>
          </cell>
          <cell r="AZ349">
            <v>0.16666666666666666</v>
          </cell>
          <cell r="BA349">
            <v>0.2361111111111111</v>
          </cell>
          <cell r="BB349" t="str">
            <v>0.6/0.8*1.6*2.4</v>
          </cell>
          <cell r="BC349" t="str">
            <v>0.6*1.4*2.0</v>
          </cell>
          <cell r="BD349" t="str">
            <v>Vibratome</v>
          </cell>
          <cell r="BE349">
            <v>4</v>
          </cell>
          <cell r="BF349" t="str">
            <v>Syam</v>
          </cell>
          <cell r="BG349" t="str">
            <v>Y</v>
          </cell>
        </row>
        <row r="350">
          <cell r="A350" t="str">
            <v>FBR1T220251</v>
          </cell>
          <cell r="B350">
            <v>220251</v>
          </cell>
          <cell r="C350" t="str">
            <v>R&amp;D</v>
          </cell>
          <cell r="D350">
            <v>44886</v>
          </cell>
          <cell r="E350">
            <v>0.60416666666666663</v>
          </cell>
          <cell r="F350">
            <v>44866</v>
          </cell>
          <cell r="G350">
            <v>44886</v>
          </cell>
          <cell r="H350">
            <v>0.63194444444444442</v>
          </cell>
          <cell r="I350">
            <v>2.7777777777777776E-2</v>
          </cell>
          <cell r="J350">
            <v>28</v>
          </cell>
          <cell r="K350" t="str">
            <v>FCB-PROTOCOL-01</v>
          </cell>
          <cell r="L350" t="str">
            <v>HN026</v>
          </cell>
          <cell r="M350" t="str">
            <v>Y</v>
          </cell>
          <cell r="N350" t="str">
            <v>cc Study(1T)</v>
          </cell>
          <cell r="O350" t="str">
            <v>Internal R&amp;D</v>
          </cell>
          <cell r="P350" t="str">
            <v>Q1 Passed</v>
          </cell>
          <cell r="Q350" t="str">
            <v>Q1 Passed</v>
          </cell>
          <cell r="R350" t="str">
            <v>Q1.5 Passed</v>
          </cell>
          <cell r="S350" t="str">
            <v>Q1.5 Passed</v>
          </cell>
          <cell r="V350" t="str">
            <v>Tumor content 40-90%, immune component high</v>
          </cell>
          <cell r="W350" t="str">
            <v>Government Hospital</v>
          </cell>
          <cell r="X350" t="str">
            <v>Mazumdar Shaw Medical Centre, Bangalore</v>
          </cell>
          <cell r="Y350" t="str">
            <v>Mazumdar Shaw Medical Centre, Bangalore</v>
          </cell>
          <cell r="Z350" t="str">
            <v>Dr Vijay Pillai, Bangalore</v>
          </cell>
          <cell r="AA350" t="str">
            <v>HNSCC</v>
          </cell>
          <cell r="AC350" t="str">
            <v>Tongue</v>
          </cell>
          <cell r="AD350" t="str">
            <v>Right Lateral Border of Tongue</v>
          </cell>
          <cell r="AE350" t="str">
            <v>Male</v>
          </cell>
          <cell r="AF350">
            <v>42</v>
          </cell>
          <cell r="AG350" t="str">
            <v>N</v>
          </cell>
          <cell r="AH350">
            <v>5.0999999999999996</v>
          </cell>
          <cell r="AI350" t="str">
            <v>Shashi</v>
          </cell>
          <cell r="AJ350" t="str">
            <v>Surgery</v>
          </cell>
          <cell r="AK350" t="str">
            <v>Primary</v>
          </cell>
          <cell r="AN350">
            <v>4</v>
          </cell>
          <cell r="AO350">
            <v>2</v>
          </cell>
          <cell r="AP350" t="str">
            <v xml:space="preserve"> pT4a N3b</v>
          </cell>
          <cell r="AS350" t="str">
            <v xml:space="preserve">Moderately differentiated squamous cell carcinoma (grade 2) with
clear resection margins </v>
          </cell>
          <cell r="AV350">
            <v>44886</v>
          </cell>
          <cell r="AW350">
            <v>0.65277777777777779</v>
          </cell>
          <cell r="AX350">
            <v>0.83333333333333337</v>
          </cell>
          <cell r="AY350">
            <v>0.18055555555555555</v>
          </cell>
          <cell r="AZ350">
            <v>0.2013888888888889</v>
          </cell>
          <cell r="BA350">
            <v>0.22916666666666666</v>
          </cell>
          <cell r="BB350" t="str">
            <v>0.8*1.0/0.8*1.2/1.0</v>
          </cell>
          <cell r="BC350" t="str">
            <v>0.8*1.0/0.8*1.2/1.0</v>
          </cell>
          <cell r="BD350" t="str">
            <v>Vibratome</v>
          </cell>
          <cell r="BE350">
            <v>4</v>
          </cell>
          <cell r="BF350" t="str">
            <v>chandan</v>
          </cell>
          <cell r="BG350" t="str">
            <v>Y</v>
          </cell>
        </row>
        <row r="351">
          <cell r="A351" t="str">
            <v>FBR1Q220252</v>
          </cell>
          <cell r="B351">
            <v>220252</v>
          </cell>
          <cell r="C351" t="str">
            <v>R&amp;D</v>
          </cell>
          <cell r="D351">
            <v>44887</v>
          </cell>
          <cell r="E351">
            <v>0.60277777777777775</v>
          </cell>
          <cell r="F351">
            <v>44866</v>
          </cell>
          <cell r="G351">
            <v>44887</v>
          </cell>
          <cell r="H351">
            <v>0.65486111111111112</v>
          </cell>
          <cell r="I351">
            <v>5.2083333333333336E-2</v>
          </cell>
          <cell r="J351">
            <v>6</v>
          </cell>
          <cell r="K351" t="str">
            <v>FCB-PROTOCOL-02</v>
          </cell>
          <cell r="L351" t="str">
            <v>VYD/134</v>
          </cell>
          <cell r="M351" t="str">
            <v>Y</v>
          </cell>
          <cell r="N351" t="str">
            <v>COSV4.1-CaBR</v>
          </cell>
          <cell r="O351" t="str">
            <v>Internal R&amp;D</v>
          </cell>
          <cell r="P351" t="str">
            <v>Q1 Passed</v>
          </cell>
          <cell r="Q351" t="str">
            <v>Q1 Passed</v>
          </cell>
          <cell r="R351" t="str">
            <v>Q1.5 Passed</v>
          </cell>
          <cell r="S351" t="str">
            <v>Q1.5 Passed</v>
          </cell>
          <cell r="V351" t="str">
            <v>Tumor in 7 explants Trace-70%</v>
          </cell>
          <cell r="W351" t="str">
            <v>Private Hospital</v>
          </cell>
          <cell r="X351" t="str">
            <v>Vydehi Hospital, Bangalore</v>
          </cell>
          <cell r="Y351" t="str">
            <v>Vydehi Hospital, Bangalore</v>
          </cell>
          <cell r="Z351" t="str">
            <v>Dr Amritha Prabha, Bangalore</v>
          </cell>
          <cell r="AA351" t="str">
            <v>Ca Breast</v>
          </cell>
          <cell r="AB351" t="str">
            <v>TNBC</v>
          </cell>
          <cell r="AC351" t="str">
            <v>Breast</v>
          </cell>
          <cell r="AD351" t="str">
            <v>Right Breast</v>
          </cell>
          <cell r="AE351" t="str">
            <v>Female</v>
          </cell>
          <cell r="AF351">
            <v>55</v>
          </cell>
          <cell r="AG351" t="str">
            <v>N</v>
          </cell>
          <cell r="AH351">
            <v>4.0999999999999996</v>
          </cell>
          <cell r="AI351" t="str">
            <v>Kalappa</v>
          </cell>
          <cell r="AJ351" t="str">
            <v>Surgery</v>
          </cell>
          <cell r="AK351" t="str">
            <v>Primary</v>
          </cell>
          <cell r="AV351">
            <v>44887</v>
          </cell>
          <cell r="AW351">
            <v>0.67708333333333337</v>
          </cell>
          <cell r="AX351">
            <v>0.75</v>
          </cell>
          <cell r="AY351">
            <v>7.2916666666666671E-2</v>
          </cell>
          <cell r="AZ351">
            <v>9.5138888888888884E-2</v>
          </cell>
          <cell r="BA351">
            <v>0.14722222222222223</v>
          </cell>
          <cell r="BB351" t="str">
            <v>0.3*1.8*1.4</v>
          </cell>
          <cell r="BC351" t="str">
            <v>0.3*1.8*1.4</v>
          </cell>
          <cell r="BD351" t="str">
            <v>Manual</v>
          </cell>
          <cell r="BE351">
            <v>4</v>
          </cell>
          <cell r="BF351" t="str">
            <v>Biswajit</v>
          </cell>
          <cell r="BG351" t="str">
            <v>Y</v>
          </cell>
        </row>
        <row r="352">
          <cell r="A352" t="str">
            <v>FBR1T220253</v>
          </cell>
          <cell r="B352">
            <v>220253</v>
          </cell>
          <cell r="C352" t="str">
            <v>R&amp;D</v>
          </cell>
          <cell r="D352">
            <v>44889</v>
          </cell>
          <cell r="E352">
            <v>0.45763888888888887</v>
          </cell>
          <cell r="F352">
            <v>44866</v>
          </cell>
          <cell r="G352">
            <v>44889</v>
          </cell>
          <cell r="H352">
            <v>0.57361111111111107</v>
          </cell>
          <cell r="I352">
            <v>0.11597222222222223</v>
          </cell>
          <cell r="J352">
            <v>3</v>
          </cell>
          <cell r="K352" t="str">
            <v>FCB-PROTOCOL-02</v>
          </cell>
          <cell r="L352" t="str">
            <v>VYD/135</v>
          </cell>
          <cell r="M352" t="str">
            <v>Y</v>
          </cell>
          <cell r="N352" t="str">
            <v>cc Study(1T)</v>
          </cell>
          <cell r="O352" t="str">
            <v>Internal R&amp;D</v>
          </cell>
          <cell r="P352" t="str">
            <v>Q1 Passed</v>
          </cell>
          <cell r="Q352" t="str">
            <v>Q1 Passed</v>
          </cell>
          <cell r="R352" t="str">
            <v>Q1.5 Passed</v>
          </cell>
          <cell r="S352" t="str">
            <v>Q1.5 Passed</v>
          </cell>
          <cell r="V352" t="str">
            <v>Tumor content 15-80% , immune content 8-30%</v>
          </cell>
          <cell r="W352" t="str">
            <v>Private Hospital</v>
          </cell>
          <cell r="X352" t="str">
            <v>Vydehi Hospital, Bangalore</v>
          </cell>
          <cell r="Y352" t="str">
            <v>Vydehi Hospital, Bangalore</v>
          </cell>
          <cell r="Z352" t="str">
            <v>Dr Amritha Prabha, Bangalore</v>
          </cell>
          <cell r="AA352" t="str">
            <v>HNSCC</v>
          </cell>
          <cell r="AC352" t="str">
            <v>alveolus</v>
          </cell>
          <cell r="AD352" t="str">
            <v>right lower GB alveolus</v>
          </cell>
          <cell r="AE352" t="str">
            <v>Female</v>
          </cell>
          <cell r="AF352">
            <v>50</v>
          </cell>
          <cell r="AG352" t="str">
            <v>N</v>
          </cell>
          <cell r="AH352">
            <v>4.3</v>
          </cell>
          <cell r="AI352" t="str">
            <v>Maruthi</v>
          </cell>
          <cell r="AJ352" t="str">
            <v>Surgery</v>
          </cell>
          <cell r="AK352" t="str">
            <v>Primary</v>
          </cell>
          <cell r="AV352">
            <v>44889</v>
          </cell>
          <cell r="AW352">
            <v>0.60416666666666663</v>
          </cell>
          <cell r="AX352">
            <v>0.72916666666666663</v>
          </cell>
          <cell r="AY352">
            <v>0.125</v>
          </cell>
          <cell r="AZ352">
            <v>0.15555555555555556</v>
          </cell>
          <cell r="BA352">
            <v>0.27152777777777776</v>
          </cell>
          <cell r="BB352" t="str">
            <v>1.0*1.1*1.8</v>
          </cell>
          <cell r="BC352" t="str">
            <v>1.0*1.1*1.8</v>
          </cell>
          <cell r="BD352" t="str">
            <v>Vibratome</v>
          </cell>
          <cell r="BE352">
            <v>4</v>
          </cell>
          <cell r="BF352" t="str">
            <v>Rajashekhar</v>
          </cell>
          <cell r="BG352" t="str">
            <v>Y</v>
          </cell>
        </row>
        <row r="353">
          <cell r="A353" t="str">
            <v>FBR1V220253</v>
          </cell>
          <cell r="B353">
            <v>220253</v>
          </cell>
          <cell r="C353" t="str">
            <v>R&amp;D</v>
          </cell>
          <cell r="D353">
            <v>44889</v>
          </cell>
          <cell r="E353">
            <v>0.45763888888888887</v>
          </cell>
          <cell r="F353">
            <v>44866</v>
          </cell>
          <cell r="G353">
            <v>44889</v>
          </cell>
          <cell r="H353">
            <v>0.57361111111111107</v>
          </cell>
          <cell r="I353">
            <v>0.11597222222222223</v>
          </cell>
          <cell r="J353">
            <v>3</v>
          </cell>
          <cell r="K353" t="str">
            <v>FCB-PROTOCOL-02</v>
          </cell>
          <cell r="L353" t="str">
            <v>VYD/135</v>
          </cell>
          <cell r="M353" t="str">
            <v>Y</v>
          </cell>
          <cell r="N353" t="str">
            <v>TPC (1V)</v>
          </cell>
          <cell r="O353" t="str">
            <v>Internal R&amp;D</v>
          </cell>
          <cell r="P353" t="str">
            <v>Q1 Passed</v>
          </cell>
          <cell r="Q353" t="str">
            <v>Q1 Passed</v>
          </cell>
          <cell r="R353" t="str">
            <v>Q1.5 Passed</v>
          </cell>
          <cell r="S353" t="str">
            <v>Q1.5 Passed</v>
          </cell>
          <cell r="W353" t="str">
            <v>Private Hospital</v>
          </cell>
          <cell r="X353" t="str">
            <v>Vydehi Hospital, Bangalore</v>
          </cell>
          <cell r="Y353" t="str">
            <v>Vydehi Hospital, Bangalore</v>
          </cell>
          <cell r="Z353" t="str">
            <v>Dr Amritha Prabha, Bangalore</v>
          </cell>
          <cell r="AA353" t="str">
            <v>HNSCC</v>
          </cell>
          <cell r="AC353" t="str">
            <v>alveolus</v>
          </cell>
          <cell r="AD353" t="str">
            <v>right lower GB alveolus</v>
          </cell>
          <cell r="AE353" t="str">
            <v>Female</v>
          </cell>
          <cell r="AF353">
            <v>50</v>
          </cell>
          <cell r="AG353" t="str">
            <v>N</v>
          </cell>
          <cell r="AH353">
            <v>4.3</v>
          </cell>
          <cell r="AI353" t="str">
            <v>Maruthi</v>
          </cell>
          <cell r="AJ353" t="str">
            <v>Surgery</v>
          </cell>
          <cell r="AK353" t="str">
            <v>Primary</v>
          </cell>
          <cell r="AV353">
            <v>44889</v>
          </cell>
          <cell r="AW353">
            <v>0.60416666666666663</v>
          </cell>
          <cell r="AX353">
            <v>0.72916666666666663</v>
          </cell>
          <cell r="AY353">
            <v>0.125</v>
          </cell>
          <cell r="AZ353">
            <v>0.15555555555555556</v>
          </cell>
          <cell r="BA353">
            <v>0.27152777777777776</v>
          </cell>
          <cell r="BB353" t="str">
            <v>1.0*1.1*1.8</v>
          </cell>
          <cell r="BC353" t="str">
            <v>1.0*1.1*1.8</v>
          </cell>
          <cell r="BD353" t="str">
            <v>Vibratome</v>
          </cell>
          <cell r="BE353">
            <v>4</v>
          </cell>
          <cell r="BF353" t="str">
            <v>Rajashekhar</v>
          </cell>
          <cell r="BG353" t="str">
            <v>Y</v>
          </cell>
        </row>
        <row r="354">
          <cell r="A354" t="str">
            <v>FBR1T220254</v>
          </cell>
          <cell r="B354">
            <v>220254</v>
          </cell>
          <cell r="C354" t="str">
            <v>R&amp;D</v>
          </cell>
          <cell r="D354">
            <v>44889</v>
          </cell>
          <cell r="E354">
            <v>0.66666666666666663</v>
          </cell>
          <cell r="F354">
            <v>44866</v>
          </cell>
          <cell r="G354">
            <v>44889</v>
          </cell>
          <cell r="H354">
            <v>0.82430555555555551</v>
          </cell>
          <cell r="I354">
            <v>0.15763888888888888</v>
          </cell>
          <cell r="J354">
            <v>10</v>
          </cell>
          <cell r="K354" t="str">
            <v>MBT-TB-070_v2.0</v>
          </cell>
          <cell r="L354" t="str">
            <v>BBH018</v>
          </cell>
          <cell r="M354" t="str">
            <v>Y</v>
          </cell>
          <cell r="N354" t="str">
            <v>cc Study(1T)</v>
          </cell>
          <cell r="O354" t="str">
            <v>Internal R&amp;D</v>
          </cell>
          <cell r="P354" t="str">
            <v>Q1 Passed</v>
          </cell>
          <cell r="Q354" t="str">
            <v>Q1 Passed</v>
          </cell>
          <cell r="R354" t="str">
            <v>Q1.5 Passed</v>
          </cell>
          <cell r="S354" t="str">
            <v>Q1.5 Passed</v>
          </cell>
          <cell r="V354" t="str">
            <v xml:space="preserve">Tumor content 20-80%  </v>
          </cell>
          <cell r="W354" t="str">
            <v>Private Hospital</v>
          </cell>
          <cell r="X354" t="str">
            <v>Bangalore Baptist Hospital, Bangalore</v>
          </cell>
          <cell r="Y354" t="str">
            <v>Bangalore Baptist Hospital, Bangalore</v>
          </cell>
          <cell r="Z354" t="str">
            <v>Dr BV Manjula, Bangalore</v>
          </cell>
          <cell r="AA354" t="str">
            <v>HNSCC</v>
          </cell>
          <cell r="AC354" t="str">
            <v>Tongue</v>
          </cell>
          <cell r="AD354" t="str">
            <v>Tongue</v>
          </cell>
          <cell r="AE354" t="str">
            <v>Female</v>
          </cell>
          <cell r="AF354">
            <v>42</v>
          </cell>
          <cell r="AG354" t="str">
            <v>N</v>
          </cell>
          <cell r="AH354">
            <v>6.1</v>
          </cell>
          <cell r="AI354" t="str">
            <v>Partha</v>
          </cell>
          <cell r="AJ354" t="str">
            <v>Surgery</v>
          </cell>
          <cell r="AK354" t="str">
            <v>Primary</v>
          </cell>
          <cell r="AV354">
            <v>44889</v>
          </cell>
          <cell r="AW354">
            <v>0.85486111111111107</v>
          </cell>
          <cell r="AX354">
            <v>0.93125000000000002</v>
          </cell>
          <cell r="AY354">
            <v>7.6388888888888895E-2</v>
          </cell>
          <cell r="AZ354">
            <v>0.10694444444444444</v>
          </cell>
          <cell r="BA354">
            <v>0.26458333333333334</v>
          </cell>
          <cell r="BB354" t="str">
            <v>0.8*0.8*1.0</v>
          </cell>
          <cell r="BC354" t="str">
            <v>0.8*0.8*1.0</v>
          </cell>
          <cell r="BD354" t="str">
            <v>Vibratome</v>
          </cell>
          <cell r="BE354">
            <v>4</v>
          </cell>
          <cell r="BF354" t="str">
            <v>Biswajit</v>
          </cell>
          <cell r="BG354" t="str">
            <v>Y</v>
          </cell>
        </row>
        <row r="355">
          <cell r="A355" t="str">
            <v>FBR1R220254</v>
          </cell>
          <cell r="B355">
            <v>220254</v>
          </cell>
          <cell r="C355" t="str">
            <v>R&amp;D</v>
          </cell>
          <cell r="D355">
            <v>44889</v>
          </cell>
          <cell r="E355">
            <v>0.66666666666666663</v>
          </cell>
          <cell r="F355">
            <v>44866</v>
          </cell>
          <cell r="G355">
            <v>44889</v>
          </cell>
          <cell r="H355">
            <v>0.82430555555555551</v>
          </cell>
          <cell r="I355">
            <v>0.15763888888888888</v>
          </cell>
          <cell r="J355">
            <v>10</v>
          </cell>
          <cell r="K355" t="str">
            <v>MBT-TB-070_v2.0</v>
          </cell>
          <cell r="L355" t="str">
            <v>BBH018</v>
          </cell>
          <cell r="M355" t="str">
            <v>Y</v>
          </cell>
          <cell r="N355" t="str">
            <v>BSS(1R)</v>
          </cell>
          <cell r="O355" t="str">
            <v>Internal R&amp;D</v>
          </cell>
          <cell r="P355" t="str">
            <v>Q1 Passed</v>
          </cell>
          <cell r="Q355" t="str">
            <v>Q1 Passed</v>
          </cell>
          <cell r="R355" t="str">
            <v>Q1.5 Passed</v>
          </cell>
          <cell r="S355" t="str">
            <v>Q1.5 Passed</v>
          </cell>
          <cell r="V355" t="str">
            <v>Tumor content 3-30% in 3/6 explants; others no tumor</v>
          </cell>
          <cell r="W355" t="str">
            <v>Private Hospital</v>
          </cell>
          <cell r="X355" t="str">
            <v>Bangalore Baptist Hospital, Bangalore</v>
          </cell>
          <cell r="Y355" t="str">
            <v>Bangalore Baptist Hospital, Bangalore</v>
          </cell>
          <cell r="Z355" t="str">
            <v>Dr BV Manjula, Bangalore</v>
          </cell>
          <cell r="AA355" t="str">
            <v>HNSCC</v>
          </cell>
          <cell r="AC355" t="str">
            <v>Tongue</v>
          </cell>
          <cell r="AD355" t="str">
            <v>Tongue</v>
          </cell>
          <cell r="AE355" t="str">
            <v>Female</v>
          </cell>
          <cell r="AF355">
            <v>42</v>
          </cell>
          <cell r="AG355" t="str">
            <v>N</v>
          </cell>
          <cell r="AH355">
            <v>6.1</v>
          </cell>
          <cell r="AI355" t="str">
            <v>Partha</v>
          </cell>
          <cell r="AJ355" t="str">
            <v>Surgery</v>
          </cell>
          <cell r="AK355" t="str">
            <v>Primary</v>
          </cell>
          <cell r="AV355">
            <v>44889</v>
          </cell>
          <cell r="AW355">
            <v>0.85486111111111107</v>
          </cell>
          <cell r="AX355">
            <v>0.93125000000000002</v>
          </cell>
          <cell r="AY355">
            <v>7.6388888888888895E-2</v>
          </cell>
          <cell r="AZ355">
            <v>0.10694444444444444</v>
          </cell>
          <cell r="BA355">
            <v>0.26458333333333334</v>
          </cell>
          <cell r="BB355" t="str">
            <v>0.8*0.8*1.0</v>
          </cell>
          <cell r="BC355" t="str">
            <v>0.8*0.8*1.0</v>
          </cell>
          <cell r="BD355" t="str">
            <v>Vibratome</v>
          </cell>
          <cell r="BE355">
            <v>4</v>
          </cell>
          <cell r="BF355" t="str">
            <v>Biswajit</v>
          </cell>
          <cell r="BG355" t="str">
            <v>Y</v>
          </cell>
        </row>
        <row r="356">
          <cell r="A356" t="str">
            <v>FBR1T220255</v>
          </cell>
          <cell r="B356">
            <v>220255</v>
          </cell>
          <cell r="C356" t="str">
            <v>R&amp;D</v>
          </cell>
          <cell r="D356">
            <v>44890</v>
          </cell>
          <cell r="E356">
            <v>0.55902777777777779</v>
          </cell>
          <cell r="F356">
            <v>44866</v>
          </cell>
          <cell r="G356">
            <v>44890</v>
          </cell>
          <cell r="H356">
            <v>0.62222222222222223</v>
          </cell>
          <cell r="I356">
            <v>6.3194444444444442E-2</v>
          </cell>
          <cell r="J356">
            <v>10</v>
          </cell>
          <cell r="K356" t="str">
            <v>FCB-PROTOCOL-01</v>
          </cell>
          <cell r="L356" t="str">
            <v>HN027</v>
          </cell>
          <cell r="M356" t="str">
            <v>Y</v>
          </cell>
          <cell r="N356" t="str">
            <v>cc Study(1T)</v>
          </cell>
          <cell r="O356" t="str">
            <v>Internal R&amp;D</v>
          </cell>
          <cell r="P356" t="str">
            <v>Q1 Passed</v>
          </cell>
          <cell r="Q356" t="str">
            <v>Q1 Passed</v>
          </cell>
          <cell r="R356" t="str">
            <v>Q1.5 Passed</v>
          </cell>
          <cell r="S356" t="str">
            <v>Q1.5 Passed</v>
          </cell>
          <cell r="V356" t="str">
            <v>Tumor content 4-15%.Immune component 4-15%, most explants have &gt;5% immune cells.</v>
          </cell>
          <cell r="W356" t="str">
            <v>Government Hospital</v>
          </cell>
          <cell r="X356" t="str">
            <v>Mazumdar Shaw Medical Centre, Bangalore</v>
          </cell>
          <cell r="Y356" t="str">
            <v>Mazumdar Shaw Medical Centre, Bangalore</v>
          </cell>
          <cell r="Z356" t="str">
            <v>Dr Vijay Pillai, Bangalore</v>
          </cell>
          <cell r="AA356" t="str">
            <v>HNSCC</v>
          </cell>
          <cell r="AC356" t="str">
            <v>Buccal Mucosa</v>
          </cell>
          <cell r="AD356" t="str">
            <v>Right Buccal Mucosa</v>
          </cell>
          <cell r="AE356" t="str">
            <v>Male</v>
          </cell>
          <cell r="AF356">
            <v>41</v>
          </cell>
          <cell r="AG356" t="str">
            <v>N</v>
          </cell>
          <cell r="AH356">
            <v>2.8</v>
          </cell>
          <cell r="AI356" t="str">
            <v>Partha</v>
          </cell>
          <cell r="AJ356" t="str">
            <v>Surgery</v>
          </cell>
          <cell r="AK356" t="str">
            <v>Primary</v>
          </cell>
          <cell r="AN356">
            <v>4</v>
          </cell>
          <cell r="AO356">
            <v>2</v>
          </cell>
          <cell r="AP356" t="str">
            <v>pT4b N2a</v>
          </cell>
          <cell r="AS356" t="str">
            <v>Moderately differentiated squamous cell carcinoma (grade 2) with
clear resection margins</v>
          </cell>
          <cell r="AV356">
            <v>44890</v>
          </cell>
          <cell r="AW356">
            <v>0.62916666666666665</v>
          </cell>
          <cell r="AX356">
            <v>0.71875</v>
          </cell>
          <cell r="AY356">
            <v>8.9583333333333334E-2</v>
          </cell>
          <cell r="AZ356">
            <v>9.6527777777777782E-2</v>
          </cell>
          <cell r="BA356">
            <v>0.15972222222222221</v>
          </cell>
          <cell r="BB356" t="str">
            <v>0.6*1.2*1.3</v>
          </cell>
          <cell r="BC356" t="str">
            <v>0.6*1.2*1.3</v>
          </cell>
          <cell r="BD356" t="str">
            <v>Vibratome</v>
          </cell>
          <cell r="BE356">
            <v>4</v>
          </cell>
          <cell r="BF356" t="str">
            <v>Biswajit</v>
          </cell>
          <cell r="BG356" t="str">
            <v>Y</v>
          </cell>
        </row>
        <row r="357">
          <cell r="A357" t="str">
            <v>FBR1V220255</v>
          </cell>
          <cell r="B357">
            <v>220255</v>
          </cell>
          <cell r="C357" t="str">
            <v>R&amp;D</v>
          </cell>
          <cell r="D357">
            <v>44890</v>
          </cell>
          <cell r="E357">
            <v>0.55902777777777779</v>
          </cell>
          <cell r="F357">
            <v>44866</v>
          </cell>
          <cell r="G357">
            <v>44890</v>
          </cell>
          <cell r="H357">
            <v>0.62222222222222223</v>
          </cell>
          <cell r="I357">
            <v>6.3194444444444442E-2</v>
          </cell>
          <cell r="J357">
            <v>10</v>
          </cell>
          <cell r="K357" t="str">
            <v>FCB-PROTOCOL-01</v>
          </cell>
          <cell r="L357" t="str">
            <v>HN027</v>
          </cell>
          <cell r="M357" t="str">
            <v>Y</v>
          </cell>
          <cell r="N357" t="str">
            <v>TPC (1V)</v>
          </cell>
          <cell r="O357" t="str">
            <v>Internal R&amp;D</v>
          </cell>
          <cell r="P357" t="str">
            <v>Q1 Passed</v>
          </cell>
          <cell r="Q357" t="str">
            <v>Q1 Passed</v>
          </cell>
          <cell r="R357" t="str">
            <v>Q1.5 Passed</v>
          </cell>
          <cell r="S357" t="str">
            <v>Q1.5 Passed</v>
          </cell>
          <cell r="W357" t="str">
            <v>Government Hospital</v>
          </cell>
          <cell r="X357" t="str">
            <v>Mazumdar Shaw Medical Centre, Bangalore</v>
          </cell>
          <cell r="Y357" t="str">
            <v>Mazumdar Shaw Medical Centre, Bangalore</v>
          </cell>
          <cell r="Z357" t="str">
            <v>Dr Vijay Pillai, Bangalore</v>
          </cell>
          <cell r="AA357" t="str">
            <v>HNSCC</v>
          </cell>
          <cell r="AC357" t="str">
            <v>Buccal Mucosa</v>
          </cell>
          <cell r="AD357" t="str">
            <v>Right Buccal Mucosa</v>
          </cell>
          <cell r="AE357" t="str">
            <v>Male</v>
          </cell>
          <cell r="AF357">
            <v>41</v>
          </cell>
          <cell r="AG357" t="str">
            <v>N</v>
          </cell>
          <cell r="AH357">
            <v>2.8</v>
          </cell>
          <cell r="AI357" t="str">
            <v>Partha</v>
          </cell>
          <cell r="AJ357" t="str">
            <v>Surgery</v>
          </cell>
          <cell r="AK357" t="str">
            <v>Primary</v>
          </cell>
          <cell r="AN357">
            <v>4</v>
          </cell>
          <cell r="AO357">
            <v>2</v>
          </cell>
          <cell r="AP357" t="str">
            <v>pT4b N2a</v>
          </cell>
          <cell r="AS357" t="str">
            <v>Moderately differentiated squamous cell carcinoma (grade 2) with
clear resection margins</v>
          </cell>
          <cell r="AV357">
            <v>44890</v>
          </cell>
          <cell r="AW357">
            <v>0.62916666666666665</v>
          </cell>
          <cell r="AX357">
            <v>0.71875</v>
          </cell>
          <cell r="AY357">
            <v>8.9583333333333334E-2</v>
          </cell>
          <cell r="AZ357">
            <v>9.6527777777777782E-2</v>
          </cell>
          <cell r="BA357">
            <v>0.15972222222222221</v>
          </cell>
          <cell r="BB357" t="str">
            <v>0.6*1.2*1.3</v>
          </cell>
          <cell r="BC357" t="str">
            <v>0.6*1.2*1.3</v>
          </cell>
          <cell r="BD357" t="str">
            <v>Vibratome</v>
          </cell>
          <cell r="BE357">
            <v>4</v>
          </cell>
          <cell r="BF357" t="str">
            <v>Biswajit</v>
          </cell>
          <cell r="BG357" t="str">
            <v>Y</v>
          </cell>
        </row>
        <row r="358">
          <cell r="A358" t="str">
            <v>FBR1T220256</v>
          </cell>
          <cell r="B358">
            <v>220256</v>
          </cell>
          <cell r="C358" t="str">
            <v>R&amp;D</v>
          </cell>
          <cell r="D358">
            <v>44893</v>
          </cell>
          <cell r="E358">
            <v>0.41805555555555557</v>
          </cell>
          <cell r="F358">
            <v>44866</v>
          </cell>
          <cell r="G358">
            <v>44893</v>
          </cell>
          <cell r="H358">
            <v>0.53888888888888886</v>
          </cell>
          <cell r="I358">
            <v>0.12083333333333333</v>
          </cell>
          <cell r="J358">
            <v>8</v>
          </cell>
          <cell r="K358" t="str">
            <v>FCB-PROTOCOL-02</v>
          </cell>
          <cell r="L358" t="str">
            <v>VYD/136</v>
          </cell>
          <cell r="M358" t="str">
            <v>Y</v>
          </cell>
          <cell r="N358" t="str">
            <v>cc Study(1T)</v>
          </cell>
          <cell r="O358" t="str">
            <v>Internal R&amp;D</v>
          </cell>
          <cell r="P358" t="str">
            <v>Q1 Passed</v>
          </cell>
          <cell r="Q358" t="str">
            <v>Q1 Passed</v>
          </cell>
          <cell r="R358" t="str">
            <v>Q1.5 Passed</v>
          </cell>
          <cell r="S358" t="str">
            <v>Q1.5 Passed</v>
          </cell>
          <cell r="V358" t="str">
            <v>Tumor content 12-85% , immune content 4-15% with 2/6 explants having less than 5% immune cells.</v>
          </cell>
          <cell r="W358" t="str">
            <v>Private Hospital</v>
          </cell>
          <cell r="X358" t="str">
            <v>Vydehi Hospital, Bangalore</v>
          </cell>
          <cell r="Y358" t="str">
            <v>Vydehi Hospital, Bangalore</v>
          </cell>
          <cell r="Z358" t="str">
            <v>Dr Amritha Prabha, Bangalore</v>
          </cell>
          <cell r="AA358" t="str">
            <v>HNSCC</v>
          </cell>
          <cell r="AC358" t="str">
            <v>RMT</v>
          </cell>
          <cell r="AD358" t="str">
            <v>left RMT</v>
          </cell>
          <cell r="AE358" t="str">
            <v>Male</v>
          </cell>
          <cell r="AF358">
            <v>47</v>
          </cell>
          <cell r="AG358" t="str">
            <v>N</v>
          </cell>
          <cell r="AH358">
            <v>3.2</v>
          </cell>
          <cell r="AI358" t="str">
            <v>Kalappa</v>
          </cell>
          <cell r="AJ358" t="str">
            <v>Surgery</v>
          </cell>
          <cell r="AK358" t="str">
            <v>Primary</v>
          </cell>
          <cell r="AL358" t="str">
            <v>Surgery+Radiotherapy</v>
          </cell>
          <cell r="AV358">
            <v>44893</v>
          </cell>
          <cell r="AW358">
            <v>0.5625</v>
          </cell>
          <cell r="AX358">
            <v>0.67013888888888884</v>
          </cell>
          <cell r="AY358">
            <v>0.1076388888888889</v>
          </cell>
          <cell r="AZ358">
            <v>0.13125000000000001</v>
          </cell>
          <cell r="BA358">
            <v>0.25208333333333333</v>
          </cell>
          <cell r="BB358" t="str">
            <v>0.8*1.0*1.2
0.8*0.6*1.0</v>
          </cell>
          <cell r="BC358" t="str">
            <v>0.8*1.0*1.2
0.8*0.6*1.0</v>
          </cell>
          <cell r="BD358" t="str">
            <v>Vibratome</v>
          </cell>
          <cell r="BE358">
            <v>4</v>
          </cell>
          <cell r="BF358" t="str">
            <v>Syam</v>
          </cell>
          <cell r="BG358" t="str">
            <v>Y</v>
          </cell>
        </row>
        <row r="359">
          <cell r="A359" t="str">
            <v>FBR1T220257</v>
          </cell>
          <cell r="B359">
            <v>220257</v>
          </cell>
          <cell r="C359" t="str">
            <v>R&amp;D</v>
          </cell>
          <cell r="D359">
            <v>44893</v>
          </cell>
          <cell r="E359">
            <v>0.60416666666666663</v>
          </cell>
          <cell r="F359">
            <v>44866</v>
          </cell>
          <cell r="G359">
            <v>44893</v>
          </cell>
          <cell r="H359">
            <v>0.70833333333333337</v>
          </cell>
          <cell r="I359">
            <v>0.10416666666666667</v>
          </cell>
          <cell r="J359">
            <v>10</v>
          </cell>
          <cell r="K359" t="str">
            <v>MBT-TB-070_v2.0</v>
          </cell>
          <cell r="L359" t="str">
            <v>BBH019</v>
          </cell>
          <cell r="M359" t="str">
            <v>Y</v>
          </cell>
          <cell r="N359" t="str">
            <v>cc Study(1T)</v>
          </cell>
          <cell r="O359" t="str">
            <v>Internal R&amp;D</v>
          </cell>
          <cell r="P359" t="str">
            <v>Q1 Passed</v>
          </cell>
          <cell r="Q359" t="str">
            <v>Q1 Passed</v>
          </cell>
          <cell r="R359" t="str">
            <v>Q1.5 Passed</v>
          </cell>
          <cell r="S359" t="str">
            <v>Q1.5 Passed</v>
          </cell>
          <cell r="V359" t="str">
            <v xml:space="preserve">Tumor content 30-50% , immune content 3-5% </v>
          </cell>
          <cell r="W359" t="str">
            <v>Private Hospital</v>
          </cell>
          <cell r="X359" t="str">
            <v>Bangalore Baptist Hospital, Bangalore</v>
          </cell>
          <cell r="Y359" t="str">
            <v>Bangalore Baptist Hospital, Bangalore</v>
          </cell>
          <cell r="Z359" t="str">
            <v>Dr BV Manjula, Bangalore</v>
          </cell>
          <cell r="AA359" t="str">
            <v>HNSCC</v>
          </cell>
          <cell r="AC359" t="str">
            <v>Pharynx</v>
          </cell>
          <cell r="AD359" t="str">
            <v>Pharynx</v>
          </cell>
          <cell r="AE359" t="str">
            <v>Male</v>
          </cell>
          <cell r="AF359">
            <v>71</v>
          </cell>
          <cell r="AG359" t="str">
            <v>N</v>
          </cell>
          <cell r="AH359">
            <v>4.0999999999999996</v>
          </cell>
          <cell r="AI359" t="str">
            <v>Partha</v>
          </cell>
          <cell r="AJ359" t="str">
            <v>Surgery</v>
          </cell>
          <cell r="AK359" t="str">
            <v>Primary</v>
          </cell>
          <cell r="AV359">
            <v>44893</v>
          </cell>
          <cell r="AW359">
            <v>0.72222222222222221</v>
          </cell>
          <cell r="AX359">
            <v>0.79166666666666663</v>
          </cell>
          <cell r="AY359">
            <v>6.9444444444444448E-2</v>
          </cell>
          <cell r="AZ359">
            <v>8.3333333333333329E-2</v>
          </cell>
          <cell r="BA359">
            <v>0.1875</v>
          </cell>
          <cell r="BB359" t="str">
            <v>0.4/0.2*1.4*1.4</v>
          </cell>
          <cell r="BC359" t="str">
            <v>0.4/0.2*1.4*1.4</v>
          </cell>
          <cell r="BD359" t="str">
            <v>Vibratome</v>
          </cell>
          <cell r="BE359">
            <v>4</v>
          </cell>
          <cell r="BF359" t="str">
            <v>Gowri</v>
          </cell>
          <cell r="BG359" t="str">
            <v>Y</v>
          </cell>
        </row>
        <row r="360">
          <cell r="A360" t="str">
            <v>FBR1T220258</v>
          </cell>
          <cell r="B360">
            <v>220258</v>
          </cell>
          <cell r="C360" t="str">
            <v>R&amp;D</v>
          </cell>
          <cell r="D360">
            <v>44894</v>
          </cell>
          <cell r="E360">
            <v>0.53125</v>
          </cell>
          <cell r="F360">
            <v>44866</v>
          </cell>
          <cell r="G360">
            <v>44894</v>
          </cell>
          <cell r="H360">
            <v>0.87013888888888891</v>
          </cell>
          <cell r="I360">
            <v>0.33888888888888891</v>
          </cell>
          <cell r="J360">
            <v>40</v>
          </cell>
          <cell r="K360" t="str">
            <v>FCB-PROTOCOL-01</v>
          </cell>
          <cell r="L360" t="str">
            <v>CLN/DBR/128</v>
          </cell>
          <cell r="M360" t="str">
            <v>Y</v>
          </cell>
          <cell r="N360" t="str">
            <v>cc Study(1T)</v>
          </cell>
          <cell r="O360" t="str">
            <v>Internal R&amp;D</v>
          </cell>
          <cell r="P360" t="str">
            <v>Q1 Passed</v>
          </cell>
          <cell r="Q360" t="str">
            <v>Q1 Passed</v>
          </cell>
          <cell r="R360" t="str">
            <v>Q1.5 Passed</v>
          </cell>
          <cell r="S360" t="str">
            <v>Q1.5 Passed</v>
          </cell>
          <cell r="V360" t="str">
            <v xml:space="preserve">Tumor content 60-96% , immune content 3-6% </v>
          </cell>
          <cell r="W360" t="str">
            <v>Clinic'les</v>
          </cell>
          <cell r="X360" t="str">
            <v>Clinic'les- DBR &amp; SK Hospital, Tirupati</v>
          </cell>
          <cell r="Y360" t="str">
            <v>DBR &amp; SK Hospital, Tirupati</v>
          </cell>
          <cell r="Z360" t="str">
            <v>Dr C Jayaprakash, Tirupati</v>
          </cell>
          <cell r="AA360" t="str">
            <v>HNSCC</v>
          </cell>
          <cell r="AC360" t="str">
            <v>Buccal Mucosa</v>
          </cell>
          <cell r="AD360" t="str">
            <v>Buccal Mucosa</v>
          </cell>
          <cell r="AE360" t="str">
            <v>female</v>
          </cell>
          <cell r="AF360">
            <v>69</v>
          </cell>
          <cell r="AG360" t="str">
            <v>N</v>
          </cell>
          <cell r="AH360">
            <v>5.2</v>
          </cell>
          <cell r="AI360" t="str">
            <v>Shashi</v>
          </cell>
          <cell r="AJ360" t="str">
            <v>Surgery</v>
          </cell>
          <cell r="AK360" t="str">
            <v>Primary</v>
          </cell>
          <cell r="AV360">
            <v>44894</v>
          </cell>
          <cell r="AW360">
            <v>0.8833333333333333</v>
          </cell>
          <cell r="AX360">
            <v>0.95694444444444449</v>
          </cell>
          <cell r="AY360">
            <v>7.3611111111111113E-2</v>
          </cell>
          <cell r="AZ360">
            <v>8.6805555555555552E-2</v>
          </cell>
          <cell r="BA360">
            <v>0.42569444444444443</v>
          </cell>
          <cell r="BB360" t="str">
            <v>0.4*1.3*1.5</v>
          </cell>
          <cell r="BC360" t="str">
            <v>0.4*1.3*1.5</v>
          </cell>
          <cell r="BD360" t="str">
            <v>Vibratome</v>
          </cell>
          <cell r="BE360">
            <v>4</v>
          </cell>
          <cell r="BF360" t="str">
            <v>Kowshik</v>
          </cell>
          <cell r="BG360" t="str">
            <v>Y</v>
          </cell>
        </row>
        <row r="361">
          <cell r="A361" t="str">
            <v>FBR1V220258</v>
          </cell>
          <cell r="B361">
            <v>220258</v>
          </cell>
          <cell r="C361" t="str">
            <v>R&amp;D</v>
          </cell>
          <cell r="D361">
            <v>44894</v>
          </cell>
          <cell r="E361">
            <v>0.53125</v>
          </cell>
          <cell r="F361">
            <v>44866</v>
          </cell>
          <cell r="G361">
            <v>44894</v>
          </cell>
          <cell r="H361">
            <v>0.87013888888888891</v>
          </cell>
          <cell r="I361">
            <v>0.33888888888888891</v>
          </cell>
          <cell r="J361">
            <v>40</v>
          </cell>
          <cell r="K361" t="str">
            <v>FCB-PROTOCOL-01</v>
          </cell>
          <cell r="L361" t="str">
            <v>CLN/DBR/128</v>
          </cell>
          <cell r="M361" t="str">
            <v>Y</v>
          </cell>
          <cell r="N361" t="str">
            <v>TPC (1V)</v>
          </cell>
          <cell r="O361" t="str">
            <v>Internal R&amp;D</v>
          </cell>
          <cell r="P361" t="str">
            <v>Q1 Passed</v>
          </cell>
          <cell r="Q361" t="str">
            <v>Q1 Passed</v>
          </cell>
          <cell r="R361" t="str">
            <v>Q1.5 Passed</v>
          </cell>
          <cell r="S361" t="str">
            <v>Q1.5 Passed</v>
          </cell>
          <cell r="W361" t="str">
            <v>Clinic'les</v>
          </cell>
          <cell r="X361" t="str">
            <v>Clinic'les- DBR &amp; SK Hospital, Tirupati</v>
          </cell>
          <cell r="Y361" t="str">
            <v>DBR &amp; SK Hospital, Tirupati</v>
          </cell>
          <cell r="Z361" t="str">
            <v>Dr C Jayaprakash, Tirupati</v>
          </cell>
          <cell r="AA361" t="str">
            <v>HNSCC</v>
          </cell>
          <cell r="AC361" t="str">
            <v>Buccal Mucosa</v>
          </cell>
          <cell r="AD361" t="str">
            <v>Buccal Mucosa</v>
          </cell>
          <cell r="AE361" t="str">
            <v>female</v>
          </cell>
          <cell r="AF361">
            <v>69</v>
          </cell>
          <cell r="AG361" t="str">
            <v>N</v>
          </cell>
          <cell r="AH361">
            <v>5.2</v>
          </cell>
          <cell r="AI361" t="str">
            <v>Shashi</v>
          </cell>
          <cell r="AJ361" t="str">
            <v>Surgery</v>
          </cell>
          <cell r="AK361" t="str">
            <v>Primary</v>
          </cell>
          <cell r="AV361">
            <v>44894</v>
          </cell>
          <cell r="AW361">
            <v>0.8833333333333333</v>
          </cell>
          <cell r="AX361">
            <v>0.95694444444444449</v>
          </cell>
          <cell r="AY361">
            <v>7.3611111111111113E-2</v>
          </cell>
          <cell r="AZ361">
            <v>8.6805555555555552E-2</v>
          </cell>
          <cell r="BA361">
            <v>0.42569444444444443</v>
          </cell>
          <cell r="BB361" t="str">
            <v>0.4*1.3*1.5</v>
          </cell>
          <cell r="BC361" t="str">
            <v>0.4*1.3*1.5</v>
          </cell>
          <cell r="BD361" t="str">
            <v>Vibratome</v>
          </cell>
          <cell r="BE361">
            <v>4</v>
          </cell>
          <cell r="BF361" t="str">
            <v>Kowshik</v>
          </cell>
          <cell r="BG361" t="str">
            <v>Y</v>
          </cell>
        </row>
        <row r="362">
          <cell r="A362" t="str">
            <v>FBR1T220259</v>
          </cell>
          <cell r="B362">
            <v>220259</v>
          </cell>
          <cell r="C362" t="str">
            <v>R&amp;D</v>
          </cell>
          <cell r="D362">
            <v>44896</v>
          </cell>
          <cell r="E362">
            <v>0.5444444444444444</v>
          </cell>
          <cell r="F362">
            <v>44896</v>
          </cell>
          <cell r="G362">
            <v>44896</v>
          </cell>
          <cell r="H362">
            <v>0.59236111111111112</v>
          </cell>
          <cell r="I362">
            <v>4.791666666666667E-2</v>
          </cell>
          <cell r="J362">
            <v>4</v>
          </cell>
          <cell r="K362" t="str">
            <v>FCB-PROTOCOL-01</v>
          </cell>
          <cell r="L362" t="str">
            <v>VYD/137</v>
          </cell>
          <cell r="M362" t="str">
            <v>Y</v>
          </cell>
          <cell r="N362" t="str">
            <v>cc Study(1T)</v>
          </cell>
          <cell r="O362" t="str">
            <v>Internal R&amp;D</v>
          </cell>
          <cell r="P362" t="str">
            <v>Q1 Passed</v>
          </cell>
          <cell r="Q362" t="str">
            <v>Q1 Passed</v>
          </cell>
          <cell r="R362" t="str">
            <v>Q1.5 Passed</v>
          </cell>
          <cell r="S362" t="str">
            <v>Q1.5 Passed</v>
          </cell>
          <cell r="V362" t="str">
            <v>Tumor in 5/7 explants, tumor content 12-85%, immune component 4-20%</v>
          </cell>
          <cell r="W362" t="str">
            <v>Private Hospital</v>
          </cell>
          <cell r="X362" t="str">
            <v>Vydehi Hospital, Bangalore</v>
          </cell>
          <cell r="Y362" t="str">
            <v>Vydehi Hospital, Bangalore</v>
          </cell>
          <cell r="Z362" t="str">
            <v>Dr Amritha Prabha, Bangalore</v>
          </cell>
          <cell r="AA362" t="str">
            <v>HNSCC</v>
          </cell>
          <cell r="AC362" t="str">
            <v>Buccal Mucosa</v>
          </cell>
          <cell r="AD362" t="str">
            <v>Left buccal mucosa</v>
          </cell>
          <cell r="AE362" t="str">
            <v>Female</v>
          </cell>
          <cell r="AF362">
            <v>72</v>
          </cell>
          <cell r="AG362" t="str">
            <v>N</v>
          </cell>
          <cell r="AH362">
            <v>4.3</v>
          </cell>
          <cell r="AI362" t="str">
            <v>Partha</v>
          </cell>
          <cell r="AJ362" t="str">
            <v>Surgery</v>
          </cell>
          <cell r="AK362" t="str">
            <v>Primary</v>
          </cell>
          <cell r="AV362">
            <v>44896</v>
          </cell>
          <cell r="AW362">
            <v>0.61458333333333337</v>
          </cell>
          <cell r="AX362">
            <v>0.71875</v>
          </cell>
          <cell r="AY362">
            <v>0.10416666666666667</v>
          </cell>
          <cell r="AZ362">
            <v>0.12638888888888888</v>
          </cell>
          <cell r="BA362">
            <v>0.17430555555555555</v>
          </cell>
          <cell r="BB362" t="str">
            <v>0.6/0.4*1.8*1.4</v>
          </cell>
          <cell r="BC362" t="str">
            <v>0.6/0.4*1.8*1.4</v>
          </cell>
          <cell r="BD362" t="str">
            <v>Vibratome</v>
          </cell>
          <cell r="BE362">
            <v>4</v>
          </cell>
          <cell r="BF362" t="str">
            <v>Syam</v>
          </cell>
          <cell r="BG362" t="str">
            <v>N</v>
          </cell>
        </row>
        <row r="363">
          <cell r="A363">
            <v>220260</v>
          </cell>
          <cell r="B363">
            <v>220260</v>
          </cell>
          <cell r="C363" t="str">
            <v>R&amp;D</v>
          </cell>
          <cell r="D363">
            <v>44896</v>
          </cell>
          <cell r="E363">
            <v>0.6694444444444444</v>
          </cell>
          <cell r="F363">
            <v>44896</v>
          </cell>
          <cell r="G363">
            <v>44896</v>
          </cell>
          <cell r="H363">
            <v>0.71666666666666667</v>
          </cell>
          <cell r="I363">
            <v>4.7222222222222221E-2</v>
          </cell>
          <cell r="J363">
            <v>0</v>
          </cell>
          <cell r="K363" t="str">
            <v>FCB-PROTOCOL-02</v>
          </cell>
          <cell r="L363" t="str">
            <v>HN028</v>
          </cell>
          <cell r="M363" t="str">
            <v>Y</v>
          </cell>
          <cell r="N363" t="str">
            <v>No Study</v>
          </cell>
          <cell r="O363" t="str">
            <v>1st level attrition</v>
          </cell>
          <cell r="P363" t="str">
            <v>Q1 Rejected</v>
          </cell>
          <cell r="Q363" t="str">
            <v>Q1 Passed</v>
          </cell>
          <cell r="R363" t="str">
            <v>Q1.5 Rejected</v>
          </cell>
          <cell r="S363" t="str">
            <v>Q1.5 Rejected</v>
          </cell>
          <cell r="T363" t="str">
            <v>Very small size biopsy</v>
          </cell>
          <cell r="V363" t="str">
            <v>FFPE</v>
          </cell>
          <cell r="W363" t="str">
            <v>Government Hospital</v>
          </cell>
          <cell r="X363" t="str">
            <v>Mazumdar Shaw Medical Centre, Bangalore</v>
          </cell>
          <cell r="Y363" t="str">
            <v>Mazumdar Shaw Medical Centre, Bangalore</v>
          </cell>
          <cell r="Z363" t="str">
            <v>Dr Vijay Pillai, Bangalore</v>
          </cell>
          <cell r="AA363" t="str">
            <v>HNSCC</v>
          </cell>
          <cell r="AE363" t="str">
            <v>Male</v>
          </cell>
          <cell r="AF363">
            <v>47</v>
          </cell>
          <cell r="AG363" t="str">
            <v>N</v>
          </cell>
          <cell r="AH363">
            <v>4.0999999999999996</v>
          </cell>
          <cell r="AI363" t="str">
            <v>Maruthi</v>
          </cell>
          <cell r="AJ363" t="str">
            <v>Biopsy</v>
          </cell>
          <cell r="AK363" t="str">
            <v>Primary</v>
          </cell>
          <cell r="AV363">
            <v>44896</v>
          </cell>
          <cell r="AW363">
            <v>0.75</v>
          </cell>
          <cell r="BB363" t="str">
            <v>0.1*0.2*0.8</v>
          </cell>
          <cell r="BC363" t="str">
            <v>0.1*0.2*0.8</v>
          </cell>
          <cell r="BE363">
            <v>4</v>
          </cell>
          <cell r="BF363" t="str">
            <v>Mounish</v>
          </cell>
          <cell r="BG363" t="str">
            <v>N</v>
          </cell>
        </row>
        <row r="364">
          <cell r="A364" t="str">
            <v>FBR1M220261</v>
          </cell>
          <cell r="B364">
            <v>220261</v>
          </cell>
          <cell r="C364" t="str">
            <v>R&amp;D</v>
          </cell>
          <cell r="D364">
            <v>44898</v>
          </cell>
          <cell r="E364">
            <v>0.49305555555555558</v>
          </cell>
          <cell r="F364">
            <v>44896</v>
          </cell>
          <cell r="G364">
            <v>44898</v>
          </cell>
          <cell r="H364">
            <v>0.72569444444444442</v>
          </cell>
          <cell r="I364">
            <v>0.2326388888888889</v>
          </cell>
          <cell r="J364">
            <v>20</v>
          </cell>
          <cell r="K364" t="str">
            <v>FCB-PROTOCOL-01</v>
          </cell>
          <cell r="L364" t="str">
            <v>CLN/JSS/009</v>
          </cell>
          <cell r="M364" t="str">
            <v>Y</v>
          </cell>
          <cell r="N364" t="str">
            <v>DMS_RCC(1M)</v>
          </cell>
          <cell r="O364" t="str">
            <v>Internal R&amp;D</v>
          </cell>
          <cell r="P364" t="str">
            <v>Q1 Passed</v>
          </cell>
          <cell r="Q364" t="str">
            <v>Q1 Passed</v>
          </cell>
          <cell r="R364" t="str">
            <v>Q1.5 Passed</v>
          </cell>
          <cell r="S364" t="str">
            <v>Q1.5 Passed</v>
          </cell>
          <cell r="V364" t="str">
            <v>High tumor content in all fragments</v>
          </cell>
          <cell r="W364" t="str">
            <v>Clinic'les</v>
          </cell>
          <cell r="X364" t="str">
            <v>Clinic'les- Dr Ravi Krishnappa, Mysore</v>
          </cell>
          <cell r="Y364" t="str">
            <v>JSS Hospital, Mysore</v>
          </cell>
          <cell r="Z364" t="str">
            <v>Dr Manjunath</v>
          </cell>
          <cell r="AA364" t="str">
            <v>RCC</v>
          </cell>
          <cell r="AC364" t="str">
            <v>Kidney</v>
          </cell>
          <cell r="AD364" t="str">
            <v>right kidney lower pole</v>
          </cell>
          <cell r="AE364" t="str">
            <v>Male</v>
          </cell>
          <cell r="AF364">
            <v>47</v>
          </cell>
          <cell r="AG364" t="str">
            <v>N</v>
          </cell>
          <cell r="AH364">
            <v>5.0999999999999996</v>
          </cell>
          <cell r="AI364" t="str">
            <v>Shashi</v>
          </cell>
          <cell r="AJ364" t="str">
            <v>Surgery</v>
          </cell>
          <cell r="AK364" t="str">
            <v>Primary</v>
          </cell>
          <cell r="AV364">
            <v>44898</v>
          </cell>
          <cell r="AW364">
            <v>0.73333333333333328</v>
          </cell>
          <cell r="AX364">
            <v>0.84375</v>
          </cell>
          <cell r="AY364">
            <v>0.11041666666666666</v>
          </cell>
          <cell r="AZ364">
            <v>0.11805555555555555</v>
          </cell>
          <cell r="BA364">
            <v>0.35069444444444442</v>
          </cell>
          <cell r="BB364" t="str">
            <v>0.9*1.6*1.7</v>
          </cell>
          <cell r="BC364" t="str">
            <v>0.9*1.6*1.7</v>
          </cell>
          <cell r="BD364" t="str">
            <v>Vibratome</v>
          </cell>
          <cell r="BE364">
            <v>4</v>
          </cell>
          <cell r="BF364" t="str">
            <v>Mounish</v>
          </cell>
          <cell r="BG364" t="str">
            <v>Y</v>
          </cell>
        </row>
        <row r="365">
          <cell r="A365" t="str">
            <v>FBR1T220262</v>
          </cell>
          <cell r="B365">
            <v>220262</v>
          </cell>
          <cell r="C365" t="str">
            <v>R&amp;D</v>
          </cell>
          <cell r="D365">
            <v>44900</v>
          </cell>
          <cell r="E365">
            <v>0.61805555555555558</v>
          </cell>
          <cell r="F365">
            <v>44896</v>
          </cell>
          <cell r="G365">
            <v>44900</v>
          </cell>
          <cell r="H365">
            <v>0.66805555555555551</v>
          </cell>
          <cell r="I365">
            <v>0.05</v>
          </cell>
          <cell r="J365">
            <v>12</v>
          </cell>
          <cell r="K365" t="str">
            <v>FCB-PROTOCOL-02</v>
          </cell>
          <cell r="L365" t="str">
            <v>HN029</v>
          </cell>
          <cell r="M365" t="str">
            <v>Y</v>
          </cell>
          <cell r="N365" t="str">
            <v>cc Study(1T)</v>
          </cell>
          <cell r="O365" t="str">
            <v>Internal R&amp;D</v>
          </cell>
          <cell r="P365" t="str">
            <v>Q1 Passed</v>
          </cell>
          <cell r="Q365" t="str">
            <v>Q1 Passed</v>
          </cell>
          <cell r="R365" t="str">
            <v>Q1.5 Passed</v>
          </cell>
          <cell r="S365" t="str">
            <v>Q1.5 Passed</v>
          </cell>
          <cell r="V365" t="str">
            <v>Tumor content 10-90%. Immune component:  4-25% with most explants having &gt;5% immune cells</v>
          </cell>
          <cell r="W365" t="str">
            <v>Government Hospital</v>
          </cell>
          <cell r="X365" t="str">
            <v>Mazumdar Shaw Medical Centre, Bangalore</v>
          </cell>
          <cell r="Y365" t="str">
            <v>Mazumdar Shaw Medical Centre, Bangalore</v>
          </cell>
          <cell r="Z365" t="str">
            <v>Dr Vijay Pillai, Bangalore</v>
          </cell>
          <cell r="AA365" t="str">
            <v>HNSCC</v>
          </cell>
          <cell r="AC365" t="str">
            <v>Tongue</v>
          </cell>
          <cell r="AD365" t="str">
            <v>Right Lateral Border of Tongue</v>
          </cell>
          <cell r="AE365" t="str">
            <v>Male</v>
          </cell>
          <cell r="AF365">
            <v>51</v>
          </cell>
          <cell r="AG365" t="str">
            <v>N</v>
          </cell>
          <cell r="AH365">
            <v>5.2</v>
          </cell>
          <cell r="AI365" t="str">
            <v>Shashi</v>
          </cell>
          <cell r="AJ365" t="str">
            <v>Surgery</v>
          </cell>
          <cell r="AK365" t="str">
            <v>Primary</v>
          </cell>
          <cell r="AL365" t="str">
            <v>Radiotherapy and Chemotherapy</v>
          </cell>
          <cell r="AN365">
            <v>4</v>
          </cell>
          <cell r="AO365">
            <v>2</v>
          </cell>
          <cell r="AP365" t="str">
            <v>pT4a pN1</v>
          </cell>
          <cell r="AQ365">
            <v>3</v>
          </cell>
          <cell r="AR365" t="str">
            <v>NACT,TPF</v>
          </cell>
          <cell r="AS365" t="str">
            <v>Moderately differentiated squamous cell carcinoma</v>
          </cell>
          <cell r="AV365">
            <v>44900</v>
          </cell>
          <cell r="AW365">
            <v>0.68055555555555558</v>
          </cell>
          <cell r="AX365">
            <v>0.77430555555555558</v>
          </cell>
          <cell r="AY365">
            <v>9.375E-2</v>
          </cell>
          <cell r="AZ365">
            <v>0.10625</v>
          </cell>
          <cell r="BA365">
            <v>0.15625</v>
          </cell>
          <cell r="BB365" t="str">
            <v>0.6/0.8*1.2*2.2</v>
          </cell>
          <cell r="BC365" t="str">
            <v>0.6/0.8*1.2*2.2</v>
          </cell>
          <cell r="BD365" t="str">
            <v>Vibratome</v>
          </cell>
          <cell r="BE365">
            <v>4</v>
          </cell>
          <cell r="BF365" t="str">
            <v>Syam</v>
          </cell>
          <cell r="BG365" t="str">
            <v>Y</v>
          </cell>
        </row>
        <row r="366">
          <cell r="A366" t="str">
            <v>FBR1T220263</v>
          </cell>
          <cell r="B366">
            <v>220263</v>
          </cell>
          <cell r="C366" t="str">
            <v>R&amp;D</v>
          </cell>
          <cell r="D366">
            <v>44902</v>
          </cell>
          <cell r="E366">
            <v>0.52083333333333337</v>
          </cell>
          <cell r="F366">
            <v>44896</v>
          </cell>
          <cell r="G366">
            <v>44902</v>
          </cell>
          <cell r="H366">
            <v>0.59305555555555556</v>
          </cell>
          <cell r="I366">
            <v>7.2222222222222215E-2</v>
          </cell>
          <cell r="J366">
            <v>25</v>
          </cell>
          <cell r="K366" t="str">
            <v>FCB-PROTOCOL-02</v>
          </cell>
          <cell r="L366" t="str">
            <v>HN030</v>
          </cell>
          <cell r="M366" t="str">
            <v>Y</v>
          </cell>
          <cell r="N366" t="str">
            <v>cc Study(1T)</v>
          </cell>
          <cell r="O366" t="str">
            <v>Internal R&amp;D</v>
          </cell>
          <cell r="P366" t="str">
            <v>Q1 Passed</v>
          </cell>
          <cell r="Q366" t="str">
            <v>Q1 Passed</v>
          </cell>
          <cell r="R366" t="str">
            <v>Q1.5 Passed</v>
          </cell>
          <cell r="S366" t="str">
            <v>Q1.5 Passed</v>
          </cell>
          <cell r="V366" t="str">
            <v>High tumor content in most  fragments with good immune prescence</v>
          </cell>
          <cell r="W366" t="str">
            <v>Government Hospital</v>
          </cell>
          <cell r="X366" t="str">
            <v>Mazumdar Shaw Medical Centre, Bangalore</v>
          </cell>
          <cell r="Y366" t="str">
            <v>Mazumdar Shaw Medical Centre, Bangalore</v>
          </cell>
          <cell r="Z366" t="str">
            <v>Dr Vijay Pillai, Bangalore</v>
          </cell>
          <cell r="AA366" t="str">
            <v>HNSCC</v>
          </cell>
          <cell r="AC366" t="str">
            <v>Buccal Mucosa</v>
          </cell>
          <cell r="AD366" t="str">
            <v>right buccal mucosa</v>
          </cell>
          <cell r="AE366" t="str">
            <v>Male</v>
          </cell>
          <cell r="AF366">
            <v>51</v>
          </cell>
          <cell r="AG366" t="str">
            <v>N</v>
          </cell>
          <cell r="AH366">
            <v>5.0999999999999996</v>
          </cell>
          <cell r="AI366" t="str">
            <v>Shashi</v>
          </cell>
          <cell r="AJ366" t="str">
            <v>Surgery</v>
          </cell>
          <cell r="AK366" t="str">
            <v>Primary</v>
          </cell>
          <cell r="AN366">
            <v>4</v>
          </cell>
          <cell r="AO366">
            <v>2</v>
          </cell>
          <cell r="AP366" t="str">
            <v>pT4a pN1</v>
          </cell>
          <cell r="AS366" t="str">
            <v>Moderately differentiated squamous cell carcinoma</v>
          </cell>
          <cell r="AV366">
            <v>44902</v>
          </cell>
          <cell r="AW366">
            <v>0.72222222222222221</v>
          </cell>
          <cell r="AX366">
            <v>0.81944444444444442</v>
          </cell>
          <cell r="AY366">
            <v>9.7222222222222224E-2</v>
          </cell>
          <cell r="AZ366">
            <v>0.22638888888888889</v>
          </cell>
          <cell r="BA366">
            <v>0.2986111111111111</v>
          </cell>
          <cell r="BB366" t="str">
            <v>0.8*1.6/1.4*1.2*1.0</v>
          </cell>
          <cell r="BC366" t="str">
            <v>0.8*1.6/1.4*1.2*1.0</v>
          </cell>
          <cell r="BD366" t="str">
            <v>Vibratome</v>
          </cell>
          <cell r="BE366">
            <v>4</v>
          </cell>
          <cell r="BF366" t="str">
            <v>Mounish</v>
          </cell>
          <cell r="BG366" t="str">
            <v>Y</v>
          </cell>
        </row>
        <row r="367">
          <cell r="A367" t="str">
            <v>FBR1U220263</v>
          </cell>
          <cell r="B367">
            <v>220263</v>
          </cell>
          <cell r="C367" t="str">
            <v>R&amp;D</v>
          </cell>
          <cell r="D367">
            <v>44902</v>
          </cell>
          <cell r="E367">
            <v>0.52083333333333337</v>
          </cell>
          <cell r="F367">
            <v>44896</v>
          </cell>
          <cell r="G367">
            <v>44902</v>
          </cell>
          <cell r="H367">
            <v>0.59305555555555556</v>
          </cell>
          <cell r="I367">
            <v>7.2222222222222215E-2</v>
          </cell>
          <cell r="J367">
            <v>25</v>
          </cell>
          <cell r="K367" t="str">
            <v>FCB-PROTOCOL-02</v>
          </cell>
          <cell r="L367" t="str">
            <v>HN030</v>
          </cell>
          <cell r="M367" t="str">
            <v>Y</v>
          </cell>
          <cell r="N367" t="str">
            <v>AES (1U)</v>
          </cell>
          <cell r="O367" t="str">
            <v>Internal R&amp;D</v>
          </cell>
          <cell r="P367" t="str">
            <v>Q1 Passed</v>
          </cell>
          <cell r="Q367" t="str">
            <v>Q1 Passed</v>
          </cell>
          <cell r="R367" t="str">
            <v>Q1.5 Passed</v>
          </cell>
          <cell r="S367" t="str">
            <v>Q1.5 Passed</v>
          </cell>
          <cell r="W367" t="str">
            <v>Government Hospital</v>
          </cell>
          <cell r="X367" t="str">
            <v>Mazumdar Shaw Medical Centre, Bangalore</v>
          </cell>
          <cell r="Y367" t="str">
            <v>Mazumdar Shaw Medical Centre, Bangalore</v>
          </cell>
          <cell r="Z367" t="str">
            <v>Dr Vijay Pillai, Bangalore</v>
          </cell>
          <cell r="AA367" t="str">
            <v>HNSCC</v>
          </cell>
          <cell r="AC367" t="str">
            <v>Buccal Mucosa</v>
          </cell>
          <cell r="AD367" t="str">
            <v>right buccal mucosa</v>
          </cell>
          <cell r="AE367" t="str">
            <v>Male</v>
          </cell>
          <cell r="AF367">
            <v>61</v>
          </cell>
          <cell r="AG367" t="str">
            <v>N</v>
          </cell>
          <cell r="AH367">
            <v>5.0999999999999996</v>
          </cell>
          <cell r="AI367" t="str">
            <v>Shashi</v>
          </cell>
          <cell r="AJ367" t="str">
            <v>Surgery</v>
          </cell>
          <cell r="AK367" t="str">
            <v>Primary</v>
          </cell>
          <cell r="AN367">
            <v>4</v>
          </cell>
          <cell r="AO367">
            <v>2</v>
          </cell>
          <cell r="AP367" t="str">
            <v>pT4a pN1</v>
          </cell>
          <cell r="AS367" t="str">
            <v>Moderately differentiated squamous cell carcinoma</v>
          </cell>
          <cell r="AV367">
            <v>44902</v>
          </cell>
          <cell r="AW367">
            <v>0.72222222222222221</v>
          </cell>
          <cell r="AX367">
            <v>0.81944444444444442</v>
          </cell>
          <cell r="AY367">
            <v>9.7222222222222224E-2</v>
          </cell>
          <cell r="AZ367">
            <v>0.22638888888888889</v>
          </cell>
          <cell r="BA367">
            <v>0.2986111111111111</v>
          </cell>
          <cell r="BB367" t="str">
            <v>0.8*1.6/1.4*1.2*1.0</v>
          </cell>
          <cell r="BC367" t="str">
            <v>0.8*1.6/1.4*1.2*1.0</v>
          </cell>
          <cell r="BD367" t="str">
            <v>Vibratome</v>
          </cell>
          <cell r="BE367">
            <v>4</v>
          </cell>
          <cell r="BF367" t="str">
            <v>Mounish</v>
          </cell>
          <cell r="BG367" t="str">
            <v>Y</v>
          </cell>
        </row>
        <row r="368">
          <cell r="A368" t="str">
            <v>FBR1T220264</v>
          </cell>
          <cell r="B368">
            <v>220264</v>
          </cell>
          <cell r="C368" t="str">
            <v>R&amp;D</v>
          </cell>
          <cell r="D368">
            <v>44902</v>
          </cell>
          <cell r="E368">
            <v>0.50347222222222221</v>
          </cell>
          <cell r="F368">
            <v>44896</v>
          </cell>
          <cell r="G368">
            <v>44902</v>
          </cell>
          <cell r="H368">
            <v>0.83680555555555558</v>
          </cell>
          <cell r="I368">
            <v>0.33333333333333331</v>
          </cell>
          <cell r="J368">
            <v>30</v>
          </cell>
          <cell r="K368" t="str">
            <v>FCB-PROTOCOL-01</v>
          </cell>
          <cell r="L368" t="str">
            <v>CLN/DBR/129</v>
          </cell>
          <cell r="M368" t="str">
            <v>Y</v>
          </cell>
          <cell r="N368" t="str">
            <v>cc Study(1T)</v>
          </cell>
          <cell r="O368" t="str">
            <v>Internal R&amp;D</v>
          </cell>
          <cell r="P368" t="str">
            <v>Q1 Passed</v>
          </cell>
          <cell r="Q368" t="str">
            <v>Q1 Passed</v>
          </cell>
          <cell r="R368" t="str">
            <v>Q1.5 Passed</v>
          </cell>
          <cell r="S368" t="str">
            <v>Q1.5 Passed</v>
          </cell>
          <cell r="V368" t="str">
            <v>Good tumor content with high immune component</v>
          </cell>
          <cell r="W368" t="str">
            <v>Clinic'les</v>
          </cell>
          <cell r="X368" t="str">
            <v>Clinic'les- DBR &amp; SK Hospital, Tirupati</v>
          </cell>
          <cell r="Y368" t="str">
            <v>DBR &amp; SK Hospital, Tirupati</v>
          </cell>
          <cell r="Z368" t="str">
            <v>Dr C Jayaprakash, Tirupati</v>
          </cell>
          <cell r="AA368" t="str">
            <v>HNSCC</v>
          </cell>
          <cell r="AC368" t="str">
            <v>Buccal Mucosa</v>
          </cell>
          <cell r="AD368" t="str">
            <v>Buccal Mucosa</v>
          </cell>
          <cell r="AE368" t="str">
            <v>Male</v>
          </cell>
          <cell r="AF368">
            <v>39</v>
          </cell>
          <cell r="AG368" t="str">
            <v>N</v>
          </cell>
          <cell r="AH368">
            <v>5.4</v>
          </cell>
          <cell r="AI368" t="str">
            <v>Maruthi</v>
          </cell>
          <cell r="AJ368" t="str">
            <v>Surgery</v>
          </cell>
          <cell r="AK368" t="str">
            <v>Primary</v>
          </cell>
          <cell r="AN368" t="str">
            <v>4a</v>
          </cell>
          <cell r="AP368" t="str">
            <v>pT2N2Mx</v>
          </cell>
          <cell r="AV368">
            <v>44902</v>
          </cell>
          <cell r="AW368">
            <v>0.85069444444444442</v>
          </cell>
          <cell r="AX368">
            <v>0.91666666666666663</v>
          </cell>
          <cell r="AY368">
            <v>6.5972222222222224E-2</v>
          </cell>
          <cell r="AZ368">
            <v>7.9861111111111105E-2</v>
          </cell>
          <cell r="BA368">
            <v>0.41319444444444442</v>
          </cell>
          <cell r="BB368" t="str">
            <v>0.6*0.8*2.6</v>
          </cell>
          <cell r="BC368" t="str">
            <v>0.6*0.8*2.6</v>
          </cell>
          <cell r="BD368" t="str">
            <v>Vibratome</v>
          </cell>
          <cell r="BE368">
            <v>4</v>
          </cell>
          <cell r="BF368" t="str">
            <v>Kowshik</v>
          </cell>
          <cell r="BG368" t="str">
            <v>N</v>
          </cell>
        </row>
        <row r="369">
          <cell r="A369" t="str">
            <v>FBR1V220264</v>
          </cell>
          <cell r="B369">
            <v>220264</v>
          </cell>
          <cell r="C369" t="str">
            <v>R&amp;D</v>
          </cell>
          <cell r="D369">
            <v>44902</v>
          </cell>
          <cell r="E369">
            <v>0.50347222222222221</v>
          </cell>
          <cell r="F369">
            <v>44896</v>
          </cell>
          <cell r="G369">
            <v>44902</v>
          </cell>
          <cell r="H369">
            <v>0.83680555555555558</v>
          </cell>
          <cell r="I369">
            <v>0.33333333333333331</v>
          </cell>
          <cell r="J369">
            <v>30</v>
          </cell>
          <cell r="K369" t="str">
            <v>FCB-PROTOCOL-01</v>
          </cell>
          <cell r="L369" t="str">
            <v>CLN/DBR/129</v>
          </cell>
          <cell r="M369" t="str">
            <v>Y</v>
          </cell>
          <cell r="N369" t="str">
            <v>TPC (1V)</v>
          </cell>
          <cell r="O369" t="str">
            <v>Internal R&amp;D</v>
          </cell>
          <cell r="P369" t="str">
            <v>Q1 Passed</v>
          </cell>
          <cell r="Q369" t="str">
            <v>Q1 Passed</v>
          </cell>
          <cell r="R369" t="str">
            <v>Q1.5 Passed</v>
          </cell>
          <cell r="S369" t="str">
            <v>Q1.5 Passed</v>
          </cell>
          <cell r="W369" t="str">
            <v>Clinic'les</v>
          </cell>
          <cell r="X369" t="str">
            <v>Clinic'les- DBR &amp; SK Hospital, Tirupati</v>
          </cell>
          <cell r="Y369" t="str">
            <v>DBR &amp; SK Hospital, Tirupati</v>
          </cell>
          <cell r="Z369" t="str">
            <v>Dr C Jayaprakash, Tirupati</v>
          </cell>
          <cell r="AA369" t="str">
            <v>HNSCC</v>
          </cell>
          <cell r="AC369" t="str">
            <v>Buccal Mucosa</v>
          </cell>
          <cell r="AD369" t="str">
            <v>Buccal Mucosa</v>
          </cell>
          <cell r="AE369" t="str">
            <v>Male</v>
          </cell>
          <cell r="AF369">
            <v>39</v>
          </cell>
          <cell r="AG369" t="str">
            <v>N</v>
          </cell>
          <cell r="AH369">
            <v>5.4</v>
          </cell>
          <cell r="AI369" t="str">
            <v>Maruthi</v>
          </cell>
          <cell r="AJ369" t="str">
            <v>Surgery</v>
          </cell>
          <cell r="AK369" t="str">
            <v>Primary</v>
          </cell>
          <cell r="AN369" t="str">
            <v>4a</v>
          </cell>
          <cell r="AP369" t="str">
            <v>pT2N2Mx</v>
          </cell>
          <cell r="AV369">
            <v>44902</v>
          </cell>
          <cell r="AW369">
            <v>0.85069444444444442</v>
          </cell>
          <cell r="AX369">
            <v>0.91666666666666663</v>
          </cell>
          <cell r="AY369">
            <v>6.5972222222222224E-2</v>
          </cell>
          <cell r="AZ369">
            <v>7.9861111111111105E-2</v>
          </cell>
          <cell r="BA369">
            <v>0.41319444444444442</v>
          </cell>
          <cell r="BB369" t="str">
            <v>0.6*0.8*2.6</v>
          </cell>
          <cell r="BC369" t="str">
            <v>0.6*0.8*2.6</v>
          </cell>
          <cell r="BD369" t="str">
            <v>Vibratome</v>
          </cell>
          <cell r="BE369">
            <v>4</v>
          </cell>
          <cell r="BF369" t="str">
            <v>Kowshik</v>
          </cell>
          <cell r="BG369" t="str">
            <v>N</v>
          </cell>
        </row>
        <row r="370">
          <cell r="A370" t="str">
            <v>FBR1T220265</v>
          </cell>
          <cell r="B370">
            <v>220265</v>
          </cell>
          <cell r="C370" t="str">
            <v>R&amp;D</v>
          </cell>
          <cell r="D370">
            <v>44904</v>
          </cell>
          <cell r="E370">
            <v>0.57499999999999996</v>
          </cell>
          <cell r="F370">
            <v>44896</v>
          </cell>
          <cell r="G370">
            <v>44904</v>
          </cell>
          <cell r="H370">
            <v>0.64583333333333337</v>
          </cell>
          <cell r="I370">
            <v>7.0833333333333331E-2</v>
          </cell>
          <cell r="J370">
            <v>8</v>
          </cell>
          <cell r="K370" t="str">
            <v>FCB-PROTOCOL-01</v>
          </cell>
          <cell r="L370" t="str">
            <v>VYD/138</v>
          </cell>
          <cell r="M370" t="str">
            <v>Y</v>
          </cell>
          <cell r="N370" t="str">
            <v>cc Study(1T)</v>
          </cell>
          <cell r="O370" t="str">
            <v>Internal R&amp;D</v>
          </cell>
          <cell r="P370" t="str">
            <v>Q1 Passed</v>
          </cell>
          <cell r="Q370" t="str">
            <v>Q1 Passed</v>
          </cell>
          <cell r="R370" t="str">
            <v>Q1.5 Passed</v>
          </cell>
          <cell r="S370" t="str">
            <v>Q1.5 Passed</v>
          </cell>
          <cell r="V370" t="str">
            <v>Tumor content 30-75%</v>
          </cell>
          <cell r="W370" t="str">
            <v>Private Hospital</v>
          </cell>
          <cell r="X370" t="str">
            <v>Vydehi Hospital, Bangalore</v>
          </cell>
          <cell r="Y370" t="str">
            <v>Vydehi Hospital, Bangalore</v>
          </cell>
          <cell r="Z370" t="str">
            <v>Dr Amritha Prabha, Bangalore</v>
          </cell>
          <cell r="AA370" t="str">
            <v>HNSCC</v>
          </cell>
          <cell r="AC370" t="str">
            <v>Buccal Mucosa</v>
          </cell>
          <cell r="AD370" t="str">
            <v>Right buccal mucosa</v>
          </cell>
          <cell r="AE370" t="str">
            <v>Female</v>
          </cell>
          <cell r="AF370">
            <v>57</v>
          </cell>
          <cell r="AG370" t="str">
            <v>N</v>
          </cell>
          <cell r="AH370">
            <v>3.2</v>
          </cell>
          <cell r="AI370" t="str">
            <v>Kalappa</v>
          </cell>
          <cell r="AJ370" t="str">
            <v>Surgery</v>
          </cell>
          <cell r="AK370" t="str">
            <v>Primary</v>
          </cell>
          <cell r="AV370">
            <v>44904</v>
          </cell>
          <cell r="AW370">
            <v>0.66874999999999996</v>
          </cell>
          <cell r="AX370">
            <v>0.77083333333333337</v>
          </cell>
          <cell r="AY370">
            <v>0.10208333333333333</v>
          </cell>
          <cell r="AZ370">
            <v>0.125</v>
          </cell>
          <cell r="BA370">
            <v>0.19583333333333333</v>
          </cell>
          <cell r="BB370" t="str">
            <v>0.8/1.4*1.4*1.5</v>
          </cell>
          <cell r="BC370" t="str">
            <v>0.8/1.4*1.4*1.5</v>
          </cell>
          <cell r="BD370" t="str">
            <v>Vibratome</v>
          </cell>
          <cell r="BE370">
            <v>4</v>
          </cell>
          <cell r="BF370" t="str">
            <v>Kowshik</v>
          </cell>
          <cell r="BG370" t="str">
            <v>Y</v>
          </cell>
        </row>
        <row r="371">
          <cell r="A371">
            <v>220266</v>
          </cell>
          <cell r="B371">
            <v>220266</v>
          </cell>
          <cell r="C371" t="str">
            <v>R&amp;D</v>
          </cell>
          <cell r="D371">
            <v>44907</v>
          </cell>
          <cell r="E371">
            <v>0.57986111111111116</v>
          </cell>
          <cell r="F371">
            <v>44896</v>
          </cell>
          <cell r="G371">
            <v>44907</v>
          </cell>
          <cell r="H371">
            <v>0.61944444444444446</v>
          </cell>
          <cell r="I371">
            <v>3.9583333333333331E-2</v>
          </cell>
          <cell r="J371">
            <v>15</v>
          </cell>
          <cell r="K371" t="str">
            <v>FCB-PROTOCOL-02</v>
          </cell>
          <cell r="L371" t="str">
            <v>HN031</v>
          </cell>
          <cell r="M371" t="str">
            <v>Y</v>
          </cell>
          <cell r="N371" t="str">
            <v>No Study</v>
          </cell>
          <cell r="O371" t="str">
            <v>1st level attrition</v>
          </cell>
          <cell r="P371" t="str">
            <v>Q1 Rejected</v>
          </cell>
          <cell r="Q371" t="str">
            <v>Q1 Passed</v>
          </cell>
          <cell r="R371" t="str">
            <v>Q1.5 Rejected</v>
          </cell>
          <cell r="S371" t="str">
            <v>Q1.5 Rejected</v>
          </cell>
          <cell r="T371" t="str">
            <v>sample has surgical tisue and uneven height</v>
          </cell>
          <cell r="V371" t="str">
            <v>FFPE</v>
          </cell>
          <cell r="W371" t="str">
            <v>Government Hospital</v>
          </cell>
          <cell r="X371" t="str">
            <v>Mazumdar Shaw Medical Centre, Bangalore</v>
          </cell>
          <cell r="Y371" t="str">
            <v>Mazumdar Shaw Medical Centre, Bangalore</v>
          </cell>
          <cell r="Z371" t="str">
            <v>Dr Vijay Pillai, Bangalore</v>
          </cell>
          <cell r="AA371" t="str">
            <v>HNSCC</v>
          </cell>
          <cell r="AC371" t="str">
            <v>Alveolus</v>
          </cell>
          <cell r="AD371" t="str">
            <v>Left Lower Alveolus</v>
          </cell>
          <cell r="AE371" t="str">
            <v>Male</v>
          </cell>
          <cell r="AF371">
            <v>40</v>
          </cell>
          <cell r="AG371" t="str">
            <v>N</v>
          </cell>
          <cell r="AH371">
            <v>5.2</v>
          </cell>
          <cell r="AI371" t="str">
            <v>Kalappa</v>
          </cell>
          <cell r="AJ371" t="str">
            <v>Surgery</v>
          </cell>
          <cell r="AK371" t="str">
            <v>Primary</v>
          </cell>
          <cell r="AV371">
            <v>44907</v>
          </cell>
          <cell r="AW371">
            <v>0.63888888888888884</v>
          </cell>
          <cell r="BB371" t="str">
            <v>0.6/0.8*1.0*0.6</v>
          </cell>
          <cell r="BC371" t="str">
            <v>0.6/0.8*1.0*0.6</v>
          </cell>
          <cell r="BD371" t="str">
            <v>Vibratome</v>
          </cell>
          <cell r="BE371">
            <v>4</v>
          </cell>
          <cell r="BF371" t="str">
            <v>chandan</v>
          </cell>
          <cell r="BG371" t="str">
            <v>N</v>
          </cell>
        </row>
        <row r="372">
          <cell r="A372">
            <v>220267</v>
          </cell>
          <cell r="B372">
            <v>220267</v>
          </cell>
          <cell r="C372" t="str">
            <v>R&amp;D</v>
          </cell>
          <cell r="D372">
            <v>44908</v>
          </cell>
          <cell r="E372">
            <v>0.46805555555555556</v>
          </cell>
          <cell r="F372">
            <v>44896</v>
          </cell>
          <cell r="G372">
            <v>44908</v>
          </cell>
          <cell r="H372">
            <v>0.55694444444444446</v>
          </cell>
          <cell r="I372">
            <v>8.8888888888888892E-2</v>
          </cell>
          <cell r="J372">
            <v>6</v>
          </cell>
          <cell r="K372" t="str">
            <v>FCB-PROTOCOL-01</v>
          </cell>
          <cell r="L372" t="str">
            <v>VYD/139</v>
          </cell>
          <cell r="M372" t="str">
            <v>Y</v>
          </cell>
          <cell r="N372" t="str">
            <v>No Study</v>
          </cell>
          <cell r="O372" t="str">
            <v>1st level attrition</v>
          </cell>
          <cell r="P372" t="str">
            <v>Q1 Rejected</v>
          </cell>
          <cell r="Q372" t="str">
            <v>Q1 Passed</v>
          </cell>
          <cell r="R372" t="str">
            <v>Q1.5 Rejected</v>
          </cell>
          <cell r="S372" t="str">
            <v>Q1.5 Rejected</v>
          </cell>
          <cell r="W372" t="str">
            <v>Private Hospital</v>
          </cell>
          <cell r="X372" t="str">
            <v>Vydehi Hospital, Bangalore</v>
          </cell>
          <cell r="Y372" t="str">
            <v>Vydehi Hospital, Bangalore</v>
          </cell>
          <cell r="Z372" t="str">
            <v>Dr Amritha Prabha, Bangalore</v>
          </cell>
          <cell r="AA372" t="str">
            <v>HNSCC</v>
          </cell>
          <cell r="AC372" t="str">
            <v>Tongue</v>
          </cell>
          <cell r="AD372" t="str">
            <v>Left Lateral Border of Tongue</v>
          </cell>
          <cell r="AE372" t="str">
            <v>Male</v>
          </cell>
          <cell r="AF372">
            <v>62</v>
          </cell>
          <cell r="AG372" t="str">
            <v>N</v>
          </cell>
          <cell r="AH372">
            <v>3.4</v>
          </cell>
          <cell r="AI372" t="str">
            <v>Maruthi</v>
          </cell>
          <cell r="AJ372" t="str">
            <v>Surgery</v>
          </cell>
          <cell r="AK372" t="str">
            <v>Primary</v>
          </cell>
          <cell r="AV372">
            <v>44908</v>
          </cell>
          <cell r="AW372">
            <v>0.68055555555555558</v>
          </cell>
          <cell r="BB372" t="str">
            <v>0.4*0.8*1.3</v>
          </cell>
          <cell r="BC372" t="str">
            <v>0.4*0.8*1.3</v>
          </cell>
          <cell r="BD372" t="str">
            <v>Vibratome</v>
          </cell>
          <cell r="BE372">
            <v>4</v>
          </cell>
          <cell r="BF372" t="str">
            <v>Syam</v>
          </cell>
          <cell r="BG372" t="str">
            <v>Y</v>
          </cell>
        </row>
        <row r="373">
          <cell r="A373" t="str">
            <v>FBR1T220268</v>
          </cell>
          <cell r="B373">
            <v>220268</v>
          </cell>
          <cell r="C373" t="str">
            <v>R&amp;D</v>
          </cell>
          <cell r="D373">
            <v>44910</v>
          </cell>
          <cell r="E373">
            <v>0.51666666666666672</v>
          </cell>
          <cell r="F373">
            <v>44896</v>
          </cell>
          <cell r="G373">
            <v>44910</v>
          </cell>
          <cell r="H373">
            <v>0.57638888888888884</v>
          </cell>
          <cell r="I373">
            <v>5.9722222222222225E-2</v>
          </cell>
          <cell r="J373">
            <v>24</v>
          </cell>
          <cell r="K373" t="str">
            <v>FCB-PROTOCOL-02</v>
          </cell>
          <cell r="L373" t="str">
            <v>HN032</v>
          </cell>
          <cell r="M373" t="str">
            <v>Y</v>
          </cell>
          <cell r="N373" t="str">
            <v>cc Study(1T)</v>
          </cell>
          <cell r="O373" t="str">
            <v>Internal R&amp;D</v>
          </cell>
          <cell r="P373" t="str">
            <v>Q1 Passed</v>
          </cell>
          <cell r="Q373" t="str">
            <v>Q1 Passed</v>
          </cell>
          <cell r="R373" t="str">
            <v>Q1.5 Passed</v>
          </cell>
          <cell r="S373" t="str">
            <v>Q1.5 Passed</v>
          </cell>
          <cell r="V373" t="str">
            <v>Tumorcontent 10-90%. Immune component 6-20%</v>
          </cell>
          <cell r="W373" t="str">
            <v>Government Hospital</v>
          </cell>
          <cell r="X373" t="str">
            <v>Mazumdar Shaw Medical Centre, Bangalore</v>
          </cell>
          <cell r="Y373" t="str">
            <v>Mazumdar Shaw Medical Centre, Bangalore</v>
          </cell>
          <cell r="Z373" t="str">
            <v>Dr Vijay Pillai, Bangalore</v>
          </cell>
          <cell r="AA373" t="str">
            <v>HNSCC</v>
          </cell>
          <cell r="AC373" t="str">
            <v>Buccal Mucosa</v>
          </cell>
          <cell r="AD373" t="str">
            <v>Left Buccal Mucosa</v>
          </cell>
          <cell r="AE373" t="str">
            <v>Female</v>
          </cell>
          <cell r="AF373">
            <v>55</v>
          </cell>
          <cell r="AG373" t="str">
            <v>N</v>
          </cell>
          <cell r="AH373">
            <v>5.0999999999999996</v>
          </cell>
          <cell r="AI373" t="str">
            <v>Shashi</v>
          </cell>
          <cell r="AJ373" t="str">
            <v>Surgery</v>
          </cell>
          <cell r="AK373" t="str">
            <v>Primary</v>
          </cell>
          <cell r="AN373">
            <v>2</v>
          </cell>
          <cell r="AO373">
            <v>1</v>
          </cell>
          <cell r="AP373" t="str">
            <v>pT2pN0</v>
          </cell>
          <cell r="AS373" t="str">
            <v>Well differentiated squamous cell carcinoma with reactive lymph
nodes</v>
          </cell>
          <cell r="AV373">
            <v>44910</v>
          </cell>
          <cell r="AW373">
            <v>0.60416666666666663</v>
          </cell>
          <cell r="AX373">
            <v>0.70833333333333337</v>
          </cell>
          <cell r="AY373">
            <v>0.10416666666666667</v>
          </cell>
          <cell r="AZ373">
            <v>0.13194444444444445</v>
          </cell>
          <cell r="BA373">
            <v>0.19166666666666668</v>
          </cell>
          <cell r="BB373" t="str">
            <v>0.8*1.0*1.0</v>
          </cell>
          <cell r="BC373" t="str">
            <v>0.8*1.0*1.0</v>
          </cell>
          <cell r="BD373" t="str">
            <v>Vibratome</v>
          </cell>
          <cell r="BE373">
            <v>4</v>
          </cell>
          <cell r="BF373" t="str">
            <v>chandan</v>
          </cell>
          <cell r="BG373" t="str">
            <v>Y</v>
          </cell>
        </row>
        <row r="374">
          <cell r="A374" t="str">
            <v>FBR1R220268</v>
          </cell>
          <cell r="B374">
            <v>220268</v>
          </cell>
          <cell r="C374" t="str">
            <v>R&amp;D</v>
          </cell>
          <cell r="D374">
            <v>44910</v>
          </cell>
          <cell r="E374">
            <v>0.51666666666666672</v>
          </cell>
          <cell r="F374">
            <v>44896</v>
          </cell>
          <cell r="G374">
            <v>44910</v>
          </cell>
          <cell r="H374">
            <v>0.57638888888888884</v>
          </cell>
          <cell r="I374">
            <v>5.9722222222222225E-2</v>
          </cell>
          <cell r="J374">
            <v>24</v>
          </cell>
          <cell r="K374" t="str">
            <v>FCB-PROTOCOL-02</v>
          </cell>
          <cell r="L374" t="str">
            <v>HN032</v>
          </cell>
          <cell r="M374" t="str">
            <v>Y</v>
          </cell>
          <cell r="N374" t="str">
            <v>BSS(1R)</v>
          </cell>
          <cell r="O374" t="str">
            <v>Internal R&amp;D</v>
          </cell>
          <cell r="P374" t="str">
            <v>Q1 Passed</v>
          </cell>
          <cell r="Q374" t="str">
            <v>Q1 Passed</v>
          </cell>
          <cell r="R374" t="str">
            <v>Q1.5 Passed</v>
          </cell>
          <cell r="S374" t="str">
            <v>Q1.5 Passed</v>
          </cell>
          <cell r="V374" t="str">
            <v>Tumor content 30-95% in 5/7 explants</v>
          </cell>
          <cell r="W374" t="str">
            <v>Government Hospital</v>
          </cell>
          <cell r="X374" t="str">
            <v>Mazumdar Shaw Medical Centre, Bangalore</v>
          </cell>
          <cell r="Y374" t="str">
            <v>Mazumdar Shaw Medical Centre, Bangalore</v>
          </cell>
          <cell r="Z374" t="str">
            <v>Dr Vijay Pillai, Bangalore</v>
          </cell>
          <cell r="AA374" t="str">
            <v>HNSCC</v>
          </cell>
          <cell r="AC374" t="str">
            <v>Buccal Mucosa</v>
          </cell>
          <cell r="AD374" t="str">
            <v>Left Buccal Mucosa</v>
          </cell>
          <cell r="AE374" t="str">
            <v>Female</v>
          </cell>
          <cell r="AF374">
            <v>55</v>
          </cell>
          <cell r="AG374" t="str">
            <v>N</v>
          </cell>
          <cell r="AH374">
            <v>5.0999999999999996</v>
          </cell>
          <cell r="AI374" t="str">
            <v>Shashi</v>
          </cell>
          <cell r="AJ374" t="str">
            <v>Surgery</v>
          </cell>
          <cell r="AK374" t="str">
            <v>Primary</v>
          </cell>
          <cell r="AN374">
            <v>2</v>
          </cell>
          <cell r="AO374">
            <v>1</v>
          </cell>
          <cell r="AP374" t="str">
            <v>pT2pN0</v>
          </cell>
          <cell r="AS374" t="str">
            <v>Well differentiated squamous cell carcinoma with reactive lymph
nodes</v>
          </cell>
          <cell r="AV374">
            <v>44910</v>
          </cell>
          <cell r="AW374">
            <v>0.60416666666666663</v>
          </cell>
          <cell r="AX374">
            <v>0.70833333333333337</v>
          </cell>
          <cell r="AY374">
            <v>0.10416666666666667</v>
          </cell>
          <cell r="AZ374">
            <v>0.13194444444444445</v>
          </cell>
          <cell r="BA374">
            <v>0.19166666666666668</v>
          </cell>
          <cell r="BB374" t="str">
            <v>0.8*1.0*1.0</v>
          </cell>
          <cell r="BC374" t="str">
            <v>0.8*1.0*1.0</v>
          </cell>
          <cell r="BD374" t="str">
            <v>Vibratome</v>
          </cell>
          <cell r="BE374">
            <v>4</v>
          </cell>
          <cell r="BF374" t="str">
            <v>chandan</v>
          </cell>
          <cell r="BG374" t="str">
            <v>Y</v>
          </cell>
        </row>
        <row r="375">
          <cell r="A375" t="str">
            <v>FBR1R220269</v>
          </cell>
          <cell r="B375">
            <v>220269</v>
          </cell>
          <cell r="C375" t="str">
            <v>R&amp;D</v>
          </cell>
          <cell r="D375">
            <v>44921</v>
          </cell>
          <cell r="E375">
            <v>0.7270833333333333</v>
          </cell>
          <cell r="F375">
            <v>44896</v>
          </cell>
          <cell r="G375">
            <v>44921</v>
          </cell>
          <cell r="H375">
            <v>0.74791666666666667</v>
          </cell>
          <cell r="I375">
            <v>2.0833333333333332E-2</v>
          </cell>
          <cell r="J375">
            <v>37</v>
          </cell>
          <cell r="K375" t="str">
            <v>FCB-PROTOCOL-02</v>
          </cell>
          <cell r="L375" t="str">
            <v>HN033</v>
          </cell>
          <cell r="M375" t="str">
            <v>Y</v>
          </cell>
          <cell r="N375" t="str">
            <v>BSS(1R)</v>
          </cell>
          <cell r="O375" t="str">
            <v>Internal R&amp;D</v>
          </cell>
          <cell r="P375" t="str">
            <v>Q1 Passed</v>
          </cell>
          <cell r="Q375" t="str">
            <v>Q1 Passed</v>
          </cell>
          <cell r="R375" t="str">
            <v>Q1.5 Passed</v>
          </cell>
          <cell r="S375" t="str">
            <v>Q1.5 Passed</v>
          </cell>
          <cell r="V375" t="str">
            <v>High tumor content in all fragments; immune component 1-6%</v>
          </cell>
          <cell r="W375" t="str">
            <v>Government Hospital</v>
          </cell>
          <cell r="X375" t="str">
            <v>Mazumdar Shaw Medical Centre, Bangalore</v>
          </cell>
          <cell r="Y375" t="str">
            <v>Mazumdar Shaw Medical Centre, Bangalore</v>
          </cell>
          <cell r="Z375" t="str">
            <v>Dr Vijay Pillai, Bangalore</v>
          </cell>
          <cell r="AA375" t="str">
            <v>HNSCC</v>
          </cell>
          <cell r="AC375" t="str">
            <v>GBS</v>
          </cell>
          <cell r="AD375" t="str">
            <v>Left GBS</v>
          </cell>
          <cell r="AE375" t="str">
            <v>Female</v>
          </cell>
          <cell r="AF375">
            <v>65</v>
          </cell>
          <cell r="AG375" t="str">
            <v>N</v>
          </cell>
          <cell r="AH375">
            <v>2.4</v>
          </cell>
          <cell r="AI375" t="str">
            <v>Partha</v>
          </cell>
          <cell r="AJ375" t="str">
            <v>Surgery</v>
          </cell>
          <cell r="AK375" t="str">
            <v>Primary</v>
          </cell>
          <cell r="AL375" t="str">
            <v>Chemotherapy</v>
          </cell>
          <cell r="AN375">
            <v>4</v>
          </cell>
          <cell r="AO375">
            <v>2</v>
          </cell>
          <cell r="AP375" t="str">
            <v>pT4bpN3b</v>
          </cell>
          <cell r="AQ375">
            <v>2</v>
          </cell>
          <cell r="AR375" t="str">
            <v>Paclitaxel + Carboplatin</v>
          </cell>
          <cell r="AS375" t="str">
            <v>Moderately differentiated squamous cell carcinoma.</v>
          </cell>
          <cell r="AV375">
            <v>44921</v>
          </cell>
          <cell r="AW375">
            <v>0.76388888888888884</v>
          </cell>
          <cell r="AX375">
            <v>0.85416666666666663</v>
          </cell>
          <cell r="AY375">
            <v>9.0277777777777776E-2</v>
          </cell>
          <cell r="AZ375">
            <v>0.10625</v>
          </cell>
          <cell r="BA375">
            <v>0.12708333333333333</v>
          </cell>
          <cell r="BB375" t="str">
            <v>0.6*0.8/1.0*1.6/1.8</v>
          </cell>
          <cell r="BC375" t="str">
            <v>0.6*0.8/1.0*1.6/1.8</v>
          </cell>
          <cell r="BD375" t="str">
            <v>Vibratome</v>
          </cell>
          <cell r="BE375">
            <v>4</v>
          </cell>
          <cell r="BF375" t="str">
            <v>Rajashekhar</v>
          </cell>
          <cell r="BG375" t="str">
            <v>Y</v>
          </cell>
        </row>
        <row r="376">
          <cell r="A376" t="str">
            <v>FBR1A220270</v>
          </cell>
          <cell r="B376">
            <v>220270</v>
          </cell>
          <cell r="C376" t="str">
            <v>R&amp;D</v>
          </cell>
          <cell r="D376">
            <v>44924</v>
          </cell>
          <cell r="E376">
            <v>0.66111111111111109</v>
          </cell>
          <cell r="F376">
            <v>44896</v>
          </cell>
          <cell r="G376">
            <v>44924</v>
          </cell>
          <cell r="H376">
            <v>0.78541666666666665</v>
          </cell>
          <cell r="I376">
            <v>0.12430555555555556</v>
          </cell>
          <cell r="J376">
            <v>2</v>
          </cell>
          <cell r="K376" t="str">
            <v>FCB-PROTOCOL-01</v>
          </cell>
          <cell r="L376" t="str">
            <v>OC007</v>
          </cell>
          <cell r="M376" t="str">
            <v>Y</v>
          </cell>
          <cell r="P376" t="str">
            <v>Q1 Passed</v>
          </cell>
          <cell r="Q376" t="str">
            <v>Q1 Passed</v>
          </cell>
          <cell r="R376" t="str">
            <v>Q1.5 Passed</v>
          </cell>
          <cell r="S376" t="str">
            <v>Q1.5 Passed</v>
          </cell>
          <cell r="V376" t="str">
            <v>Good tumor content in most fragments</v>
          </cell>
          <cell r="W376" t="str">
            <v>Government Hospital</v>
          </cell>
          <cell r="X376" t="str">
            <v>Mazumdar Shaw Medical Centre, Bangalore</v>
          </cell>
          <cell r="Y376" t="str">
            <v>Mazumdar Shaw Medical Centre, Bangalore</v>
          </cell>
          <cell r="Z376" t="str">
            <v>Dr Rohit Ranade, Bangalore</v>
          </cell>
          <cell r="AA376" t="str">
            <v>Ca Ovary</v>
          </cell>
          <cell r="AC376" t="str">
            <v>Ovary</v>
          </cell>
          <cell r="AD376" t="str">
            <v>Right Ovary</v>
          </cell>
          <cell r="AE376" t="str">
            <v>Female</v>
          </cell>
          <cell r="AF376">
            <v>45</v>
          </cell>
          <cell r="AG376" t="str">
            <v>N</v>
          </cell>
          <cell r="AH376">
            <v>5.0999999999999996</v>
          </cell>
          <cell r="AI376" t="str">
            <v>Kalappa</v>
          </cell>
          <cell r="AJ376" t="str">
            <v>Surgery</v>
          </cell>
          <cell r="AK376" t="str">
            <v>Primary</v>
          </cell>
          <cell r="AN376">
            <v>3</v>
          </cell>
          <cell r="AO376">
            <v>3</v>
          </cell>
          <cell r="AP376" t="str">
            <v>pT3c Pn0</v>
          </cell>
          <cell r="AS376" t="str">
            <v>High grade Serious carcinoma of right and left Adnexa with metastasis</v>
          </cell>
          <cell r="AV376">
            <v>44924</v>
          </cell>
          <cell r="AW376">
            <v>0.71875</v>
          </cell>
          <cell r="AX376">
            <v>0.8041666666666667</v>
          </cell>
          <cell r="AY376">
            <v>8.5416666666666669E-2</v>
          </cell>
          <cell r="AZ376">
            <v>1.8749999999999999E-2</v>
          </cell>
          <cell r="BA376">
            <v>0.14305555555555555</v>
          </cell>
          <cell r="BB376" t="str">
            <v>0.9*1.2*1.6</v>
          </cell>
          <cell r="BC376" t="str">
            <v>0.9*1.2*1.6</v>
          </cell>
          <cell r="BD376" t="str">
            <v>Manual</v>
          </cell>
          <cell r="BE376">
            <v>4</v>
          </cell>
          <cell r="BF376" t="str">
            <v>Biswajit</v>
          </cell>
          <cell r="BG376" t="str">
            <v>Y</v>
          </cell>
        </row>
        <row r="377">
          <cell r="A377" t="str">
            <v>FBR1T230001</v>
          </cell>
          <cell r="B377">
            <v>230001</v>
          </cell>
          <cell r="C377" t="str">
            <v>R&amp;D</v>
          </cell>
          <cell r="D377">
            <v>44931</v>
          </cell>
          <cell r="E377">
            <v>0.50694444444444442</v>
          </cell>
          <cell r="F377">
            <v>44927</v>
          </cell>
          <cell r="G377">
            <v>44931</v>
          </cell>
          <cell r="H377">
            <v>0.84791666666666665</v>
          </cell>
          <cell r="I377">
            <v>0.34097222222222223</v>
          </cell>
          <cell r="J377">
            <v>20</v>
          </cell>
          <cell r="K377" t="str">
            <v>FCB-PROTOCOL-01</v>
          </cell>
          <cell r="L377" t="str">
            <v>CLN/DBR/130</v>
          </cell>
          <cell r="M377" t="str">
            <v>Y</v>
          </cell>
          <cell r="N377" t="str">
            <v>cc Study(1T)</v>
          </cell>
          <cell r="O377" t="str">
            <v>Internal R&amp;D</v>
          </cell>
          <cell r="P377" t="str">
            <v>Q1 Passed</v>
          </cell>
          <cell r="Q377" t="str">
            <v>Q1 Passed</v>
          </cell>
          <cell r="R377" t="str">
            <v>Q1.5 Rejected</v>
          </cell>
          <cell r="S377" t="str">
            <v>Q1.5 Rejected</v>
          </cell>
          <cell r="V377" t="str">
            <v xml:space="preserve">The explants show epithelial hyperplasia with inflammation. No frank malignancy </v>
          </cell>
          <cell r="W377" t="str">
            <v>Clinic'les</v>
          </cell>
          <cell r="X377" t="str">
            <v>Clinic'les- DBR &amp; SK Hospital, Tirupati</v>
          </cell>
          <cell r="Y377" t="str">
            <v>DBR &amp; SK Hospital, Tirupati</v>
          </cell>
          <cell r="Z377" t="str">
            <v>Dr C Jayaprakash, Tirupati</v>
          </cell>
          <cell r="AA377" t="str">
            <v>HNSCC</v>
          </cell>
          <cell r="AC377" t="str">
            <v>Buccal Mucosa</v>
          </cell>
          <cell r="AD377" t="str">
            <v>Buccal Mucosa</v>
          </cell>
          <cell r="AE377" t="str">
            <v>Male</v>
          </cell>
          <cell r="AF377">
            <v>53</v>
          </cell>
          <cell r="AG377" t="str">
            <v>N</v>
          </cell>
          <cell r="AH377">
            <v>5.4</v>
          </cell>
          <cell r="AI377" t="str">
            <v>Maruthi</v>
          </cell>
          <cell r="AJ377" t="str">
            <v>Surgery</v>
          </cell>
          <cell r="AK377" t="str">
            <v>Primary</v>
          </cell>
          <cell r="AN377" t="str">
            <v>II</v>
          </cell>
          <cell r="AP377" t="str">
            <v>pT2 N0 Mx</v>
          </cell>
          <cell r="AV377">
            <v>44931</v>
          </cell>
          <cell r="AW377">
            <v>0.86805555555555558</v>
          </cell>
          <cell r="AX377">
            <v>0.96527777777777779</v>
          </cell>
          <cell r="AY377">
            <v>9.7222222222222224E-2</v>
          </cell>
          <cell r="AZ377">
            <v>0.11736111111111111</v>
          </cell>
          <cell r="BA377">
            <v>0.45833333333333331</v>
          </cell>
          <cell r="BB377" t="str">
            <v>0.3/0.4*1.6*1.8</v>
          </cell>
          <cell r="BC377" t="str">
            <v>0.3/0.4*1.6*1.8</v>
          </cell>
          <cell r="BD377" t="str">
            <v>Vibratome</v>
          </cell>
          <cell r="BE377">
            <v>15</v>
          </cell>
          <cell r="BF377" t="str">
            <v>Kowshik</v>
          </cell>
          <cell r="BG377" t="str">
            <v>Y</v>
          </cell>
        </row>
        <row r="378">
          <cell r="A378" t="str">
            <v>FBR1T230002</v>
          </cell>
          <cell r="B378">
            <v>230002</v>
          </cell>
          <cell r="C378" t="str">
            <v>R&amp;D</v>
          </cell>
          <cell r="D378">
            <v>44938</v>
          </cell>
          <cell r="E378">
            <v>0.48472222222222222</v>
          </cell>
          <cell r="F378">
            <v>44927</v>
          </cell>
          <cell r="G378">
            <v>44938</v>
          </cell>
          <cell r="H378">
            <v>0.54166666666666663</v>
          </cell>
          <cell r="I378">
            <v>5.6944444444444443E-2</v>
          </cell>
          <cell r="J378">
            <v>3</v>
          </cell>
          <cell r="K378" t="str">
            <v>FCB-PROTOCOL-01</v>
          </cell>
          <cell r="L378" t="str">
            <v>VYD/140</v>
          </cell>
          <cell r="M378" t="str">
            <v>Y</v>
          </cell>
          <cell r="N378" t="str">
            <v>cc Study(1T)</v>
          </cell>
          <cell r="O378" t="str">
            <v>Internal R&amp;D</v>
          </cell>
          <cell r="P378" t="str">
            <v>Q1 Passed</v>
          </cell>
          <cell r="Q378" t="str">
            <v>Q1 Passed</v>
          </cell>
          <cell r="R378" t="str">
            <v>Q1.5 Passed</v>
          </cell>
          <cell r="S378" t="str">
            <v>Q1.5 Passed</v>
          </cell>
          <cell r="V378" t="str">
            <v>Tumour content 25-60%</v>
          </cell>
          <cell r="W378" t="str">
            <v>Private Hospital</v>
          </cell>
          <cell r="X378" t="str">
            <v>Vydehi Hospital, Bangalore</v>
          </cell>
          <cell r="Y378" t="str">
            <v>Vydehi Hospital, Bangalore</v>
          </cell>
          <cell r="Z378" t="str">
            <v>Dr Amritha Prabha, Bangalore</v>
          </cell>
          <cell r="AA378" t="str">
            <v>HNSCC</v>
          </cell>
          <cell r="AC378" t="str">
            <v>Alveolus</v>
          </cell>
          <cell r="AD378" t="str">
            <v>Lower Alveolus</v>
          </cell>
          <cell r="AE378" t="str">
            <v>Male</v>
          </cell>
          <cell r="AF378">
            <v>48</v>
          </cell>
          <cell r="AG378" t="str">
            <v>N</v>
          </cell>
          <cell r="AH378">
            <v>3.5</v>
          </cell>
          <cell r="AI378" t="str">
            <v>Kalappa</v>
          </cell>
          <cell r="AJ378" t="str">
            <v>Surgery</v>
          </cell>
          <cell r="AK378" t="str">
            <v>Primary</v>
          </cell>
          <cell r="AN378" t="str">
            <v>IVB</v>
          </cell>
          <cell r="AO378">
            <v>1</v>
          </cell>
          <cell r="AP378" t="str">
            <v>pT2N3</v>
          </cell>
          <cell r="AV378">
            <v>44938</v>
          </cell>
          <cell r="AW378">
            <v>0.56666666666666665</v>
          </cell>
          <cell r="AX378">
            <v>0.66666666666666663</v>
          </cell>
          <cell r="AY378">
            <v>0.1</v>
          </cell>
          <cell r="AZ378">
            <v>0.125</v>
          </cell>
          <cell r="BA378">
            <v>0.18194444444444444</v>
          </cell>
          <cell r="BB378" t="str">
            <v>0.8*0.9*1.4</v>
          </cell>
          <cell r="BC378" t="str">
            <v>0.8*0.9*1.4</v>
          </cell>
          <cell r="BD378" t="str">
            <v>Vibratome</v>
          </cell>
          <cell r="BE378">
            <v>15</v>
          </cell>
          <cell r="BF378" t="str">
            <v>Biswajit</v>
          </cell>
          <cell r="BG378" t="str">
            <v>Y</v>
          </cell>
        </row>
        <row r="379">
          <cell r="A379" t="str">
            <v>FBR1R230002</v>
          </cell>
          <cell r="B379">
            <v>230002</v>
          </cell>
          <cell r="C379" t="str">
            <v>R&amp;D</v>
          </cell>
          <cell r="D379">
            <v>44938</v>
          </cell>
          <cell r="E379">
            <v>0.48472222222222222</v>
          </cell>
          <cell r="F379">
            <v>44927</v>
          </cell>
          <cell r="G379">
            <v>44938</v>
          </cell>
          <cell r="H379">
            <v>0.54166666666666663</v>
          </cell>
          <cell r="I379">
            <v>5.6944444444444443E-2</v>
          </cell>
          <cell r="J379">
            <v>3</v>
          </cell>
          <cell r="K379" t="str">
            <v>FCB-PROTOCOL-01</v>
          </cell>
          <cell r="L379" t="str">
            <v>VYD/140</v>
          </cell>
          <cell r="M379" t="str">
            <v>Y</v>
          </cell>
          <cell r="N379" t="str">
            <v>BSS(1R)</v>
          </cell>
          <cell r="O379" t="str">
            <v>Internal R&amp;D</v>
          </cell>
          <cell r="P379" t="str">
            <v>Q1 Passed</v>
          </cell>
          <cell r="Q379" t="str">
            <v>Q1 Passed</v>
          </cell>
          <cell r="R379" t="str">
            <v>Q1.5 Passed</v>
          </cell>
          <cell r="S379" t="str">
            <v>Q1.5 Passed</v>
          </cell>
          <cell r="V379" t="str">
            <v>Tumour content 15-90%</v>
          </cell>
          <cell r="W379" t="str">
            <v>Private Hospital</v>
          </cell>
          <cell r="X379" t="str">
            <v>Vydehi Hospital, Bangalore</v>
          </cell>
          <cell r="Y379" t="str">
            <v>Vydehi Hospital, Bangalore</v>
          </cell>
          <cell r="Z379" t="str">
            <v>Dr Amritha Prabha, Bangalore</v>
          </cell>
          <cell r="AA379" t="str">
            <v>HNSCC</v>
          </cell>
          <cell r="AC379" t="str">
            <v>Alveolus</v>
          </cell>
          <cell r="AD379" t="str">
            <v>Lower Alveolus</v>
          </cell>
          <cell r="AE379" t="str">
            <v>Male</v>
          </cell>
          <cell r="AF379">
            <v>48</v>
          </cell>
          <cell r="AG379" t="str">
            <v>N</v>
          </cell>
          <cell r="AH379">
            <v>3.5</v>
          </cell>
          <cell r="AI379" t="str">
            <v>Kalappa</v>
          </cell>
          <cell r="AJ379" t="str">
            <v>Surgery</v>
          </cell>
          <cell r="AK379" t="str">
            <v>Primary</v>
          </cell>
          <cell r="AN379" t="str">
            <v>IVB</v>
          </cell>
          <cell r="AO379">
            <v>1</v>
          </cell>
          <cell r="AP379" t="str">
            <v>pT2N3</v>
          </cell>
          <cell r="AV379">
            <v>44938</v>
          </cell>
          <cell r="AW379">
            <v>0.56666666666666665</v>
          </cell>
          <cell r="AX379">
            <v>0.66666666666666663</v>
          </cell>
          <cell r="AY379">
            <v>0.1</v>
          </cell>
          <cell r="AZ379">
            <v>0.125</v>
          </cell>
          <cell r="BA379">
            <v>0.18194444444444444</v>
          </cell>
          <cell r="BB379" t="str">
            <v>0.8*0.9*1.4</v>
          </cell>
          <cell r="BC379" t="str">
            <v>0.8*0.9*1.4</v>
          </cell>
          <cell r="BD379" t="str">
            <v>Vibratome</v>
          </cell>
          <cell r="BE379">
            <v>15</v>
          </cell>
          <cell r="BF379" t="str">
            <v>Biswajit</v>
          </cell>
          <cell r="BG379" t="str">
            <v>Y</v>
          </cell>
        </row>
        <row r="380">
          <cell r="A380" t="str">
            <v>FBR1T230003</v>
          </cell>
          <cell r="B380">
            <v>230003</v>
          </cell>
          <cell r="C380" t="str">
            <v>R&amp;D</v>
          </cell>
          <cell r="D380">
            <v>44939</v>
          </cell>
          <cell r="E380">
            <v>0.31944444444444442</v>
          </cell>
          <cell r="F380">
            <v>44927</v>
          </cell>
          <cell r="G380">
            <v>44939</v>
          </cell>
          <cell r="H380">
            <v>0.40277777777777779</v>
          </cell>
          <cell r="I380">
            <v>8.3333333333333329E-2</v>
          </cell>
          <cell r="J380">
            <v>5</v>
          </cell>
          <cell r="K380" t="str">
            <v>FCB-PROTOCOL-01</v>
          </cell>
          <cell r="L380" t="str">
            <v>CLN/PRA/183</v>
          </cell>
          <cell r="M380" t="str">
            <v>Y</v>
          </cell>
          <cell r="N380" t="str">
            <v>cc Study(1T)</v>
          </cell>
          <cell r="O380" t="str">
            <v>Internal R&amp;D</v>
          </cell>
          <cell r="P380" t="str">
            <v>Q1 Passed</v>
          </cell>
          <cell r="Q380" t="str">
            <v>Q1 Passed</v>
          </cell>
          <cell r="R380" t="str">
            <v>Q1.5 Passed</v>
          </cell>
          <cell r="S380" t="str">
            <v>Q1.5 Passed</v>
          </cell>
          <cell r="V380" t="str">
            <v>Tumour content 10-70% with high immune content</v>
          </cell>
          <cell r="W380" t="str">
            <v>Private Hospital</v>
          </cell>
          <cell r="X380" t="str">
            <v>Dr Prakash BV, Bangalore</v>
          </cell>
          <cell r="Y380" t="str">
            <v>Sri Lakshmi Hospital, Bangalore</v>
          </cell>
          <cell r="Z380" t="str">
            <v>Dr Prakash BV, Bangalore</v>
          </cell>
          <cell r="AA380" t="str">
            <v>HNSCC</v>
          </cell>
          <cell r="AC380" t="str">
            <v>GBS</v>
          </cell>
          <cell r="AD380" t="str">
            <v>Left Lower GBS</v>
          </cell>
          <cell r="AE380" t="str">
            <v>Female</v>
          </cell>
          <cell r="AF380">
            <v>60</v>
          </cell>
          <cell r="AG380" t="str">
            <v>N</v>
          </cell>
          <cell r="AH380">
            <v>5.0999999999999996</v>
          </cell>
          <cell r="AI380" t="str">
            <v>Shashi</v>
          </cell>
          <cell r="AJ380" t="str">
            <v>Surgery</v>
          </cell>
          <cell r="AK380" t="str">
            <v>Primary</v>
          </cell>
          <cell r="AN380" t="str">
            <v>II</v>
          </cell>
          <cell r="AO380">
            <v>2</v>
          </cell>
          <cell r="AP380" t="str">
            <v>pT3N0M0</v>
          </cell>
          <cell r="AS380" t="str">
            <v>SCC</v>
          </cell>
          <cell r="AV380">
            <v>44939</v>
          </cell>
          <cell r="AW380">
            <v>0.47222222222222221</v>
          </cell>
          <cell r="AX380">
            <v>0.60416666666666663</v>
          </cell>
          <cell r="AY380">
            <v>0.13194444444444445</v>
          </cell>
          <cell r="AZ380">
            <v>0.2013888888888889</v>
          </cell>
          <cell r="BA380">
            <v>0.28472222222222221</v>
          </cell>
          <cell r="BB380" t="str">
            <v>0.4*1.4*1.7</v>
          </cell>
          <cell r="BC380" t="str">
            <v>0.4*1.4*1.7</v>
          </cell>
          <cell r="BD380" t="str">
            <v>Vibratome</v>
          </cell>
          <cell r="BE380">
            <v>15</v>
          </cell>
          <cell r="BF380" t="str">
            <v>Dharani</v>
          </cell>
          <cell r="BG380" t="str">
            <v>Y</v>
          </cell>
        </row>
        <row r="381">
          <cell r="A381" t="str">
            <v>FBR1R230003</v>
          </cell>
          <cell r="B381">
            <v>230003</v>
          </cell>
          <cell r="C381" t="str">
            <v>R&amp;D</v>
          </cell>
          <cell r="D381">
            <v>44939</v>
          </cell>
          <cell r="E381">
            <v>0.31944444444444442</v>
          </cell>
          <cell r="F381">
            <v>44927</v>
          </cell>
          <cell r="G381">
            <v>44939</v>
          </cell>
          <cell r="H381">
            <v>0.40277777777777779</v>
          </cell>
          <cell r="I381">
            <v>8.3333333333333329E-2</v>
          </cell>
          <cell r="J381">
            <v>5</v>
          </cell>
          <cell r="K381" t="str">
            <v>FCB-PROTOCOL-01</v>
          </cell>
          <cell r="L381" t="str">
            <v>CLN/PRA/183</v>
          </cell>
          <cell r="M381" t="str">
            <v>Y</v>
          </cell>
          <cell r="N381" t="str">
            <v>BSS(1R)</v>
          </cell>
          <cell r="O381" t="str">
            <v>Internal R&amp;D</v>
          </cell>
          <cell r="P381" t="str">
            <v>Q1 Passed</v>
          </cell>
          <cell r="Q381" t="str">
            <v>Q1 Passed</v>
          </cell>
          <cell r="R381" t="str">
            <v>Q1.5 Passed</v>
          </cell>
          <cell r="S381" t="str">
            <v>Q1.5 Passed</v>
          </cell>
          <cell r="V381" t="str">
            <v>Tumour content 12-90% with high immune content</v>
          </cell>
          <cell r="W381" t="str">
            <v>Private Hospital</v>
          </cell>
          <cell r="X381" t="str">
            <v>Dr Prakash BV, Bangalore</v>
          </cell>
          <cell r="Y381" t="str">
            <v>Sri Lakshmi Hospital, Bangalore</v>
          </cell>
          <cell r="Z381" t="str">
            <v>Dr Prakash BV, Bangalore</v>
          </cell>
          <cell r="AA381" t="str">
            <v>HNSCC</v>
          </cell>
          <cell r="AC381" t="str">
            <v>GBS</v>
          </cell>
          <cell r="AD381" t="str">
            <v>Left Lower GBS</v>
          </cell>
          <cell r="AE381" t="str">
            <v>Female</v>
          </cell>
          <cell r="AF381">
            <v>60</v>
          </cell>
          <cell r="AG381" t="str">
            <v>N</v>
          </cell>
          <cell r="AH381">
            <v>5.0999999999999996</v>
          </cell>
          <cell r="AI381" t="str">
            <v>Shashi</v>
          </cell>
          <cell r="AJ381" t="str">
            <v>Surgery</v>
          </cell>
          <cell r="AK381" t="str">
            <v>Primary</v>
          </cell>
          <cell r="AN381" t="str">
            <v>II</v>
          </cell>
          <cell r="AO381">
            <v>2</v>
          </cell>
          <cell r="AP381" t="str">
            <v>pT3N0M0</v>
          </cell>
          <cell r="AS381" t="str">
            <v>SCC</v>
          </cell>
          <cell r="AV381">
            <v>44939</v>
          </cell>
          <cell r="AW381">
            <v>0.47222222222222221</v>
          </cell>
          <cell r="AX381">
            <v>0.60416666666666663</v>
          </cell>
          <cell r="AY381">
            <v>0.13194444444444445</v>
          </cell>
          <cell r="AZ381">
            <v>0.2013888888888889</v>
          </cell>
          <cell r="BA381">
            <v>0.28472222222222221</v>
          </cell>
          <cell r="BB381" t="str">
            <v>0.4*1.4*1.7</v>
          </cell>
          <cell r="BC381" t="str">
            <v>0.4*1.4*1.7</v>
          </cell>
          <cell r="BD381" t="str">
            <v>Vibratome</v>
          </cell>
          <cell r="BE381">
            <v>15</v>
          </cell>
          <cell r="BF381" t="str">
            <v>Dharani</v>
          </cell>
          <cell r="BG381" t="str">
            <v>Y</v>
          </cell>
        </row>
        <row r="382">
          <cell r="A382" t="str">
            <v>FBR1T230004</v>
          </cell>
          <cell r="B382">
            <v>230004</v>
          </cell>
          <cell r="C382" t="str">
            <v>R&amp;D</v>
          </cell>
          <cell r="D382">
            <v>44939</v>
          </cell>
          <cell r="E382">
            <v>0.36805555555555558</v>
          </cell>
          <cell r="F382">
            <v>44927</v>
          </cell>
          <cell r="G382">
            <v>44939</v>
          </cell>
          <cell r="H382">
            <v>0.40277777777777779</v>
          </cell>
          <cell r="I382">
            <v>3.4722222222222224E-2</v>
          </cell>
          <cell r="J382">
            <v>1</v>
          </cell>
          <cell r="K382" t="str">
            <v>FCB-PROTOCOL-01</v>
          </cell>
          <cell r="L382" t="str">
            <v>CLN/PRA/184</v>
          </cell>
          <cell r="M382" t="str">
            <v>Y</v>
          </cell>
          <cell r="N382" t="str">
            <v>cc Study(1T)</v>
          </cell>
          <cell r="O382" t="str">
            <v>Internal R&amp;D</v>
          </cell>
          <cell r="P382" t="str">
            <v>Q1 Passed</v>
          </cell>
          <cell r="Q382" t="str">
            <v>Q1 Passed</v>
          </cell>
          <cell r="R382" t="str">
            <v>Q1.5 Passed</v>
          </cell>
          <cell r="S382" t="str">
            <v>Q1.5 Passed</v>
          </cell>
          <cell r="V382" t="str">
            <v>Tumour content 3-75% with good immune content</v>
          </cell>
          <cell r="W382" t="str">
            <v>Private Hospital</v>
          </cell>
          <cell r="X382" t="str">
            <v>Dr Prakash BV, Bangalore</v>
          </cell>
          <cell r="Y382" t="str">
            <v>Sri Lakshmi Hospital, Bangalore</v>
          </cell>
          <cell r="Z382" t="str">
            <v>Dr Prakash BV, Bangalore</v>
          </cell>
          <cell r="AA382" t="str">
            <v>HNSCC</v>
          </cell>
          <cell r="AC382" t="str">
            <v>RMT</v>
          </cell>
          <cell r="AD382" t="str">
            <v>Left RMT</v>
          </cell>
          <cell r="AE382" t="str">
            <v>Male</v>
          </cell>
          <cell r="AF382">
            <v>50</v>
          </cell>
          <cell r="AG382" t="str">
            <v>N</v>
          </cell>
          <cell r="AH382">
            <v>5.0999999999999996</v>
          </cell>
          <cell r="AI382" t="str">
            <v>Shashi</v>
          </cell>
          <cell r="AJ382" t="str">
            <v>Surgery</v>
          </cell>
          <cell r="AK382" t="str">
            <v>Primary</v>
          </cell>
          <cell r="AN382" t="str">
            <v>II</v>
          </cell>
          <cell r="AP382" t="str">
            <v>pT2N0M0</v>
          </cell>
          <cell r="AS382" t="str">
            <v>SCC</v>
          </cell>
          <cell r="AV382">
            <v>44939</v>
          </cell>
          <cell r="AW382">
            <v>0.51388888888888884</v>
          </cell>
          <cell r="AX382">
            <v>0.63888888888888884</v>
          </cell>
          <cell r="AY382">
            <v>0.125</v>
          </cell>
          <cell r="AZ382">
            <v>0.2361111111111111</v>
          </cell>
          <cell r="BA382">
            <v>0.27083333333333331</v>
          </cell>
          <cell r="BB382" t="str">
            <v>0.8*1.0*1.6</v>
          </cell>
          <cell r="BC382" t="str">
            <v>0.8*1.0*1.6</v>
          </cell>
          <cell r="BD382" t="str">
            <v>Vibratome</v>
          </cell>
          <cell r="BE382">
            <v>15</v>
          </cell>
          <cell r="BF382" t="str">
            <v>Mounish</v>
          </cell>
          <cell r="BG382" t="str">
            <v>Y</v>
          </cell>
        </row>
        <row r="383">
          <cell r="A383" t="str">
            <v>FBR1U230004</v>
          </cell>
          <cell r="B383">
            <v>230004</v>
          </cell>
          <cell r="C383" t="str">
            <v>R&amp;D</v>
          </cell>
          <cell r="D383">
            <v>44939</v>
          </cell>
          <cell r="E383">
            <v>0.36805555555555558</v>
          </cell>
          <cell r="F383">
            <v>44927</v>
          </cell>
          <cell r="G383">
            <v>44939</v>
          </cell>
          <cell r="H383">
            <v>0.40277777777777779</v>
          </cell>
          <cell r="I383">
            <v>3.4722222222222224E-2</v>
          </cell>
          <cell r="J383">
            <v>1</v>
          </cell>
          <cell r="K383" t="str">
            <v>FCB-PROTOCOL-01</v>
          </cell>
          <cell r="L383" t="str">
            <v>CLN/PRA/184</v>
          </cell>
          <cell r="M383" t="str">
            <v>Y</v>
          </cell>
          <cell r="N383" t="str">
            <v>AES (1U)</v>
          </cell>
          <cell r="O383" t="str">
            <v>Internal R&amp;D</v>
          </cell>
          <cell r="P383" t="str">
            <v>Q1 Passed</v>
          </cell>
          <cell r="Q383" t="str">
            <v>Q1 Passed</v>
          </cell>
          <cell r="R383" t="str">
            <v>Q1.5 Passed</v>
          </cell>
          <cell r="S383" t="str">
            <v>Q1.5 Passed</v>
          </cell>
          <cell r="W383" t="str">
            <v>Private Hospital</v>
          </cell>
          <cell r="X383" t="str">
            <v>Dr Prakash BV, Bangalore</v>
          </cell>
          <cell r="Y383" t="str">
            <v>Sri Lakshmi Hospital, Bangalore</v>
          </cell>
          <cell r="Z383" t="str">
            <v>Dr Prakash BV, Bangalore</v>
          </cell>
          <cell r="AA383" t="str">
            <v>HNSCC</v>
          </cell>
          <cell r="AC383" t="str">
            <v>RMT</v>
          </cell>
          <cell r="AD383" t="str">
            <v>Left RMT</v>
          </cell>
          <cell r="AE383" t="str">
            <v>Male</v>
          </cell>
          <cell r="AF383">
            <v>50</v>
          </cell>
          <cell r="AG383" t="str">
            <v>N</v>
          </cell>
          <cell r="AH383">
            <v>5.0999999999999996</v>
          </cell>
          <cell r="AI383" t="str">
            <v>Shashi</v>
          </cell>
          <cell r="AJ383" t="str">
            <v>Surgery</v>
          </cell>
          <cell r="AK383" t="str">
            <v>Primary</v>
          </cell>
          <cell r="AN383" t="str">
            <v>II</v>
          </cell>
          <cell r="AP383" t="str">
            <v>pT2N0M0</v>
          </cell>
          <cell r="AS383" t="str">
            <v>SCC</v>
          </cell>
          <cell r="AV383">
            <v>44939</v>
          </cell>
          <cell r="AW383">
            <v>0.51388888888888884</v>
          </cell>
          <cell r="AX383">
            <v>0.63888888888888884</v>
          </cell>
          <cell r="AY383">
            <v>0.125</v>
          </cell>
          <cell r="AZ383">
            <v>0.2361111111111111</v>
          </cell>
          <cell r="BA383">
            <v>0.27083333333333331</v>
          </cell>
          <cell r="BB383" t="str">
            <v>0.8*1.0*1.6</v>
          </cell>
          <cell r="BC383" t="str">
            <v>0.8*1.0*1.6</v>
          </cell>
          <cell r="BD383" t="str">
            <v>Vibratome</v>
          </cell>
          <cell r="BE383">
            <v>15</v>
          </cell>
          <cell r="BF383" t="str">
            <v>Mounish</v>
          </cell>
          <cell r="BG383" t="str">
            <v>Y</v>
          </cell>
        </row>
        <row r="384">
          <cell r="A384">
            <v>230005</v>
          </cell>
          <cell r="B384">
            <v>230005</v>
          </cell>
          <cell r="C384" t="str">
            <v>R&amp;D</v>
          </cell>
          <cell r="D384">
            <v>44939</v>
          </cell>
          <cell r="E384">
            <v>0.68611111111111112</v>
          </cell>
          <cell r="F384">
            <v>44927</v>
          </cell>
          <cell r="G384">
            <v>44939</v>
          </cell>
          <cell r="H384">
            <v>0.72777777777777775</v>
          </cell>
          <cell r="I384">
            <v>4.1666666666666664E-2</v>
          </cell>
          <cell r="J384">
            <v>2</v>
          </cell>
          <cell r="K384" t="str">
            <v>FCB-PROTOCOL-01</v>
          </cell>
          <cell r="L384" t="str">
            <v>CLN/PRA/185</v>
          </cell>
          <cell r="M384" t="str">
            <v>Y</v>
          </cell>
          <cell r="N384" t="str">
            <v>No Study</v>
          </cell>
          <cell r="O384" t="str">
            <v>1st level attrition</v>
          </cell>
          <cell r="P384" t="str">
            <v>Q1 Rejected</v>
          </cell>
          <cell r="Q384" t="str">
            <v>Q1 Passed</v>
          </cell>
          <cell r="R384" t="str">
            <v>Q1.5 Rejected</v>
          </cell>
          <cell r="S384" t="str">
            <v>Q1.5 Rejected</v>
          </cell>
          <cell r="T384" t="str">
            <v>tissue height was small-4mm</v>
          </cell>
          <cell r="W384" t="str">
            <v>Private Hospital</v>
          </cell>
          <cell r="X384" t="str">
            <v>Dr Prakash BV, Bangalore</v>
          </cell>
          <cell r="Y384" t="str">
            <v>Sri Lakshmi Hospital, Bangalore</v>
          </cell>
          <cell r="Z384" t="str">
            <v>Dr Prakash BV, Bangalore</v>
          </cell>
          <cell r="AA384" t="str">
            <v>HNSCC</v>
          </cell>
          <cell r="AC384" t="str">
            <v>Buccal Mucosa</v>
          </cell>
          <cell r="AD384" t="str">
            <v>Right buccal mucosa</v>
          </cell>
          <cell r="AE384" t="str">
            <v>Male</v>
          </cell>
          <cell r="AF384">
            <v>55</v>
          </cell>
          <cell r="AG384" t="str">
            <v>N</v>
          </cell>
          <cell r="AH384">
            <v>4.2</v>
          </cell>
          <cell r="AI384" t="str">
            <v>Kalappa</v>
          </cell>
          <cell r="AJ384" t="str">
            <v>Surgery</v>
          </cell>
          <cell r="AK384" t="str">
            <v>Primary</v>
          </cell>
          <cell r="AN384" t="str">
            <v>I</v>
          </cell>
          <cell r="AP384" t="str">
            <v>pT2N1M0</v>
          </cell>
          <cell r="AS384" t="str">
            <v>SCC</v>
          </cell>
          <cell r="AV384">
            <v>44939</v>
          </cell>
          <cell r="AW384">
            <v>0.75</v>
          </cell>
          <cell r="BB384" t="str">
            <v>0.2/0.3*0.4*1.2</v>
          </cell>
          <cell r="BC384" t="str">
            <v>0.2/0.3*0.4*1.2</v>
          </cell>
          <cell r="BE384">
            <v>15</v>
          </cell>
          <cell r="BF384" t="str">
            <v>Dharani</v>
          </cell>
          <cell r="BG384" t="str">
            <v>N</v>
          </cell>
        </row>
        <row r="385">
          <cell r="A385" t="str">
            <v>FBR1T230006</v>
          </cell>
          <cell r="B385">
            <v>230006</v>
          </cell>
          <cell r="C385" t="str">
            <v>R&amp;D</v>
          </cell>
          <cell r="D385">
            <v>44942</v>
          </cell>
          <cell r="E385">
            <v>0.54861111111111116</v>
          </cell>
          <cell r="F385">
            <v>44927</v>
          </cell>
          <cell r="G385">
            <v>44942</v>
          </cell>
          <cell r="H385">
            <v>0.63194444444444442</v>
          </cell>
          <cell r="I385">
            <v>8.3333333333333329E-2</v>
          </cell>
          <cell r="J385">
            <v>10</v>
          </cell>
          <cell r="K385" t="str">
            <v>FCB-PROTOCOL-02</v>
          </cell>
          <cell r="L385" t="str">
            <v>HN034</v>
          </cell>
          <cell r="M385" t="str">
            <v>Y</v>
          </cell>
          <cell r="N385" t="str">
            <v>cc Study(1T)</v>
          </cell>
          <cell r="O385" t="str">
            <v>Internal R&amp;D</v>
          </cell>
          <cell r="P385" t="str">
            <v>Q1 Passed</v>
          </cell>
          <cell r="Q385" t="str">
            <v>Q1 Passed</v>
          </cell>
          <cell r="R385" t="str">
            <v>Q1.5 Passed</v>
          </cell>
          <cell r="S385" t="str">
            <v>Q1.5 Passed</v>
          </cell>
          <cell r="V385" t="str">
            <v xml:space="preserve">Tumour content 70-95% </v>
          </cell>
          <cell r="W385" t="str">
            <v>Private Hospital</v>
          </cell>
          <cell r="X385" t="str">
            <v>Mazumdar Shaw Medical Centre, Bangalore</v>
          </cell>
          <cell r="Y385" t="str">
            <v>Mazumdar Shaw Medical Centre, Bangalore</v>
          </cell>
          <cell r="Z385" t="str">
            <v>Dr Vijay Pillai, Bangalore</v>
          </cell>
          <cell r="AA385" t="str">
            <v>HNSCC</v>
          </cell>
          <cell r="AC385" t="str">
            <v>Tongue</v>
          </cell>
          <cell r="AD385" t="str">
            <v>Right Lateral Border of Tongue</v>
          </cell>
          <cell r="AE385" t="str">
            <v>Female</v>
          </cell>
          <cell r="AF385">
            <v>28</v>
          </cell>
          <cell r="AG385" t="str">
            <v>N</v>
          </cell>
          <cell r="AH385">
            <v>4.2</v>
          </cell>
          <cell r="AI385" t="str">
            <v>Kalappa</v>
          </cell>
          <cell r="AJ385" t="str">
            <v>Surgery</v>
          </cell>
          <cell r="AK385" t="str">
            <v>Primary</v>
          </cell>
          <cell r="AN385" t="str">
            <v>IV</v>
          </cell>
          <cell r="AO385">
            <v>2</v>
          </cell>
          <cell r="AP385" t="str">
            <v>pT4apN2a</v>
          </cell>
          <cell r="AS385" t="str">
            <v>Moderately differentiated squamous cell carcinoma.</v>
          </cell>
          <cell r="AV385">
            <v>44942</v>
          </cell>
          <cell r="AW385">
            <v>0.65972222222222221</v>
          </cell>
          <cell r="AX385">
            <v>0.75</v>
          </cell>
          <cell r="AY385">
            <v>9.0277777777777776E-2</v>
          </cell>
          <cell r="AZ385">
            <v>0.11805555555555555</v>
          </cell>
          <cell r="BA385">
            <v>0.2013888888888889</v>
          </cell>
          <cell r="BB385" t="str">
            <v>1.0*1.2*1.4</v>
          </cell>
          <cell r="BC385" t="str">
            <v>1.0*1.2*1.4</v>
          </cell>
          <cell r="BD385" t="str">
            <v>Vibratome</v>
          </cell>
          <cell r="BE385">
            <v>15</v>
          </cell>
          <cell r="BF385" t="str">
            <v>Syam</v>
          </cell>
          <cell r="BG385" t="str">
            <v>Y</v>
          </cell>
        </row>
        <row r="386">
          <cell r="A386" t="str">
            <v>FBR1R230006</v>
          </cell>
          <cell r="B386">
            <v>230006</v>
          </cell>
          <cell r="C386" t="str">
            <v>R&amp;D</v>
          </cell>
          <cell r="D386">
            <v>44942</v>
          </cell>
          <cell r="E386">
            <v>0.54861111111111116</v>
          </cell>
          <cell r="F386">
            <v>44927</v>
          </cell>
          <cell r="G386">
            <v>44942</v>
          </cell>
          <cell r="H386">
            <v>0.63194444444444442</v>
          </cell>
          <cell r="I386">
            <v>8.3333333333333329E-2</v>
          </cell>
          <cell r="J386">
            <v>10</v>
          </cell>
          <cell r="K386" t="str">
            <v>FCB-PROTOCOL-02</v>
          </cell>
          <cell r="L386" t="str">
            <v>HN034</v>
          </cell>
          <cell r="M386" t="str">
            <v>Y</v>
          </cell>
          <cell r="N386" t="str">
            <v>BSS(1R)</v>
          </cell>
          <cell r="O386" t="str">
            <v>Internal R&amp;D</v>
          </cell>
          <cell r="P386" t="str">
            <v>Q1 Passed</v>
          </cell>
          <cell r="Q386" t="str">
            <v>Q1 Passed</v>
          </cell>
          <cell r="R386" t="str">
            <v>Q1.5 Passed</v>
          </cell>
          <cell r="S386" t="str">
            <v>Q1.5 Passed</v>
          </cell>
          <cell r="V386" t="str">
            <v xml:space="preserve">Tumour content 15-98% </v>
          </cell>
          <cell r="W386" t="str">
            <v>Private Hospital</v>
          </cell>
          <cell r="X386" t="str">
            <v>Mazumdar Shaw Medical Centre, Bangalore</v>
          </cell>
          <cell r="Y386" t="str">
            <v>Mazumdar Shaw Medical Centre, Bangalore</v>
          </cell>
          <cell r="Z386" t="str">
            <v>Dr Vijay Pillai, Bangalore</v>
          </cell>
          <cell r="AA386" t="str">
            <v>HNSCC</v>
          </cell>
          <cell r="AC386" t="str">
            <v>Tongue</v>
          </cell>
          <cell r="AD386" t="str">
            <v>Right Lateral Border of Tongue</v>
          </cell>
          <cell r="AE386" t="str">
            <v>Female</v>
          </cell>
          <cell r="AF386">
            <v>28</v>
          </cell>
          <cell r="AG386" t="str">
            <v>N</v>
          </cell>
          <cell r="AH386">
            <v>4.2</v>
          </cell>
          <cell r="AI386" t="str">
            <v>Kalappa</v>
          </cell>
          <cell r="AJ386" t="str">
            <v>Surgery</v>
          </cell>
          <cell r="AK386" t="str">
            <v>Primary</v>
          </cell>
          <cell r="AN386" t="str">
            <v>IV</v>
          </cell>
          <cell r="AO386">
            <v>2</v>
          </cell>
          <cell r="AP386" t="str">
            <v>pT4apN2a</v>
          </cell>
          <cell r="AS386" t="str">
            <v>Moderately differentiated squamous cell carcinoma.</v>
          </cell>
          <cell r="AV386">
            <v>44942</v>
          </cell>
          <cell r="AW386">
            <v>0.65972222222222221</v>
          </cell>
          <cell r="AX386">
            <v>0.75</v>
          </cell>
          <cell r="AY386">
            <v>9.0277777777777776E-2</v>
          </cell>
          <cell r="AZ386">
            <v>0.11805555555555555</v>
          </cell>
          <cell r="BA386">
            <v>0.2013888888888889</v>
          </cell>
          <cell r="BB386" t="str">
            <v>1.0*1.2*1.4</v>
          </cell>
          <cell r="BC386" t="str">
            <v>1.0*1.2*1.4</v>
          </cell>
          <cell r="BD386" t="str">
            <v>Vibratome</v>
          </cell>
          <cell r="BE386">
            <v>15</v>
          </cell>
          <cell r="BF386" t="str">
            <v>Syam</v>
          </cell>
          <cell r="BG386" t="str">
            <v>Y</v>
          </cell>
        </row>
        <row r="387">
          <cell r="A387" t="str">
            <v>FBR1W230007</v>
          </cell>
          <cell r="B387">
            <v>230007</v>
          </cell>
          <cell r="C387" t="str">
            <v>R&amp;D</v>
          </cell>
          <cell r="D387">
            <v>44942</v>
          </cell>
          <cell r="E387">
            <v>0.60555555555555551</v>
          </cell>
          <cell r="F387">
            <v>44927</v>
          </cell>
          <cell r="G387">
            <v>44942</v>
          </cell>
          <cell r="H387">
            <v>0.63194444444444442</v>
          </cell>
          <cell r="I387">
            <v>2.6388888888888889E-2</v>
          </cell>
          <cell r="J387">
            <v>1</v>
          </cell>
          <cell r="K387" t="str">
            <v>FCB-PROTOCOL-02</v>
          </cell>
          <cell r="L387" t="str">
            <v>BC001</v>
          </cell>
          <cell r="M387" t="str">
            <v>Y</v>
          </cell>
          <cell r="N387" t="str">
            <v>Biopsy Cabr-BSS (1W)</v>
          </cell>
          <cell r="O387" t="str">
            <v>Internal R&amp;D</v>
          </cell>
          <cell r="P387" t="str">
            <v>Q1 Passed</v>
          </cell>
          <cell r="Q387" t="str">
            <v>Q1 Passed</v>
          </cell>
          <cell r="R387" t="str">
            <v>Q1.5 Passed</v>
          </cell>
          <cell r="S387" t="str">
            <v>Q1.5 Rejected</v>
          </cell>
          <cell r="U387" t="str">
            <v>Y</v>
          </cell>
          <cell r="V387" t="str">
            <v>No Tumor</v>
          </cell>
          <cell r="W387" t="str">
            <v>Private Hospital</v>
          </cell>
          <cell r="X387" t="str">
            <v>Mazumdar Shaw Medical Centre, Bangalore</v>
          </cell>
          <cell r="Y387" t="str">
            <v>Mazumdar Shaw Medical Centre, Bangalore</v>
          </cell>
          <cell r="Z387" t="str">
            <v>Dr Akshita Singh</v>
          </cell>
          <cell r="AA387" t="str">
            <v>Ca Breast</v>
          </cell>
          <cell r="AB387" t="str">
            <v>Er+
Pr+
Her2- cannot be interpreted as scanty suspicious foci of invasion</v>
          </cell>
          <cell r="AC387" t="str">
            <v>Breast</v>
          </cell>
          <cell r="AD387" t="str">
            <v>Right Breast Biopsy</v>
          </cell>
          <cell r="AE387" t="str">
            <v>Female</v>
          </cell>
          <cell r="AF387">
            <v>28</v>
          </cell>
          <cell r="AG387" t="str">
            <v>N</v>
          </cell>
          <cell r="AH387">
            <v>4.2</v>
          </cell>
          <cell r="AI387" t="str">
            <v>Maruthi</v>
          </cell>
          <cell r="AJ387" t="str">
            <v>Biopsy</v>
          </cell>
          <cell r="AK387" t="str">
            <v>Primary</v>
          </cell>
          <cell r="AS387" t="str">
            <v xml:space="preserve"> Core biopsy right breast -Benign breast tissue, </v>
          </cell>
          <cell r="AV387">
            <v>44942</v>
          </cell>
          <cell r="AW387">
            <v>0.68541666666666667</v>
          </cell>
          <cell r="AX387">
            <v>0.74791666666666667</v>
          </cell>
          <cell r="AY387">
            <v>6.25E-2</v>
          </cell>
          <cell r="AZ387">
            <v>0.11597222222222223</v>
          </cell>
          <cell r="BA387">
            <v>0.1423611111111111</v>
          </cell>
          <cell r="BB387" t="str">
            <v>20-25mm</v>
          </cell>
          <cell r="BC387" t="str">
            <v>20-25mm</v>
          </cell>
          <cell r="BD387" t="str">
            <v>Manual</v>
          </cell>
          <cell r="BE387">
            <v>15</v>
          </cell>
          <cell r="BF387" t="str">
            <v>Biswajit</v>
          </cell>
          <cell r="BG387" t="str">
            <v>Y</v>
          </cell>
        </row>
        <row r="388">
          <cell r="A388" t="str">
            <v>FBR1A230008</v>
          </cell>
          <cell r="B388">
            <v>230008</v>
          </cell>
          <cell r="C388" t="str">
            <v>R&amp;D</v>
          </cell>
          <cell r="D388">
            <v>44943</v>
          </cell>
          <cell r="E388">
            <v>0.33194444444444443</v>
          </cell>
          <cell r="F388">
            <v>44927</v>
          </cell>
          <cell r="G388">
            <v>44943</v>
          </cell>
          <cell r="H388">
            <v>0.3923611111111111</v>
          </cell>
          <cell r="I388">
            <v>6.0416666666666667E-2</v>
          </cell>
          <cell r="J388">
            <v>1</v>
          </cell>
          <cell r="K388" t="str">
            <v>FCB-PROTOCOL-01</v>
          </cell>
          <cell r="L388" t="str">
            <v>CLN/PRA/186</v>
          </cell>
          <cell r="M388" t="str">
            <v>Y</v>
          </cell>
          <cell r="N388" t="str">
            <v>Other Indication</v>
          </cell>
          <cell r="O388" t="str">
            <v>Internal R&amp;D</v>
          </cell>
          <cell r="P388" t="str">
            <v>Q1 Passed</v>
          </cell>
          <cell r="Q388" t="str">
            <v>Q1 Passed</v>
          </cell>
          <cell r="R388" t="str">
            <v>Q1.5 Passed</v>
          </cell>
          <cell r="S388" t="str">
            <v>Q1.5 Rejected</v>
          </cell>
          <cell r="V388" t="str">
            <v>No Tumor</v>
          </cell>
          <cell r="W388" t="str">
            <v>Private Hospital</v>
          </cell>
          <cell r="X388" t="str">
            <v>Dr Prakash BV, Bangalore</v>
          </cell>
          <cell r="Y388" t="str">
            <v>Sri Lakshmi Hospital, Bangalore</v>
          </cell>
          <cell r="Z388" t="str">
            <v>Dr Prakash BV, Bangalore</v>
          </cell>
          <cell r="AA388" t="str">
            <v>Ca Ovary</v>
          </cell>
          <cell r="AC388" t="str">
            <v>Ovary</v>
          </cell>
          <cell r="AD388" t="str">
            <v>Left Ovary</v>
          </cell>
          <cell r="AE388" t="str">
            <v>Female</v>
          </cell>
          <cell r="AF388">
            <v>60</v>
          </cell>
          <cell r="AG388" t="str">
            <v>N</v>
          </cell>
          <cell r="AH388">
            <v>3.5</v>
          </cell>
          <cell r="AI388" t="str">
            <v>Kalappa</v>
          </cell>
          <cell r="AJ388" t="str">
            <v>Surgery</v>
          </cell>
          <cell r="AK388" t="str">
            <v>Primary</v>
          </cell>
          <cell r="AV388">
            <v>44943</v>
          </cell>
          <cell r="AW388">
            <v>0.44444444444444442</v>
          </cell>
          <cell r="AX388">
            <v>0.52777777777777779</v>
          </cell>
          <cell r="AY388">
            <v>8.3333333333333329E-2</v>
          </cell>
          <cell r="AZ388">
            <v>0.13541666666666666</v>
          </cell>
          <cell r="BA388">
            <v>0.19583333333333333</v>
          </cell>
          <cell r="BB388" t="str">
            <v>0.9*1.1*2.4</v>
          </cell>
          <cell r="BC388" t="str">
            <v>0.9*1.1*2.4</v>
          </cell>
          <cell r="BD388" t="str">
            <v>Manual</v>
          </cell>
          <cell r="BE388">
            <v>15</v>
          </cell>
          <cell r="BF388" t="str">
            <v>Biswajit</v>
          </cell>
          <cell r="BG388" t="str">
            <v>Y</v>
          </cell>
        </row>
        <row r="389">
          <cell r="A389" t="str">
            <v>FBR1T230009</v>
          </cell>
          <cell r="B389">
            <v>230009</v>
          </cell>
          <cell r="C389" t="str">
            <v>R&amp;D</v>
          </cell>
          <cell r="D389">
            <v>44943</v>
          </cell>
          <cell r="E389">
            <v>0.47638888888888886</v>
          </cell>
          <cell r="F389">
            <v>44927</v>
          </cell>
          <cell r="G389">
            <v>44943</v>
          </cell>
          <cell r="H389">
            <v>0.61875000000000002</v>
          </cell>
          <cell r="I389">
            <v>0.1423611111111111</v>
          </cell>
          <cell r="J389">
            <v>3</v>
          </cell>
          <cell r="K389" t="str">
            <v>FCB-PROTOCOL-01</v>
          </cell>
          <cell r="L389" t="str">
            <v>VYD/141</v>
          </cell>
          <cell r="M389" t="str">
            <v>Y</v>
          </cell>
          <cell r="N389" t="str">
            <v>cc Study(1T)</v>
          </cell>
          <cell r="O389" t="str">
            <v>Internal R&amp;D</v>
          </cell>
          <cell r="P389" t="str">
            <v>Q1 Passed</v>
          </cell>
          <cell r="Q389" t="str">
            <v>Q1 Passed</v>
          </cell>
          <cell r="R389" t="str">
            <v>Q1.5 Passed</v>
          </cell>
          <cell r="S389" t="str">
            <v>Q1.5 Passed</v>
          </cell>
          <cell r="V389" t="str">
            <v>Tumour content 55-75%</v>
          </cell>
          <cell r="W389" t="str">
            <v>Private Hospital</v>
          </cell>
          <cell r="X389" t="str">
            <v>Vydehi Hospital, Bangalore</v>
          </cell>
          <cell r="Y389" t="str">
            <v>Vydehi Hospital, Bangalore</v>
          </cell>
          <cell r="Z389" t="str">
            <v>Dr Amritha Prabha, Bangalore</v>
          </cell>
          <cell r="AA389" t="str">
            <v>HNSCC</v>
          </cell>
          <cell r="AC389" t="str">
            <v>Buccal Mucosa</v>
          </cell>
          <cell r="AD389" t="str">
            <v>Right buccal mucosa</v>
          </cell>
          <cell r="AE389" t="str">
            <v>Male</v>
          </cell>
          <cell r="AF389">
            <v>44</v>
          </cell>
          <cell r="AG389" t="str">
            <v>N</v>
          </cell>
          <cell r="AH389">
            <v>5.0999999999999996</v>
          </cell>
          <cell r="AI389" t="str">
            <v>Shashi</v>
          </cell>
          <cell r="AJ389" t="str">
            <v>Surgery</v>
          </cell>
          <cell r="AK389" t="str">
            <v>Primary</v>
          </cell>
          <cell r="AN389" t="str">
            <v>IVB</v>
          </cell>
          <cell r="AO389">
            <v>2</v>
          </cell>
          <cell r="AP389" t="str">
            <v>pT4aN3b</v>
          </cell>
          <cell r="AV389">
            <v>44943</v>
          </cell>
          <cell r="AW389">
            <v>0.6479166666666667</v>
          </cell>
          <cell r="AX389">
            <v>0.75694444444444442</v>
          </cell>
          <cell r="AY389">
            <v>0.10902777777777778</v>
          </cell>
          <cell r="AZ389">
            <v>0.13819444444444445</v>
          </cell>
          <cell r="BA389">
            <v>0.28055555555555556</v>
          </cell>
          <cell r="BB389" t="str">
            <v>0.6*0.8/1.0*1.2/1.4</v>
          </cell>
          <cell r="BC389" t="str">
            <v>0.6*0.8/1.0*1.2/1.4</v>
          </cell>
          <cell r="BD389" t="str">
            <v>Vibratome</v>
          </cell>
          <cell r="BE389">
            <v>15</v>
          </cell>
          <cell r="BF389" t="str">
            <v>chandan</v>
          </cell>
          <cell r="BG389" t="str">
            <v>Y</v>
          </cell>
        </row>
        <row r="390">
          <cell r="A390" t="str">
            <v>FBR1T230010</v>
          </cell>
          <cell r="B390">
            <v>230010</v>
          </cell>
          <cell r="C390" t="str">
            <v>R&amp;D</v>
          </cell>
          <cell r="D390">
            <v>44943</v>
          </cell>
          <cell r="E390">
            <v>0.57499999999999996</v>
          </cell>
          <cell r="F390">
            <v>44927</v>
          </cell>
          <cell r="G390">
            <v>44943</v>
          </cell>
          <cell r="H390">
            <v>0.61944444444444446</v>
          </cell>
          <cell r="I390">
            <v>4.4444444444444446E-2</v>
          </cell>
          <cell r="J390">
            <v>2</v>
          </cell>
          <cell r="K390" t="str">
            <v>FCB-PROTOCOL-01</v>
          </cell>
          <cell r="L390" t="str">
            <v>CLN/PRA/187</v>
          </cell>
          <cell r="M390" t="str">
            <v>Y</v>
          </cell>
          <cell r="N390" t="str">
            <v>cc Study(1T)</v>
          </cell>
          <cell r="O390" t="str">
            <v>Internal R&amp;D</v>
          </cell>
          <cell r="P390" t="str">
            <v>Q1 Passed</v>
          </cell>
          <cell r="Q390" t="str">
            <v>Q1 Passed</v>
          </cell>
          <cell r="R390" t="str">
            <v>Q1.5 Passed</v>
          </cell>
          <cell r="S390" t="str">
            <v>Q1.5 Passed</v>
          </cell>
          <cell r="V390" t="str">
            <v>Tumour content 0-80% , necrosis high</v>
          </cell>
          <cell r="W390" t="str">
            <v>Private Hospital</v>
          </cell>
          <cell r="X390" t="str">
            <v>Dr Prakash BV, Bangalore</v>
          </cell>
          <cell r="Y390" t="str">
            <v>Sri Lakshmi Hospital, Bangalore</v>
          </cell>
          <cell r="Z390" t="str">
            <v>Dr Prakash BV, Bangalore</v>
          </cell>
          <cell r="AA390" t="str">
            <v>HNSCC</v>
          </cell>
          <cell r="AC390" t="str">
            <v>Pyriform Fossa</v>
          </cell>
          <cell r="AD390" t="str">
            <v>Right Pyriform fossa</v>
          </cell>
          <cell r="AE390" t="str">
            <v>Female</v>
          </cell>
          <cell r="AF390">
            <v>60</v>
          </cell>
          <cell r="AG390" t="str">
            <v>N</v>
          </cell>
          <cell r="AH390">
            <v>4.8</v>
          </cell>
          <cell r="AI390" t="str">
            <v>Partha</v>
          </cell>
          <cell r="AJ390" t="str">
            <v>Surgery</v>
          </cell>
          <cell r="AK390" t="str">
            <v>Primary</v>
          </cell>
          <cell r="AL390" t="str">
            <v>Chemotherapy</v>
          </cell>
          <cell r="AN390" t="str">
            <v>III</v>
          </cell>
          <cell r="AP390" t="str">
            <v>pT3N1M0</v>
          </cell>
          <cell r="AQ390">
            <v>5</v>
          </cell>
          <cell r="AR390" t="str">
            <v>Cisplatin</v>
          </cell>
          <cell r="AV390">
            <v>44943</v>
          </cell>
          <cell r="AW390">
            <v>0.60763888888888884</v>
          </cell>
          <cell r="AX390">
            <v>0.72916666666666663</v>
          </cell>
          <cell r="AY390">
            <v>0.12152777777777778</v>
          </cell>
          <cell r="AZ390">
            <v>0.10972222222222222</v>
          </cell>
          <cell r="BA390">
            <v>0.15416666666666667</v>
          </cell>
          <cell r="BB390" t="str">
            <v>0.8*0.8*2.0</v>
          </cell>
          <cell r="BC390" t="str">
            <v>0.8*0.8*2.0</v>
          </cell>
          <cell r="BD390" t="str">
            <v>Manual+Vibratome</v>
          </cell>
          <cell r="BE390">
            <v>15</v>
          </cell>
          <cell r="BF390" t="str">
            <v>Rajashekhar</v>
          </cell>
          <cell r="BG390" t="str">
            <v>Y</v>
          </cell>
        </row>
        <row r="391">
          <cell r="A391" t="str">
            <v>FBR1T230011</v>
          </cell>
          <cell r="B391">
            <v>230011</v>
          </cell>
          <cell r="C391" t="str">
            <v>R&amp;D</v>
          </cell>
          <cell r="D391">
            <v>44945</v>
          </cell>
          <cell r="E391">
            <v>0.64583333333333337</v>
          </cell>
          <cell r="F391">
            <v>44927</v>
          </cell>
          <cell r="G391">
            <v>44215</v>
          </cell>
          <cell r="H391">
            <v>0.73541666666666672</v>
          </cell>
          <cell r="I391">
            <v>8.9583333333333334E-2</v>
          </cell>
          <cell r="J391">
            <v>15</v>
          </cell>
          <cell r="K391" t="str">
            <v>FCB-PROTOCOL-02</v>
          </cell>
          <cell r="L391" t="str">
            <v>HN035</v>
          </cell>
          <cell r="M391" t="str">
            <v>Y</v>
          </cell>
          <cell r="N391" t="str">
            <v>cc Study(1T)</v>
          </cell>
          <cell r="O391" t="str">
            <v>Internal R&amp;D</v>
          </cell>
          <cell r="P391" t="str">
            <v>Q1 Passed</v>
          </cell>
          <cell r="Q391" t="str">
            <v>Q1 Passed</v>
          </cell>
          <cell r="R391" t="str">
            <v>Q1.5 Passed</v>
          </cell>
          <cell r="S391" t="str">
            <v>Q1.5 Passed</v>
          </cell>
          <cell r="V391" t="str">
            <v>Tumour content 45-85%</v>
          </cell>
          <cell r="W391" t="str">
            <v>Private Hospital</v>
          </cell>
          <cell r="X391" t="str">
            <v>Mazumdar Shaw Medical Centre, Bangalore</v>
          </cell>
          <cell r="Y391" t="str">
            <v>Mazumdar Shaw Medical Centre, Bangalore</v>
          </cell>
          <cell r="Z391" t="str">
            <v>Dr Vijay Pillai, Bangalore</v>
          </cell>
          <cell r="AA391" t="str">
            <v>HNSCC</v>
          </cell>
          <cell r="AC391" t="str">
            <v>Tongue</v>
          </cell>
          <cell r="AD391" t="str">
            <v>Right Lateral Border of Tongue</v>
          </cell>
          <cell r="AE391" t="str">
            <v>Male</v>
          </cell>
          <cell r="AF391">
            <v>52</v>
          </cell>
          <cell r="AG391" t="str">
            <v>N</v>
          </cell>
          <cell r="AH391">
            <v>5.0999999999999996</v>
          </cell>
          <cell r="AI391" t="str">
            <v>Maruthi</v>
          </cell>
          <cell r="AJ391" t="str">
            <v>Surgery</v>
          </cell>
          <cell r="AK391" t="str">
            <v>Primary</v>
          </cell>
          <cell r="AN391" t="str">
            <v>IV</v>
          </cell>
          <cell r="AO391">
            <v>2</v>
          </cell>
          <cell r="AP391" t="str">
            <v>pT4a</v>
          </cell>
          <cell r="AS391" t="str">
            <v>Moderately advanced local disease.</v>
          </cell>
          <cell r="AV391">
            <v>44945</v>
          </cell>
          <cell r="AW391">
            <v>0.74791666666666667</v>
          </cell>
          <cell r="AX391">
            <v>0.85416666666666663</v>
          </cell>
          <cell r="AY391">
            <v>0.10625</v>
          </cell>
          <cell r="AZ391">
            <v>0.11874999999999999</v>
          </cell>
          <cell r="BA391">
            <v>0.20833333333333334</v>
          </cell>
          <cell r="BB391" t="str">
            <v>1.2*1.5*1.6</v>
          </cell>
          <cell r="BC391" t="str">
            <v>1.2*1.5*1.6</v>
          </cell>
          <cell r="BD391" t="str">
            <v>Vibratome</v>
          </cell>
          <cell r="BE391">
            <v>15</v>
          </cell>
          <cell r="BF391" t="str">
            <v>Dharani</v>
          </cell>
          <cell r="BG391" t="str">
            <v>Y</v>
          </cell>
        </row>
        <row r="392">
          <cell r="A392" t="str">
            <v>FBR1R230011</v>
          </cell>
          <cell r="B392">
            <v>230011</v>
          </cell>
          <cell r="C392" t="str">
            <v>R&amp;D</v>
          </cell>
          <cell r="D392">
            <v>44945</v>
          </cell>
          <cell r="E392">
            <v>0.64583333333333337</v>
          </cell>
          <cell r="F392">
            <v>44927</v>
          </cell>
          <cell r="G392">
            <v>44215</v>
          </cell>
          <cell r="H392">
            <v>0.73541666666666672</v>
          </cell>
          <cell r="I392">
            <v>8.9583333333333334E-2</v>
          </cell>
          <cell r="J392">
            <v>15</v>
          </cell>
          <cell r="K392" t="str">
            <v>FCB-PROTOCOL-02</v>
          </cell>
          <cell r="L392" t="str">
            <v>HN035</v>
          </cell>
          <cell r="M392" t="str">
            <v>Y</v>
          </cell>
          <cell r="N392" t="str">
            <v>BSS(1R)</v>
          </cell>
          <cell r="O392" t="str">
            <v>Internal R&amp;D</v>
          </cell>
          <cell r="P392" t="str">
            <v>Q1 Passed</v>
          </cell>
          <cell r="Q392" t="str">
            <v>Q1 Passed</v>
          </cell>
          <cell r="R392" t="str">
            <v>Q1.5 Passed</v>
          </cell>
          <cell r="S392" t="str">
            <v>Q1.5 Passed</v>
          </cell>
          <cell r="V392" t="str">
            <v>Tumour content 45-95%</v>
          </cell>
          <cell r="W392" t="str">
            <v>Private Hospital</v>
          </cell>
          <cell r="X392" t="str">
            <v>Mazumdar Shaw Medical Centre, Bangalore</v>
          </cell>
          <cell r="Y392" t="str">
            <v>Mazumdar Shaw Medical Centre, Bangalore</v>
          </cell>
          <cell r="Z392" t="str">
            <v>Dr Vijay Pillai, Bangalore</v>
          </cell>
          <cell r="AA392" t="str">
            <v>HNSCC</v>
          </cell>
          <cell r="AC392" t="str">
            <v>Tongue</v>
          </cell>
          <cell r="AD392" t="str">
            <v>Right Lateral Border of Tongue</v>
          </cell>
          <cell r="AE392" t="str">
            <v>Male</v>
          </cell>
          <cell r="AF392">
            <v>52</v>
          </cell>
          <cell r="AG392" t="str">
            <v>N</v>
          </cell>
          <cell r="AH392">
            <v>5.0999999999999996</v>
          </cell>
          <cell r="AI392" t="str">
            <v>Maruthi</v>
          </cell>
          <cell r="AJ392" t="str">
            <v>Surgery</v>
          </cell>
          <cell r="AK392" t="str">
            <v>Primary</v>
          </cell>
          <cell r="AN392" t="str">
            <v>IV</v>
          </cell>
          <cell r="AO392">
            <v>2</v>
          </cell>
          <cell r="AP392" t="str">
            <v>pT4a</v>
          </cell>
          <cell r="AS392" t="str">
            <v>Moderately advanced local disease.</v>
          </cell>
          <cell r="AV392">
            <v>44945</v>
          </cell>
          <cell r="AW392">
            <v>0.74791666666666667</v>
          </cell>
          <cell r="AX392">
            <v>0.85416666666666663</v>
          </cell>
          <cell r="AY392">
            <v>0.10625</v>
          </cell>
          <cell r="AZ392">
            <v>0.11874999999999999</v>
          </cell>
          <cell r="BA392">
            <v>0.20833333333333334</v>
          </cell>
          <cell r="BB392" t="str">
            <v>1.2*1.5*1.6</v>
          </cell>
          <cell r="BC392" t="str">
            <v>1.2*1.5*1.6</v>
          </cell>
          <cell r="BD392" t="str">
            <v>Vibratome</v>
          </cell>
          <cell r="BE392">
            <v>15</v>
          </cell>
          <cell r="BF392" t="str">
            <v>Dharani</v>
          </cell>
          <cell r="BG392" t="str">
            <v>Y</v>
          </cell>
        </row>
        <row r="393">
          <cell r="A393" t="str">
            <v>FBR1W230012</v>
          </cell>
          <cell r="B393">
            <v>230012</v>
          </cell>
          <cell r="C393" t="str">
            <v>R&amp;D</v>
          </cell>
          <cell r="D393">
            <v>44946</v>
          </cell>
          <cell r="E393">
            <v>0.65972222222222221</v>
          </cell>
          <cell r="F393">
            <v>44927</v>
          </cell>
          <cell r="G393">
            <v>44946</v>
          </cell>
          <cell r="H393">
            <v>0.69097222222222221</v>
          </cell>
          <cell r="I393">
            <v>3.125E-2</v>
          </cell>
          <cell r="J393">
            <v>0</v>
          </cell>
          <cell r="K393" t="str">
            <v>FCB-PROTOCOL-02</v>
          </cell>
          <cell r="L393" t="str">
            <v>BC002</v>
          </cell>
          <cell r="M393" t="str">
            <v>Y</v>
          </cell>
          <cell r="N393" t="str">
            <v>Biopsy Cabr-BSS (1W)</v>
          </cell>
          <cell r="O393" t="str">
            <v>Internal R&amp;D</v>
          </cell>
          <cell r="P393" t="str">
            <v>Q1 Passed</v>
          </cell>
          <cell r="Q393" t="str">
            <v>Q1 Passed</v>
          </cell>
          <cell r="R393" t="str">
            <v>Q1.5 Passed</v>
          </cell>
          <cell r="S393" t="str">
            <v>Q1.5 Passed</v>
          </cell>
          <cell r="V393" t="str">
            <v>Tumour content Trace - 3%</v>
          </cell>
          <cell r="W393" t="str">
            <v>Private Hospital</v>
          </cell>
          <cell r="X393" t="str">
            <v>Mazumdar Shaw Medical Centre, Bangalore</v>
          </cell>
          <cell r="Y393" t="str">
            <v>Mazumdar Shaw Medical Centre, Bangalore</v>
          </cell>
          <cell r="Z393" t="str">
            <v>Dr Akshita Singh</v>
          </cell>
          <cell r="AA393" t="str">
            <v>Ca Breast</v>
          </cell>
          <cell r="AB393" t="str">
            <v>Er+
Pr+
Her2 ncomplete membrane staining that is faint/barely perceptible and
within &lt; 10% of the invasive tumour cells</v>
          </cell>
          <cell r="AC393" t="str">
            <v>Breast</v>
          </cell>
          <cell r="AD393" t="str">
            <v>Right Breast Biopsy</v>
          </cell>
          <cell r="AE393" t="str">
            <v>Female</v>
          </cell>
          <cell r="AF393">
            <v>57</v>
          </cell>
          <cell r="AG393" t="str">
            <v>N</v>
          </cell>
          <cell r="AH393">
            <v>3.2</v>
          </cell>
          <cell r="AI393" t="str">
            <v>Kalappa</v>
          </cell>
          <cell r="AJ393" t="str">
            <v>Biopsy</v>
          </cell>
          <cell r="AK393" t="str">
            <v>Primary</v>
          </cell>
          <cell r="AV393">
            <v>44946</v>
          </cell>
          <cell r="AW393">
            <v>0.71180555555555558</v>
          </cell>
          <cell r="AX393">
            <v>0.76180555555555551</v>
          </cell>
          <cell r="AY393">
            <v>0.05</v>
          </cell>
          <cell r="AZ393">
            <v>7.0833333333333331E-2</v>
          </cell>
          <cell r="BA393">
            <v>0.10208333333333333</v>
          </cell>
          <cell r="BB393" t="str">
            <v>1 core
0.2*0.1*1.2</v>
          </cell>
          <cell r="BC393" t="str">
            <v>1 core
0.2*0.1*1.2</v>
          </cell>
          <cell r="BD393" t="str">
            <v>Manual</v>
          </cell>
          <cell r="BE393">
            <v>15</v>
          </cell>
          <cell r="BF393" t="str">
            <v>Dharani</v>
          </cell>
          <cell r="BG393" t="str">
            <v>Y</v>
          </cell>
        </row>
        <row r="394">
          <cell r="A394" t="str">
            <v>FBR1M230013</v>
          </cell>
          <cell r="B394">
            <v>230013</v>
          </cell>
          <cell r="C394" t="str">
            <v>R&amp;D</v>
          </cell>
          <cell r="D394">
            <v>44949</v>
          </cell>
          <cell r="E394">
            <v>0.73055555555555551</v>
          </cell>
          <cell r="F394">
            <v>44927</v>
          </cell>
          <cell r="G394">
            <v>44949</v>
          </cell>
          <cell r="H394">
            <v>0.75763888888888886</v>
          </cell>
          <cell r="I394">
            <v>2.7083333333333334E-2</v>
          </cell>
          <cell r="J394">
            <v>4</v>
          </cell>
          <cell r="K394" t="str">
            <v>FCB-PROTOCOL-02</v>
          </cell>
          <cell r="L394" t="str">
            <v>RC019</v>
          </cell>
          <cell r="M394" t="str">
            <v>Y</v>
          </cell>
          <cell r="N394" t="str">
            <v>DMS_RCC(1M)</v>
          </cell>
          <cell r="O394" t="str">
            <v>Internal R&amp;D</v>
          </cell>
          <cell r="P394" t="str">
            <v>Q1 Passed</v>
          </cell>
          <cell r="Q394" t="str">
            <v>Q1 Passed</v>
          </cell>
          <cell r="R394" t="str">
            <v>Q1.5 Passed</v>
          </cell>
          <cell r="S394" t="str">
            <v>Q1.5 Passed</v>
          </cell>
          <cell r="V394" t="str">
            <v>Tumour content 35-45% in only 3/7 explants; others no tumour</v>
          </cell>
          <cell r="W394" t="str">
            <v>Private Hospital</v>
          </cell>
          <cell r="X394" t="str">
            <v>Mazumdar Shaw Medical Centre, Bangalore</v>
          </cell>
          <cell r="Y394" t="str">
            <v>Mazumdar Shaw Medical Centre, Bangalore</v>
          </cell>
          <cell r="Z394" t="str">
            <v>Dr Saurabh Bhargav, Bangalore</v>
          </cell>
          <cell r="AA394" t="str">
            <v>RCC</v>
          </cell>
          <cell r="AC394" t="str">
            <v>Renal</v>
          </cell>
          <cell r="AD394" t="str">
            <v>Left renal Mass</v>
          </cell>
          <cell r="AE394" t="str">
            <v>Male</v>
          </cell>
          <cell r="AF394">
            <v>79</v>
          </cell>
          <cell r="AG394" t="str">
            <v>N</v>
          </cell>
          <cell r="AH394">
            <v>5.3</v>
          </cell>
          <cell r="AI394" t="str">
            <v>Maruthi</v>
          </cell>
          <cell r="AJ394" t="str">
            <v>Surgery</v>
          </cell>
          <cell r="AK394" t="str">
            <v>Primary</v>
          </cell>
          <cell r="AN394" t="str">
            <v>I</v>
          </cell>
          <cell r="AO394">
            <v>2</v>
          </cell>
          <cell r="AP394" t="str">
            <v>pT1a</v>
          </cell>
          <cell r="AS394" t="str">
            <v>Clear cell renal cell carcinoma (CCRCC)
regressive changes, completely excised</v>
          </cell>
          <cell r="AV394">
            <v>44949</v>
          </cell>
          <cell r="AW394">
            <v>0.77430555555555558</v>
          </cell>
          <cell r="AX394">
            <v>0.85277777777777775</v>
          </cell>
          <cell r="AY394">
            <v>7.8472222222222221E-2</v>
          </cell>
          <cell r="AZ394">
            <v>9.5138888888888884E-2</v>
          </cell>
          <cell r="BA394">
            <v>0.12222222222222222</v>
          </cell>
          <cell r="BB394" t="str">
            <v>0.8*0.4/0.6*0.6/0.8</v>
          </cell>
          <cell r="BC394" t="str">
            <v>0.8*0.4/0.6*0.6/0.8</v>
          </cell>
          <cell r="BD394" t="str">
            <v>Vibratome</v>
          </cell>
          <cell r="BE394">
            <v>15</v>
          </cell>
          <cell r="BF394" t="str">
            <v>Mounish</v>
          </cell>
          <cell r="BG394" t="str">
            <v>Y</v>
          </cell>
        </row>
        <row r="395">
          <cell r="A395" t="str">
            <v>FBR1T230014</v>
          </cell>
          <cell r="B395">
            <v>230014</v>
          </cell>
          <cell r="C395" t="str">
            <v>R&amp;D</v>
          </cell>
          <cell r="D395">
            <v>44950</v>
          </cell>
          <cell r="E395">
            <v>0.56111111111111112</v>
          </cell>
          <cell r="F395">
            <v>44927</v>
          </cell>
          <cell r="G395">
            <v>44950</v>
          </cell>
          <cell r="H395">
            <v>0.63611111111111107</v>
          </cell>
          <cell r="I395">
            <v>7.4999999999999997E-2</v>
          </cell>
          <cell r="J395">
            <v>8</v>
          </cell>
          <cell r="K395" t="str">
            <v>FCB-PROTOCOL-02</v>
          </cell>
          <cell r="L395" t="str">
            <v>HN036</v>
          </cell>
          <cell r="M395" t="str">
            <v>Y</v>
          </cell>
          <cell r="N395" t="str">
            <v>cc Study(1T)</v>
          </cell>
          <cell r="O395" t="str">
            <v>Internal R&amp;D</v>
          </cell>
          <cell r="P395" t="str">
            <v>Q1 Passed</v>
          </cell>
          <cell r="Q395" t="str">
            <v>Q1 Passed</v>
          </cell>
          <cell r="R395" t="str">
            <v>Q1.5 Passed</v>
          </cell>
          <cell r="S395" t="str">
            <v>Q1.5 Passed</v>
          </cell>
          <cell r="W395" t="str">
            <v>Private Hospital</v>
          </cell>
          <cell r="X395" t="str">
            <v>Mazumdar Shaw Medical Centre, Bangalore</v>
          </cell>
          <cell r="Y395" t="str">
            <v>Mazumdar Shaw Medical Centre, Bangalore</v>
          </cell>
          <cell r="Z395" t="str">
            <v>Dr Vijay Pillai, Bangalore</v>
          </cell>
          <cell r="AA395" t="str">
            <v>HNSCC</v>
          </cell>
          <cell r="AC395" t="str">
            <v>Buccal Mucosa</v>
          </cell>
          <cell r="AD395" t="str">
            <v>Left Buccal Mucosa</v>
          </cell>
          <cell r="AE395" t="str">
            <v>Female</v>
          </cell>
          <cell r="AF395">
            <v>44</v>
          </cell>
          <cell r="AG395" t="str">
            <v>N</v>
          </cell>
          <cell r="AH395">
            <v>4.9000000000000004</v>
          </cell>
          <cell r="AI395" t="str">
            <v>Shashi</v>
          </cell>
          <cell r="AJ395" t="str">
            <v>Surgery</v>
          </cell>
          <cell r="AK395" t="str">
            <v>Primary</v>
          </cell>
          <cell r="AN395" t="str">
            <v>IV</v>
          </cell>
          <cell r="AO395">
            <v>1</v>
          </cell>
          <cell r="AP395" t="str">
            <v>pT4b N0</v>
          </cell>
          <cell r="AS395" t="str">
            <v>Well differentiated  Squamous cell carcinoma</v>
          </cell>
          <cell r="AV395">
            <v>44950</v>
          </cell>
          <cell r="AW395">
            <v>0.66041666666666665</v>
          </cell>
          <cell r="AX395">
            <v>0.77777777777777779</v>
          </cell>
          <cell r="AY395">
            <v>0.11736111111111111</v>
          </cell>
          <cell r="AZ395">
            <v>0.14166666666666666</v>
          </cell>
          <cell r="BA395">
            <v>0.21666666666666667</v>
          </cell>
          <cell r="BB395" t="str">
            <v>0.6*1.3*1.2</v>
          </cell>
          <cell r="BC395" t="str">
            <v>0.6*1.3*1.2</v>
          </cell>
          <cell r="BD395" t="str">
            <v>Vibratome</v>
          </cell>
          <cell r="BE395">
            <v>15</v>
          </cell>
          <cell r="BF395" t="str">
            <v>Mounish</v>
          </cell>
          <cell r="BG395" t="str">
            <v>Y</v>
          </cell>
        </row>
        <row r="396">
          <cell r="A396" t="str">
            <v>FBR1V230014</v>
          </cell>
          <cell r="B396">
            <v>230014</v>
          </cell>
          <cell r="C396" t="str">
            <v>R&amp;D</v>
          </cell>
          <cell r="D396">
            <v>44950</v>
          </cell>
          <cell r="E396">
            <v>0.56111111111111112</v>
          </cell>
          <cell r="F396">
            <v>44927</v>
          </cell>
          <cell r="G396">
            <v>44950</v>
          </cell>
          <cell r="H396">
            <v>0.63611111111111107</v>
          </cell>
          <cell r="I396">
            <v>7.4999999999999997E-2</v>
          </cell>
          <cell r="J396">
            <v>8</v>
          </cell>
          <cell r="K396" t="str">
            <v>FCB-PROTOCOL-02</v>
          </cell>
          <cell r="L396" t="str">
            <v>HN036</v>
          </cell>
          <cell r="M396" t="str">
            <v>Y</v>
          </cell>
          <cell r="N396" t="str">
            <v>TPC (1V)</v>
          </cell>
          <cell r="O396" t="str">
            <v>Internal R&amp;D</v>
          </cell>
          <cell r="P396" t="str">
            <v>Q1 Passed</v>
          </cell>
          <cell r="Q396" t="str">
            <v>Q1 Passed</v>
          </cell>
          <cell r="R396" t="str">
            <v>Q1.5 Passed</v>
          </cell>
          <cell r="S396" t="str">
            <v>Q1.5 Passed</v>
          </cell>
          <cell r="V396" t="str">
            <v>Tumour content 65-85% . Immune component 3-6%</v>
          </cell>
          <cell r="W396" t="str">
            <v>Private Hospital</v>
          </cell>
          <cell r="X396" t="str">
            <v>Mazumdar Shaw Medical Centre, Bangalore</v>
          </cell>
          <cell r="Y396" t="str">
            <v>Mazumdar Shaw Medical Centre, Bangalore</v>
          </cell>
          <cell r="Z396" t="str">
            <v>Dr Vijay Pillai, Bangalore</v>
          </cell>
          <cell r="AA396" t="str">
            <v>HNSCC</v>
          </cell>
          <cell r="AC396" t="str">
            <v>Buccal Mucosa</v>
          </cell>
          <cell r="AD396" t="str">
            <v>Left Buccal Mucosa</v>
          </cell>
          <cell r="AE396" t="str">
            <v>Female</v>
          </cell>
          <cell r="AF396">
            <v>44</v>
          </cell>
          <cell r="AG396" t="str">
            <v>N</v>
          </cell>
          <cell r="AH396">
            <v>4.9000000000000004</v>
          </cell>
          <cell r="AI396" t="str">
            <v>Shashi</v>
          </cell>
          <cell r="AJ396" t="str">
            <v>Surgery</v>
          </cell>
          <cell r="AK396" t="str">
            <v>Primary</v>
          </cell>
          <cell r="AN396" t="str">
            <v>IV</v>
          </cell>
          <cell r="AO396">
            <v>1</v>
          </cell>
          <cell r="AP396" t="str">
            <v>pT4b N0</v>
          </cell>
          <cell r="AS396" t="str">
            <v>Well differentiated  Squamous cell carcinoma</v>
          </cell>
          <cell r="AV396">
            <v>44950</v>
          </cell>
          <cell r="AW396">
            <v>0.66041666666666665</v>
          </cell>
          <cell r="AX396">
            <v>0.77222222222222225</v>
          </cell>
          <cell r="AY396">
            <v>0.11180555555555556</v>
          </cell>
          <cell r="AZ396">
            <v>0.1361111111111111</v>
          </cell>
          <cell r="BA396">
            <v>0.21111111111111111</v>
          </cell>
          <cell r="BB396" t="str">
            <v>0.6*1.3*1.2</v>
          </cell>
          <cell r="BC396" t="str">
            <v>0.6*1.3*1.2</v>
          </cell>
          <cell r="BD396" t="str">
            <v>Vibratome</v>
          </cell>
          <cell r="BE396">
            <v>15</v>
          </cell>
          <cell r="BF396" t="str">
            <v>Mounish</v>
          </cell>
          <cell r="BG396" t="str">
            <v>Y</v>
          </cell>
        </row>
        <row r="397">
          <cell r="A397" t="str">
            <v>FBR1W230015</v>
          </cell>
          <cell r="B397">
            <v>230015</v>
          </cell>
          <cell r="C397" t="str">
            <v>R&amp;D</v>
          </cell>
          <cell r="D397">
            <v>44951</v>
          </cell>
          <cell r="E397">
            <v>0.54305555555555551</v>
          </cell>
          <cell r="F397">
            <v>44927</v>
          </cell>
          <cell r="G397">
            <v>44951</v>
          </cell>
          <cell r="H397">
            <v>0.63611111111111107</v>
          </cell>
          <cell r="I397">
            <v>9.3055555555555558E-2</v>
          </cell>
          <cell r="J397">
            <v>0</v>
          </cell>
          <cell r="K397" t="str">
            <v>FCB-PROTOCOL-02</v>
          </cell>
          <cell r="L397" t="str">
            <v>BC003</v>
          </cell>
          <cell r="M397" t="str">
            <v>Y</v>
          </cell>
          <cell r="N397" t="str">
            <v>Biopsy Cabr-BSS (1W)</v>
          </cell>
          <cell r="O397" t="str">
            <v>Internal R&amp;D</v>
          </cell>
          <cell r="P397" t="str">
            <v>Q1 Passed</v>
          </cell>
          <cell r="Q397" t="str">
            <v>Q1 Passed</v>
          </cell>
          <cell r="R397" t="str">
            <v>Q1.5 Passed</v>
          </cell>
          <cell r="S397" t="str">
            <v>Q1.5 Passed</v>
          </cell>
          <cell r="V397" t="str">
            <v>Tumour content 1-55% in 7 explants; others no tumour</v>
          </cell>
          <cell r="W397" t="str">
            <v>Private Hospital</v>
          </cell>
          <cell r="X397" t="str">
            <v>Mazumdar Shaw Medical Centre, Bangalore</v>
          </cell>
          <cell r="Y397" t="str">
            <v>Mazumdar Shaw Medical Centre, Bangalore</v>
          </cell>
          <cell r="Z397" t="str">
            <v>Dr Akshita Singh</v>
          </cell>
          <cell r="AA397" t="str">
            <v>Ca Breast</v>
          </cell>
          <cell r="AB397" t="str">
            <v>Er+
Pr+
Her2Circumferential membrane staining that is
incomplete and moderate and within &gt;10% of the invasive tumour
cells</v>
          </cell>
          <cell r="AC397" t="str">
            <v>Breast</v>
          </cell>
          <cell r="AD397" t="str">
            <v>Left breast Biopsy</v>
          </cell>
          <cell r="AE397" t="str">
            <v>Female</v>
          </cell>
          <cell r="AF397">
            <v>72</v>
          </cell>
          <cell r="AG397" t="str">
            <v>N</v>
          </cell>
          <cell r="AH397">
            <v>3.2</v>
          </cell>
          <cell r="AI397" t="str">
            <v>Kalappa</v>
          </cell>
          <cell r="AJ397" t="str">
            <v>Biopsy</v>
          </cell>
          <cell r="AK397" t="str">
            <v>Primary</v>
          </cell>
          <cell r="AV397">
            <v>44951</v>
          </cell>
          <cell r="AW397">
            <v>0.66666666666666663</v>
          </cell>
          <cell r="AX397">
            <v>0.71875</v>
          </cell>
          <cell r="AY397">
            <v>5.2083333333333336E-2</v>
          </cell>
          <cell r="AZ397">
            <v>8.2638888888888887E-2</v>
          </cell>
          <cell r="BA397">
            <v>0.17569444444444443</v>
          </cell>
          <cell r="BB397" t="str">
            <v>1 core-20mm
2 core-20mm</v>
          </cell>
          <cell r="BC397" t="str">
            <v>1 core-20mm
2 core-20mm</v>
          </cell>
          <cell r="BD397" t="str">
            <v>Manual</v>
          </cell>
          <cell r="BE397">
            <v>15</v>
          </cell>
          <cell r="BF397" t="str">
            <v>Biswajit</v>
          </cell>
          <cell r="BG397" t="str">
            <v>N</v>
          </cell>
        </row>
        <row r="398">
          <cell r="A398" t="str">
            <v>FBR1T230016</v>
          </cell>
          <cell r="B398">
            <v>230016</v>
          </cell>
          <cell r="C398" t="str">
            <v>R&amp;D</v>
          </cell>
          <cell r="D398">
            <v>44952</v>
          </cell>
          <cell r="E398">
            <v>0.98402777777777772</v>
          </cell>
          <cell r="F398">
            <v>44927</v>
          </cell>
          <cell r="G398">
            <v>44952</v>
          </cell>
          <cell r="H398">
            <v>0.16041666666666668</v>
          </cell>
          <cell r="I398">
            <v>0.1763888888888889</v>
          </cell>
          <cell r="J398">
            <v>2</v>
          </cell>
          <cell r="K398" t="str">
            <v>FCB-PROTOCOL-01</v>
          </cell>
          <cell r="L398" t="str">
            <v>CLN/PRA/188</v>
          </cell>
          <cell r="M398" t="str">
            <v>Y</v>
          </cell>
          <cell r="N398" t="str">
            <v>cc Study(1T)</v>
          </cell>
          <cell r="O398" t="str">
            <v>Internal R&amp;D</v>
          </cell>
          <cell r="P398" t="str">
            <v>Q1 Passed</v>
          </cell>
          <cell r="Q398" t="str">
            <v>Q1 Passed</v>
          </cell>
          <cell r="R398" t="str">
            <v>Q1.5 Passed</v>
          </cell>
          <cell r="S398" t="str">
            <v>Q1.5 Passed</v>
          </cell>
          <cell r="V398" t="str">
            <v>Tumour content 75-95%</v>
          </cell>
          <cell r="W398" t="str">
            <v>Private Hospital</v>
          </cell>
          <cell r="X398" t="str">
            <v>Dr Prakash BV, Bangalore</v>
          </cell>
          <cell r="Y398" t="str">
            <v>Sri Lakshmi Hospital, Bangalore</v>
          </cell>
          <cell r="Z398" t="str">
            <v>Dr Prakash BV, Bangalore</v>
          </cell>
          <cell r="AA398" t="str">
            <v>HNSCC</v>
          </cell>
          <cell r="AC398" t="str">
            <v>GBS</v>
          </cell>
          <cell r="AD398" t="str">
            <v>Left upper GBS</v>
          </cell>
          <cell r="AE398" t="str">
            <v>Female</v>
          </cell>
          <cell r="AF398">
            <v>60</v>
          </cell>
          <cell r="AG398" t="str">
            <v>N</v>
          </cell>
          <cell r="AH398">
            <v>4.2</v>
          </cell>
          <cell r="AI398" t="str">
            <v>Kalappa</v>
          </cell>
          <cell r="AJ398" t="str">
            <v>Surgery</v>
          </cell>
          <cell r="AK398" t="str">
            <v>Primary</v>
          </cell>
          <cell r="AV398">
            <v>44952</v>
          </cell>
          <cell r="AW398">
            <v>0.40625</v>
          </cell>
          <cell r="AX398">
            <v>0.47916666666666669</v>
          </cell>
          <cell r="AY398">
            <v>7.2916666666666671E-2</v>
          </cell>
          <cell r="AZ39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39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398" t="str">
            <v>0.2/0.3*1.0*2.0</v>
          </cell>
          <cell r="BC398" t="str">
            <v>0.2/0.3*1.0*2.0</v>
          </cell>
          <cell r="BD398" t="str">
            <v>Vibratome</v>
          </cell>
          <cell r="BE398">
            <v>15</v>
          </cell>
          <cell r="BF398" t="str">
            <v>Kowshik</v>
          </cell>
          <cell r="BG398" t="str">
            <v>N</v>
          </cell>
        </row>
        <row r="399">
          <cell r="A399" t="str">
            <v>FBR1R230016</v>
          </cell>
          <cell r="B399">
            <v>230016</v>
          </cell>
          <cell r="C399" t="str">
            <v>R&amp;D</v>
          </cell>
          <cell r="D399">
            <v>44952</v>
          </cell>
          <cell r="E399">
            <v>0.98402777777777772</v>
          </cell>
          <cell r="F399">
            <v>44927</v>
          </cell>
          <cell r="G399">
            <v>44952</v>
          </cell>
          <cell r="H399">
            <v>0.16041666666666668</v>
          </cell>
          <cell r="I399">
            <v>0.1763888888888889</v>
          </cell>
          <cell r="J399">
            <v>2</v>
          </cell>
          <cell r="K399" t="str">
            <v>FCB-PROTOCOL-01</v>
          </cell>
          <cell r="L399" t="str">
            <v>CLN/PRA/188</v>
          </cell>
          <cell r="M399" t="str">
            <v>Y</v>
          </cell>
          <cell r="N399" t="str">
            <v>BSS(1R)</v>
          </cell>
          <cell r="O399" t="str">
            <v>Internal R&amp;D</v>
          </cell>
          <cell r="P399" t="str">
            <v>Q1 Passed</v>
          </cell>
          <cell r="Q399" t="str">
            <v>Q1 Passed</v>
          </cell>
          <cell r="R399" t="str">
            <v>Q1.5 Passed</v>
          </cell>
          <cell r="S399" t="str">
            <v>Q1.5 Passed</v>
          </cell>
          <cell r="V399" t="str">
            <v>High tumour content in all fragments</v>
          </cell>
          <cell r="W399" t="str">
            <v>Private Hospital</v>
          </cell>
          <cell r="X399" t="str">
            <v>Dr Prakash BV, Bangalore</v>
          </cell>
          <cell r="Y399" t="str">
            <v>Sri Lakshmi Hospital, Bangalore</v>
          </cell>
          <cell r="Z399" t="str">
            <v>Dr Prakash BV, Bangalore</v>
          </cell>
          <cell r="AA399" t="str">
            <v>HNSCC</v>
          </cell>
          <cell r="AC399" t="str">
            <v>GBS</v>
          </cell>
          <cell r="AD399" t="str">
            <v>Left upper GBS</v>
          </cell>
          <cell r="AE399" t="str">
            <v>Female</v>
          </cell>
          <cell r="AF399">
            <v>60</v>
          </cell>
          <cell r="AG399" t="str">
            <v>N</v>
          </cell>
          <cell r="AH399">
            <v>4.2</v>
          </cell>
          <cell r="AI399" t="str">
            <v>Kalappa</v>
          </cell>
          <cell r="AJ399" t="str">
            <v>Surgery</v>
          </cell>
          <cell r="AK399" t="str">
            <v>Primary</v>
          </cell>
          <cell r="AV399">
            <v>44952</v>
          </cell>
          <cell r="AW399">
            <v>0.40625</v>
          </cell>
          <cell r="AX399">
            <v>0.47916666666666669</v>
          </cell>
          <cell r="AY399">
            <v>7.2916666666666671E-2</v>
          </cell>
          <cell r="AZ3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3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399" t="str">
            <v>0.2/0.3*1.0*2.0</v>
          </cell>
          <cell r="BC399" t="str">
            <v>0.2/0.3*1.0*2.0</v>
          </cell>
          <cell r="BD399" t="str">
            <v>Vibratome</v>
          </cell>
          <cell r="BE399">
            <v>15</v>
          </cell>
          <cell r="BF399" t="str">
            <v>Kowshik</v>
          </cell>
          <cell r="BG399" t="str">
            <v>Y</v>
          </cell>
        </row>
        <row r="400">
          <cell r="A400" t="str">
            <v>FBR1T230017</v>
          </cell>
          <cell r="B400">
            <v>230017</v>
          </cell>
          <cell r="C400" t="str">
            <v>R&amp;D</v>
          </cell>
          <cell r="D400">
            <v>44952</v>
          </cell>
          <cell r="E400">
            <v>0.10902777777777778</v>
          </cell>
          <cell r="F400">
            <v>44927</v>
          </cell>
          <cell r="G400">
            <v>44952</v>
          </cell>
          <cell r="H400">
            <v>0.16041666666666668</v>
          </cell>
          <cell r="I400">
            <v>5.1388888888888887E-2</v>
          </cell>
          <cell r="J400">
            <v>1</v>
          </cell>
          <cell r="K400" t="str">
            <v>FCB-PROTOCOL-01</v>
          </cell>
          <cell r="L400" t="str">
            <v>CLN/PRA/189</v>
          </cell>
          <cell r="M400" t="str">
            <v>Y</v>
          </cell>
          <cell r="N400" t="str">
            <v>cc Study(1T)</v>
          </cell>
          <cell r="O400" t="str">
            <v>Internal R&amp;D</v>
          </cell>
          <cell r="P400" t="str">
            <v>Q1 Passed</v>
          </cell>
          <cell r="Q400" t="str">
            <v>Q1 Passed</v>
          </cell>
          <cell r="R400" t="str">
            <v>Q1.5 Passed</v>
          </cell>
          <cell r="S400" t="str">
            <v>Q1.5 Passed</v>
          </cell>
          <cell r="V400" t="str">
            <v>Tumour content 20-85%</v>
          </cell>
          <cell r="W400" t="str">
            <v>Private Hospital</v>
          </cell>
          <cell r="X400" t="str">
            <v>Dr Prakash BV, Bangalore</v>
          </cell>
          <cell r="Y400" t="str">
            <v>Sri Lakshmi Hospital, Bangalore</v>
          </cell>
          <cell r="Z400" t="str">
            <v>Dr Prakash BV, Bangalore</v>
          </cell>
          <cell r="AA400" t="str">
            <v>HNSCC</v>
          </cell>
          <cell r="AC400" t="str">
            <v>Maxilla</v>
          </cell>
          <cell r="AD400" t="str">
            <v>Left Maxilla</v>
          </cell>
          <cell r="AE400" t="str">
            <v>Female</v>
          </cell>
          <cell r="AF400">
            <v>85</v>
          </cell>
          <cell r="AG400" t="str">
            <v>N</v>
          </cell>
          <cell r="AH400">
            <v>4.2</v>
          </cell>
          <cell r="AI400" t="str">
            <v>Kalappa</v>
          </cell>
          <cell r="AJ400" t="str">
            <v>Surgery</v>
          </cell>
          <cell r="AK400" t="str">
            <v>Primary</v>
          </cell>
          <cell r="AV400">
            <v>44952</v>
          </cell>
          <cell r="AW400">
            <v>0.57291666666666663</v>
          </cell>
          <cell r="AX400">
            <v>0.66666666666666663</v>
          </cell>
          <cell r="AY400">
            <v>9.375E-2</v>
          </cell>
          <cell r="AZ400">
            <v>0.50624999999999998</v>
          </cell>
          <cell r="BA400">
            <v>0.55763888888888891</v>
          </cell>
          <cell r="BB400" t="str">
            <v>0.6/0.8*0.8*2.2
0.8*1.2*2.2</v>
          </cell>
          <cell r="BD400" t="str">
            <v>Vibratome</v>
          </cell>
          <cell r="BE400">
            <v>15</v>
          </cell>
          <cell r="BF400" t="str">
            <v>Dharani</v>
          </cell>
          <cell r="BG400" t="str">
            <v>Y</v>
          </cell>
        </row>
        <row r="401">
          <cell r="A401" t="str">
            <v>FBR1R230017</v>
          </cell>
          <cell r="B401">
            <v>230017</v>
          </cell>
          <cell r="C401" t="str">
            <v>R&amp;D</v>
          </cell>
          <cell r="D401">
            <v>44952</v>
          </cell>
          <cell r="E401">
            <v>0.10902777777777778</v>
          </cell>
          <cell r="F401">
            <v>44927</v>
          </cell>
          <cell r="G401">
            <v>44952</v>
          </cell>
          <cell r="H401">
            <v>0.16041666666666668</v>
          </cell>
          <cell r="I401">
            <v>5.1388888888888887E-2</v>
          </cell>
          <cell r="J401">
            <v>1</v>
          </cell>
          <cell r="K401" t="str">
            <v>FCB-PROTOCOL-01</v>
          </cell>
          <cell r="L401" t="str">
            <v>CLN/PRA/189</v>
          </cell>
          <cell r="M401" t="str">
            <v>Y</v>
          </cell>
          <cell r="N401" t="str">
            <v>BSS(1R)</v>
          </cell>
          <cell r="O401" t="str">
            <v>Internal R&amp;D</v>
          </cell>
          <cell r="P401" t="str">
            <v>Q1 Passed</v>
          </cell>
          <cell r="Q401" t="str">
            <v>Q1 Passed</v>
          </cell>
          <cell r="R401" t="str">
            <v>Q1.5 Passed</v>
          </cell>
          <cell r="S401" t="str">
            <v>Q1.5 Passed</v>
          </cell>
          <cell r="V401" t="str">
            <v>umour content 8-65%</v>
          </cell>
          <cell r="W401" t="str">
            <v>Private Hospital</v>
          </cell>
          <cell r="X401" t="str">
            <v>Dr Prakash BV, Bangalore</v>
          </cell>
          <cell r="Y401" t="str">
            <v>Sri Lakshmi Hospital, Bangalore</v>
          </cell>
          <cell r="Z401" t="str">
            <v>Dr Prakash BV, Bangalore</v>
          </cell>
          <cell r="AA401" t="str">
            <v>HNSCC</v>
          </cell>
          <cell r="AC401" t="str">
            <v>Maxilla</v>
          </cell>
          <cell r="AD401" t="str">
            <v>Left Maxilla</v>
          </cell>
          <cell r="AE401" t="str">
            <v>Female</v>
          </cell>
          <cell r="AF401">
            <v>85</v>
          </cell>
          <cell r="AG401" t="str">
            <v>N</v>
          </cell>
          <cell r="AH401">
            <v>4.2</v>
          </cell>
          <cell r="AI401" t="str">
            <v>Kalappa</v>
          </cell>
          <cell r="AJ401" t="str">
            <v>Surgery</v>
          </cell>
          <cell r="AK401" t="str">
            <v>Primary</v>
          </cell>
          <cell r="AV401">
            <v>44952</v>
          </cell>
          <cell r="AW401">
            <v>0.57291666666666663</v>
          </cell>
          <cell r="AX401">
            <v>0.66666666666666663</v>
          </cell>
          <cell r="AY401">
            <v>9.375E-2</v>
          </cell>
          <cell r="AZ401">
            <v>0.50624999999999998</v>
          </cell>
          <cell r="BA401">
            <v>0.55763888888888891</v>
          </cell>
          <cell r="BB401" t="str">
            <v>0.6/0.8*0.8*2.2
0.8*1.2*2.2</v>
          </cell>
          <cell r="BC401" t="str">
            <v>0.6/0.8*0.8*2.2
0.8*1.2*2.2</v>
          </cell>
          <cell r="BD401" t="str">
            <v>Vibratome</v>
          </cell>
          <cell r="BE401">
            <v>15</v>
          </cell>
          <cell r="BF401" t="str">
            <v>Dharani</v>
          </cell>
          <cell r="BG401" t="str">
            <v>Y</v>
          </cell>
        </row>
        <row r="402">
          <cell r="A402" t="str">
            <v>FBR1T230018</v>
          </cell>
          <cell r="B402">
            <v>230018</v>
          </cell>
          <cell r="C402" t="str">
            <v>R&amp;D</v>
          </cell>
          <cell r="D402">
            <v>44953</v>
          </cell>
          <cell r="E402">
            <v>0.71597222222222223</v>
          </cell>
          <cell r="F402">
            <v>44927</v>
          </cell>
          <cell r="G402">
            <v>44953</v>
          </cell>
          <cell r="H402">
            <v>0.72916666666666663</v>
          </cell>
          <cell r="I402">
            <v>1.3194444444444444E-2</v>
          </cell>
          <cell r="J402">
            <v>1</v>
          </cell>
          <cell r="K402" t="str">
            <v>FCB-PROTOCOL-01</v>
          </cell>
          <cell r="L402" t="str">
            <v>CLN/PRA/190</v>
          </cell>
          <cell r="M402" t="str">
            <v>Y</v>
          </cell>
          <cell r="N402" t="str">
            <v>cc Study(1T)</v>
          </cell>
          <cell r="O402" t="str">
            <v>Internal R&amp;D</v>
          </cell>
          <cell r="P402" t="str">
            <v>Q1 Passed</v>
          </cell>
          <cell r="Q402" t="str">
            <v>Q1 Passed</v>
          </cell>
          <cell r="R402" t="str">
            <v>Q1.5 Passed</v>
          </cell>
          <cell r="S402" t="str">
            <v>Q1.5 Passed</v>
          </cell>
          <cell r="V402" t="str">
            <v>Tumour content 40-90%</v>
          </cell>
          <cell r="W402" t="str">
            <v>Private Hospital</v>
          </cell>
          <cell r="X402" t="str">
            <v>Dr Prakash BV, Bangalore</v>
          </cell>
          <cell r="Y402" t="str">
            <v>Sri Lakshmi Hospital, Bangalore</v>
          </cell>
          <cell r="Z402" t="str">
            <v>Dr Prakash BV, Bangalore</v>
          </cell>
          <cell r="AA402" t="str">
            <v>HNSCC</v>
          </cell>
          <cell r="AC402" t="str">
            <v>Tongue</v>
          </cell>
          <cell r="AD402" t="str">
            <v>Left Tongue</v>
          </cell>
          <cell r="AE402" t="str">
            <v>Female</v>
          </cell>
          <cell r="AF402">
            <v>80</v>
          </cell>
          <cell r="AG402" t="str">
            <v>N</v>
          </cell>
          <cell r="AH402">
            <v>4.5</v>
          </cell>
          <cell r="AI402" t="str">
            <v>Shashi</v>
          </cell>
          <cell r="AJ402" t="str">
            <v>Surgery</v>
          </cell>
          <cell r="AK402" t="str">
            <v>Primary</v>
          </cell>
          <cell r="AV402">
            <v>44953</v>
          </cell>
          <cell r="AW402">
            <v>0.74513888888888891</v>
          </cell>
          <cell r="AX402">
            <v>0.80208333333333337</v>
          </cell>
          <cell r="AY402">
            <v>5.6944444444444443E-2</v>
          </cell>
          <cell r="AZ402">
            <v>7.2916666666666671E-2</v>
          </cell>
          <cell r="BA402">
            <v>8.611111111111111E-2</v>
          </cell>
          <cell r="BB402" t="str">
            <v>0.4/0.5*0.8*1.2
0.6/0.8*1.0*1.8</v>
          </cell>
          <cell r="BC402" t="str">
            <v>0.4/0.5*0.8*1.2
0.6/0.8*1.0*1.8</v>
          </cell>
          <cell r="BD402" t="str">
            <v>Vibratome</v>
          </cell>
          <cell r="BE402">
            <v>15</v>
          </cell>
          <cell r="BF402" t="str">
            <v>Kowshik</v>
          </cell>
          <cell r="BG402" t="str">
            <v>Y</v>
          </cell>
        </row>
        <row r="403">
          <cell r="A403" t="str">
            <v>FBR1R230018</v>
          </cell>
          <cell r="B403">
            <v>230018</v>
          </cell>
          <cell r="C403" t="str">
            <v>R&amp;D</v>
          </cell>
          <cell r="D403">
            <v>44953</v>
          </cell>
          <cell r="E403">
            <v>0.71597222222222223</v>
          </cell>
          <cell r="F403">
            <v>44927</v>
          </cell>
          <cell r="G403">
            <v>44953</v>
          </cell>
          <cell r="H403">
            <v>0.72916666666666663</v>
          </cell>
          <cell r="I403">
            <v>1.3194444444444444E-2</v>
          </cell>
          <cell r="J403">
            <v>1</v>
          </cell>
          <cell r="K403" t="str">
            <v>FCB-PROTOCOL-01</v>
          </cell>
          <cell r="L403" t="str">
            <v>CLN/PRA/190</v>
          </cell>
          <cell r="M403" t="str">
            <v>Y</v>
          </cell>
          <cell r="N403" t="str">
            <v>BSS(1R)</v>
          </cell>
          <cell r="O403" t="str">
            <v>Internal R&amp;D</v>
          </cell>
          <cell r="P403" t="str">
            <v>Q1 Passed</v>
          </cell>
          <cell r="Q403" t="str">
            <v>Q1 Passed</v>
          </cell>
          <cell r="R403" t="str">
            <v>Q1.5 Passed</v>
          </cell>
          <cell r="S403" t="str">
            <v>Q1.5 Passed</v>
          </cell>
          <cell r="V403" t="str">
            <v>Tumour content 3-80%</v>
          </cell>
          <cell r="W403" t="str">
            <v>Private Hospital</v>
          </cell>
          <cell r="X403" t="str">
            <v>Dr Prakash BV, Bangalore</v>
          </cell>
          <cell r="Y403" t="str">
            <v>Sri Lakshmi Hospital, Bangalore</v>
          </cell>
          <cell r="Z403" t="str">
            <v>Dr Prakash BV, Bangalore</v>
          </cell>
          <cell r="AA403" t="str">
            <v>HNSCC</v>
          </cell>
          <cell r="AC403" t="str">
            <v>Tongue</v>
          </cell>
          <cell r="AD403" t="str">
            <v>Left Tongue</v>
          </cell>
          <cell r="AE403" t="str">
            <v>Female</v>
          </cell>
          <cell r="AF403">
            <v>80</v>
          </cell>
          <cell r="AG403" t="str">
            <v>N</v>
          </cell>
          <cell r="AH403">
            <v>4.5</v>
          </cell>
          <cell r="AI403" t="str">
            <v>Shashi</v>
          </cell>
          <cell r="AJ403" t="str">
            <v>Surgery</v>
          </cell>
          <cell r="AK403" t="str">
            <v>Primary</v>
          </cell>
          <cell r="AV403">
            <v>44953</v>
          </cell>
          <cell r="AW403">
            <v>0.74513888888888891</v>
          </cell>
          <cell r="AX403">
            <v>0.80208333333333337</v>
          </cell>
          <cell r="AY403">
            <v>5.6944444444444443E-2</v>
          </cell>
          <cell r="AZ403">
            <v>7.2916666666666671E-2</v>
          </cell>
          <cell r="BA403">
            <v>8.611111111111111E-2</v>
          </cell>
          <cell r="BB403" t="str">
            <v>0.4/0.5*0.8*1.2
0.6/0.8*1.0*1.8</v>
          </cell>
          <cell r="BC403" t="str">
            <v>0.4/0.5*0.8*1.2
0.6/0.8*1.0*1.8</v>
          </cell>
          <cell r="BD403" t="str">
            <v>Vibratome</v>
          </cell>
          <cell r="BE403">
            <v>15</v>
          </cell>
          <cell r="BF403" t="str">
            <v>Kowshik</v>
          </cell>
          <cell r="BG403" t="str">
            <v>Y</v>
          </cell>
        </row>
        <row r="404">
          <cell r="A404" t="str">
            <v>FBR1T230019</v>
          </cell>
          <cell r="B404">
            <v>230019</v>
          </cell>
          <cell r="C404" t="str">
            <v>R&amp;D</v>
          </cell>
          <cell r="D404">
            <v>44956</v>
          </cell>
          <cell r="E404">
            <v>0.5</v>
          </cell>
          <cell r="F404">
            <v>44927</v>
          </cell>
          <cell r="G404">
            <v>44956</v>
          </cell>
          <cell r="H404">
            <v>0.58472222222222225</v>
          </cell>
          <cell r="I404">
            <v>8.4722222222222227E-2</v>
          </cell>
          <cell r="J404">
            <v>7</v>
          </cell>
          <cell r="K404" t="str">
            <v>FCB-PROTOCOL-02</v>
          </cell>
          <cell r="L404" t="str">
            <v>HN037</v>
          </cell>
          <cell r="M404" t="str">
            <v>Y</v>
          </cell>
          <cell r="N404" t="str">
            <v>cc Study(1T)</v>
          </cell>
          <cell r="O404" t="str">
            <v>Internal R&amp;D</v>
          </cell>
          <cell r="P404" t="str">
            <v>Q1 Passed</v>
          </cell>
          <cell r="Q404" t="str">
            <v>Q1 Passed</v>
          </cell>
          <cell r="R404" t="str">
            <v>Q1.5 Passed</v>
          </cell>
          <cell r="S404" t="str">
            <v>Q1.5 Passed</v>
          </cell>
          <cell r="V404" t="str">
            <v>8-70%</v>
          </cell>
          <cell r="W404" t="str">
            <v>Private Hospital</v>
          </cell>
          <cell r="X404" t="str">
            <v>Mazumdar Shaw Medical Centre, Bangalore</v>
          </cell>
          <cell r="Y404" t="str">
            <v>Mazumdar Shaw Medical Centre, Bangalore</v>
          </cell>
          <cell r="Z404" t="str">
            <v>Dr Vijay Pillai, Bangalore</v>
          </cell>
          <cell r="AA404" t="str">
            <v>HNSCC</v>
          </cell>
          <cell r="AC404" t="str">
            <v>Tongue</v>
          </cell>
          <cell r="AD404" t="str">
            <v>Left lateral tongue</v>
          </cell>
          <cell r="AE404" t="str">
            <v>Male</v>
          </cell>
          <cell r="AF404">
            <v>37</v>
          </cell>
          <cell r="AG404" t="str">
            <v>N</v>
          </cell>
          <cell r="AH404">
            <v>5.0999999999999996</v>
          </cell>
          <cell r="AI404" t="str">
            <v>Maruthi</v>
          </cell>
          <cell r="AJ404" t="str">
            <v>Surgery</v>
          </cell>
          <cell r="AK404" t="str">
            <v>Primary</v>
          </cell>
          <cell r="AN404" t="str">
            <v>III</v>
          </cell>
          <cell r="AO404">
            <v>3</v>
          </cell>
          <cell r="AP404" t="str">
            <v>pT3pN2b</v>
          </cell>
          <cell r="AS404" t="str">
            <v>Poorly differentiated squamous cell carcinoma.</v>
          </cell>
          <cell r="AV404">
            <v>44956</v>
          </cell>
          <cell r="AW404">
            <v>0.61111111111111116</v>
          </cell>
          <cell r="AX404">
            <v>0.72569444444444442</v>
          </cell>
          <cell r="AY404">
            <v>0.11458333333333333</v>
          </cell>
          <cell r="AZ404">
            <v>0.14097222222222222</v>
          </cell>
          <cell r="BA404">
            <v>0.22569444444444445</v>
          </cell>
          <cell r="BB404" t="str">
            <v>1.2/0.8*1.5*2.0</v>
          </cell>
          <cell r="BC404" t="str">
            <v>1.2/0.8*1.5*2.0</v>
          </cell>
          <cell r="BD404" t="str">
            <v>Vibratome</v>
          </cell>
          <cell r="BE404">
            <v>15</v>
          </cell>
          <cell r="BF404" t="str">
            <v>Syam</v>
          </cell>
          <cell r="BG404" t="str">
            <v>Y</v>
          </cell>
        </row>
        <row r="405">
          <cell r="A405" t="str">
            <v>FBR1W230020</v>
          </cell>
          <cell r="B405">
            <v>230020</v>
          </cell>
          <cell r="C405" t="str">
            <v>R&amp;D</v>
          </cell>
          <cell r="D405">
            <v>44956</v>
          </cell>
          <cell r="E405">
            <v>0.58472222222222225</v>
          </cell>
          <cell r="F405">
            <v>44927</v>
          </cell>
          <cell r="G405">
            <v>44956</v>
          </cell>
          <cell r="H405">
            <v>0.65138888888888891</v>
          </cell>
          <cell r="I405">
            <v>6.6666666666666666E-2</v>
          </cell>
          <cell r="J405">
            <v>0</v>
          </cell>
          <cell r="K405" t="str">
            <v>FCB-PROTOCOL-02</v>
          </cell>
          <cell r="L405" t="str">
            <v>BC004</v>
          </cell>
          <cell r="M405" t="str">
            <v>Y</v>
          </cell>
          <cell r="N405" t="str">
            <v>Biopsy Cabr-BSS (1W)</v>
          </cell>
          <cell r="O405" t="str">
            <v>Internal R&amp;D</v>
          </cell>
          <cell r="P405" t="str">
            <v>Q1 Passed</v>
          </cell>
          <cell r="Q405" t="str">
            <v>Q1 Passed</v>
          </cell>
          <cell r="R405" t="str">
            <v>Q1.5 Passed</v>
          </cell>
          <cell r="S405" t="str">
            <v>Q1.5 Passed</v>
          </cell>
          <cell r="V405" t="str">
            <v>0-75%</v>
          </cell>
          <cell r="W405" t="str">
            <v>Private Hospital</v>
          </cell>
          <cell r="X405" t="str">
            <v>Mazumdar Shaw Medical Centre, Bangalore</v>
          </cell>
          <cell r="Y405" t="str">
            <v>Mazumdar Shaw Medical Centre, Bangalore</v>
          </cell>
          <cell r="Z405" t="str">
            <v>Dr Akshita Singh</v>
          </cell>
          <cell r="AA405" t="str">
            <v>Ca Breast</v>
          </cell>
          <cell r="AB405" t="str">
            <v>Er+
Pr-
Her2 Incomplete membrane staining that is faint/barely
perceptible and within &gt;10% of the invasive tumour cells</v>
          </cell>
          <cell r="AC405" t="str">
            <v>Breast</v>
          </cell>
          <cell r="AD405" t="str">
            <v>Left breast Biopsy</v>
          </cell>
          <cell r="AE405" t="str">
            <v>Female</v>
          </cell>
          <cell r="AF405">
            <v>64</v>
          </cell>
          <cell r="AG405" t="str">
            <v>N</v>
          </cell>
          <cell r="AH405">
            <v>4.3</v>
          </cell>
          <cell r="AI405" t="str">
            <v>Maruthi</v>
          </cell>
          <cell r="AJ405" t="str">
            <v>Biopsy</v>
          </cell>
          <cell r="AK405" t="str">
            <v>Primary</v>
          </cell>
          <cell r="AV405">
            <v>44956</v>
          </cell>
          <cell r="AW405">
            <v>0.67361111111111116</v>
          </cell>
          <cell r="AX405">
            <v>0.73611111111111116</v>
          </cell>
          <cell r="AY405">
            <v>6.25E-2</v>
          </cell>
          <cell r="AZ405">
            <v>8.4722222222222227E-2</v>
          </cell>
          <cell r="BA405">
            <v>0.15138888888888888</v>
          </cell>
          <cell r="BB405" t="str">
            <v>15mm to 18mm
5core</v>
          </cell>
          <cell r="BC405" t="str">
            <v>15mm to 18mm
5core</v>
          </cell>
          <cell r="BD405" t="str">
            <v>Manual</v>
          </cell>
          <cell r="BE405">
            <v>15</v>
          </cell>
          <cell r="BF405" t="str">
            <v>Biswajit</v>
          </cell>
          <cell r="BG405" t="str">
            <v>Y</v>
          </cell>
        </row>
        <row r="406">
          <cell r="A406" t="str">
            <v>FBR1M230021</v>
          </cell>
          <cell r="B406">
            <v>230021</v>
          </cell>
          <cell r="C406" t="str">
            <v>R&amp;D</v>
          </cell>
          <cell r="D406">
            <v>44956</v>
          </cell>
          <cell r="E406">
            <v>0.6333333333333333</v>
          </cell>
          <cell r="F406">
            <v>44927</v>
          </cell>
          <cell r="G406">
            <v>44956</v>
          </cell>
          <cell r="H406">
            <v>0.68819444444444444</v>
          </cell>
          <cell r="I406">
            <v>5.486111111111111E-2</v>
          </cell>
          <cell r="J406">
            <v>4</v>
          </cell>
          <cell r="K406" t="str">
            <v>FCB-PROTOCOL-01</v>
          </cell>
          <cell r="L406" t="str">
            <v>VYD/142</v>
          </cell>
          <cell r="M406" t="str">
            <v>Y</v>
          </cell>
          <cell r="N406" t="str">
            <v>DMS_RCC(1M)</v>
          </cell>
          <cell r="O406" t="str">
            <v>Internal R&amp;D</v>
          </cell>
          <cell r="P406" t="str">
            <v>Q1 Passed</v>
          </cell>
          <cell r="Q406" t="str">
            <v>Q1 Passed</v>
          </cell>
          <cell r="R406" t="str">
            <v>Q1.5 Passed</v>
          </cell>
          <cell r="S406" t="str">
            <v>Q1.5 Rejected</v>
          </cell>
          <cell r="V406" t="str">
            <v>No Tumor</v>
          </cell>
          <cell r="W406" t="str">
            <v>Private Hospital</v>
          </cell>
          <cell r="X406" t="str">
            <v>Vydehi Hospital, Bangalore</v>
          </cell>
          <cell r="Y406" t="str">
            <v>Vydehi Hospital, Bangalore</v>
          </cell>
          <cell r="Z406" t="str">
            <v>Dr Amritha Prabha, Bangalore</v>
          </cell>
          <cell r="AA406" t="str">
            <v>RCC</v>
          </cell>
          <cell r="AC406" t="str">
            <v>Kidney</v>
          </cell>
          <cell r="AD406" t="str">
            <v>Left Kidney</v>
          </cell>
          <cell r="AE406" t="str">
            <v>Female</v>
          </cell>
          <cell r="AF406">
            <v>51</v>
          </cell>
          <cell r="AG406" t="str">
            <v>N</v>
          </cell>
          <cell r="AH406">
            <v>4.8</v>
          </cell>
          <cell r="AI406" t="str">
            <v>Partha</v>
          </cell>
          <cell r="AJ406" t="str">
            <v>Surgery</v>
          </cell>
          <cell r="AK406" t="str">
            <v>Primary</v>
          </cell>
          <cell r="AV406">
            <v>44956</v>
          </cell>
          <cell r="AW406">
            <v>0.70902777777777781</v>
          </cell>
          <cell r="AX406">
            <v>0.85416666666666663</v>
          </cell>
          <cell r="AY406">
            <v>0.1451388888888889</v>
          </cell>
          <cell r="AZ406">
            <v>0.16597222222222222</v>
          </cell>
          <cell r="BA406">
            <v>0.22083333333333333</v>
          </cell>
          <cell r="BB406" t="str">
            <v>0.4*1.2*2.4
0.4/0.6*1.0*2.2</v>
          </cell>
          <cell r="BC406" t="str">
            <v>0.4*1.2*2.4
0.4/0.6*1.0*2.2</v>
          </cell>
          <cell r="BD406" t="str">
            <v>Vibratome</v>
          </cell>
          <cell r="BE406">
            <v>15</v>
          </cell>
          <cell r="BF406" t="str">
            <v>Mounish</v>
          </cell>
          <cell r="BG406" t="str">
            <v>Y</v>
          </cell>
        </row>
        <row r="407">
          <cell r="A407" t="str">
            <v>FBR1W230022</v>
          </cell>
          <cell r="B407">
            <v>230022</v>
          </cell>
          <cell r="C407" t="str">
            <v>R&amp;D</v>
          </cell>
          <cell r="D407">
            <v>44957</v>
          </cell>
          <cell r="E407">
            <v>0.57638888888888884</v>
          </cell>
          <cell r="F407">
            <v>44927</v>
          </cell>
          <cell r="G407">
            <v>44957</v>
          </cell>
          <cell r="H407">
            <v>0.64097222222222228</v>
          </cell>
          <cell r="I407">
            <v>6.458333333333334E-2</v>
          </cell>
          <cell r="J407">
            <v>0</v>
          </cell>
          <cell r="K407" t="str">
            <v>FCB-PROTOCOL-02</v>
          </cell>
          <cell r="L407" t="str">
            <v>BC005</v>
          </cell>
          <cell r="M407" t="str">
            <v>Y</v>
          </cell>
          <cell r="N407" t="str">
            <v>Biopsy Cabr-BSS (1W)</v>
          </cell>
          <cell r="O407" t="str">
            <v>Internal R&amp;D</v>
          </cell>
          <cell r="P407" t="str">
            <v>Q1 Passed</v>
          </cell>
          <cell r="Q407" t="str">
            <v>Q1 Passed</v>
          </cell>
          <cell r="R407" t="str">
            <v>Q1.5 Passed</v>
          </cell>
          <cell r="S407" t="str">
            <v>Q1.5 Passed</v>
          </cell>
          <cell r="V407" t="str">
            <v>Trace 60%</v>
          </cell>
          <cell r="W407" t="str">
            <v>Private Hospital</v>
          </cell>
          <cell r="X407" t="str">
            <v>Mazumdar Shaw Medical Centre, Bangalore</v>
          </cell>
          <cell r="Y407" t="str">
            <v>Mazumdar Shaw Medical Centre, Bangalore</v>
          </cell>
          <cell r="Z407" t="str">
            <v>Dr Akshita Singh</v>
          </cell>
          <cell r="AA407" t="str">
            <v>Ca Breast</v>
          </cell>
          <cell r="AB407" t="str">
            <v>TNBC</v>
          </cell>
          <cell r="AC407" t="str">
            <v>Breast</v>
          </cell>
          <cell r="AD407" t="str">
            <v>Right Breast Biopsy</v>
          </cell>
          <cell r="AE407" t="str">
            <v>Female</v>
          </cell>
          <cell r="AF407">
            <v>27</v>
          </cell>
          <cell r="AG407" t="str">
            <v>N</v>
          </cell>
          <cell r="AH407">
            <v>4.3</v>
          </cell>
          <cell r="AI407" t="str">
            <v>Maruthi</v>
          </cell>
          <cell r="AJ407" t="str">
            <v>Biopsy</v>
          </cell>
          <cell r="AK407" t="str">
            <v>Primary</v>
          </cell>
          <cell r="AS407" t="str">
            <v xml:space="preserve">Invasive carcinoma of no special type (ductal)
</v>
          </cell>
          <cell r="AV407">
            <v>44957</v>
          </cell>
          <cell r="AW407">
            <v>0.65972222222222221</v>
          </cell>
          <cell r="AX407">
            <v>0.69305555555555554</v>
          </cell>
          <cell r="AY407">
            <v>3.3333333333333333E-2</v>
          </cell>
          <cell r="AZ407">
            <v>5.2083333333333336E-2</v>
          </cell>
          <cell r="BA407">
            <v>0.11666666666666667</v>
          </cell>
          <cell r="BB407" t="str">
            <v>6mm to 14mm
5core</v>
          </cell>
          <cell r="BC407" t="str">
            <v>6mm to 14mm
5core</v>
          </cell>
          <cell r="BD407" t="str">
            <v>Manual</v>
          </cell>
          <cell r="BE407">
            <v>15</v>
          </cell>
          <cell r="BF407" t="str">
            <v>Biswajit</v>
          </cell>
          <cell r="BG407" t="str">
            <v>Y</v>
          </cell>
        </row>
        <row r="408">
          <cell r="A408" t="str">
            <v>FBR1M230023</v>
          </cell>
          <cell r="B408">
            <v>230023</v>
          </cell>
          <cell r="C408" t="str">
            <v>R&amp;D</v>
          </cell>
          <cell r="D408">
            <v>44959</v>
          </cell>
          <cell r="E408">
            <v>0.5625</v>
          </cell>
          <cell r="F408">
            <v>44958</v>
          </cell>
          <cell r="G408">
            <v>44959</v>
          </cell>
          <cell r="H408">
            <v>0.63124999999999998</v>
          </cell>
          <cell r="I408">
            <v>6.8750000000000006E-2</v>
          </cell>
          <cell r="J408">
            <v>0</v>
          </cell>
          <cell r="K408" t="str">
            <v>FCB-PROTOCOL-02</v>
          </cell>
          <cell r="L408" t="str">
            <v>RC020</v>
          </cell>
          <cell r="M408" t="str">
            <v>Y</v>
          </cell>
          <cell r="N408" t="str">
            <v>DMS_RCC(1M)</v>
          </cell>
          <cell r="O408" t="str">
            <v>Internal R&amp;D</v>
          </cell>
          <cell r="P408" t="str">
            <v>Q1 Passed</v>
          </cell>
          <cell r="Q408" t="str">
            <v>Q1 Passed</v>
          </cell>
          <cell r="R408" t="str">
            <v>Q1.5 Passed</v>
          </cell>
          <cell r="S408" t="str">
            <v>Q1.5 Passed</v>
          </cell>
          <cell r="V408" t="str">
            <v>Tumor content 6-30%</v>
          </cell>
          <cell r="W408" t="str">
            <v>Private Hospital</v>
          </cell>
          <cell r="X408" t="str">
            <v>Mazumdar Shaw Medical Centre, Bangalore</v>
          </cell>
          <cell r="Y408" t="str">
            <v>Mazumdar Shaw Medical Centre, Bangalore</v>
          </cell>
          <cell r="Z408" t="str">
            <v>Dr Saurabh Bhargav, Bangalore</v>
          </cell>
          <cell r="AA408" t="str">
            <v>RCC</v>
          </cell>
          <cell r="AC408" t="str">
            <v>Renal</v>
          </cell>
          <cell r="AD408" t="str">
            <v>Right renal Mass</v>
          </cell>
          <cell r="AE408" t="str">
            <v>Male</v>
          </cell>
          <cell r="AF408">
            <v>51</v>
          </cell>
          <cell r="AG408" t="str">
            <v>N</v>
          </cell>
          <cell r="AH408">
            <v>4.8</v>
          </cell>
          <cell r="AI408" t="str">
            <v>Partha</v>
          </cell>
          <cell r="AJ408" t="str">
            <v>Surgery</v>
          </cell>
          <cell r="AK408" t="str">
            <v>Primary</v>
          </cell>
          <cell r="AN408" t="str">
            <v>II</v>
          </cell>
          <cell r="AO408">
            <v>1</v>
          </cell>
          <cell r="AP408" t="str">
            <v>pT2a</v>
          </cell>
          <cell r="AS408" t="str">
            <v>clear cell carcinoma</v>
          </cell>
          <cell r="AV408">
            <v>44959</v>
          </cell>
          <cell r="AW408">
            <v>0.65625</v>
          </cell>
          <cell r="AX408">
            <v>0.75</v>
          </cell>
          <cell r="AY408">
            <v>9.375E-2</v>
          </cell>
          <cell r="AZ408">
            <v>0.11874999999999999</v>
          </cell>
          <cell r="BA408">
            <v>0.1875</v>
          </cell>
          <cell r="BB408" t="str">
            <v>0.4*1.6/1.4*2.0/1.8</v>
          </cell>
          <cell r="BC408" t="str">
            <v>0.4*1.6/1.4*2.0/1.8</v>
          </cell>
          <cell r="BD408" t="str">
            <v>Vibratome</v>
          </cell>
          <cell r="BE408">
            <v>15</v>
          </cell>
          <cell r="BF408" t="str">
            <v>Mounish</v>
          </cell>
          <cell r="BG408" t="str">
            <v>Y</v>
          </cell>
        </row>
        <row r="409">
          <cell r="A409" t="str">
            <v>FBR1T230024</v>
          </cell>
          <cell r="B409">
            <v>230024</v>
          </cell>
          <cell r="C409" t="str">
            <v>R&amp;D</v>
          </cell>
          <cell r="D409">
            <v>44960</v>
          </cell>
          <cell r="E409">
            <v>0.52638888888888891</v>
          </cell>
          <cell r="F409">
            <v>44958</v>
          </cell>
          <cell r="G409">
            <v>44960</v>
          </cell>
          <cell r="H409">
            <v>0.57638888888888884</v>
          </cell>
          <cell r="I409">
            <v>0.05</v>
          </cell>
          <cell r="J409">
            <v>4</v>
          </cell>
          <cell r="K409" t="str">
            <v>FCB-PROTOCOL-01</v>
          </cell>
          <cell r="L409" t="str">
            <v>VYD/143</v>
          </cell>
          <cell r="M409" t="str">
            <v>Y</v>
          </cell>
          <cell r="N409" t="str">
            <v>cc Study(1T)</v>
          </cell>
          <cell r="O409" t="str">
            <v>Internal R&amp;D</v>
          </cell>
          <cell r="P409" t="str">
            <v>Q1 Passed</v>
          </cell>
          <cell r="Q409" t="str">
            <v>Q1 Passed</v>
          </cell>
          <cell r="R409" t="str">
            <v>Q1.5 Passed</v>
          </cell>
          <cell r="S409" t="str">
            <v>Q1.5 Passed</v>
          </cell>
          <cell r="V409" t="str">
            <v>Tumor content 20-45%</v>
          </cell>
          <cell r="W409" t="str">
            <v>Private Hospital</v>
          </cell>
          <cell r="X409" t="str">
            <v>Vydehi Hospital, Bangalore</v>
          </cell>
          <cell r="Y409" t="str">
            <v>Vydehi Hospital, Bangalore</v>
          </cell>
          <cell r="Z409" t="str">
            <v>Dr Amritha Prabha, Bangalore</v>
          </cell>
          <cell r="AA409" t="str">
            <v>HNSCC</v>
          </cell>
          <cell r="AC409" t="str">
            <v>Pyriform Fossa</v>
          </cell>
          <cell r="AD409" t="str">
            <v>Left Pyriform Fossa</v>
          </cell>
          <cell r="AE409" t="str">
            <v>Male</v>
          </cell>
          <cell r="AF409">
            <v>55</v>
          </cell>
          <cell r="AG409" t="str">
            <v>N</v>
          </cell>
          <cell r="AH409">
            <v>5.0999999999999996</v>
          </cell>
          <cell r="AI409" t="str">
            <v>Maruthi</v>
          </cell>
          <cell r="AJ409" t="str">
            <v>Surgery</v>
          </cell>
          <cell r="AK409" t="str">
            <v>Primary</v>
          </cell>
          <cell r="AN409" t="str">
            <v>IVa</v>
          </cell>
          <cell r="AO409">
            <v>2</v>
          </cell>
          <cell r="AP409" t="str">
            <v>pT4aN1</v>
          </cell>
          <cell r="AV409">
            <v>44960</v>
          </cell>
          <cell r="AW409">
            <v>0.60069444444444442</v>
          </cell>
          <cell r="AX409">
            <v>0.69791666666666663</v>
          </cell>
          <cell r="AY409">
            <v>9.7222222222222224E-2</v>
          </cell>
          <cell r="AZ409">
            <v>0.12152777777777778</v>
          </cell>
          <cell r="BA409">
            <v>0.17152777777777778</v>
          </cell>
          <cell r="BB409" t="str">
            <v>0.8*0.9*1.6</v>
          </cell>
          <cell r="BC409" t="str">
            <v>0.8*0.9*1.6</v>
          </cell>
          <cell r="BD409" t="str">
            <v>Vibratome</v>
          </cell>
          <cell r="BE409">
            <v>4</v>
          </cell>
          <cell r="BF409" t="str">
            <v>Chandan</v>
          </cell>
          <cell r="BG409" t="str">
            <v>Y</v>
          </cell>
        </row>
        <row r="410">
          <cell r="A410" t="str">
            <v>FBR1T230025</v>
          </cell>
          <cell r="B410">
            <v>230025</v>
          </cell>
          <cell r="C410" t="str">
            <v>R&amp;D</v>
          </cell>
          <cell r="D410">
            <v>44960</v>
          </cell>
          <cell r="E410">
            <v>0.60416666666666663</v>
          </cell>
          <cell r="F410">
            <v>44958</v>
          </cell>
          <cell r="G410">
            <v>44960</v>
          </cell>
          <cell r="H410">
            <v>0.68680555555555556</v>
          </cell>
          <cell r="I410">
            <v>8.2638888888888887E-2</v>
          </cell>
          <cell r="J410">
            <v>20</v>
          </cell>
          <cell r="K410" t="str">
            <v>FCB-PROTOCOL-02</v>
          </cell>
          <cell r="L410" t="str">
            <v>HN038</v>
          </cell>
          <cell r="M410" t="str">
            <v>Y</v>
          </cell>
          <cell r="N410" t="str">
            <v>cc Study(1T)</v>
          </cell>
          <cell r="O410" t="str">
            <v>Internal R&amp;D</v>
          </cell>
          <cell r="P410" t="str">
            <v>Q1 Passed</v>
          </cell>
          <cell r="Q410" t="str">
            <v>Q1 Passed</v>
          </cell>
          <cell r="R410" t="str">
            <v>Q1.5 Passed</v>
          </cell>
          <cell r="S410" t="str">
            <v>Q1.5 Passed</v>
          </cell>
          <cell r="V410" t="str">
            <v>Tumor content 70-90%</v>
          </cell>
          <cell r="W410" t="str">
            <v>Private Hospital</v>
          </cell>
          <cell r="X410" t="str">
            <v>Mazumdar Shaw Medical Centre, Bangalore</v>
          </cell>
          <cell r="Y410" t="str">
            <v>Mazumdar Shaw Medical Centre, Bangalore</v>
          </cell>
          <cell r="Z410" t="str">
            <v>Dr Vijay Pillai, Bangalore</v>
          </cell>
          <cell r="AA410" t="str">
            <v>HNSCC</v>
          </cell>
          <cell r="AC410" t="str">
            <v>Buccal Mucosa</v>
          </cell>
          <cell r="AD410" t="str">
            <v>Left Buccal Mucosa</v>
          </cell>
          <cell r="AE410" t="str">
            <v>Male</v>
          </cell>
          <cell r="AF410">
            <v>59</v>
          </cell>
          <cell r="AG410" t="str">
            <v>N</v>
          </cell>
          <cell r="AH410">
            <v>4.5999999999999996</v>
          </cell>
          <cell r="AI410" t="str">
            <v>Partha</v>
          </cell>
          <cell r="AJ410" t="str">
            <v>Surgery</v>
          </cell>
          <cell r="AK410" t="str">
            <v>Primary</v>
          </cell>
          <cell r="AN410" t="str">
            <v>IV</v>
          </cell>
          <cell r="AO410">
            <v>2</v>
          </cell>
          <cell r="AP410" t="str">
            <v>pT4bpN0</v>
          </cell>
          <cell r="AS410" t="str">
            <v>Moderately differentiated squamous cell carcinoma.</v>
          </cell>
          <cell r="AV410">
            <v>44960</v>
          </cell>
          <cell r="AW410">
            <v>0.70277777777777772</v>
          </cell>
          <cell r="AX410">
            <v>0.78819444444444442</v>
          </cell>
          <cell r="AY410">
            <v>8.5416666666666669E-2</v>
          </cell>
          <cell r="AZ410">
            <v>0.10138888888888889</v>
          </cell>
          <cell r="BA410">
            <v>0.18402777777777779</v>
          </cell>
          <cell r="BB410" t="str">
            <v>0.8*1.8*2.4</v>
          </cell>
          <cell r="BC410" t="str">
            <v>0.8*1.8*2.4</v>
          </cell>
          <cell r="BD410" t="str">
            <v>Vibratome</v>
          </cell>
          <cell r="BE410">
            <v>4</v>
          </cell>
          <cell r="BF410" t="str">
            <v>Kowshik</v>
          </cell>
          <cell r="BG410" t="str">
            <v>Y</v>
          </cell>
        </row>
        <row r="411">
          <cell r="A411">
            <v>230026</v>
          </cell>
          <cell r="B411">
            <v>230026</v>
          </cell>
          <cell r="C411" t="str">
            <v>R&amp;D</v>
          </cell>
          <cell r="D411">
            <v>44960</v>
          </cell>
          <cell r="E411">
            <v>0.53125</v>
          </cell>
          <cell r="F411">
            <v>44958</v>
          </cell>
          <cell r="G411">
            <v>44960</v>
          </cell>
          <cell r="H411">
            <v>0.82708333333333328</v>
          </cell>
          <cell r="I411">
            <v>0.29583333333333334</v>
          </cell>
          <cell r="J411">
            <v>1</v>
          </cell>
          <cell r="K411" t="str">
            <v>FCB-PROTOCOL-01</v>
          </cell>
          <cell r="L411" t="str">
            <v>CLN/JSS/010</v>
          </cell>
          <cell r="M411" t="str">
            <v>Y</v>
          </cell>
          <cell r="N411" t="str">
            <v>No Study</v>
          </cell>
          <cell r="O411" t="str">
            <v>1st level attrition</v>
          </cell>
          <cell r="P411" t="str">
            <v>Q1 Rejected</v>
          </cell>
          <cell r="Q411" t="str">
            <v>Q1 Passed</v>
          </cell>
          <cell r="R411" t="str">
            <v>Q1.5 Rejected</v>
          </cell>
          <cell r="S411" t="str">
            <v>Q1.5 Rejected</v>
          </cell>
          <cell r="T411" t="str">
            <v>Small size sample</v>
          </cell>
          <cell r="W411" t="str">
            <v>Clinic'les</v>
          </cell>
          <cell r="X411" t="str">
            <v>Clinic'les- Dr Ravi Krishnappa, Mysore</v>
          </cell>
          <cell r="Y411" t="str">
            <v>JSS Hospital, Mysore</v>
          </cell>
          <cell r="Z411" t="str">
            <v>Dr Ravi Krishnappa, Mysore</v>
          </cell>
          <cell r="AA411" t="str">
            <v>HNSCC</v>
          </cell>
          <cell r="AC411" t="str">
            <v>Buccal Mucosa</v>
          </cell>
          <cell r="AD411" t="str">
            <v>Left Buccal Mucosa</v>
          </cell>
          <cell r="AE411" t="str">
            <v>Male</v>
          </cell>
          <cell r="AF411">
            <v>60</v>
          </cell>
          <cell r="AG411" t="str">
            <v>N</v>
          </cell>
          <cell r="AH411">
            <v>4.5</v>
          </cell>
          <cell r="AI411" t="str">
            <v>Kalappa</v>
          </cell>
          <cell r="AJ411" t="str">
            <v>Surgery</v>
          </cell>
          <cell r="AK411" t="str">
            <v>Primary</v>
          </cell>
          <cell r="AV411">
            <v>44960</v>
          </cell>
          <cell r="AW411">
            <v>0.84027777777777779</v>
          </cell>
          <cell r="BB411" t="str">
            <v>0.1/0.2*0.4*1.0</v>
          </cell>
          <cell r="BC411" t="str">
            <v>0.1/0.2*0.4*1.0</v>
          </cell>
          <cell r="BE411">
            <v>4</v>
          </cell>
          <cell r="BF411" t="str">
            <v>Dharani</v>
          </cell>
          <cell r="BG411" t="str">
            <v>N</v>
          </cell>
        </row>
        <row r="412">
          <cell r="A412" t="str">
            <v>FBR1Q230027</v>
          </cell>
          <cell r="B412">
            <v>230027</v>
          </cell>
          <cell r="C412" t="str">
            <v>R&amp;D</v>
          </cell>
          <cell r="D412">
            <v>44960</v>
          </cell>
          <cell r="E412">
            <v>0.61458333333333337</v>
          </cell>
          <cell r="F412">
            <v>44958</v>
          </cell>
          <cell r="G412">
            <v>44960</v>
          </cell>
          <cell r="H412">
            <v>0.82708333333333328</v>
          </cell>
          <cell r="I412">
            <v>0.21249999999999999</v>
          </cell>
          <cell r="J412">
            <v>5</v>
          </cell>
          <cell r="K412" t="str">
            <v>FCB-PROTOCOL-01</v>
          </cell>
          <cell r="L412" t="str">
            <v>CLN/JSS/011</v>
          </cell>
          <cell r="M412" t="str">
            <v>Y</v>
          </cell>
          <cell r="N412" t="str">
            <v>COSv4.1_CaBR(1Q-Known)</v>
          </cell>
          <cell r="O412" t="str">
            <v>Internal R&amp;D</v>
          </cell>
          <cell r="P412" t="str">
            <v>Q1 Passed</v>
          </cell>
          <cell r="Q412" t="str">
            <v>Q1 Passed</v>
          </cell>
          <cell r="R412" t="str">
            <v>Q1.5 Passed</v>
          </cell>
          <cell r="S412" t="str">
            <v>Q1.5 Rejected</v>
          </cell>
          <cell r="T412" t="str">
            <v>fatty tissue</v>
          </cell>
          <cell r="V412" t="str">
            <v>No Tumor</v>
          </cell>
          <cell r="W412" t="str">
            <v>Clinic'les</v>
          </cell>
          <cell r="X412" t="str">
            <v>Clinic'les- Dr Ravi Krishnappa, Mysore</v>
          </cell>
          <cell r="Y412" t="str">
            <v>JSS Hospital, Mysore</v>
          </cell>
          <cell r="Z412" t="str">
            <v>Dr Ravi Krishnappa, Mysore</v>
          </cell>
          <cell r="AA412" t="str">
            <v>Ca Breast</v>
          </cell>
          <cell r="AB412" t="str">
            <v>TNBC</v>
          </cell>
          <cell r="AC412" t="str">
            <v>Breast</v>
          </cell>
          <cell r="AD412" t="str">
            <v>Breast</v>
          </cell>
          <cell r="AE412" t="str">
            <v>Female</v>
          </cell>
          <cell r="AF412">
            <v>26</v>
          </cell>
          <cell r="AG412" t="str">
            <v>N</v>
          </cell>
          <cell r="AH412">
            <v>4.5</v>
          </cell>
          <cell r="AI412" t="str">
            <v>Kalappa</v>
          </cell>
          <cell r="AJ412" t="str">
            <v>Surgery</v>
          </cell>
          <cell r="AK412" t="str">
            <v>Primary</v>
          </cell>
          <cell r="AV412">
            <v>44960</v>
          </cell>
          <cell r="AW412">
            <v>0.84375</v>
          </cell>
          <cell r="AX412">
            <v>0.88888888888888884</v>
          </cell>
          <cell r="AY412">
            <v>4.5138888888888888E-2</v>
          </cell>
          <cell r="AZ412">
            <v>6.1805555555555558E-2</v>
          </cell>
          <cell r="BA412">
            <v>0.27430555555555558</v>
          </cell>
          <cell r="BB412" t="str">
            <v>0.4/0.6*1.8*2.0
0.4/0.6*1.4*2.0</v>
          </cell>
          <cell r="BC412" t="str">
            <v>0.4/0.6*1.8*2.0
0.4/0.6*1.4*2.0</v>
          </cell>
          <cell r="BD412" t="str">
            <v>Manual</v>
          </cell>
          <cell r="BE412">
            <v>4</v>
          </cell>
          <cell r="BF412" t="str">
            <v>Dharani</v>
          </cell>
          <cell r="BG412" t="str">
            <v>Y</v>
          </cell>
        </row>
        <row r="413">
          <cell r="A413" t="str">
            <v>FBR1T230028</v>
          </cell>
          <cell r="B413">
            <v>230028</v>
          </cell>
          <cell r="C413" t="str">
            <v>R&amp;D</v>
          </cell>
          <cell r="D413">
            <v>44963</v>
          </cell>
          <cell r="E413">
            <v>0.49722222222222223</v>
          </cell>
          <cell r="F413">
            <v>44958</v>
          </cell>
          <cell r="G413">
            <v>44963</v>
          </cell>
          <cell r="H413">
            <v>0.55694444444444446</v>
          </cell>
          <cell r="I413">
            <v>5.9722222222222225E-2</v>
          </cell>
          <cell r="J413">
            <v>0</v>
          </cell>
          <cell r="K413" t="str">
            <v>FCB-PROTOCOL-01</v>
          </cell>
          <cell r="L413" t="str">
            <v>VYD/144</v>
          </cell>
          <cell r="M413" t="str">
            <v>Y</v>
          </cell>
          <cell r="N413" t="str">
            <v>cc Study(1T)</v>
          </cell>
          <cell r="O413" t="str">
            <v>Internal R&amp;D</v>
          </cell>
          <cell r="P413" t="str">
            <v>Q1 Passed</v>
          </cell>
          <cell r="Q413" t="str">
            <v>Q1 Passed</v>
          </cell>
          <cell r="R413" t="str">
            <v>Q1.5 Passed</v>
          </cell>
          <cell r="S413" t="str">
            <v>Q1.5 Passed</v>
          </cell>
          <cell r="V413" t="str">
            <v>4-75%</v>
          </cell>
          <cell r="W413" t="str">
            <v>Private Hospital</v>
          </cell>
          <cell r="X413" t="str">
            <v>Vydehi Hospital, Bangalore</v>
          </cell>
          <cell r="Y413" t="str">
            <v>Vydehi Hospital, Bangalore</v>
          </cell>
          <cell r="Z413" t="str">
            <v>Dr Amritha Prabha, Bangalore</v>
          </cell>
          <cell r="AA413" t="str">
            <v>HNSCC</v>
          </cell>
          <cell r="AC413" t="str">
            <v>Buccal Mucosa</v>
          </cell>
          <cell r="AD413" t="str">
            <v>Right buccal mucosa</v>
          </cell>
          <cell r="AE413" t="str">
            <v>Female</v>
          </cell>
          <cell r="AF413">
            <v>34</v>
          </cell>
          <cell r="AG413" t="str">
            <v>N</v>
          </cell>
          <cell r="AH413">
            <v>4.5999999999999996</v>
          </cell>
          <cell r="AI413" t="str">
            <v>Maruthi</v>
          </cell>
          <cell r="AJ413" t="str">
            <v>Surgery</v>
          </cell>
          <cell r="AK413" t="str">
            <v>Primary</v>
          </cell>
          <cell r="AN413" t="str">
            <v>IVa</v>
          </cell>
          <cell r="AO413">
            <v>2</v>
          </cell>
          <cell r="AP413" t="str">
            <v>pT2N2b</v>
          </cell>
          <cell r="AV413">
            <v>44963</v>
          </cell>
          <cell r="AW413">
            <v>0.58819444444444446</v>
          </cell>
          <cell r="AX413">
            <v>0.67361111111111116</v>
          </cell>
          <cell r="AY413">
            <v>8.5416666666666669E-2</v>
          </cell>
          <cell r="AZ413">
            <v>0.11666666666666667</v>
          </cell>
          <cell r="BA413">
            <v>0.1763888888888889</v>
          </cell>
          <cell r="BB413" t="str">
            <v>0.7*1.7*1.1</v>
          </cell>
          <cell r="BC413" t="str">
            <v>0.7*1.7*1.1</v>
          </cell>
          <cell r="BD413" t="str">
            <v>Vibratome</v>
          </cell>
          <cell r="BE413">
            <v>4</v>
          </cell>
          <cell r="BG413" t="str">
            <v>Y</v>
          </cell>
        </row>
        <row r="414">
          <cell r="A414" t="str">
            <v>FBR1R230028</v>
          </cell>
          <cell r="B414">
            <v>230028</v>
          </cell>
          <cell r="C414" t="str">
            <v>R&amp;D</v>
          </cell>
          <cell r="D414">
            <v>44963</v>
          </cell>
          <cell r="E414">
            <v>0.49722222222222223</v>
          </cell>
          <cell r="F414">
            <v>44958</v>
          </cell>
          <cell r="G414">
            <v>44963</v>
          </cell>
          <cell r="H414">
            <v>0.55694444444444446</v>
          </cell>
          <cell r="I414">
            <v>5.9722222222222225E-2</v>
          </cell>
          <cell r="J414">
            <v>0</v>
          </cell>
          <cell r="K414" t="str">
            <v>FCB-PROTOCOL-01</v>
          </cell>
          <cell r="L414" t="str">
            <v>VYD/144</v>
          </cell>
          <cell r="M414" t="str">
            <v>Y</v>
          </cell>
          <cell r="N414" t="str">
            <v>BSS(1R)</v>
          </cell>
          <cell r="O414" t="str">
            <v>Internal R&amp;D</v>
          </cell>
          <cell r="P414" t="str">
            <v>Q1 Passed</v>
          </cell>
          <cell r="Q414" t="str">
            <v>Q1 Passed</v>
          </cell>
          <cell r="R414" t="str">
            <v>Q1.5 Passed</v>
          </cell>
          <cell r="S414" t="str">
            <v>Q1.5 Passed</v>
          </cell>
          <cell r="V414" t="str">
            <v>0-25%</v>
          </cell>
          <cell r="W414" t="str">
            <v>Private Hospital</v>
          </cell>
          <cell r="X414" t="str">
            <v>Vydehi Hospital, Bangalore</v>
          </cell>
          <cell r="Y414" t="str">
            <v>Vydehi Hospital, Bangalore</v>
          </cell>
          <cell r="Z414" t="str">
            <v>Dr Amritha Prabha, Bangalore</v>
          </cell>
          <cell r="AA414" t="str">
            <v>HNSCC</v>
          </cell>
          <cell r="AC414" t="str">
            <v>Buccal Mucosa</v>
          </cell>
          <cell r="AD414" t="str">
            <v>Right buccal mucosa</v>
          </cell>
          <cell r="AE414" t="str">
            <v>Female</v>
          </cell>
          <cell r="AF414">
            <v>34</v>
          </cell>
          <cell r="AG414" t="str">
            <v>N</v>
          </cell>
          <cell r="AH414">
            <v>4.5999999999999996</v>
          </cell>
          <cell r="AI414" t="str">
            <v>Maruthi</v>
          </cell>
          <cell r="AJ414" t="str">
            <v>Surgery</v>
          </cell>
          <cell r="AK414" t="str">
            <v>Primary</v>
          </cell>
          <cell r="AN414" t="str">
            <v>IVa</v>
          </cell>
          <cell r="AO414">
            <v>2</v>
          </cell>
          <cell r="AP414" t="str">
            <v>pT2N2b</v>
          </cell>
          <cell r="AV414">
            <v>44963</v>
          </cell>
          <cell r="AW414">
            <v>0.58819444444444446</v>
          </cell>
          <cell r="AX414">
            <v>0.67361111111111116</v>
          </cell>
          <cell r="AY414">
            <v>8.5416666666666669E-2</v>
          </cell>
          <cell r="AZ414">
            <v>0.11666666666666667</v>
          </cell>
          <cell r="BA414">
            <v>0.1763888888888889</v>
          </cell>
          <cell r="BB414" t="str">
            <v>0.7*1.7*1.1</v>
          </cell>
          <cell r="BC414" t="str">
            <v>0.7*1.7*1.1</v>
          </cell>
          <cell r="BD414" t="str">
            <v>Vibratome</v>
          </cell>
          <cell r="BE414">
            <v>4</v>
          </cell>
          <cell r="BG414" t="str">
            <v>Y</v>
          </cell>
        </row>
        <row r="415">
          <cell r="A415" t="str">
            <v>FBR1Q230029</v>
          </cell>
          <cell r="B415">
            <v>230029</v>
          </cell>
          <cell r="C415" t="str">
            <v>R&amp;D</v>
          </cell>
          <cell r="D415">
            <v>44963</v>
          </cell>
          <cell r="E415">
            <v>0.61458333333333337</v>
          </cell>
          <cell r="F415">
            <v>44958</v>
          </cell>
          <cell r="G415">
            <v>44963</v>
          </cell>
          <cell r="H415">
            <v>0.79166666666666663</v>
          </cell>
          <cell r="I415">
            <v>0.17708333333333334</v>
          </cell>
          <cell r="J415">
            <v>5</v>
          </cell>
          <cell r="K415" t="str">
            <v>FCB-PROTOCOL-01</v>
          </cell>
          <cell r="L415" t="str">
            <v>CLN/JSS/12</v>
          </cell>
          <cell r="M415" t="str">
            <v>Y</v>
          </cell>
          <cell r="N415" t="str">
            <v>COSv4.2_CaBR(1Q-Unknown)</v>
          </cell>
          <cell r="O415" t="str">
            <v>Internal R&amp;D</v>
          </cell>
          <cell r="P415" t="str">
            <v>Q1 Passed</v>
          </cell>
          <cell r="Q415" t="str">
            <v>Q1 Passed</v>
          </cell>
          <cell r="R415" t="str">
            <v>Compromised</v>
          </cell>
          <cell r="S415" t="str">
            <v>Q1.5 Passed</v>
          </cell>
          <cell r="V415" t="str">
            <v>0-35%</v>
          </cell>
          <cell r="W415" t="str">
            <v>Clinic'les</v>
          </cell>
          <cell r="X415" t="str">
            <v>Clinic'les- Dr Ravi Krishnappa, Mysore</v>
          </cell>
          <cell r="Y415" t="str">
            <v>JSS Hospital, Mysore</v>
          </cell>
          <cell r="Z415" t="str">
            <v>Dr Ravi Krishnappa, Mysore</v>
          </cell>
          <cell r="AA415" t="str">
            <v>Ca Breast</v>
          </cell>
          <cell r="AB415" t="str">
            <v>TNBC</v>
          </cell>
          <cell r="AC415" t="str">
            <v>Breast</v>
          </cell>
          <cell r="AD415" t="str">
            <v xml:space="preserve">Left breast </v>
          </cell>
          <cell r="AE415" t="str">
            <v>Female</v>
          </cell>
          <cell r="AF415">
            <v>46</v>
          </cell>
          <cell r="AG415" t="str">
            <v>N</v>
          </cell>
          <cell r="AH415">
            <v>4.2</v>
          </cell>
          <cell r="AI415" t="str">
            <v>Kalappa</v>
          </cell>
          <cell r="AJ415" t="str">
            <v>Surgery</v>
          </cell>
          <cell r="AK415" t="str">
            <v>Primary</v>
          </cell>
          <cell r="AV415">
            <v>44963</v>
          </cell>
          <cell r="AW415">
            <v>0.80763888888888891</v>
          </cell>
          <cell r="AX415">
            <v>0.86597222222222225</v>
          </cell>
          <cell r="AY415">
            <v>5.8333333333333334E-2</v>
          </cell>
          <cell r="AZ415">
            <v>7.4305555555555555E-2</v>
          </cell>
          <cell r="BA415">
            <v>0.25138888888888888</v>
          </cell>
          <cell r="BB415" t="str">
            <v>0.4*1.9*1.7
0.4*0.7*1.9</v>
          </cell>
          <cell r="BC415" t="str">
            <v>0.4*1.9*1.7
0.4*0.7*1.9</v>
          </cell>
          <cell r="BD415" t="str">
            <v>Manual</v>
          </cell>
          <cell r="BE415">
            <v>4</v>
          </cell>
          <cell r="BF415" t="str">
            <v>Syam</v>
          </cell>
          <cell r="BG415" t="str">
            <v>Y</v>
          </cell>
        </row>
        <row r="416">
          <cell r="A416" t="str">
            <v>FBR1T230030</v>
          </cell>
          <cell r="B416">
            <v>230030</v>
          </cell>
          <cell r="C416" t="str">
            <v>R&amp;D</v>
          </cell>
          <cell r="D416">
            <v>44963</v>
          </cell>
          <cell r="E416">
            <v>0.51527777777777772</v>
          </cell>
          <cell r="F416">
            <v>44958</v>
          </cell>
          <cell r="G416">
            <v>44963</v>
          </cell>
          <cell r="H416">
            <v>0.55902777777777779</v>
          </cell>
          <cell r="I416">
            <v>4.3749999999999997E-2</v>
          </cell>
          <cell r="J416">
            <v>3</v>
          </cell>
          <cell r="K416" t="str">
            <v>FCB-PROTOCOL-01</v>
          </cell>
          <cell r="L416" t="str">
            <v>CLN/PRA/191</v>
          </cell>
          <cell r="M416" t="str">
            <v>Y</v>
          </cell>
          <cell r="N416" t="str">
            <v>cc Study(1T)</v>
          </cell>
          <cell r="O416" t="str">
            <v>Internal R&amp;D</v>
          </cell>
          <cell r="P416" t="str">
            <v>Q1 Passed</v>
          </cell>
          <cell r="Q416" t="str">
            <v>Q1 Passed</v>
          </cell>
          <cell r="R416" t="str">
            <v>Q1.5 Passed</v>
          </cell>
          <cell r="S416" t="str">
            <v>Q1.5 Passed</v>
          </cell>
          <cell r="V416" t="str">
            <v>Tumor content 0-15%. Necrosis high</v>
          </cell>
          <cell r="W416" t="str">
            <v>Private Hospital</v>
          </cell>
          <cell r="X416" t="str">
            <v>Dr Prakash BV, Bangalore</v>
          </cell>
          <cell r="Y416" t="str">
            <v>Sri Lakshmi Hospital, Bangalore</v>
          </cell>
          <cell r="Z416" t="str">
            <v>Dr Prakash BV, Bangalore</v>
          </cell>
          <cell r="AA416" t="str">
            <v>HNSCC</v>
          </cell>
          <cell r="AC416" t="str">
            <v>Lip</v>
          </cell>
          <cell r="AD416" t="str">
            <v>Lower Lip</v>
          </cell>
          <cell r="AE416" t="str">
            <v>Female</v>
          </cell>
          <cell r="AF416">
            <v>50</v>
          </cell>
          <cell r="AG416" t="str">
            <v>N</v>
          </cell>
          <cell r="AH416">
            <v>4.8</v>
          </cell>
          <cell r="AI416" t="str">
            <v>Partha</v>
          </cell>
          <cell r="AJ416" t="str">
            <v>Surgery</v>
          </cell>
          <cell r="AK416" t="str">
            <v>Primary</v>
          </cell>
          <cell r="AV416">
            <v>44964</v>
          </cell>
          <cell r="AW416">
            <v>0.36944444444444446</v>
          </cell>
          <cell r="AX416">
            <v>0.4826388888888889</v>
          </cell>
          <cell r="AY416">
            <v>0.11319444444444444</v>
          </cell>
          <cell r="AZ41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1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16" t="str">
            <v>1.1*1.1*1.7</v>
          </cell>
          <cell r="BC416" t="str">
            <v>1.1*1.1*1.7</v>
          </cell>
          <cell r="BD416" t="str">
            <v>Vibratome</v>
          </cell>
          <cell r="BE416">
            <v>4</v>
          </cell>
          <cell r="BF416" t="str">
            <v>Biswajit</v>
          </cell>
          <cell r="BG416" t="str">
            <v>Y</v>
          </cell>
        </row>
        <row r="417">
          <cell r="A417" t="str">
            <v>FBR1R230030</v>
          </cell>
          <cell r="B417">
            <v>230030</v>
          </cell>
          <cell r="C417" t="str">
            <v>R&amp;D</v>
          </cell>
          <cell r="D417">
            <v>44963</v>
          </cell>
          <cell r="E417">
            <v>0.51527777777777772</v>
          </cell>
          <cell r="F417">
            <v>44958</v>
          </cell>
          <cell r="G417">
            <v>44963</v>
          </cell>
          <cell r="H417">
            <v>0.55902777777777779</v>
          </cell>
          <cell r="I417">
            <v>4.3749999999999997E-2</v>
          </cell>
          <cell r="J417">
            <v>3</v>
          </cell>
          <cell r="K417" t="str">
            <v>FCB-PROTOCOL-01</v>
          </cell>
          <cell r="L417" t="str">
            <v>CLN/PRA/191</v>
          </cell>
          <cell r="M417" t="str">
            <v>Y</v>
          </cell>
          <cell r="N417" t="str">
            <v>BSS(1R)</v>
          </cell>
          <cell r="O417" t="str">
            <v>Internal R&amp;D</v>
          </cell>
          <cell r="P417" t="str">
            <v>Q1 Passed</v>
          </cell>
          <cell r="Q417" t="str">
            <v>Q1 Passed</v>
          </cell>
          <cell r="R417" t="str">
            <v>Q1.5 Passed</v>
          </cell>
          <cell r="S417" t="str">
            <v>Q1.5 Passed</v>
          </cell>
          <cell r="V417" t="str">
            <v>Tumor content 0-3%. Necrosis high</v>
          </cell>
          <cell r="W417" t="str">
            <v>Private Hospital</v>
          </cell>
          <cell r="X417" t="str">
            <v>Dr Prakash BV, Bangalore</v>
          </cell>
          <cell r="Y417" t="str">
            <v>Sri Lakshmi Hospital, Bangalore</v>
          </cell>
          <cell r="Z417" t="str">
            <v>Dr Prakash BV, Bangalore</v>
          </cell>
          <cell r="AA417" t="str">
            <v>HNSCC</v>
          </cell>
          <cell r="AC417" t="str">
            <v>Lip</v>
          </cell>
          <cell r="AD417" t="str">
            <v>Lower Lip</v>
          </cell>
          <cell r="AE417" t="str">
            <v>Female</v>
          </cell>
          <cell r="AF417">
            <v>50</v>
          </cell>
          <cell r="AG417" t="str">
            <v>N</v>
          </cell>
          <cell r="AH417">
            <v>4.8</v>
          </cell>
          <cell r="AI417" t="str">
            <v>Partha</v>
          </cell>
          <cell r="AJ417" t="str">
            <v>Surgery</v>
          </cell>
          <cell r="AK417" t="str">
            <v>Primary</v>
          </cell>
          <cell r="AV417">
            <v>44964</v>
          </cell>
          <cell r="AW417">
            <v>0.36944444444444446</v>
          </cell>
          <cell r="AX417">
            <v>0.4826388888888889</v>
          </cell>
          <cell r="AY417">
            <v>0.11319444444444444</v>
          </cell>
          <cell r="AZ41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1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17" t="str">
            <v>1.1*1.1*1.7</v>
          </cell>
          <cell r="BC417" t="str">
            <v>1.1*1.1*1.7</v>
          </cell>
          <cell r="BD417" t="str">
            <v>Vibratome</v>
          </cell>
          <cell r="BE417">
            <v>4</v>
          </cell>
          <cell r="BF417" t="str">
            <v>Biswajit</v>
          </cell>
          <cell r="BG417" t="str">
            <v>Y</v>
          </cell>
        </row>
        <row r="418">
          <cell r="A418" t="str">
            <v>FBR1A230031</v>
          </cell>
          <cell r="B418">
            <v>230031</v>
          </cell>
          <cell r="C418" t="str">
            <v>R&amp;D</v>
          </cell>
          <cell r="D418">
            <v>44965</v>
          </cell>
          <cell r="E418">
            <v>0.40972222222222221</v>
          </cell>
          <cell r="F418">
            <v>44958</v>
          </cell>
          <cell r="G418">
            <v>44965</v>
          </cell>
          <cell r="H418">
            <v>0.48541666666666666</v>
          </cell>
          <cell r="I418">
            <v>7.5694444444444439E-2</v>
          </cell>
          <cell r="J418">
            <v>13</v>
          </cell>
          <cell r="K418" t="str">
            <v>FCB-PROTOCOL-02</v>
          </cell>
          <cell r="L418" t="str">
            <v>OC008</v>
          </cell>
          <cell r="M418" t="str">
            <v>Y</v>
          </cell>
          <cell r="N418" t="str">
            <v>Other Indication</v>
          </cell>
          <cell r="O418" t="str">
            <v>Internal R&amp;D</v>
          </cell>
          <cell r="P418" t="str">
            <v>Q1 Passed</v>
          </cell>
          <cell r="Q418" t="str">
            <v>Q1 Passed</v>
          </cell>
          <cell r="R418" t="str">
            <v>Q1.5 Passed</v>
          </cell>
          <cell r="S418" t="str">
            <v>Q1.5 Rejected</v>
          </cell>
          <cell r="V418" t="str">
            <v>No Tumor</v>
          </cell>
          <cell r="W418" t="str">
            <v>Private Hospital</v>
          </cell>
          <cell r="X418" t="str">
            <v>Mazumdar Shaw Medical Centre, Bangalore</v>
          </cell>
          <cell r="Y418" t="str">
            <v>Mazumdar Shaw Medical Centre, Bangalore</v>
          </cell>
          <cell r="Z418" t="str">
            <v>Dr Rohit Ranade, Bangalore</v>
          </cell>
          <cell r="AA418" t="str">
            <v>Ca Ovary</v>
          </cell>
          <cell r="AC418" t="str">
            <v>Ovary</v>
          </cell>
          <cell r="AD418" t="str">
            <v>Right Ovary</v>
          </cell>
          <cell r="AE418" t="str">
            <v>Female</v>
          </cell>
          <cell r="AF418">
            <v>47</v>
          </cell>
          <cell r="AG418" t="str">
            <v>N</v>
          </cell>
          <cell r="AH418">
            <v>6.2</v>
          </cell>
          <cell r="AI418" t="str">
            <v>Partha</v>
          </cell>
          <cell r="AJ418" t="str">
            <v>Surgery</v>
          </cell>
          <cell r="AK418" t="str">
            <v>Primary</v>
          </cell>
          <cell r="AS418" t="str">
            <v>Bilateral serous boderline tumor</v>
          </cell>
          <cell r="AV418">
            <v>44965</v>
          </cell>
          <cell r="AW418">
            <v>0.51388888888888884</v>
          </cell>
          <cell r="AX418">
            <v>0.57291666666666663</v>
          </cell>
          <cell r="AY418">
            <v>5.9027777777777776E-2</v>
          </cell>
          <cell r="AZ418">
            <v>8.7499999999999994E-2</v>
          </cell>
          <cell r="BA418">
            <v>0.16319444444444445</v>
          </cell>
          <cell r="BB418" t="str">
            <v xml:space="preserve">0.6/0.4*1.1*1.3
</v>
          </cell>
          <cell r="BC418" t="str">
            <v xml:space="preserve">0.6/0.4*1.1*1.3
</v>
          </cell>
          <cell r="BD418" t="str">
            <v>Manual</v>
          </cell>
          <cell r="BE418">
            <v>4</v>
          </cell>
          <cell r="BF418" t="str">
            <v>Syam</v>
          </cell>
          <cell r="BG418" t="str">
            <v>Y</v>
          </cell>
        </row>
        <row r="419">
          <cell r="A419" t="str">
            <v>FBR1T230032</v>
          </cell>
          <cell r="B419">
            <v>230032</v>
          </cell>
          <cell r="C419" t="str">
            <v>R&amp;D</v>
          </cell>
          <cell r="D419">
            <v>44965</v>
          </cell>
          <cell r="E419">
            <v>0.58750000000000002</v>
          </cell>
          <cell r="F419">
            <v>44958</v>
          </cell>
          <cell r="G419">
            <v>44965</v>
          </cell>
          <cell r="H419">
            <v>0.65069444444444446</v>
          </cell>
          <cell r="I419">
            <v>6.3194444444444442E-2</v>
          </cell>
          <cell r="J419">
            <v>3</v>
          </cell>
          <cell r="K419" t="str">
            <v>FCB-PROTOCOL-01</v>
          </cell>
          <cell r="L419" t="str">
            <v>VYD/145</v>
          </cell>
          <cell r="M419" t="str">
            <v>Y</v>
          </cell>
          <cell r="N419" t="str">
            <v>cc Study(1T)</v>
          </cell>
          <cell r="O419" t="str">
            <v>Internal R&amp;D</v>
          </cell>
          <cell r="P419" t="str">
            <v>Q1 Passed</v>
          </cell>
          <cell r="Q419" t="str">
            <v>Q1 Passed</v>
          </cell>
          <cell r="R419" t="str">
            <v>Q1.5 Passed</v>
          </cell>
          <cell r="S419" t="str">
            <v>Q1.5 Passed</v>
          </cell>
          <cell r="V419" t="str">
            <v>Tumor content 25-75% with good immune presence</v>
          </cell>
          <cell r="W419" t="str">
            <v>Private Hospital</v>
          </cell>
          <cell r="X419" t="str">
            <v>Vydehi Hospital, Bangalore</v>
          </cell>
          <cell r="Y419" t="str">
            <v>Vydehi Hospital, Bangalore</v>
          </cell>
          <cell r="Z419" t="str">
            <v>Dr Amritha Prabha, Bangalore</v>
          </cell>
          <cell r="AA419" t="str">
            <v>HNSCC</v>
          </cell>
          <cell r="AC419" t="str">
            <v>Buccal Mucosa</v>
          </cell>
          <cell r="AD419" t="str">
            <v>Left buccal mucosa</v>
          </cell>
          <cell r="AE419" t="str">
            <v>Female</v>
          </cell>
          <cell r="AF419">
            <v>72</v>
          </cell>
          <cell r="AG419" t="str">
            <v>N</v>
          </cell>
          <cell r="AH419">
            <v>5.0999999999999996</v>
          </cell>
          <cell r="AI419" t="str">
            <v>Maruthi</v>
          </cell>
          <cell r="AJ419" t="str">
            <v>Surgery</v>
          </cell>
          <cell r="AK419" t="str">
            <v>Primary</v>
          </cell>
          <cell r="AN419" t="str">
            <v>III</v>
          </cell>
          <cell r="AO419">
            <v>1</v>
          </cell>
          <cell r="AP419" t="str">
            <v>pT3N0</v>
          </cell>
          <cell r="AV419">
            <v>44965</v>
          </cell>
          <cell r="AW419">
            <v>0.66249999999999998</v>
          </cell>
          <cell r="AX419">
            <v>0.76249999999999996</v>
          </cell>
          <cell r="AY419">
            <v>0.1</v>
          </cell>
          <cell r="AZ419">
            <v>0.11180555555555556</v>
          </cell>
          <cell r="BA419">
            <v>0.17499999999999999</v>
          </cell>
          <cell r="BB419" t="str">
            <v>0.4*0.8*0.8
0.5*0.8*1.)</v>
          </cell>
          <cell r="BC419" t="str">
            <v>0.4*0.8*0.8
0.5*0.8*1.)</v>
          </cell>
          <cell r="BD419" t="str">
            <v>Vibratome</v>
          </cell>
          <cell r="BE419">
            <v>4</v>
          </cell>
          <cell r="BF419" t="str">
            <v>Dharani</v>
          </cell>
          <cell r="BG419" t="str">
            <v>Y</v>
          </cell>
        </row>
        <row r="420">
          <cell r="A420" t="str">
            <v>FBR1T230033</v>
          </cell>
          <cell r="B420">
            <v>230033</v>
          </cell>
          <cell r="C420" t="str">
            <v>R&amp;D</v>
          </cell>
          <cell r="D420">
            <v>44965</v>
          </cell>
          <cell r="E420">
            <v>0.625</v>
          </cell>
          <cell r="F420">
            <v>44958</v>
          </cell>
          <cell r="G420">
            <v>44965</v>
          </cell>
          <cell r="H420">
            <v>0.77430555555555558</v>
          </cell>
          <cell r="I420">
            <v>0.14930555555555555</v>
          </cell>
          <cell r="J420">
            <v>1</v>
          </cell>
          <cell r="K420" t="str">
            <v>FCB-PROTOCOL-01</v>
          </cell>
          <cell r="L420" t="str">
            <v>CLN/JSS/014</v>
          </cell>
          <cell r="M420" t="str">
            <v>Y</v>
          </cell>
          <cell r="N420" t="str">
            <v>cc Study(1T)</v>
          </cell>
          <cell r="O420" t="str">
            <v>Internal R&amp;D</v>
          </cell>
          <cell r="P420" t="str">
            <v>Q1 Passed</v>
          </cell>
          <cell r="Q420" t="str">
            <v>Q1 Passed</v>
          </cell>
          <cell r="R420" t="str">
            <v>Q1.5 Passed</v>
          </cell>
          <cell r="S420" t="str">
            <v>Q1.5 Passed</v>
          </cell>
          <cell r="V420" t="str">
            <v>Tumor content 45-80%</v>
          </cell>
          <cell r="W420" t="str">
            <v>Clinic'les</v>
          </cell>
          <cell r="X420" t="str">
            <v>Clinic'les- Dr Ravi Krishnappa, Mysore</v>
          </cell>
          <cell r="Y420" t="str">
            <v>JSS Hospital, Mysore</v>
          </cell>
          <cell r="Z420" t="str">
            <v>Dr Ravi Krishnappa, Mysore</v>
          </cell>
          <cell r="AA420" t="str">
            <v>HNSCC</v>
          </cell>
          <cell r="AC420" t="str">
            <v>Tongue</v>
          </cell>
          <cell r="AD420" t="str">
            <v>tongue</v>
          </cell>
          <cell r="AE420" t="str">
            <v>Male</v>
          </cell>
          <cell r="AF420">
            <v>77</v>
          </cell>
          <cell r="AG420" t="str">
            <v>N</v>
          </cell>
          <cell r="AH420">
            <v>5.5</v>
          </cell>
          <cell r="AI420" t="str">
            <v>Kalappa</v>
          </cell>
          <cell r="AJ420" t="str">
            <v>Surgery</v>
          </cell>
          <cell r="AK420" t="str">
            <v>Primary</v>
          </cell>
          <cell r="AV420">
            <v>44965</v>
          </cell>
          <cell r="AW420">
            <v>0.79513888888888884</v>
          </cell>
          <cell r="AX420">
            <v>0.79513888888888884</v>
          </cell>
          <cell r="AY420">
            <v>0</v>
          </cell>
          <cell r="AZ420">
            <v>2.0833333333333332E-2</v>
          </cell>
          <cell r="BA420">
            <v>0.1701388888888889</v>
          </cell>
          <cell r="BB420" t="str">
            <v>0.2*0.4*0.7
0.3*0.6*0.9
0.4*0.7*1.5
0.4*0.7*1.0</v>
          </cell>
          <cell r="BC420" t="str">
            <v>0.2*0.4*0.7
0.3*0.6*0.9
0.4*0.7*1.5
0.4*0.7*1.0</v>
          </cell>
          <cell r="BD420" t="str">
            <v>Vibratome</v>
          </cell>
          <cell r="BE420">
            <v>4</v>
          </cell>
          <cell r="BF420" t="str">
            <v>Mounish</v>
          </cell>
          <cell r="BG420" t="str">
            <v>Y</v>
          </cell>
        </row>
        <row r="421">
          <cell r="A421" t="str">
            <v>FBR1Q230034</v>
          </cell>
          <cell r="B421">
            <v>230034</v>
          </cell>
          <cell r="C421" t="str">
            <v>R&amp;D</v>
          </cell>
          <cell r="D421">
            <v>44965</v>
          </cell>
          <cell r="E421">
            <v>0.44791666666666669</v>
          </cell>
          <cell r="F421">
            <v>44958</v>
          </cell>
          <cell r="G421">
            <v>44965</v>
          </cell>
          <cell r="H421">
            <v>0.77430555555555558</v>
          </cell>
          <cell r="I421">
            <v>0.3263888888888889</v>
          </cell>
          <cell r="J421">
            <v>1</v>
          </cell>
          <cell r="K421" t="str">
            <v>FCB-PROTOCOL-01</v>
          </cell>
          <cell r="L421" t="str">
            <v>CLN/JSS/013</v>
          </cell>
          <cell r="M421" t="str">
            <v>Y</v>
          </cell>
          <cell r="N421" t="str">
            <v>COSv4.2_CaBR(1Q-Unknown)</v>
          </cell>
          <cell r="O421" t="str">
            <v>Internal R&amp;D</v>
          </cell>
          <cell r="P421" t="str">
            <v>Q1 Passed</v>
          </cell>
          <cell r="Q421" t="str">
            <v>Q1 Passed</v>
          </cell>
          <cell r="R421" t="str">
            <v>Compromised</v>
          </cell>
          <cell r="S421" t="str">
            <v>Q1.5 Passed</v>
          </cell>
          <cell r="V421" t="str">
            <v>Tumor in all fragments ;Content 2-35%</v>
          </cell>
          <cell r="W421" t="str">
            <v>Clinic'les</v>
          </cell>
          <cell r="X421" t="str">
            <v>Clinic'les- Dr Ravi Krishnappa, Mysore</v>
          </cell>
          <cell r="Y421" t="str">
            <v>JSS Hospital, Mysore</v>
          </cell>
          <cell r="Z421" t="str">
            <v>Dr Ravi Krishnappa, Mysore</v>
          </cell>
          <cell r="AA421" t="str">
            <v>Ca Breast</v>
          </cell>
          <cell r="AB421" t="str">
            <v>TNBC</v>
          </cell>
          <cell r="AC421" t="str">
            <v>Breast</v>
          </cell>
          <cell r="AD421" t="str">
            <v>Breast</v>
          </cell>
          <cell r="AE421" t="str">
            <v>Female</v>
          </cell>
          <cell r="AF421">
            <v>38</v>
          </cell>
          <cell r="AG421" t="str">
            <v>N</v>
          </cell>
          <cell r="AH421">
            <v>5.5</v>
          </cell>
          <cell r="AI421" t="str">
            <v>Kalappa</v>
          </cell>
          <cell r="AJ421" t="str">
            <v>Surgery</v>
          </cell>
          <cell r="AK421" t="str">
            <v>Primary</v>
          </cell>
          <cell r="AV421">
            <v>44965</v>
          </cell>
          <cell r="AW421">
            <v>0.79513888888888884</v>
          </cell>
          <cell r="AX421">
            <v>0.86805555555555558</v>
          </cell>
          <cell r="AY421">
            <v>7.2916666666666671E-2</v>
          </cell>
          <cell r="AZ421">
            <v>9.375E-2</v>
          </cell>
          <cell r="BA421">
            <v>0.4201388888888889</v>
          </cell>
          <cell r="BB421" t="str">
            <v>0.4/0.5*1.2*2.4</v>
          </cell>
          <cell r="BC421" t="str">
            <v>0.4*0.5*1.2*2.0</v>
          </cell>
          <cell r="BD421" t="str">
            <v>Manual</v>
          </cell>
          <cell r="BE421">
            <v>4</v>
          </cell>
          <cell r="BF421" t="str">
            <v>Kowshik</v>
          </cell>
          <cell r="BG421" t="str">
            <v>Y</v>
          </cell>
        </row>
        <row r="422">
          <cell r="A422" t="str">
            <v>FBR1T230035</v>
          </cell>
          <cell r="B422">
            <v>230035</v>
          </cell>
          <cell r="C422" t="str">
            <v>R&amp;D</v>
          </cell>
          <cell r="D422">
            <v>44965</v>
          </cell>
          <cell r="E422">
            <v>0.76111111111111107</v>
          </cell>
          <cell r="F422">
            <v>44958</v>
          </cell>
          <cell r="G422">
            <v>44965</v>
          </cell>
          <cell r="H422">
            <v>0.81666666666666665</v>
          </cell>
          <cell r="I422">
            <v>5.5555555555555552E-2</v>
          </cell>
          <cell r="J422">
            <v>2</v>
          </cell>
          <cell r="K422" t="str">
            <v>FCB-PROTOCOL-01</v>
          </cell>
          <cell r="L422" t="str">
            <v>CLN/PRA/192</v>
          </cell>
          <cell r="M422" t="str">
            <v>Y</v>
          </cell>
          <cell r="N422" t="str">
            <v>cc Study(1T)</v>
          </cell>
          <cell r="O422" t="str">
            <v>Internal R&amp;D</v>
          </cell>
          <cell r="P422" t="str">
            <v>Q1 Passed</v>
          </cell>
          <cell r="Q422" t="str">
            <v>Q1 Passed</v>
          </cell>
          <cell r="R422" t="str">
            <v>Q1.5 Passed</v>
          </cell>
          <cell r="S422" t="str">
            <v>Q1.5 Passed</v>
          </cell>
          <cell r="V422" t="str">
            <v>Tumor content 25-80%</v>
          </cell>
          <cell r="W422" t="str">
            <v>Private Hospital</v>
          </cell>
          <cell r="X422" t="str">
            <v>Dr Prakash BV, Bangalore</v>
          </cell>
          <cell r="Y422" t="str">
            <v>Sri Lakshmi Hospital, Bangalore</v>
          </cell>
          <cell r="Z422" t="str">
            <v>Dr Prakash BV, Bangalore</v>
          </cell>
          <cell r="AA422" t="str">
            <v>HNSCC</v>
          </cell>
          <cell r="AC422" t="str">
            <v>Tongue</v>
          </cell>
          <cell r="AD422" t="str">
            <v>Right Lateral Border of Tongue</v>
          </cell>
          <cell r="AE422" t="str">
            <v>Female</v>
          </cell>
          <cell r="AF422">
            <v>60</v>
          </cell>
          <cell r="AG422" t="str">
            <v>N</v>
          </cell>
          <cell r="AH422">
            <v>4.3</v>
          </cell>
          <cell r="AI422" t="str">
            <v>Maruthi</v>
          </cell>
          <cell r="AJ422" t="str">
            <v>Surgery</v>
          </cell>
          <cell r="AK422" t="str">
            <v>Primary</v>
          </cell>
          <cell r="AV422">
            <v>44965</v>
          </cell>
          <cell r="AW422">
            <v>0.83750000000000002</v>
          </cell>
          <cell r="AX422">
            <v>0.92361111111111116</v>
          </cell>
          <cell r="AY422">
            <v>8.611111111111111E-2</v>
          </cell>
          <cell r="AZ422">
            <v>0.10694444444444444</v>
          </cell>
          <cell r="BA422">
            <v>0.16250000000000001</v>
          </cell>
          <cell r="BB422" t="str">
            <v>0.5/0.6*1.0*1.6</v>
          </cell>
          <cell r="BC422" t="str">
            <v>0.5/0.6*1.0*1.6</v>
          </cell>
          <cell r="BD422" t="str">
            <v>Vibratome</v>
          </cell>
          <cell r="BE422">
            <v>4</v>
          </cell>
          <cell r="BF422" t="str">
            <v>Dharani</v>
          </cell>
          <cell r="BG422" t="str">
            <v>Y</v>
          </cell>
        </row>
        <row r="423">
          <cell r="A423" t="str">
            <v>FBR1R230035</v>
          </cell>
          <cell r="B423">
            <v>230035</v>
          </cell>
          <cell r="C423" t="str">
            <v>R&amp;D</v>
          </cell>
          <cell r="D423">
            <v>44965</v>
          </cell>
          <cell r="E423">
            <v>0.76111111111111107</v>
          </cell>
          <cell r="F423">
            <v>44958</v>
          </cell>
          <cell r="G423">
            <v>44965</v>
          </cell>
          <cell r="H423">
            <v>0.81666666666666665</v>
          </cell>
          <cell r="I423">
            <v>5.5555555555555552E-2</v>
          </cell>
          <cell r="J423">
            <v>1</v>
          </cell>
          <cell r="K423" t="str">
            <v>FCB-PROTOCOL-01</v>
          </cell>
          <cell r="L423" t="str">
            <v>CLN/PRA/192</v>
          </cell>
          <cell r="M423" t="str">
            <v>Y</v>
          </cell>
          <cell r="N423" t="str">
            <v>BSS(1R)</v>
          </cell>
          <cell r="O423" t="str">
            <v>Internal R&amp;D</v>
          </cell>
          <cell r="P423" t="str">
            <v>Q1 Passed</v>
          </cell>
          <cell r="Q423" t="str">
            <v>Q1 Passed</v>
          </cell>
          <cell r="R423" t="str">
            <v>Q1.5 Passed</v>
          </cell>
          <cell r="S423" t="str">
            <v>Q1.5 Passed</v>
          </cell>
          <cell r="V423" t="str">
            <v>Tumor content 15-80%</v>
          </cell>
          <cell r="W423" t="str">
            <v>Private Hospital</v>
          </cell>
          <cell r="X423" t="str">
            <v>Dr Prakash BV, Bangalore</v>
          </cell>
          <cell r="Y423" t="str">
            <v>Sri Lakshmi Hospital, Bangalore</v>
          </cell>
          <cell r="Z423" t="str">
            <v>Dr Prakash BV, Bangalore</v>
          </cell>
          <cell r="AA423" t="str">
            <v>HNSCC</v>
          </cell>
          <cell r="AC423" t="str">
            <v>Tongue</v>
          </cell>
          <cell r="AD423" t="str">
            <v>Right Lateral Border of Tongue</v>
          </cell>
          <cell r="AE423" t="str">
            <v>Female</v>
          </cell>
          <cell r="AF423">
            <v>60</v>
          </cell>
          <cell r="AG423" t="str">
            <v>N</v>
          </cell>
          <cell r="AH423">
            <v>4.3</v>
          </cell>
          <cell r="AI423" t="str">
            <v>Maruthi</v>
          </cell>
          <cell r="AJ423" t="str">
            <v>Surgery</v>
          </cell>
          <cell r="AK423" t="str">
            <v>Primary</v>
          </cell>
          <cell r="AV423">
            <v>44965</v>
          </cell>
          <cell r="AW423">
            <v>0.83750000000000002</v>
          </cell>
          <cell r="AX423">
            <v>0.92361111111111116</v>
          </cell>
          <cell r="AY423">
            <v>8.611111111111111E-2</v>
          </cell>
          <cell r="AZ423">
            <v>0.10694444444444444</v>
          </cell>
          <cell r="BA423">
            <v>0.16250000000000001</v>
          </cell>
          <cell r="BB423" t="str">
            <v>0.5/0.6*1.0*1.6</v>
          </cell>
          <cell r="BC423" t="str">
            <v>0.5/0.6*1.0*1.6</v>
          </cell>
          <cell r="BD423" t="str">
            <v>Vibratome</v>
          </cell>
          <cell r="BE423">
            <v>4</v>
          </cell>
          <cell r="BF423" t="str">
            <v>Dharani</v>
          </cell>
          <cell r="BG423" t="str">
            <v>Y</v>
          </cell>
        </row>
        <row r="424">
          <cell r="A424" t="str">
            <v>FBR1T230036</v>
          </cell>
          <cell r="B424">
            <v>230036</v>
          </cell>
          <cell r="C424" t="str">
            <v>R&amp;D</v>
          </cell>
          <cell r="D424">
            <v>44966</v>
          </cell>
          <cell r="E424">
            <v>0.49722222222222223</v>
          </cell>
          <cell r="F424">
            <v>44958</v>
          </cell>
          <cell r="G424">
            <v>44966</v>
          </cell>
          <cell r="H424">
            <v>0.56666666666666665</v>
          </cell>
          <cell r="I424">
            <v>6.9444444444444448E-2</v>
          </cell>
          <cell r="J424">
            <v>3</v>
          </cell>
          <cell r="K424" t="str">
            <v>FCB-PROTOCOL-01</v>
          </cell>
          <cell r="L424" t="str">
            <v>VYD/146</v>
          </cell>
          <cell r="M424" t="str">
            <v>Y</v>
          </cell>
          <cell r="N424" t="str">
            <v>cc Study(1T)</v>
          </cell>
          <cell r="O424" t="str">
            <v>Internal R&amp;D</v>
          </cell>
          <cell r="P424" t="str">
            <v>Q1 Passed</v>
          </cell>
          <cell r="Q424" t="str">
            <v>Q1 Passed</v>
          </cell>
          <cell r="R424" t="str">
            <v>Q1.5 Passed</v>
          </cell>
          <cell r="S424" t="str">
            <v>Q1.5 Passed</v>
          </cell>
          <cell r="V424" t="str">
            <v>0-45%</v>
          </cell>
          <cell r="W424" t="str">
            <v>Private Hospital</v>
          </cell>
          <cell r="X424" t="str">
            <v>Vydehi Hospital, Bangalore</v>
          </cell>
          <cell r="Y424" t="str">
            <v>Vydehi Hospital, Bangalore</v>
          </cell>
          <cell r="Z424" t="str">
            <v>Dr Amritha Prabha, Bangalore</v>
          </cell>
          <cell r="AA424" t="str">
            <v>HNSCC</v>
          </cell>
          <cell r="AC424" t="str">
            <v>Alveolus</v>
          </cell>
          <cell r="AD424" t="str">
            <v>Right Lower Alveolus</v>
          </cell>
          <cell r="AE424" t="str">
            <v>Male</v>
          </cell>
          <cell r="AF424">
            <v>38</v>
          </cell>
          <cell r="AG424" t="str">
            <v>N</v>
          </cell>
          <cell r="AH424">
            <v>4.8</v>
          </cell>
          <cell r="AI424" t="str">
            <v>Partha</v>
          </cell>
          <cell r="AJ424" t="str">
            <v>Surgery</v>
          </cell>
          <cell r="AK424" t="str">
            <v>Primary</v>
          </cell>
          <cell r="AN424" t="str">
            <v>III</v>
          </cell>
          <cell r="AO424">
            <v>1</v>
          </cell>
          <cell r="AP424" t="str">
            <v>pT3N0</v>
          </cell>
          <cell r="AV424">
            <v>44966</v>
          </cell>
          <cell r="AW424">
            <v>0.625</v>
          </cell>
          <cell r="AX424">
            <v>0.7319444444444444</v>
          </cell>
          <cell r="AY424">
            <v>0.10694444444444444</v>
          </cell>
          <cell r="AZ424">
            <v>0.16527777777777777</v>
          </cell>
          <cell r="BA424">
            <v>0.23472222222222222</v>
          </cell>
          <cell r="BB424" t="str">
            <v>1.1*1.0*1.6</v>
          </cell>
          <cell r="BC424" t="str">
            <v>1.1*1.0*1.6</v>
          </cell>
          <cell r="BD424" t="str">
            <v>Vibratome</v>
          </cell>
          <cell r="BE424">
            <v>4</v>
          </cell>
          <cell r="BF424" t="str">
            <v>Biswajit</v>
          </cell>
          <cell r="BG424" t="str">
            <v>Y</v>
          </cell>
        </row>
        <row r="425">
          <cell r="A425" t="str">
            <v>FBR1T230037</v>
          </cell>
          <cell r="B425">
            <v>230037</v>
          </cell>
          <cell r="C425" t="str">
            <v>R&amp;D</v>
          </cell>
          <cell r="D425">
            <v>44967</v>
          </cell>
          <cell r="E425">
            <v>0.4548611111111111</v>
          </cell>
          <cell r="F425">
            <v>44958</v>
          </cell>
          <cell r="G425">
            <v>44967</v>
          </cell>
          <cell r="H425">
            <v>0.50972222222222219</v>
          </cell>
          <cell r="I425">
            <v>5.486111111111111E-2</v>
          </cell>
          <cell r="J425">
            <v>8</v>
          </cell>
          <cell r="K425" t="str">
            <v>FCB-PROTOCOL-02</v>
          </cell>
          <cell r="L425" t="str">
            <v>HN039</v>
          </cell>
          <cell r="M425" t="str">
            <v>Y</v>
          </cell>
          <cell r="N425" t="str">
            <v>cc Study(1T)</v>
          </cell>
          <cell r="O425" t="str">
            <v>Internal R&amp;D</v>
          </cell>
          <cell r="P425" t="str">
            <v>Q1 Passed</v>
          </cell>
          <cell r="Q425" t="str">
            <v>Q1 Passed</v>
          </cell>
          <cell r="R425" t="str">
            <v>Q1.5 Passed</v>
          </cell>
          <cell r="S425" t="str">
            <v>Q1.5 Passed</v>
          </cell>
          <cell r="V425" t="str">
            <v>Tumor content 70-95%</v>
          </cell>
          <cell r="W425" t="str">
            <v>Private Hospital</v>
          </cell>
          <cell r="X425" t="str">
            <v>Mazumdar Shaw Medical Centre, Bangalore</v>
          </cell>
          <cell r="Y425" t="str">
            <v>Mazumdar Shaw Medical Centre, Bangalore</v>
          </cell>
          <cell r="Z425" t="str">
            <v>Dr Vijay Pillai, Bangalore</v>
          </cell>
          <cell r="AA425" t="str">
            <v>HNSCC</v>
          </cell>
          <cell r="AC425" t="str">
            <v>Tongue</v>
          </cell>
          <cell r="AD425" t="str">
            <v>Right Lateral Border of Tongue</v>
          </cell>
          <cell r="AE425" t="str">
            <v>Male</v>
          </cell>
          <cell r="AF425">
            <v>46</v>
          </cell>
          <cell r="AG425" t="str">
            <v>N</v>
          </cell>
          <cell r="AH425">
            <v>5.0999999999999996</v>
          </cell>
          <cell r="AI425" t="str">
            <v>Shashi</v>
          </cell>
          <cell r="AJ425" t="str">
            <v>Surgery</v>
          </cell>
          <cell r="AK425" t="str">
            <v>Primary</v>
          </cell>
          <cell r="AN425" t="str">
            <v>III</v>
          </cell>
          <cell r="AO425">
            <v>2</v>
          </cell>
          <cell r="AP425" t="str">
            <v>pT3N0</v>
          </cell>
          <cell r="AS425" t="str">
            <v>Moderately differentiated squamous cell carcinoma.</v>
          </cell>
          <cell r="AV425">
            <v>44967</v>
          </cell>
          <cell r="AW425">
            <v>0.52708333333333335</v>
          </cell>
          <cell r="AX425">
            <v>0.58333333333333337</v>
          </cell>
          <cell r="AY425">
            <v>5.6250000000000001E-2</v>
          </cell>
          <cell r="AZ425">
            <v>7.3611111111111113E-2</v>
          </cell>
          <cell r="BA425">
            <v>0.12847222222222221</v>
          </cell>
          <cell r="BB425" t="str">
            <v>1.0*1.2*1.6/1.2</v>
          </cell>
          <cell r="BC425" t="str">
            <v>1.0*1.2*1.6/1.2</v>
          </cell>
          <cell r="BD425" t="str">
            <v>Vibratome</v>
          </cell>
          <cell r="BE425">
            <v>4</v>
          </cell>
          <cell r="BF425" t="str">
            <v>Biswajit</v>
          </cell>
          <cell r="BG425" t="str">
            <v>Y</v>
          </cell>
        </row>
        <row r="426">
          <cell r="A426" t="str">
            <v>FBR1R230037</v>
          </cell>
          <cell r="B426">
            <v>230037</v>
          </cell>
          <cell r="C426" t="str">
            <v>R&amp;D</v>
          </cell>
          <cell r="D426">
            <v>44967</v>
          </cell>
          <cell r="E426">
            <v>0.4548611111111111</v>
          </cell>
          <cell r="F426">
            <v>44958</v>
          </cell>
          <cell r="G426">
            <v>44967</v>
          </cell>
          <cell r="H426">
            <v>0.50972222222222219</v>
          </cell>
          <cell r="I426">
            <v>5.486111111111111E-2</v>
          </cell>
          <cell r="J426">
            <v>8</v>
          </cell>
          <cell r="K426" t="str">
            <v>FCB-PROTOCOL-02</v>
          </cell>
          <cell r="L426" t="str">
            <v>HN039</v>
          </cell>
          <cell r="M426" t="str">
            <v>Y</v>
          </cell>
          <cell r="N426" t="str">
            <v>BSS(1R)</v>
          </cell>
          <cell r="O426" t="str">
            <v>Internal R&amp;D</v>
          </cell>
          <cell r="P426" t="str">
            <v>Q1 Passed</v>
          </cell>
          <cell r="Q426" t="str">
            <v>Q1 Passed</v>
          </cell>
          <cell r="R426" t="str">
            <v>Q1.5 Passed</v>
          </cell>
          <cell r="S426" t="str">
            <v>Q1.5 Passed</v>
          </cell>
          <cell r="V426" t="str">
            <v>Tumor content 55-95%</v>
          </cell>
          <cell r="W426" t="str">
            <v>Private Hospital</v>
          </cell>
          <cell r="X426" t="str">
            <v>Mazumdar Shaw Medical Centre, Bangalore</v>
          </cell>
          <cell r="Y426" t="str">
            <v>Mazumdar Shaw Medical Centre, Bangalore</v>
          </cell>
          <cell r="Z426" t="str">
            <v>Dr Vijay Pillai, Bangalore</v>
          </cell>
          <cell r="AA426" t="str">
            <v>HNSCC</v>
          </cell>
          <cell r="AC426" t="str">
            <v>Tongue</v>
          </cell>
          <cell r="AD426" t="str">
            <v>Right Lateral Border of Tongue</v>
          </cell>
          <cell r="AE426" t="str">
            <v>Male</v>
          </cell>
          <cell r="AF426">
            <v>46</v>
          </cell>
          <cell r="AG426" t="str">
            <v>N</v>
          </cell>
          <cell r="AH426">
            <v>5.0999999999999996</v>
          </cell>
          <cell r="AI426" t="str">
            <v>Shashi</v>
          </cell>
          <cell r="AJ426" t="str">
            <v>Surgery</v>
          </cell>
          <cell r="AK426" t="str">
            <v>Primary</v>
          </cell>
          <cell r="AN426" t="str">
            <v>III</v>
          </cell>
          <cell r="AO426">
            <v>2</v>
          </cell>
          <cell r="AP426" t="str">
            <v>pT3N0</v>
          </cell>
          <cell r="AS426" t="str">
            <v>Moderately differentiated squamous cell carcinoma.</v>
          </cell>
          <cell r="AV426">
            <v>44967</v>
          </cell>
          <cell r="AW426">
            <v>0.52708333333333335</v>
          </cell>
          <cell r="AX426">
            <v>0.58333333333333337</v>
          </cell>
          <cell r="AY426">
            <v>5.6250000000000001E-2</v>
          </cell>
          <cell r="AZ426">
            <v>7.3611111111111113E-2</v>
          </cell>
          <cell r="BA426">
            <v>0.12847222222222221</v>
          </cell>
          <cell r="BB426" t="str">
            <v>1.0*1.2*1.6/1.2</v>
          </cell>
          <cell r="BC426" t="str">
            <v>1.0*1.2*1.6/1.2</v>
          </cell>
          <cell r="BD426" t="str">
            <v>Vibratome</v>
          </cell>
          <cell r="BE426">
            <v>4</v>
          </cell>
          <cell r="BF426" t="str">
            <v>Biswajit</v>
          </cell>
          <cell r="BG426" t="str">
            <v>Y</v>
          </cell>
        </row>
        <row r="427">
          <cell r="A427">
            <v>230038</v>
          </cell>
          <cell r="B427">
            <v>230038</v>
          </cell>
          <cell r="C427" t="str">
            <v>R&amp;D</v>
          </cell>
          <cell r="D427">
            <v>44967</v>
          </cell>
          <cell r="E427">
            <v>0.53125</v>
          </cell>
          <cell r="F427">
            <v>44958</v>
          </cell>
          <cell r="G427">
            <v>44967</v>
          </cell>
          <cell r="H427">
            <v>0.66874999999999996</v>
          </cell>
          <cell r="I427">
            <v>0.13750000000000001</v>
          </cell>
          <cell r="J427">
            <v>5</v>
          </cell>
          <cell r="K427" t="str">
            <v>FCB-PROTOCOL-01</v>
          </cell>
          <cell r="L427" t="str">
            <v>CLN/JSS/015</v>
          </cell>
          <cell r="M427" t="str">
            <v>Y</v>
          </cell>
          <cell r="N427" t="str">
            <v>No Study</v>
          </cell>
          <cell r="O427" t="str">
            <v>1st level attrition</v>
          </cell>
          <cell r="P427" t="str">
            <v>Q1 Passed</v>
          </cell>
          <cell r="Q427" t="str">
            <v>Q1 Passed</v>
          </cell>
          <cell r="R427" t="str">
            <v>Q1.5 Rejected</v>
          </cell>
          <cell r="S427" t="str">
            <v>Q1.5 Rejected</v>
          </cell>
          <cell r="T427" t="str">
            <v>Blood clotted and no tumor</v>
          </cell>
          <cell r="V427" t="str">
            <v>No Tumor</v>
          </cell>
          <cell r="W427" t="str">
            <v>Clinic'les</v>
          </cell>
          <cell r="X427" t="str">
            <v>Clinic'les- Dr Ravi Krishnappa, Mysore</v>
          </cell>
          <cell r="Y427" t="str">
            <v>JSS Hospital, Mysore</v>
          </cell>
          <cell r="Z427" t="str">
            <v>Dr Ravi Krishnappa, Mysore</v>
          </cell>
          <cell r="AA427" t="str">
            <v>HNSCC</v>
          </cell>
          <cell r="AC427" t="str">
            <v>Buccal Mucosa</v>
          </cell>
          <cell r="AD427" t="str">
            <v>Left Buccal Mucosa</v>
          </cell>
          <cell r="AE427" t="str">
            <v>Female</v>
          </cell>
          <cell r="AF427">
            <v>72</v>
          </cell>
          <cell r="AG427" t="str">
            <v>N</v>
          </cell>
          <cell r="AH427">
            <v>5.3</v>
          </cell>
          <cell r="AI427" t="str">
            <v>Kalappa</v>
          </cell>
          <cell r="AJ427" t="str">
            <v>Surgery</v>
          </cell>
          <cell r="AK427" t="str">
            <v>Local Recurrent</v>
          </cell>
          <cell r="AL427" t="str">
            <v>Chemotherapy+Radiotherapy</v>
          </cell>
          <cell r="AV427">
            <v>44967</v>
          </cell>
          <cell r="AW427">
            <v>0.69652777777777775</v>
          </cell>
          <cell r="AX427" t="str">
            <v>NA</v>
          </cell>
          <cell r="BB427" t="str">
            <v>0.2*0.3*0.1
0.2*0.2*0.5
0.2*0.4*0.1
0.2/0.7*1.6*0.4</v>
          </cell>
          <cell r="BF427" t="str">
            <v>Biswajit</v>
          </cell>
          <cell r="BG427" t="str">
            <v>N</v>
          </cell>
        </row>
        <row r="428">
          <cell r="A428" t="str">
            <v>FBR1T230039</v>
          </cell>
          <cell r="B428">
            <v>230039</v>
          </cell>
          <cell r="C428" t="str">
            <v>R&amp;D</v>
          </cell>
          <cell r="D428">
            <v>44970</v>
          </cell>
          <cell r="E428">
            <v>0.46388888888888891</v>
          </cell>
          <cell r="F428">
            <v>44958</v>
          </cell>
          <cell r="G428">
            <v>44970</v>
          </cell>
          <cell r="H428">
            <v>0.54305555555555551</v>
          </cell>
          <cell r="I428">
            <v>7.9166666666666663E-2</v>
          </cell>
          <cell r="J428">
            <v>3</v>
          </cell>
          <cell r="K428" t="str">
            <v>FCB-PROTOCOL-01</v>
          </cell>
          <cell r="L428" t="str">
            <v>VYD/147</v>
          </cell>
          <cell r="M428" t="str">
            <v>Y</v>
          </cell>
          <cell r="N428" t="str">
            <v>cc Study(1T)</v>
          </cell>
          <cell r="O428" t="str">
            <v>Internal R&amp;D</v>
          </cell>
          <cell r="P428" t="str">
            <v>Q1 Passed</v>
          </cell>
          <cell r="Q428" t="str">
            <v>Q1 Passed</v>
          </cell>
          <cell r="R428" t="str">
            <v>Q1.5 Passed</v>
          </cell>
          <cell r="S428" t="str">
            <v>Q1.5 Passed</v>
          </cell>
          <cell r="V428" t="str">
            <v>15-40%</v>
          </cell>
          <cell r="W428" t="str">
            <v>Private Hospital</v>
          </cell>
          <cell r="X428" t="str">
            <v>Vydehi Hospital, Bangalore</v>
          </cell>
          <cell r="Y428" t="str">
            <v>Vydehi Hospital, Bangalore</v>
          </cell>
          <cell r="Z428" t="str">
            <v>Dr Amritha Prabha, Bangalore</v>
          </cell>
          <cell r="AA428" t="str">
            <v>HNSCC</v>
          </cell>
          <cell r="AC428" t="str">
            <v>Alveolus</v>
          </cell>
          <cell r="AD428" t="str">
            <v>Right Lower Alveolus</v>
          </cell>
          <cell r="AE428" t="str">
            <v>Male</v>
          </cell>
          <cell r="AF428">
            <v>55</v>
          </cell>
          <cell r="AG428" t="str">
            <v>N</v>
          </cell>
          <cell r="AH428">
            <v>4.5</v>
          </cell>
          <cell r="AI428" t="str">
            <v>Kalappa</v>
          </cell>
          <cell r="AJ428" t="str">
            <v>Surgery</v>
          </cell>
          <cell r="AK428" t="str">
            <v>Local Recurrent</v>
          </cell>
          <cell r="AL428" t="str">
            <v>Raditherapy (june 2022)</v>
          </cell>
          <cell r="AN428" t="str">
            <v>IVa</v>
          </cell>
          <cell r="AO428">
            <v>2</v>
          </cell>
          <cell r="AP428" t="str">
            <v>pT4aN0</v>
          </cell>
          <cell r="AV428">
            <v>44970</v>
          </cell>
          <cell r="AW428">
            <v>0.57013888888888886</v>
          </cell>
          <cell r="AX428">
            <v>0.6694444444444444</v>
          </cell>
          <cell r="AY428">
            <v>9.930555555555555E-2</v>
          </cell>
          <cell r="AZ428">
            <v>0.12638888888888888</v>
          </cell>
          <cell r="BA428">
            <v>0.20555555555555555</v>
          </cell>
          <cell r="BB428" t="str">
            <v>1.3*1.3*2.0</v>
          </cell>
          <cell r="BC428" t="str">
            <v>1.3*1.3*2.0</v>
          </cell>
          <cell r="BD428" t="str">
            <v>Vibratome</v>
          </cell>
          <cell r="BE428">
            <v>4</v>
          </cell>
          <cell r="BF428" t="str">
            <v>Mounish</v>
          </cell>
          <cell r="BG428" t="str">
            <v>Y</v>
          </cell>
        </row>
        <row r="429">
          <cell r="A429" t="str">
            <v>FBR1T230040</v>
          </cell>
          <cell r="B429">
            <v>230040</v>
          </cell>
          <cell r="C429" t="str">
            <v>R&amp;D</v>
          </cell>
          <cell r="D429">
            <v>44971</v>
          </cell>
          <cell r="E429">
            <v>0.52083333333333337</v>
          </cell>
          <cell r="F429">
            <v>44958</v>
          </cell>
          <cell r="G429">
            <v>44971</v>
          </cell>
          <cell r="H429">
            <v>0.59513888888888888</v>
          </cell>
          <cell r="I429">
            <v>7.4305555555555555E-2</v>
          </cell>
          <cell r="J429">
            <v>23</v>
          </cell>
          <cell r="K429" t="str">
            <v>FCB-PROTOCOL-02</v>
          </cell>
          <cell r="L429" t="str">
            <v>HN040</v>
          </cell>
          <cell r="M429" t="str">
            <v>Y</v>
          </cell>
          <cell r="N429" t="str">
            <v>cc Study(1T)</v>
          </cell>
          <cell r="O429" t="str">
            <v>Internal R&amp;D</v>
          </cell>
          <cell r="P429" t="str">
            <v>Q1 Passed</v>
          </cell>
          <cell r="Q429" t="str">
            <v>Q1 Passed</v>
          </cell>
          <cell r="R429" t="str">
            <v>Q1.5 Passed</v>
          </cell>
          <cell r="S429" t="str">
            <v>Q1.5 Passed</v>
          </cell>
          <cell r="V429" t="str">
            <v>Tumor content 55-70%</v>
          </cell>
          <cell r="W429" t="str">
            <v>Private Hospital</v>
          </cell>
          <cell r="X429" t="str">
            <v>Mazumdar Shaw Medical Centre, Bangalore</v>
          </cell>
          <cell r="Y429" t="str">
            <v>Mazumdar Shaw Medical Centre, Bangalore</v>
          </cell>
          <cell r="Z429" t="str">
            <v>Dr Vijay Pillai, Bangalore</v>
          </cell>
          <cell r="AA429" t="str">
            <v>HNSCC</v>
          </cell>
          <cell r="AC429" t="str">
            <v>Buccal Mucosa</v>
          </cell>
          <cell r="AD429" t="str">
            <v>Left Buccal Mucosa</v>
          </cell>
          <cell r="AE429" t="str">
            <v>Female</v>
          </cell>
          <cell r="AF429">
            <v>43</v>
          </cell>
          <cell r="AG429" t="str">
            <v>N</v>
          </cell>
          <cell r="AH429">
            <v>5.0999999999999996</v>
          </cell>
          <cell r="AI429" t="str">
            <v>Shashi</v>
          </cell>
          <cell r="AJ429" t="str">
            <v>Surgery</v>
          </cell>
          <cell r="AK429" t="str">
            <v>Primary</v>
          </cell>
          <cell r="AL429" t="str">
            <v>Chemotherapy</v>
          </cell>
          <cell r="AN429" t="str">
            <v>III</v>
          </cell>
          <cell r="AO429">
            <v>2</v>
          </cell>
          <cell r="AP429" t="str">
            <v>pT3</v>
          </cell>
          <cell r="AQ429">
            <v>8</v>
          </cell>
          <cell r="AR429" t="str">
            <v>Adriyamycin+Bleomycin+vinblastine+dacarbazine</v>
          </cell>
          <cell r="AS429" t="str">
            <v>Moderately differentiated , squamous cell carcinoma</v>
          </cell>
          <cell r="AV429">
            <v>44971</v>
          </cell>
          <cell r="AW429">
            <v>0.61111111111111116</v>
          </cell>
          <cell r="AX429">
            <v>0.7</v>
          </cell>
          <cell r="AY429">
            <v>8.8888888888888892E-2</v>
          </cell>
          <cell r="AZ429">
            <v>0.10486111111111111</v>
          </cell>
          <cell r="BA429">
            <v>0.17916666666666667</v>
          </cell>
          <cell r="BB429" t="str">
            <v>0.4*0.8*0.9</v>
          </cell>
          <cell r="BC429" t="str">
            <v>0.4*0.8*0.9</v>
          </cell>
          <cell r="BD429" t="str">
            <v>Vibratome</v>
          </cell>
          <cell r="BE429">
            <v>4</v>
          </cell>
          <cell r="BF429" t="str">
            <v>Biswajit</v>
          </cell>
          <cell r="BG429" t="str">
            <v>Y</v>
          </cell>
        </row>
        <row r="430">
          <cell r="A430" t="str">
            <v>FBR1M230041</v>
          </cell>
          <cell r="B430">
            <v>230041</v>
          </cell>
          <cell r="C430" t="str">
            <v>R&amp;D</v>
          </cell>
          <cell r="D430">
            <v>44971</v>
          </cell>
          <cell r="E430">
            <v>0.47986111111111113</v>
          </cell>
          <cell r="F430">
            <v>44958</v>
          </cell>
          <cell r="G430">
            <v>44971</v>
          </cell>
          <cell r="H430">
            <v>0.69374999999999998</v>
          </cell>
          <cell r="I430">
            <v>0.21388888888888888</v>
          </cell>
          <cell r="J430">
            <v>16</v>
          </cell>
          <cell r="K430" t="str">
            <v>FCB-PROTOCOL-01</v>
          </cell>
          <cell r="L430" t="str">
            <v>CLN/JSS/016</v>
          </cell>
          <cell r="M430" t="str">
            <v>Y</v>
          </cell>
          <cell r="N430" t="str">
            <v>DMS_RCC(1M)</v>
          </cell>
          <cell r="O430" t="str">
            <v>Internal R&amp;D</v>
          </cell>
          <cell r="P430" t="str">
            <v>Q1 Passed</v>
          </cell>
          <cell r="Q430" t="str">
            <v>Q1 Passed</v>
          </cell>
          <cell r="R430" t="str">
            <v>Q1.5 Passed</v>
          </cell>
          <cell r="S430" t="str">
            <v>Q1.5 Passed</v>
          </cell>
          <cell r="V430" t="str">
            <v>Tumor in 6/7 explants. Tumor content 75-90%; Papillary RCC</v>
          </cell>
          <cell r="W430" t="str">
            <v>Clinic'les</v>
          </cell>
          <cell r="X430" t="str">
            <v>Clinic'les- Dr Ravi Krishnappa, Mysore</v>
          </cell>
          <cell r="Y430" t="str">
            <v>JSS Hospital, Mysore</v>
          </cell>
          <cell r="Z430" t="str">
            <v>Dr Ravi Krishnappa, Mysore</v>
          </cell>
          <cell r="AA430" t="str">
            <v>RCC</v>
          </cell>
          <cell r="AC430" t="str">
            <v>Kidney</v>
          </cell>
          <cell r="AD430" t="str">
            <v>Right Kidney</v>
          </cell>
          <cell r="AE430" t="str">
            <v>Male</v>
          </cell>
          <cell r="AF430">
            <v>52</v>
          </cell>
          <cell r="AG430" t="str">
            <v>N</v>
          </cell>
          <cell r="AH430">
            <v>4.8</v>
          </cell>
          <cell r="AI430" t="str">
            <v>Kalappa</v>
          </cell>
          <cell r="AJ430" t="str">
            <v>Surgery</v>
          </cell>
          <cell r="AK430" t="str">
            <v>Primary</v>
          </cell>
          <cell r="AV430">
            <v>44971</v>
          </cell>
          <cell r="AW430">
            <v>0.71875</v>
          </cell>
          <cell r="AX430">
            <v>0.81944444444444442</v>
          </cell>
          <cell r="AY430">
            <v>0.10069444444444445</v>
          </cell>
          <cell r="AZ430">
            <v>0.12569444444444444</v>
          </cell>
          <cell r="BA430">
            <v>0.33958333333333335</v>
          </cell>
          <cell r="BB430" t="str">
            <v>1.0*2.0*2.5
0.4/0.5*1.2*1.8/1.3</v>
          </cell>
          <cell r="BC430" t="str">
            <v>1.0*1.0*1.8
0.4/0.5*1.2*1.8/1.3</v>
          </cell>
          <cell r="BD430" t="str">
            <v>Vibratome</v>
          </cell>
          <cell r="BE430">
            <v>4</v>
          </cell>
          <cell r="BF430" t="str">
            <v>chandan</v>
          </cell>
          <cell r="BG430" t="str">
            <v>Y</v>
          </cell>
        </row>
        <row r="431">
          <cell r="A431" t="str">
            <v>FBR1Q230042</v>
          </cell>
          <cell r="B431">
            <v>230042</v>
          </cell>
          <cell r="C431" t="str">
            <v>R&amp;D</v>
          </cell>
          <cell r="D431">
            <v>44972</v>
          </cell>
          <cell r="E431">
            <v>0.52152777777777781</v>
          </cell>
          <cell r="F431">
            <v>44958</v>
          </cell>
          <cell r="G431">
            <v>44972</v>
          </cell>
          <cell r="H431">
            <v>0.68680555555555556</v>
          </cell>
          <cell r="I431">
            <v>0.16527777777777777</v>
          </cell>
          <cell r="J431">
            <v>4</v>
          </cell>
          <cell r="K431" t="str">
            <v>FCB-PROTOCOL-01</v>
          </cell>
          <cell r="L431" t="str">
            <v>CLN/JSS/017</v>
          </cell>
          <cell r="M431" t="str">
            <v>Y</v>
          </cell>
          <cell r="N431" t="str">
            <v>COSv4.2_CaBR(1Q-Unknown)</v>
          </cell>
          <cell r="O431" t="str">
            <v>Internal R&amp;D</v>
          </cell>
          <cell r="P431" t="str">
            <v>Q1 Passed</v>
          </cell>
          <cell r="Q431" t="str">
            <v>Q1 Passed</v>
          </cell>
          <cell r="R431" t="str">
            <v>Q1.5 Passed</v>
          </cell>
          <cell r="S431" t="str">
            <v>Q1.5 Passed</v>
          </cell>
          <cell r="V431" t="str">
            <v>Tumor content 2-75%</v>
          </cell>
          <cell r="W431" t="str">
            <v>Clinic'les</v>
          </cell>
          <cell r="X431" t="str">
            <v>Clinic'les- Dr Ravi Krishnappa, Mysore</v>
          </cell>
          <cell r="Y431" t="str">
            <v>JSS Hospital, Mysore</v>
          </cell>
          <cell r="Z431" t="str">
            <v>Dr Ravi Krishnappa, Mysore</v>
          </cell>
          <cell r="AA431" t="str">
            <v>Ca Breast</v>
          </cell>
          <cell r="AB431" t="str">
            <v>TNBC</v>
          </cell>
          <cell r="AC431" t="str">
            <v>Breast</v>
          </cell>
          <cell r="AD431" t="str">
            <v>Breast</v>
          </cell>
          <cell r="AE431" t="str">
            <v>Female</v>
          </cell>
          <cell r="AF431">
            <v>55</v>
          </cell>
          <cell r="AG431" t="str">
            <v>N</v>
          </cell>
          <cell r="AH431">
            <v>5.0999999999999996</v>
          </cell>
          <cell r="AI431" t="str">
            <v>Kalappa</v>
          </cell>
          <cell r="AJ431" t="str">
            <v>Surgery</v>
          </cell>
          <cell r="AK431" t="str">
            <v>Primary</v>
          </cell>
          <cell r="AV431">
            <v>44972</v>
          </cell>
          <cell r="AW431">
            <v>0.70347222222222228</v>
          </cell>
          <cell r="AX431">
            <v>0.80555555555555558</v>
          </cell>
          <cell r="AY431">
            <v>0.10208333333333333</v>
          </cell>
          <cell r="AZ431">
            <v>0.11874999999999999</v>
          </cell>
          <cell r="BA431">
            <v>0.28402777777777777</v>
          </cell>
          <cell r="BB431" t="str">
            <v>0.6/0.8*4.6*7.2</v>
          </cell>
          <cell r="BC431" t="str">
            <v>0.6*1.6*2.3</v>
          </cell>
          <cell r="BD431" t="str">
            <v>Manual</v>
          </cell>
          <cell r="BE431">
            <v>4</v>
          </cell>
          <cell r="BF431" t="str">
            <v>Syam</v>
          </cell>
          <cell r="BG431" t="str">
            <v>Y</v>
          </cell>
        </row>
        <row r="432">
          <cell r="A432">
            <v>230043</v>
          </cell>
          <cell r="B432">
            <v>230043</v>
          </cell>
          <cell r="C432" t="str">
            <v>R&amp;D</v>
          </cell>
          <cell r="D432">
            <v>44972</v>
          </cell>
          <cell r="E432">
            <v>0.50694444444444442</v>
          </cell>
          <cell r="F432">
            <v>44958</v>
          </cell>
          <cell r="G432">
            <v>44972</v>
          </cell>
          <cell r="H432">
            <v>0.84861111111111109</v>
          </cell>
          <cell r="I432">
            <v>0.34166666666666667</v>
          </cell>
          <cell r="J432">
            <v>20</v>
          </cell>
          <cell r="K432" t="str">
            <v>FCB-PROTOCOL-01</v>
          </cell>
          <cell r="L432" t="str">
            <v>CLN/DBR/131</v>
          </cell>
          <cell r="M432" t="str">
            <v>Y</v>
          </cell>
          <cell r="N432" t="str">
            <v>No Study</v>
          </cell>
          <cell r="O432" t="str">
            <v>1st level attrition</v>
          </cell>
          <cell r="P432" t="str">
            <v>Q1 Rejected</v>
          </cell>
          <cell r="Q432" t="str">
            <v>Q1 Rejected</v>
          </cell>
          <cell r="R432" t="str">
            <v>Q1.5 Rejected</v>
          </cell>
          <cell r="S432" t="str">
            <v>Q1.5 Rejected</v>
          </cell>
          <cell r="T432" t="str">
            <v>Blood clot and small size sample</v>
          </cell>
          <cell r="W432" t="str">
            <v>Clinic'les</v>
          </cell>
          <cell r="X432" t="str">
            <v>Clinic'les- DBR &amp; SK Hospital, Tirupati</v>
          </cell>
          <cell r="Y432" t="str">
            <v>DBR &amp; SK Hospital, Tirupati</v>
          </cell>
          <cell r="Z432" t="str">
            <v>Dr C Jayaprakash, Tirupati</v>
          </cell>
          <cell r="AA432" t="str">
            <v>HNSCC</v>
          </cell>
          <cell r="AC432" t="str">
            <v>Buccal Mucosa</v>
          </cell>
          <cell r="AD432" t="str">
            <v>Buccal Mucosa</v>
          </cell>
          <cell r="AE432" t="str">
            <v>Female</v>
          </cell>
          <cell r="AF432">
            <v>62</v>
          </cell>
          <cell r="AG432" t="str">
            <v>N</v>
          </cell>
          <cell r="AH432">
            <v>5.4</v>
          </cell>
          <cell r="AI432" t="str">
            <v>Maruthi</v>
          </cell>
          <cell r="AJ432" t="str">
            <v>Surgery</v>
          </cell>
          <cell r="AK432" t="str">
            <v>Primary</v>
          </cell>
          <cell r="AN432" t="str">
            <v>III</v>
          </cell>
          <cell r="AP432" t="str">
            <v>pT2 N1 MX</v>
          </cell>
          <cell r="AV432">
            <v>44972</v>
          </cell>
          <cell r="AW432">
            <v>0.85624999999999996</v>
          </cell>
          <cell r="BB432" t="str">
            <v>0.6/0.8*2.2*2.0/0.6</v>
          </cell>
          <cell r="BC432" t="str">
            <v>0.6/0.8*2.2*2.0/0.6</v>
          </cell>
          <cell r="BD432" t="str">
            <v>Vibratome</v>
          </cell>
          <cell r="BE432">
            <v>4</v>
          </cell>
          <cell r="BF432" t="str">
            <v>Kowshik</v>
          </cell>
          <cell r="BG432" t="str">
            <v>N</v>
          </cell>
        </row>
        <row r="433">
          <cell r="A433" t="str">
            <v>FBR1T230044</v>
          </cell>
          <cell r="B433">
            <v>230044</v>
          </cell>
          <cell r="C433" t="str">
            <v>R&amp;D</v>
          </cell>
          <cell r="D433">
            <v>44973</v>
          </cell>
          <cell r="E433">
            <v>0.35486111111111113</v>
          </cell>
          <cell r="F433">
            <v>44958</v>
          </cell>
          <cell r="G433">
            <v>44973</v>
          </cell>
          <cell r="H433">
            <v>0.41805555555555557</v>
          </cell>
          <cell r="I433">
            <v>6.3194444444444442E-2</v>
          </cell>
          <cell r="J433">
            <v>4</v>
          </cell>
          <cell r="K433" t="str">
            <v>FCB-PROTOCOL-01</v>
          </cell>
          <cell r="L433" t="str">
            <v>CLN/PRA/193</v>
          </cell>
          <cell r="M433" t="str">
            <v>Y</v>
          </cell>
          <cell r="N433" t="str">
            <v>cc Study(1T)</v>
          </cell>
          <cell r="O433" t="str">
            <v>Internal R&amp;D</v>
          </cell>
          <cell r="P433" t="str">
            <v>Q1 Passed</v>
          </cell>
          <cell r="Q433" t="str">
            <v>Q1 Passed</v>
          </cell>
          <cell r="R433" t="str">
            <v>Q1.5 Passed</v>
          </cell>
          <cell r="S433" t="str">
            <v>Q1.5 Passed</v>
          </cell>
          <cell r="V433" t="str">
            <v>Tumor content 40-85%. Some fragments are broken</v>
          </cell>
          <cell r="W433" t="str">
            <v>Private Hospital</v>
          </cell>
          <cell r="X433" t="str">
            <v>Dr Prakash BV, Bangalore</v>
          </cell>
          <cell r="Y433" t="str">
            <v>Sri Lakshmi Hospital, Bangalore</v>
          </cell>
          <cell r="Z433" t="str">
            <v>Dr Prakash BV, Bangalore</v>
          </cell>
          <cell r="AA433" t="str">
            <v>HNSCC</v>
          </cell>
          <cell r="AC433" t="str">
            <v>GBS</v>
          </cell>
          <cell r="AD433" t="str">
            <v>Left Lower GBS</v>
          </cell>
          <cell r="AE433" t="str">
            <v>Male</v>
          </cell>
          <cell r="AF433">
            <v>62</v>
          </cell>
          <cell r="AG433" t="str">
            <v>N</v>
          </cell>
          <cell r="AH433">
            <v>4.9000000000000004</v>
          </cell>
          <cell r="AI433" t="str">
            <v>Shashi</v>
          </cell>
          <cell r="AJ433" t="str">
            <v>Surgery</v>
          </cell>
          <cell r="AK433" t="str">
            <v>Primary</v>
          </cell>
          <cell r="AV433">
            <v>44973</v>
          </cell>
          <cell r="AW433">
            <v>0.4236111111111111</v>
          </cell>
          <cell r="AX433">
            <v>0.53333333333333333</v>
          </cell>
          <cell r="AY433">
            <v>0.10972222222222222</v>
          </cell>
          <cell r="AZ433">
            <v>0.11527777777777778</v>
          </cell>
          <cell r="BA433">
            <v>0.17847222222222223</v>
          </cell>
          <cell r="BB433" t="str">
            <v>0.4*1.8*1.6
0.1/0.4*1.4*1.8</v>
          </cell>
          <cell r="BC433" t="str">
            <v>0.4*1.8*1.6
0.1/0.4*1.4*1.8</v>
          </cell>
          <cell r="BD433" t="str">
            <v>Vibratome</v>
          </cell>
          <cell r="BE433">
            <v>4</v>
          </cell>
          <cell r="BF433" t="str">
            <v>Mounish</v>
          </cell>
          <cell r="BG433" t="str">
            <v>Y</v>
          </cell>
        </row>
        <row r="434">
          <cell r="A434" t="str">
            <v>FBR1T230045</v>
          </cell>
          <cell r="B434">
            <v>230045</v>
          </cell>
          <cell r="C434" t="str">
            <v>R&amp;D</v>
          </cell>
          <cell r="D434">
            <v>44974</v>
          </cell>
          <cell r="E434">
            <v>0.45416666666666666</v>
          </cell>
          <cell r="F434">
            <v>44958</v>
          </cell>
          <cell r="G434">
            <v>44974</v>
          </cell>
          <cell r="H434">
            <v>0.61805555555555558</v>
          </cell>
          <cell r="I434">
            <v>0.16388888888888889</v>
          </cell>
          <cell r="J434">
            <v>1</v>
          </cell>
          <cell r="K434" t="str">
            <v>FCB-PROTOCOL-01</v>
          </cell>
          <cell r="L434" t="str">
            <v>VYD/148</v>
          </cell>
          <cell r="M434" t="str">
            <v>Y</v>
          </cell>
          <cell r="N434" t="str">
            <v>cc Study(1T)</v>
          </cell>
          <cell r="O434" t="str">
            <v>Internal R&amp;D</v>
          </cell>
          <cell r="P434" t="str">
            <v>Q1 Passed</v>
          </cell>
          <cell r="Q434" t="str">
            <v>Q1 Passed</v>
          </cell>
          <cell r="R434" t="str">
            <v>Q1.5 Passed</v>
          </cell>
          <cell r="S434" t="str">
            <v>Q1.5 Passed</v>
          </cell>
          <cell r="V434" t="str">
            <v>3-95%</v>
          </cell>
          <cell r="W434" t="str">
            <v>Private Hospital</v>
          </cell>
          <cell r="X434" t="str">
            <v>Vydehi Hospital, Bangalore</v>
          </cell>
          <cell r="Y434" t="str">
            <v>Vydehi Hospital, Bangalore</v>
          </cell>
          <cell r="Z434" t="str">
            <v>Dr Amritha Prabha, Bangalore</v>
          </cell>
          <cell r="AA434" t="str">
            <v>HNSCC</v>
          </cell>
          <cell r="AC434" t="str">
            <v>Alveolus</v>
          </cell>
          <cell r="AD434" t="str">
            <v>Left Upper Alveolus</v>
          </cell>
          <cell r="AE434" t="str">
            <v>Female</v>
          </cell>
          <cell r="AF434">
            <v>65</v>
          </cell>
          <cell r="AG434" t="str">
            <v>N</v>
          </cell>
          <cell r="AH434">
            <v>4.5</v>
          </cell>
          <cell r="AI434" t="str">
            <v>Maruthi</v>
          </cell>
          <cell r="AJ434" t="str">
            <v>Surgery</v>
          </cell>
          <cell r="AK434" t="str">
            <v>Primary</v>
          </cell>
          <cell r="AN434" t="str">
            <v>II</v>
          </cell>
          <cell r="AO434">
            <v>1</v>
          </cell>
          <cell r="AP434" t="str">
            <v>pT2N0</v>
          </cell>
          <cell r="AV434">
            <v>44974</v>
          </cell>
          <cell r="AW434">
            <v>0.64583333333333337</v>
          </cell>
          <cell r="AX434">
            <v>0.75</v>
          </cell>
          <cell r="AY434">
            <v>0.10416666666666667</v>
          </cell>
          <cell r="AZ434">
            <v>0.13194444444444445</v>
          </cell>
          <cell r="BA434">
            <v>0.29583333333333334</v>
          </cell>
          <cell r="BB434" t="str">
            <v>0.4*1.1/1.2*1.0/1.1</v>
          </cell>
          <cell r="BC434" t="str">
            <v>0.4*1.1/1.2*1.0/1.1</v>
          </cell>
          <cell r="BD434" t="str">
            <v>Vibratome</v>
          </cell>
          <cell r="BE434">
            <v>4</v>
          </cell>
          <cell r="BF434" t="str">
            <v>Dharani</v>
          </cell>
          <cell r="BG434" t="str">
            <v>Y</v>
          </cell>
        </row>
        <row r="435">
          <cell r="A435" t="str">
            <v>FBR1R230045</v>
          </cell>
          <cell r="B435">
            <v>230045</v>
          </cell>
          <cell r="C435" t="str">
            <v>R&amp;D</v>
          </cell>
          <cell r="D435">
            <v>44974</v>
          </cell>
          <cell r="E435">
            <v>0.45416666666666666</v>
          </cell>
          <cell r="F435">
            <v>44958</v>
          </cell>
          <cell r="G435">
            <v>44974</v>
          </cell>
          <cell r="H435">
            <v>0.61805555555555558</v>
          </cell>
          <cell r="I435">
            <v>0.16388888888888889</v>
          </cell>
          <cell r="J435">
            <v>1</v>
          </cell>
          <cell r="K435" t="str">
            <v>FCB-PROTOCOL-01</v>
          </cell>
          <cell r="L435" t="str">
            <v>VYD/148</v>
          </cell>
          <cell r="M435" t="str">
            <v>Y</v>
          </cell>
          <cell r="N435" t="str">
            <v>BSS(1R)</v>
          </cell>
          <cell r="O435" t="str">
            <v>Internal R&amp;D</v>
          </cell>
          <cell r="P435" t="str">
            <v>Q1 Passed</v>
          </cell>
          <cell r="Q435" t="str">
            <v>Q1 Passed</v>
          </cell>
          <cell r="R435" t="str">
            <v>Q1.5 Passed</v>
          </cell>
          <cell r="S435" t="str">
            <v>Q1.5 Passed</v>
          </cell>
          <cell r="V435" t="str">
            <v>15-95%</v>
          </cell>
          <cell r="W435" t="str">
            <v>Private Hospital</v>
          </cell>
          <cell r="X435" t="str">
            <v>Vydehi Hospital, Bangalore</v>
          </cell>
          <cell r="Y435" t="str">
            <v>Vydehi Hospital, Bangalore</v>
          </cell>
          <cell r="Z435" t="str">
            <v>Dr Amritha Prabha, Bangalore</v>
          </cell>
          <cell r="AA435" t="str">
            <v>HNSCC</v>
          </cell>
          <cell r="AC435" t="str">
            <v>Alveolus</v>
          </cell>
          <cell r="AD435" t="str">
            <v>Left Upper Alveolus</v>
          </cell>
          <cell r="AE435" t="str">
            <v>Female</v>
          </cell>
          <cell r="AF435">
            <v>65</v>
          </cell>
          <cell r="AG435" t="str">
            <v>N</v>
          </cell>
          <cell r="AH435">
            <v>4.5</v>
          </cell>
          <cell r="AI435" t="str">
            <v>Maruthi</v>
          </cell>
          <cell r="AJ435" t="str">
            <v>Surgery</v>
          </cell>
          <cell r="AK435" t="str">
            <v>Primary</v>
          </cell>
          <cell r="AN435" t="str">
            <v>II</v>
          </cell>
          <cell r="AO435">
            <v>1</v>
          </cell>
          <cell r="AP435" t="str">
            <v>pT2N0</v>
          </cell>
          <cell r="AV435">
            <v>44974</v>
          </cell>
          <cell r="AW435">
            <v>0.64583333333333337</v>
          </cell>
          <cell r="AX435">
            <v>0.75</v>
          </cell>
          <cell r="AY435">
            <v>0.10416666666666667</v>
          </cell>
          <cell r="AZ435">
            <v>0.13194444444444445</v>
          </cell>
          <cell r="BA435">
            <v>0.29583333333333334</v>
          </cell>
          <cell r="BB435" t="str">
            <v>0.4*1.1/1.2*1.0/1.1</v>
          </cell>
          <cell r="BC435" t="str">
            <v>0.4*1.1/1.2*1.0/1.1</v>
          </cell>
          <cell r="BD435" t="str">
            <v>Vibratome</v>
          </cell>
          <cell r="BE435">
            <v>4</v>
          </cell>
          <cell r="BF435" t="str">
            <v>Dharani</v>
          </cell>
          <cell r="BG435" t="str">
            <v>Y</v>
          </cell>
        </row>
        <row r="436">
          <cell r="A436">
            <v>230046</v>
          </cell>
          <cell r="B436">
            <v>230046</v>
          </cell>
          <cell r="C436" t="str">
            <v>R&amp;D</v>
          </cell>
          <cell r="D436">
            <v>44974</v>
          </cell>
          <cell r="E436">
            <v>0.56041666666666667</v>
          </cell>
          <cell r="F436">
            <v>44958</v>
          </cell>
          <cell r="G436">
            <v>44974</v>
          </cell>
          <cell r="H436">
            <v>0.62777777777777777</v>
          </cell>
          <cell r="I436">
            <v>6.7361111111111108E-2</v>
          </cell>
          <cell r="J436">
            <v>0</v>
          </cell>
          <cell r="K436" t="str">
            <v>FCB-PROTOCOL-02</v>
          </cell>
          <cell r="L436" t="str">
            <v>HN041</v>
          </cell>
          <cell r="M436" t="str">
            <v>Y</v>
          </cell>
          <cell r="N436" t="str">
            <v>No Study</v>
          </cell>
          <cell r="O436" t="str">
            <v>1st level attrition</v>
          </cell>
          <cell r="P436" t="str">
            <v>Q1 Rejected</v>
          </cell>
          <cell r="Q436" t="str">
            <v>Q1 Rejected</v>
          </cell>
          <cell r="R436" t="str">
            <v>Q1.5 Rejected</v>
          </cell>
          <cell r="S436" t="str">
            <v>Q1.5 Rejected</v>
          </cell>
          <cell r="T436" t="str">
            <v>Infected Patient(TB)</v>
          </cell>
          <cell r="W436" t="str">
            <v>Private Hospital</v>
          </cell>
          <cell r="X436" t="str">
            <v>Mazumdar Shaw Medical Centre, Bangalore</v>
          </cell>
          <cell r="Y436" t="str">
            <v>Mazumdar Shaw Medical Centre, Bangalore</v>
          </cell>
          <cell r="Z436" t="str">
            <v>Dr Vijay Pillai, Bangalore</v>
          </cell>
          <cell r="AA436" t="str">
            <v>HNSCC</v>
          </cell>
          <cell r="AC436" t="str">
            <v>Larynx</v>
          </cell>
          <cell r="AD436" t="str">
            <v>Larynx</v>
          </cell>
          <cell r="AE436" t="str">
            <v>Female</v>
          </cell>
          <cell r="AF436">
            <v>54</v>
          </cell>
          <cell r="AG436" t="str">
            <v>Y</v>
          </cell>
          <cell r="AH436">
            <v>4.5</v>
          </cell>
          <cell r="AI436" t="str">
            <v>Shashi</v>
          </cell>
          <cell r="AJ436" t="str">
            <v>Biopsy</v>
          </cell>
          <cell r="AK436" t="str">
            <v>Primary</v>
          </cell>
          <cell r="AV436">
            <v>44974</v>
          </cell>
          <cell r="AW436" t="str">
            <v>NA</v>
          </cell>
          <cell r="AX436" t="str">
            <v>NA</v>
          </cell>
          <cell r="BB436" t="str">
            <v>NA</v>
          </cell>
        </row>
        <row r="437">
          <cell r="A437" t="str">
            <v>FBR1T230047</v>
          </cell>
          <cell r="B437">
            <v>230047</v>
          </cell>
          <cell r="C437" t="str">
            <v>R&amp;D</v>
          </cell>
          <cell r="D437">
            <v>44977</v>
          </cell>
          <cell r="E437">
            <v>0.43055555555555558</v>
          </cell>
          <cell r="F437">
            <v>44958</v>
          </cell>
          <cell r="G437">
            <v>44977</v>
          </cell>
          <cell r="H437">
            <v>0.62291666666666667</v>
          </cell>
          <cell r="I437">
            <v>0.19236111111111112</v>
          </cell>
          <cell r="J437">
            <v>5</v>
          </cell>
          <cell r="K437" t="str">
            <v>MBT-TB-070_v2.0</v>
          </cell>
          <cell r="L437" t="str">
            <v>BBH020</v>
          </cell>
          <cell r="M437" t="str">
            <v>Y</v>
          </cell>
          <cell r="N437" t="str">
            <v>cc Study(1T)</v>
          </cell>
          <cell r="O437" t="str">
            <v>Internal R&amp;D</v>
          </cell>
          <cell r="P437" t="str">
            <v>Q1 Passed</v>
          </cell>
          <cell r="Q437" t="str">
            <v>Q1 Rejected</v>
          </cell>
          <cell r="R437" t="str">
            <v>Compromised</v>
          </cell>
          <cell r="S437" t="str">
            <v>Q1.5 Passed</v>
          </cell>
          <cell r="V437" t="str">
            <v>Tumor content 20-65%</v>
          </cell>
          <cell r="W437" t="str">
            <v>Private Hospital</v>
          </cell>
          <cell r="X437" t="str">
            <v>Bangalore Baptist Hospital, Bangalore</v>
          </cell>
          <cell r="Y437" t="str">
            <v>Bangalore Baptist Hospital, Bangalore</v>
          </cell>
          <cell r="Z437" t="str">
            <v>Dr BV Manjula, Bangalore</v>
          </cell>
          <cell r="AA437" t="str">
            <v>HNSCC</v>
          </cell>
          <cell r="AC437" t="str">
            <v>Alveolus</v>
          </cell>
          <cell r="AD437" t="str">
            <v>Ca Left Lower Alveolus &amp; GB Sulcus</v>
          </cell>
          <cell r="AE437" t="str">
            <v>Male</v>
          </cell>
          <cell r="AF437">
            <v>64</v>
          </cell>
          <cell r="AG437" t="str">
            <v>N</v>
          </cell>
          <cell r="AH437">
            <v>6.8</v>
          </cell>
          <cell r="AI437" t="str">
            <v>Partha</v>
          </cell>
          <cell r="AJ437" t="str">
            <v>Surgery</v>
          </cell>
          <cell r="AK437" t="str">
            <v>Primary</v>
          </cell>
          <cell r="AV437">
            <v>44977</v>
          </cell>
          <cell r="AW437">
            <v>0.63888888888888884</v>
          </cell>
          <cell r="AX437">
            <v>0.71527777777777779</v>
          </cell>
          <cell r="AY437">
            <v>7.6388888888888895E-2</v>
          </cell>
          <cell r="AZ437">
            <v>9.2361111111111116E-2</v>
          </cell>
          <cell r="BA437">
            <v>0.28472222222222221</v>
          </cell>
          <cell r="BB437" t="str">
            <v>0.4/0.8*1.2*1.7</v>
          </cell>
          <cell r="BC437" t="str">
            <v>0.4/0.8*1.2*1.7</v>
          </cell>
          <cell r="BD437" t="str">
            <v>Vibratome</v>
          </cell>
          <cell r="BE437">
            <v>4</v>
          </cell>
          <cell r="BF437" t="str">
            <v>Mounish</v>
          </cell>
          <cell r="BG437" t="str">
            <v>N</v>
          </cell>
        </row>
        <row r="438">
          <cell r="A438" t="str">
            <v>FBR1R230047</v>
          </cell>
          <cell r="B438">
            <v>230047</v>
          </cell>
          <cell r="C438" t="str">
            <v>R&amp;D</v>
          </cell>
          <cell r="D438">
            <v>44977</v>
          </cell>
          <cell r="E438">
            <v>0.43055555555555558</v>
          </cell>
          <cell r="F438">
            <v>44958</v>
          </cell>
          <cell r="G438">
            <v>44977</v>
          </cell>
          <cell r="H438">
            <v>0.62291666666666667</v>
          </cell>
          <cell r="I438">
            <v>0.19236111111111112</v>
          </cell>
          <cell r="J438">
            <v>5</v>
          </cell>
          <cell r="K438" t="str">
            <v>MBT-TB-070_v2.0</v>
          </cell>
          <cell r="L438" t="str">
            <v>BBH020</v>
          </cell>
          <cell r="M438" t="str">
            <v>Y</v>
          </cell>
          <cell r="N438" t="str">
            <v>BSS(1R)</v>
          </cell>
          <cell r="O438" t="str">
            <v>Internal R&amp;D</v>
          </cell>
          <cell r="P438" t="str">
            <v>Q1 Passed</v>
          </cell>
          <cell r="Q438" t="str">
            <v>Q1 Rejected</v>
          </cell>
          <cell r="R438" t="str">
            <v>Compromised</v>
          </cell>
          <cell r="S438" t="str">
            <v>Q1.5 Passed</v>
          </cell>
          <cell r="V438" t="str">
            <v>Tumor content 8-80%</v>
          </cell>
          <cell r="W438" t="str">
            <v>Private Hospital</v>
          </cell>
          <cell r="X438" t="str">
            <v>Bangalore Baptist Hospital, Bangalore</v>
          </cell>
          <cell r="Y438" t="str">
            <v>Bangalore Baptist Hospital, Bangalore</v>
          </cell>
          <cell r="Z438" t="str">
            <v>Dr BV Manjula, Bangalore</v>
          </cell>
          <cell r="AA438" t="str">
            <v>HNSCC</v>
          </cell>
          <cell r="AC438" t="str">
            <v>Alveolus</v>
          </cell>
          <cell r="AD438" t="str">
            <v>Ca Left Lower Alveolus &amp; GB Sulcus</v>
          </cell>
          <cell r="AE438" t="str">
            <v>Male</v>
          </cell>
          <cell r="AF438">
            <v>64</v>
          </cell>
          <cell r="AG438" t="str">
            <v>N</v>
          </cell>
          <cell r="AH438">
            <v>6.8</v>
          </cell>
          <cell r="AI438" t="str">
            <v>Partha</v>
          </cell>
          <cell r="AJ438" t="str">
            <v>Surgery</v>
          </cell>
          <cell r="AK438" t="str">
            <v>Primary</v>
          </cell>
          <cell r="AV438">
            <v>44977</v>
          </cell>
          <cell r="AW438">
            <v>0.63888888888888884</v>
          </cell>
          <cell r="AX438">
            <v>0.71527777777777779</v>
          </cell>
          <cell r="AY438">
            <v>7.6388888888888895E-2</v>
          </cell>
          <cell r="AZ438">
            <v>9.2361111111111116E-2</v>
          </cell>
          <cell r="BA438">
            <v>0.28472222222222221</v>
          </cell>
          <cell r="BB438" t="str">
            <v>0.4/0.8*1.2*1.7</v>
          </cell>
          <cell r="BC438" t="str">
            <v>0.4/0.8*1.2*1.7</v>
          </cell>
          <cell r="BD438" t="str">
            <v>Vibratome</v>
          </cell>
          <cell r="BE438">
            <v>4</v>
          </cell>
          <cell r="BF438" t="str">
            <v>Mounish</v>
          </cell>
          <cell r="BG438" t="str">
            <v>N</v>
          </cell>
        </row>
        <row r="439">
          <cell r="A439" t="str">
            <v>FBR1T230048</v>
          </cell>
          <cell r="B439">
            <v>230048</v>
          </cell>
          <cell r="C439" t="str">
            <v>R&amp;D</v>
          </cell>
          <cell r="D439">
            <v>44977</v>
          </cell>
          <cell r="E439">
            <v>0.55694444444444446</v>
          </cell>
          <cell r="F439">
            <v>44958</v>
          </cell>
          <cell r="G439">
            <v>44977</v>
          </cell>
          <cell r="H439">
            <v>0.65277777777777779</v>
          </cell>
          <cell r="I439">
            <v>9.583333333333334E-2</v>
          </cell>
          <cell r="J439">
            <v>22</v>
          </cell>
          <cell r="K439" t="str">
            <v>FCB-PROTOCOL-02</v>
          </cell>
          <cell r="L439" t="str">
            <v>HN042</v>
          </cell>
          <cell r="M439" t="str">
            <v>Y</v>
          </cell>
          <cell r="N439" t="str">
            <v>cc Study(1T)</v>
          </cell>
          <cell r="O439" t="str">
            <v>Internal R&amp;D</v>
          </cell>
          <cell r="P439" t="str">
            <v>Q1 Passed</v>
          </cell>
          <cell r="Q439" t="str">
            <v>Q1 Passed</v>
          </cell>
          <cell r="R439" t="str">
            <v>Q1.5 Passed</v>
          </cell>
          <cell r="S439" t="str">
            <v>Q1.5 Passed</v>
          </cell>
          <cell r="V439" t="str">
            <v>Tumor content 25-80% in 6/7 explants</v>
          </cell>
          <cell r="W439" t="str">
            <v>Private Hospital</v>
          </cell>
          <cell r="X439" t="str">
            <v>Mazumdar Shaw Medical Centre, Bangalore</v>
          </cell>
          <cell r="Y439" t="str">
            <v>Mazumdar Shaw Medical Centre, Bangalore</v>
          </cell>
          <cell r="Z439" t="str">
            <v>Dr Vijay Pillai, Bangalore</v>
          </cell>
          <cell r="AA439" t="str">
            <v>HNSCC</v>
          </cell>
          <cell r="AC439" t="str">
            <v>Palate</v>
          </cell>
          <cell r="AD439" t="str">
            <v>Right Palate</v>
          </cell>
          <cell r="AE439" t="str">
            <v>Male</v>
          </cell>
          <cell r="AF439">
            <v>46</v>
          </cell>
          <cell r="AG439" t="str">
            <v>Y</v>
          </cell>
          <cell r="AH439">
            <v>4.5</v>
          </cell>
          <cell r="AI439" t="str">
            <v>Maruthi</v>
          </cell>
          <cell r="AJ439" t="str">
            <v>Surgery</v>
          </cell>
          <cell r="AK439" t="str">
            <v>Primary</v>
          </cell>
          <cell r="AN439" t="str">
            <v>IV</v>
          </cell>
          <cell r="AO439">
            <v>3</v>
          </cell>
          <cell r="AP439" t="str">
            <v>pT4a</v>
          </cell>
          <cell r="AS439" t="str">
            <v xml:space="preserve">Poorly differentiated squamous cell carcinoma.
</v>
          </cell>
          <cell r="AV439">
            <v>44977</v>
          </cell>
          <cell r="AW439">
            <v>0.66666666666666663</v>
          </cell>
          <cell r="AX439">
            <v>0.76180555555555551</v>
          </cell>
          <cell r="AY439">
            <v>9.5138888888888884E-2</v>
          </cell>
          <cell r="AZ439">
            <v>0.10902777777777778</v>
          </cell>
          <cell r="BA439">
            <v>0.2048611111111111</v>
          </cell>
          <cell r="BB439" t="str">
            <v>1.0*1.1*1.5</v>
          </cell>
          <cell r="BC439" t="str">
            <v>1.0*1.1*1.5</v>
          </cell>
          <cell r="BD439" t="str">
            <v>Vibratome</v>
          </cell>
          <cell r="BE439">
            <v>4</v>
          </cell>
          <cell r="BF439" t="str">
            <v>Mounish</v>
          </cell>
          <cell r="BG439" t="str">
            <v>Y</v>
          </cell>
        </row>
        <row r="440">
          <cell r="A440" t="str">
            <v>FBR1R230048</v>
          </cell>
          <cell r="B440">
            <v>230048</v>
          </cell>
          <cell r="C440" t="str">
            <v>R&amp;D</v>
          </cell>
          <cell r="D440">
            <v>44977</v>
          </cell>
          <cell r="E440">
            <v>0.55694444444444446</v>
          </cell>
          <cell r="F440">
            <v>44958</v>
          </cell>
          <cell r="G440">
            <v>44977</v>
          </cell>
          <cell r="H440">
            <v>0.65277777777777779</v>
          </cell>
          <cell r="I440">
            <v>9.583333333333334E-2</v>
          </cell>
          <cell r="J440">
            <v>22</v>
          </cell>
          <cell r="K440" t="str">
            <v>FCB-PROTOCOL-02</v>
          </cell>
          <cell r="L440" t="str">
            <v>HN042</v>
          </cell>
          <cell r="M440" t="str">
            <v>Y</v>
          </cell>
          <cell r="N440" t="str">
            <v>BSS(1R)</v>
          </cell>
          <cell r="O440" t="str">
            <v>Internal R&amp;D</v>
          </cell>
          <cell r="P440" t="str">
            <v>Q1 Passed</v>
          </cell>
          <cell r="Q440" t="str">
            <v>Q1 Passed</v>
          </cell>
          <cell r="R440" t="str">
            <v>Q1.5 Passed</v>
          </cell>
          <cell r="S440" t="str">
            <v>Q1.5 Passed</v>
          </cell>
          <cell r="V440" t="str">
            <v>Tumor content 40-96%</v>
          </cell>
          <cell r="W440" t="str">
            <v>Private Hospital</v>
          </cell>
          <cell r="X440" t="str">
            <v>Mazumdar Shaw Medical Centre, Bangalore</v>
          </cell>
          <cell r="Y440" t="str">
            <v>Mazumdar Shaw Medical Centre, Bangalore</v>
          </cell>
          <cell r="Z440" t="str">
            <v>Dr Vijay Pillai, Bangalore</v>
          </cell>
          <cell r="AA440" t="str">
            <v>HNSCC</v>
          </cell>
          <cell r="AC440" t="str">
            <v>Palate</v>
          </cell>
          <cell r="AD440" t="str">
            <v>Right Palate</v>
          </cell>
          <cell r="AE440" t="str">
            <v>Male</v>
          </cell>
          <cell r="AF440">
            <v>46</v>
          </cell>
          <cell r="AG440" t="str">
            <v>Y</v>
          </cell>
          <cell r="AH440">
            <v>4.5</v>
          </cell>
          <cell r="AI440" t="str">
            <v>Maruthi</v>
          </cell>
          <cell r="AJ440" t="str">
            <v>Surgery</v>
          </cell>
          <cell r="AK440" t="str">
            <v>Primary</v>
          </cell>
          <cell r="AN440" t="str">
            <v>IV</v>
          </cell>
          <cell r="AO440">
            <v>3</v>
          </cell>
          <cell r="AP440" t="str">
            <v>pT4a</v>
          </cell>
          <cell r="AS440" t="str">
            <v xml:space="preserve">Poorly differentiated squamous cell carcinoma.
</v>
          </cell>
          <cell r="AV440">
            <v>44977</v>
          </cell>
          <cell r="AW440">
            <v>0.66666666666666663</v>
          </cell>
          <cell r="AX440">
            <v>0.76180555555555551</v>
          </cell>
          <cell r="AY440">
            <v>9.5138888888888884E-2</v>
          </cell>
          <cell r="AZ440">
            <v>0.10902777777777778</v>
          </cell>
          <cell r="BA440">
            <v>0.2048611111111111</v>
          </cell>
          <cell r="BB440" t="str">
            <v>1.0*1.1*1.5</v>
          </cell>
          <cell r="BC440" t="str">
            <v>1.0*1.1*1.5</v>
          </cell>
          <cell r="BD440" t="str">
            <v>Vibratome</v>
          </cell>
          <cell r="BE440">
            <v>4</v>
          </cell>
          <cell r="BF440" t="str">
            <v>Mounish</v>
          </cell>
          <cell r="BG440" t="str">
            <v>Y</v>
          </cell>
        </row>
        <row r="441">
          <cell r="A441" t="str">
            <v>FBR1T230049</v>
          </cell>
          <cell r="B441">
            <v>230049</v>
          </cell>
          <cell r="C441" t="str">
            <v>R&amp;D</v>
          </cell>
          <cell r="D441">
            <v>44977</v>
          </cell>
          <cell r="E441">
            <v>0.625</v>
          </cell>
          <cell r="F441">
            <v>44958</v>
          </cell>
          <cell r="G441">
            <v>44977</v>
          </cell>
          <cell r="H441">
            <v>0.74583333333333335</v>
          </cell>
          <cell r="I441">
            <v>0.12083333333333333</v>
          </cell>
          <cell r="J441">
            <v>5</v>
          </cell>
          <cell r="K441" t="str">
            <v>MBT-TB-070_v2.0</v>
          </cell>
          <cell r="L441" t="str">
            <v>BBH021</v>
          </cell>
          <cell r="M441" t="str">
            <v>Y</v>
          </cell>
          <cell r="N441" t="str">
            <v>cc Study(1T)</v>
          </cell>
          <cell r="O441" t="str">
            <v>Internal R&amp;D</v>
          </cell>
          <cell r="P441" t="str">
            <v>Q1 Passed</v>
          </cell>
          <cell r="Q441" t="str">
            <v>Q1 Passed</v>
          </cell>
          <cell r="R441" t="str">
            <v>Q1.5 Passed</v>
          </cell>
          <cell r="S441" t="str">
            <v>Q1.5 Passed</v>
          </cell>
          <cell r="V441" t="str">
            <v>Low Tumor content</v>
          </cell>
          <cell r="W441" t="str">
            <v>Private Hospital</v>
          </cell>
          <cell r="X441" t="str">
            <v>Bangalore Baptist Hospital, Bangalore</v>
          </cell>
          <cell r="Y441" t="str">
            <v>Bangalore Baptist Hospital, Bangalore</v>
          </cell>
          <cell r="Z441" t="str">
            <v>Dr BV Manjula, Bangalore</v>
          </cell>
          <cell r="AA441" t="str">
            <v>HNSCC</v>
          </cell>
          <cell r="AC441" t="str">
            <v>Buccal Mucosa</v>
          </cell>
          <cell r="AD441" t="str">
            <v xml:space="preserve"> Left Buccal Mucosa</v>
          </cell>
          <cell r="AE441" t="str">
            <v>Female</v>
          </cell>
          <cell r="AF441">
            <v>57</v>
          </cell>
          <cell r="AG441" t="str">
            <v>N</v>
          </cell>
          <cell r="AH441">
            <v>5.0999999999999996</v>
          </cell>
          <cell r="AI441" t="str">
            <v>Shashi</v>
          </cell>
          <cell r="AJ441" t="str">
            <v>Surgery</v>
          </cell>
          <cell r="AK441" t="str">
            <v>Primary</v>
          </cell>
          <cell r="AV441">
            <v>44977</v>
          </cell>
          <cell r="AW441">
            <v>0.78125</v>
          </cell>
          <cell r="AX441">
            <v>0.83333333333333337</v>
          </cell>
          <cell r="AY441">
            <v>5.2083333333333336E-2</v>
          </cell>
          <cell r="AZ441">
            <v>8.7499999999999994E-2</v>
          </cell>
          <cell r="BA441">
            <v>0.20833333333333334</v>
          </cell>
          <cell r="BB441" t="str">
            <v>0.6*1.1*1.7</v>
          </cell>
          <cell r="BC441" t="str">
            <v>0.6*1.1*1.7</v>
          </cell>
          <cell r="BD441" t="str">
            <v>Vibratome</v>
          </cell>
          <cell r="BE441">
            <v>4</v>
          </cell>
          <cell r="BF441" t="str">
            <v>Biswajit</v>
          </cell>
          <cell r="BG441" t="str">
            <v>Y</v>
          </cell>
        </row>
        <row r="442">
          <cell r="A442" t="str">
            <v>FBR1T230050</v>
          </cell>
          <cell r="B442">
            <v>230050</v>
          </cell>
          <cell r="C442" t="str">
            <v>R&amp;D</v>
          </cell>
          <cell r="D442">
            <v>44979</v>
          </cell>
          <cell r="E442">
            <v>0.55138888888888893</v>
          </cell>
          <cell r="F442">
            <v>44958</v>
          </cell>
          <cell r="G442">
            <v>44979</v>
          </cell>
          <cell r="H442">
            <v>0.67500000000000004</v>
          </cell>
          <cell r="I442">
            <v>0.12361111111111112</v>
          </cell>
          <cell r="J442">
            <v>1</v>
          </cell>
          <cell r="K442" t="str">
            <v>FCB-PROTOCOL-01</v>
          </cell>
          <cell r="L442" t="str">
            <v>VYD/149</v>
          </cell>
          <cell r="M442" t="str">
            <v>Y</v>
          </cell>
          <cell r="N442" t="str">
            <v>cc Study(1T)</v>
          </cell>
          <cell r="O442" t="str">
            <v>Internal R&amp;D</v>
          </cell>
          <cell r="P442" t="str">
            <v>Q1 Passed</v>
          </cell>
          <cell r="Q442" t="str">
            <v>Q1 Passed</v>
          </cell>
          <cell r="R442" t="str">
            <v>Q1.5 Passed</v>
          </cell>
          <cell r="S442" t="str">
            <v>Q1.5 Passed</v>
          </cell>
          <cell r="V442" t="str">
            <v>20-65%</v>
          </cell>
          <cell r="W442" t="str">
            <v>Private Hospital</v>
          </cell>
          <cell r="X442" t="str">
            <v>Vydehi Hospital, Bangalore</v>
          </cell>
          <cell r="Y442" t="str">
            <v>Vydehi Hospital, Bangalore</v>
          </cell>
          <cell r="Z442" t="str">
            <v>Dr Amritha Prabha, Bangalore</v>
          </cell>
          <cell r="AA442" t="str">
            <v>HNSCC</v>
          </cell>
          <cell r="AC442" t="str">
            <v>Buccal Mucosa</v>
          </cell>
          <cell r="AD442" t="str">
            <v>Left Buccal Mucosa</v>
          </cell>
          <cell r="AE442" t="str">
            <v>Male</v>
          </cell>
          <cell r="AF442">
            <v>62</v>
          </cell>
          <cell r="AG442" t="str">
            <v>N</v>
          </cell>
          <cell r="AH442">
            <v>4.8</v>
          </cell>
          <cell r="AI442" t="str">
            <v>Maruthi</v>
          </cell>
          <cell r="AJ442" t="str">
            <v>Surgery</v>
          </cell>
          <cell r="AK442" t="str">
            <v>Primary</v>
          </cell>
          <cell r="AN442" t="str">
            <v>I</v>
          </cell>
          <cell r="AO442">
            <v>1</v>
          </cell>
          <cell r="AP442" t="str">
            <v>pT1N0</v>
          </cell>
          <cell r="AV442">
            <v>44979</v>
          </cell>
          <cell r="AW442">
            <v>0.69305555555555554</v>
          </cell>
          <cell r="AX442">
            <v>0.71458333333333335</v>
          </cell>
          <cell r="AY442">
            <v>2.1527777777777778E-2</v>
          </cell>
          <cell r="AZ442">
            <v>3.9583333333333331E-2</v>
          </cell>
          <cell r="BA442">
            <v>0.16319444444444445</v>
          </cell>
          <cell r="BB442" t="str">
            <v>0.6*0.8*1.0/0.7</v>
          </cell>
          <cell r="BC442" t="str">
            <v>0.6*0.8*1.0/0.7</v>
          </cell>
          <cell r="BD442" t="str">
            <v>Vibratome</v>
          </cell>
          <cell r="BE442">
            <v>4</v>
          </cell>
          <cell r="BF442" t="str">
            <v>Mounish</v>
          </cell>
          <cell r="BG442" t="str">
            <v>Y</v>
          </cell>
        </row>
        <row r="443">
          <cell r="A443" t="str">
            <v>FBR1J230051</v>
          </cell>
          <cell r="B443">
            <v>230051</v>
          </cell>
          <cell r="C443" t="str">
            <v>R&amp;D</v>
          </cell>
          <cell r="D443">
            <v>44979</v>
          </cell>
          <cell r="E443">
            <v>0.77916666666666667</v>
          </cell>
          <cell r="F443">
            <v>44958</v>
          </cell>
          <cell r="G443">
            <v>44979</v>
          </cell>
          <cell r="H443">
            <v>0.83680555555555558</v>
          </cell>
          <cell r="I443">
            <v>5.7638888888888892E-2</v>
          </cell>
          <cell r="J443">
            <v>3</v>
          </cell>
          <cell r="K443" t="str">
            <v>FCB-PROTOCOL-01</v>
          </cell>
          <cell r="L443" t="str">
            <v>CLN/PRA/194</v>
          </cell>
          <cell r="M443" t="str">
            <v>Y</v>
          </cell>
          <cell r="N443" t="str">
            <v>COS_v3.0-Gastric (1J)</v>
          </cell>
          <cell r="O443" t="str">
            <v>Internal R&amp;D</v>
          </cell>
          <cell r="P443" t="str">
            <v>Q1 Passed</v>
          </cell>
          <cell r="Q443" t="str">
            <v>Q1 Passed</v>
          </cell>
          <cell r="R443" t="str">
            <v>Q1.5 Passed</v>
          </cell>
          <cell r="S443" t="str">
            <v>Q1.5 Passed</v>
          </cell>
          <cell r="V443" t="str">
            <v>Tumor present in many explants. Tumor content 10-80%</v>
          </cell>
          <cell r="W443" t="str">
            <v>Private Hospital</v>
          </cell>
          <cell r="X443" t="str">
            <v>Dr Prakash BV, Bangalore</v>
          </cell>
          <cell r="Y443" t="str">
            <v>Sri Lakshmi Hospital, Bangalore</v>
          </cell>
          <cell r="Z443" t="str">
            <v>Dr Prakash BV, Bangalore</v>
          </cell>
          <cell r="AA443" t="str">
            <v>GI</v>
          </cell>
          <cell r="AC443" t="str">
            <v>Stomach</v>
          </cell>
          <cell r="AD443" t="str">
            <v>Antrum of Stomach</v>
          </cell>
          <cell r="AE443" t="str">
            <v>Male</v>
          </cell>
          <cell r="AF443">
            <v>60</v>
          </cell>
          <cell r="AG443" t="str">
            <v>N</v>
          </cell>
          <cell r="AH443">
            <v>4.5999999999999996</v>
          </cell>
          <cell r="AI443" t="str">
            <v>Partha</v>
          </cell>
          <cell r="AJ443" t="str">
            <v>Surgery</v>
          </cell>
          <cell r="AK443" t="str">
            <v>Primary</v>
          </cell>
          <cell r="AV443">
            <v>44979</v>
          </cell>
          <cell r="AW443">
            <v>0.84722222222222221</v>
          </cell>
          <cell r="AX443">
            <v>0.91180555555555554</v>
          </cell>
          <cell r="AY443">
            <v>6.458333333333334E-2</v>
          </cell>
          <cell r="AZ443">
            <v>7.4999999999999997E-2</v>
          </cell>
          <cell r="BA443">
            <v>0.13263888888888889</v>
          </cell>
          <cell r="BB443" t="str">
            <v>0.3/0.42.8*2.2</v>
          </cell>
          <cell r="BC443" t="str">
            <v>0.3/0.42.8*2.2</v>
          </cell>
          <cell r="BD443" t="str">
            <v>Manual</v>
          </cell>
          <cell r="BE443">
            <v>4</v>
          </cell>
          <cell r="BF443" t="str">
            <v>Kowshik</v>
          </cell>
          <cell r="BG443" t="str">
            <v>N</v>
          </cell>
        </row>
        <row r="444">
          <cell r="A444" t="str">
            <v>FBR1T230052</v>
          </cell>
          <cell r="B444">
            <v>230052</v>
          </cell>
          <cell r="C444" t="str">
            <v>R&amp;D</v>
          </cell>
          <cell r="D444">
            <v>44980</v>
          </cell>
          <cell r="E444">
            <v>0.45</v>
          </cell>
          <cell r="F444">
            <v>44958</v>
          </cell>
          <cell r="G444">
            <v>44980</v>
          </cell>
          <cell r="H444">
            <v>0.52638888888888891</v>
          </cell>
          <cell r="I444">
            <v>7.6388888888888895E-2</v>
          </cell>
          <cell r="J444">
            <v>1</v>
          </cell>
          <cell r="K444" t="str">
            <v>FCB-PROTOCOL-01</v>
          </cell>
          <cell r="L444" t="str">
            <v>VYD/150</v>
          </cell>
          <cell r="M444" t="str">
            <v>Y</v>
          </cell>
          <cell r="N444" t="str">
            <v>cc Study(1T)</v>
          </cell>
          <cell r="O444" t="str">
            <v>Internal R&amp;D</v>
          </cell>
          <cell r="P444" t="str">
            <v>Q1 Passed</v>
          </cell>
          <cell r="Q444" t="str">
            <v>Q1 Passed</v>
          </cell>
          <cell r="R444" t="str">
            <v>Q1.5 Passed</v>
          </cell>
          <cell r="S444" t="str">
            <v>Q1.5 Passed</v>
          </cell>
          <cell r="V444" t="str">
            <v>high tumor</v>
          </cell>
          <cell r="W444" t="str">
            <v>Private Hospital</v>
          </cell>
          <cell r="X444" t="str">
            <v>Vydehi Hospital, Bangalore</v>
          </cell>
          <cell r="Y444" t="str">
            <v>Vydehi Hospital, Bangalore</v>
          </cell>
          <cell r="Z444" t="str">
            <v>Dr Amritha Prabha, Bangalore</v>
          </cell>
          <cell r="AA444" t="str">
            <v>HNSCC</v>
          </cell>
          <cell r="AC444" t="str">
            <v>Buccal Mucosa</v>
          </cell>
          <cell r="AD444" t="str">
            <v>Right buccal mucosa</v>
          </cell>
          <cell r="AE444" t="str">
            <v>Female</v>
          </cell>
          <cell r="AF444">
            <v>68</v>
          </cell>
          <cell r="AG444" t="str">
            <v>N</v>
          </cell>
          <cell r="AH444">
            <v>4.5</v>
          </cell>
          <cell r="AI444" t="str">
            <v>Kalappa</v>
          </cell>
          <cell r="AJ444" t="str">
            <v>Surgery</v>
          </cell>
          <cell r="AK444" t="str">
            <v>Primary</v>
          </cell>
          <cell r="AN444" t="str">
            <v>IVa</v>
          </cell>
          <cell r="AO444">
            <v>1</v>
          </cell>
          <cell r="AP444" t="str">
            <v>pT4N2</v>
          </cell>
          <cell r="AV444">
            <v>44980</v>
          </cell>
          <cell r="AW444">
            <v>0.58611111111111114</v>
          </cell>
          <cell r="AX444">
            <v>0.69444444444444442</v>
          </cell>
          <cell r="AY444">
            <v>0.10833333333333334</v>
          </cell>
          <cell r="AZ444">
            <v>0.16805555555555557</v>
          </cell>
          <cell r="BA444">
            <v>0.24444444444444444</v>
          </cell>
          <cell r="BB444" t="str">
            <v>0.8*1.0*1.5</v>
          </cell>
          <cell r="BC444" t="str">
            <v>0.8*1.0*1.5</v>
          </cell>
          <cell r="BD444" t="str">
            <v>Vibratome</v>
          </cell>
          <cell r="BE444">
            <v>4</v>
          </cell>
          <cell r="BF444" t="str">
            <v>Syam</v>
          </cell>
          <cell r="BG444" t="str">
            <v>Y</v>
          </cell>
        </row>
        <row r="445">
          <cell r="A445" t="str">
            <v>FBR1A230053</v>
          </cell>
          <cell r="B445">
            <v>230053</v>
          </cell>
          <cell r="C445" t="str">
            <v>R&amp;D</v>
          </cell>
          <cell r="D445">
            <v>44980</v>
          </cell>
          <cell r="E445">
            <v>0.73333333333333328</v>
          </cell>
          <cell r="F445">
            <v>44958</v>
          </cell>
          <cell r="G445">
            <v>44980</v>
          </cell>
          <cell r="H445">
            <v>0.7895833333333333</v>
          </cell>
          <cell r="I445">
            <v>5.6250000000000001E-2</v>
          </cell>
          <cell r="J445">
            <v>2</v>
          </cell>
          <cell r="K445" t="str">
            <v>FCB-PROTOCOL-01</v>
          </cell>
          <cell r="L445" t="str">
            <v>CLN/PRA/195</v>
          </cell>
          <cell r="M445" t="str">
            <v>Y</v>
          </cell>
          <cell r="N445" t="str">
            <v>Other Indication</v>
          </cell>
          <cell r="O445" t="str">
            <v>Internal R&amp;D</v>
          </cell>
          <cell r="P445" t="str">
            <v>Q1 Passed</v>
          </cell>
          <cell r="Q445" t="str">
            <v>Q1 Rejected</v>
          </cell>
          <cell r="R445" t="str">
            <v>Q1.5 Rejected</v>
          </cell>
          <cell r="S445" t="str">
            <v>Q1.5 Rejected</v>
          </cell>
          <cell r="T445" t="str">
            <v>Blood Leakage fond</v>
          </cell>
          <cell r="V445" t="str">
            <v>No  tumor</v>
          </cell>
          <cell r="W445" t="str">
            <v>Private Hospital</v>
          </cell>
          <cell r="X445" t="str">
            <v>Dr Prakash BV, Bangalore</v>
          </cell>
          <cell r="Y445" t="str">
            <v>Sri Lakshmi Hospital, Bangalore</v>
          </cell>
          <cell r="Z445" t="str">
            <v>Dr Prakash BV, Bangalore</v>
          </cell>
          <cell r="AA445" t="str">
            <v>Ca Ovary</v>
          </cell>
          <cell r="AC445" t="str">
            <v>Ovary</v>
          </cell>
          <cell r="AD445" t="str">
            <v>Right Ovary</v>
          </cell>
          <cell r="AE445" t="str">
            <v>Female</v>
          </cell>
          <cell r="AF445">
            <v>55</v>
          </cell>
          <cell r="AG445" t="str">
            <v>N</v>
          </cell>
          <cell r="AH445">
            <v>5.0999999999999996</v>
          </cell>
          <cell r="AI445" t="str">
            <v>Shashi</v>
          </cell>
          <cell r="AJ445" t="str">
            <v>Surgery</v>
          </cell>
          <cell r="AK445" t="str">
            <v>Primary</v>
          </cell>
          <cell r="AV445">
            <v>44980</v>
          </cell>
          <cell r="AW445">
            <v>0.8125</v>
          </cell>
          <cell r="AX445">
            <v>0.85416666666666663</v>
          </cell>
          <cell r="BB445" t="str">
            <v>0.4/0.6*1.4*3.0</v>
          </cell>
          <cell r="BD445" t="str">
            <v>Manual</v>
          </cell>
          <cell r="BE445">
            <v>4</v>
          </cell>
          <cell r="BF445" t="str">
            <v>Kowshik</v>
          </cell>
          <cell r="BG445" t="str">
            <v>N</v>
          </cell>
        </row>
        <row r="446">
          <cell r="A446" t="str">
            <v>FBR1T230054</v>
          </cell>
          <cell r="B446">
            <v>230054</v>
          </cell>
          <cell r="C446" t="str">
            <v>R&amp;D</v>
          </cell>
          <cell r="D446">
            <v>44981</v>
          </cell>
          <cell r="E446">
            <v>0.72499999999999998</v>
          </cell>
          <cell r="F446">
            <v>44958</v>
          </cell>
          <cell r="G446">
            <v>44981</v>
          </cell>
          <cell r="H446">
            <v>0.76736111111111116</v>
          </cell>
          <cell r="I446">
            <v>4.2361111111111113E-2</v>
          </cell>
          <cell r="J446">
            <v>2</v>
          </cell>
          <cell r="K446" t="str">
            <v>FCB-PROTOCOL-01</v>
          </cell>
          <cell r="L446" t="str">
            <v>CLN/PRA/196</v>
          </cell>
          <cell r="M446" t="str">
            <v>Y</v>
          </cell>
          <cell r="N446" t="str">
            <v>cc Study(1T)</v>
          </cell>
          <cell r="O446" t="str">
            <v>Internal R&amp;D</v>
          </cell>
          <cell r="P446" t="str">
            <v>Q1 Passed</v>
          </cell>
          <cell r="Q446" t="str">
            <v>Q1 Passed</v>
          </cell>
          <cell r="R446" t="str">
            <v>Q1.5 Passed</v>
          </cell>
          <cell r="S446" t="str">
            <v>Q1.5 Passed</v>
          </cell>
          <cell r="V446" t="str">
            <v>Tumor content 8-75%</v>
          </cell>
          <cell r="W446" t="str">
            <v>Private Hospital</v>
          </cell>
          <cell r="X446" t="str">
            <v>Dr Prakash BV, Bangalore</v>
          </cell>
          <cell r="Y446" t="str">
            <v>Sri Lakshmi Hospital, Bangalore</v>
          </cell>
          <cell r="Z446" t="str">
            <v>Dr Prakash BV, Bangalore</v>
          </cell>
          <cell r="AA446" t="str">
            <v>HNSCC</v>
          </cell>
          <cell r="AC446" t="str">
            <v>Left RMT</v>
          </cell>
          <cell r="AD446" t="str">
            <v>Antrum</v>
          </cell>
          <cell r="AE446" t="str">
            <v>Male</v>
          </cell>
          <cell r="AF446">
            <v>41</v>
          </cell>
          <cell r="AG446" t="str">
            <v>N</v>
          </cell>
          <cell r="AH446">
            <v>4.9000000000000004</v>
          </cell>
          <cell r="AI446" t="str">
            <v>Maruthi</v>
          </cell>
          <cell r="AJ446" t="str">
            <v>Surgery</v>
          </cell>
          <cell r="AK446" t="str">
            <v>Primary</v>
          </cell>
          <cell r="AV446">
            <v>44981</v>
          </cell>
          <cell r="AW446">
            <v>0.43055555555555558</v>
          </cell>
          <cell r="AX446">
            <v>0.52361111111111114</v>
          </cell>
          <cell r="AY446">
            <v>9.3055555555555558E-2</v>
          </cell>
          <cell r="AZ44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4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46" t="str">
            <v>0.4/0.5*1.3*1.3</v>
          </cell>
          <cell r="BC446" t="str">
            <v>0.4/0.5*1.3*1.3</v>
          </cell>
          <cell r="BD446" t="str">
            <v>Vibratome</v>
          </cell>
          <cell r="BE446">
            <v>4</v>
          </cell>
          <cell r="BF446" t="str">
            <v>Dharani</v>
          </cell>
          <cell r="BG446" t="str">
            <v>Y</v>
          </cell>
        </row>
        <row r="447">
          <cell r="A447" t="str">
            <v>FBR1A230055</v>
          </cell>
          <cell r="B447">
            <v>230055</v>
          </cell>
          <cell r="C447" t="str">
            <v>R&amp;D</v>
          </cell>
          <cell r="D447">
            <v>44981</v>
          </cell>
          <cell r="E447">
            <v>0.36805555555555558</v>
          </cell>
          <cell r="F447">
            <v>44958</v>
          </cell>
          <cell r="G447">
            <v>44981</v>
          </cell>
          <cell r="H447">
            <v>0.72777777777777775</v>
          </cell>
          <cell r="I447">
            <v>0.35972222222222222</v>
          </cell>
          <cell r="J447">
            <v>2</v>
          </cell>
          <cell r="K447" t="str">
            <v>FCB-PROTOCOL-01</v>
          </cell>
          <cell r="L447" t="str">
            <v>CLN/JSS/018</v>
          </cell>
          <cell r="M447" t="str">
            <v>Y</v>
          </cell>
          <cell r="N447" t="str">
            <v>Other Indication</v>
          </cell>
          <cell r="O447" t="str">
            <v>Internal R&amp;D</v>
          </cell>
          <cell r="P447" t="str">
            <v>Q1 Passed</v>
          </cell>
          <cell r="Q447" t="str">
            <v>Q1 Passed</v>
          </cell>
          <cell r="R447" t="str">
            <v>Q1.5 Passed</v>
          </cell>
          <cell r="S447" t="str">
            <v>Q1.5 Rejected</v>
          </cell>
          <cell r="V447" t="str">
            <v>No tumor</v>
          </cell>
          <cell r="W447" t="str">
            <v>Clinic'les</v>
          </cell>
          <cell r="X447" t="str">
            <v>Clinic'les- Dr Ravi Krishnappa, Mysore</v>
          </cell>
          <cell r="Y447" t="str">
            <v>JSS Hospital, Mysore</v>
          </cell>
          <cell r="Z447" t="str">
            <v>Dr Ravi Krishnappa, Mysore</v>
          </cell>
          <cell r="AA447" t="str">
            <v>Ca Ovary</v>
          </cell>
          <cell r="AC447" t="str">
            <v>Ovary</v>
          </cell>
          <cell r="AD447" t="str">
            <v>Ovary</v>
          </cell>
          <cell r="AE447" t="str">
            <v>Female</v>
          </cell>
          <cell r="AF447">
            <v>50</v>
          </cell>
          <cell r="AG447" t="str">
            <v>N</v>
          </cell>
          <cell r="AH447">
            <v>5.2</v>
          </cell>
          <cell r="AI447" t="str">
            <v>Kalappa</v>
          </cell>
          <cell r="AJ447" t="str">
            <v>Surgery</v>
          </cell>
          <cell r="AK447" t="str">
            <v>Primary</v>
          </cell>
          <cell r="AQ447">
            <v>6</v>
          </cell>
          <cell r="AR447" t="str">
            <v>Paclitaxel + carboplatin</v>
          </cell>
          <cell r="AV447">
            <v>44981</v>
          </cell>
          <cell r="AW447">
            <v>0.77777777777777779</v>
          </cell>
          <cell r="AX447">
            <v>0.82638888888888884</v>
          </cell>
          <cell r="BB447" t="str">
            <v>0.3/0.4*1.0*1.4</v>
          </cell>
          <cell r="BC447" t="str">
            <v>0.3/0.4*1.0*1.4</v>
          </cell>
          <cell r="BD447" t="str">
            <v>Manual</v>
          </cell>
          <cell r="BE447">
            <v>4</v>
          </cell>
          <cell r="BF447" t="str">
            <v>Kowshik</v>
          </cell>
          <cell r="BG447" t="str">
            <v>Y</v>
          </cell>
        </row>
        <row r="448">
          <cell r="A448" t="str">
            <v>FBR1T230056</v>
          </cell>
          <cell r="B448">
            <v>230056</v>
          </cell>
          <cell r="C448" t="str">
            <v>R&amp;D</v>
          </cell>
          <cell r="D448">
            <v>44984</v>
          </cell>
          <cell r="E448">
            <v>0.5</v>
          </cell>
          <cell r="F448">
            <v>44958</v>
          </cell>
          <cell r="G448">
            <v>44984</v>
          </cell>
          <cell r="H448">
            <v>0.87083333333333335</v>
          </cell>
          <cell r="I448">
            <v>0.37083333333333335</v>
          </cell>
          <cell r="J448">
            <v>20</v>
          </cell>
          <cell r="K448" t="str">
            <v>FCB-PROTOCOL-01</v>
          </cell>
          <cell r="L448" t="str">
            <v>CLN/DBR/132</v>
          </cell>
          <cell r="M448" t="str">
            <v>Y</v>
          </cell>
          <cell r="N448" t="str">
            <v>cc Study(1T)</v>
          </cell>
          <cell r="O448" t="str">
            <v>Internal R&amp;D</v>
          </cell>
          <cell r="P448" t="str">
            <v>Q1 Passed</v>
          </cell>
          <cell r="Q448" t="str">
            <v>Q1 Passed</v>
          </cell>
          <cell r="R448" t="str">
            <v>Q1.5 Passed</v>
          </cell>
          <cell r="S448" t="str">
            <v>Q1.5 Passed</v>
          </cell>
          <cell r="V448" t="str">
            <v>Tumor content 55-95%</v>
          </cell>
          <cell r="W448" t="str">
            <v>Clinic'les</v>
          </cell>
          <cell r="X448" t="str">
            <v>Clinic'les- DBR &amp; SK Hospital, Tirupati</v>
          </cell>
          <cell r="Y448" t="str">
            <v>DBR &amp; SK Hospital, Tirupati</v>
          </cell>
          <cell r="Z448" t="str">
            <v>Dr C Jayaprakash, Tirupati</v>
          </cell>
          <cell r="AA448" t="str">
            <v>HNSCC</v>
          </cell>
          <cell r="AC448" t="str">
            <v>Buccal Mucosa</v>
          </cell>
          <cell r="AD448" t="str">
            <v>Buccal Mucosa</v>
          </cell>
          <cell r="AE448" t="str">
            <v>Female</v>
          </cell>
          <cell r="AF448">
            <v>47</v>
          </cell>
          <cell r="AG448" t="str">
            <v>N</v>
          </cell>
          <cell r="AH448">
            <v>5.3</v>
          </cell>
          <cell r="AI448" t="str">
            <v>Maruthi</v>
          </cell>
          <cell r="AJ448" t="str">
            <v>Surgery</v>
          </cell>
          <cell r="AK448" t="str">
            <v>Primary</v>
          </cell>
          <cell r="AN448" t="str">
            <v>III</v>
          </cell>
          <cell r="AP448" t="str">
            <v>pT3 N0 MX</v>
          </cell>
          <cell r="AV448">
            <v>44984</v>
          </cell>
          <cell r="AW448">
            <v>0.90486111111111112</v>
          </cell>
          <cell r="AX448">
            <v>0.99027777777777781</v>
          </cell>
          <cell r="AY448">
            <v>8.5416666666666669E-2</v>
          </cell>
          <cell r="AZ448">
            <v>0.11944444444444445</v>
          </cell>
          <cell r="BA448">
            <v>0.49027777777777776</v>
          </cell>
          <cell r="BB448" t="str">
            <v>0.6*1.6*2.0</v>
          </cell>
          <cell r="BC448" t="str">
            <v>0.6*1.6*2.0</v>
          </cell>
          <cell r="BD448" t="str">
            <v>Vibratome</v>
          </cell>
          <cell r="BE448">
            <v>4</v>
          </cell>
          <cell r="BF448" t="str">
            <v>Mounish</v>
          </cell>
          <cell r="BG448" t="str">
            <v>Y</v>
          </cell>
        </row>
        <row r="449">
          <cell r="A449" t="str">
            <v>FBR1R230057</v>
          </cell>
          <cell r="B449">
            <v>230057</v>
          </cell>
          <cell r="C449" t="str">
            <v>R&amp;D</v>
          </cell>
          <cell r="D449">
            <v>44985</v>
          </cell>
          <cell r="E449">
            <v>0.56666666666666665</v>
          </cell>
          <cell r="F449">
            <v>44958</v>
          </cell>
          <cell r="G449">
            <v>44985</v>
          </cell>
          <cell r="H449">
            <v>0.62986111111111109</v>
          </cell>
          <cell r="I449">
            <v>6.3194444444444442E-2</v>
          </cell>
          <cell r="J449">
            <v>10</v>
          </cell>
          <cell r="K449" t="str">
            <v>FCB-PROTOCOL-02</v>
          </cell>
          <cell r="L449" t="str">
            <v>HN043</v>
          </cell>
          <cell r="M449" t="str">
            <v>Y</v>
          </cell>
          <cell r="N449" t="str">
            <v>BSS(1R)</v>
          </cell>
          <cell r="O449" t="str">
            <v>Internal R&amp;D</v>
          </cell>
          <cell r="P449" t="str">
            <v>Q1 Passed</v>
          </cell>
          <cell r="Q449" t="str">
            <v>Q1 Passed</v>
          </cell>
          <cell r="R449" t="str">
            <v>Compromised</v>
          </cell>
          <cell r="S449" t="str">
            <v>Q1.5 Passed</v>
          </cell>
          <cell r="V449" t="str">
            <v>Tumor content 20-95%. Background necrosis high</v>
          </cell>
          <cell r="W449" t="str">
            <v>Private Hospital</v>
          </cell>
          <cell r="X449" t="str">
            <v>Mazumdar Shaw Medical Centre, Bangalore</v>
          </cell>
          <cell r="Y449" t="str">
            <v>Mazumdar Shaw Medical Centre, Bangalore</v>
          </cell>
          <cell r="Z449" t="str">
            <v>Dr Vijay Pillai, Bangalore</v>
          </cell>
          <cell r="AA449" t="str">
            <v>HNSCC</v>
          </cell>
          <cell r="AC449" t="str">
            <v>Alveolus</v>
          </cell>
          <cell r="AD449" t="str">
            <v>Left lower alveolus</v>
          </cell>
          <cell r="AE449" t="str">
            <v>Male</v>
          </cell>
          <cell r="AF449">
            <v>48</v>
          </cell>
          <cell r="AG449" t="str">
            <v>N</v>
          </cell>
          <cell r="AH449">
            <v>5.0999999999999996</v>
          </cell>
          <cell r="AI449" t="str">
            <v>Shashi</v>
          </cell>
          <cell r="AJ449" t="str">
            <v>Surgery</v>
          </cell>
          <cell r="AK449" t="str">
            <v>Primary</v>
          </cell>
          <cell r="AN449" t="str">
            <v>II</v>
          </cell>
          <cell r="AO449">
            <v>2</v>
          </cell>
          <cell r="AP449" t="str">
            <v>pT2 N0</v>
          </cell>
          <cell r="AS449" t="str">
            <v xml:space="preserve">Moderately differentiated , squamous cell carcinoma
</v>
          </cell>
          <cell r="AV449">
            <v>44985</v>
          </cell>
          <cell r="AW449">
            <v>0.66527777777777775</v>
          </cell>
          <cell r="AX449">
            <v>0.70416666666666672</v>
          </cell>
          <cell r="AY449">
            <v>3.888888888888889E-2</v>
          </cell>
          <cell r="AZ449">
            <v>7.4305555555555555E-2</v>
          </cell>
          <cell r="BA449">
            <v>0.13750000000000001</v>
          </cell>
          <cell r="BB449" t="str">
            <v>2.0*4.0*8.0</v>
          </cell>
          <cell r="BC449" t="str">
            <v>2.0*4.0*8.0</v>
          </cell>
          <cell r="BD449" t="str">
            <v>Manual</v>
          </cell>
          <cell r="BE449">
            <v>4</v>
          </cell>
          <cell r="BF449" t="str">
            <v>Mounish</v>
          </cell>
          <cell r="BG449" t="str">
            <v>Y</v>
          </cell>
        </row>
        <row r="450">
          <cell r="A450" t="str">
            <v>FBR1W230058</v>
          </cell>
          <cell r="B450">
            <v>230058</v>
          </cell>
          <cell r="C450" t="str">
            <v>R&amp;D</v>
          </cell>
          <cell r="D450">
            <v>44985</v>
          </cell>
          <cell r="E450">
            <v>0.55555555555555558</v>
          </cell>
          <cell r="F450">
            <v>44958</v>
          </cell>
          <cell r="G450">
            <v>44985</v>
          </cell>
          <cell r="H450">
            <v>0.62986111111111109</v>
          </cell>
          <cell r="I450">
            <v>7.4305555555555555E-2</v>
          </cell>
          <cell r="J450">
            <v>0</v>
          </cell>
          <cell r="K450" t="str">
            <v>FCB-PROTOCOL-02</v>
          </cell>
          <cell r="L450" t="str">
            <v>BC006</v>
          </cell>
          <cell r="M450" t="str">
            <v>Y</v>
          </cell>
          <cell r="N450" t="str">
            <v>Biopsy Cabr-BSS (1W)</v>
          </cell>
          <cell r="O450" t="str">
            <v>Internal R&amp;D</v>
          </cell>
          <cell r="P450" t="str">
            <v>Q1 Passed</v>
          </cell>
          <cell r="Q450" t="str">
            <v>Q1 Passed</v>
          </cell>
          <cell r="R450" t="str">
            <v>Q1.5 Passed</v>
          </cell>
          <cell r="S450" t="str">
            <v>Q1.5 Rejected</v>
          </cell>
          <cell r="U450" t="str">
            <v>Y</v>
          </cell>
          <cell r="V450" t="str">
            <v>No Tumor</v>
          </cell>
          <cell r="W450" t="str">
            <v>Private Hospital</v>
          </cell>
          <cell r="X450" t="str">
            <v>Mazumdar Shaw Medical Centre, Bangalore</v>
          </cell>
          <cell r="Y450" t="str">
            <v>Mazumdar Shaw Medical Centre, Bangalore</v>
          </cell>
          <cell r="Z450" t="str">
            <v>Dr Akshita Singh</v>
          </cell>
          <cell r="AA450" t="str">
            <v>Ca Breast</v>
          </cell>
          <cell r="AB450" t="str">
            <v>NA</v>
          </cell>
          <cell r="AC450" t="str">
            <v>Breast</v>
          </cell>
          <cell r="AD450" t="str">
            <v>Right Breast Biopsy</v>
          </cell>
          <cell r="AE450" t="str">
            <v>Female</v>
          </cell>
          <cell r="AF450">
            <v>51</v>
          </cell>
          <cell r="AG450" t="str">
            <v>N</v>
          </cell>
          <cell r="AH450">
            <v>5.0999999999999996</v>
          </cell>
          <cell r="AI450" t="str">
            <v>Shashi</v>
          </cell>
          <cell r="AJ450" t="str">
            <v>Biopsy</v>
          </cell>
          <cell r="AK450" t="str">
            <v>Primary</v>
          </cell>
          <cell r="AV450">
            <v>44985</v>
          </cell>
          <cell r="AW450">
            <v>0.65486111111111112</v>
          </cell>
          <cell r="AX450">
            <v>0.61458333333333337</v>
          </cell>
          <cell r="AY45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45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50">
            <v>5.9027777777777776E-2</v>
          </cell>
          <cell r="BB450" t="str">
            <v>2/2*1/1*10/6
2 core</v>
          </cell>
          <cell r="BC450" t="str">
            <v>2/2*1/1*10/6
2 core</v>
          </cell>
          <cell r="BD450" t="str">
            <v>Manual</v>
          </cell>
          <cell r="BE450">
            <v>4</v>
          </cell>
          <cell r="BF450" t="str">
            <v>Syam</v>
          </cell>
          <cell r="BG450" t="str">
            <v>Y</v>
          </cell>
        </row>
        <row r="451">
          <cell r="A451" t="str">
            <v>FBR1Q230059</v>
          </cell>
          <cell r="B451">
            <v>230059</v>
          </cell>
          <cell r="C451" t="str">
            <v>R&amp;D</v>
          </cell>
          <cell r="D451">
            <v>44985</v>
          </cell>
          <cell r="E451">
            <v>0.49305555555555558</v>
          </cell>
          <cell r="F451">
            <v>44958</v>
          </cell>
          <cell r="G451">
            <v>44985</v>
          </cell>
          <cell r="H451">
            <v>0.88958333333333328</v>
          </cell>
          <cell r="I451">
            <v>0.39652777777777776</v>
          </cell>
          <cell r="J451">
            <v>10</v>
          </cell>
          <cell r="K451" t="str">
            <v>FCB-PROTOCOL-01</v>
          </cell>
          <cell r="L451" t="str">
            <v>CLN/DBR/133</v>
          </cell>
          <cell r="M451" t="str">
            <v>Y</v>
          </cell>
          <cell r="N451" t="str">
            <v>COSv4.2_CaBR(1Q-Unknown)</v>
          </cell>
          <cell r="O451" t="str">
            <v>Internal R&amp;D</v>
          </cell>
          <cell r="P451" t="str">
            <v>Q1 Passed</v>
          </cell>
          <cell r="Q451" t="str">
            <v>Q1 Passed</v>
          </cell>
          <cell r="R451" t="str">
            <v>Q1.5 Passed</v>
          </cell>
          <cell r="S451" t="str">
            <v>Q1.5 Passed</v>
          </cell>
          <cell r="V451" t="str">
            <v>Tumor content 0-75%</v>
          </cell>
          <cell r="W451" t="str">
            <v>Clinic'les</v>
          </cell>
          <cell r="X451" t="str">
            <v>Clinic'les- DBR &amp; SK Hospital, Tirupati</v>
          </cell>
          <cell r="Y451" t="str">
            <v>DBR &amp; SK Hospital, Tirupati</v>
          </cell>
          <cell r="Z451" t="str">
            <v>Dr C Jayaprakash, Tirupati</v>
          </cell>
          <cell r="AA451" t="str">
            <v>Ca Breast</v>
          </cell>
          <cell r="AB451" t="str">
            <v>Er+
Pr+
Her2+</v>
          </cell>
          <cell r="AC451" t="str">
            <v>Breast</v>
          </cell>
          <cell r="AD451" t="str">
            <v>Left Breast</v>
          </cell>
          <cell r="AE451" t="str">
            <v>Female</v>
          </cell>
          <cell r="AF451">
            <v>46</v>
          </cell>
          <cell r="AG451" t="str">
            <v>N</v>
          </cell>
          <cell r="AH451">
            <v>6.8</v>
          </cell>
          <cell r="AI451" t="str">
            <v>Partha</v>
          </cell>
          <cell r="AJ451" t="str">
            <v>Surgery</v>
          </cell>
          <cell r="AK451" t="str">
            <v>Primary</v>
          </cell>
          <cell r="AN451" t="str">
            <v>II B</v>
          </cell>
          <cell r="AP451" t="str">
            <v>pT2 N1 MX</v>
          </cell>
          <cell r="AV451">
            <v>44985</v>
          </cell>
          <cell r="AW451">
            <v>0.89861111111111114</v>
          </cell>
          <cell r="AX451">
            <v>0.94097222222222221</v>
          </cell>
          <cell r="AY451">
            <v>4.2361111111111113E-2</v>
          </cell>
          <cell r="AZ451">
            <v>5.1388888888888887E-2</v>
          </cell>
          <cell r="BA451">
            <v>0.44791666666666669</v>
          </cell>
          <cell r="BB451" t="str">
            <v>0.8/0.4*1.8*2.6/2.8</v>
          </cell>
          <cell r="BC451" t="str">
            <v xml:space="preserve">
0.8/0.4*1.1*1.6</v>
          </cell>
          <cell r="BD451" t="str">
            <v>Manual</v>
          </cell>
          <cell r="BE451">
            <v>4</v>
          </cell>
          <cell r="BF451" t="str">
            <v>Kowshik</v>
          </cell>
          <cell r="BG451" t="str">
            <v>Y</v>
          </cell>
        </row>
        <row r="452">
          <cell r="A452" t="str">
            <v>FBR1T230060</v>
          </cell>
          <cell r="B452">
            <v>230060</v>
          </cell>
          <cell r="C452" t="str">
            <v>R&amp;D</v>
          </cell>
          <cell r="D452">
            <v>44988</v>
          </cell>
          <cell r="E452">
            <v>0.36944444444444446</v>
          </cell>
          <cell r="F452">
            <v>44986</v>
          </cell>
          <cell r="G452">
            <v>44988</v>
          </cell>
          <cell r="H452">
            <v>0.4375</v>
          </cell>
          <cell r="I452">
            <v>6.805555555555555E-2</v>
          </cell>
          <cell r="J452">
            <v>1</v>
          </cell>
          <cell r="K452" t="str">
            <v>FCB-PROTOCOL-01</v>
          </cell>
          <cell r="L452" t="str">
            <v>CLN/PRA/197</v>
          </cell>
          <cell r="M452" t="str">
            <v>Y</v>
          </cell>
          <cell r="N452" t="str">
            <v>cc Study(1T)</v>
          </cell>
          <cell r="O452" t="str">
            <v>Internal R&amp;D</v>
          </cell>
          <cell r="P452" t="str">
            <v>Q1 Passed</v>
          </cell>
          <cell r="Q452" t="str">
            <v>Q1 Passed</v>
          </cell>
          <cell r="R452" t="str">
            <v>Q1.5 Passed</v>
          </cell>
          <cell r="S452" t="str">
            <v>Q1.5 Passed</v>
          </cell>
          <cell r="V452" t="str">
            <v>Tumor content 35-80%</v>
          </cell>
          <cell r="W452" t="str">
            <v>Private Hospital</v>
          </cell>
          <cell r="X452" t="str">
            <v>Dr Prakash BV, Bangalore</v>
          </cell>
          <cell r="Y452" t="str">
            <v>Sri Lakshmi Hospital, Bangalore</v>
          </cell>
          <cell r="Z452" t="str">
            <v>Dr Prakash BV, Bangalore</v>
          </cell>
          <cell r="AA452" t="str">
            <v>HNSCC</v>
          </cell>
          <cell r="AC452" t="str">
            <v>Alveolus</v>
          </cell>
          <cell r="AD452" t="str">
            <v>Right upper Alveolus</v>
          </cell>
          <cell r="AE452" t="str">
            <v>Male</v>
          </cell>
          <cell r="AF452">
            <v>68</v>
          </cell>
          <cell r="AG452" t="str">
            <v>N</v>
          </cell>
          <cell r="AH452">
            <v>4.2</v>
          </cell>
          <cell r="AI452" t="str">
            <v>Kalappa</v>
          </cell>
          <cell r="AJ452" t="str">
            <v>Surgery</v>
          </cell>
          <cell r="AK452" t="str">
            <v>Primary</v>
          </cell>
          <cell r="AV452">
            <v>44988</v>
          </cell>
          <cell r="AW452">
            <v>0.4513888888888889</v>
          </cell>
          <cell r="AX452">
            <v>0.52847222222222223</v>
          </cell>
          <cell r="AY452">
            <v>7.7083333333333337E-2</v>
          </cell>
          <cell r="AZ452">
            <v>9.0972222222222218E-2</v>
          </cell>
          <cell r="BA452">
            <v>0.15902777777777777</v>
          </cell>
          <cell r="BB452" t="str">
            <v>0.6*0.8*1.8</v>
          </cell>
          <cell r="BC452" t="str">
            <v>0.6*0.8*1.8</v>
          </cell>
          <cell r="BD452" t="str">
            <v>Vibratome</v>
          </cell>
          <cell r="BE452">
            <v>15</v>
          </cell>
          <cell r="BF452" t="str">
            <v>Mounish</v>
          </cell>
          <cell r="BG452" t="str">
            <v>Y</v>
          </cell>
        </row>
        <row r="453">
          <cell r="A453" t="str">
            <v>FBR1T230061</v>
          </cell>
          <cell r="B453">
            <v>230061</v>
          </cell>
          <cell r="C453" t="str">
            <v>R&amp;D</v>
          </cell>
          <cell r="D453">
            <v>44988</v>
          </cell>
          <cell r="E453">
            <v>0.56388888888888888</v>
          </cell>
          <cell r="F453">
            <v>44986</v>
          </cell>
          <cell r="G453">
            <v>44988</v>
          </cell>
          <cell r="H453">
            <v>0.65208333333333335</v>
          </cell>
          <cell r="I453">
            <v>8.819444444444445E-2</v>
          </cell>
          <cell r="J453">
            <v>2</v>
          </cell>
          <cell r="K453" t="str">
            <v>FCB-PROTOCOL-01</v>
          </cell>
          <cell r="L453" t="str">
            <v>VYD/151</v>
          </cell>
          <cell r="M453" t="str">
            <v>Y</v>
          </cell>
          <cell r="N453" t="str">
            <v>cc Study(1T)</v>
          </cell>
          <cell r="O453" t="str">
            <v>Internal R&amp;D</v>
          </cell>
          <cell r="P453" t="str">
            <v>Q1 Passed</v>
          </cell>
          <cell r="Q453" t="str">
            <v>Q1 Passed</v>
          </cell>
          <cell r="R453" t="str">
            <v>Q1.5 Passed</v>
          </cell>
          <cell r="S453" t="str">
            <v>Q1.5 Passed</v>
          </cell>
          <cell r="V453" t="str">
            <v>Tumor content 25-75%</v>
          </cell>
          <cell r="W453" t="str">
            <v>Private Hospital</v>
          </cell>
          <cell r="X453" t="str">
            <v>Vydehi Hospital, Bangalore</v>
          </cell>
          <cell r="Y453" t="str">
            <v>Vydehi Hospital, Bangalore</v>
          </cell>
          <cell r="Z453" t="str">
            <v>Dr Amritha Prabha, Bangalore</v>
          </cell>
          <cell r="AA453" t="str">
            <v>HNSCC</v>
          </cell>
          <cell r="AC453" t="str">
            <v>Alveolus</v>
          </cell>
          <cell r="AD453" t="str">
            <v>Left upper Alveolus</v>
          </cell>
          <cell r="AE453" t="str">
            <v>Female</v>
          </cell>
          <cell r="AF453">
            <v>67</v>
          </cell>
          <cell r="AG453" t="str">
            <v>N</v>
          </cell>
          <cell r="AH453">
            <v>4.9000000000000004</v>
          </cell>
          <cell r="AI453" t="str">
            <v>Shashi</v>
          </cell>
          <cell r="AJ453" t="str">
            <v>Surgery</v>
          </cell>
          <cell r="AK453" t="str">
            <v>Primary</v>
          </cell>
          <cell r="AN453" t="str">
            <v>IV</v>
          </cell>
          <cell r="AO453">
            <v>2</v>
          </cell>
          <cell r="AP453" t="str">
            <v>pT4aN2b</v>
          </cell>
          <cell r="AV453">
            <v>44988</v>
          </cell>
          <cell r="AW453">
            <v>0.67083333333333328</v>
          </cell>
          <cell r="AX453">
            <v>0.77430555555555558</v>
          </cell>
          <cell r="AY453">
            <v>0.10347222222222222</v>
          </cell>
          <cell r="AZ453">
            <v>0.12222222222222222</v>
          </cell>
          <cell r="BA453">
            <v>0.21041666666666667</v>
          </cell>
          <cell r="BB453" t="str">
            <v>0.4/1.4*1.7*2.2</v>
          </cell>
          <cell r="BC453" t="str">
            <v>0.4/1.4*1.7*2.2</v>
          </cell>
          <cell r="BD453" t="str">
            <v>Vibratome</v>
          </cell>
          <cell r="BE453">
            <v>15</v>
          </cell>
          <cell r="BF453" t="str">
            <v>Mounish</v>
          </cell>
          <cell r="BG453" t="str">
            <v>Y</v>
          </cell>
        </row>
        <row r="454">
          <cell r="A454" t="str">
            <v>FBR1R230061</v>
          </cell>
          <cell r="B454">
            <v>230061</v>
          </cell>
          <cell r="C454" t="str">
            <v>R&amp;D</v>
          </cell>
          <cell r="D454">
            <v>44988</v>
          </cell>
          <cell r="E454">
            <v>0.56388888888888888</v>
          </cell>
          <cell r="F454">
            <v>44986</v>
          </cell>
          <cell r="G454">
            <v>44988</v>
          </cell>
          <cell r="H454">
            <v>0.65208333333333335</v>
          </cell>
          <cell r="I454">
            <v>8.819444444444445E-2</v>
          </cell>
          <cell r="J454">
            <v>2</v>
          </cell>
          <cell r="K454" t="str">
            <v>FCB-PROTOCOL-01</v>
          </cell>
          <cell r="L454" t="str">
            <v>VYD/151</v>
          </cell>
          <cell r="M454" t="str">
            <v>Y</v>
          </cell>
          <cell r="N454" t="str">
            <v>BSS(1R)</v>
          </cell>
          <cell r="O454" t="str">
            <v>Internal R&amp;D</v>
          </cell>
          <cell r="P454" t="str">
            <v>Q1 Passed</v>
          </cell>
          <cell r="Q454" t="str">
            <v>Q1 Passed</v>
          </cell>
          <cell r="R454" t="str">
            <v>Q1.5 Passed</v>
          </cell>
          <cell r="S454" t="str">
            <v>Q1.5 Passed</v>
          </cell>
          <cell r="V454" t="str">
            <v>Tumor content 6-90%</v>
          </cell>
          <cell r="W454" t="str">
            <v>Private Hospital</v>
          </cell>
          <cell r="X454" t="str">
            <v>Vydehi Hospital, Bangalore</v>
          </cell>
          <cell r="Y454" t="str">
            <v>Vydehi Hospital, Bangalore</v>
          </cell>
          <cell r="Z454" t="str">
            <v>Dr Amritha Prabha, Bangalore</v>
          </cell>
          <cell r="AA454" t="str">
            <v>HNSCC</v>
          </cell>
          <cell r="AC454" t="str">
            <v>Alveolus</v>
          </cell>
          <cell r="AD454" t="str">
            <v>Left upper Alveolus</v>
          </cell>
          <cell r="AE454" t="str">
            <v>Female</v>
          </cell>
          <cell r="AF454">
            <v>67</v>
          </cell>
          <cell r="AG454" t="str">
            <v>N</v>
          </cell>
          <cell r="AH454">
            <v>4.9000000000000004</v>
          </cell>
          <cell r="AI454" t="str">
            <v>Shashi</v>
          </cell>
          <cell r="AJ454" t="str">
            <v>Surgery</v>
          </cell>
          <cell r="AK454" t="str">
            <v>Primary</v>
          </cell>
          <cell r="AN454" t="str">
            <v>IV</v>
          </cell>
          <cell r="AO454">
            <v>2</v>
          </cell>
          <cell r="AP454" t="str">
            <v>pT4aN2b</v>
          </cell>
          <cell r="AV454">
            <v>44988</v>
          </cell>
          <cell r="AW454">
            <v>0.67083333333333328</v>
          </cell>
          <cell r="AX454">
            <v>0.77430555555555558</v>
          </cell>
          <cell r="AY454">
            <v>0.10347222222222222</v>
          </cell>
          <cell r="AZ454">
            <v>0.12222222222222222</v>
          </cell>
          <cell r="BA454">
            <v>0.21041666666666667</v>
          </cell>
          <cell r="BB454" t="str">
            <v>0.4/1.4*1.7*2.2</v>
          </cell>
          <cell r="BC454" t="str">
            <v>0.4/1.4*1.7*2.2</v>
          </cell>
          <cell r="BD454" t="str">
            <v>Vibratome</v>
          </cell>
          <cell r="BE454">
            <v>15</v>
          </cell>
          <cell r="BF454" t="str">
            <v>Mounish</v>
          </cell>
          <cell r="BG454" t="str">
            <v>Y</v>
          </cell>
        </row>
        <row r="455">
          <cell r="A455" t="str">
            <v>FBR1T230062</v>
          </cell>
          <cell r="B455">
            <v>230062</v>
          </cell>
          <cell r="C455" t="str">
            <v>R&amp;D</v>
          </cell>
          <cell r="D455">
            <v>44992</v>
          </cell>
          <cell r="E455">
            <v>0.44513888888888886</v>
          </cell>
          <cell r="F455">
            <v>44986</v>
          </cell>
          <cell r="G455">
            <v>44992</v>
          </cell>
          <cell r="H455">
            <v>0.55138888888888893</v>
          </cell>
          <cell r="I455">
            <v>0.10625</v>
          </cell>
          <cell r="J455">
            <v>2</v>
          </cell>
          <cell r="K455" t="str">
            <v>FCB-PROTOCOL-01</v>
          </cell>
          <cell r="L455" t="str">
            <v>VYD/152</v>
          </cell>
          <cell r="M455" t="str">
            <v>Y</v>
          </cell>
          <cell r="N455" t="str">
            <v>cc Study(1T)</v>
          </cell>
          <cell r="O455" t="str">
            <v>Internal R&amp;D</v>
          </cell>
          <cell r="P455" t="str">
            <v>Q1 Passed</v>
          </cell>
          <cell r="Q455" t="str">
            <v>Q1 Passed</v>
          </cell>
          <cell r="R455" t="str">
            <v>Q1.5 Passed</v>
          </cell>
          <cell r="S455" t="str">
            <v>Q1.5 Passed</v>
          </cell>
          <cell r="V455" t="str">
            <v>0-80%</v>
          </cell>
          <cell r="W455" t="str">
            <v>Private Hospital</v>
          </cell>
          <cell r="X455" t="str">
            <v>Vydehi Hospital, Bangalore</v>
          </cell>
          <cell r="Y455" t="str">
            <v>Vydehi Hospital, Bangalore</v>
          </cell>
          <cell r="Z455" t="str">
            <v>Dr Amritha Prabha, Bangalore</v>
          </cell>
          <cell r="AA455" t="str">
            <v>HNSCC</v>
          </cell>
          <cell r="AC455" t="str">
            <v>Buccal Mucosa</v>
          </cell>
          <cell r="AD455" t="str">
            <v>Left Buccal Mucosa</v>
          </cell>
          <cell r="AE455" t="str">
            <v>Female</v>
          </cell>
          <cell r="AF455">
            <v>46</v>
          </cell>
          <cell r="AG455" t="str">
            <v>N</v>
          </cell>
          <cell r="AH455">
            <v>4.3</v>
          </cell>
          <cell r="AI455" t="str">
            <v>Kalappa</v>
          </cell>
          <cell r="AJ455" t="str">
            <v>Surgery</v>
          </cell>
          <cell r="AK455" t="str">
            <v>Primary</v>
          </cell>
          <cell r="AN455" t="str">
            <v>IVa</v>
          </cell>
          <cell r="AO455">
            <v>2</v>
          </cell>
          <cell r="AP455" t="str">
            <v>pT4aN0</v>
          </cell>
          <cell r="AV455">
            <v>44992</v>
          </cell>
          <cell r="AW455">
            <v>0.57013888888888886</v>
          </cell>
          <cell r="AX455">
            <v>0.71527777777777779</v>
          </cell>
          <cell r="AY455">
            <v>0.1451388888888889</v>
          </cell>
          <cell r="AZ455">
            <v>0.16388888888888889</v>
          </cell>
          <cell r="BA455">
            <v>0.27013888888888887</v>
          </cell>
          <cell r="BB455" t="str">
            <v>0.6/0.8*1.0*1.6
0.6/0.8*0.8*1.6</v>
          </cell>
          <cell r="BC455" t="str">
            <v>0.6/0.8*1.0*1.6
0.6/0.8*0.8*1.6</v>
          </cell>
          <cell r="BD455" t="str">
            <v>Vibratome</v>
          </cell>
          <cell r="BE455">
            <v>15</v>
          </cell>
          <cell r="BF455" t="str">
            <v>chandan</v>
          </cell>
          <cell r="BG455" t="str">
            <v>Y</v>
          </cell>
        </row>
        <row r="456">
          <cell r="A456" t="str">
            <v>FBR1T230063</v>
          </cell>
          <cell r="B456">
            <v>230063</v>
          </cell>
          <cell r="C456" t="str">
            <v>R&amp;D</v>
          </cell>
          <cell r="D456">
            <v>44992</v>
          </cell>
          <cell r="E456">
            <v>0.53125</v>
          </cell>
          <cell r="F456">
            <v>44986</v>
          </cell>
          <cell r="G456">
            <v>44992</v>
          </cell>
          <cell r="H456">
            <v>0.6166666666666667</v>
          </cell>
          <cell r="I456">
            <v>8.5416666666666669E-2</v>
          </cell>
          <cell r="J456">
            <v>15</v>
          </cell>
          <cell r="K456" t="str">
            <v>FCB-PROTOCOL-02</v>
          </cell>
          <cell r="L456" t="str">
            <v>HN044</v>
          </cell>
          <cell r="M456" t="str">
            <v>Y</v>
          </cell>
          <cell r="N456" t="str">
            <v>cc Study(1T)</v>
          </cell>
          <cell r="O456" t="str">
            <v>Internal R&amp;D</v>
          </cell>
          <cell r="P456" t="str">
            <v>Q1 Passed</v>
          </cell>
          <cell r="Q456" t="str">
            <v>Q1 Passed</v>
          </cell>
          <cell r="R456" t="str">
            <v>Q1.5 Passed</v>
          </cell>
          <cell r="S456" t="str">
            <v>Q1.5 Passed</v>
          </cell>
          <cell r="V456" t="str">
            <v>high tumor</v>
          </cell>
          <cell r="W456" t="str">
            <v>Private Hospital</v>
          </cell>
          <cell r="X456" t="str">
            <v>Mazumdar Shaw Medical Centre, Bangalore</v>
          </cell>
          <cell r="Y456" t="str">
            <v>Mazumdar Shaw Medical Centre, Bangalore</v>
          </cell>
          <cell r="Z456" t="str">
            <v>Dr Vijay Pillai, Bangalore</v>
          </cell>
          <cell r="AA456" t="str">
            <v>HNSCC</v>
          </cell>
          <cell r="AC456" t="str">
            <v>Tongue</v>
          </cell>
          <cell r="AD456" t="str">
            <v>Right Tongue</v>
          </cell>
          <cell r="AE456" t="str">
            <v>Female</v>
          </cell>
          <cell r="AF456">
            <v>65</v>
          </cell>
          <cell r="AG456" t="str">
            <v>N</v>
          </cell>
          <cell r="AH456">
            <v>5.0999999999999996</v>
          </cell>
          <cell r="AI456" t="str">
            <v>Shashi</v>
          </cell>
          <cell r="AJ456" t="str">
            <v>Surgery</v>
          </cell>
          <cell r="AK456" t="str">
            <v>Primary</v>
          </cell>
          <cell r="AN456" t="str">
            <v>IV</v>
          </cell>
          <cell r="AO456">
            <v>1</v>
          </cell>
          <cell r="AP456" t="str">
            <v>pT4apN0</v>
          </cell>
          <cell r="AS456" t="str">
            <v>Well differentiated squamous cell carcinoma.</v>
          </cell>
          <cell r="AV456">
            <v>44992</v>
          </cell>
          <cell r="AW456">
            <v>0.63749999999999996</v>
          </cell>
          <cell r="AX456">
            <v>0.76180555555555551</v>
          </cell>
          <cell r="AY456">
            <v>0.12430555555555556</v>
          </cell>
          <cell r="AZ456">
            <v>0.1451388888888889</v>
          </cell>
          <cell r="BA456">
            <v>0.23055555555555557</v>
          </cell>
          <cell r="BB456" t="str">
            <v>1.3/1.0*1.4*2.0/1.6</v>
          </cell>
          <cell r="BC456" t="str">
            <v>1.3/1.0*1.4*2.0/1.6</v>
          </cell>
          <cell r="BD456" t="str">
            <v>Vibratome</v>
          </cell>
          <cell r="BE456">
            <v>15</v>
          </cell>
          <cell r="BF456" t="str">
            <v>Mounish</v>
          </cell>
          <cell r="BG456" t="str">
            <v>Y</v>
          </cell>
        </row>
        <row r="457">
          <cell r="A457" t="str">
            <v>FBR1Q230064</v>
          </cell>
          <cell r="B457">
            <v>230064</v>
          </cell>
          <cell r="C457" t="str">
            <v>R&amp;D</v>
          </cell>
          <cell r="D457">
            <v>44992</v>
          </cell>
          <cell r="E457">
            <v>0.47222222222222221</v>
          </cell>
          <cell r="F457">
            <v>44986</v>
          </cell>
          <cell r="G457">
            <v>44992</v>
          </cell>
          <cell r="H457">
            <v>0.82291666666666663</v>
          </cell>
          <cell r="I457">
            <v>0.35069444444444442</v>
          </cell>
          <cell r="J457">
            <v>15</v>
          </cell>
          <cell r="K457" t="str">
            <v>FCB-PROTOCOL-01</v>
          </cell>
          <cell r="L457" t="str">
            <v>CLN/DBR/134</v>
          </cell>
          <cell r="M457" t="str">
            <v>Y</v>
          </cell>
          <cell r="N457" t="str">
            <v>COSv4.2_CaBR(1Q-Unknown)</v>
          </cell>
          <cell r="O457" t="str">
            <v>Internal R&amp;D</v>
          </cell>
          <cell r="P457" t="str">
            <v>Q1 Passed</v>
          </cell>
          <cell r="Q457" t="str">
            <v>Q1 Passed</v>
          </cell>
          <cell r="R457" t="str">
            <v>Q1.5 Passed</v>
          </cell>
          <cell r="S457" t="str">
            <v>Q1.5 Passed</v>
          </cell>
          <cell r="V457" t="str">
            <v>Only isolated cell clusters seen in some fragments, suspicious for malignancy</v>
          </cell>
          <cell r="W457" t="str">
            <v>Clinic'les</v>
          </cell>
          <cell r="X457" t="str">
            <v>Clinic'les- DBR &amp; SK Hospital, Tirupati</v>
          </cell>
          <cell r="Y457" t="str">
            <v>DBR &amp; SK Hospital, Tirupati</v>
          </cell>
          <cell r="Z457" t="str">
            <v>Dr C Jayaprakash, Tirupati</v>
          </cell>
          <cell r="AA457" t="str">
            <v>Ca Breast</v>
          </cell>
          <cell r="AB457" t="str">
            <v>Er(N), Pr(N), Her2(P)</v>
          </cell>
          <cell r="AC457" t="str">
            <v>Breast</v>
          </cell>
          <cell r="AD457" t="str">
            <v>Left Breast</v>
          </cell>
          <cell r="AE457" t="str">
            <v>Female</v>
          </cell>
          <cell r="AF457">
            <v>67</v>
          </cell>
          <cell r="AG457" t="str">
            <v>N</v>
          </cell>
          <cell r="AH457">
            <v>5.3</v>
          </cell>
          <cell r="AI457" t="str">
            <v>Partha</v>
          </cell>
          <cell r="AJ457" t="str">
            <v>Surgery</v>
          </cell>
          <cell r="AK457" t="str">
            <v>Primary</v>
          </cell>
          <cell r="AN457" t="str">
            <v>IIb</v>
          </cell>
          <cell r="AO457">
            <v>2</v>
          </cell>
          <cell r="AP457" t="str">
            <v>pT2 N1 MX</v>
          </cell>
          <cell r="AV457">
            <v>44992</v>
          </cell>
          <cell r="AW457">
            <v>0.84375</v>
          </cell>
          <cell r="AX457">
            <v>0.91666666666666663</v>
          </cell>
          <cell r="AY457">
            <v>7.2916666666666671E-2</v>
          </cell>
          <cell r="AZ457">
            <v>9.375E-2</v>
          </cell>
          <cell r="BA457">
            <v>0.44444444444444442</v>
          </cell>
          <cell r="BB457" t="str">
            <v>0.6*1.6*1.7</v>
          </cell>
          <cell r="BC457" t="str">
            <v>0.6*1.6*1.7</v>
          </cell>
          <cell r="BD457" t="str">
            <v>Manual</v>
          </cell>
          <cell r="BE457">
            <v>15</v>
          </cell>
          <cell r="BF457" t="str">
            <v>Syam</v>
          </cell>
          <cell r="BG457" t="str">
            <v>Y</v>
          </cell>
        </row>
        <row r="458">
          <cell r="A458" t="str">
            <v>FBR1T230065</v>
          </cell>
          <cell r="B458">
            <v>230065</v>
          </cell>
          <cell r="C458" t="str">
            <v>R&amp;D</v>
          </cell>
          <cell r="D458">
            <v>44993</v>
          </cell>
          <cell r="E458">
            <v>0.5083333333333333</v>
          </cell>
          <cell r="F458">
            <v>44986</v>
          </cell>
          <cell r="G458">
            <v>44993</v>
          </cell>
          <cell r="H458">
            <v>0.5493055555555556</v>
          </cell>
          <cell r="I458">
            <v>4.0972222222222222E-2</v>
          </cell>
          <cell r="J458">
            <v>1</v>
          </cell>
          <cell r="K458" t="str">
            <v>FCB-PROTOCOL-01</v>
          </cell>
          <cell r="L458" t="str">
            <v>CLN/PRA/198</v>
          </cell>
          <cell r="M458" t="str">
            <v>Y</v>
          </cell>
          <cell r="N458" t="str">
            <v>cc Study(1T)</v>
          </cell>
          <cell r="O458" t="str">
            <v>Internal R&amp;D</v>
          </cell>
          <cell r="P458" t="str">
            <v>Q1 Passed</v>
          </cell>
          <cell r="Q458" t="str">
            <v>Q1 Passed</v>
          </cell>
          <cell r="R458" t="str">
            <v>Q1.5 Passed</v>
          </cell>
          <cell r="S458" t="str">
            <v>Q1.5 Passed</v>
          </cell>
          <cell r="V458" t="str">
            <v>0-75%</v>
          </cell>
          <cell r="W458" t="str">
            <v>Private Hospital</v>
          </cell>
          <cell r="X458" t="str">
            <v>Dr Prakash BV, Bangalore</v>
          </cell>
          <cell r="Y458" t="str">
            <v>Sri Lakshmi Hospital, Bangalore</v>
          </cell>
          <cell r="Z458" t="str">
            <v>Dr Prakash BV, Bangalore</v>
          </cell>
          <cell r="AA458" t="str">
            <v>HNSCC</v>
          </cell>
          <cell r="AC458" t="str">
            <v>Buccal Mucosa</v>
          </cell>
          <cell r="AD458" t="str">
            <v>Left Buccal Mucosa/ RMT</v>
          </cell>
          <cell r="AE458" t="str">
            <v>Male</v>
          </cell>
          <cell r="AF458">
            <v>50</v>
          </cell>
          <cell r="AG458" t="str">
            <v>N</v>
          </cell>
          <cell r="AH458">
            <v>4.8</v>
          </cell>
          <cell r="AI458" t="str">
            <v>Kalappa</v>
          </cell>
          <cell r="AJ458" t="str">
            <v>Surgery</v>
          </cell>
          <cell r="AK458" t="str">
            <v>Primary</v>
          </cell>
          <cell r="AV458">
            <v>44993</v>
          </cell>
          <cell r="AW458">
            <v>0.58958333333333335</v>
          </cell>
          <cell r="AX458">
            <v>0.67986111111111114</v>
          </cell>
          <cell r="AY458">
            <v>9.0277777777777776E-2</v>
          </cell>
          <cell r="AZ458">
            <v>0.13055555555555556</v>
          </cell>
          <cell r="BA458">
            <v>0.17152777777777778</v>
          </cell>
          <cell r="BB458" t="str">
            <v>0.4/0.6*1.1*2.0</v>
          </cell>
          <cell r="BC458" t="str">
            <v>0.4/0.6*1.1*2.0</v>
          </cell>
          <cell r="BD458" t="str">
            <v>Vibratome</v>
          </cell>
          <cell r="BE458">
            <v>15</v>
          </cell>
          <cell r="BF458" t="str">
            <v>Dharani</v>
          </cell>
          <cell r="BG458" t="str">
            <v>Y</v>
          </cell>
        </row>
        <row r="459">
          <cell r="A459" t="str">
            <v>FBR1W230066</v>
          </cell>
          <cell r="B459">
            <v>230066</v>
          </cell>
          <cell r="C459" t="str">
            <v>R&amp;D</v>
          </cell>
          <cell r="D459">
            <v>44993</v>
          </cell>
          <cell r="E459">
            <v>0.58680555555555558</v>
          </cell>
          <cell r="F459">
            <v>44986</v>
          </cell>
          <cell r="G459">
            <v>44993</v>
          </cell>
          <cell r="H459">
            <v>0.63749999999999996</v>
          </cell>
          <cell r="I459">
            <v>5.0694444444444445E-2</v>
          </cell>
          <cell r="J459">
            <v>0</v>
          </cell>
          <cell r="K459" t="str">
            <v>FCB-PROTOCOL-02</v>
          </cell>
          <cell r="L459" t="str">
            <v>HN045</v>
          </cell>
          <cell r="M459" t="str">
            <v>Y</v>
          </cell>
          <cell r="N459" t="str">
            <v>Biopsy Cabr-BSS (1W)</v>
          </cell>
          <cell r="O459" t="str">
            <v>Internal R&amp;D</v>
          </cell>
          <cell r="P459" t="str">
            <v>Q1 Passed</v>
          </cell>
          <cell r="Q459" t="str">
            <v>Q1 Passed</v>
          </cell>
          <cell r="R459" t="str">
            <v>Q1.5 Passed</v>
          </cell>
          <cell r="S459" t="str">
            <v>Q1.5 Passed</v>
          </cell>
          <cell r="V459" t="str">
            <v>0-2%</v>
          </cell>
          <cell r="W459" t="str">
            <v>Private Hospital</v>
          </cell>
          <cell r="X459" t="str">
            <v>Mazumdar Shaw Medical Centre, Bangalore</v>
          </cell>
          <cell r="Y459" t="str">
            <v>Mazumdar Shaw Medical Centre, Bangalore</v>
          </cell>
          <cell r="Z459" t="str">
            <v>Dr Vijay Pillai, Bangalore</v>
          </cell>
          <cell r="AA459" t="str">
            <v>HNSCC</v>
          </cell>
          <cell r="AC459" t="str">
            <v>Time cord anterior commissure</v>
          </cell>
          <cell r="AD459" t="str">
            <v>Time cord anterior commissure</v>
          </cell>
          <cell r="AE459" t="str">
            <v>Male</v>
          </cell>
          <cell r="AF459">
            <v>60</v>
          </cell>
          <cell r="AG459" t="str">
            <v>N</v>
          </cell>
          <cell r="AH459">
            <v>5.0999999999999996</v>
          </cell>
          <cell r="AI459" t="str">
            <v>Shashi</v>
          </cell>
          <cell r="AJ459" t="str">
            <v>Biopsy</v>
          </cell>
          <cell r="AK459" t="str">
            <v>Primary</v>
          </cell>
          <cell r="AV459">
            <v>44993</v>
          </cell>
          <cell r="AW459">
            <v>0.6875</v>
          </cell>
          <cell r="AX459">
            <v>0.70138888888888884</v>
          </cell>
          <cell r="AY459">
            <v>1.3888888888888888E-2</v>
          </cell>
          <cell r="AZ459">
            <v>6.3888888888888884E-2</v>
          </cell>
          <cell r="BA459">
            <v>0.11458333333333333</v>
          </cell>
          <cell r="BB459" t="str">
            <v>2mm to 6mm
3core</v>
          </cell>
          <cell r="BC459" t="str">
            <v>2mm to 6mm
3core</v>
          </cell>
          <cell r="BD459" t="str">
            <v>Manual</v>
          </cell>
          <cell r="BE459">
            <v>15</v>
          </cell>
          <cell r="BF459" t="str">
            <v>chandan</v>
          </cell>
          <cell r="BG459" t="str">
            <v>Y</v>
          </cell>
        </row>
        <row r="460">
          <cell r="A460" t="str">
            <v>FBR1W230067</v>
          </cell>
          <cell r="B460">
            <v>230067</v>
          </cell>
          <cell r="C460" t="str">
            <v>R&amp;D</v>
          </cell>
          <cell r="D460">
            <v>44993</v>
          </cell>
          <cell r="E460">
            <v>0.51736111111111116</v>
          </cell>
          <cell r="F460">
            <v>44986</v>
          </cell>
          <cell r="G460">
            <v>44993</v>
          </cell>
          <cell r="H460">
            <v>0.63749999999999996</v>
          </cell>
          <cell r="I460">
            <v>0.12013888888888889</v>
          </cell>
          <cell r="J460">
            <v>0</v>
          </cell>
          <cell r="K460" t="str">
            <v>FCB-PROTOCOL-02</v>
          </cell>
          <cell r="L460" t="str">
            <v>BC007</v>
          </cell>
          <cell r="M460" t="str">
            <v>Y</v>
          </cell>
          <cell r="N460" t="str">
            <v>Biopsy Cabr-BSS (1W)</v>
          </cell>
          <cell r="O460" t="str">
            <v>Internal R&amp;D</v>
          </cell>
          <cell r="P460" t="str">
            <v>Q1 Passed</v>
          </cell>
          <cell r="Q460" t="str">
            <v>Q1 Passed</v>
          </cell>
          <cell r="R460" t="str">
            <v>Q1.5 Passed</v>
          </cell>
          <cell r="S460" t="str">
            <v>Q1.5 Passed</v>
          </cell>
          <cell r="V460" t="str">
            <v>0-3%</v>
          </cell>
          <cell r="W460" t="str">
            <v>Private Hospital</v>
          </cell>
          <cell r="X460" t="str">
            <v>Mazumdar Shaw Medical Centre, Bangalore</v>
          </cell>
          <cell r="Y460" t="str">
            <v>Mazumdar Shaw Medical Centre, Bangalore</v>
          </cell>
          <cell r="Z460" t="str">
            <v>Dr Akshita Singh</v>
          </cell>
          <cell r="AA460" t="str">
            <v>Ca Breast</v>
          </cell>
          <cell r="AB460" t="str">
            <v>Er-
Pr-
Her2+</v>
          </cell>
          <cell r="AC460" t="str">
            <v>Breast</v>
          </cell>
          <cell r="AD460" t="str">
            <v>Left Breast Biopsy</v>
          </cell>
          <cell r="AE460" t="str">
            <v>Female</v>
          </cell>
          <cell r="AF460">
            <v>52</v>
          </cell>
          <cell r="AG460" t="str">
            <v>N</v>
          </cell>
          <cell r="AH460">
            <v>5.0999999999999996</v>
          </cell>
          <cell r="AI460" t="str">
            <v>Shashi</v>
          </cell>
          <cell r="AJ460" t="str">
            <v>Biopsy</v>
          </cell>
          <cell r="AK460" t="str">
            <v>Primary</v>
          </cell>
          <cell r="AS460" t="str">
            <v>Invasive ductal carcinoma</v>
          </cell>
          <cell r="AV460">
            <v>44993</v>
          </cell>
          <cell r="AW460">
            <v>0.70486111111111116</v>
          </cell>
          <cell r="AX460">
            <v>0.76736111111111116</v>
          </cell>
          <cell r="AY460">
            <v>6.25E-2</v>
          </cell>
          <cell r="AZ460">
            <v>0.12986111111111112</v>
          </cell>
          <cell r="BA460">
            <v>0.25</v>
          </cell>
          <cell r="BB460" t="str">
            <v>6mm - 16mm - 20mm
3core</v>
          </cell>
          <cell r="BC460" t="str">
            <v>6mm - 16mm - 20mm
3core</v>
          </cell>
          <cell r="BD460" t="str">
            <v>Manual</v>
          </cell>
          <cell r="BE460">
            <v>15</v>
          </cell>
          <cell r="BF460" t="str">
            <v>Syam</v>
          </cell>
          <cell r="BG460" t="str">
            <v>Y</v>
          </cell>
        </row>
        <row r="461">
          <cell r="A461" t="str">
            <v>FBR1W230068</v>
          </cell>
          <cell r="B461">
            <v>230068</v>
          </cell>
          <cell r="C461" t="str">
            <v>R&amp;D</v>
          </cell>
          <cell r="D461">
            <v>44994</v>
          </cell>
          <cell r="E461">
            <v>0.45069444444444445</v>
          </cell>
          <cell r="F461">
            <v>44986</v>
          </cell>
          <cell r="G461">
            <v>44994</v>
          </cell>
          <cell r="H461">
            <v>0.52916666666666667</v>
          </cell>
          <cell r="I461">
            <v>7.8472222222222221E-2</v>
          </cell>
          <cell r="J461">
            <v>0</v>
          </cell>
          <cell r="K461" t="str">
            <v>FCB-PROTOCOL-02</v>
          </cell>
          <cell r="L461" t="str">
            <v>HN046</v>
          </cell>
          <cell r="M461" t="str">
            <v>Y</v>
          </cell>
          <cell r="N461" t="str">
            <v>Biopsy Cabr-BSS (1W)</v>
          </cell>
          <cell r="O461" t="str">
            <v>Internal R&amp;D</v>
          </cell>
          <cell r="P461" t="str">
            <v>Q1 Passed</v>
          </cell>
          <cell r="Q461" t="str">
            <v>Q1 Passed</v>
          </cell>
          <cell r="R461" t="str">
            <v>Q1.5 Passed</v>
          </cell>
          <cell r="S461" t="str">
            <v>Q1.5 Rejected</v>
          </cell>
          <cell r="U461" t="str">
            <v>Y</v>
          </cell>
          <cell r="V461" t="str">
            <v>No Tumor</v>
          </cell>
          <cell r="W461" t="str">
            <v>Private Hospital</v>
          </cell>
          <cell r="X461" t="str">
            <v>Mazumdar Shaw Medical Centre, Bangalore</v>
          </cell>
          <cell r="Y461" t="str">
            <v>Mazumdar Shaw Medical Centre, Bangalore</v>
          </cell>
          <cell r="Z461" t="str">
            <v>Dr Vijay Pillai, Bangalore</v>
          </cell>
          <cell r="AA461" t="str">
            <v>HNSCC</v>
          </cell>
          <cell r="AC461" t="str">
            <v>Larynx</v>
          </cell>
          <cell r="AD461" t="str">
            <v>Larynx</v>
          </cell>
          <cell r="AE461" t="str">
            <v>Male</v>
          </cell>
          <cell r="AF461">
            <v>77</v>
          </cell>
          <cell r="AG461" t="str">
            <v>N</v>
          </cell>
          <cell r="AH461">
            <v>4.8</v>
          </cell>
          <cell r="AI461" t="str">
            <v>Partha</v>
          </cell>
          <cell r="AJ461" t="str">
            <v>Biopsy</v>
          </cell>
          <cell r="AK461" t="str">
            <v>Primary</v>
          </cell>
          <cell r="AV461">
            <v>44994</v>
          </cell>
          <cell r="AW461">
            <v>0.5625</v>
          </cell>
          <cell r="AX461">
            <v>0.59375</v>
          </cell>
          <cell r="AY461">
            <v>3.125E-2</v>
          </cell>
          <cell r="AZ461">
            <v>6.458333333333334E-2</v>
          </cell>
          <cell r="BA461">
            <v>0.14305555555555555</v>
          </cell>
          <cell r="BB461" t="str">
            <v>3Core
2mm-2mm-6mm</v>
          </cell>
          <cell r="BC461" t="str">
            <v>3Core
2mm-2mm-6mm</v>
          </cell>
          <cell r="BD461" t="str">
            <v>manual</v>
          </cell>
          <cell r="BE461">
            <v>15</v>
          </cell>
          <cell r="BF461" t="str">
            <v>chandan</v>
          </cell>
          <cell r="BG461" t="str">
            <v>Y</v>
          </cell>
        </row>
        <row r="462">
          <cell r="A462" t="str">
            <v>FBR1T230069</v>
          </cell>
          <cell r="B462">
            <v>230069</v>
          </cell>
          <cell r="C462" t="str">
            <v>R&amp;D</v>
          </cell>
          <cell r="D462">
            <v>44995</v>
          </cell>
          <cell r="E462">
            <v>0.43819444444444444</v>
          </cell>
          <cell r="F462">
            <v>44986</v>
          </cell>
          <cell r="G462">
            <v>44995</v>
          </cell>
          <cell r="H462">
            <v>0.5229166666666667</v>
          </cell>
          <cell r="I462">
            <v>8.4722222222222227E-2</v>
          </cell>
          <cell r="J462">
            <v>2</v>
          </cell>
          <cell r="K462" t="str">
            <v>FCB-PROTOCOL-01</v>
          </cell>
          <cell r="L462" t="str">
            <v>VYD/153</v>
          </cell>
          <cell r="M462" t="str">
            <v>Y</v>
          </cell>
          <cell r="N462" t="str">
            <v>cc Study(1T)</v>
          </cell>
          <cell r="O462" t="str">
            <v>Internal R&amp;D</v>
          </cell>
          <cell r="P462" t="str">
            <v>Q1 Passed</v>
          </cell>
          <cell r="Q462" t="str">
            <v>Q1 Passed</v>
          </cell>
          <cell r="R462" t="str">
            <v>Q1.5 Passed</v>
          </cell>
          <cell r="S462" t="str">
            <v>Q1.5 Passed</v>
          </cell>
          <cell r="V462" t="str">
            <v>40-85%</v>
          </cell>
          <cell r="W462" t="str">
            <v>Private Hospital</v>
          </cell>
          <cell r="X462" t="str">
            <v>Vydehi Hospital, Bangalore</v>
          </cell>
          <cell r="Y462" t="str">
            <v>Vydehi Hospital, Bangalore</v>
          </cell>
          <cell r="Z462" t="str">
            <v>Dr Amritha Prabha, Bangalore</v>
          </cell>
          <cell r="AA462" t="str">
            <v>HNSCC</v>
          </cell>
          <cell r="AC462" t="str">
            <v>Buccal Mucosa</v>
          </cell>
          <cell r="AD462" t="str">
            <v>Left Buccal Mucosa</v>
          </cell>
          <cell r="AE462" t="str">
            <v>Female</v>
          </cell>
          <cell r="AF462">
            <v>40</v>
          </cell>
          <cell r="AG462" t="str">
            <v>N</v>
          </cell>
          <cell r="AH462">
            <v>5.0999999999999996</v>
          </cell>
          <cell r="AI462" t="str">
            <v>Shashi</v>
          </cell>
          <cell r="AJ462" t="str">
            <v>Surgery</v>
          </cell>
          <cell r="AK462" t="str">
            <v>Primary</v>
          </cell>
          <cell r="AN462" t="str">
            <v>IVa</v>
          </cell>
          <cell r="AO462">
            <v>2</v>
          </cell>
          <cell r="AP462" t="str">
            <v>rpT4aNx</v>
          </cell>
          <cell r="AV462">
            <v>44995</v>
          </cell>
          <cell r="AW462">
            <v>0.54791666666666672</v>
          </cell>
          <cell r="AX462">
            <v>0.69374999999999998</v>
          </cell>
          <cell r="AY462">
            <v>0.14583333333333334</v>
          </cell>
          <cell r="AZ462">
            <v>0.17083333333333334</v>
          </cell>
          <cell r="BA462">
            <v>0.25555555555555554</v>
          </cell>
          <cell r="BB462" t="str">
            <v>1.3*1.7*2.0</v>
          </cell>
          <cell r="BC462" t="str">
            <v>1.3*1.7*1.8</v>
          </cell>
          <cell r="BD462" t="str">
            <v>Vibratome</v>
          </cell>
          <cell r="BE462">
            <v>15</v>
          </cell>
          <cell r="BF462" t="str">
            <v>Mounish</v>
          </cell>
          <cell r="BG462" t="str">
            <v>Y</v>
          </cell>
        </row>
        <row r="463">
          <cell r="A463" t="str">
            <v>FBR1T230070</v>
          </cell>
          <cell r="B463">
            <v>230070</v>
          </cell>
          <cell r="C463" t="str">
            <v>R&amp;D</v>
          </cell>
          <cell r="D463">
            <v>44998</v>
          </cell>
          <cell r="E463">
            <v>0.52430555555555558</v>
          </cell>
          <cell r="F463">
            <v>44986</v>
          </cell>
          <cell r="G463">
            <v>44998</v>
          </cell>
          <cell r="H463">
            <v>0.59236111111111112</v>
          </cell>
          <cell r="I463">
            <v>6.805555555555555E-2</v>
          </cell>
          <cell r="J463">
            <v>10</v>
          </cell>
          <cell r="K463" t="str">
            <v>FCB-PROTOCOL-02</v>
          </cell>
          <cell r="L463" t="str">
            <v>HN047</v>
          </cell>
          <cell r="M463" t="str">
            <v>Y</v>
          </cell>
          <cell r="N463" t="str">
            <v>cc Study(1T)</v>
          </cell>
          <cell r="O463" t="str">
            <v>Internal R&amp;D</v>
          </cell>
          <cell r="P463" t="str">
            <v>Q1 Passed</v>
          </cell>
          <cell r="Q463" t="str">
            <v>Q1 Passed</v>
          </cell>
          <cell r="R463" t="str">
            <v>Q1.5 Passed</v>
          </cell>
          <cell r="S463" t="str">
            <v>Q1.5 Passed</v>
          </cell>
          <cell r="V463" t="str">
            <v>60-90%</v>
          </cell>
          <cell r="W463" t="str">
            <v>Private Hospital</v>
          </cell>
          <cell r="X463" t="str">
            <v>Mazumdar Shaw Medical Centre, Bangalore</v>
          </cell>
          <cell r="Y463" t="str">
            <v>Mazumdar Shaw Medical Centre, Bangalore</v>
          </cell>
          <cell r="Z463" t="str">
            <v>Dr Vijay Pillai, Bangalore</v>
          </cell>
          <cell r="AA463" t="str">
            <v>HNSCC</v>
          </cell>
          <cell r="AC463" t="str">
            <v>Buccal Mucosa</v>
          </cell>
          <cell r="AD463" t="str">
            <v>Left buccal Mucosa</v>
          </cell>
          <cell r="AE463" t="str">
            <v>Female</v>
          </cell>
          <cell r="AF463">
            <v>49</v>
          </cell>
          <cell r="AG463" t="str">
            <v>N</v>
          </cell>
          <cell r="AH463">
            <v>4.8</v>
          </cell>
          <cell r="AI463" t="str">
            <v>Partha</v>
          </cell>
          <cell r="AJ463" t="str">
            <v>Surgery</v>
          </cell>
          <cell r="AK463" t="str">
            <v>Primary</v>
          </cell>
          <cell r="AN463" t="str">
            <v>III</v>
          </cell>
          <cell r="AO463">
            <v>2</v>
          </cell>
          <cell r="AP463" t="str">
            <v>pT3N1</v>
          </cell>
          <cell r="AS463" t="str">
            <v>Moderately differentiated , squamous cell carcinoma</v>
          </cell>
          <cell r="AV463">
            <v>44998</v>
          </cell>
          <cell r="AW463">
            <v>0.625</v>
          </cell>
          <cell r="AX463">
            <v>0.76111111111111107</v>
          </cell>
          <cell r="AY463">
            <v>0.1361111111111111</v>
          </cell>
          <cell r="AZ463">
            <v>0.16875000000000001</v>
          </cell>
          <cell r="BA463">
            <v>0.23680555555555555</v>
          </cell>
          <cell r="BB463" t="str">
            <v>1.0*1.3*1.4</v>
          </cell>
          <cell r="BC463" t="str">
            <v>1.0*1.3*1.4</v>
          </cell>
          <cell r="BD463" t="str">
            <v>Vibratome</v>
          </cell>
          <cell r="BE463">
            <v>15</v>
          </cell>
          <cell r="BF463" t="str">
            <v>Syam</v>
          </cell>
          <cell r="BG463" t="str">
            <v>Y</v>
          </cell>
        </row>
        <row r="464">
          <cell r="A464" t="str">
            <v>FBR1T230071</v>
          </cell>
          <cell r="B464">
            <v>230071</v>
          </cell>
          <cell r="C464" t="str">
            <v>R&amp;D</v>
          </cell>
          <cell r="D464">
            <v>44999</v>
          </cell>
          <cell r="E464">
            <v>0.50486111111111109</v>
          </cell>
          <cell r="F464">
            <v>44986</v>
          </cell>
          <cell r="G464">
            <v>44999</v>
          </cell>
          <cell r="H464">
            <v>0.55138888888888893</v>
          </cell>
          <cell r="I464">
            <v>4.6527777777777779E-2</v>
          </cell>
          <cell r="J464">
            <v>3</v>
          </cell>
          <cell r="K464" t="str">
            <v>FCB-PROTOCOL-01</v>
          </cell>
          <cell r="L464" t="str">
            <v>CLN/PRA/199</v>
          </cell>
          <cell r="M464" t="str">
            <v>Y</v>
          </cell>
          <cell r="N464" t="str">
            <v>cc Study(1T)</v>
          </cell>
          <cell r="O464" t="str">
            <v>Internal R&amp;D</v>
          </cell>
          <cell r="P464" t="str">
            <v>Q1 Passed</v>
          </cell>
          <cell r="Q464" t="str">
            <v>Q1 Passed</v>
          </cell>
          <cell r="R464" t="str">
            <v>Q1.5 Passed</v>
          </cell>
          <cell r="S464" t="str">
            <v>Q1.5 Passed</v>
          </cell>
          <cell r="V464" t="str">
            <v>Tumor content 65-85%.</v>
          </cell>
          <cell r="W464" t="str">
            <v>Private Hospital</v>
          </cell>
          <cell r="X464" t="str">
            <v>Dr Prakash BV, Bangalore</v>
          </cell>
          <cell r="Y464" t="str">
            <v>Sri Lakshmi Hospital, Bangalore</v>
          </cell>
          <cell r="Z464" t="str">
            <v>Dr Prakash BV, Bangalore</v>
          </cell>
          <cell r="AA464" t="str">
            <v>HNSCC</v>
          </cell>
          <cell r="AC464" t="str">
            <v>GBS</v>
          </cell>
          <cell r="AD464" t="str">
            <v>Left Lower GBS</v>
          </cell>
          <cell r="AE464" t="str">
            <v>Female</v>
          </cell>
          <cell r="AF464">
            <v>60</v>
          </cell>
          <cell r="AG464" t="str">
            <v>N</v>
          </cell>
          <cell r="AH464">
            <v>4.5999999999999996</v>
          </cell>
          <cell r="AI464" t="str">
            <v>Partha</v>
          </cell>
          <cell r="AJ464" t="str">
            <v>Surgery</v>
          </cell>
          <cell r="AK464" t="str">
            <v>Primary</v>
          </cell>
          <cell r="AV464">
            <v>44999</v>
          </cell>
          <cell r="AW464">
            <v>0.57291666666666663</v>
          </cell>
          <cell r="AX464">
            <v>0.69097222222222221</v>
          </cell>
          <cell r="AY464">
            <v>0.11805555555555555</v>
          </cell>
          <cell r="AZ464">
            <v>0.13958333333333334</v>
          </cell>
          <cell r="BA464">
            <v>0.18611111111111112</v>
          </cell>
          <cell r="BB464" t="str">
            <v>0.8*1.2*0.8</v>
          </cell>
          <cell r="BC464" t="str">
            <v>0.8*1.2*0.8</v>
          </cell>
          <cell r="BD464" t="str">
            <v>Vibratome</v>
          </cell>
          <cell r="BE464">
            <v>15</v>
          </cell>
          <cell r="BF464" t="str">
            <v>Mounish</v>
          </cell>
          <cell r="BG464" t="str">
            <v>Y</v>
          </cell>
        </row>
        <row r="465">
          <cell r="A465" t="str">
            <v>FBR1W230072</v>
          </cell>
          <cell r="B465">
            <v>230072</v>
          </cell>
          <cell r="C465" t="str">
            <v>R&amp;D</v>
          </cell>
          <cell r="D465">
            <v>44999</v>
          </cell>
          <cell r="E465">
            <v>0.52083333333333337</v>
          </cell>
          <cell r="F465">
            <v>44986</v>
          </cell>
          <cell r="G465">
            <v>44999</v>
          </cell>
          <cell r="H465">
            <v>0.58125000000000004</v>
          </cell>
          <cell r="I465">
            <v>6.0416666666666667E-2</v>
          </cell>
          <cell r="J465">
            <v>0</v>
          </cell>
          <cell r="K465" t="str">
            <v>FCB-PROTOCOL-02</v>
          </cell>
          <cell r="L465" t="str">
            <v>BC008</v>
          </cell>
          <cell r="M465" t="str">
            <v>Y</v>
          </cell>
          <cell r="N465" t="str">
            <v>Biopsy Cabr-BSS (1W)</v>
          </cell>
          <cell r="O465" t="str">
            <v>Internal R&amp;D</v>
          </cell>
          <cell r="P465" t="str">
            <v>Q1 Passed</v>
          </cell>
          <cell r="Q465" t="str">
            <v>Q1 Passed</v>
          </cell>
          <cell r="R465" t="str">
            <v>Q1.5 Passed</v>
          </cell>
          <cell r="S465" t="str">
            <v>Q1.5 Passed</v>
          </cell>
          <cell r="V465" t="str">
            <v>Tumor content 1-6%</v>
          </cell>
          <cell r="W465" t="str">
            <v>Private Hospital</v>
          </cell>
          <cell r="X465" t="str">
            <v>Mazumdar Shaw Medical Centre, Bangalore</v>
          </cell>
          <cell r="Y465" t="str">
            <v>Mazumdar Shaw Medical Centre, Bangalore</v>
          </cell>
          <cell r="Z465" t="str">
            <v>Dr Akshita Singh</v>
          </cell>
          <cell r="AA465" t="str">
            <v>Ca Breast</v>
          </cell>
          <cell r="AB465" t="str">
            <v xml:space="preserve">Er+
Pr+
Her2- </v>
          </cell>
          <cell r="AC465" t="str">
            <v>Breast</v>
          </cell>
          <cell r="AD465" t="str">
            <v>Left Breast</v>
          </cell>
          <cell r="AE465" t="str">
            <v>Female</v>
          </cell>
          <cell r="AF465">
            <v>45</v>
          </cell>
          <cell r="AG465" t="str">
            <v>N</v>
          </cell>
          <cell r="AH465">
            <v>4.8</v>
          </cell>
          <cell r="AI465" t="str">
            <v>Shashi</v>
          </cell>
          <cell r="AJ465" t="str">
            <v>Biopsy</v>
          </cell>
          <cell r="AK465" t="str">
            <v>Primary</v>
          </cell>
          <cell r="AS465" t="str">
            <v>Invasive Breast Carcinoma</v>
          </cell>
          <cell r="AV465">
            <v>44999</v>
          </cell>
          <cell r="AW465">
            <v>0.66666666666666663</v>
          </cell>
          <cell r="AX465">
            <v>0.70833333333333337</v>
          </cell>
          <cell r="AY465">
            <v>4.1666666666666664E-2</v>
          </cell>
          <cell r="AZ465">
            <v>0.12708333333333333</v>
          </cell>
          <cell r="BA465">
            <v>0.1875</v>
          </cell>
          <cell r="BB465" t="str">
            <v>0.8*0.1
0.6*0.1
0.4*0.1</v>
          </cell>
          <cell r="BC465" t="str">
            <v>0.4*0.1
0.6*0.1
0.4*0.1</v>
          </cell>
          <cell r="BD465" t="str">
            <v>Manual</v>
          </cell>
          <cell r="BE465">
            <v>15</v>
          </cell>
          <cell r="BF465" t="str">
            <v>chandan</v>
          </cell>
          <cell r="BG465" t="str">
            <v>Y</v>
          </cell>
        </row>
        <row r="466">
          <cell r="A466" t="str">
            <v>FBR1W230073</v>
          </cell>
          <cell r="B466">
            <v>230073</v>
          </cell>
          <cell r="C466" t="str">
            <v>R&amp;D</v>
          </cell>
          <cell r="D466">
            <v>45000</v>
          </cell>
          <cell r="E466">
            <v>0.57291666666666663</v>
          </cell>
          <cell r="F466">
            <v>44986</v>
          </cell>
          <cell r="G466">
            <v>45000</v>
          </cell>
          <cell r="H466">
            <v>0.64027777777777772</v>
          </cell>
          <cell r="I466">
            <v>6.7361111111111108E-2</v>
          </cell>
          <cell r="J466">
            <v>0</v>
          </cell>
          <cell r="K466" t="str">
            <v>FCB-PROTOCOL-02</v>
          </cell>
          <cell r="L466" t="str">
            <v>BC009</v>
          </cell>
          <cell r="M466" t="str">
            <v>Y</v>
          </cell>
          <cell r="N466" t="str">
            <v>Biopsy Cabr-BSS (1W)</v>
          </cell>
          <cell r="O466" t="str">
            <v>Internal R&amp;D</v>
          </cell>
          <cell r="P466" t="str">
            <v>Q1 Passed</v>
          </cell>
          <cell r="Q466" t="str">
            <v>Q1 Passed</v>
          </cell>
          <cell r="R466" t="str">
            <v>Q1.5 Passed</v>
          </cell>
          <cell r="S466" t="str">
            <v>Q1.5 Passed</v>
          </cell>
          <cell r="V466" t="str">
            <v>Cells suspicious for malignancy seen in 1-2 explants, no definite tumor</v>
          </cell>
          <cell r="W466" t="str">
            <v>Private Hospital</v>
          </cell>
          <cell r="X466" t="str">
            <v>Mazumdar Shaw Medical Centre, Bangalore</v>
          </cell>
          <cell r="Y466" t="str">
            <v>Mazumdar Shaw Medical Centre, Bangalore</v>
          </cell>
          <cell r="Z466" t="str">
            <v>Dr Akshita Singh</v>
          </cell>
          <cell r="AA466" t="str">
            <v>Ca Breast</v>
          </cell>
          <cell r="AB466" t="str">
            <v>NA</v>
          </cell>
          <cell r="AC466" t="str">
            <v>Breast</v>
          </cell>
          <cell r="AD466" t="str">
            <v>Left Breast</v>
          </cell>
          <cell r="AE466" t="str">
            <v>Female</v>
          </cell>
          <cell r="AF466">
            <v>55</v>
          </cell>
          <cell r="AG466" t="str">
            <v>N</v>
          </cell>
          <cell r="AH466">
            <v>5.0999999999999996</v>
          </cell>
          <cell r="AI466" t="str">
            <v>Shashi</v>
          </cell>
          <cell r="AJ466" t="str">
            <v>Biopsy</v>
          </cell>
          <cell r="AK466" t="str">
            <v>Primary</v>
          </cell>
          <cell r="AV466">
            <v>45000</v>
          </cell>
          <cell r="AW466">
            <v>0.69791666666666663</v>
          </cell>
          <cell r="AX466">
            <v>0.75</v>
          </cell>
          <cell r="AY466">
            <v>5.2083333333333336E-2</v>
          </cell>
          <cell r="AZ466">
            <v>0.10972222222222222</v>
          </cell>
          <cell r="BA466">
            <v>0.17708333333333334</v>
          </cell>
          <cell r="BB466" t="str">
            <v>1.4*0.1
1.6*0.1
1.4*0.1</v>
          </cell>
          <cell r="BC466" t="str">
            <v>1.4*0.1
1.6*0.1
1.4*0.1</v>
          </cell>
          <cell r="BD466" t="str">
            <v>Manual</v>
          </cell>
          <cell r="BE466">
            <v>15</v>
          </cell>
          <cell r="BF466" t="str">
            <v>chandan</v>
          </cell>
          <cell r="BG466" t="str">
            <v>Y</v>
          </cell>
        </row>
        <row r="467">
          <cell r="A467" t="str">
            <v>FBR1T230074</v>
          </cell>
          <cell r="B467">
            <v>230074</v>
          </cell>
          <cell r="C467" t="str">
            <v>R&amp;D</v>
          </cell>
          <cell r="D467">
            <v>45001</v>
          </cell>
          <cell r="E467">
            <v>0.52083333333333337</v>
          </cell>
          <cell r="F467">
            <v>44986</v>
          </cell>
          <cell r="G467">
            <v>45001</v>
          </cell>
          <cell r="H467">
            <v>0.87986111111111109</v>
          </cell>
          <cell r="I467">
            <v>0.35902777777777778</v>
          </cell>
          <cell r="J467">
            <v>10</v>
          </cell>
          <cell r="K467" t="str">
            <v>FCB-PROTOCOL-01</v>
          </cell>
          <cell r="L467" t="str">
            <v>CLN/DBR/135</v>
          </cell>
          <cell r="M467" t="str">
            <v>Y</v>
          </cell>
          <cell r="N467" t="str">
            <v>cc Study(1T)</v>
          </cell>
          <cell r="O467" t="str">
            <v>Internal R&amp;D</v>
          </cell>
          <cell r="P467" t="str">
            <v>Q1 Passed</v>
          </cell>
          <cell r="Q467" t="str">
            <v>Q1 Passed</v>
          </cell>
          <cell r="R467" t="str">
            <v>Q1.5 Passed</v>
          </cell>
          <cell r="S467" t="str">
            <v>Q1.5 Passed</v>
          </cell>
          <cell r="V467" t="str">
            <v>12-70%</v>
          </cell>
          <cell r="W467" t="str">
            <v>Clinic'les</v>
          </cell>
          <cell r="X467" t="str">
            <v>Clinic'les- DBR &amp; SK Hospital, Tirupati</v>
          </cell>
          <cell r="Y467" t="str">
            <v>DBR &amp; SK Hospital, Tirupati</v>
          </cell>
          <cell r="Z467" t="str">
            <v>Dr C Jayaprakash, Tirupati</v>
          </cell>
          <cell r="AA467" t="str">
            <v>HNSCC</v>
          </cell>
          <cell r="AC467" t="str">
            <v>Buccal Mucosa</v>
          </cell>
          <cell r="AD467" t="str">
            <v>Right buccal mucosa</v>
          </cell>
          <cell r="AE467" t="str">
            <v>Male</v>
          </cell>
          <cell r="AF467">
            <v>72</v>
          </cell>
          <cell r="AG467" t="str">
            <v>N</v>
          </cell>
          <cell r="AH467">
            <v>5.2</v>
          </cell>
          <cell r="AI467" t="str">
            <v>Partha</v>
          </cell>
          <cell r="AJ467" t="str">
            <v>Surgery</v>
          </cell>
          <cell r="AK467" t="str">
            <v>Primary</v>
          </cell>
          <cell r="AN467" t="str">
            <v>III</v>
          </cell>
          <cell r="AP467" t="str">
            <v>pT3 N0 MX</v>
          </cell>
          <cell r="AV467">
            <v>45001</v>
          </cell>
          <cell r="AW467">
            <v>0.89652777777777781</v>
          </cell>
          <cell r="AX467">
            <v>0.97569444444444442</v>
          </cell>
          <cell r="AY467">
            <v>7.9166666666666663E-2</v>
          </cell>
          <cell r="AZ467">
            <v>9.583333333333334E-2</v>
          </cell>
          <cell r="BA467">
            <v>0.4548611111111111</v>
          </cell>
          <cell r="BB467" t="str">
            <v>0.8/1.0*1.0/1.4*1.7</v>
          </cell>
          <cell r="BC467" t="str">
            <v>0.8/1.0*1.0/1.4*1.7</v>
          </cell>
          <cell r="BD467" t="str">
            <v>Vibratome</v>
          </cell>
          <cell r="BE467">
            <v>15</v>
          </cell>
          <cell r="BF467" t="str">
            <v>Mounish</v>
          </cell>
          <cell r="BG467" t="str">
            <v>Y</v>
          </cell>
        </row>
        <row r="468">
          <cell r="A468" t="str">
            <v>FBR1T230075</v>
          </cell>
          <cell r="B468">
            <v>230075</v>
          </cell>
          <cell r="C468" t="str">
            <v>R&amp;D</v>
          </cell>
          <cell r="D468">
            <v>45002</v>
          </cell>
          <cell r="E468">
            <v>0.53194444444444444</v>
          </cell>
          <cell r="F468">
            <v>44986</v>
          </cell>
          <cell r="G468">
            <v>45002</v>
          </cell>
          <cell r="H468">
            <v>0.61319444444444449</v>
          </cell>
          <cell r="I468">
            <v>8.1250000000000003E-2</v>
          </cell>
          <cell r="J468">
            <v>1</v>
          </cell>
          <cell r="K468" t="str">
            <v>FCB-PROTOCOL-01</v>
          </cell>
          <cell r="L468" t="str">
            <v>VYD/154</v>
          </cell>
          <cell r="M468" t="str">
            <v>Y</v>
          </cell>
          <cell r="N468" t="str">
            <v>cc Study(1T)</v>
          </cell>
          <cell r="O468" t="str">
            <v>Internal R&amp;D</v>
          </cell>
          <cell r="P468" t="str">
            <v>Q1 Passed</v>
          </cell>
          <cell r="Q468" t="str">
            <v>Q1 Passed</v>
          </cell>
          <cell r="R468" t="str">
            <v>Q1.5 Passed</v>
          </cell>
          <cell r="S468" t="str">
            <v>Q1.5 Passed</v>
          </cell>
          <cell r="V468" t="str">
            <v>4-65%</v>
          </cell>
          <cell r="W468" t="str">
            <v>Private Hospital</v>
          </cell>
          <cell r="X468" t="str">
            <v>Vydehi Hospital, Bangalore</v>
          </cell>
          <cell r="Y468" t="str">
            <v>Vydehi Hospital, Bangalore</v>
          </cell>
          <cell r="Z468" t="str">
            <v>Dr Amritha Prabha, Bangalore</v>
          </cell>
          <cell r="AA468" t="str">
            <v>HNSCC</v>
          </cell>
          <cell r="AC468" t="str">
            <v>Buccal Mucosa</v>
          </cell>
          <cell r="AD468" t="str">
            <v>Right buccal mucosa</v>
          </cell>
          <cell r="AE468" t="str">
            <v>Male</v>
          </cell>
          <cell r="AF468">
            <v>48</v>
          </cell>
          <cell r="AG468" t="str">
            <v>N</v>
          </cell>
          <cell r="AH468">
            <v>5.0999999999999996</v>
          </cell>
          <cell r="AI468" t="str">
            <v>Shashi</v>
          </cell>
          <cell r="AJ468" t="str">
            <v>Surgery</v>
          </cell>
          <cell r="AK468" t="str">
            <v>Primary</v>
          </cell>
          <cell r="AN468" t="str">
            <v>III</v>
          </cell>
          <cell r="AO468">
            <v>2</v>
          </cell>
          <cell r="AP468" t="str">
            <v>pT3N0</v>
          </cell>
          <cell r="AV468">
            <v>45001</v>
          </cell>
          <cell r="AW468">
            <v>0.63541666666666663</v>
          </cell>
          <cell r="AX468">
            <v>0.74652777777777779</v>
          </cell>
          <cell r="AY468">
            <v>0.1111111111111111</v>
          </cell>
          <cell r="AZ468">
            <v>0.13333333333333333</v>
          </cell>
          <cell r="BA468">
            <v>0.21458333333333332</v>
          </cell>
          <cell r="BB468" t="str">
            <v>0.6/0.8*2.1*2.4</v>
          </cell>
          <cell r="BC468" t="str">
            <v>0.6/0.8*2.1*2.4</v>
          </cell>
          <cell r="BD468" t="str">
            <v>Vibratome</v>
          </cell>
          <cell r="BE468">
            <v>15</v>
          </cell>
          <cell r="BF468" t="str">
            <v>Mounish</v>
          </cell>
          <cell r="BG468" t="str">
            <v>Y</v>
          </cell>
        </row>
        <row r="469">
          <cell r="A469" t="str">
            <v>FBR1M230076</v>
          </cell>
          <cell r="B469">
            <v>230076</v>
          </cell>
          <cell r="C469" t="str">
            <v>R&amp;D</v>
          </cell>
          <cell r="D469">
            <v>45005</v>
          </cell>
          <cell r="E469">
            <v>0.53125</v>
          </cell>
          <cell r="F469">
            <v>44986</v>
          </cell>
          <cell r="G469">
            <v>45005</v>
          </cell>
          <cell r="H469">
            <v>0.58680555555555558</v>
          </cell>
          <cell r="I469">
            <v>5.5555555555555552E-2</v>
          </cell>
          <cell r="J469">
            <v>0</v>
          </cell>
          <cell r="K469" t="str">
            <v>FCB-PROTOCOL-02</v>
          </cell>
          <cell r="L469" t="str">
            <v>RC021</v>
          </cell>
          <cell r="M469" t="str">
            <v>Y</v>
          </cell>
          <cell r="N469" t="str">
            <v>DMS_RCC(1M)</v>
          </cell>
          <cell r="O469" t="str">
            <v>Internal R&amp;D</v>
          </cell>
          <cell r="P469" t="str">
            <v>Q1 Passed</v>
          </cell>
          <cell r="Q469" t="str">
            <v>Q1 Passed</v>
          </cell>
          <cell r="R469" t="str">
            <v>Q1.5 Passed</v>
          </cell>
          <cell r="S469" t="str">
            <v>Q1.5 Passed</v>
          </cell>
          <cell r="V469" t="str">
            <v>10-45% in 3/7 explants, others no tumor</v>
          </cell>
          <cell r="W469" t="str">
            <v>Private Hospital</v>
          </cell>
          <cell r="X469" t="str">
            <v>Mazumdar Shaw Medical Centre, Bangalore</v>
          </cell>
          <cell r="Y469" t="str">
            <v>Mazumdar Shaw Medical Centre, Bangalore</v>
          </cell>
          <cell r="Z469" t="str">
            <v>Dr Saurabh Bhargav, Bangalore</v>
          </cell>
          <cell r="AA469" t="str">
            <v>RCC</v>
          </cell>
          <cell r="AC469" t="str">
            <v>Renal</v>
          </cell>
          <cell r="AD469" t="str">
            <v>Right renal Mass</v>
          </cell>
          <cell r="AE469" t="str">
            <v>Male</v>
          </cell>
          <cell r="AF469">
            <v>64</v>
          </cell>
          <cell r="AG469" t="str">
            <v>N</v>
          </cell>
          <cell r="AH469">
            <v>4.2</v>
          </cell>
          <cell r="AI469" t="str">
            <v>Kalappa</v>
          </cell>
          <cell r="AJ469" t="str">
            <v>Surgery</v>
          </cell>
          <cell r="AK469" t="str">
            <v>Primary</v>
          </cell>
          <cell r="AN469" t="str">
            <v>III</v>
          </cell>
          <cell r="AO469">
            <v>3</v>
          </cell>
          <cell r="AP469" t="str">
            <v>pT3a</v>
          </cell>
          <cell r="AS469" t="str">
            <v>clear cell carcinoma</v>
          </cell>
          <cell r="AV469">
            <v>45005</v>
          </cell>
          <cell r="AW469">
            <v>0.60416666666666663</v>
          </cell>
          <cell r="AX469">
            <v>0.72638888888888886</v>
          </cell>
          <cell r="AY469">
            <v>0.12222222222222222</v>
          </cell>
          <cell r="AZ469">
            <v>0.13958333333333334</v>
          </cell>
          <cell r="BA469">
            <v>0.19513888888888889</v>
          </cell>
          <cell r="BB469" t="str">
            <v>0.8/0.2*1.6*2.2</v>
          </cell>
          <cell r="BC469" t="str">
            <v>0.8/0.2*1.2*2.2</v>
          </cell>
          <cell r="BD469" t="str">
            <v>Vibratome</v>
          </cell>
          <cell r="BE469">
            <v>15</v>
          </cell>
          <cell r="BF469" t="str">
            <v>Dharani</v>
          </cell>
          <cell r="BG469" t="str">
            <v>Y</v>
          </cell>
        </row>
        <row r="470">
          <cell r="A470" t="str">
            <v>FBR1T230077</v>
          </cell>
          <cell r="B470">
            <v>230077</v>
          </cell>
          <cell r="C470" t="str">
            <v>R&amp;D</v>
          </cell>
          <cell r="D470">
            <v>45005</v>
          </cell>
          <cell r="E470">
            <v>0.55138888888888893</v>
          </cell>
          <cell r="F470">
            <v>44986</v>
          </cell>
          <cell r="G470">
            <v>45005</v>
          </cell>
          <cell r="H470">
            <v>0.59791666666666665</v>
          </cell>
          <cell r="I470">
            <v>4.6527777777777779E-2</v>
          </cell>
          <cell r="J470">
            <v>1</v>
          </cell>
          <cell r="K470" t="str">
            <v>FCB-PROTOCOL-01</v>
          </cell>
          <cell r="L470" t="str">
            <v>VYD/155</v>
          </cell>
          <cell r="M470" t="str">
            <v>Y</v>
          </cell>
          <cell r="N470" t="str">
            <v>cc Study(1T)</v>
          </cell>
          <cell r="O470" t="str">
            <v>Internal R&amp;D</v>
          </cell>
          <cell r="P470" t="str">
            <v>Q1 Passed</v>
          </cell>
          <cell r="Q470" t="str">
            <v>Q1 Passed</v>
          </cell>
          <cell r="R470" t="str">
            <v>Q1.5 Passed</v>
          </cell>
          <cell r="S470" t="str">
            <v>Q1.5 Passed</v>
          </cell>
          <cell r="V470" t="str">
            <v>4-75%</v>
          </cell>
          <cell r="W470" t="str">
            <v>Private Hospital</v>
          </cell>
          <cell r="X470" t="str">
            <v>Vydehi Hospital, Bangalore</v>
          </cell>
          <cell r="Y470" t="str">
            <v>Vydehi Hospital, Bangalore</v>
          </cell>
          <cell r="Z470" t="str">
            <v>Dr Amritha Prabha, Bangalore</v>
          </cell>
          <cell r="AA470" t="str">
            <v>HNSCC</v>
          </cell>
          <cell r="AC470" t="str">
            <v>Buccal Mucosa</v>
          </cell>
          <cell r="AD470" t="str">
            <v>Right buccal mucosa</v>
          </cell>
          <cell r="AE470" t="str">
            <v>Male</v>
          </cell>
          <cell r="AF470">
            <v>34</v>
          </cell>
          <cell r="AG470" t="str">
            <v>N</v>
          </cell>
          <cell r="AH470">
            <v>5.0999999999999996</v>
          </cell>
          <cell r="AI470" t="str">
            <v>Maruthi</v>
          </cell>
          <cell r="AJ470" t="str">
            <v>Surgery</v>
          </cell>
          <cell r="AK470" t="str">
            <v>Primary</v>
          </cell>
          <cell r="AN470" t="str">
            <v>II</v>
          </cell>
          <cell r="AO470">
            <v>2</v>
          </cell>
          <cell r="AP470" t="str">
            <v>pT2N0</v>
          </cell>
          <cell r="AV470">
            <v>45005</v>
          </cell>
          <cell r="AW470">
            <v>0.61319444444444449</v>
          </cell>
          <cell r="AX470">
            <v>0.72916666666666663</v>
          </cell>
          <cell r="AY470">
            <v>0.11597222222222223</v>
          </cell>
          <cell r="AZ470">
            <v>0.13125000000000001</v>
          </cell>
          <cell r="BA470">
            <v>0.17777777777777778</v>
          </cell>
          <cell r="BB470" t="str">
            <v>0.8*0.7*1.0</v>
          </cell>
          <cell r="BC470" t="str">
            <v>0.8*0.7*1.0</v>
          </cell>
          <cell r="BD470" t="str">
            <v>Vibratome</v>
          </cell>
          <cell r="BE470">
            <v>15</v>
          </cell>
          <cell r="BF470" t="str">
            <v>Mounish</v>
          </cell>
          <cell r="BG470" t="str">
            <v>Y</v>
          </cell>
        </row>
        <row r="471">
          <cell r="A471">
            <v>230078</v>
          </cell>
          <cell r="B471">
            <v>230078</v>
          </cell>
          <cell r="C471" t="str">
            <v>R&amp;D</v>
          </cell>
          <cell r="D471">
            <v>45005</v>
          </cell>
          <cell r="E471">
            <v>0.51041666666666663</v>
          </cell>
          <cell r="F471">
            <v>44986</v>
          </cell>
          <cell r="G471">
            <v>45005</v>
          </cell>
          <cell r="H471">
            <v>0.85624999999999996</v>
          </cell>
          <cell r="I471">
            <v>0.34583333333333333</v>
          </cell>
          <cell r="J471">
            <v>10</v>
          </cell>
          <cell r="K471" t="str">
            <v>FCB-PROTOCOL-01</v>
          </cell>
          <cell r="L471" t="str">
            <v>CLN/DBR/136</v>
          </cell>
          <cell r="M471" t="str">
            <v>Y</v>
          </cell>
          <cell r="N471" t="str">
            <v>No Study</v>
          </cell>
          <cell r="O471" t="str">
            <v>1st level attrition</v>
          </cell>
          <cell r="P471" t="str">
            <v>Q1 Passed</v>
          </cell>
          <cell r="Q471" t="str">
            <v>Q1 Rejected</v>
          </cell>
          <cell r="R471" t="str">
            <v>Q1.5 Rejected</v>
          </cell>
          <cell r="S471" t="str">
            <v>Q1.5 Rejected</v>
          </cell>
          <cell r="T471" t="str">
            <v>Not fit for vibrotome, height is small and blood was frozon</v>
          </cell>
          <cell r="W471" t="str">
            <v>Clinic'les</v>
          </cell>
          <cell r="X471" t="str">
            <v>Clinic'les- DBR &amp; SK Hospital, Tirupati</v>
          </cell>
          <cell r="Y471" t="str">
            <v>DBR &amp; SK Hospital, Tirupati</v>
          </cell>
          <cell r="Z471" t="str">
            <v>Dr C Jayaprakash, Tirupati</v>
          </cell>
          <cell r="AA471" t="str">
            <v>HNSCC</v>
          </cell>
          <cell r="AC471" t="str">
            <v>Buccal Mucosa</v>
          </cell>
          <cell r="AD471" t="str">
            <v>Angle of Mouth</v>
          </cell>
          <cell r="AE471" t="str">
            <v>Female</v>
          </cell>
          <cell r="AF471">
            <v>62</v>
          </cell>
          <cell r="AG471" t="str">
            <v>N</v>
          </cell>
          <cell r="AH471">
            <v>4.8</v>
          </cell>
          <cell r="AI471" t="str">
            <v>Partha</v>
          </cell>
          <cell r="AJ471" t="str">
            <v>Surgery</v>
          </cell>
          <cell r="AK471" t="str">
            <v>Primary</v>
          </cell>
          <cell r="AN471" t="str">
            <v>II</v>
          </cell>
          <cell r="AP471" t="str">
            <v>pT2 N0 MX</v>
          </cell>
          <cell r="AV471">
            <v>45005</v>
          </cell>
          <cell r="AW471">
            <v>0.875</v>
          </cell>
          <cell r="AY47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47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7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71" t="str">
            <v>0.3*1.0*1.0</v>
          </cell>
          <cell r="BC471" t="str">
            <v>0.3*1.0*1.0</v>
          </cell>
          <cell r="BD471" t="str">
            <v>Vibratome</v>
          </cell>
          <cell r="BE471">
            <v>15</v>
          </cell>
          <cell r="BF471" t="str">
            <v>Kowshik</v>
          </cell>
          <cell r="BG471" t="str">
            <v>N</v>
          </cell>
        </row>
        <row r="472">
          <cell r="A472" t="str">
            <v>FBR1T230079</v>
          </cell>
          <cell r="B472">
            <v>230079</v>
          </cell>
          <cell r="C472" t="str">
            <v>R&amp;D</v>
          </cell>
          <cell r="D472">
            <v>45006</v>
          </cell>
          <cell r="E472">
            <v>0.6875</v>
          </cell>
          <cell r="F472">
            <v>44986</v>
          </cell>
          <cell r="G472">
            <v>45006</v>
          </cell>
          <cell r="H472">
            <v>0.76180555555555551</v>
          </cell>
          <cell r="I472">
            <v>7.4305555555555555E-2</v>
          </cell>
          <cell r="J472">
            <v>10</v>
          </cell>
          <cell r="K472" t="str">
            <v>FCB-PROTOCOL-02</v>
          </cell>
          <cell r="L472" t="str">
            <v>HN048</v>
          </cell>
          <cell r="M472" t="str">
            <v>Y</v>
          </cell>
          <cell r="N472" t="str">
            <v>cc Study(1T)</v>
          </cell>
          <cell r="O472" t="str">
            <v>Internal R&amp;D</v>
          </cell>
          <cell r="P472" t="str">
            <v>Q1 Passed</v>
          </cell>
          <cell r="Q472" t="str">
            <v>Q1 Passed</v>
          </cell>
          <cell r="R472" t="str">
            <v>Q1.5 Passed</v>
          </cell>
          <cell r="S472" t="str">
            <v>Q1.5 Passed</v>
          </cell>
          <cell r="V472" t="str">
            <v>60-80%</v>
          </cell>
          <cell r="W472" t="str">
            <v>Private Hospital</v>
          </cell>
          <cell r="X472" t="str">
            <v>Mazumdar Shaw Medical Centre, Bangalore</v>
          </cell>
          <cell r="Y472" t="str">
            <v>Mazumdar Shaw Medical Centre, Bangalore</v>
          </cell>
          <cell r="Z472" t="str">
            <v>Dr Vijay Pillai, Bangalore</v>
          </cell>
          <cell r="AA472" t="str">
            <v>HNSCC</v>
          </cell>
          <cell r="AC472" t="str">
            <v>Buccal Mucosa</v>
          </cell>
          <cell r="AD472" t="str">
            <v>Buccal Mucosa</v>
          </cell>
          <cell r="AE472" t="str">
            <v>Male</v>
          </cell>
          <cell r="AF472">
            <v>35</v>
          </cell>
          <cell r="AG472" t="str">
            <v>N</v>
          </cell>
          <cell r="AH472">
            <v>4.5999999999999996</v>
          </cell>
          <cell r="AI472" t="str">
            <v>Partha</v>
          </cell>
          <cell r="AJ472" t="str">
            <v>Surgery</v>
          </cell>
          <cell r="AK472" t="str">
            <v>Primary</v>
          </cell>
          <cell r="AN472" t="str">
            <v>IV</v>
          </cell>
          <cell r="AO472">
            <v>2</v>
          </cell>
          <cell r="AP472" t="str">
            <v>pT4a</v>
          </cell>
          <cell r="AS472" t="str">
            <v>Moderately advanced local disease</v>
          </cell>
          <cell r="AV472">
            <v>45006</v>
          </cell>
          <cell r="AW472">
            <v>0.7895833333333333</v>
          </cell>
          <cell r="AX472">
            <v>0.86527777777777781</v>
          </cell>
          <cell r="AY472">
            <v>7.5694444444444439E-2</v>
          </cell>
          <cell r="AZ472">
            <v>0.10347222222222222</v>
          </cell>
          <cell r="BA472">
            <v>0.17777777777777778</v>
          </cell>
          <cell r="BB472" t="str">
            <v>0.5*0.6*1.2
0.4*0.5*0.9</v>
          </cell>
          <cell r="BC472" t="str">
            <v>0.5*0.6*1.2
0.4*0.5*0.9</v>
          </cell>
          <cell r="BD472" t="str">
            <v>Vibratome</v>
          </cell>
          <cell r="BE472">
            <v>15</v>
          </cell>
          <cell r="BF472" t="str">
            <v>Mounish</v>
          </cell>
          <cell r="BG472" t="str">
            <v>Y</v>
          </cell>
        </row>
        <row r="473">
          <cell r="A473" t="str">
            <v>FBR1W230080</v>
          </cell>
          <cell r="B473">
            <v>230080</v>
          </cell>
          <cell r="C473" t="str">
            <v>R&amp;D</v>
          </cell>
          <cell r="D473">
            <v>45006</v>
          </cell>
          <cell r="E473">
            <v>0.6875</v>
          </cell>
          <cell r="F473">
            <v>44986</v>
          </cell>
          <cell r="G473">
            <v>45006</v>
          </cell>
          <cell r="H473">
            <v>0.76180555555555551</v>
          </cell>
          <cell r="I473">
            <v>7.4305555555555555E-2</v>
          </cell>
          <cell r="J473">
            <v>0</v>
          </cell>
          <cell r="K473" t="str">
            <v>FCB-PROTOCOL-02</v>
          </cell>
          <cell r="L473" t="str">
            <v>BC010</v>
          </cell>
          <cell r="M473" t="str">
            <v>Y</v>
          </cell>
          <cell r="N473" t="str">
            <v>Biopsy Cabr-BSS (1W)</v>
          </cell>
          <cell r="O473" t="str">
            <v>Internal R&amp;D</v>
          </cell>
          <cell r="P473" t="str">
            <v>Q1 Passed</v>
          </cell>
          <cell r="Q473" t="str">
            <v>Q1 Passed</v>
          </cell>
          <cell r="R473" t="str">
            <v>Q1.5 Passed</v>
          </cell>
          <cell r="S473" t="str">
            <v>Q1.5 Passed</v>
          </cell>
          <cell r="V473" t="str">
            <v>0-4%</v>
          </cell>
          <cell r="W473" t="str">
            <v>Private Hospital</v>
          </cell>
          <cell r="X473" t="str">
            <v>Mazumdar Shaw Medical Centre, Bangalore</v>
          </cell>
          <cell r="Y473" t="str">
            <v>Mazumdar Shaw Medical Centre, Bangalore</v>
          </cell>
          <cell r="Z473" t="str">
            <v>Dr Akshita Singh</v>
          </cell>
          <cell r="AA473" t="str">
            <v>Ca Breast</v>
          </cell>
          <cell r="AB473" t="str">
            <v>Er-
Pr+(weakly)
Her2-</v>
          </cell>
          <cell r="AC473" t="str">
            <v>Breast</v>
          </cell>
          <cell r="AD473" t="str">
            <v>Right Breast</v>
          </cell>
          <cell r="AE473" t="str">
            <v>Female</v>
          </cell>
          <cell r="AF473">
            <v>46</v>
          </cell>
          <cell r="AG473" t="str">
            <v>N</v>
          </cell>
          <cell r="AH473">
            <v>5.0999999999999996</v>
          </cell>
          <cell r="AI473" t="str">
            <v>Partha</v>
          </cell>
          <cell r="AJ473" t="str">
            <v>Biopsy</v>
          </cell>
          <cell r="AK473" t="str">
            <v>Primary</v>
          </cell>
          <cell r="AS473" t="str">
            <v>Invasive Breast Carcinoma</v>
          </cell>
          <cell r="AV473">
            <v>45006</v>
          </cell>
          <cell r="AW473">
            <v>0.7895833333333333</v>
          </cell>
          <cell r="AX473">
            <v>0.82708333333333328</v>
          </cell>
          <cell r="AY473">
            <v>3.7499999999999999E-2</v>
          </cell>
          <cell r="AZ473">
            <v>6.5277777777777782E-2</v>
          </cell>
          <cell r="BA473">
            <v>0.13958333333333334</v>
          </cell>
          <cell r="BB473" t="str">
            <v>6-18mm
5 core</v>
          </cell>
          <cell r="BC473" t="str">
            <v>6-18mm
5 core</v>
          </cell>
          <cell r="BD473" t="str">
            <v>Manual</v>
          </cell>
          <cell r="BE473">
            <v>15</v>
          </cell>
          <cell r="BF473" t="str">
            <v>Biswajit</v>
          </cell>
          <cell r="BG473" t="str">
            <v>N</v>
          </cell>
        </row>
        <row r="474">
          <cell r="A474" t="str">
            <v>FBR1Q230081</v>
          </cell>
          <cell r="B474">
            <v>230081</v>
          </cell>
          <cell r="C474" t="str">
            <v>R&amp;D</v>
          </cell>
          <cell r="D474">
            <v>45008</v>
          </cell>
          <cell r="E474">
            <v>0.50347222222222221</v>
          </cell>
          <cell r="F474">
            <v>44986</v>
          </cell>
          <cell r="G474">
            <v>45008</v>
          </cell>
          <cell r="H474">
            <v>0.83263888888888893</v>
          </cell>
          <cell r="I474">
            <v>0.32916666666666666</v>
          </cell>
          <cell r="J474">
            <v>10</v>
          </cell>
          <cell r="K474" t="str">
            <v>FCB-PROTOCOL-01</v>
          </cell>
          <cell r="L474" t="str">
            <v>CLN/DBR/137</v>
          </cell>
          <cell r="M474" t="str">
            <v>Y</v>
          </cell>
          <cell r="N474" t="str">
            <v>COSv4.2_CaBR(1Q-Unknown)</v>
          </cell>
          <cell r="O474" t="str">
            <v>Internal R&amp;D</v>
          </cell>
          <cell r="P474" t="str">
            <v>Q1 Passed</v>
          </cell>
          <cell r="Q474" t="str">
            <v>Q1 Passed</v>
          </cell>
          <cell r="R474" t="str">
            <v>Q1.5 Passed</v>
          </cell>
          <cell r="S474" t="str">
            <v>Q1.5 Passed</v>
          </cell>
          <cell r="V474" t="str">
            <v>2-40%</v>
          </cell>
          <cell r="W474" t="str">
            <v>Clinic'les</v>
          </cell>
          <cell r="X474" t="str">
            <v>Clinic'les- DBR &amp; SK Hospital, Tirupati</v>
          </cell>
          <cell r="Y474" t="str">
            <v>DBR &amp; SK Hospital, Tirupati</v>
          </cell>
          <cell r="Z474" t="str">
            <v>Dr C Jayaprakash, Tirupati</v>
          </cell>
          <cell r="AA474" t="str">
            <v>Ca Breast</v>
          </cell>
          <cell r="AB474" t="str">
            <v>NA</v>
          </cell>
          <cell r="AC474" t="str">
            <v>Breast</v>
          </cell>
          <cell r="AD474" t="str">
            <v>Right Breast</v>
          </cell>
          <cell r="AE474" t="str">
            <v>Female</v>
          </cell>
          <cell r="AF474">
            <v>82</v>
          </cell>
          <cell r="AG474" t="str">
            <v>N</v>
          </cell>
          <cell r="AH474">
            <v>4.5</v>
          </cell>
          <cell r="AI474" t="str">
            <v>Partha</v>
          </cell>
          <cell r="AJ474" t="str">
            <v>Surgery</v>
          </cell>
          <cell r="AK474" t="str">
            <v>Primary</v>
          </cell>
          <cell r="AN474" t="str">
            <v>IIb</v>
          </cell>
          <cell r="AO474">
            <v>2</v>
          </cell>
          <cell r="AP474" t="str">
            <v>pT2 N1 MX</v>
          </cell>
          <cell r="AV474">
            <v>45008</v>
          </cell>
          <cell r="AW474">
            <v>0.85</v>
          </cell>
          <cell r="AX474">
            <v>0.92847222222222225</v>
          </cell>
          <cell r="AY474">
            <v>7.8472222222222221E-2</v>
          </cell>
          <cell r="AZ474">
            <v>9.583333333333334E-2</v>
          </cell>
          <cell r="BA474">
            <v>0.42499999999999999</v>
          </cell>
          <cell r="BB474" t="str">
            <v>0.8*01.4/1.0*2.1
0.3*0.5/0.3*1.2</v>
          </cell>
          <cell r="BC474" t="str">
            <v>0.8*1.2/0.8*2.0
0.3*0.4*0.7</v>
          </cell>
          <cell r="BD474" t="str">
            <v>Manual</v>
          </cell>
          <cell r="BE474">
            <v>15</v>
          </cell>
          <cell r="BF474" t="str">
            <v>Biswajit</v>
          </cell>
          <cell r="BG474" t="str">
            <v>Y</v>
          </cell>
        </row>
        <row r="475">
          <cell r="A475" t="str">
            <v>FBR1Z230082</v>
          </cell>
          <cell r="B475">
            <v>230082</v>
          </cell>
          <cell r="C475" t="str">
            <v>R&amp;D</v>
          </cell>
          <cell r="D475">
            <v>45012</v>
          </cell>
          <cell r="E475">
            <v>0.61319444444444449</v>
          </cell>
          <cell r="F475">
            <v>44986</v>
          </cell>
          <cell r="G475">
            <v>45012</v>
          </cell>
          <cell r="H475">
            <v>0.67013888888888884</v>
          </cell>
          <cell r="I475">
            <v>5.6944444444444443E-2</v>
          </cell>
          <cell r="J475">
            <v>1</v>
          </cell>
          <cell r="K475" t="str">
            <v>FCB-PROTOCOL-01</v>
          </cell>
          <cell r="L475" t="str">
            <v>VYD/BPY/001</v>
          </cell>
          <cell r="M475" t="str">
            <v>Y</v>
          </cell>
          <cell r="N475" t="str">
            <v>CT+LD Nivo -NLD study (1Z)</v>
          </cell>
          <cell r="O475" t="str">
            <v>Internal R&amp;D</v>
          </cell>
          <cell r="P475" t="str">
            <v>Q1 Passed</v>
          </cell>
          <cell r="Q475" t="str">
            <v>Q1 Passed</v>
          </cell>
          <cell r="R475" t="str">
            <v>Q1.5 Passed</v>
          </cell>
          <cell r="S475" t="str">
            <v>Q1.5 Passed</v>
          </cell>
          <cell r="V475" t="str">
            <v>0-90%</v>
          </cell>
          <cell r="W475" t="str">
            <v>Private Hospital</v>
          </cell>
          <cell r="X475" t="str">
            <v>Vydehi Hospital, Bangalore</v>
          </cell>
          <cell r="Y475" t="str">
            <v>Vydehi Hospital, Bangalore</v>
          </cell>
          <cell r="Z475" t="str">
            <v>Dr Amritha Prabha, Bangalore</v>
          </cell>
          <cell r="AA475" t="str">
            <v>HNSCC</v>
          </cell>
          <cell r="AC475" t="str">
            <v>Neck</v>
          </cell>
          <cell r="AD475" t="str">
            <v>Right side neck skin nodule</v>
          </cell>
          <cell r="AE475" t="str">
            <v>Male</v>
          </cell>
          <cell r="AF475">
            <v>46</v>
          </cell>
          <cell r="AG475" t="str">
            <v>N</v>
          </cell>
          <cell r="AH475">
            <v>4.8</v>
          </cell>
          <cell r="AI475" t="str">
            <v>Maruthi</v>
          </cell>
          <cell r="AJ475" t="str">
            <v>Biopsy</v>
          </cell>
          <cell r="AK475" t="str">
            <v>Local Recurrent</v>
          </cell>
          <cell r="AL475" t="str">
            <v>Surgery+Chemotherapy+Radiotherapy</v>
          </cell>
          <cell r="AN475" t="str">
            <v>IV</v>
          </cell>
          <cell r="AO475">
            <v>2</v>
          </cell>
          <cell r="AP475" t="str">
            <v>cT4aN3M1</v>
          </cell>
          <cell r="AV475">
            <v>45012</v>
          </cell>
          <cell r="AW475">
            <v>0.68611111111111112</v>
          </cell>
          <cell r="AX475">
            <v>0.76111111111111107</v>
          </cell>
          <cell r="AY475">
            <v>7.4999999999999997E-2</v>
          </cell>
          <cell r="AZ475">
            <v>9.0972222222222218E-2</v>
          </cell>
          <cell r="BA475">
            <v>0.14791666666666667</v>
          </cell>
          <cell r="BB475" t="str">
            <v>0.4*10*1.4
0.6*1.2*1.2
0.4*1.0*0.8</v>
          </cell>
          <cell r="BC475" t="str">
            <v>0.2*0.6*1.2
0.3*0.4*1.0
0.1*0.4*0.8
0.2*0.6*0.8</v>
          </cell>
          <cell r="BD475" t="str">
            <v>Manual</v>
          </cell>
          <cell r="BE475">
            <v>15</v>
          </cell>
          <cell r="BF475" t="str">
            <v>Kowshik</v>
          </cell>
          <cell r="BG475" t="str">
            <v>Y</v>
          </cell>
        </row>
        <row r="476">
          <cell r="A476" t="str">
            <v>FBR1Y230083</v>
          </cell>
          <cell r="B476">
            <v>230083</v>
          </cell>
          <cell r="C476" t="str">
            <v>R&amp;D</v>
          </cell>
          <cell r="D476">
            <v>45012</v>
          </cell>
          <cell r="E476">
            <v>0.97986111111111107</v>
          </cell>
          <cell r="F476">
            <v>44986</v>
          </cell>
          <cell r="G476">
            <v>45013</v>
          </cell>
          <cell r="H476">
            <v>1.0291666666666666</v>
          </cell>
          <cell r="I476">
            <v>4.9305555555555554E-2</v>
          </cell>
          <cell r="J476">
            <v>4</v>
          </cell>
          <cell r="K476" t="str">
            <v>FCB-PROTOCOL-01</v>
          </cell>
          <cell r="L476" t="str">
            <v>CLN/PRA/200</v>
          </cell>
          <cell r="M476" t="str">
            <v>Y</v>
          </cell>
          <cell r="N476" t="str">
            <v>CCS Study (1Y)</v>
          </cell>
          <cell r="O476" t="str">
            <v>Internal R&amp;D</v>
          </cell>
          <cell r="P476" t="str">
            <v>Q1 Passed</v>
          </cell>
          <cell r="Q476" t="str">
            <v>Q1 Passed</v>
          </cell>
          <cell r="R476" t="str">
            <v>Q1.5 Passed</v>
          </cell>
          <cell r="S476" t="str">
            <v>Q1.5 Passed</v>
          </cell>
          <cell r="V476" t="str">
            <v>60-80%</v>
          </cell>
          <cell r="W476" t="str">
            <v>Private Hospital</v>
          </cell>
          <cell r="X476" t="str">
            <v>Dr Prakash BV, Bangalore</v>
          </cell>
          <cell r="Y476" t="str">
            <v>Sri Lakshmi Hospital, Bangalore</v>
          </cell>
          <cell r="Z476" t="str">
            <v>Dr Prakash BV, Bangalore</v>
          </cell>
          <cell r="AA476" t="str">
            <v>HNSCC</v>
          </cell>
          <cell r="AC476" t="str">
            <v>RMT</v>
          </cell>
          <cell r="AD476" t="str">
            <v>Right RMT</v>
          </cell>
          <cell r="AE476" t="str">
            <v>Female</v>
          </cell>
          <cell r="AF476">
            <v>30</v>
          </cell>
          <cell r="AG476" t="str">
            <v>N</v>
          </cell>
          <cell r="AH476">
            <v>4.9000000000000004</v>
          </cell>
          <cell r="AI476" t="str">
            <v>Shashi</v>
          </cell>
          <cell r="AJ476" t="str">
            <v>Surgery</v>
          </cell>
          <cell r="AK476" t="str">
            <v>Primary</v>
          </cell>
          <cell r="AV476">
            <v>45013</v>
          </cell>
          <cell r="AW476">
            <v>0.35416666666666669</v>
          </cell>
          <cell r="AX476">
            <v>0.49027777777777776</v>
          </cell>
          <cell r="AY476">
            <v>0.1361111111111111</v>
          </cell>
          <cell r="AZ47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7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76" t="str">
            <v>1.0*1.2*1.2</v>
          </cell>
          <cell r="BC476" t="str">
            <v>1.0*1.2*1.2</v>
          </cell>
          <cell r="BD476" t="str">
            <v>Vibratome</v>
          </cell>
          <cell r="BE476">
            <v>15</v>
          </cell>
          <cell r="BF476" t="str">
            <v>Syam</v>
          </cell>
          <cell r="BG476" t="str">
            <v>Y</v>
          </cell>
        </row>
        <row r="477">
          <cell r="A477">
            <v>230084</v>
          </cell>
          <cell r="B477">
            <v>230084</v>
          </cell>
          <cell r="C477" t="str">
            <v>R&amp;D</v>
          </cell>
          <cell r="D477">
            <v>45013</v>
          </cell>
          <cell r="E477">
            <v>0.47499999999999998</v>
          </cell>
          <cell r="F477">
            <v>44986</v>
          </cell>
          <cell r="G477">
            <v>45013</v>
          </cell>
          <cell r="H477">
            <v>0.54305555555555551</v>
          </cell>
          <cell r="I477">
            <v>6.805555555555555E-2</v>
          </cell>
          <cell r="J477">
            <v>1</v>
          </cell>
          <cell r="K477" t="str">
            <v>FCB-PROTOCOL-01</v>
          </cell>
          <cell r="L477" t="str">
            <v>VYD/156</v>
          </cell>
          <cell r="M477" t="str">
            <v>Y</v>
          </cell>
          <cell r="N477" t="str">
            <v>No Study</v>
          </cell>
          <cell r="O477" t="str">
            <v>1st level attrition</v>
          </cell>
          <cell r="P477" t="str">
            <v>Q1 Rejected</v>
          </cell>
          <cell r="Q477" t="str">
            <v>Q1 Passed</v>
          </cell>
          <cell r="R477" t="str">
            <v>Q1.5 Rejected</v>
          </cell>
          <cell r="S477" t="str">
            <v>Q1.5 Rejected</v>
          </cell>
          <cell r="T477" t="str">
            <v>Fully fat</v>
          </cell>
          <cell r="W477" t="str">
            <v>Private Hospital</v>
          </cell>
          <cell r="X477" t="str">
            <v>Vydehi Hospital, Bangalore</v>
          </cell>
          <cell r="Y477" t="str">
            <v>Vydehi Hospital, Bangalore</v>
          </cell>
          <cell r="Z477" t="str">
            <v>Dr Amritha Prabha, Bangalore</v>
          </cell>
          <cell r="AA477" t="str">
            <v>Ca Breast</v>
          </cell>
          <cell r="AB477" t="str">
            <v>TNBC</v>
          </cell>
          <cell r="AC477" t="str">
            <v>Breast</v>
          </cell>
          <cell r="AD477" t="str">
            <v>Left Breast</v>
          </cell>
          <cell r="AE477" t="str">
            <v>Female</v>
          </cell>
          <cell r="AF477">
            <v>45</v>
          </cell>
          <cell r="AG477" t="str">
            <v>N</v>
          </cell>
          <cell r="AH477">
            <v>4.5</v>
          </cell>
          <cell r="AI477" t="str">
            <v>Kalappa</v>
          </cell>
          <cell r="AJ477" t="str">
            <v>Surgery</v>
          </cell>
          <cell r="AK477" t="str">
            <v>Primary</v>
          </cell>
          <cell r="AL477" t="str">
            <v>Chemotherapy</v>
          </cell>
          <cell r="AN477" t="str">
            <v>Ia</v>
          </cell>
          <cell r="AO477">
            <v>2</v>
          </cell>
          <cell r="AP477" t="str">
            <v>pT1cN0</v>
          </cell>
          <cell r="AR477" t="str">
            <v>4AC+4Pacli</v>
          </cell>
          <cell r="AV477">
            <v>45013</v>
          </cell>
          <cell r="AW477">
            <v>0.625</v>
          </cell>
          <cell r="AY47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47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7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77" t="str">
            <v xml:space="preserve">0.6*1.6*1.8
</v>
          </cell>
          <cell r="BC477" t="str">
            <v>0.6*1.2/0.7*1.5</v>
          </cell>
          <cell r="BE477">
            <v>15</v>
          </cell>
        </row>
        <row r="478">
          <cell r="A478" t="str">
            <v>FBR1W230085</v>
          </cell>
          <cell r="B478">
            <v>230085</v>
          </cell>
          <cell r="C478" t="str">
            <v>R&amp;D</v>
          </cell>
          <cell r="D478">
            <v>45013</v>
          </cell>
          <cell r="E478">
            <v>0.63888888888888884</v>
          </cell>
          <cell r="F478">
            <v>44986</v>
          </cell>
          <cell r="G478">
            <v>45013</v>
          </cell>
          <cell r="H478">
            <v>0.71180555555555558</v>
          </cell>
          <cell r="I478">
            <v>7.2916666666666671E-2</v>
          </cell>
          <cell r="J478">
            <v>0</v>
          </cell>
          <cell r="K478" t="str">
            <v>FCB-PROTOCOL-02</v>
          </cell>
          <cell r="L478" t="str">
            <v>BC011</v>
          </cell>
          <cell r="M478" t="str">
            <v>Y</v>
          </cell>
          <cell r="N478" t="str">
            <v>Biopsy Cabr-BSS (1W)</v>
          </cell>
          <cell r="O478" t="str">
            <v>Internal R&amp;D</v>
          </cell>
          <cell r="P478" t="str">
            <v>Q1 Passed</v>
          </cell>
          <cell r="Q478" t="str">
            <v>Q1 Passed</v>
          </cell>
          <cell r="R478" t="str">
            <v>Q1.5 Passed</v>
          </cell>
          <cell r="S478" t="str">
            <v>Q1.5 Passed</v>
          </cell>
          <cell r="U478" t="str">
            <v>TNPC</v>
          </cell>
          <cell r="V478" t="str">
            <v>15-85%, 6/7 explants</v>
          </cell>
          <cell r="W478" t="str">
            <v>Private Hospital</v>
          </cell>
          <cell r="X478" t="str">
            <v>Mazumdar Shaw Medical Centre, Bangalore</v>
          </cell>
          <cell r="Y478" t="str">
            <v>Mazumdar Shaw Medical Centre, Bangalore</v>
          </cell>
          <cell r="Z478" t="str">
            <v>Dr Akshita Singh</v>
          </cell>
          <cell r="AA478" t="str">
            <v>Ca Breast</v>
          </cell>
          <cell r="AB478" t="str">
            <v>TNBC</v>
          </cell>
          <cell r="AC478" t="str">
            <v>Breast</v>
          </cell>
          <cell r="AD478" t="str">
            <v>Right Breast</v>
          </cell>
          <cell r="AE478" t="str">
            <v>Female</v>
          </cell>
          <cell r="AF478">
            <v>54</v>
          </cell>
          <cell r="AG478" t="str">
            <v>N</v>
          </cell>
          <cell r="AH478">
            <v>3.5</v>
          </cell>
          <cell r="AI478" t="str">
            <v>Shashi</v>
          </cell>
          <cell r="AJ478" t="str">
            <v>Biopsy</v>
          </cell>
          <cell r="AK478" t="str">
            <v>Primary</v>
          </cell>
          <cell r="AS478" t="str">
            <v>Invasive Breast Carcinoma</v>
          </cell>
          <cell r="AV478">
            <v>45013</v>
          </cell>
          <cell r="AW478">
            <v>0.75486111111111109</v>
          </cell>
          <cell r="AX478">
            <v>0.81180555555555556</v>
          </cell>
          <cell r="AY478">
            <v>5.6944444444444443E-2</v>
          </cell>
          <cell r="AZ478">
            <v>0.1</v>
          </cell>
          <cell r="BA478">
            <v>0.17291666666666666</v>
          </cell>
          <cell r="BB478" t="str">
            <v>9mm to 17mm
4core</v>
          </cell>
          <cell r="BC478" t="str">
            <v>9mm to 17mm
4core</v>
          </cell>
          <cell r="BD478" t="str">
            <v>Manual</v>
          </cell>
          <cell r="BE478">
            <v>15</v>
          </cell>
          <cell r="BF478" t="str">
            <v>Mounish</v>
          </cell>
          <cell r="BG478" t="str">
            <v>Y</v>
          </cell>
        </row>
        <row r="479">
          <cell r="A479" t="str">
            <v>FBR1W230086</v>
          </cell>
          <cell r="B479">
            <v>230086</v>
          </cell>
          <cell r="C479" t="str">
            <v>R&amp;D</v>
          </cell>
          <cell r="D479">
            <v>45014</v>
          </cell>
          <cell r="E479">
            <v>0.52430555555555558</v>
          </cell>
          <cell r="F479">
            <v>44986</v>
          </cell>
          <cell r="G479">
            <v>45014</v>
          </cell>
          <cell r="H479">
            <v>0.59861111111111109</v>
          </cell>
          <cell r="I479">
            <v>7.4305555555555555E-2</v>
          </cell>
          <cell r="J479">
            <v>2</v>
          </cell>
          <cell r="K479" t="str">
            <v>FCB-PROTOCOL-01</v>
          </cell>
          <cell r="L479" t="str">
            <v>VYD/157</v>
          </cell>
          <cell r="M479" t="str">
            <v>Y</v>
          </cell>
          <cell r="N479" t="str">
            <v>Biopsy Cabr-BSS (1W)</v>
          </cell>
          <cell r="O479" t="str">
            <v>Internal R&amp;D</v>
          </cell>
          <cell r="P479" t="str">
            <v>Q1 Passed</v>
          </cell>
          <cell r="Q479" t="str">
            <v>Q1 Passed</v>
          </cell>
          <cell r="R479" t="str">
            <v>Q1.5 Passed</v>
          </cell>
          <cell r="S479" t="str">
            <v>Q1.5 Passed</v>
          </cell>
          <cell r="V479" t="str">
            <v xml:space="preserve">0-5% </v>
          </cell>
          <cell r="W479" t="str">
            <v>Private Hospital</v>
          </cell>
          <cell r="X479" t="str">
            <v>Vydehi Hospital, Bangalore</v>
          </cell>
          <cell r="Y479" t="str">
            <v>Vydehi Hospital, Bangalore</v>
          </cell>
          <cell r="Z479" t="str">
            <v>Dr Amritha Prabha, Bangalore</v>
          </cell>
          <cell r="AA479" t="str">
            <v>Ca Breast</v>
          </cell>
          <cell r="AC479" t="str">
            <v>Breast</v>
          </cell>
          <cell r="AD479" t="str">
            <v>Left Breast</v>
          </cell>
          <cell r="AE479" t="str">
            <v>Female</v>
          </cell>
          <cell r="AF479">
            <v>28</v>
          </cell>
          <cell r="AG479" t="str">
            <v>N</v>
          </cell>
          <cell r="AH479">
            <v>4.8</v>
          </cell>
          <cell r="AI479" t="str">
            <v>Maruthi</v>
          </cell>
          <cell r="AJ479" t="str">
            <v>Biopsy</v>
          </cell>
          <cell r="AK479" t="str">
            <v>Primary</v>
          </cell>
          <cell r="AV479">
            <v>45014</v>
          </cell>
          <cell r="AW479">
            <v>0.67013888888888884</v>
          </cell>
          <cell r="AX479">
            <v>0.71527777777777779</v>
          </cell>
          <cell r="AY479">
            <v>4.5138888888888888E-2</v>
          </cell>
          <cell r="AZ479">
            <v>0.11666666666666667</v>
          </cell>
          <cell r="BA479">
            <v>0.19097222222222221</v>
          </cell>
          <cell r="BB479" t="str">
            <v>0.1*0.085*1.2
0.1*0.1*1.2
0.1*0.085*1.5</v>
          </cell>
          <cell r="BC479" t="str">
            <v>0.1*0.085*1.2
0.1*0.1*1.2
0.1*0.085*1.5</v>
          </cell>
          <cell r="BD479" t="str">
            <v>Manual</v>
          </cell>
          <cell r="BE479">
            <v>15</v>
          </cell>
          <cell r="BF479" t="str">
            <v>Dharani</v>
          </cell>
          <cell r="BG479" t="str">
            <v>Y</v>
          </cell>
        </row>
        <row r="480">
          <cell r="A480" t="str">
            <v>FBR1A230087</v>
          </cell>
          <cell r="B480">
            <v>230087</v>
          </cell>
          <cell r="C480" t="str">
            <v>R&amp;D</v>
          </cell>
          <cell r="D480">
            <v>45014</v>
          </cell>
          <cell r="E480">
            <v>0.4201388888888889</v>
          </cell>
          <cell r="F480">
            <v>44986</v>
          </cell>
          <cell r="G480">
            <v>45014</v>
          </cell>
          <cell r="H480">
            <v>0.6381944444444444</v>
          </cell>
          <cell r="I480">
            <v>0.21805555555555556</v>
          </cell>
          <cell r="J480">
            <v>5</v>
          </cell>
          <cell r="K480" t="str">
            <v>FCB-PROTOCOL-01</v>
          </cell>
          <cell r="L480" t="str">
            <v>CLN/JSS/019</v>
          </cell>
          <cell r="M480" t="str">
            <v>Y</v>
          </cell>
          <cell r="N480" t="str">
            <v>Other Indication</v>
          </cell>
          <cell r="O480" t="str">
            <v>Internal R&amp;D</v>
          </cell>
          <cell r="P480" t="str">
            <v>Q1 Passed</v>
          </cell>
          <cell r="Q480" t="str">
            <v>Q1 Passed</v>
          </cell>
          <cell r="R480" t="str">
            <v>Q1.5 Passed</v>
          </cell>
          <cell r="S480" t="str">
            <v>Q1.5 Rejected</v>
          </cell>
          <cell r="V480" t="str">
            <v>No Tumor</v>
          </cell>
          <cell r="W480" t="str">
            <v>Clinic'les</v>
          </cell>
          <cell r="X480" t="str">
            <v>Clinic'les- Dr Ravi Krishnappa, Mysore</v>
          </cell>
          <cell r="Y480" t="str">
            <v>JSS Hospital, Mysore</v>
          </cell>
          <cell r="Z480" t="str">
            <v>Dr Ravi Krishnappa, Mysore</v>
          </cell>
          <cell r="AA480" t="str">
            <v>Ca Ovary</v>
          </cell>
          <cell r="AC480" t="str">
            <v>Ovary</v>
          </cell>
          <cell r="AD480" t="str">
            <v>Right Ovary</v>
          </cell>
          <cell r="AE480" t="str">
            <v>Female</v>
          </cell>
          <cell r="AF480">
            <v>45</v>
          </cell>
          <cell r="AG480" t="str">
            <v>N</v>
          </cell>
          <cell r="AH480">
            <v>5.7</v>
          </cell>
          <cell r="AI480" t="str">
            <v>Kalappa</v>
          </cell>
          <cell r="AJ480" t="str">
            <v>Surgery</v>
          </cell>
          <cell r="AK480" t="str">
            <v>Primary</v>
          </cell>
          <cell r="AL480" t="str">
            <v>Chemotherapy</v>
          </cell>
          <cell r="AQ480">
            <v>6</v>
          </cell>
          <cell r="AR480" t="str">
            <v>Pclitaxel and Carboplatin</v>
          </cell>
          <cell r="AV480">
            <v>45014</v>
          </cell>
          <cell r="AW480">
            <v>0.6694444444444444</v>
          </cell>
          <cell r="AX480">
            <v>0.7729166666666667</v>
          </cell>
          <cell r="AY480">
            <v>0.10347222222222222</v>
          </cell>
          <cell r="AZ480">
            <v>0.13472222222222222</v>
          </cell>
          <cell r="BA480">
            <v>0.3527777777777778</v>
          </cell>
          <cell r="BB480" t="str">
            <v>0.3*1.2*2.1
0.5*2.5/3.2*3.6/3.2</v>
          </cell>
          <cell r="BC480" t="str">
            <v>0.3*1.2*2.1
0.4*0.6/1.0*1.0/1.6
0.4*1.8/2.0*3.0/2.4</v>
          </cell>
          <cell r="BD480" t="str">
            <v>Manual</v>
          </cell>
          <cell r="BE480">
            <v>15</v>
          </cell>
          <cell r="BF480" t="str">
            <v>Mounish</v>
          </cell>
          <cell r="BG480" t="str">
            <v>Y</v>
          </cell>
        </row>
        <row r="481">
          <cell r="A481" t="str">
            <v>FBR1A230088</v>
          </cell>
          <cell r="B481">
            <v>230088</v>
          </cell>
          <cell r="C481" t="str">
            <v>R&amp;D</v>
          </cell>
          <cell r="D481">
            <v>45015</v>
          </cell>
          <cell r="E481">
            <v>0.61805555555555558</v>
          </cell>
          <cell r="F481">
            <v>44986</v>
          </cell>
          <cell r="G481">
            <v>45015</v>
          </cell>
          <cell r="H481">
            <v>0.72847222222222219</v>
          </cell>
          <cell r="I481">
            <v>0.11041666666666666</v>
          </cell>
          <cell r="J481">
            <v>70</v>
          </cell>
          <cell r="K481" t="str">
            <v>FCB-PROTOCOL-02</v>
          </cell>
          <cell r="L481" t="str">
            <v>OC009</v>
          </cell>
          <cell r="M481" t="str">
            <v>Y</v>
          </cell>
          <cell r="N481" t="str">
            <v>Other Indication</v>
          </cell>
          <cell r="O481" t="str">
            <v>Internal R&amp;D</v>
          </cell>
          <cell r="P481" t="str">
            <v>Q1 Passed</v>
          </cell>
          <cell r="Q481" t="str">
            <v>Q1 Passed</v>
          </cell>
          <cell r="R481" t="str">
            <v>Q1.5 Passed</v>
          </cell>
          <cell r="S481" t="str">
            <v>Q1.5 Rejected</v>
          </cell>
          <cell r="U481" t="str">
            <v>Y</v>
          </cell>
          <cell r="V481" t="str">
            <v>No Tumor</v>
          </cell>
          <cell r="W481" t="str">
            <v>Private Hospital</v>
          </cell>
          <cell r="X481" t="str">
            <v>Mazumdar Shaw Medical Centre, Bangalore</v>
          </cell>
          <cell r="Y481" t="str">
            <v>Mazumdar Shaw Medical Centre, Bangalore</v>
          </cell>
          <cell r="Z481" t="str">
            <v>Dr Rohit Ranade, Bangalore</v>
          </cell>
          <cell r="AA481" t="str">
            <v>Ca Ovary</v>
          </cell>
          <cell r="AC481" t="str">
            <v>Ovary</v>
          </cell>
          <cell r="AD481" t="str">
            <v>Right Ovary</v>
          </cell>
          <cell r="AE481" t="str">
            <v>Female</v>
          </cell>
          <cell r="AF481">
            <v>49</v>
          </cell>
          <cell r="AG481" t="str">
            <v>N</v>
          </cell>
          <cell r="AH481">
            <v>5.0999999999999996</v>
          </cell>
          <cell r="AI481" t="str">
            <v>Shashi</v>
          </cell>
          <cell r="AJ481" t="str">
            <v>Surgery</v>
          </cell>
          <cell r="AK481" t="str">
            <v>Primary</v>
          </cell>
          <cell r="AV481">
            <v>45015</v>
          </cell>
          <cell r="AW481">
            <v>0.76458333333333328</v>
          </cell>
          <cell r="AX481">
            <v>0.86458333333333337</v>
          </cell>
          <cell r="AY481">
            <v>0.1</v>
          </cell>
          <cell r="AZ481">
            <v>0.1361111111111111</v>
          </cell>
          <cell r="BA481">
            <v>0.24652777777777779</v>
          </cell>
          <cell r="BB481" t="str">
            <v>0.2/0.8*1.6*3.2</v>
          </cell>
          <cell r="BC481" t="str">
            <v>0.2/0.8*1.6*3.2</v>
          </cell>
          <cell r="BD481" t="str">
            <v>Manual</v>
          </cell>
          <cell r="BE481">
            <v>15</v>
          </cell>
          <cell r="BF481" t="str">
            <v>Syam</v>
          </cell>
          <cell r="BG481" t="str">
            <v>Y</v>
          </cell>
        </row>
        <row r="482">
          <cell r="A482" t="str">
            <v>FBR1R230089</v>
          </cell>
          <cell r="B482">
            <v>230089</v>
          </cell>
          <cell r="C482" t="str">
            <v>R&amp;D</v>
          </cell>
          <cell r="D482">
            <v>45015</v>
          </cell>
          <cell r="E482">
            <v>0.625</v>
          </cell>
          <cell r="F482">
            <v>44986</v>
          </cell>
          <cell r="G482">
            <v>45015</v>
          </cell>
          <cell r="H482">
            <v>0.72847222222222219</v>
          </cell>
          <cell r="I482">
            <v>0.10347222222222222</v>
          </cell>
          <cell r="J482">
            <v>15</v>
          </cell>
          <cell r="K482" t="str">
            <v>FCB-PROTOCOL-02</v>
          </cell>
          <cell r="L482" t="str">
            <v>HN049</v>
          </cell>
          <cell r="M482" t="str">
            <v>Y</v>
          </cell>
          <cell r="N482" t="str">
            <v>BSS(1R)</v>
          </cell>
          <cell r="O482" t="str">
            <v>Internal R&amp;D</v>
          </cell>
          <cell r="P482" t="str">
            <v>Q1 Passed</v>
          </cell>
          <cell r="Q482" t="str">
            <v>Q1 Passed</v>
          </cell>
          <cell r="R482" t="str">
            <v>Q1.5 Passed</v>
          </cell>
          <cell r="S482" t="str">
            <v>Q1.5 Passed</v>
          </cell>
          <cell r="V482" t="str">
            <v>Tumor content 20-80% Some explants without tumor</v>
          </cell>
          <cell r="W482" t="str">
            <v>Private Hospital</v>
          </cell>
          <cell r="X482" t="str">
            <v>Mazumdar Shaw Medical Centre, Bangalore</v>
          </cell>
          <cell r="Y482" t="str">
            <v>Mazumdar Shaw Medical Centre, Bangalore</v>
          </cell>
          <cell r="Z482" t="str">
            <v>Dr Vijay Pillai, Bangalore</v>
          </cell>
          <cell r="AA482" t="str">
            <v>HNSCC</v>
          </cell>
          <cell r="AC482" t="str">
            <v>Lip+RMT</v>
          </cell>
          <cell r="AD482" t="str">
            <v>Lower Lip + RMT</v>
          </cell>
          <cell r="AE482" t="str">
            <v>Male</v>
          </cell>
          <cell r="AF482">
            <v>61</v>
          </cell>
          <cell r="AG482" t="str">
            <v>N</v>
          </cell>
          <cell r="AH482">
            <v>5.0999999999999996</v>
          </cell>
          <cell r="AI482" t="str">
            <v>Shashi</v>
          </cell>
          <cell r="AJ482" t="str">
            <v>Surgery</v>
          </cell>
          <cell r="AK482" t="str">
            <v>Primary</v>
          </cell>
          <cell r="AN482" t="str">
            <v>IV</v>
          </cell>
          <cell r="AO482">
            <v>1</v>
          </cell>
          <cell r="AP482" t="str">
            <v>pT4aN0</v>
          </cell>
          <cell r="AS482" t="str">
            <v>Well Differentiated squamous cell carcinoma</v>
          </cell>
          <cell r="AV482">
            <v>45015</v>
          </cell>
          <cell r="AW482">
            <v>0.74305555555555558</v>
          </cell>
          <cell r="AX482">
            <v>0.8041666666666667</v>
          </cell>
          <cell r="AY482">
            <v>6.1111111111111109E-2</v>
          </cell>
          <cell r="AZ482">
            <v>7.5694444444444439E-2</v>
          </cell>
          <cell r="BA482">
            <v>0.17916666666666667</v>
          </cell>
          <cell r="BB482" t="str">
            <v>0.4/0.3</v>
          </cell>
          <cell r="BC482" t="str">
            <v>0.4/0.3</v>
          </cell>
          <cell r="BD482" t="str">
            <v>Manual</v>
          </cell>
          <cell r="BE482">
            <v>15</v>
          </cell>
          <cell r="BF482" t="str">
            <v>Mounish</v>
          </cell>
          <cell r="BG482" t="str">
            <v>Y</v>
          </cell>
        </row>
        <row r="483">
          <cell r="A483" t="str">
            <v>FBR1M230090</v>
          </cell>
          <cell r="B483">
            <v>230090</v>
          </cell>
          <cell r="C483" t="str">
            <v>R&amp;D</v>
          </cell>
          <cell r="D483">
            <v>45015</v>
          </cell>
          <cell r="E483">
            <v>0.78263888888888888</v>
          </cell>
          <cell r="F483">
            <v>44986</v>
          </cell>
          <cell r="G483">
            <v>45015</v>
          </cell>
          <cell r="H483">
            <v>0.8125</v>
          </cell>
          <cell r="I483">
            <v>2.9861111111111113E-2</v>
          </cell>
          <cell r="J483">
            <v>1</v>
          </cell>
          <cell r="K483" t="str">
            <v>FCB-PROTOCOL-02</v>
          </cell>
          <cell r="L483" t="str">
            <v>RC022</v>
          </cell>
          <cell r="M483" t="str">
            <v>Y</v>
          </cell>
          <cell r="N483" t="str">
            <v>DMS_RCC(1M)</v>
          </cell>
          <cell r="O483" t="str">
            <v>Internal R&amp;D</v>
          </cell>
          <cell r="P483" t="str">
            <v>Q1 Passed</v>
          </cell>
          <cell r="Q483" t="str">
            <v>Q1 Passed</v>
          </cell>
          <cell r="R483" t="str">
            <v>Q1.5 Passed</v>
          </cell>
          <cell r="S483" t="str">
            <v>Q1.5 Rejected</v>
          </cell>
          <cell r="U483" t="str">
            <v>Y</v>
          </cell>
          <cell r="V483" t="str">
            <v>No tumor, tissue necrosed</v>
          </cell>
          <cell r="W483" t="str">
            <v>Private Hospital</v>
          </cell>
          <cell r="X483" t="str">
            <v>Mazumdar Shaw Medical Centre, Bangalore</v>
          </cell>
          <cell r="Y483" t="str">
            <v>Mazumdar Shaw Medical Centre, Bangalore</v>
          </cell>
          <cell r="Z483" t="str">
            <v>Dr Saurabh Bhargav, Bangalore</v>
          </cell>
          <cell r="AA483" t="str">
            <v>RCC</v>
          </cell>
          <cell r="AC483" t="str">
            <v>Kidney</v>
          </cell>
          <cell r="AD483" t="str">
            <v>Kidney</v>
          </cell>
          <cell r="AE483" t="str">
            <v>Male</v>
          </cell>
          <cell r="AF483">
            <v>41</v>
          </cell>
          <cell r="AG483" t="str">
            <v>N</v>
          </cell>
          <cell r="AH483">
            <v>4.8</v>
          </cell>
          <cell r="AI483" t="str">
            <v>Shashi</v>
          </cell>
          <cell r="AJ483" t="str">
            <v>Surgery</v>
          </cell>
          <cell r="AK483" t="str">
            <v>Primary</v>
          </cell>
          <cell r="AN483" t="str">
            <v>III</v>
          </cell>
          <cell r="AO483">
            <v>4</v>
          </cell>
          <cell r="AP483" t="str">
            <v xml:space="preserve"> pT3apNx</v>
          </cell>
          <cell r="AS483" t="str">
            <v>clear cell carcinoma</v>
          </cell>
          <cell r="AV483">
            <v>45015</v>
          </cell>
          <cell r="AW483">
            <v>0.84513888888888888</v>
          </cell>
          <cell r="AX483">
            <v>0.95138888888888884</v>
          </cell>
          <cell r="AY483">
            <v>0.10625</v>
          </cell>
          <cell r="AZ483">
            <v>0.1388888888888889</v>
          </cell>
          <cell r="BA483">
            <v>0.16875000000000001</v>
          </cell>
          <cell r="BB483" t="str">
            <v>1.6/1.2
1.2
0.6</v>
          </cell>
          <cell r="BC483" t="str">
            <v>1.6/1.2
1.2
0.6</v>
          </cell>
          <cell r="BD483" t="str">
            <v>Vibratome</v>
          </cell>
          <cell r="BE483">
            <v>15</v>
          </cell>
          <cell r="BF483" t="str">
            <v>Mounish</v>
          </cell>
          <cell r="BG483" t="str">
            <v>Y</v>
          </cell>
        </row>
        <row r="484">
          <cell r="A484" t="str">
            <v>FBR1Q230091</v>
          </cell>
          <cell r="B484">
            <v>230091</v>
          </cell>
          <cell r="C484" t="str">
            <v>R&amp;D</v>
          </cell>
          <cell r="D484">
            <v>45016</v>
          </cell>
          <cell r="E484">
            <v>0.48958333333333331</v>
          </cell>
          <cell r="F484">
            <v>44986</v>
          </cell>
          <cell r="G484">
            <v>45016</v>
          </cell>
          <cell r="H484">
            <v>0.85902777777777772</v>
          </cell>
          <cell r="I484">
            <v>0.36944444444444446</v>
          </cell>
          <cell r="J484">
            <v>10</v>
          </cell>
          <cell r="K484" t="str">
            <v>FCB-PROTOCOL-01</v>
          </cell>
          <cell r="L484" t="str">
            <v>CLN/DBR/138</v>
          </cell>
          <cell r="M484" t="str">
            <v>Y</v>
          </cell>
          <cell r="N484" t="str">
            <v>COSv4.2_CaBR(1Q-Unknown)</v>
          </cell>
          <cell r="O484" t="str">
            <v>Internal R&amp;D</v>
          </cell>
          <cell r="P484" t="str">
            <v>Q1 Passed</v>
          </cell>
          <cell r="Q484" t="str">
            <v>Q1 Passed</v>
          </cell>
          <cell r="R484" t="str">
            <v>Q1.5 Passed</v>
          </cell>
          <cell r="S484" t="str">
            <v>Q1.5 Passed</v>
          </cell>
          <cell r="V484" t="str">
            <v>2-40%</v>
          </cell>
          <cell r="W484" t="str">
            <v>Clinic'les</v>
          </cell>
          <cell r="X484" t="str">
            <v>Clinic'les- DBR &amp; SK Hospital, Tirupati</v>
          </cell>
          <cell r="Y484" t="str">
            <v>DBR &amp; SK Hospital, Tirupati</v>
          </cell>
          <cell r="Z484" t="str">
            <v>Dr C Jayaprakash, Tirupati</v>
          </cell>
          <cell r="AA484" t="str">
            <v>Ca Breast</v>
          </cell>
          <cell r="AB484" t="str">
            <v>Er(P)
Pr(P)
Her2(N)</v>
          </cell>
          <cell r="AC484" t="str">
            <v>Breast</v>
          </cell>
          <cell r="AD484" t="str">
            <v>Right Breast</v>
          </cell>
          <cell r="AE484" t="str">
            <v>Female</v>
          </cell>
          <cell r="AF484">
            <v>46</v>
          </cell>
          <cell r="AG484" t="str">
            <v>N</v>
          </cell>
          <cell r="AH484">
            <v>5.0999999999999996</v>
          </cell>
          <cell r="AI484" t="str">
            <v>Shashi</v>
          </cell>
          <cell r="AJ484" t="str">
            <v>Surgery</v>
          </cell>
          <cell r="AK484" t="str">
            <v>Primary</v>
          </cell>
          <cell r="AV484">
            <v>45016</v>
          </cell>
          <cell r="AW484">
            <v>0.88194444444444442</v>
          </cell>
          <cell r="AX484">
            <v>0.94791666666666663</v>
          </cell>
          <cell r="AY484">
            <v>6.5972222222222224E-2</v>
          </cell>
          <cell r="AZ484">
            <v>8.8888888888888892E-2</v>
          </cell>
          <cell r="BA484">
            <v>0.45833333333333331</v>
          </cell>
          <cell r="BB484" t="str">
            <v>0.4*1.2*2.2
0.6*1.4*2.8</v>
          </cell>
          <cell r="BC484" t="str">
            <v>0.4*1.2*2.0
0.6*1.0*1.9
0.8*1.4</v>
          </cell>
          <cell r="BD484" t="str">
            <v>Manual</v>
          </cell>
          <cell r="BE484">
            <v>15</v>
          </cell>
          <cell r="BF484" t="str">
            <v>Syam</v>
          </cell>
          <cell r="BG484" t="str">
            <v>Y</v>
          </cell>
        </row>
        <row r="485">
          <cell r="A485" t="str">
            <v>FBR1M230092</v>
          </cell>
          <cell r="B485">
            <v>230092</v>
          </cell>
          <cell r="C485" t="str">
            <v>R&amp;D</v>
          </cell>
          <cell r="D485">
            <v>45019</v>
          </cell>
          <cell r="E485">
            <v>0.4513888888888889</v>
          </cell>
          <cell r="F485">
            <v>45017</v>
          </cell>
          <cell r="G485">
            <v>45019</v>
          </cell>
          <cell r="H485">
            <v>0.55902777777777779</v>
          </cell>
          <cell r="I485">
            <v>0.1076388888888889</v>
          </cell>
          <cell r="J485">
            <v>0</v>
          </cell>
          <cell r="K485" t="str">
            <v>FCB-PROTOCOL-02</v>
          </cell>
          <cell r="L485" t="str">
            <v>RC023</v>
          </cell>
          <cell r="M485" t="str">
            <v>Y</v>
          </cell>
          <cell r="N485" t="str">
            <v>DMS_RCC(1M)</v>
          </cell>
          <cell r="O485" t="str">
            <v>Internal R&amp;D</v>
          </cell>
          <cell r="P485" t="str">
            <v>Q1 Passed</v>
          </cell>
          <cell r="Q485" t="str">
            <v>Q1 Passed</v>
          </cell>
          <cell r="R485" t="str">
            <v>Compromised</v>
          </cell>
          <cell r="S485" t="str">
            <v>Q1.5 Passed</v>
          </cell>
          <cell r="V485" t="str">
            <v>60-90%</v>
          </cell>
          <cell r="W485" t="str">
            <v>Private Hospital</v>
          </cell>
          <cell r="X485" t="str">
            <v>Mazumdar Shaw Medical Centre, Bangalore</v>
          </cell>
          <cell r="Y485" t="str">
            <v>Mazumdar Shaw Medical Centre, Bangalore</v>
          </cell>
          <cell r="Z485" t="str">
            <v>Dr Saurabh Bhargav, Bangalore</v>
          </cell>
          <cell r="AA485" t="str">
            <v>RCC</v>
          </cell>
          <cell r="AC485" t="str">
            <v>Renal</v>
          </cell>
          <cell r="AD485" t="str">
            <v>Left renal Mass</v>
          </cell>
          <cell r="AE485" t="str">
            <v>Male</v>
          </cell>
          <cell r="AF485">
            <v>55</v>
          </cell>
          <cell r="AG485" t="str">
            <v>N</v>
          </cell>
          <cell r="AH485">
            <v>5.0999999999999996</v>
          </cell>
          <cell r="AI485" t="str">
            <v>Shashi</v>
          </cell>
          <cell r="AJ485" t="str">
            <v>Surgery</v>
          </cell>
          <cell r="AK485" t="str">
            <v>Primary</v>
          </cell>
          <cell r="AN485" t="str">
            <v>II</v>
          </cell>
          <cell r="AO485">
            <v>2</v>
          </cell>
          <cell r="AP485" t="str">
            <v>pT2bNx</v>
          </cell>
          <cell r="AS485" t="str">
            <v>papillary renal cell carcinoma, Type 1</v>
          </cell>
          <cell r="AV485">
            <v>45019</v>
          </cell>
          <cell r="AW485">
            <v>0.5854166666666667</v>
          </cell>
          <cell r="AX485">
            <v>0.66666666666666663</v>
          </cell>
          <cell r="AY485">
            <v>8.1250000000000003E-2</v>
          </cell>
          <cell r="AZ485">
            <v>0.1076388888888889</v>
          </cell>
          <cell r="BA485">
            <v>0.21527777777777779</v>
          </cell>
          <cell r="BB485" t="str">
            <v>0.2*0.5/2.0*2.4
0.2*0.8/1.8*2.8</v>
          </cell>
          <cell r="BC485" t="str">
            <v>0.2*0.5/2.0*2.4
0.2*0.8/1.8*2.8</v>
          </cell>
          <cell r="BD485" t="str">
            <v>Manual</v>
          </cell>
          <cell r="BE485">
            <v>14</v>
          </cell>
          <cell r="BF485" t="str">
            <v>Dharani</v>
          </cell>
          <cell r="BG485" t="str">
            <v>Y</v>
          </cell>
        </row>
        <row r="486">
          <cell r="A486" t="str">
            <v>FBR1M230093</v>
          </cell>
          <cell r="B486">
            <v>230093</v>
          </cell>
          <cell r="C486" t="str">
            <v>R&amp;D</v>
          </cell>
          <cell r="D486">
            <v>45019</v>
          </cell>
          <cell r="E486">
            <v>0.49861111111111112</v>
          </cell>
          <cell r="F486">
            <v>45017</v>
          </cell>
          <cell r="G486">
            <v>45019</v>
          </cell>
          <cell r="H486">
            <v>0.5805555555555556</v>
          </cell>
          <cell r="I486">
            <v>8.1944444444444445E-2</v>
          </cell>
          <cell r="J486">
            <v>2</v>
          </cell>
          <cell r="K486" t="str">
            <v>FCB-PROTOCOL-01</v>
          </cell>
          <cell r="L486" t="str">
            <v>VYD/158</v>
          </cell>
          <cell r="M486" t="str">
            <v>Y</v>
          </cell>
          <cell r="N486" t="str">
            <v>DMS_RCC(1M)</v>
          </cell>
          <cell r="O486" t="str">
            <v>Internal R&amp;D</v>
          </cell>
          <cell r="P486" t="str">
            <v>Q1 Passed</v>
          </cell>
          <cell r="Q486" t="str">
            <v>Q1 Passed</v>
          </cell>
          <cell r="R486" t="str">
            <v>Q1.5 Passed</v>
          </cell>
          <cell r="S486" t="str">
            <v>Q1.5 Passed</v>
          </cell>
          <cell r="V486" t="str">
            <v>0-90%</v>
          </cell>
          <cell r="W486" t="str">
            <v>Private Hospital</v>
          </cell>
          <cell r="X486" t="str">
            <v>Vydehi Hospital, Bangalore</v>
          </cell>
          <cell r="Y486" t="str">
            <v>Vydehi Hospital, Bangalore</v>
          </cell>
          <cell r="Z486" t="str">
            <v>Dr Amritha Prabha, Bangalore</v>
          </cell>
          <cell r="AA486" t="str">
            <v>RCC</v>
          </cell>
          <cell r="AC486" t="str">
            <v>Kidney</v>
          </cell>
          <cell r="AD486" t="str">
            <v>Right Kidney</v>
          </cell>
          <cell r="AE486" t="str">
            <v>Male</v>
          </cell>
          <cell r="AF486">
            <v>30</v>
          </cell>
          <cell r="AG486" t="str">
            <v>N</v>
          </cell>
          <cell r="AH486">
            <v>5.4</v>
          </cell>
          <cell r="AI486" t="str">
            <v>Partha</v>
          </cell>
          <cell r="AJ486" t="str">
            <v>Surgery</v>
          </cell>
          <cell r="AK486" t="str">
            <v>Primary</v>
          </cell>
          <cell r="AN486" t="str">
            <v>IV</v>
          </cell>
          <cell r="AO486">
            <v>1</v>
          </cell>
          <cell r="AP486" t="str">
            <v>pT1aNx</v>
          </cell>
          <cell r="AV486">
            <v>45019</v>
          </cell>
          <cell r="AW486">
            <v>0.60416666666666663</v>
          </cell>
          <cell r="AX486">
            <v>0.73263888888888884</v>
          </cell>
          <cell r="AY486">
            <v>0.12847222222222221</v>
          </cell>
          <cell r="AZ486">
            <v>0.15208333333333332</v>
          </cell>
          <cell r="BA486">
            <v>0.23402777777777778</v>
          </cell>
          <cell r="BB486" t="str">
            <v>0.7*1.0*1.4</v>
          </cell>
          <cell r="BC486" t="str">
            <v>0.7*1.0*1.4</v>
          </cell>
          <cell r="BD486" t="str">
            <v>Vibratome</v>
          </cell>
          <cell r="BE486">
            <v>14</v>
          </cell>
          <cell r="BF486" t="str">
            <v>Pallavi</v>
          </cell>
          <cell r="BG486" t="str">
            <v>Y</v>
          </cell>
        </row>
        <row r="487">
          <cell r="A487" t="str">
            <v>FBR1Z230094</v>
          </cell>
          <cell r="B487">
            <v>230094</v>
          </cell>
          <cell r="C487" t="str">
            <v>R&amp;D</v>
          </cell>
          <cell r="D487">
            <v>45019</v>
          </cell>
          <cell r="E487">
            <v>0.60069444444444442</v>
          </cell>
          <cell r="F487">
            <v>45017</v>
          </cell>
          <cell r="G487">
            <v>45019</v>
          </cell>
          <cell r="H487">
            <v>0.66527777777777775</v>
          </cell>
          <cell r="I487">
            <v>6.458333333333334E-2</v>
          </cell>
          <cell r="J487">
            <v>2</v>
          </cell>
          <cell r="K487" t="str">
            <v>FCB-PROTOCOL-01</v>
          </cell>
          <cell r="L487" t="str">
            <v>CLN/PRA/201</v>
          </cell>
          <cell r="M487" t="str">
            <v>Y</v>
          </cell>
          <cell r="N487" t="str">
            <v>CT+LD Nivo -NLD study (1Z)</v>
          </cell>
          <cell r="O487" t="str">
            <v>Internal R&amp;D</v>
          </cell>
          <cell r="P487" t="str">
            <v>Q1 Passed</v>
          </cell>
          <cell r="Q487" t="str">
            <v>Q1 Passed</v>
          </cell>
          <cell r="R487" t="str">
            <v>Q1.5 Passed</v>
          </cell>
          <cell r="S487" t="str">
            <v>Q1.5 Passed</v>
          </cell>
          <cell r="V487" t="str">
            <v>0-90%</v>
          </cell>
          <cell r="W487" t="str">
            <v>Private Hospital</v>
          </cell>
          <cell r="X487" t="str">
            <v>Dr Prakash BV, Bangalore</v>
          </cell>
          <cell r="Y487" t="str">
            <v>Sri Lakshmi Hospital, Bangalore</v>
          </cell>
          <cell r="Z487" t="str">
            <v>Dr Prakash BV, Bangalore</v>
          </cell>
          <cell r="AA487" t="str">
            <v>HNSCC</v>
          </cell>
          <cell r="AC487" t="str">
            <v>Tongue</v>
          </cell>
          <cell r="AD487" t="str">
            <v>Tongue(Anterior)</v>
          </cell>
          <cell r="AE487" t="str">
            <v>Male</v>
          </cell>
          <cell r="AF487">
            <v>55</v>
          </cell>
          <cell r="AG487" t="str">
            <v>N</v>
          </cell>
          <cell r="AH487">
            <v>4.3</v>
          </cell>
          <cell r="AI487" t="str">
            <v>Kalappa</v>
          </cell>
          <cell r="AJ487" t="str">
            <v>Surgery</v>
          </cell>
          <cell r="AK487" t="str">
            <v>Primary</v>
          </cell>
          <cell r="AL487" t="str">
            <v>Chemotherapy</v>
          </cell>
          <cell r="AN487" t="str">
            <v>IV</v>
          </cell>
          <cell r="AO487">
            <v>3</v>
          </cell>
          <cell r="AP487" t="str">
            <v>pT4aN1M0</v>
          </cell>
          <cell r="AQ487">
            <v>3</v>
          </cell>
          <cell r="AR487" t="str">
            <v>Paclitaxel+Carboplatin</v>
          </cell>
          <cell r="AS487" t="str">
            <v>SCC</v>
          </cell>
          <cell r="AV487">
            <v>45019</v>
          </cell>
          <cell r="AW487">
            <v>0.67777777777777781</v>
          </cell>
          <cell r="AX487">
            <v>0.73958333333333337</v>
          </cell>
          <cell r="AY487">
            <v>6.1805555555555558E-2</v>
          </cell>
          <cell r="AZ487">
            <v>7.4305555555555555E-2</v>
          </cell>
          <cell r="BA487">
            <v>0.1388888888888889</v>
          </cell>
          <cell r="BB487" t="str">
            <v>0.5/0.6*1.0*1.8</v>
          </cell>
          <cell r="BC487" t="str">
            <v>0.5/0.6*1.0*1.8</v>
          </cell>
          <cell r="BD487" t="str">
            <v>Vibratome</v>
          </cell>
          <cell r="BE487">
            <v>14</v>
          </cell>
          <cell r="BF487" t="str">
            <v>Kowshik</v>
          </cell>
          <cell r="BG487" t="str">
            <v>Y</v>
          </cell>
        </row>
        <row r="488">
          <cell r="A488" t="str">
            <v>FBR1Q230095</v>
          </cell>
          <cell r="B488">
            <v>230095</v>
          </cell>
          <cell r="C488" t="str">
            <v>R&amp;D</v>
          </cell>
          <cell r="D488">
            <v>45020</v>
          </cell>
          <cell r="E488">
            <v>0.52916666666666667</v>
          </cell>
          <cell r="F488">
            <v>45017</v>
          </cell>
          <cell r="G488">
            <v>45020</v>
          </cell>
          <cell r="H488">
            <v>0.59791666666666665</v>
          </cell>
          <cell r="I488">
            <v>6.8750000000000006E-2</v>
          </cell>
          <cell r="J488">
            <v>6</v>
          </cell>
          <cell r="K488" t="str">
            <v>FCB-PROTOCOL-01</v>
          </cell>
          <cell r="L488" t="str">
            <v>VYD/159</v>
          </cell>
          <cell r="M488" t="str">
            <v>Y</v>
          </cell>
          <cell r="N488" t="str">
            <v>COSv4.1_CaBR(1Q-Known)</v>
          </cell>
          <cell r="O488" t="str">
            <v>Internal R&amp;D</v>
          </cell>
          <cell r="P488" t="str">
            <v>Q1 Passed</v>
          </cell>
          <cell r="Q488" t="str">
            <v>Q1 Passed</v>
          </cell>
          <cell r="R488" t="str">
            <v>Q1.5 Passed</v>
          </cell>
          <cell r="S488" t="str">
            <v>Q1.5 Passed</v>
          </cell>
          <cell r="V488" t="str">
            <v>0-70%</v>
          </cell>
          <cell r="W488" t="str">
            <v>Private Hospital</v>
          </cell>
          <cell r="X488" t="str">
            <v>Vydehi Hospital, Bangalore</v>
          </cell>
          <cell r="Y488" t="str">
            <v>Vydehi Hospital, Bangalore</v>
          </cell>
          <cell r="Z488" t="str">
            <v>Dr Amritha Prabha, Bangalore</v>
          </cell>
          <cell r="AA488" t="str">
            <v>Ca Breast</v>
          </cell>
          <cell r="AB488" t="str">
            <v>TNBC</v>
          </cell>
          <cell r="AC488" t="str">
            <v>Breast</v>
          </cell>
          <cell r="AD488" t="str">
            <v>Right Breast</v>
          </cell>
          <cell r="AE488" t="str">
            <v>Female</v>
          </cell>
          <cell r="AF488">
            <v>38</v>
          </cell>
          <cell r="AG488" t="str">
            <v>N</v>
          </cell>
          <cell r="AH488">
            <v>5.2</v>
          </cell>
          <cell r="AI488" t="str">
            <v>Kalappa</v>
          </cell>
          <cell r="AJ488" t="str">
            <v>Surgery</v>
          </cell>
          <cell r="AK488" t="str">
            <v>Primary</v>
          </cell>
          <cell r="AL488" t="str">
            <v>Chemotherapy</v>
          </cell>
          <cell r="AN488" t="str">
            <v>IIa</v>
          </cell>
          <cell r="AO488">
            <v>2</v>
          </cell>
          <cell r="AP488" t="str">
            <v>ypT2N0</v>
          </cell>
          <cell r="AR488" t="str">
            <v>4Ac + 4Paclitaxel</v>
          </cell>
          <cell r="AV488">
            <v>45020</v>
          </cell>
          <cell r="AW488">
            <v>0.66319444444444442</v>
          </cell>
          <cell r="AX488">
            <v>0.75694444444444442</v>
          </cell>
          <cell r="AY488">
            <v>9.375E-2</v>
          </cell>
          <cell r="AZ488">
            <v>0.15902777777777777</v>
          </cell>
          <cell r="BA488">
            <v>0.22777777777777777</v>
          </cell>
          <cell r="BB488" t="str">
            <v>1.2*2.2/1.4*3.4</v>
          </cell>
          <cell r="BC488" t="str">
            <v xml:space="preserve">1.2*1.4/1.2*2.6*2.2
</v>
          </cell>
          <cell r="BD488" t="str">
            <v>Manual</v>
          </cell>
          <cell r="BE488">
            <v>14</v>
          </cell>
          <cell r="BF488" t="str">
            <v>Dharani</v>
          </cell>
          <cell r="BG488" t="str">
            <v>Y</v>
          </cell>
        </row>
        <row r="489">
          <cell r="A489" t="str">
            <v>FBR1Z230096</v>
          </cell>
          <cell r="B489">
            <v>230096</v>
          </cell>
          <cell r="C489" t="str">
            <v>R&amp;D</v>
          </cell>
          <cell r="D489">
            <v>45022</v>
          </cell>
          <cell r="E489">
            <v>0.46875</v>
          </cell>
          <cell r="F489">
            <v>45017</v>
          </cell>
          <cell r="G489">
            <v>45022</v>
          </cell>
          <cell r="H489">
            <v>0.57777777777777772</v>
          </cell>
          <cell r="I489">
            <v>0.10902777777777778</v>
          </cell>
          <cell r="J489">
            <v>1</v>
          </cell>
          <cell r="K489" t="str">
            <v>FCB-PROTOCOL-01</v>
          </cell>
          <cell r="L489" t="str">
            <v>VYD/BPY/002</v>
          </cell>
          <cell r="M489" t="str">
            <v>Y</v>
          </cell>
          <cell r="N489" t="str">
            <v>CT+LD Nivo -NLD study (1Z)</v>
          </cell>
          <cell r="O489" t="str">
            <v>Internal R&amp;D</v>
          </cell>
          <cell r="P489" t="str">
            <v>Q1 Passed</v>
          </cell>
          <cell r="Q489" t="str">
            <v>Q1 Passed</v>
          </cell>
          <cell r="R489" t="str">
            <v>Q1.5 Passed</v>
          </cell>
          <cell r="S489" t="str">
            <v>Q1.5 Rejected</v>
          </cell>
          <cell r="V489" t="str">
            <v>Epithelial hyperplasia with inflammation, no frank tumor</v>
          </cell>
          <cell r="W489" t="str">
            <v>Private Hospital</v>
          </cell>
          <cell r="X489" t="str">
            <v>Vydehi Hospital, Bangalore</v>
          </cell>
          <cell r="Y489" t="str">
            <v>Vydehi Hospital, Bangalore</v>
          </cell>
          <cell r="Z489" t="str">
            <v>Dr Amritha Prabha, Bangalore</v>
          </cell>
          <cell r="AA489" t="str">
            <v>HNSCC</v>
          </cell>
          <cell r="AC489" t="str">
            <v>Mouth</v>
          </cell>
          <cell r="AD489" t="str">
            <v>Flore of mouth</v>
          </cell>
          <cell r="AE489" t="str">
            <v>Male</v>
          </cell>
          <cell r="AF489">
            <v>62</v>
          </cell>
          <cell r="AG489" t="str">
            <v>N</v>
          </cell>
          <cell r="AH489">
            <v>4.8</v>
          </cell>
          <cell r="AI489" t="str">
            <v>Kalappa</v>
          </cell>
          <cell r="AJ489" t="str">
            <v>Biopsy</v>
          </cell>
          <cell r="AK489" t="str">
            <v>Local Recurrent</v>
          </cell>
          <cell r="AL489" t="str">
            <v>Chemotherapy+Radiotherapy</v>
          </cell>
          <cell r="AV489">
            <v>45022</v>
          </cell>
          <cell r="AW489">
            <v>0.60624999999999996</v>
          </cell>
          <cell r="AX489">
            <v>0.6875</v>
          </cell>
          <cell r="AY489">
            <v>8.1250000000000003E-2</v>
          </cell>
          <cell r="AZ489">
            <v>0.10972222222222222</v>
          </cell>
          <cell r="BA489">
            <v>0.21875</v>
          </cell>
          <cell r="BB489" t="str">
            <v xml:space="preserve">0.2*0.1*0.8
</v>
          </cell>
          <cell r="BC489" t="str">
            <v xml:space="preserve">0.2*0.1*0.8
</v>
          </cell>
          <cell r="BD489" t="str">
            <v>Manual</v>
          </cell>
          <cell r="BE489">
            <v>14</v>
          </cell>
          <cell r="BF489" t="str">
            <v>Biswajit</v>
          </cell>
          <cell r="BG489" t="str">
            <v>Y</v>
          </cell>
        </row>
        <row r="490">
          <cell r="A490" t="str">
            <v>FBR1W230097</v>
          </cell>
          <cell r="B490">
            <v>230097</v>
          </cell>
          <cell r="C490" t="str">
            <v>R&amp;D</v>
          </cell>
          <cell r="D490">
            <v>45022</v>
          </cell>
          <cell r="E490">
            <v>0.48541666666666666</v>
          </cell>
          <cell r="F490">
            <v>45017</v>
          </cell>
          <cell r="G490">
            <v>45022</v>
          </cell>
          <cell r="H490">
            <v>0.57777777777777772</v>
          </cell>
          <cell r="I490">
            <v>9.2361111111111116E-2</v>
          </cell>
          <cell r="J490">
            <v>1</v>
          </cell>
          <cell r="K490" t="str">
            <v>FCB-PROTOCOL-01</v>
          </cell>
          <cell r="L490" t="str">
            <v>VYD/160</v>
          </cell>
          <cell r="M490" t="str">
            <v>Y</v>
          </cell>
          <cell r="N490" t="str">
            <v>Biopsy Cabr-BSS (1W)</v>
          </cell>
          <cell r="O490" t="str">
            <v>Internal R&amp;D</v>
          </cell>
          <cell r="P490" t="str">
            <v>Q1 Passed</v>
          </cell>
          <cell r="Q490" t="str">
            <v>Q1 Passed</v>
          </cell>
          <cell r="R490" t="str">
            <v>Q1.5 Passed</v>
          </cell>
          <cell r="S490" t="str">
            <v>Q1.5 Rejected</v>
          </cell>
          <cell r="V490" t="str">
            <v>Occasional cell seen suspicious for malignancy, no frank tumor</v>
          </cell>
          <cell r="W490" t="str">
            <v>Private Hospital</v>
          </cell>
          <cell r="X490" t="str">
            <v>Vydehi Hospital, Bangalore</v>
          </cell>
          <cell r="Y490" t="str">
            <v>Vydehi Hospital, Bangalore</v>
          </cell>
          <cell r="Z490" t="str">
            <v>Dr Amritha Prabha, Bangalore</v>
          </cell>
          <cell r="AA490" t="str">
            <v>Ca Breast</v>
          </cell>
          <cell r="AB490" t="str">
            <v>TNBC</v>
          </cell>
          <cell r="AC490" t="str">
            <v>Breast</v>
          </cell>
          <cell r="AD490" t="str">
            <v>Left Breast</v>
          </cell>
          <cell r="AE490" t="str">
            <v>Female</v>
          </cell>
          <cell r="AF490">
            <v>35</v>
          </cell>
          <cell r="AG490" t="str">
            <v>N</v>
          </cell>
          <cell r="AH490">
            <v>4.8</v>
          </cell>
          <cell r="AI490" t="str">
            <v>Kalappa</v>
          </cell>
          <cell r="AJ490" t="str">
            <v>Biopsy</v>
          </cell>
          <cell r="AK490" t="str">
            <v>Primary</v>
          </cell>
          <cell r="AV490">
            <v>45022</v>
          </cell>
          <cell r="AW490">
            <v>0.59027777777777779</v>
          </cell>
          <cell r="AX490">
            <v>0.6875</v>
          </cell>
          <cell r="AY490">
            <v>9.7222222222222224E-2</v>
          </cell>
          <cell r="AZ490">
            <v>0.10972222222222222</v>
          </cell>
          <cell r="BA490">
            <v>0.20208333333333334</v>
          </cell>
          <cell r="BB490" t="str">
            <v>0.1*0.1*0.8
0.1*0.1*1.6
0.2*0.2*1.4</v>
          </cell>
          <cell r="BC490" t="str">
            <v>0.1*0.1*0.8
0.1*0.1*1.6
0.2*0.2*1.4</v>
          </cell>
          <cell r="BD490" t="str">
            <v>Manual</v>
          </cell>
          <cell r="BE490">
            <v>14</v>
          </cell>
          <cell r="BF490" t="str">
            <v>Syam</v>
          </cell>
          <cell r="BG490" t="str">
            <v>Y</v>
          </cell>
        </row>
        <row r="491">
          <cell r="A491" t="str">
            <v>FBR1Y230098</v>
          </cell>
          <cell r="B491">
            <v>230098</v>
          </cell>
          <cell r="C491" t="str">
            <v>R&amp;D</v>
          </cell>
          <cell r="D491">
            <v>45022</v>
          </cell>
          <cell r="E491">
            <v>0.62847222222222221</v>
          </cell>
          <cell r="F491">
            <v>45017</v>
          </cell>
          <cell r="G491">
            <v>45022</v>
          </cell>
          <cell r="H491">
            <v>0.69236111111111109</v>
          </cell>
          <cell r="I491">
            <v>6.3888888888888884E-2</v>
          </cell>
          <cell r="J491">
            <v>5</v>
          </cell>
          <cell r="K491" t="str">
            <v>FCB-PROTOCOL-02</v>
          </cell>
          <cell r="L491" t="str">
            <v>HN050</v>
          </cell>
          <cell r="M491" t="str">
            <v>Y</v>
          </cell>
          <cell r="N491" t="str">
            <v>CCS Study (1Y)</v>
          </cell>
          <cell r="O491" t="str">
            <v>Internal R&amp;D</v>
          </cell>
          <cell r="P491" t="str">
            <v>Q1 Passed</v>
          </cell>
          <cell r="Q491" t="str">
            <v>Q1 Passed</v>
          </cell>
          <cell r="R491" t="str">
            <v>Q1.5 Passed</v>
          </cell>
          <cell r="S491" t="str">
            <v>Q1.5 Passed</v>
          </cell>
          <cell r="V491" t="str">
            <v>50-90%</v>
          </cell>
          <cell r="W491" t="str">
            <v>Private Hospital</v>
          </cell>
          <cell r="X491" t="str">
            <v>Mazumdar Shaw Medical Centre, Bangalore</v>
          </cell>
          <cell r="Y491" t="str">
            <v>Mazumdar Shaw Medical Centre, Bangalore</v>
          </cell>
          <cell r="Z491" t="str">
            <v>Dr Vijay Pillai, Bangalore</v>
          </cell>
          <cell r="AA491" t="str">
            <v>HNSCC</v>
          </cell>
          <cell r="AC491" t="str">
            <v>Tongue</v>
          </cell>
          <cell r="AD491" t="str">
            <v>Tongue</v>
          </cell>
          <cell r="AE491" t="str">
            <v>Male</v>
          </cell>
          <cell r="AF491">
            <v>46</v>
          </cell>
          <cell r="AG491" t="str">
            <v>N</v>
          </cell>
          <cell r="AH491">
            <v>5.0999999999999996</v>
          </cell>
          <cell r="AI491" t="str">
            <v>Shashi</v>
          </cell>
          <cell r="AJ491" t="str">
            <v>Surgery</v>
          </cell>
          <cell r="AK491" t="str">
            <v>Primary</v>
          </cell>
          <cell r="AN491" t="str">
            <v>IV</v>
          </cell>
          <cell r="AO491">
            <v>2</v>
          </cell>
          <cell r="AP491" t="str">
            <v>pT4a</v>
          </cell>
          <cell r="AS491" t="str">
            <v>Moderately differentiated , squamous cell carcinoma</v>
          </cell>
          <cell r="AV491">
            <v>45022</v>
          </cell>
          <cell r="AW491">
            <v>0.72013888888888888</v>
          </cell>
          <cell r="AX491">
            <v>0.82291666666666663</v>
          </cell>
          <cell r="AY491">
            <v>0.10277777777777777</v>
          </cell>
          <cell r="AZ491">
            <v>0.13055555555555556</v>
          </cell>
          <cell r="BA491">
            <v>0.19444444444444445</v>
          </cell>
          <cell r="BB491" t="str">
            <v>0.8/0.4*0.8*1.6</v>
          </cell>
          <cell r="BC491" t="str">
            <v>0.8/0.4*0.8*1.6</v>
          </cell>
          <cell r="BD491" t="str">
            <v>Vibratome</v>
          </cell>
          <cell r="BE491">
            <v>14</v>
          </cell>
          <cell r="BF491" t="str">
            <v>Dharani</v>
          </cell>
          <cell r="BG491" t="str">
            <v>Y</v>
          </cell>
        </row>
        <row r="492">
          <cell r="A492" t="str">
            <v>FBR1W230099</v>
          </cell>
          <cell r="B492">
            <v>230099</v>
          </cell>
          <cell r="C492" t="str">
            <v>R&amp;D</v>
          </cell>
          <cell r="D492">
            <v>45022</v>
          </cell>
          <cell r="E492">
            <v>0.58611111111111114</v>
          </cell>
          <cell r="F492">
            <v>45017</v>
          </cell>
          <cell r="G492">
            <v>45022</v>
          </cell>
          <cell r="H492">
            <v>0.69236111111111109</v>
          </cell>
          <cell r="I492">
            <v>0.10625</v>
          </cell>
          <cell r="J492">
            <v>0</v>
          </cell>
          <cell r="K492" t="str">
            <v>FCB-PROTOCOL-02</v>
          </cell>
          <cell r="L492" t="str">
            <v>BC012</v>
          </cell>
          <cell r="M492" t="str">
            <v>Y</v>
          </cell>
          <cell r="N492" t="str">
            <v>Biopsy Cabr-BSS (1W)</v>
          </cell>
          <cell r="O492" t="str">
            <v>Internal R&amp;D</v>
          </cell>
          <cell r="P492" t="str">
            <v>Q1 Passed</v>
          </cell>
          <cell r="Q492" t="str">
            <v>Q1 Passed</v>
          </cell>
          <cell r="R492" t="str">
            <v>Q1.5 Passed</v>
          </cell>
          <cell r="S492" t="str">
            <v>Q1.5 Passed</v>
          </cell>
          <cell r="V492" t="str">
            <v>Tumor content 45% in 1/3 explants; others no tumor</v>
          </cell>
          <cell r="W492" t="str">
            <v>Private Hospital</v>
          </cell>
          <cell r="X492" t="str">
            <v>Mazumdar Shaw Medical Centre, Bangalore</v>
          </cell>
          <cell r="Y492" t="str">
            <v>Mazumdar Shaw Medical Centre, Bangalore</v>
          </cell>
          <cell r="Z492" t="str">
            <v>Dr Akshita Singh</v>
          </cell>
          <cell r="AA492" t="str">
            <v>Ca Breast</v>
          </cell>
          <cell r="AB492" t="str">
            <v>ER+
PR+
HER2-</v>
          </cell>
          <cell r="AC492" t="str">
            <v>Breast</v>
          </cell>
          <cell r="AD492" t="str">
            <v>Right Breast</v>
          </cell>
          <cell r="AE492" t="str">
            <v>Female</v>
          </cell>
          <cell r="AF492">
            <v>32</v>
          </cell>
          <cell r="AG492" t="str">
            <v>N</v>
          </cell>
          <cell r="AH492">
            <v>5.0999999999999996</v>
          </cell>
          <cell r="AI492" t="str">
            <v>Shashi</v>
          </cell>
          <cell r="AJ492" t="str">
            <v>Biopsy</v>
          </cell>
          <cell r="AK492" t="str">
            <v>Primary</v>
          </cell>
          <cell r="AS492" t="str">
            <v xml:space="preserve">Invasive carcinoma
</v>
          </cell>
          <cell r="AV492">
            <v>45022</v>
          </cell>
          <cell r="AW492">
            <v>0.77083333333333337</v>
          </cell>
          <cell r="AX492">
            <v>0.79236111111111107</v>
          </cell>
          <cell r="AY492">
            <v>2.1527777777777778E-2</v>
          </cell>
          <cell r="AZ492">
            <v>0.1</v>
          </cell>
          <cell r="BA492">
            <v>0.20624999999999999</v>
          </cell>
          <cell r="BB492" t="str">
            <v>0.1*0.1*0.8
0.1*0.1*1.2
0.1*0.1*0.8
0.2*0.1*1.8
0.1*0.1*0.8</v>
          </cell>
          <cell r="BC492" t="str">
            <v>0.1*0.1*0.8
0.1*0.1*1.2
0.1*0.1*0.8
0.2*0.1*1.8
0.1*0.1*0.8</v>
          </cell>
          <cell r="BD492" t="str">
            <v>Manual</v>
          </cell>
          <cell r="BE492">
            <v>14</v>
          </cell>
          <cell r="BF492" t="str">
            <v>Syam</v>
          </cell>
          <cell r="BG492" t="str">
            <v>Y</v>
          </cell>
        </row>
        <row r="493">
          <cell r="A493" t="str">
            <v>FBR1Z230100</v>
          </cell>
          <cell r="B493">
            <v>230100</v>
          </cell>
          <cell r="C493" t="str">
            <v>R&amp;D</v>
          </cell>
          <cell r="D493">
            <v>45022</v>
          </cell>
          <cell r="E493">
            <v>0.50902777777777775</v>
          </cell>
          <cell r="F493">
            <v>45017</v>
          </cell>
          <cell r="G493">
            <v>45022</v>
          </cell>
          <cell r="H493">
            <v>0.69374999999999998</v>
          </cell>
          <cell r="I493">
            <v>0.18472222222222223</v>
          </cell>
          <cell r="J493">
            <v>1</v>
          </cell>
          <cell r="K493" t="str">
            <v>FCB-PROTOCOL-01</v>
          </cell>
          <cell r="L493" t="str">
            <v>VYD/BPY/003</v>
          </cell>
          <cell r="M493" t="str">
            <v>Y</v>
          </cell>
          <cell r="N493" t="str">
            <v>CT+LD Nivo -NLD study (1Z)</v>
          </cell>
          <cell r="O493" t="str">
            <v>Internal R&amp;D</v>
          </cell>
          <cell r="P493" t="str">
            <v>Q1 Passed</v>
          </cell>
          <cell r="Q493" t="str">
            <v>Q1 Passed</v>
          </cell>
          <cell r="R493" t="str">
            <v>Q1.5 Passed</v>
          </cell>
          <cell r="S493" t="str">
            <v>Q1.5 Passed</v>
          </cell>
          <cell r="V493" t="str">
            <v>Tumor content 70-90%</v>
          </cell>
          <cell r="W493" t="str">
            <v>Private Hospital</v>
          </cell>
          <cell r="X493" t="str">
            <v>Vydehi Hospital, Bangalore</v>
          </cell>
          <cell r="Y493" t="str">
            <v>Vydehi Hospital, Bangalore</v>
          </cell>
          <cell r="Z493" t="str">
            <v>Dr Amritha Prabha, Bangalore</v>
          </cell>
          <cell r="AA493" t="str">
            <v>HNSCC</v>
          </cell>
          <cell r="AC493" t="str">
            <v xml:space="preserve">Submandibular region </v>
          </cell>
          <cell r="AD493" t="str">
            <v xml:space="preserve">Submandibular region </v>
          </cell>
          <cell r="AE493" t="str">
            <v>Male</v>
          </cell>
          <cell r="AF493">
            <v>45</v>
          </cell>
          <cell r="AG493" t="str">
            <v>N</v>
          </cell>
          <cell r="AH493">
            <v>4.9000000000000004</v>
          </cell>
          <cell r="AI493" t="str">
            <v>Maruthi</v>
          </cell>
          <cell r="AJ493" t="str">
            <v>Biopsy</v>
          </cell>
          <cell r="AK493" t="str">
            <v>Local Recurrent</v>
          </cell>
          <cell r="AL493" t="str">
            <v>Chemotherapy+Radiotherapy</v>
          </cell>
          <cell r="AN493" t="str">
            <v>IV</v>
          </cell>
          <cell r="AP493" t="str">
            <v>T4bN3M0</v>
          </cell>
          <cell r="AV493">
            <v>45022</v>
          </cell>
          <cell r="AW493">
            <v>0.72847222222222219</v>
          </cell>
          <cell r="AX493">
            <v>0.86805555555555558</v>
          </cell>
          <cell r="AY493">
            <v>0.13958333333333334</v>
          </cell>
          <cell r="AZ493">
            <v>0.17430555555555555</v>
          </cell>
          <cell r="BA493">
            <v>0.35902777777777778</v>
          </cell>
          <cell r="BB493" t="str">
            <v xml:space="preserve">0.8*1.4
1.2*1.6
</v>
          </cell>
          <cell r="BC493" t="str">
            <v xml:space="preserve">0.8*1.4
1.2*1.6
</v>
          </cell>
          <cell r="BD493" t="str">
            <v>Vibratome</v>
          </cell>
          <cell r="BE493">
            <v>14</v>
          </cell>
          <cell r="BF493" t="str">
            <v>Biswajit</v>
          </cell>
          <cell r="BG493" t="str">
            <v>Y</v>
          </cell>
        </row>
        <row r="494">
          <cell r="A494" t="str">
            <v>FBR1Q230101</v>
          </cell>
          <cell r="B494">
            <v>230101</v>
          </cell>
          <cell r="C494" t="str">
            <v>R&amp;D</v>
          </cell>
          <cell r="D494">
            <v>45023</v>
          </cell>
          <cell r="E494">
            <v>0.48055555555555557</v>
          </cell>
          <cell r="F494">
            <v>45017</v>
          </cell>
          <cell r="G494">
            <v>45023</v>
          </cell>
          <cell r="H494">
            <v>0.60624999999999996</v>
          </cell>
          <cell r="I494">
            <v>0.12569444444444444</v>
          </cell>
          <cell r="J494">
            <v>3</v>
          </cell>
          <cell r="K494" t="str">
            <v>FCB-PROTOCOL-01</v>
          </cell>
          <cell r="L494" t="str">
            <v>VYD/161</v>
          </cell>
          <cell r="M494" t="str">
            <v>Y</v>
          </cell>
          <cell r="N494" t="str">
            <v>COSv4.1_CaBR(1Q-Known)</v>
          </cell>
          <cell r="O494" t="str">
            <v>Internal R&amp;D</v>
          </cell>
          <cell r="P494" t="str">
            <v>Q1 Passed</v>
          </cell>
          <cell r="Q494" t="str">
            <v>Q1 Passed</v>
          </cell>
          <cell r="R494" t="str">
            <v>Q1.5 Passed</v>
          </cell>
          <cell r="S494" t="str">
            <v>Q1.5 Rejected</v>
          </cell>
          <cell r="V494" t="str">
            <v>No tumor</v>
          </cell>
          <cell r="W494" t="str">
            <v>Private Hospital</v>
          </cell>
          <cell r="X494" t="str">
            <v>Vydehi Hospital, Bangalore</v>
          </cell>
          <cell r="Y494" t="str">
            <v>Vydehi Hospital, Bangalore</v>
          </cell>
          <cell r="Z494" t="str">
            <v>Dr Amritha Prabha, Bangalore</v>
          </cell>
          <cell r="AA494" t="str">
            <v>Ca Breast</v>
          </cell>
          <cell r="AB494" t="str">
            <v>TNBC</v>
          </cell>
          <cell r="AC494" t="str">
            <v>Breast</v>
          </cell>
          <cell r="AD494" t="str">
            <v>Left Breast</v>
          </cell>
          <cell r="AE494" t="str">
            <v>Female</v>
          </cell>
          <cell r="AF494">
            <v>54</v>
          </cell>
          <cell r="AG494" t="str">
            <v>N</v>
          </cell>
          <cell r="AH494">
            <v>4.3</v>
          </cell>
          <cell r="AI494" t="str">
            <v>Kalappa</v>
          </cell>
          <cell r="AJ494" t="str">
            <v>Biopsy</v>
          </cell>
          <cell r="AK494" t="str">
            <v>Primary</v>
          </cell>
          <cell r="AL494" t="str">
            <v>Chemotherapy</v>
          </cell>
          <cell r="AR494" t="str">
            <v>4AC+4Paclitaxel</v>
          </cell>
          <cell r="AV494">
            <v>45023</v>
          </cell>
          <cell r="AW494">
            <v>0.62222222222222223</v>
          </cell>
          <cell r="AX494">
            <v>0.68333333333333335</v>
          </cell>
          <cell r="AY494">
            <v>6.1111111111111109E-2</v>
          </cell>
          <cell r="AZ494">
            <v>7.7083333333333337E-2</v>
          </cell>
          <cell r="BA494">
            <v>0.20277777777777778</v>
          </cell>
          <cell r="BB494" t="str">
            <v>1.8*1.6*2.8</v>
          </cell>
          <cell r="BC494" t="str">
            <v>0.8*1.6/1.4*2.1/1.4</v>
          </cell>
          <cell r="BD494" t="str">
            <v>Manual</v>
          </cell>
          <cell r="BE494">
            <v>14</v>
          </cell>
          <cell r="BF494" t="str">
            <v>Biswajit</v>
          </cell>
          <cell r="BG494" t="str">
            <v>Y</v>
          </cell>
        </row>
        <row r="495">
          <cell r="A495" t="str">
            <v>FBR1M230102</v>
          </cell>
          <cell r="B495">
            <v>230102</v>
          </cell>
          <cell r="C495" t="str">
            <v>R&amp;D</v>
          </cell>
          <cell r="D495">
            <v>45027</v>
          </cell>
          <cell r="E495">
            <v>0.53819444444444442</v>
          </cell>
          <cell r="F495">
            <v>45017</v>
          </cell>
          <cell r="G495">
            <v>45027</v>
          </cell>
          <cell r="H495">
            <v>0.6118055555555556</v>
          </cell>
          <cell r="I495">
            <v>7.3611111111111113E-2</v>
          </cell>
          <cell r="J495">
            <v>15</v>
          </cell>
          <cell r="K495" t="str">
            <v>FCB-PROTOCOL-02</v>
          </cell>
          <cell r="L495" t="str">
            <v>RC025</v>
          </cell>
          <cell r="M495" t="str">
            <v>Y</v>
          </cell>
          <cell r="N495" t="str">
            <v>DMS_RCC(1M)</v>
          </cell>
          <cell r="O495" t="str">
            <v>Internal R&amp;D</v>
          </cell>
          <cell r="P495" t="str">
            <v>Q1 Passed</v>
          </cell>
          <cell r="Q495" t="str">
            <v>Q1 Passed</v>
          </cell>
          <cell r="R495" t="str">
            <v>Q1.5 Passed</v>
          </cell>
          <cell r="S495" t="str">
            <v>Q1.5 Rejected</v>
          </cell>
          <cell r="U495" t="str">
            <v>Y</v>
          </cell>
          <cell r="V495" t="str">
            <v>No tumor, hemorraghic areas</v>
          </cell>
          <cell r="W495" t="str">
            <v>Private Hospital</v>
          </cell>
          <cell r="X495" t="str">
            <v>Mazumdar Shaw Medical Centre, Bangalore</v>
          </cell>
          <cell r="Y495" t="str">
            <v>Mazumdar Shaw Medical Centre, Bangalore</v>
          </cell>
          <cell r="Z495" t="str">
            <v>Dr Saurabh Bhargav, Bangalore</v>
          </cell>
          <cell r="AA495" t="str">
            <v>RCC</v>
          </cell>
          <cell r="AC495" t="str">
            <v>Kidney</v>
          </cell>
          <cell r="AD495" t="str">
            <v>Upper pole of the right kidney</v>
          </cell>
          <cell r="AE495" t="str">
            <v>Male</v>
          </cell>
          <cell r="AF495">
            <v>31</v>
          </cell>
          <cell r="AG495" t="str">
            <v>N</v>
          </cell>
          <cell r="AH495">
            <v>4.9000000000000004</v>
          </cell>
          <cell r="AI495" t="str">
            <v>Shashi</v>
          </cell>
          <cell r="AJ495" t="str">
            <v>Surgery</v>
          </cell>
          <cell r="AK495" t="str">
            <v>Primary</v>
          </cell>
          <cell r="AV495">
            <v>45027</v>
          </cell>
          <cell r="AW495">
            <v>0.63541666666666663</v>
          </cell>
          <cell r="AX495">
            <v>0.70833333333333337</v>
          </cell>
          <cell r="AY495">
            <v>7.2916666666666671E-2</v>
          </cell>
          <cell r="AZ495">
            <v>9.6527777777777782E-2</v>
          </cell>
          <cell r="BA495">
            <v>0.1701388888888889</v>
          </cell>
          <cell r="BB495" t="str">
            <v>0.1*0.6*0.6
0.2*1.0/1.2*1.4
0.2*0.8*1.0</v>
          </cell>
          <cell r="BC495" t="str">
            <v>0.1*0.6*0.6
0.2*1.0/1.2*1.4
0.2*0.8*1.0</v>
          </cell>
          <cell r="BD495" t="str">
            <v>Manual</v>
          </cell>
          <cell r="BE495">
            <v>14</v>
          </cell>
          <cell r="BF495" t="str">
            <v>Dharani</v>
          </cell>
          <cell r="BG495" t="str">
            <v>Y</v>
          </cell>
        </row>
        <row r="496">
          <cell r="A496" t="str">
            <v>FBR1M230103</v>
          </cell>
          <cell r="B496">
            <v>230103</v>
          </cell>
          <cell r="C496" t="str">
            <v>R&amp;D</v>
          </cell>
          <cell r="D496">
            <v>45027</v>
          </cell>
          <cell r="E496">
            <v>0.52083333333333337</v>
          </cell>
          <cell r="F496">
            <v>45017</v>
          </cell>
          <cell r="G496">
            <v>45027</v>
          </cell>
          <cell r="H496">
            <v>0.6118055555555556</v>
          </cell>
          <cell r="I496">
            <v>9.0972222222222218E-2</v>
          </cell>
          <cell r="J496">
            <v>0</v>
          </cell>
          <cell r="K496" t="str">
            <v>FCB-PROTOCOL-02</v>
          </cell>
          <cell r="L496" t="str">
            <v>RC024</v>
          </cell>
          <cell r="M496" t="str">
            <v>Y</v>
          </cell>
          <cell r="N496" t="str">
            <v>DMS_RCC(1M)</v>
          </cell>
          <cell r="O496" t="str">
            <v>Internal R&amp;D</v>
          </cell>
          <cell r="P496" t="str">
            <v>Q1 Passed</v>
          </cell>
          <cell r="Q496" t="str">
            <v>Q1 Passed</v>
          </cell>
          <cell r="R496" t="str">
            <v>Q1.5 Passed</v>
          </cell>
          <cell r="S496" t="str">
            <v>Q1.5 Passed</v>
          </cell>
          <cell r="V496" t="str">
            <v>80-95%</v>
          </cell>
          <cell r="W496" t="str">
            <v>Private Hospital</v>
          </cell>
          <cell r="X496" t="str">
            <v>Mazumdar Shaw Medical Centre, Bangalore</v>
          </cell>
          <cell r="Y496" t="str">
            <v>Mazumdar Shaw Medical Centre, Bangalore</v>
          </cell>
          <cell r="Z496" t="str">
            <v>Dr Saurabh Bhargav, Bangalore</v>
          </cell>
          <cell r="AA496" t="str">
            <v>RCC</v>
          </cell>
          <cell r="AC496" t="str">
            <v>Renal</v>
          </cell>
          <cell r="AD496" t="str">
            <v>Right renal Mass</v>
          </cell>
          <cell r="AE496" t="str">
            <v>Male</v>
          </cell>
          <cell r="AF496">
            <v>65</v>
          </cell>
          <cell r="AG496" t="str">
            <v>N</v>
          </cell>
          <cell r="AH496">
            <v>4.9000000000000004</v>
          </cell>
          <cell r="AI496" t="str">
            <v>Shashi</v>
          </cell>
          <cell r="AJ496" t="str">
            <v>Surgery</v>
          </cell>
          <cell r="AK496" t="str">
            <v>Primary</v>
          </cell>
          <cell r="AN496" t="str">
            <v>III</v>
          </cell>
          <cell r="AO496">
            <v>1</v>
          </cell>
          <cell r="AP496" t="str">
            <v>pT3a</v>
          </cell>
          <cell r="AS496" t="str">
            <v>clear cell renal carcinoma</v>
          </cell>
          <cell r="AV496">
            <v>45027</v>
          </cell>
          <cell r="AW496">
            <v>0.63124999999999998</v>
          </cell>
          <cell r="AX496">
            <v>0.79166666666666663</v>
          </cell>
          <cell r="AY496">
            <v>0.16041666666666668</v>
          </cell>
          <cell r="AZ496">
            <v>0.17986111111111111</v>
          </cell>
          <cell r="BA496">
            <v>0.27083333333333331</v>
          </cell>
          <cell r="BB496" t="str">
            <v>1.4/0.8*1.0*2.2/1.9</v>
          </cell>
          <cell r="BC496" t="str">
            <v>1.4/0.8*1.0*2.2/1.9</v>
          </cell>
          <cell r="BD496" t="str">
            <v>Vibratome</v>
          </cell>
          <cell r="BE496">
            <v>14</v>
          </cell>
          <cell r="BF496" t="str">
            <v>Mouniss</v>
          </cell>
          <cell r="BG496" t="str">
            <v>N</v>
          </cell>
        </row>
        <row r="497">
          <cell r="A497" t="str">
            <v>FBR1Q230104</v>
          </cell>
          <cell r="B497">
            <v>230104</v>
          </cell>
          <cell r="C497" t="str">
            <v>R&amp;D</v>
          </cell>
          <cell r="D497">
            <v>45027</v>
          </cell>
          <cell r="E497">
            <v>0.64930555555555558</v>
          </cell>
          <cell r="F497">
            <v>45017</v>
          </cell>
          <cell r="G497">
            <v>45027</v>
          </cell>
          <cell r="H497">
            <v>0.73819444444444449</v>
          </cell>
          <cell r="I497">
            <v>8.8888888888888892E-2</v>
          </cell>
          <cell r="J497">
            <v>5</v>
          </cell>
          <cell r="K497" t="str">
            <v>FCB-PROTOCOL-01</v>
          </cell>
          <cell r="L497" t="str">
            <v>VYD/162</v>
          </cell>
          <cell r="M497" t="str">
            <v>Y</v>
          </cell>
          <cell r="N497" t="str">
            <v>COSv4.1_CaBR(1Q-Known)</v>
          </cell>
          <cell r="O497" t="str">
            <v>Internal R&amp;D</v>
          </cell>
          <cell r="P497" t="str">
            <v>Q1 Passed</v>
          </cell>
          <cell r="Q497" t="str">
            <v>Q1 Passed</v>
          </cell>
          <cell r="R497" t="str">
            <v>Q1.5 Passed</v>
          </cell>
          <cell r="S497" t="str">
            <v>Q1.5 Rejected</v>
          </cell>
          <cell r="V497" t="str">
            <v xml:space="preserve">No tumor, only inflammation </v>
          </cell>
          <cell r="W497" t="str">
            <v>Private Hospital</v>
          </cell>
          <cell r="X497" t="str">
            <v>Vydehi Hospital, Bangalore</v>
          </cell>
          <cell r="Y497" t="str">
            <v>Vydehi Hospital, Bangalore</v>
          </cell>
          <cell r="Z497" t="str">
            <v>Dr Amritha Prabha, Bangalore</v>
          </cell>
          <cell r="AA497" t="str">
            <v>Ca Breast</v>
          </cell>
          <cell r="AB497" t="str">
            <v>TNBC</v>
          </cell>
          <cell r="AC497" t="str">
            <v>Breast</v>
          </cell>
          <cell r="AD497" t="str">
            <v>Right Breast</v>
          </cell>
          <cell r="AE497" t="str">
            <v>Female</v>
          </cell>
          <cell r="AF497">
            <v>55</v>
          </cell>
          <cell r="AG497" t="str">
            <v>N</v>
          </cell>
          <cell r="AH497">
            <v>4.5</v>
          </cell>
          <cell r="AI497" t="str">
            <v>Kalappa</v>
          </cell>
          <cell r="AJ497" t="str">
            <v>Surgery</v>
          </cell>
          <cell r="AK497" t="str">
            <v>Primary</v>
          </cell>
          <cell r="AL497" t="str">
            <v>Chemotherapy</v>
          </cell>
          <cell r="AR497" t="str">
            <v>Epirunicin+Cyclophosphamide x 4cycle
Docetaxel x3cycle</v>
          </cell>
          <cell r="AV497">
            <v>45027</v>
          </cell>
          <cell r="AW497">
            <v>0.76458333333333328</v>
          </cell>
          <cell r="AX497">
            <v>0.82291666666666663</v>
          </cell>
          <cell r="AY497">
            <v>5.8333333333333334E-2</v>
          </cell>
          <cell r="AZ497">
            <v>8.4722222222222227E-2</v>
          </cell>
          <cell r="BA497">
            <v>0.1736111111111111</v>
          </cell>
          <cell r="BB497" t="str">
            <v>1.2*0.8/1.4*1.6
1.2*2.2*2.0
1.6*2.0*2.2/2.6
1.4*1.0*1.6</v>
          </cell>
          <cell r="BC497" t="str">
            <v>1.2*0.8/1.4*1.6
1.2*2.2*2.0
1.6*2.0*2.2/2.6
1.4*1.0*1.6</v>
          </cell>
          <cell r="BD497" t="str">
            <v>Manual</v>
          </cell>
          <cell r="BE497">
            <v>14</v>
          </cell>
          <cell r="BF497" t="str">
            <v>Kowshik</v>
          </cell>
          <cell r="BG497" t="str">
            <v>Y</v>
          </cell>
        </row>
        <row r="498">
          <cell r="A498" t="str">
            <v>FBB1H230105</v>
          </cell>
          <cell r="B498">
            <v>230105</v>
          </cell>
          <cell r="C498" t="str">
            <v>R&amp;D</v>
          </cell>
          <cell r="D498">
            <v>45028</v>
          </cell>
          <cell r="E498">
            <v>0.48125000000000001</v>
          </cell>
          <cell r="F498">
            <v>45017</v>
          </cell>
          <cell r="G498">
            <v>45028</v>
          </cell>
          <cell r="H498">
            <v>0.57291666666666663</v>
          </cell>
          <cell r="I498">
            <v>9.166666666666666E-2</v>
          </cell>
          <cell r="J498">
            <v>3</v>
          </cell>
          <cell r="K498" t="str">
            <v>FCB-PROTOCOL-01</v>
          </cell>
          <cell r="L498" t="str">
            <v>CLN/PRA/202</v>
          </cell>
          <cell r="M498" t="str">
            <v>Y</v>
          </cell>
          <cell r="N498" t="str">
            <v>No Study</v>
          </cell>
          <cell r="O498" t="str">
            <v>1st level attrition</v>
          </cell>
          <cell r="P498" t="str">
            <v>Q1 Passed</v>
          </cell>
          <cell r="Q498" t="str">
            <v>Q1 Passed</v>
          </cell>
          <cell r="R498" t="str">
            <v>Q1.5 Rejected</v>
          </cell>
          <cell r="S498" t="str">
            <v>Q1.5 Rejected</v>
          </cell>
          <cell r="T498" t="str">
            <v>esophogus</v>
          </cell>
          <cell r="V498" t="str">
            <v>Not done</v>
          </cell>
          <cell r="W498" t="str">
            <v>Private Hospital</v>
          </cell>
          <cell r="X498" t="str">
            <v>Dr Prakash BV, Bangalore</v>
          </cell>
          <cell r="Y498" t="str">
            <v>Sri Lakshmi Hospital, Bangalore</v>
          </cell>
          <cell r="Z498" t="str">
            <v>Dr Prakash BV, Bangalore</v>
          </cell>
          <cell r="AA498" t="str">
            <v>HNSCC</v>
          </cell>
          <cell r="AC498" t="str">
            <v>Esophogus</v>
          </cell>
          <cell r="AD498" t="str">
            <v>Esophogus</v>
          </cell>
          <cell r="AE498" t="str">
            <v>Male</v>
          </cell>
          <cell r="AF498">
            <v>60</v>
          </cell>
          <cell r="AG498" t="str">
            <v>N</v>
          </cell>
          <cell r="AH498">
            <v>4.5</v>
          </cell>
          <cell r="AI498" t="str">
            <v>Shashi</v>
          </cell>
          <cell r="AJ498" t="str">
            <v>Surgery</v>
          </cell>
          <cell r="AK498" t="str">
            <v>Primary</v>
          </cell>
          <cell r="AL498" t="str">
            <v>Chemotherapy+Radiotherapy</v>
          </cell>
          <cell r="AO498">
            <v>2</v>
          </cell>
          <cell r="AP498" t="str">
            <v>pT3N1M0</v>
          </cell>
          <cell r="AQ498">
            <v>5</v>
          </cell>
          <cell r="AR498" t="str">
            <v>cisplatin</v>
          </cell>
          <cell r="AS498" t="str">
            <v>SCC</v>
          </cell>
          <cell r="AV498">
            <v>45028</v>
          </cell>
          <cell r="AY498">
            <v>0</v>
          </cell>
          <cell r="AZ49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9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98" t="str">
            <v>0.6*1.4*2.0</v>
          </cell>
        </row>
        <row r="499">
          <cell r="A499">
            <v>230106</v>
          </cell>
          <cell r="B499">
            <v>230106</v>
          </cell>
          <cell r="C499" t="str">
            <v>R&amp;D</v>
          </cell>
          <cell r="D499">
            <v>45028</v>
          </cell>
          <cell r="E499">
            <v>0.52916666666666667</v>
          </cell>
          <cell r="F499">
            <v>45017</v>
          </cell>
          <cell r="G499">
            <v>45028</v>
          </cell>
          <cell r="H499">
            <v>0.59027777777777779</v>
          </cell>
          <cell r="I499">
            <v>6.1111111111111109E-2</v>
          </cell>
          <cell r="J499">
            <v>2</v>
          </cell>
          <cell r="K499" t="str">
            <v>FCB-PROTOCOL-01</v>
          </cell>
          <cell r="L499" t="str">
            <v>VYD/163</v>
          </cell>
          <cell r="M499" t="str">
            <v>Y</v>
          </cell>
          <cell r="N499" t="str">
            <v>No Study</v>
          </cell>
          <cell r="O499" t="str">
            <v>1st level attrition</v>
          </cell>
          <cell r="P499" t="str">
            <v>Q1 Rejected</v>
          </cell>
          <cell r="Q499" t="str">
            <v>Q1 Passed</v>
          </cell>
          <cell r="R499" t="str">
            <v>Q1.5 Rejected</v>
          </cell>
          <cell r="S499" t="str">
            <v>Q1.5 Rejected</v>
          </cell>
          <cell r="T499" t="str">
            <v>Only fat</v>
          </cell>
          <cell r="W499" t="str">
            <v>Private Hospital</v>
          </cell>
          <cell r="X499" t="str">
            <v>Vydehi Hospital, Bangalore</v>
          </cell>
          <cell r="Y499" t="str">
            <v>Vydehi Hospital, Bangalore</v>
          </cell>
          <cell r="Z499" t="str">
            <v>Dr Amritha Prabha, Bangalore</v>
          </cell>
          <cell r="AA499" t="str">
            <v>Ca Breast</v>
          </cell>
          <cell r="AB499" t="str">
            <v>TNBC</v>
          </cell>
          <cell r="AC499" t="str">
            <v>Breast</v>
          </cell>
          <cell r="AD499" t="str">
            <v>Left Breast</v>
          </cell>
          <cell r="AE499" t="str">
            <v>Female</v>
          </cell>
          <cell r="AF499">
            <v>38</v>
          </cell>
          <cell r="AG499" t="str">
            <v>N</v>
          </cell>
          <cell r="AH499">
            <v>4.3</v>
          </cell>
          <cell r="AI499" t="str">
            <v>Maruthi</v>
          </cell>
          <cell r="AJ499" t="str">
            <v>Surgery</v>
          </cell>
          <cell r="AK499" t="str">
            <v>Primary</v>
          </cell>
          <cell r="AL499" t="str">
            <v>Chemotherapy</v>
          </cell>
          <cell r="AR499" t="str">
            <v>4 Epirunicin+4Paclitaxel
Docetaxel x3cycle</v>
          </cell>
          <cell r="AV499">
            <v>45028</v>
          </cell>
          <cell r="AW499">
            <v>0.59722222222222221</v>
          </cell>
          <cell r="AY4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4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4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499" t="str">
            <v>0.4*1.8*1.7</v>
          </cell>
          <cell r="BC499" t="str">
            <v>0.4*1.8*1.7</v>
          </cell>
        </row>
        <row r="500">
          <cell r="A500" t="str">
            <v>FBR1Q230107</v>
          </cell>
          <cell r="B500">
            <v>230107</v>
          </cell>
          <cell r="C500" t="str">
            <v>R&amp;D</v>
          </cell>
          <cell r="D500">
            <v>45028</v>
          </cell>
          <cell r="E500">
            <v>0.48958333333333331</v>
          </cell>
          <cell r="F500">
            <v>45017</v>
          </cell>
          <cell r="G500">
            <v>45028</v>
          </cell>
          <cell r="H500">
            <v>0.85763888888888884</v>
          </cell>
          <cell r="I500">
            <v>0.36805555555555558</v>
          </cell>
          <cell r="J500">
            <v>15</v>
          </cell>
          <cell r="K500" t="str">
            <v>FCB-PROTOCOL-01</v>
          </cell>
          <cell r="L500" t="str">
            <v>CLN/DBR/139</v>
          </cell>
          <cell r="M500" t="str">
            <v>Y</v>
          </cell>
          <cell r="N500" t="str">
            <v>COSv4.2_CaBR(1Q-Unknown)</v>
          </cell>
          <cell r="O500" t="str">
            <v>Internal R&amp;D</v>
          </cell>
          <cell r="P500" t="str">
            <v>Q1 Passed</v>
          </cell>
          <cell r="Q500" t="str">
            <v>Q1 Passed</v>
          </cell>
          <cell r="R500" t="str">
            <v>Q1.5 Passed</v>
          </cell>
          <cell r="S500" t="str">
            <v>Q1.5 Passed</v>
          </cell>
          <cell r="V500" t="str">
            <v>Scattered tumor cells seen in 3-4 explants /21. Tumor content 2-6%.Others no tumor</v>
          </cell>
          <cell r="W500" t="str">
            <v>Clinic'les</v>
          </cell>
          <cell r="X500" t="str">
            <v>Clinic'les- DBR &amp; SK Hospital, Tirupati</v>
          </cell>
          <cell r="Y500" t="str">
            <v>DBR &amp; SK Hospital, Tirupati</v>
          </cell>
          <cell r="Z500" t="str">
            <v>Dr C Jayaprakash, Tirupati</v>
          </cell>
          <cell r="AA500" t="str">
            <v>Ca Breast</v>
          </cell>
          <cell r="AB500" t="str">
            <v>Not done</v>
          </cell>
          <cell r="AC500" t="str">
            <v>Breast</v>
          </cell>
          <cell r="AD500" t="str">
            <v>Left Breast</v>
          </cell>
          <cell r="AE500" t="str">
            <v>Female</v>
          </cell>
          <cell r="AF500">
            <v>55</v>
          </cell>
          <cell r="AG500" t="str">
            <v>N</v>
          </cell>
          <cell r="AH500">
            <v>5.8</v>
          </cell>
          <cell r="AI500" t="str">
            <v>Maruthi</v>
          </cell>
          <cell r="AJ500" t="str">
            <v>Surgery</v>
          </cell>
          <cell r="AK500" t="str">
            <v>Primary</v>
          </cell>
          <cell r="AN500" t="str">
            <v>IIa</v>
          </cell>
          <cell r="AP500" t="str">
            <v>pT2N0Mx</v>
          </cell>
          <cell r="AV500">
            <v>45028</v>
          </cell>
          <cell r="AW500">
            <v>0.89236111111111116</v>
          </cell>
          <cell r="AX500">
            <v>0.95486111111111116</v>
          </cell>
          <cell r="AY500">
            <v>6.25E-2</v>
          </cell>
          <cell r="AZ500">
            <v>9.7222222222222224E-2</v>
          </cell>
          <cell r="BA500">
            <v>0.46527777777777779</v>
          </cell>
          <cell r="BB500" t="str">
            <v>1.0/0.6*2.0*1.9</v>
          </cell>
          <cell r="BC500" t="str">
            <v>1.0/0.6*2.0*1.9</v>
          </cell>
          <cell r="BD500" t="str">
            <v>Manual</v>
          </cell>
          <cell r="BE500">
            <v>14</v>
          </cell>
          <cell r="BF500" t="str">
            <v>syam</v>
          </cell>
          <cell r="BG500" t="str">
            <v>Y</v>
          </cell>
        </row>
        <row r="501">
          <cell r="A501" t="str">
            <v>FBB1H230108</v>
          </cell>
          <cell r="B501">
            <v>230108</v>
          </cell>
          <cell r="C501" t="str">
            <v>Biopharma</v>
          </cell>
          <cell r="D501">
            <v>45028</v>
          </cell>
          <cell r="E501">
            <v>0.35833333333333334</v>
          </cell>
          <cell r="F501">
            <v>45017</v>
          </cell>
          <cell r="G501">
            <v>45028</v>
          </cell>
          <cell r="H501">
            <v>0.90972222222222221</v>
          </cell>
          <cell r="I501">
            <v>0.55138888888888893</v>
          </cell>
          <cell r="J501">
            <v>2</v>
          </cell>
          <cell r="K501" t="str">
            <v>FCB-PROTOCOL-01</v>
          </cell>
          <cell r="L501" t="str">
            <v>CLN/PRA/203</v>
          </cell>
          <cell r="M501" t="str">
            <v>Y</v>
          </cell>
          <cell r="N501" t="str">
            <v>BP007-2023(1H)</v>
          </cell>
          <cell r="O501" t="str">
            <v>Biopharma</v>
          </cell>
          <cell r="P501" t="str">
            <v>Q1 Passed</v>
          </cell>
          <cell r="Q501" t="str">
            <v>Q1 Passed</v>
          </cell>
          <cell r="R501" t="str">
            <v>Q1.5 Passed</v>
          </cell>
          <cell r="S501" t="str">
            <v>Q1.5 Passed</v>
          </cell>
          <cell r="V501" t="str">
            <v>Tumor content 2-30%, inflammation high, areas of degeneration, necrosis present</v>
          </cell>
          <cell r="W501" t="str">
            <v>Private Hospital</v>
          </cell>
          <cell r="X501" t="str">
            <v>Dr Prakash BV, Bangalore</v>
          </cell>
          <cell r="Y501" t="str">
            <v>Sri Lakshmi Hospital, Bangalore</v>
          </cell>
          <cell r="Z501" t="str">
            <v>Dr Prakash BV, Bangalore</v>
          </cell>
          <cell r="AA501" t="str">
            <v>HNSCC</v>
          </cell>
          <cell r="AC501" t="str">
            <v>GBS</v>
          </cell>
          <cell r="AD501" t="str">
            <v>Lower GBS</v>
          </cell>
          <cell r="AE501" t="str">
            <v>Female</v>
          </cell>
          <cell r="AF501">
            <v>70</v>
          </cell>
          <cell r="AG501" t="str">
            <v>N</v>
          </cell>
          <cell r="AH501">
            <v>6.2</v>
          </cell>
          <cell r="AI501" t="str">
            <v>Partha</v>
          </cell>
          <cell r="AJ501" t="str">
            <v>Surgery</v>
          </cell>
          <cell r="AK501" t="str">
            <v>Primary</v>
          </cell>
          <cell r="AN501" t="str">
            <v>IVa</v>
          </cell>
          <cell r="AO501">
            <v>2</v>
          </cell>
          <cell r="AP501" t="str">
            <v>pT4aN1M0</v>
          </cell>
          <cell r="AS501" t="str">
            <v>SCC</v>
          </cell>
          <cell r="AV501">
            <v>45029</v>
          </cell>
          <cell r="AW501">
            <v>0.30486111111111114</v>
          </cell>
          <cell r="AX501">
            <v>0.37708333333333333</v>
          </cell>
          <cell r="AY501">
            <v>7.2222222222222215E-2</v>
          </cell>
          <cell r="AZ501">
            <v>0.46736111111111112</v>
          </cell>
          <cell r="BA501">
            <v>1.8749999999999999E-2</v>
          </cell>
          <cell r="BB501" t="str">
            <v>0.6*0.8*1.4</v>
          </cell>
          <cell r="BC501" t="str">
            <v>0.6*0.8*1.4</v>
          </cell>
          <cell r="BD501" t="str">
            <v>Vibratome</v>
          </cell>
          <cell r="BE501">
            <v>14</v>
          </cell>
          <cell r="BF501" t="str">
            <v>Dharani</v>
          </cell>
          <cell r="BG501" t="str">
            <v>Y</v>
          </cell>
        </row>
        <row r="502">
          <cell r="A502" t="str">
            <v>FBR1Q230109</v>
          </cell>
          <cell r="B502">
            <v>230109</v>
          </cell>
          <cell r="C502" t="str">
            <v>R&amp;D</v>
          </cell>
          <cell r="D502">
            <v>45029</v>
          </cell>
          <cell r="E502">
            <v>0.56597222222222221</v>
          </cell>
          <cell r="F502">
            <v>45017</v>
          </cell>
          <cell r="G502">
            <v>45029</v>
          </cell>
          <cell r="H502">
            <v>0.72083333333333333</v>
          </cell>
          <cell r="I502">
            <v>0.15486111111111112</v>
          </cell>
          <cell r="J502">
            <v>10</v>
          </cell>
          <cell r="K502" t="str">
            <v>FCB-PROTOCOL-01</v>
          </cell>
          <cell r="L502" t="str">
            <v>CLN/JSS/020</v>
          </cell>
          <cell r="M502" t="str">
            <v>Y</v>
          </cell>
          <cell r="N502" t="str">
            <v>COSv4.2_CaBR(1Q-Unknown)</v>
          </cell>
          <cell r="O502" t="str">
            <v>Internal R&amp;D</v>
          </cell>
          <cell r="P502" t="str">
            <v>Q1 Passed</v>
          </cell>
          <cell r="Q502" t="str">
            <v>Q1 Passed</v>
          </cell>
          <cell r="R502" t="str">
            <v>Q1.5 Passed</v>
          </cell>
          <cell r="S502" t="str">
            <v>Q1.5 Passed</v>
          </cell>
          <cell r="V502" t="str">
            <v xml:space="preserve">Tumor content 0-70%. </v>
          </cell>
          <cell r="W502" t="str">
            <v>Clinic'les</v>
          </cell>
          <cell r="X502" t="str">
            <v>Clinic'les- Dr Ravi Krishnappa, Mysore</v>
          </cell>
          <cell r="Y502" t="str">
            <v>JSS Hospital, Mysore</v>
          </cell>
          <cell r="Z502" t="str">
            <v>Dr Ravi Krishnappa, Mysore</v>
          </cell>
          <cell r="AA502" t="str">
            <v>Ca Breast</v>
          </cell>
          <cell r="AB502" t="str">
            <v>Er +
Pr -
Her2 _</v>
          </cell>
          <cell r="AC502" t="str">
            <v>Breast</v>
          </cell>
          <cell r="AD502" t="str">
            <v>Breast</v>
          </cell>
          <cell r="AE502" t="str">
            <v>Female</v>
          </cell>
          <cell r="AF502">
            <v>59</v>
          </cell>
          <cell r="AG502" t="str">
            <v>N</v>
          </cell>
          <cell r="AH502">
            <v>5.0999999999999996</v>
          </cell>
          <cell r="AI502" t="str">
            <v>Shashi</v>
          </cell>
          <cell r="AJ502" t="str">
            <v>Surgery</v>
          </cell>
          <cell r="AK502" t="str">
            <v>Primary</v>
          </cell>
          <cell r="AQ502">
            <v>6</v>
          </cell>
          <cell r="AR502" t="str">
            <v>Pclitaxel and Carboplatin</v>
          </cell>
          <cell r="AV502">
            <v>45029</v>
          </cell>
          <cell r="AW502">
            <v>0.75069444444444444</v>
          </cell>
          <cell r="AX502">
            <v>0.83680555555555558</v>
          </cell>
          <cell r="AY502">
            <v>8.611111111111111E-2</v>
          </cell>
          <cell r="AZ502">
            <v>0.11597222222222223</v>
          </cell>
          <cell r="BA502">
            <v>0.27083333333333331</v>
          </cell>
          <cell r="BB502" t="str">
            <v>0.6*2.0*2.6
0.4*1.0*2.1</v>
          </cell>
          <cell r="BC502" t="str">
            <v>0.6*2.0*2.6
0.4*1.0*2.1</v>
          </cell>
          <cell r="BD502" t="str">
            <v>Manual</v>
          </cell>
          <cell r="BE502">
            <v>14</v>
          </cell>
          <cell r="BF502" t="str">
            <v>Syam</v>
          </cell>
          <cell r="BG502" t="str">
            <v>Y</v>
          </cell>
        </row>
        <row r="503">
          <cell r="A503" t="str">
            <v>FBR1R230110</v>
          </cell>
          <cell r="B503">
            <v>230110</v>
          </cell>
          <cell r="C503" t="str">
            <v>R&amp;D</v>
          </cell>
          <cell r="D503">
            <v>45029</v>
          </cell>
          <cell r="E503">
            <v>0.71527777777777779</v>
          </cell>
          <cell r="F503">
            <v>45017</v>
          </cell>
          <cell r="G503">
            <v>45029</v>
          </cell>
          <cell r="H503">
            <v>0.78680555555555554</v>
          </cell>
          <cell r="I503">
            <v>7.1527777777777773E-2</v>
          </cell>
          <cell r="J503">
            <v>20</v>
          </cell>
          <cell r="K503" t="str">
            <v>FCB-PROTOCOL-02</v>
          </cell>
          <cell r="L503" t="str">
            <v>HN051</v>
          </cell>
          <cell r="M503" t="str">
            <v>Y</v>
          </cell>
          <cell r="N503" t="str">
            <v>BSS(1R)</v>
          </cell>
          <cell r="O503" t="str">
            <v>Internal R&amp;D</v>
          </cell>
          <cell r="P503" t="str">
            <v>Q1 Passed</v>
          </cell>
          <cell r="Q503" t="str">
            <v>Q1 Passed</v>
          </cell>
          <cell r="R503" t="str">
            <v>Compromised</v>
          </cell>
          <cell r="S503" t="str">
            <v>Q1.5 Passed</v>
          </cell>
          <cell r="V503" t="str">
            <v>Tumor content 0-85%. Some explants show only SSE</v>
          </cell>
          <cell r="W503" t="str">
            <v>Private Hospital</v>
          </cell>
          <cell r="X503" t="str">
            <v>Mazumdar Shaw Medical Centre, Bangalore</v>
          </cell>
          <cell r="Y503" t="str">
            <v>Mazumdar Shaw Medical Centre, Bangalore</v>
          </cell>
          <cell r="Z503" t="str">
            <v>Dr Vijay Pillai, Bangalore</v>
          </cell>
          <cell r="AA503" t="str">
            <v>HNSCC</v>
          </cell>
          <cell r="AC503" t="str">
            <v>Buccal Mucosa</v>
          </cell>
          <cell r="AD503" t="str">
            <v>Buccal Mucosa</v>
          </cell>
          <cell r="AE503" t="str">
            <v>Male</v>
          </cell>
          <cell r="AF503">
            <v>36</v>
          </cell>
          <cell r="AG503" t="str">
            <v>N</v>
          </cell>
          <cell r="AH503">
            <v>4.9000000000000004</v>
          </cell>
          <cell r="AI503" t="str">
            <v>Shashi</v>
          </cell>
          <cell r="AJ503" t="str">
            <v>Surgery</v>
          </cell>
          <cell r="AK503" t="str">
            <v>Primary</v>
          </cell>
          <cell r="AN503" t="str">
            <v>III</v>
          </cell>
          <cell r="AO503">
            <v>1</v>
          </cell>
          <cell r="AP503" t="str">
            <v>pT3</v>
          </cell>
          <cell r="AS503" t="str">
            <v>well differentiated squamous cell carcinoma</v>
          </cell>
          <cell r="AV503">
            <v>45029</v>
          </cell>
          <cell r="AW503">
            <v>0.81111111111111112</v>
          </cell>
          <cell r="AX503">
            <v>0.87847222222222221</v>
          </cell>
          <cell r="AY503">
            <v>6.7361111111111108E-2</v>
          </cell>
          <cell r="AZ503">
            <v>9.166666666666666E-2</v>
          </cell>
          <cell r="BA503">
            <v>0.16319444444444445</v>
          </cell>
          <cell r="BB503" t="str">
            <v>0.2/0.7*0.7*0.9</v>
          </cell>
          <cell r="BC503" t="str">
            <v>0.2/0.7*0.7*0.9</v>
          </cell>
          <cell r="BD503" t="str">
            <v>Manual</v>
          </cell>
          <cell r="BE503">
            <v>14</v>
          </cell>
          <cell r="BF503" t="str">
            <v>Syam</v>
          </cell>
          <cell r="BG503" t="str">
            <v>Y</v>
          </cell>
        </row>
        <row r="504">
          <cell r="A504" t="str">
            <v>FBB1H230111</v>
          </cell>
          <cell r="B504">
            <v>230111</v>
          </cell>
          <cell r="C504" t="str">
            <v>Biopharma</v>
          </cell>
          <cell r="D504">
            <v>45029</v>
          </cell>
          <cell r="E504">
            <v>0.47569444444444442</v>
          </cell>
          <cell r="F504">
            <v>45017</v>
          </cell>
          <cell r="G504">
            <v>45029</v>
          </cell>
          <cell r="H504">
            <v>0.80208333333333337</v>
          </cell>
          <cell r="I504">
            <v>0.3263888888888889</v>
          </cell>
          <cell r="J504">
            <v>15</v>
          </cell>
          <cell r="K504" t="str">
            <v>FCB-PROTOCOL-01</v>
          </cell>
          <cell r="L504" t="str">
            <v>CLN/DBR/140</v>
          </cell>
          <cell r="M504" t="str">
            <v>Y</v>
          </cell>
          <cell r="N504" t="str">
            <v>BP007-2023(1H)</v>
          </cell>
          <cell r="O504" t="str">
            <v>Biopharma</v>
          </cell>
          <cell r="P504" t="str">
            <v>Q1 Passed</v>
          </cell>
          <cell r="Q504" t="str">
            <v>Q1 Passed</v>
          </cell>
          <cell r="R504" t="str">
            <v>Q1.5 Passed</v>
          </cell>
          <cell r="S504" t="str">
            <v>Q1.5 Passed</v>
          </cell>
          <cell r="V504" t="str">
            <v>Tumor content 25-75% with good presence of immune cells</v>
          </cell>
          <cell r="W504" t="str">
            <v>Clinic'les</v>
          </cell>
          <cell r="X504" t="str">
            <v>Clinic'les- DBR &amp; SK Hospital, Tirupati</v>
          </cell>
          <cell r="Y504" t="str">
            <v>DBR &amp; SK Hospital, Tirupati</v>
          </cell>
          <cell r="Z504" t="str">
            <v>Dr C Jayaprakash, Tirupati</v>
          </cell>
          <cell r="AA504" t="str">
            <v>HNSCC</v>
          </cell>
          <cell r="AC504" t="str">
            <v>Buccal Mucosa</v>
          </cell>
          <cell r="AD504" t="str">
            <v>Left Buccal Mucosa</v>
          </cell>
          <cell r="AE504" t="str">
            <v>Female</v>
          </cell>
          <cell r="AF504">
            <v>47</v>
          </cell>
          <cell r="AG504" t="str">
            <v>N</v>
          </cell>
          <cell r="AH504">
            <v>4.8</v>
          </cell>
          <cell r="AI504" t="str">
            <v>Maruthi</v>
          </cell>
          <cell r="AJ504" t="str">
            <v>Surgery</v>
          </cell>
          <cell r="AK504" t="str">
            <v>Primary</v>
          </cell>
          <cell r="AN504" t="str">
            <v>III</v>
          </cell>
          <cell r="AP504" t="str">
            <v>pT3N1Mx</v>
          </cell>
          <cell r="AV504">
            <v>45029</v>
          </cell>
          <cell r="AW504">
            <v>0.82847222222222228</v>
          </cell>
          <cell r="AX504">
            <v>0.92361111111111116</v>
          </cell>
          <cell r="AY504">
            <v>9.5138888888888884E-2</v>
          </cell>
          <cell r="AZ504">
            <v>0.12152777777777778</v>
          </cell>
          <cell r="BA504">
            <v>0.44791666666666669</v>
          </cell>
          <cell r="BB504" t="str">
            <v>0.7*1.5*1.9</v>
          </cell>
          <cell r="BC504" t="str">
            <v>0.7*1.5*1.9</v>
          </cell>
          <cell r="BD504" t="str">
            <v>Vibratome</v>
          </cell>
          <cell r="BE504">
            <v>14</v>
          </cell>
          <cell r="BF504" t="str">
            <v>Biswajit</v>
          </cell>
          <cell r="BG504" t="str">
            <v>Y</v>
          </cell>
        </row>
        <row r="505">
          <cell r="A505" t="str">
            <v>FBB1H230112</v>
          </cell>
          <cell r="B505">
            <v>230112</v>
          </cell>
          <cell r="C505" t="str">
            <v>Biopharma</v>
          </cell>
          <cell r="D505">
            <v>45031</v>
          </cell>
          <cell r="E505">
            <v>0.84791666666666665</v>
          </cell>
          <cell r="F505">
            <v>45017</v>
          </cell>
          <cell r="G505">
            <v>45031</v>
          </cell>
          <cell r="H505">
            <v>0.87847222222222221</v>
          </cell>
          <cell r="I505">
            <v>3.0555555555555555E-2</v>
          </cell>
          <cell r="J505">
            <v>2</v>
          </cell>
          <cell r="K505" t="str">
            <v>FCB-PROTOCOL-01</v>
          </cell>
          <cell r="L505" t="str">
            <v>CLN/PRA/204</v>
          </cell>
          <cell r="M505" t="str">
            <v>Y</v>
          </cell>
          <cell r="N505" t="str">
            <v>BP007-2023(1H)</v>
          </cell>
          <cell r="O505" t="str">
            <v>Biopharma</v>
          </cell>
          <cell r="P505" t="str">
            <v>Q1 Passed</v>
          </cell>
          <cell r="Q505" t="str">
            <v>Q1 Passed</v>
          </cell>
          <cell r="R505" t="str">
            <v>Q1.5 Passed</v>
          </cell>
          <cell r="S505" t="str">
            <v>Q1.5 Passed</v>
          </cell>
          <cell r="V505" t="str">
            <v>Tumor content 60-95%</v>
          </cell>
          <cell r="W505" t="str">
            <v>Private Hospital</v>
          </cell>
          <cell r="X505" t="str">
            <v>Dr Prakash BV, Bangalore</v>
          </cell>
          <cell r="Y505" t="str">
            <v>ASWAD Hospital</v>
          </cell>
          <cell r="Z505" t="str">
            <v>Dr Prakash BV, Bangalore</v>
          </cell>
          <cell r="AA505" t="str">
            <v>HNSCC</v>
          </cell>
          <cell r="AC505" t="str">
            <v>Buccal Mucosa</v>
          </cell>
          <cell r="AD505" t="str">
            <v>Right buccal mucosa</v>
          </cell>
          <cell r="AE505" t="str">
            <v>Female</v>
          </cell>
          <cell r="AF505">
            <v>60</v>
          </cell>
          <cell r="AG505" t="str">
            <v>N</v>
          </cell>
          <cell r="AH505">
            <v>5.0999999999999996</v>
          </cell>
          <cell r="AI505" t="str">
            <v>Shashi</v>
          </cell>
          <cell r="AJ505" t="str">
            <v>Surgery</v>
          </cell>
          <cell r="AK505" t="str">
            <v>Primary</v>
          </cell>
          <cell r="AN505" t="str">
            <v>III</v>
          </cell>
          <cell r="AO505">
            <v>2</v>
          </cell>
          <cell r="AP505" t="str">
            <v>pT2N1M0</v>
          </cell>
          <cell r="AV505">
            <v>45031</v>
          </cell>
          <cell r="AW505">
            <v>0.2951388888888889</v>
          </cell>
          <cell r="AX505">
            <v>0.36666666666666664</v>
          </cell>
          <cell r="AY505">
            <v>7.1527777777777773E-2</v>
          </cell>
          <cell r="AZ50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0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505" t="str">
            <v>0.6*1.2*2.0</v>
          </cell>
          <cell r="BC505" t="str">
            <v>0.6*1.2*2.0</v>
          </cell>
          <cell r="BD505" t="str">
            <v>Vibratome</v>
          </cell>
          <cell r="BE505">
            <v>14</v>
          </cell>
          <cell r="BF505" t="str">
            <v>Kowshik</v>
          </cell>
          <cell r="BG505" t="str">
            <v>Y</v>
          </cell>
        </row>
        <row r="506">
          <cell r="A506" t="str">
            <v>FBR1X230113</v>
          </cell>
          <cell r="B506">
            <v>230113</v>
          </cell>
          <cell r="C506" t="str">
            <v>R&amp;D</v>
          </cell>
          <cell r="D506">
            <v>45033</v>
          </cell>
          <cell r="E506">
            <v>0.3923611111111111</v>
          </cell>
          <cell r="F506">
            <v>45017</v>
          </cell>
          <cell r="G506">
            <v>45033</v>
          </cell>
          <cell r="H506">
            <v>0.46666666666666667</v>
          </cell>
          <cell r="I506">
            <v>7.4305555555555555E-2</v>
          </cell>
          <cell r="J506">
            <v>0</v>
          </cell>
          <cell r="K506" t="str">
            <v>FCB-PROTOCOL-02</v>
          </cell>
          <cell r="L506" t="str">
            <v>HN052</v>
          </cell>
          <cell r="M506" t="str">
            <v>Y</v>
          </cell>
          <cell r="N506" t="str">
            <v>Biopsy HNSCC (1X)</v>
          </cell>
          <cell r="O506" t="str">
            <v>Internal R&amp;D</v>
          </cell>
          <cell r="P506" t="str">
            <v>Q1 Passed</v>
          </cell>
          <cell r="Q506" t="str">
            <v>Q1 Rejected</v>
          </cell>
          <cell r="R506" t="str">
            <v>Compromised</v>
          </cell>
          <cell r="S506" t="str">
            <v>Q1.5 Passed</v>
          </cell>
          <cell r="T506" t="str">
            <v>blood heamolysed</v>
          </cell>
          <cell r="V506" t="str">
            <v>Tumor content 60-98%</v>
          </cell>
          <cell r="W506" t="str">
            <v>Private Hospital</v>
          </cell>
          <cell r="X506" t="str">
            <v>Mazumdar Shaw Medical Centre, Bangalore</v>
          </cell>
          <cell r="Y506" t="str">
            <v>Mazumdar Shaw Medical Centre, Bangalore</v>
          </cell>
          <cell r="Z506" t="str">
            <v>Dr Vijay Pillai, Bangalore</v>
          </cell>
          <cell r="AA506" t="str">
            <v>HNSCC</v>
          </cell>
          <cell r="AC506" t="str">
            <v>Larynx</v>
          </cell>
          <cell r="AD506" t="str">
            <v>Larynx</v>
          </cell>
          <cell r="AE506" t="str">
            <v>Male</v>
          </cell>
          <cell r="AF506">
            <v>57</v>
          </cell>
          <cell r="AG506" t="str">
            <v>N</v>
          </cell>
          <cell r="AH506">
            <v>4.9000000000000004</v>
          </cell>
          <cell r="AI506" t="str">
            <v>Shashi</v>
          </cell>
          <cell r="AJ506" t="str">
            <v>Biopsy</v>
          </cell>
          <cell r="AK506" t="str">
            <v>Primary</v>
          </cell>
          <cell r="AO506">
            <v>2</v>
          </cell>
          <cell r="AS506" t="str">
            <v>Moderately differentiated , squamous cell carcinoma</v>
          </cell>
          <cell r="AV506">
            <v>45033</v>
          </cell>
          <cell r="AW506">
            <v>0.47986111111111113</v>
          </cell>
          <cell r="AX506">
            <v>0.53125</v>
          </cell>
          <cell r="AY506">
            <v>5.1388888888888887E-2</v>
          </cell>
          <cell r="AZ506">
            <v>6.458333333333334E-2</v>
          </cell>
          <cell r="BA506">
            <v>0.1388888888888889</v>
          </cell>
          <cell r="BB506" t="str">
            <v>0.4/0.2*0.2*0.6</v>
          </cell>
          <cell r="BC506" t="str">
            <v>0.4/0.2*0.2*0.6</v>
          </cell>
          <cell r="BD506" t="str">
            <v>Manual</v>
          </cell>
          <cell r="BE506">
            <v>14</v>
          </cell>
          <cell r="BF506" t="str">
            <v>Mouniss</v>
          </cell>
          <cell r="BG506" t="str">
            <v>N</v>
          </cell>
        </row>
        <row r="507">
          <cell r="A507" t="str">
            <v>FBR1Q230114</v>
          </cell>
          <cell r="B507">
            <v>230114</v>
          </cell>
          <cell r="C507" t="str">
            <v>R&amp;D</v>
          </cell>
          <cell r="D507">
            <v>45033</v>
          </cell>
          <cell r="E507">
            <v>0.59375</v>
          </cell>
          <cell r="F507">
            <v>45017</v>
          </cell>
          <cell r="G507">
            <v>45033</v>
          </cell>
          <cell r="H507">
            <v>0.72986111111111107</v>
          </cell>
          <cell r="I507">
            <v>0.1361111111111111</v>
          </cell>
          <cell r="J507">
            <v>2</v>
          </cell>
          <cell r="K507" t="str">
            <v>FCB-PROTOCOL-01</v>
          </cell>
          <cell r="L507" t="str">
            <v>CLN/JSS/021</v>
          </cell>
          <cell r="M507" t="str">
            <v>Y</v>
          </cell>
          <cell r="N507" t="str">
            <v>COSv4.2_CaBR(1Q-Unknown)</v>
          </cell>
          <cell r="O507" t="str">
            <v>Internal R&amp;D</v>
          </cell>
          <cell r="P507" t="str">
            <v>Q1 Passed</v>
          </cell>
          <cell r="Q507" t="str">
            <v>Q1 Passed</v>
          </cell>
          <cell r="R507" t="str">
            <v>Q1.5 Passed</v>
          </cell>
          <cell r="S507" t="str">
            <v>Q1.5 Passed</v>
          </cell>
          <cell r="V507" t="str">
            <v>Tumor content 4-65%</v>
          </cell>
          <cell r="W507" t="str">
            <v>Clinic'les</v>
          </cell>
          <cell r="X507" t="str">
            <v>Clinic'les- Dr Ravi Krishnappa, Mysore</v>
          </cell>
          <cell r="Y507" t="str">
            <v>JSS Hospital, Mysore</v>
          </cell>
          <cell r="Z507" t="str">
            <v>Dr Ravi Krishnappa, Mysore</v>
          </cell>
          <cell r="AA507" t="str">
            <v>Ca Breast</v>
          </cell>
          <cell r="AB507" t="str">
            <v>Er +
Pr +
Her2 -</v>
          </cell>
          <cell r="AC507" t="str">
            <v>Breast</v>
          </cell>
          <cell r="AD507" t="str">
            <v>Right Breast</v>
          </cell>
          <cell r="AE507" t="str">
            <v>Female</v>
          </cell>
          <cell r="AF507">
            <v>52</v>
          </cell>
          <cell r="AG507" t="str">
            <v>N</v>
          </cell>
          <cell r="AH507">
            <v>5.4</v>
          </cell>
          <cell r="AI507" t="str">
            <v>Kalappa</v>
          </cell>
          <cell r="AJ507" t="str">
            <v>Surgery</v>
          </cell>
          <cell r="AK507" t="str">
            <v>Primary</v>
          </cell>
          <cell r="AV507">
            <v>45033</v>
          </cell>
          <cell r="AW507">
            <v>0.75694444444444442</v>
          </cell>
          <cell r="AX507">
            <v>0.81597222222222221</v>
          </cell>
          <cell r="AY507">
            <v>5.9027777777777776E-2</v>
          </cell>
          <cell r="AZ507">
            <v>8.611111111111111E-2</v>
          </cell>
          <cell r="BA507">
            <v>0.22222222222222221</v>
          </cell>
          <cell r="BB507" t="str">
            <v>0.6*0.6*2.0/2.4
0.3*1.2*1.4</v>
          </cell>
          <cell r="BC507" t="str">
            <v>0.6*0.6*2.0/2.4
0.3*1.2*1.4</v>
          </cell>
          <cell r="BD507" t="str">
            <v>Manual</v>
          </cell>
          <cell r="BE507">
            <v>14</v>
          </cell>
          <cell r="BF507" t="str">
            <v>Dharani</v>
          </cell>
          <cell r="BG507" t="str">
            <v>Y</v>
          </cell>
        </row>
        <row r="508">
          <cell r="A508" t="str">
            <v>FBR1X230115</v>
          </cell>
          <cell r="B508">
            <v>230115</v>
          </cell>
          <cell r="C508" t="str">
            <v>R&amp;D</v>
          </cell>
          <cell r="D508">
            <v>45036</v>
          </cell>
          <cell r="E508">
            <v>0.54166666666666663</v>
          </cell>
          <cell r="F508">
            <v>45017</v>
          </cell>
          <cell r="G508">
            <v>45036</v>
          </cell>
          <cell r="H508">
            <v>0.59027777777777779</v>
          </cell>
          <cell r="I508">
            <v>4.8611111111111112E-2</v>
          </cell>
          <cell r="J508">
            <v>0</v>
          </cell>
          <cell r="K508" t="str">
            <v>FCB-PROTOCOL-02</v>
          </cell>
          <cell r="L508" t="str">
            <v>HN053</v>
          </cell>
          <cell r="M508" t="str">
            <v>Y</v>
          </cell>
          <cell r="N508" t="str">
            <v>Biopsy HNSCC (1X)</v>
          </cell>
          <cell r="O508" t="str">
            <v>Internal R&amp;D</v>
          </cell>
          <cell r="P508" t="str">
            <v>Q1 Passed</v>
          </cell>
          <cell r="Q508" t="str">
            <v>Q1 Passed</v>
          </cell>
          <cell r="R508" t="str">
            <v>Q1.5 Passed</v>
          </cell>
          <cell r="S508" t="str">
            <v>Q1.5 Rejected</v>
          </cell>
          <cell r="U508" t="str">
            <v>Y</v>
          </cell>
          <cell r="V508" t="str">
            <v>No tumor-Single fragment, others lost during processing</v>
          </cell>
          <cell r="W508" t="str">
            <v>Private Hospital</v>
          </cell>
          <cell r="X508" t="str">
            <v>Mazumdar Shaw Medical Centre, Bangalore</v>
          </cell>
          <cell r="Y508" t="str">
            <v>Mazumdar Shaw Medical Centre, Bangalore</v>
          </cell>
          <cell r="Z508" t="str">
            <v>Dr Vijay Pillai, Bangalore</v>
          </cell>
          <cell r="AA508" t="str">
            <v>HNSCC</v>
          </cell>
          <cell r="AC508" t="str">
            <v>Larynx</v>
          </cell>
          <cell r="AD508" t="str">
            <v>Larynx</v>
          </cell>
          <cell r="AE508" t="str">
            <v>Male</v>
          </cell>
          <cell r="AF508">
            <v>51</v>
          </cell>
          <cell r="AG508" t="str">
            <v>N</v>
          </cell>
          <cell r="AH508">
            <v>4.5</v>
          </cell>
          <cell r="AI508" t="str">
            <v>Kalappa</v>
          </cell>
          <cell r="AJ508" t="str">
            <v>Biopsy</v>
          </cell>
          <cell r="AK508" t="str">
            <v>Primary</v>
          </cell>
          <cell r="AV508">
            <v>45036</v>
          </cell>
          <cell r="AW508">
            <v>0.62361111111111112</v>
          </cell>
          <cell r="AX508">
            <v>0.68055555555555558</v>
          </cell>
          <cell r="AY508">
            <v>5.6944444444444443E-2</v>
          </cell>
          <cell r="AZ508">
            <v>9.0277777777777776E-2</v>
          </cell>
          <cell r="BA508">
            <v>0.1388888888888889</v>
          </cell>
          <cell r="BB508" t="str">
            <v>0.2/0.1*0.1*0.1</v>
          </cell>
          <cell r="BC508" t="str">
            <v>0.2/0.1*0.1*0.1</v>
          </cell>
          <cell r="BD508" t="str">
            <v>Manual</v>
          </cell>
          <cell r="BE508">
            <v>14</v>
          </cell>
          <cell r="BF508" t="str">
            <v>Mouniss</v>
          </cell>
          <cell r="BG508" t="str">
            <v>N</v>
          </cell>
        </row>
        <row r="509">
          <cell r="A509" t="str">
            <v>FBR1Y230116</v>
          </cell>
          <cell r="B509">
            <v>230116</v>
          </cell>
          <cell r="C509" t="str">
            <v>R&amp;D</v>
          </cell>
          <cell r="D509">
            <v>45036</v>
          </cell>
          <cell r="E509">
            <v>0.49166666666666664</v>
          </cell>
          <cell r="F509">
            <v>45017</v>
          </cell>
          <cell r="G509">
            <v>45036</v>
          </cell>
          <cell r="H509">
            <v>0.59513888888888888</v>
          </cell>
          <cell r="I509">
            <v>0.10347222222222222</v>
          </cell>
          <cell r="J509">
            <v>1</v>
          </cell>
          <cell r="K509" t="str">
            <v>FCB-PROTOCOL-01</v>
          </cell>
          <cell r="L509" t="str">
            <v>VYD/164</v>
          </cell>
          <cell r="M509" t="str">
            <v>Y</v>
          </cell>
          <cell r="N509" t="str">
            <v>CCS Study (1Y)</v>
          </cell>
          <cell r="O509" t="str">
            <v>Internal R&amp;D</v>
          </cell>
          <cell r="P509" t="str">
            <v>Q1 Passed</v>
          </cell>
          <cell r="Q509" t="str">
            <v>Q1 Rejected</v>
          </cell>
          <cell r="R509" t="str">
            <v>Compromised</v>
          </cell>
          <cell r="S509" t="str">
            <v>Q1.5 Passed</v>
          </cell>
          <cell r="T509" t="str">
            <v>Blood clotted</v>
          </cell>
          <cell r="V509" t="str">
            <v>Tumor content 55-90%</v>
          </cell>
          <cell r="W509" t="str">
            <v>Private Hospital</v>
          </cell>
          <cell r="X509" t="str">
            <v>Vydehi Hospital, Bangalore</v>
          </cell>
          <cell r="Y509" t="str">
            <v>Vydehi Hospital, Bangalore</v>
          </cell>
          <cell r="Z509" t="str">
            <v>Dr Amritha Prabha, Bangalore</v>
          </cell>
          <cell r="AA509" t="str">
            <v>HNSCC</v>
          </cell>
          <cell r="AC509" t="str">
            <v>Buccal Mucosa</v>
          </cell>
          <cell r="AD509" t="str">
            <v>Right buccal mucosa</v>
          </cell>
          <cell r="AE509" t="str">
            <v>Male</v>
          </cell>
          <cell r="AF509">
            <v>58</v>
          </cell>
          <cell r="AG509" t="str">
            <v>N</v>
          </cell>
          <cell r="AH509">
            <v>4.3</v>
          </cell>
          <cell r="AI509" t="str">
            <v>Maruthi</v>
          </cell>
          <cell r="AJ509" t="str">
            <v>Surgery</v>
          </cell>
          <cell r="AK509" t="str">
            <v>Primary</v>
          </cell>
          <cell r="AN509" t="str">
            <v>IVa</v>
          </cell>
          <cell r="AO509">
            <v>2</v>
          </cell>
          <cell r="AP509" t="str">
            <v>pT4aN1</v>
          </cell>
          <cell r="AV509">
            <v>45036</v>
          </cell>
          <cell r="AW509">
            <v>0.62986111111111109</v>
          </cell>
          <cell r="AX509">
            <v>0.70138888888888884</v>
          </cell>
          <cell r="AY509">
            <v>7.1527777777777773E-2</v>
          </cell>
          <cell r="AZ509">
            <v>0.10625</v>
          </cell>
          <cell r="BA509">
            <v>0.20972222222222223</v>
          </cell>
          <cell r="BB509" t="str">
            <v>0.4*0.6*1.0
0.4*0.5*0.6</v>
          </cell>
          <cell r="BC509" t="str">
            <v>0.4*0.6*1.0
0.4*0.5*0.6</v>
          </cell>
          <cell r="BD509" t="str">
            <v>Manual</v>
          </cell>
          <cell r="BE509">
            <v>14</v>
          </cell>
          <cell r="BF509" t="str">
            <v>Mouniss</v>
          </cell>
          <cell r="BG509" t="str">
            <v>N</v>
          </cell>
        </row>
        <row r="510">
          <cell r="A510" t="str">
            <v>FBR1Y230117</v>
          </cell>
          <cell r="B510">
            <v>230117</v>
          </cell>
          <cell r="C510" t="str">
            <v>R&amp;D</v>
          </cell>
          <cell r="D510">
            <v>45037</v>
          </cell>
          <cell r="E510">
            <v>0.54861111111111116</v>
          </cell>
          <cell r="F510">
            <v>45017</v>
          </cell>
          <cell r="G510">
            <v>45037</v>
          </cell>
          <cell r="H510">
            <v>0.62638888888888888</v>
          </cell>
          <cell r="I510">
            <v>7.7777777777777779E-2</v>
          </cell>
          <cell r="J510">
            <v>8</v>
          </cell>
          <cell r="K510" t="str">
            <v>FCB-PROTOCOL-02</v>
          </cell>
          <cell r="L510" t="str">
            <v>HN054</v>
          </cell>
          <cell r="M510" t="str">
            <v>Y</v>
          </cell>
          <cell r="N510" t="str">
            <v>CCS Study (1Y)</v>
          </cell>
          <cell r="O510" t="str">
            <v>Internal R&amp;D</v>
          </cell>
          <cell r="P510" t="str">
            <v>Q1 Passed</v>
          </cell>
          <cell r="Q510" t="str">
            <v>Q1 Passed</v>
          </cell>
          <cell r="R510" t="str">
            <v>Compromised</v>
          </cell>
          <cell r="S510" t="str">
            <v>Q1.5 Passed</v>
          </cell>
          <cell r="T510" t="str">
            <v>tissue height was small</v>
          </cell>
          <cell r="V510" t="str">
            <v>Tumor content 5-35%, areas of degeneration present</v>
          </cell>
          <cell r="W510" t="str">
            <v>Private Hospital</v>
          </cell>
          <cell r="X510" t="str">
            <v>Mazumdar Shaw Medical Centre, Bangalore</v>
          </cell>
          <cell r="Y510" t="str">
            <v>Mazumdar Shaw Medical Centre, Bangalore</v>
          </cell>
          <cell r="Z510" t="str">
            <v>Dr Vijay Pillai, Bangalore</v>
          </cell>
          <cell r="AA510" t="str">
            <v>HNSCC</v>
          </cell>
          <cell r="AC510" t="str">
            <v>Buccal Mucosa</v>
          </cell>
          <cell r="AD510" t="str">
            <v>Buccal Mucosa</v>
          </cell>
          <cell r="AE510" t="str">
            <v>Male</v>
          </cell>
          <cell r="AF510">
            <v>30</v>
          </cell>
          <cell r="AG510" t="str">
            <v>N</v>
          </cell>
          <cell r="AH510">
            <v>5.0999999999999996</v>
          </cell>
          <cell r="AI510" t="str">
            <v>Shashi</v>
          </cell>
          <cell r="AJ510" t="str">
            <v>Surgery</v>
          </cell>
          <cell r="AK510" t="str">
            <v>Primary</v>
          </cell>
          <cell r="AN510" t="str">
            <v>II</v>
          </cell>
          <cell r="AO510">
            <v>1</v>
          </cell>
          <cell r="AP510" t="str">
            <v>pT2</v>
          </cell>
          <cell r="AS510" t="str">
            <v>well differentiated squamous cell carcinoma</v>
          </cell>
          <cell r="AV510">
            <v>45037</v>
          </cell>
          <cell r="AW510">
            <v>0.65069444444444446</v>
          </cell>
          <cell r="AX510">
            <v>0.71527777777777779</v>
          </cell>
          <cell r="AY510">
            <v>6.458333333333334E-2</v>
          </cell>
          <cell r="AZ510">
            <v>8.8888888888888892E-2</v>
          </cell>
          <cell r="BA510">
            <v>0.16666666666666666</v>
          </cell>
          <cell r="BB510" t="str">
            <v>0.2*0.4*0.6
0.1*0.3*0.4
0.1*0.2*0.4
0.1*0.2*0.2</v>
          </cell>
          <cell r="BC510" t="str">
            <v>0.2*0.4*0.6
0.1*0.3*0.4
0.1*0.2*0.4
0.1*0.2*0.2</v>
          </cell>
          <cell r="BD510" t="str">
            <v>Manual</v>
          </cell>
          <cell r="BE510">
            <v>14</v>
          </cell>
          <cell r="BF510" t="str">
            <v>Kuberan</v>
          </cell>
          <cell r="BG510" t="str">
            <v>N</v>
          </cell>
        </row>
        <row r="511">
          <cell r="A511" t="str">
            <v>FBB1H230118</v>
          </cell>
          <cell r="B511">
            <v>230118</v>
          </cell>
          <cell r="C511" t="str">
            <v>Biopharma</v>
          </cell>
          <cell r="D511">
            <v>45037</v>
          </cell>
          <cell r="E511">
            <v>0.74444444444444446</v>
          </cell>
          <cell r="F511">
            <v>45017</v>
          </cell>
          <cell r="G511">
            <v>45037</v>
          </cell>
          <cell r="H511">
            <v>0.80972222222222223</v>
          </cell>
          <cell r="I511">
            <v>6.5277777777777782E-2</v>
          </cell>
          <cell r="J511">
            <v>2</v>
          </cell>
          <cell r="K511" t="str">
            <v>FCB-PROTOCOL-01</v>
          </cell>
          <cell r="L511" t="str">
            <v>CLN/PRA/205</v>
          </cell>
          <cell r="M511" t="str">
            <v>Y</v>
          </cell>
          <cell r="N511" t="str">
            <v>BP007-2023(1H)</v>
          </cell>
          <cell r="O511" t="str">
            <v>Biopharma</v>
          </cell>
          <cell r="P511" t="str">
            <v>Q1 Passed</v>
          </cell>
          <cell r="Q511" t="str">
            <v>Q1 Passed</v>
          </cell>
          <cell r="R511" t="str">
            <v>Q1.5 Passed</v>
          </cell>
          <cell r="S511" t="str">
            <v>Q1.5 Passed</v>
          </cell>
          <cell r="V511" t="str">
            <v xml:space="preserve">Tumor content 0-35%. Two fragments without tumor </v>
          </cell>
          <cell r="W511" t="str">
            <v>Private Hospital</v>
          </cell>
          <cell r="X511" t="str">
            <v>Dr Prakash BV, Bangalore</v>
          </cell>
          <cell r="Y511" t="str">
            <v>ASWAD Hospital</v>
          </cell>
          <cell r="Z511" t="str">
            <v>Dr Prakash BV, Bangalore</v>
          </cell>
          <cell r="AA511" t="str">
            <v>HNSCC</v>
          </cell>
          <cell r="AC511" t="str">
            <v>pyriform fossa</v>
          </cell>
          <cell r="AD511" t="str">
            <v>Left pyriform fossa</v>
          </cell>
          <cell r="AE511" t="str">
            <v>Female</v>
          </cell>
          <cell r="AF511">
            <v>50</v>
          </cell>
          <cell r="AG511" t="str">
            <v>N</v>
          </cell>
          <cell r="AH511">
            <v>5.6</v>
          </cell>
          <cell r="AI511" t="str">
            <v>Kalappa</v>
          </cell>
          <cell r="AJ511" t="str">
            <v>Surgery</v>
          </cell>
          <cell r="AK511" t="str">
            <v>Primary</v>
          </cell>
          <cell r="AN511" t="str">
            <v>IV</v>
          </cell>
          <cell r="AO511">
            <v>2</v>
          </cell>
          <cell r="AP511" t="str">
            <v>pT4N0M0</v>
          </cell>
          <cell r="AV511">
            <v>45037</v>
          </cell>
          <cell r="AW511">
            <v>0.27986111111111112</v>
          </cell>
          <cell r="AX511">
            <v>0.44722222222222224</v>
          </cell>
          <cell r="AY511">
            <v>0.1673611111111111</v>
          </cell>
          <cell r="AZ51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1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511" t="str">
            <v>0.8/0.4*1.4*3.1</v>
          </cell>
          <cell r="BC511" t="str">
            <v>0.8/0.4*1.4*3.1</v>
          </cell>
          <cell r="BD511" t="str">
            <v>Vibratome</v>
          </cell>
          <cell r="BE511">
            <v>14</v>
          </cell>
          <cell r="BF511" t="str">
            <v>Mouniss</v>
          </cell>
          <cell r="BG511" t="str">
            <v>Y</v>
          </cell>
        </row>
        <row r="512">
          <cell r="A512" t="str">
            <v>FBR1Z230119</v>
          </cell>
          <cell r="B512">
            <v>230119</v>
          </cell>
          <cell r="C512" t="str">
            <v>R&amp;D</v>
          </cell>
          <cell r="D512">
            <v>45040</v>
          </cell>
          <cell r="E512">
            <v>0.53055555555555556</v>
          </cell>
          <cell r="F512">
            <v>45017</v>
          </cell>
          <cell r="G512">
            <v>45040</v>
          </cell>
          <cell r="H512">
            <v>0.65208333333333335</v>
          </cell>
          <cell r="I512">
            <v>0.12152777777777778</v>
          </cell>
          <cell r="J512">
            <v>0</v>
          </cell>
          <cell r="K512" t="str">
            <v>FCB-PROTOCOL-01</v>
          </cell>
          <cell r="L512" t="str">
            <v>VYD/BPY/004</v>
          </cell>
          <cell r="M512" t="str">
            <v>Y</v>
          </cell>
          <cell r="N512" t="str">
            <v>CT+LD Nivo -NLD study (1Z)</v>
          </cell>
          <cell r="O512" t="str">
            <v>Internal R&amp;D</v>
          </cell>
          <cell r="P512" t="str">
            <v>Q1 Passed</v>
          </cell>
          <cell r="Q512" t="str">
            <v>Q1 Passed</v>
          </cell>
          <cell r="R512" t="str">
            <v>Q1.5 Passed</v>
          </cell>
          <cell r="S512" t="str">
            <v>Q1.5 Passed</v>
          </cell>
          <cell r="V512" t="str">
            <v>Tumor content 15-85%</v>
          </cell>
          <cell r="W512" t="str">
            <v>Private Hospital</v>
          </cell>
          <cell r="X512" t="str">
            <v>Vydehi Hospital, Bangalore</v>
          </cell>
          <cell r="Y512" t="str">
            <v>Vydehi Hospital, Bangalore</v>
          </cell>
          <cell r="Z512" t="str">
            <v>Dr Amritha Prabha, Bangalore</v>
          </cell>
          <cell r="AA512" t="str">
            <v>HNSCC</v>
          </cell>
          <cell r="AC512" t="str">
            <v>Maxilla</v>
          </cell>
          <cell r="AD512" t="str">
            <v>Right Maxila</v>
          </cell>
          <cell r="AE512" t="str">
            <v>Female</v>
          </cell>
          <cell r="AF512">
            <v>42</v>
          </cell>
          <cell r="AG512" t="str">
            <v>N</v>
          </cell>
          <cell r="AH512">
            <v>4.5</v>
          </cell>
          <cell r="AI512" t="str">
            <v>Maruthi</v>
          </cell>
          <cell r="AJ512" t="str">
            <v>Biopsy</v>
          </cell>
          <cell r="AK512" t="str">
            <v>Local Recurrent</v>
          </cell>
          <cell r="AL512" t="str">
            <v>Sugery+Radiotherapy</v>
          </cell>
          <cell r="AN512" t="str">
            <v>IV</v>
          </cell>
          <cell r="AO512">
            <v>2</v>
          </cell>
          <cell r="AP512" t="str">
            <v>T4N0M0</v>
          </cell>
          <cell r="AV512">
            <v>45040</v>
          </cell>
          <cell r="AW512">
            <v>0.67777777777777781</v>
          </cell>
          <cell r="AX512">
            <v>0.71875</v>
          </cell>
          <cell r="AY512">
            <v>4.0972222222222222E-2</v>
          </cell>
          <cell r="AZ512">
            <v>6.6666666666666666E-2</v>
          </cell>
          <cell r="BA512">
            <v>0.18819444444444444</v>
          </cell>
          <cell r="BB512" t="str">
            <v>0.4*1.0*1.0
0.2*0.5*0.6</v>
          </cell>
          <cell r="BC512" t="str">
            <v>0.4*1.0*1.0
0.2*0.5*0.6</v>
          </cell>
          <cell r="BD512" t="str">
            <v>Manual</v>
          </cell>
          <cell r="BE512">
            <v>14</v>
          </cell>
          <cell r="BF512" t="str">
            <v>Kowshik</v>
          </cell>
          <cell r="BG512" t="str">
            <v>Y</v>
          </cell>
        </row>
        <row r="513">
          <cell r="A513" t="str">
            <v>FBR1W230120</v>
          </cell>
          <cell r="B513">
            <v>230120</v>
          </cell>
          <cell r="C513" t="str">
            <v>R&amp;D</v>
          </cell>
          <cell r="D513">
            <v>45040</v>
          </cell>
          <cell r="E513">
            <v>0.64236111111111116</v>
          </cell>
          <cell r="F513">
            <v>45017</v>
          </cell>
          <cell r="G513">
            <v>45040</v>
          </cell>
          <cell r="H513">
            <v>0.72291666666666665</v>
          </cell>
          <cell r="I513">
            <v>8.0555555555555561E-2</v>
          </cell>
          <cell r="J513">
            <v>0</v>
          </cell>
          <cell r="K513" t="str">
            <v>FCB-PROTOCOL-01</v>
          </cell>
          <cell r="L513" t="str">
            <v>VYD/165</v>
          </cell>
          <cell r="M513" t="str">
            <v>Y</v>
          </cell>
          <cell r="N513" t="str">
            <v>Biopsy Cabr-BSS (1W)</v>
          </cell>
          <cell r="O513" t="str">
            <v>Internal R&amp;D</v>
          </cell>
          <cell r="P513" t="str">
            <v>Q1 Passed</v>
          </cell>
          <cell r="Q513" t="str">
            <v>Q1 Passed</v>
          </cell>
          <cell r="R513" t="str">
            <v>Q1.5 Passed</v>
          </cell>
          <cell r="S513" t="str">
            <v>Q1.5 Passed</v>
          </cell>
          <cell r="V513" t="str">
            <v>Tumor content 0-10%, 2 explants without tumor</v>
          </cell>
          <cell r="W513" t="str">
            <v>Private Hospital</v>
          </cell>
          <cell r="X513" t="str">
            <v>Vydehi Hospital, Bangalore</v>
          </cell>
          <cell r="Y513" t="str">
            <v>Vydehi Hospital, Bangalore</v>
          </cell>
          <cell r="Z513" t="str">
            <v>Dr Amritha Prabha, Bangalore</v>
          </cell>
          <cell r="AA513" t="str">
            <v>Ca Breast</v>
          </cell>
          <cell r="AB513" t="str">
            <v>Er (P)
Pr (P)
Her2 (N)</v>
          </cell>
          <cell r="AC513" t="str">
            <v>Breast</v>
          </cell>
          <cell r="AD513" t="str">
            <v>Left Breast</v>
          </cell>
          <cell r="AE513" t="str">
            <v>Female</v>
          </cell>
          <cell r="AF513">
            <v>50</v>
          </cell>
          <cell r="AG513" t="str">
            <v>N</v>
          </cell>
          <cell r="AH513">
            <v>4.8</v>
          </cell>
          <cell r="AI513" t="str">
            <v>Maruthi</v>
          </cell>
          <cell r="AJ513" t="str">
            <v>Biopsy</v>
          </cell>
          <cell r="AK513" t="str">
            <v>Primary</v>
          </cell>
          <cell r="AO513">
            <v>2</v>
          </cell>
          <cell r="AV513">
            <v>45040</v>
          </cell>
          <cell r="AW513">
            <v>0.73333333333333328</v>
          </cell>
          <cell r="AX513">
            <v>0.78125</v>
          </cell>
          <cell r="AY513">
            <v>4.791666666666667E-2</v>
          </cell>
          <cell r="AZ513">
            <v>5.8333333333333334E-2</v>
          </cell>
          <cell r="BA513">
            <v>0.1388888888888889</v>
          </cell>
          <cell r="BB513" t="str">
            <v>0.4*0.2*0.7
0.4*0.2*1.2
0.4*0.2*0.8</v>
          </cell>
          <cell r="BC513" t="str">
            <v>0.4*0.2*0.7
0.4*0.2*1.2
0.4*0.2*0.8</v>
          </cell>
          <cell r="BD513" t="str">
            <v>Manual</v>
          </cell>
          <cell r="BE513">
            <v>14</v>
          </cell>
          <cell r="BF513" t="str">
            <v>Syam</v>
          </cell>
          <cell r="BG513" t="str">
            <v>Y</v>
          </cell>
        </row>
        <row r="514">
          <cell r="A514" t="str">
            <v>FBR1Q230121</v>
          </cell>
          <cell r="B514">
            <v>230121</v>
          </cell>
          <cell r="C514" t="str">
            <v>R&amp;D</v>
          </cell>
          <cell r="D514">
            <v>45041</v>
          </cell>
          <cell r="E514">
            <v>0.49652777777777779</v>
          </cell>
          <cell r="F514">
            <v>45017</v>
          </cell>
          <cell r="G514">
            <v>45041</v>
          </cell>
          <cell r="H514">
            <v>0.85486111111111107</v>
          </cell>
          <cell r="I514">
            <v>0.35833333333333334</v>
          </cell>
          <cell r="J514">
            <v>15</v>
          </cell>
          <cell r="K514" t="str">
            <v>FCB-PROTOCOL-01</v>
          </cell>
          <cell r="L514" t="str">
            <v>CLN/DBR/141</v>
          </cell>
          <cell r="M514" t="str">
            <v>Y</v>
          </cell>
          <cell r="N514" t="str">
            <v>COSv4.2_CaBR(1Q-Unknown)</v>
          </cell>
          <cell r="O514" t="str">
            <v>Internal R&amp;D</v>
          </cell>
          <cell r="P514" t="str">
            <v>Q1 Passed</v>
          </cell>
          <cell r="Q514" t="str">
            <v>Q1 Passed</v>
          </cell>
          <cell r="R514" t="str">
            <v>Q1.5 Passed</v>
          </cell>
          <cell r="S514" t="str">
            <v>Q1.5 Rejected</v>
          </cell>
          <cell r="V514" t="str">
            <v>No frank tumor seen. Fibrocystic changes with ductal hyperplasia present</v>
          </cell>
          <cell r="W514" t="str">
            <v>Clinic'les</v>
          </cell>
          <cell r="X514" t="str">
            <v>Clinic'les- DBR &amp; SK Hospital, Tirupati</v>
          </cell>
          <cell r="Y514" t="str">
            <v>DBR &amp; SK Hospital, Tirupati</v>
          </cell>
          <cell r="Z514" t="str">
            <v>Dr C Jayaprakash, Tirupati</v>
          </cell>
          <cell r="AA514" t="str">
            <v>Ca Breast</v>
          </cell>
          <cell r="AB514" t="str">
            <v>Not done</v>
          </cell>
          <cell r="AC514" t="str">
            <v>Breast</v>
          </cell>
          <cell r="AD514" t="str">
            <v>Left Breast</v>
          </cell>
          <cell r="AE514" t="str">
            <v>Female</v>
          </cell>
          <cell r="AF514">
            <v>47</v>
          </cell>
          <cell r="AG514" t="str">
            <v>N</v>
          </cell>
          <cell r="AH514">
            <v>5.6</v>
          </cell>
          <cell r="AI514" t="str">
            <v>Maruthi</v>
          </cell>
          <cell r="AJ514" t="str">
            <v>Surgery</v>
          </cell>
          <cell r="AK514" t="str">
            <v>Primary</v>
          </cell>
          <cell r="AV514">
            <v>45041</v>
          </cell>
          <cell r="AW514">
            <v>0.87708333333333333</v>
          </cell>
          <cell r="AX514">
            <v>0.92847222222222225</v>
          </cell>
          <cell r="AY514">
            <v>5.1388888888888887E-2</v>
          </cell>
          <cell r="AZ514">
            <v>7.3611111111111113E-2</v>
          </cell>
          <cell r="BA514">
            <v>0.43194444444444446</v>
          </cell>
          <cell r="BD514" t="str">
            <v>Manual</v>
          </cell>
          <cell r="BE514">
            <v>14</v>
          </cell>
          <cell r="BF514" t="str">
            <v>Syam</v>
          </cell>
          <cell r="BG514" t="str">
            <v>Y</v>
          </cell>
        </row>
        <row r="515">
          <cell r="A515" t="str">
            <v>FBR1A230122</v>
          </cell>
          <cell r="B515">
            <v>230122</v>
          </cell>
          <cell r="C515" t="str">
            <v>R&amp;D</v>
          </cell>
          <cell r="D515">
            <v>45042</v>
          </cell>
          <cell r="E515">
            <v>0.44166666666666665</v>
          </cell>
          <cell r="F515">
            <v>45017</v>
          </cell>
          <cell r="G515">
            <v>45042</v>
          </cell>
          <cell r="H515">
            <v>0.49791666666666667</v>
          </cell>
          <cell r="I515">
            <v>5.6250000000000001E-2</v>
          </cell>
          <cell r="J515">
            <v>0</v>
          </cell>
          <cell r="K515" t="str">
            <v>FCB-PROTOCOL-02</v>
          </cell>
          <cell r="L515" t="str">
            <v>OC010</v>
          </cell>
          <cell r="M515" t="str">
            <v>Y</v>
          </cell>
          <cell r="N515" t="str">
            <v>Other Indication</v>
          </cell>
          <cell r="O515" t="str">
            <v>Internal R&amp;D</v>
          </cell>
          <cell r="P515" t="str">
            <v>Q1 Passed</v>
          </cell>
          <cell r="Q515" t="str">
            <v>Q1 Passed</v>
          </cell>
          <cell r="R515" t="str">
            <v>Q1.5 Passed</v>
          </cell>
          <cell r="S515" t="str">
            <v>Q1.5 Passed</v>
          </cell>
          <cell r="V515" t="str">
            <v>Tumor content 1-40%</v>
          </cell>
          <cell r="W515" t="str">
            <v>Private Hospital</v>
          </cell>
          <cell r="X515" t="str">
            <v>Mazumdar Shaw Medical Centre, Bangalore</v>
          </cell>
          <cell r="Y515" t="str">
            <v>Mazumdar Shaw Medical Centre, Bangalore</v>
          </cell>
          <cell r="Z515" t="str">
            <v>Dr Rohit Ranade, Bangalore</v>
          </cell>
          <cell r="AA515" t="str">
            <v>Ca Ovary</v>
          </cell>
          <cell r="AC515" t="str">
            <v>Ovary</v>
          </cell>
          <cell r="AD515" t="str">
            <v>Right Ovary</v>
          </cell>
          <cell r="AE515" t="str">
            <v>Female</v>
          </cell>
          <cell r="AF515">
            <v>67</v>
          </cell>
          <cell r="AG515" t="str">
            <v>N</v>
          </cell>
          <cell r="AH515">
            <v>4.5999999999999996</v>
          </cell>
          <cell r="AI515" t="str">
            <v>Kalappa</v>
          </cell>
          <cell r="AJ515" t="str">
            <v>Surgery</v>
          </cell>
          <cell r="AK515" t="str">
            <v>Primary</v>
          </cell>
          <cell r="AL515" t="str">
            <v>Chemotherapy</v>
          </cell>
          <cell r="AN515" t="str">
            <v>III</v>
          </cell>
          <cell r="AO515" t="str">
            <v>High grade</v>
          </cell>
          <cell r="AP515" t="str">
            <v>pT3b N1a Mx</v>
          </cell>
          <cell r="AQ515">
            <v>3</v>
          </cell>
          <cell r="AR515" t="str">
            <v>NACT(Carbo+Pacli)</v>
          </cell>
          <cell r="AS515" t="str">
            <v>High grade serous carcinoma</v>
          </cell>
          <cell r="AV515">
            <v>45042</v>
          </cell>
          <cell r="AW515">
            <v>0.51875000000000004</v>
          </cell>
          <cell r="AX515">
            <v>0.58125000000000004</v>
          </cell>
          <cell r="AY515">
            <v>6.25E-2</v>
          </cell>
          <cell r="AZ515">
            <v>8.3333333333333329E-2</v>
          </cell>
          <cell r="BA515">
            <v>0.13958333333333334</v>
          </cell>
          <cell r="BB515" t="str">
            <v>0.4*0.6*1.0</v>
          </cell>
          <cell r="BC515" t="str">
            <v>0.4*0.6*1.0</v>
          </cell>
          <cell r="BD515" t="str">
            <v>manual</v>
          </cell>
          <cell r="BE515">
            <v>14</v>
          </cell>
          <cell r="BF515" t="str">
            <v>Biswajit</v>
          </cell>
          <cell r="BG515" t="str">
            <v>N</v>
          </cell>
        </row>
        <row r="516">
          <cell r="A516" t="str">
            <v>FBR1Y230123</v>
          </cell>
          <cell r="B516">
            <v>230123</v>
          </cell>
          <cell r="C516" t="str">
            <v>R&amp;D</v>
          </cell>
          <cell r="D516">
            <v>45042</v>
          </cell>
          <cell r="E516">
            <v>0.53125</v>
          </cell>
          <cell r="F516">
            <v>45017</v>
          </cell>
          <cell r="G516">
            <v>45042</v>
          </cell>
          <cell r="H516">
            <v>0.6333333333333333</v>
          </cell>
          <cell r="I516">
            <v>0.10208333333333333</v>
          </cell>
          <cell r="J516">
            <v>15</v>
          </cell>
          <cell r="K516" t="str">
            <v>FCB-PROTOCOL-02</v>
          </cell>
          <cell r="L516" t="str">
            <v>HN055</v>
          </cell>
          <cell r="M516" t="str">
            <v>Y</v>
          </cell>
          <cell r="N516" t="str">
            <v>CCS Study (1Y)</v>
          </cell>
          <cell r="O516" t="str">
            <v>Internal R&amp;D</v>
          </cell>
          <cell r="P516" t="str">
            <v>Q1 Passed</v>
          </cell>
          <cell r="Q516" t="str">
            <v>Not Received</v>
          </cell>
          <cell r="R516" t="str">
            <v>Q1.5 Passed</v>
          </cell>
          <cell r="S516" t="str">
            <v>Q1.5 Passed</v>
          </cell>
          <cell r="T516" t="str">
            <v>Blood Not received</v>
          </cell>
          <cell r="V516" t="str">
            <v>Tumor content 8-60%</v>
          </cell>
          <cell r="W516" t="str">
            <v>Private Hospital</v>
          </cell>
          <cell r="X516" t="str">
            <v>Mazumdar Shaw Medical Centre, Bangalore</v>
          </cell>
          <cell r="Y516" t="str">
            <v>Mazumdar Shaw Medical Centre, Bangalore</v>
          </cell>
          <cell r="Z516" t="str">
            <v>Dr Vijay Pillai, Bangalore</v>
          </cell>
          <cell r="AA516" t="str">
            <v>HNSCC</v>
          </cell>
          <cell r="AC516" t="str">
            <v>Mouth</v>
          </cell>
          <cell r="AD516" t="str">
            <v>Anterior flour of mouth</v>
          </cell>
          <cell r="AE516" t="str">
            <v>Male</v>
          </cell>
          <cell r="AF516">
            <v>69</v>
          </cell>
          <cell r="AG516" t="str">
            <v>N</v>
          </cell>
          <cell r="AH516">
            <v>4.5</v>
          </cell>
          <cell r="AI516" t="str">
            <v>Maruthi</v>
          </cell>
          <cell r="AJ516" t="str">
            <v>Surgery</v>
          </cell>
          <cell r="AK516" t="str">
            <v>Primary</v>
          </cell>
          <cell r="AN516" t="str">
            <v>III</v>
          </cell>
          <cell r="AO516">
            <v>2</v>
          </cell>
          <cell r="AP516" t="str">
            <v>PT3</v>
          </cell>
          <cell r="AS516" t="str">
            <v>Moderately differentiated , squamous cell carcinoma</v>
          </cell>
          <cell r="AV516">
            <v>45042</v>
          </cell>
          <cell r="AW516">
            <v>0.65625</v>
          </cell>
          <cell r="AX516">
            <v>0.72916666666666663</v>
          </cell>
          <cell r="AY516">
            <v>7.2916666666666671E-2</v>
          </cell>
          <cell r="AZ516">
            <v>9.583333333333334E-2</v>
          </cell>
          <cell r="BA516">
            <v>0.19791666666666666</v>
          </cell>
          <cell r="BB516" t="str">
            <v>0.4*0.8*0.8</v>
          </cell>
          <cell r="BC516" t="str">
            <v>0.4*0.8*0.8</v>
          </cell>
          <cell r="BD516" t="str">
            <v>Vibratome</v>
          </cell>
          <cell r="BE516">
            <v>14</v>
          </cell>
          <cell r="BF516" t="str">
            <v>Dharani</v>
          </cell>
          <cell r="BG516" t="str">
            <v>N</v>
          </cell>
        </row>
        <row r="517">
          <cell r="A517" t="str">
            <v>FBR1A230124</v>
          </cell>
          <cell r="B517">
            <v>230124</v>
          </cell>
          <cell r="C517" t="str">
            <v>R&amp;D</v>
          </cell>
          <cell r="D517">
            <v>45042</v>
          </cell>
          <cell r="E517">
            <v>0.45833333333333331</v>
          </cell>
          <cell r="F517">
            <v>45017</v>
          </cell>
          <cell r="G517">
            <v>45042</v>
          </cell>
          <cell r="H517">
            <v>0.63888888888888884</v>
          </cell>
          <cell r="I517">
            <v>0.18055555555555555</v>
          </cell>
          <cell r="J517">
            <v>2</v>
          </cell>
          <cell r="K517" t="str">
            <v>FCB-PROTOCOL-01</v>
          </cell>
          <cell r="L517" t="str">
            <v>CLN/JSS/022</v>
          </cell>
          <cell r="M517" t="str">
            <v>Y</v>
          </cell>
          <cell r="N517" t="str">
            <v>Other Indication</v>
          </cell>
          <cell r="O517" t="str">
            <v>Internal R&amp;D</v>
          </cell>
          <cell r="P517" t="str">
            <v>Q1 Passed</v>
          </cell>
          <cell r="Q517" t="str">
            <v>Q1 Passed</v>
          </cell>
          <cell r="R517" t="str">
            <v>Q1.5 Passed</v>
          </cell>
          <cell r="S517" t="str">
            <v>Q1.5 Passed</v>
          </cell>
          <cell r="V517" t="str">
            <v>Tumor content 3-15%, inflammation high</v>
          </cell>
          <cell r="W517" t="str">
            <v>Clinic'les</v>
          </cell>
          <cell r="X517" t="str">
            <v>Clinic'les- Dr Ravi Krishnappa, Mysore</v>
          </cell>
          <cell r="Y517" t="str">
            <v>JSS Hospital, Mysore</v>
          </cell>
          <cell r="Z517" t="str">
            <v>Dr Ravi Krishnappa, Mysore</v>
          </cell>
          <cell r="AA517" t="str">
            <v>Ca Ovary</v>
          </cell>
          <cell r="AC517" t="str">
            <v>Ovary</v>
          </cell>
          <cell r="AD517" t="str">
            <v>Ovary</v>
          </cell>
          <cell r="AE517" t="str">
            <v>Female</v>
          </cell>
          <cell r="AF517">
            <v>43</v>
          </cell>
          <cell r="AG517" t="str">
            <v>N</v>
          </cell>
          <cell r="AH517">
            <v>6.4</v>
          </cell>
          <cell r="AI517" t="str">
            <v>Shashi</v>
          </cell>
          <cell r="AJ517" t="str">
            <v>Surgery</v>
          </cell>
          <cell r="AK517" t="str">
            <v>Primary</v>
          </cell>
          <cell r="AL517" t="str">
            <v>Chemotherapy</v>
          </cell>
          <cell r="AQ517">
            <v>6</v>
          </cell>
          <cell r="AR517" t="str">
            <v>Paclitaxel and Carboplatin</v>
          </cell>
          <cell r="AV517">
            <v>45042</v>
          </cell>
          <cell r="AW517">
            <v>0.65555555555555556</v>
          </cell>
          <cell r="AX517">
            <v>0.73333333333333328</v>
          </cell>
          <cell r="AY517">
            <v>7.7777777777777779E-2</v>
          </cell>
          <cell r="AZ517">
            <v>9.4444444444444442E-2</v>
          </cell>
          <cell r="BA517">
            <v>0.27500000000000002</v>
          </cell>
          <cell r="BB517" t="str">
            <v>0.4
0.8</v>
          </cell>
          <cell r="BC517" t="str">
            <v>0.4
0.8</v>
          </cell>
          <cell r="BD517" t="str">
            <v>manual</v>
          </cell>
          <cell r="BE517">
            <v>14</v>
          </cell>
          <cell r="BF517" t="str">
            <v>Biswajit</v>
          </cell>
          <cell r="BG517" t="str">
            <v>Y</v>
          </cell>
        </row>
        <row r="518">
          <cell r="A518" t="str">
            <v>FBR1W230125</v>
          </cell>
          <cell r="B518">
            <v>230125</v>
          </cell>
          <cell r="C518" t="str">
            <v>R&amp;D</v>
          </cell>
          <cell r="D518">
            <v>45042</v>
          </cell>
          <cell r="E518">
            <v>0.65625</v>
          </cell>
          <cell r="F518">
            <v>45017</v>
          </cell>
          <cell r="G518">
            <v>45042</v>
          </cell>
          <cell r="H518">
            <v>0.7583333333333333</v>
          </cell>
          <cell r="I518">
            <v>0.10208333333333333</v>
          </cell>
          <cell r="J518">
            <v>0</v>
          </cell>
          <cell r="K518" t="str">
            <v>FCB-PROTOCOL-02</v>
          </cell>
          <cell r="L518" t="str">
            <v>BC013</v>
          </cell>
          <cell r="M518" t="str">
            <v>Y</v>
          </cell>
          <cell r="N518" t="str">
            <v>Biopsy Cabr-BSS (1W)</v>
          </cell>
          <cell r="O518" t="str">
            <v>Internal R&amp;D</v>
          </cell>
          <cell r="P518" t="str">
            <v>Q1 Passed</v>
          </cell>
          <cell r="Q518" t="str">
            <v>Q1 Passed</v>
          </cell>
          <cell r="R518" t="str">
            <v>Q1.5 Passed</v>
          </cell>
          <cell r="S518" t="str">
            <v>Q1.5 Rejected</v>
          </cell>
          <cell r="U518" t="str">
            <v>Y</v>
          </cell>
          <cell r="V518" t="str">
            <v>No Tumor</v>
          </cell>
          <cell r="W518" t="str">
            <v>Private Hospital</v>
          </cell>
          <cell r="X518" t="str">
            <v>Mazumdar Shaw Medical Centre, Bangalore</v>
          </cell>
          <cell r="Y518" t="str">
            <v>Mazumdar Shaw Medical Centre, Bangalore</v>
          </cell>
          <cell r="Z518" t="str">
            <v>Dr Akshita Singh</v>
          </cell>
          <cell r="AA518" t="str">
            <v>Ca Breast</v>
          </cell>
          <cell r="AC518" t="str">
            <v>Breast</v>
          </cell>
          <cell r="AD518" t="str">
            <v>Left Breast</v>
          </cell>
          <cell r="AE518" t="str">
            <v>Female</v>
          </cell>
          <cell r="AF518">
            <v>56</v>
          </cell>
          <cell r="AG518" t="str">
            <v>N</v>
          </cell>
          <cell r="AH518">
            <v>5.0999999999999996</v>
          </cell>
          <cell r="AI518" t="str">
            <v>Shashi</v>
          </cell>
          <cell r="AJ518" t="str">
            <v>Biopsy</v>
          </cell>
          <cell r="AK518" t="str">
            <v>Primary</v>
          </cell>
          <cell r="AV518">
            <v>45042</v>
          </cell>
          <cell r="AW518">
            <v>0.77430555555555558</v>
          </cell>
          <cell r="AX518">
            <v>0.8125</v>
          </cell>
          <cell r="AY518">
            <v>3.8194444444444448E-2</v>
          </cell>
          <cell r="AZ518">
            <v>5.4166666666666669E-2</v>
          </cell>
          <cell r="BA518">
            <v>0.15625</v>
          </cell>
          <cell r="BB518" t="str">
            <v>4Cores
0.1</v>
          </cell>
          <cell r="BC518" t="str">
            <v>4Cores
0.1</v>
          </cell>
          <cell r="BD518" t="str">
            <v>manual</v>
          </cell>
          <cell r="BE518">
            <v>14</v>
          </cell>
          <cell r="BF518" t="str">
            <v>Chandan</v>
          </cell>
          <cell r="BG518" t="str">
            <v>Y</v>
          </cell>
        </row>
        <row r="519">
          <cell r="A519" t="str">
            <v>FBR1M230126</v>
          </cell>
          <cell r="B519">
            <v>230126</v>
          </cell>
          <cell r="C519" t="str">
            <v>R&amp;D</v>
          </cell>
          <cell r="D519">
            <v>45043</v>
          </cell>
          <cell r="E519">
            <v>0.54513888888888884</v>
          </cell>
          <cell r="F519">
            <v>45017</v>
          </cell>
          <cell r="G519">
            <v>45043</v>
          </cell>
          <cell r="H519">
            <v>0.62777777777777777</v>
          </cell>
          <cell r="I519">
            <v>8.2638888888888887E-2</v>
          </cell>
          <cell r="J519">
            <v>15</v>
          </cell>
          <cell r="K519" t="str">
            <v>FCB-PROTOCOL-02</v>
          </cell>
          <cell r="L519" t="str">
            <v>RC026</v>
          </cell>
          <cell r="M519" t="str">
            <v>Y</v>
          </cell>
          <cell r="N519" t="str">
            <v>DMS_RCC(1M)</v>
          </cell>
          <cell r="O519" t="str">
            <v>Internal R&amp;D</v>
          </cell>
          <cell r="P519" t="str">
            <v>Q1 Passed</v>
          </cell>
          <cell r="Q519" t="str">
            <v>Q1 Passed</v>
          </cell>
          <cell r="R519" t="str">
            <v>Q1.5 Passed</v>
          </cell>
          <cell r="S519" t="str">
            <v>Q1.5 Rejected</v>
          </cell>
          <cell r="U519" t="str">
            <v>Y</v>
          </cell>
          <cell r="V519" t="str">
            <v>No tumor seen. Fragments show features of chronic inflammation-Xanthogranulomatous pyelonephritis</v>
          </cell>
          <cell r="W519" t="str">
            <v>Private Hospital</v>
          </cell>
          <cell r="X519" t="str">
            <v>Mazumdar Shaw Medical Centre, Bangalore</v>
          </cell>
          <cell r="Y519" t="str">
            <v>Mazumdar Shaw Medical Centre, Bangalore</v>
          </cell>
          <cell r="Z519" t="str">
            <v>Dr Saurabh Bhargav, Bangalore</v>
          </cell>
          <cell r="AA519" t="str">
            <v>RCC</v>
          </cell>
          <cell r="AC519" t="str">
            <v>Renal</v>
          </cell>
          <cell r="AD519" t="str">
            <v>Left renal Mass</v>
          </cell>
          <cell r="AE519" t="str">
            <v>Male</v>
          </cell>
          <cell r="AF519">
            <v>26</v>
          </cell>
          <cell r="AG519" t="str">
            <v>N</v>
          </cell>
          <cell r="AH519">
            <v>4.8</v>
          </cell>
          <cell r="AI519" t="str">
            <v>Shashi</v>
          </cell>
          <cell r="AJ519" t="str">
            <v>Surgery</v>
          </cell>
          <cell r="AK519" t="str">
            <v>Primary</v>
          </cell>
          <cell r="AV519">
            <v>45043</v>
          </cell>
          <cell r="AW519">
            <v>0.64583333333333337</v>
          </cell>
          <cell r="AX519">
            <v>0.74513888888888891</v>
          </cell>
          <cell r="AY519">
            <v>9.930555555555555E-2</v>
          </cell>
          <cell r="AZ519">
            <v>0.11736111111111111</v>
          </cell>
          <cell r="BA519">
            <v>0.2</v>
          </cell>
          <cell r="BB519" t="str">
            <v>0.5*0.8*1.2
0.4*0.7*1.2</v>
          </cell>
          <cell r="BC519" t="str">
            <v>0.5*0.8*1.2
0.4*0.7*1.2</v>
          </cell>
          <cell r="BD519" t="str">
            <v>Vibratome</v>
          </cell>
          <cell r="BE519">
            <v>14</v>
          </cell>
          <cell r="BF519" t="str">
            <v>Dharani</v>
          </cell>
          <cell r="BG519" t="str">
            <v>Y</v>
          </cell>
        </row>
        <row r="520">
          <cell r="A520" t="str">
            <v>FBB1H230127</v>
          </cell>
          <cell r="B520">
            <v>230127</v>
          </cell>
          <cell r="C520" t="str">
            <v>Biopharma</v>
          </cell>
          <cell r="D520">
            <v>45044</v>
          </cell>
          <cell r="E520">
            <v>0.42083333333333334</v>
          </cell>
          <cell r="F520">
            <v>45017</v>
          </cell>
          <cell r="G520">
            <v>45044</v>
          </cell>
          <cell r="H520">
            <v>0.51180555555555551</v>
          </cell>
          <cell r="I520">
            <v>9.0972222222222218E-2</v>
          </cell>
          <cell r="J520">
            <v>2</v>
          </cell>
          <cell r="K520" t="str">
            <v>FCB-PROTOCOL-01</v>
          </cell>
          <cell r="L520" t="str">
            <v>VYD/166</v>
          </cell>
          <cell r="M520" t="str">
            <v>Y</v>
          </cell>
          <cell r="N520" t="str">
            <v>BP007-2023(1H)</v>
          </cell>
          <cell r="O520" t="str">
            <v>Biopharma</v>
          </cell>
          <cell r="P520" t="str">
            <v>Q1 Passed</v>
          </cell>
          <cell r="Q520" t="str">
            <v>Q1 Passed</v>
          </cell>
          <cell r="R520" t="str">
            <v>Q1.5 Passed</v>
          </cell>
          <cell r="S520" t="str">
            <v>Q1.5 Passed</v>
          </cell>
          <cell r="V520" t="str">
            <v>Tumor content 22-90%</v>
          </cell>
          <cell r="W520" t="str">
            <v>Private Hospital</v>
          </cell>
          <cell r="X520" t="str">
            <v>Vydehi Hospital, Bangalore</v>
          </cell>
          <cell r="Y520" t="str">
            <v>Vydehi Hospital, Bangalore</v>
          </cell>
          <cell r="Z520" t="str">
            <v>Dr Amritha Prabha, Bangalore</v>
          </cell>
          <cell r="AA520" t="str">
            <v>HNSCC</v>
          </cell>
          <cell r="AC520" t="str">
            <v>Buccal Mucosa</v>
          </cell>
          <cell r="AD520" t="str">
            <v>Right buccal mucosa</v>
          </cell>
          <cell r="AE520" t="str">
            <v>Female</v>
          </cell>
          <cell r="AF520">
            <v>49</v>
          </cell>
          <cell r="AG520" t="str">
            <v>N</v>
          </cell>
          <cell r="AH520">
            <v>5.2</v>
          </cell>
          <cell r="AI520" t="str">
            <v>Kalappa</v>
          </cell>
          <cell r="AJ520" t="str">
            <v>Surgery</v>
          </cell>
          <cell r="AK520" t="str">
            <v>Primary</v>
          </cell>
          <cell r="AN520" t="str">
            <v>III</v>
          </cell>
          <cell r="AO520">
            <v>2</v>
          </cell>
          <cell r="AP520" t="str">
            <v>pT3N1</v>
          </cell>
          <cell r="AV520">
            <v>45044</v>
          </cell>
          <cell r="AW520">
            <v>0.52638888888888891</v>
          </cell>
          <cell r="AX520">
            <v>0.61458333333333337</v>
          </cell>
          <cell r="AY520">
            <v>8.819444444444445E-2</v>
          </cell>
          <cell r="AZ520">
            <v>0.10277777777777777</v>
          </cell>
          <cell r="BA520">
            <v>0.19375000000000001</v>
          </cell>
          <cell r="BB520" t="str">
            <v>0.4*0.6*1.2
0.2*0.6*0.6</v>
          </cell>
          <cell r="BC520" t="str">
            <v>0.4*0.6*1.2
0.2*0.6*0.6</v>
          </cell>
          <cell r="BD520" t="str">
            <v>Vibratome</v>
          </cell>
          <cell r="BE520">
            <v>14</v>
          </cell>
          <cell r="BF520" t="str">
            <v>Kowshik</v>
          </cell>
          <cell r="BG520" t="str">
            <v>Y</v>
          </cell>
        </row>
        <row r="521">
          <cell r="A521" t="str">
            <v>FBR1Y230128</v>
          </cell>
          <cell r="B521">
            <v>230128</v>
          </cell>
          <cell r="C521" t="str">
            <v>R&amp;D</v>
          </cell>
          <cell r="D521">
            <v>45044</v>
          </cell>
          <cell r="E521">
            <v>0.48958333333333331</v>
          </cell>
          <cell r="F521">
            <v>45017</v>
          </cell>
          <cell r="G521">
            <v>45044</v>
          </cell>
          <cell r="H521">
            <v>0.68888888888888888</v>
          </cell>
          <cell r="I521">
            <v>0.19930555555555557</v>
          </cell>
          <cell r="J521">
            <v>1</v>
          </cell>
          <cell r="K521" t="str">
            <v>FCB-PROTOCOL-01</v>
          </cell>
          <cell r="L521" t="str">
            <v>CLN/JSS/023</v>
          </cell>
          <cell r="M521" t="str">
            <v>Y</v>
          </cell>
          <cell r="N521" t="str">
            <v>CCS Study (1Y)</v>
          </cell>
          <cell r="O521" t="str">
            <v>Internal R&amp;D</v>
          </cell>
          <cell r="P521" t="str">
            <v>Q1 Passed</v>
          </cell>
          <cell r="Q521" t="str">
            <v>Q1 Passed</v>
          </cell>
          <cell r="R521" t="str">
            <v>Q1.5 Passed</v>
          </cell>
          <cell r="S521" t="str">
            <v>Q1.5 Passed</v>
          </cell>
          <cell r="V521" t="str">
            <v>Tumor content 3-40%</v>
          </cell>
          <cell r="W521" t="str">
            <v>Clinic'les</v>
          </cell>
          <cell r="X521" t="str">
            <v>Clinic'les- Dr Ravi Krishnappa, Mysore</v>
          </cell>
          <cell r="Y521" t="str">
            <v>JSS Hospital, Mysore</v>
          </cell>
          <cell r="Z521" t="str">
            <v>Dr Ravi Krishnappa, Mysore</v>
          </cell>
          <cell r="AA521" t="str">
            <v>HNSCC</v>
          </cell>
          <cell r="AC521" t="str">
            <v>Buccal Mucosa</v>
          </cell>
          <cell r="AD521" t="str">
            <v>Buccal Mucosa</v>
          </cell>
          <cell r="AE521" t="str">
            <v>Female</v>
          </cell>
          <cell r="AF521">
            <v>76</v>
          </cell>
          <cell r="AG521" t="str">
            <v>N</v>
          </cell>
          <cell r="AH521">
            <v>5.0999999999999996</v>
          </cell>
          <cell r="AI521" t="str">
            <v>Shashi</v>
          </cell>
          <cell r="AJ521" t="str">
            <v>Surgery</v>
          </cell>
          <cell r="AK521" t="str">
            <v>Primary</v>
          </cell>
          <cell r="AV521">
            <v>45044</v>
          </cell>
          <cell r="AW521">
            <v>0.70694444444444449</v>
          </cell>
          <cell r="AX521">
            <v>0.75</v>
          </cell>
          <cell r="AY521">
            <v>4.3055555555555555E-2</v>
          </cell>
          <cell r="AZ521">
            <v>6.1111111111111109E-2</v>
          </cell>
          <cell r="BA521">
            <v>0.26041666666666669</v>
          </cell>
          <cell r="BB521" t="str">
            <v>0.3*0.5*1.2
0.3*0.8*0.8</v>
          </cell>
          <cell r="BC521" t="str">
            <v>0.3*0.5*1.2
0.3*0.8*0.8</v>
          </cell>
          <cell r="BD521" t="str">
            <v>manual</v>
          </cell>
          <cell r="BE521">
            <v>14</v>
          </cell>
          <cell r="BF521" t="str">
            <v>Dharani</v>
          </cell>
          <cell r="BG521" t="str">
            <v>Y</v>
          </cell>
        </row>
        <row r="522">
          <cell r="A522" t="str">
            <v>FBB1H230129</v>
          </cell>
          <cell r="B522">
            <v>230129</v>
          </cell>
          <cell r="C522" t="str">
            <v>Biopharma</v>
          </cell>
          <cell r="D522">
            <v>45045</v>
          </cell>
          <cell r="E522">
            <v>0.50347222222222221</v>
          </cell>
          <cell r="F522">
            <v>45017</v>
          </cell>
          <cell r="G522">
            <v>45044</v>
          </cell>
          <cell r="H522">
            <v>0.84375</v>
          </cell>
          <cell r="I522">
            <v>0.34027777777777779</v>
          </cell>
          <cell r="J522">
            <v>15</v>
          </cell>
          <cell r="K522" t="str">
            <v>FCB-PROTOCOL-01</v>
          </cell>
          <cell r="L522" t="str">
            <v>CLN/DBR/142</v>
          </cell>
          <cell r="M522" t="str">
            <v>Y</v>
          </cell>
          <cell r="N522" t="str">
            <v>BP007-2023(1H)</v>
          </cell>
          <cell r="O522" t="str">
            <v>Biopharma</v>
          </cell>
          <cell r="P522" t="str">
            <v>Q1 Passed</v>
          </cell>
          <cell r="Q522" t="str">
            <v>Q1 Passed</v>
          </cell>
          <cell r="R522" t="str">
            <v>Q1.5 Passed</v>
          </cell>
          <cell r="S522" t="str">
            <v>Q1.5 Passed</v>
          </cell>
          <cell r="V522" t="str">
            <v>High tumor content 80-95% in 6/7 explants</v>
          </cell>
          <cell r="W522" t="str">
            <v>Clinic'les</v>
          </cell>
          <cell r="X522" t="str">
            <v>Clinic'les- DBR &amp; SK Hospital, Tirupati</v>
          </cell>
          <cell r="Y522" t="str">
            <v>DBR &amp; SK Hospital, Tirupati</v>
          </cell>
          <cell r="Z522" t="str">
            <v>Dr C Jayaprakash, Tirupati</v>
          </cell>
          <cell r="AA522" t="str">
            <v>HNSCC</v>
          </cell>
          <cell r="AC522" t="str">
            <v>Buccal Mucosa</v>
          </cell>
          <cell r="AD522" t="str">
            <v>Right buccal mucosa</v>
          </cell>
          <cell r="AE522" t="str">
            <v>Male</v>
          </cell>
          <cell r="AF522">
            <v>45</v>
          </cell>
          <cell r="AG522" t="str">
            <v>N</v>
          </cell>
          <cell r="AH522">
            <v>7.4</v>
          </cell>
          <cell r="AI522" t="str">
            <v>Partha</v>
          </cell>
          <cell r="AJ522" t="str">
            <v>Surgery</v>
          </cell>
          <cell r="AK522" t="str">
            <v>Primary</v>
          </cell>
          <cell r="AN522" t="str">
            <v>II</v>
          </cell>
          <cell r="AP522" t="str">
            <v>pT2N0Mx</v>
          </cell>
          <cell r="AV522">
            <v>45045</v>
          </cell>
          <cell r="AW522">
            <v>0.8618055555555556</v>
          </cell>
          <cell r="AX522">
            <v>0.92361111111111116</v>
          </cell>
          <cell r="AY522">
            <v>6.1805555555555558E-2</v>
          </cell>
          <cell r="AZ522">
            <v>7.9861111111111105E-2</v>
          </cell>
          <cell r="BA522">
            <v>0.4201388888888889</v>
          </cell>
          <cell r="BB522" t="str">
            <v>0.4*1.2/0.6*1.6
0.4*0.8*1.0</v>
          </cell>
          <cell r="BC522" t="str">
            <v>0.4*1.2/0.6*1.6
0.4*0.8*1.0</v>
          </cell>
          <cell r="BD522" t="str">
            <v>Vibratome</v>
          </cell>
          <cell r="BE522">
            <v>14</v>
          </cell>
          <cell r="BF522" t="str">
            <v>Kowshik</v>
          </cell>
          <cell r="BG522" t="str">
            <v>Y</v>
          </cell>
        </row>
        <row r="523">
          <cell r="A523" t="str">
            <v>FBR1Y230130</v>
          </cell>
          <cell r="B523">
            <v>230130</v>
          </cell>
          <cell r="C523" t="str">
            <v>R&amp;D</v>
          </cell>
          <cell r="D523">
            <v>45047</v>
          </cell>
          <cell r="E523">
            <v>0.52638888888888891</v>
          </cell>
          <cell r="F523">
            <v>45047</v>
          </cell>
          <cell r="G523">
            <v>45047</v>
          </cell>
          <cell r="H523">
            <v>0.6694444444444444</v>
          </cell>
          <cell r="I523">
            <v>0.14305555555555555</v>
          </cell>
          <cell r="J523">
            <v>17</v>
          </cell>
          <cell r="K523" t="str">
            <v>FCB-PROTOCOL-02</v>
          </cell>
          <cell r="L523" t="str">
            <v>HN056</v>
          </cell>
          <cell r="M523" t="str">
            <v>Y</v>
          </cell>
          <cell r="N523" t="str">
            <v>CCS Study (1Y)</v>
          </cell>
          <cell r="O523" t="str">
            <v>Internal R&amp;D</v>
          </cell>
          <cell r="P523" t="str">
            <v>Q1 Passed</v>
          </cell>
          <cell r="Q523" t="str">
            <v>Q1 Rejected</v>
          </cell>
          <cell r="R523" t="str">
            <v>Compromised</v>
          </cell>
          <cell r="S523" t="str">
            <v>Q1.5 Passed</v>
          </cell>
          <cell r="T523" t="str">
            <v>Blood not collected</v>
          </cell>
          <cell r="V523" t="str">
            <v>Tumor content 55-95%</v>
          </cell>
          <cell r="W523" t="str">
            <v>Private Hospital</v>
          </cell>
          <cell r="X523" t="str">
            <v>Mazumdar Shaw Medical Centre, Bangalore</v>
          </cell>
          <cell r="Y523" t="str">
            <v>Mazumdar Shaw Medical Centre, Bangalore</v>
          </cell>
          <cell r="Z523" t="str">
            <v>Dr Vijay Pillai, Bangalore</v>
          </cell>
          <cell r="AA523" t="str">
            <v>HNSCC</v>
          </cell>
          <cell r="AC523" t="str">
            <v>RMT</v>
          </cell>
          <cell r="AD523" t="str">
            <v>Right RMT</v>
          </cell>
          <cell r="AE523" t="str">
            <v>Male</v>
          </cell>
          <cell r="AF523">
            <v>40</v>
          </cell>
          <cell r="AG523" t="str">
            <v>N</v>
          </cell>
          <cell r="AH523">
            <v>5.2</v>
          </cell>
          <cell r="AI523" t="str">
            <v>Shashi</v>
          </cell>
          <cell r="AJ523" t="str">
            <v>Surgery</v>
          </cell>
          <cell r="AK523" t="str">
            <v>Primary</v>
          </cell>
          <cell r="AN523" t="str">
            <v>IV</v>
          </cell>
          <cell r="AO523">
            <v>2</v>
          </cell>
          <cell r="AP523" t="str">
            <v>pT4a N2b</v>
          </cell>
          <cell r="AS523" t="str">
            <v>Moderately differentiated , squamous cell carcinoma</v>
          </cell>
          <cell r="AV523">
            <v>45047</v>
          </cell>
          <cell r="AW523">
            <v>0.68819444444444444</v>
          </cell>
          <cell r="AX523">
            <v>0.77638888888888891</v>
          </cell>
          <cell r="AY523">
            <v>8.819444444444445E-2</v>
          </cell>
          <cell r="AZ523">
            <v>0.10694444444444444</v>
          </cell>
          <cell r="BA523">
            <v>0.25</v>
          </cell>
          <cell r="BB523" t="str">
            <v>0.3*0.4*0.6</v>
          </cell>
          <cell r="BC523" t="str">
            <v>0.3*0.4*0.6</v>
          </cell>
          <cell r="BD523" t="str">
            <v>manual</v>
          </cell>
          <cell r="BE523">
            <v>14</v>
          </cell>
          <cell r="BF523" t="str">
            <v>kuberan</v>
          </cell>
          <cell r="BG523" t="str">
            <v>N</v>
          </cell>
        </row>
        <row r="524">
          <cell r="A524" t="str">
            <v>FBR1M230131</v>
          </cell>
          <cell r="B524">
            <v>230131</v>
          </cell>
          <cell r="C524" t="str">
            <v>R&amp;D</v>
          </cell>
          <cell r="D524">
            <v>45047</v>
          </cell>
          <cell r="E524">
            <v>0.59375</v>
          </cell>
          <cell r="F524">
            <v>45047</v>
          </cell>
          <cell r="G524">
            <v>45047</v>
          </cell>
          <cell r="H524">
            <v>0.6694444444444444</v>
          </cell>
          <cell r="I524">
            <v>7.5694444444444439E-2</v>
          </cell>
          <cell r="J524">
            <v>5</v>
          </cell>
          <cell r="K524" t="str">
            <v>FCB-PROTOCOL-02</v>
          </cell>
          <cell r="L524" t="str">
            <v>RC027</v>
          </cell>
          <cell r="M524" t="str">
            <v>Y</v>
          </cell>
          <cell r="N524" t="str">
            <v>DMS_RCC(1M)</v>
          </cell>
          <cell r="O524" t="str">
            <v>Internal R&amp;D</v>
          </cell>
          <cell r="P524" t="str">
            <v>Q1 Passed</v>
          </cell>
          <cell r="Q524" t="str">
            <v>Q1 Rejected</v>
          </cell>
          <cell r="R524" t="str">
            <v>Q1.5 Passed</v>
          </cell>
          <cell r="S524" t="str">
            <v>Q1.5 Rejected</v>
          </cell>
          <cell r="T524" t="str">
            <v>Blood not collected</v>
          </cell>
          <cell r="U524" t="str">
            <v>Y</v>
          </cell>
          <cell r="V524" t="str">
            <v>No Tumor</v>
          </cell>
          <cell r="W524" t="str">
            <v>Private Hospital</v>
          </cell>
          <cell r="X524" t="str">
            <v>Mazumdar Shaw Medical Centre, Bangalore</v>
          </cell>
          <cell r="Y524" t="str">
            <v>Mazumdar Shaw Medical Centre, Bangalore</v>
          </cell>
          <cell r="Z524" t="str">
            <v>Dr Saurabh Bhargav, Bangalore</v>
          </cell>
          <cell r="AA524" t="str">
            <v>RCC</v>
          </cell>
          <cell r="AC524" t="str">
            <v>Renal</v>
          </cell>
          <cell r="AD524" t="str">
            <v>Right renal Mass</v>
          </cell>
          <cell r="AE524" t="str">
            <v>Male</v>
          </cell>
          <cell r="AF524">
            <v>81</v>
          </cell>
          <cell r="AG524" t="str">
            <v>N</v>
          </cell>
          <cell r="AH524">
            <v>5.2</v>
          </cell>
          <cell r="AI524" t="str">
            <v>Shashi</v>
          </cell>
          <cell r="AJ524" t="str">
            <v>Surgery</v>
          </cell>
          <cell r="AK524" t="str">
            <v>Primary</v>
          </cell>
          <cell r="AV524">
            <v>45047</v>
          </cell>
          <cell r="AW524">
            <v>0.69305555555555554</v>
          </cell>
          <cell r="AX524">
            <v>0.81527777777777777</v>
          </cell>
          <cell r="AY524">
            <v>0.12222222222222222</v>
          </cell>
          <cell r="AZ524">
            <v>0.14583333333333334</v>
          </cell>
          <cell r="BA524">
            <v>0.22152777777777777</v>
          </cell>
          <cell r="BB524" t="str">
            <v>0.6*1.0*1.0
0.8*1.0*1.0</v>
          </cell>
          <cell r="BC524" t="str">
            <v>0.6*1.0*1.0
0.8*1.0*1.0</v>
          </cell>
          <cell r="BD524" t="str">
            <v>Vibratome</v>
          </cell>
          <cell r="BE524">
            <v>14</v>
          </cell>
          <cell r="BF524" t="str">
            <v>Mouniss</v>
          </cell>
          <cell r="BG524" t="str">
            <v>N</v>
          </cell>
        </row>
        <row r="525">
          <cell r="A525" t="str">
            <v>FBR1Z230132</v>
          </cell>
          <cell r="B525">
            <v>230132</v>
          </cell>
          <cell r="C525" t="str">
            <v>R&amp;D</v>
          </cell>
          <cell r="D525">
            <v>45048</v>
          </cell>
          <cell r="E525">
            <v>0.69930555555555551</v>
          </cell>
          <cell r="F525">
            <v>45047</v>
          </cell>
          <cell r="G525">
            <v>45048</v>
          </cell>
          <cell r="H525">
            <v>0.72013888888888888</v>
          </cell>
          <cell r="I525">
            <v>2.0833333333333332E-2</v>
          </cell>
          <cell r="J525">
            <v>1</v>
          </cell>
          <cell r="K525" t="str">
            <v>FCB-PROTOCOL-01</v>
          </cell>
          <cell r="L525" t="str">
            <v>CLN/PRA/206</v>
          </cell>
          <cell r="M525" t="str">
            <v>Y</v>
          </cell>
          <cell r="N525" t="str">
            <v>CT+LD Nivo -NLD study (1Z)</v>
          </cell>
          <cell r="O525" t="str">
            <v>Internal R&amp;D</v>
          </cell>
          <cell r="P525" t="str">
            <v>Q1 Passed</v>
          </cell>
          <cell r="Q525" t="str">
            <v>Q1 Passed</v>
          </cell>
          <cell r="R525" t="str">
            <v>Q1.5 Passed</v>
          </cell>
          <cell r="S525" t="str">
            <v>Q1.5 Passed</v>
          </cell>
          <cell r="V525" t="str">
            <v>Tumor content 20-95%.</v>
          </cell>
          <cell r="W525" t="str">
            <v>Private Hospital</v>
          </cell>
          <cell r="X525" t="str">
            <v>Dr Prakash BV, Bangalore</v>
          </cell>
          <cell r="Y525" t="str">
            <v>ASWAD Hospital</v>
          </cell>
          <cell r="Z525" t="str">
            <v>Dr Prakash BV, Bangalore</v>
          </cell>
          <cell r="AA525" t="str">
            <v>HNSCC</v>
          </cell>
          <cell r="AC525" t="str">
            <v>Buccal Mucosa</v>
          </cell>
          <cell r="AD525" t="str">
            <v>Right buccal mucosa</v>
          </cell>
          <cell r="AE525" t="str">
            <v>Female</v>
          </cell>
          <cell r="AF525">
            <v>65</v>
          </cell>
          <cell r="AG525" t="str">
            <v>N</v>
          </cell>
          <cell r="AH525">
            <v>4.3</v>
          </cell>
          <cell r="AI525" t="str">
            <v>Partha</v>
          </cell>
          <cell r="AJ525" t="str">
            <v>Surgery</v>
          </cell>
          <cell r="AK525" t="str">
            <v>Primary</v>
          </cell>
          <cell r="AV525">
            <v>45048</v>
          </cell>
          <cell r="AW525">
            <v>0.73958333333333337</v>
          </cell>
          <cell r="AX525">
            <v>0.88749999999999996</v>
          </cell>
          <cell r="AY525">
            <v>0.14791666666666667</v>
          </cell>
          <cell r="AZ525">
            <v>0.1673611111111111</v>
          </cell>
          <cell r="BA525">
            <v>0.18819444444444444</v>
          </cell>
          <cell r="BB525" t="str">
            <v>0.6/0.8*1.4*1.6/1.8</v>
          </cell>
          <cell r="BC525" t="str">
            <v>0.6/0.8*1.4*1.6/1.8</v>
          </cell>
          <cell r="BD525" t="str">
            <v>Vibratome</v>
          </cell>
          <cell r="BE525">
            <v>15</v>
          </cell>
          <cell r="BF525" t="str">
            <v xml:space="preserve">sai </v>
          </cell>
          <cell r="BG525" t="str">
            <v>Y</v>
          </cell>
        </row>
        <row r="526">
          <cell r="A526" t="str">
            <v>FBR1W230133</v>
          </cell>
          <cell r="B526">
            <v>230133</v>
          </cell>
          <cell r="C526" t="str">
            <v>R&amp;D</v>
          </cell>
          <cell r="D526">
            <v>45048</v>
          </cell>
          <cell r="E526">
            <v>0.61875000000000002</v>
          </cell>
          <cell r="F526">
            <v>45047</v>
          </cell>
          <cell r="G526">
            <v>45048</v>
          </cell>
          <cell r="H526">
            <v>0.72152777777777777</v>
          </cell>
          <cell r="I526">
            <v>0.10277777777777777</v>
          </cell>
          <cell r="J526">
            <v>1</v>
          </cell>
          <cell r="K526" t="str">
            <v>FCB-PROTOCOL-01</v>
          </cell>
          <cell r="L526" t="str">
            <v>VYD/167</v>
          </cell>
          <cell r="M526" t="str">
            <v>Y</v>
          </cell>
          <cell r="N526" t="str">
            <v>Biopsy Cabr-BSS (1W)</v>
          </cell>
          <cell r="O526" t="str">
            <v>Internal R&amp;D</v>
          </cell>
          <cell r="P526" t="str">
            <v>Q1 Passed</v>
          </cell>
          <cell r="Q526" t="str">
            <v>Q1 Passed</v>
          </cell>
          <cell r="R526" t="str">
            <v>Q1.5 Passed</v>
          </cell>
          <cell r="S526" t="str">
            <v>Q1.5 Rejected</v>
          </cell>
          <cell r="V526" t="str">
            <v>Isolated cells suspicious for malignancy seen in one fragment, overall -No Tumor</v>
          </cell>
          <cell r="W526" t="str">
            <v>Private Hospital</v>
          </cell>
          <cell r="X526" t="str">
            <v>Vydehi Hospital, Bangalore</v>
          </cell>
          <cell r="Y526" t="str">
            <v>Vydehi Hospital, Bangalore</v>
          </cell>
          <cell r="Z526" t="str">
            <v>Dr Amritha Prabha, Bangalore</v>
          </cell>
          <cell r="AA526" t="str">
            <v>Ca Breast</v>
          </cell>
          <cell r="AB526" t="str">
            <v>ER+
PR+
HER2 Equivocal</v>
          </cell>
          <cell r="AC526" t="str">
            <v>Breast</v>
          </cell>
          <cell r="AD526" t="str">
            <v>Right Breast</v>
          </cell>
          <cell r="AE526" t="str">
            <v>Female</v>
          </cell>
          <cell r="AF526">
            <v>48</v>
          </cell>
          <cell r="AG526" t="str">
            <v>N</v>
          </cell>
          <cell r="AH526">
            <v>4.5</v>
          </cell>
          <cell r="AI526" t="str">
            <v>Maruthi</v>
          </cell>
          <cell r="AJ526" t="str">
            <v>Biopsy</v>
          </cell>
          <cell r="AK526" t="str">
            <v>Primary</v>
          </cell>
          <cell r="AV526">
            <v>45048</v>
          </cell>
          <cell r="AW526">
            <v>0.73819444444444449</v>
          </cell>
          <cell r="AX526">
            <v>0.79166666666666663</v>
          </cell>
          <cell r="AY526">
            <v>5.347222222222222E-2</v>
          </cell>
          <cell r="AZ526">
            <v>7.013888888888889E-2</v>
          </cell>
          <cell r="BA526">
            <v>0.17291666666666666</v>
          </cell>
          <cell r="BB526" t="str">
            <v>7 core
0.2 to 1.6</v>
          </cell>
          <cell r="BC526" t="str">
            <v>7 core
0.2 to 1.6</v>
          </cell>
          <cell r="BD526" t="str">
            <v>Manual</v>
          </cell>
          <cell r="BE526">
            <v>15</v>
          </cell>
          <cell r="BF526" t="str">
            <v>Mouniss</v>
          </cell>
          <cell r="BG526" t="str">
            <v>Y</v>
          </cell>
        </row>
        <row r="527">
          <cell r="A527" t="str">
            <v>FBR1Z230134</v>
          </cell>
          <cell r="B527">
            <v>230134</v>
          </cell>
          <cell r="C527" t="str">
            <v>R&amp;D</v>
          </cell>
          <cell r="D527">
            <v>45049</v>
          </cell>
          <cell r="E527">
            <v>0.35069444444444442</v>
          </cell>
          <cell r="F527">
            <v>45047</v>
          </cell>
          <cell r="G527">
            <v>45049</v>
          </cell>
          <cell r="H527">
            <v>0.42708333333333331</v>
          </cell>
          <cell r="I527">
            <v>7.6388888888888895E-2</v>
          </cell>
          <cell r="J527">
            <v>3</v>
          </cell>
          <cell r="K527" t="str">
            <v>FCB-PROTOCOL-01</v>
          </cell>
          <cell r="L527" t="str">
            <v>CLN/PRA/207</v>
          </cell>
          <cell r="M527" t="str">
            <v>Y</v>
          </cell>
          <cell r="N527" t="str">
            <v>CT+LD Nivo -NLD study (1Z)</v>
          </cell>
          <cell r="O527" t="str">
            <v>Internal R&amp;D</v>
          </cell>
          <cell r="P527" t="str">
            <v>Q1 Passed</v>
          </cell>
          <cell r="Q527" t="str">
            <v>Q1 Passed</v>
          </cell>
          <cell r="R527" t="str">
            <v>Q1.5 Passed</v>
          </cell>
          <cell r="S527" t="str">
            <v>Q1.5 Passed</v>
          </cell>
          <cell r="V527" t="str">
            <v>Tumor content 2-20%</v>
          </cell>
          <cell r="W527" t="str">
            <v>Private Hospital</v>
          </cell>
          <cell r="X527" t="str">
            <v>Dr Prakash BV, Bangalore</v>
          </cell>
          <cell r="Y527" t="str">
            <v>ASWAD Hospital</v>
          </cell>
          <cell r="Z527" t="str">
            <v>Dr Prakash BV, Bangalore</v>
          </cell>
          <cell r="AA527" t="str">
            <v>HNSCC</v>
          </cell>
          <cell r="AC527" t="str">
            <v>Larynx/Pharynx</v>
          </cell>
          <cell r="AD527" t="str">
            <v>Larynx/Pharynx</v>
          </cell>
          <cell r="AE527" t="str">
            <v>Male</v>
          </cell>
          <cell r="AF527">
            <v>56</v>
          </cell>
          <cell r="AG527" t="str">
            <v>N</v>
          </cell>
          <cell r="AH527">
            <v>4.8</v>
          </cell>
          <cell r="AI527" t="str">
            <v>Maruthi</v>
          </cell>
          <cell r="AJ527" t="str">
            <v>Surgery</v>
          </cell>
          <cell r="AK527" t="str">
            <v>Primary</v>
          </cell>
          <cell r="AV527">
            <v>45049</v>
          </cell>
          <cell r="AW527">
            <v>0.44513888888888886</v>
          </cell>
          <cell r="AX527">
            <v>0.65625</v>
          </cell>
          <cell r="AY527">
            <v>0.21111111111111111</v>
          </cell>
          <cell r="AZ527">
            <v>0.22916666666666666</v>
          </cell>
          <cell r="BA527">
            <v>0.30555555555555558</v>
          </cell>
          <cell r="BB527" t="str">
            <v>0.3*0.7/1.2*3.6
0.4*0.6/1.2*3.0</v>
          </cell>
          <cell r="BC527" t="str">
            <v>0.3*0.7/1.2*3.6
0.4*0.6/1.2*3.0</v>
          </cell>
          <cell r="BD527" t="str">
            <v>Vibratome</v>
          </cell>
          <cell r="BE527">
            <v>15</v>
          </cell>
          <cell r="BF527" t="str">
            <v>Mouniss</v>
          </cell>
          <cell r="BG527" t="str">
            <v>Y</v>
          </cell>
        </row>
        <row r="528">
          <cell r="A528" t="str">
            <v>FBR1Q230135</v>
          </cell>
          <cell r="B528">
            <v>230135</v>
          </cell>
          <cell r="C528" t="str">
            <v>R&amp;D</v>
          </cell>
          <cell r="D528">
            <v>45049</v>
          </cell>
          <cell r="E528">
            <v>0.39583333333333331</v>
          </cell>
          <cell r="F528">
            <v>45047</v>
          </cell>
          <cell r="G528">
            <v>45049</v>
          </cell>
          <cell r="H528">
            <v>0.5395833333333333</v>
          </cell>
          <cell r="I528">
            <v>0.14374999999999999</v>
          </cell>
          <cell r="J528">
            <v>2</v>
          </cell>
          <cell r="K528" t="str">
            <v>FCB-PROTOCOL-01</v>
          </cell>
          <cell r="L528" t="str">
            <v>CLN/JSS/024</v>
          </cell>
          <cell r="M528" t="str">
            <v>Y</v>
          </cell>
          <cell r="N528" t="str">
            <v>COSv4.2_CaBR(1Q-Unknown)</v>
          </cell>
          <cell r="O528" t="str">
            <v>Internal R&amp;D</v>
          </cell>
          <cell r="P528" t="str">
            <v>Q1 Passed</v>
          </cell>
          <cell r="Q528" t="str">
            <v>Q1 Passed</v>
          </cell>
          <cell r="R528" t="str">
            <v>Q1.5 Passed</v>
          </cell>
          <cell r="S528" t="str">
            <v>Q1.5 Passed</v>
          </cell>
          <cell r="V528" t="str">
            <v>Tumor cells 5-6% seen only in 2/21 explants. Others no tumor. Features of DCIS seen</v>
          </cell>
          <cell r="W528" t="str">
            <v>Clinic'les</v>
          </cell>
          <cell r="X528" t="str">
            <v>Clinic'les- Dr Ravi Krishnappa, Mysore</v>
          </cell>
          <cell r="Y528" t="str">
            <v>JSS Hospital, Mysore</v>
          </cell>
          <cell r="Z528" t="str">
            <v>Dr Ravi Krishnappa, Mysore</v>
          </cell>
          <cell r="AA528" t="str">
            <v>Ca Breast</v>
          </cell>
          <cell r="AC528" t="str">
            <v>Breast</v>
          </cell>
          <cell r="AD528" t="str">
            <v>Breast</v>
          </cell>
          <cell r="AE528" t="str">
            <v>Female</v>
          </cell>
          <cell r="AF528">
            <v>50</v>
          </cell>
          <cell r="AG528" t="str">
            <v>N</v>
          </cell>
          <cell r="AH528">
            <v>4.5999999999999996</v>
          </cell>
          <cell r="AI528" t="str">
            <v>Kalappa</v>
          </cell>
          <cell r="AJ528" t="str">
            <v>Surgery</v>
          </cell>
          <cell r="AK528" t="str">
            <v>Primary</v>
          </cell>
          <cell r="AV528">
            <v>45049</v>
          </cell>
          <cell r="AW528">
            <v>0.5625</v>
          </cell>
          <cell r="AX528">
            <v>0.6875</v>
          </cell>
          <cell r="AY528">
            <v>0.125</v>
          </cell>
          <cell r="AZ528">
            <v>0.14791666666666667</v>
          </cell>
          <cell r="BA528">
            <v>0.29166666666666669</v>
          </cell>
          <cell r="BB528" t="str">
            <v>0.4*2.6*3.4
0.2*1.1*1.8</v>
          </cell>
          <cell r="BC528" t="str">
            <v>0.4*2.6*3.4
0.2*1.1*1.8</v>
          </cell>
          <cell r="BD528" t="str">
            <v>Manual</v>
          </cell>
          <cell r="BE528">
            <v>15</v>
          </cell>
          <cell r="BF528" t="str">
            <v>Syam</v>
          </cell>
          <cell r="BG528" t="str">
            <v>Y</v>
          </cell>
        </row>
        <row r="529">
          <cell r="A529" t="str">
            <v>FBR1Y230136</v>
          </cell>
          <cell r="B529">
            <v>230136</v>
          </cell>
          <cell r="C529" t="str">
            <v>R&amp;D</v>
          </cell>
          <cell r="D529">
            <v>45049</v>
          </cell>
          <cell r="E529">
            <v>0.54374999999999996</v>
          </cell>
          <cell r="F529">
            <v>45047</v>
          </cell>
          <cell r="G529">
            <v>45049</v>
          </cell>
          <cell r="H529">
            <v>0.61944444444444446</v>
          </cell>
          <cell r="I529">
            <v>7.5694444444444439E-2</v>
          </cell>
          <cell r="J529">
            <v>12</v>
          </cell>
          <cell r="K529" t="str">
            <v>FCB-PROTOCOL-02</v>
          </cell>
          <cell r="L529" t="str">
            <v>HN057</v>
          </cell>
          <cell r="M529" t="str">
            <v>Y</v>
          </cell>
          <cell r="N529" t="str">
            <v>CCS Study (1Y)</v>
          </cell>
          <cell r="O529" t="str">
            <v>Internal R&amp;D</v>
          </cell>
          <cell r="P529" t="str">
            <v>Q1 Passed</v>
          </cell>
          <cell r="Q529" t="str">
            <v>Q1 Passed</v>
          </cell>
          <cell r="R529" t="str">
            <v>Q1.5 Passed</v>
          </cell>
          <cell r="S529" t="str">
            <v>Q1.5 Rejected</v>
          </cell>
          <cell r="U529" t="str">
            <v>Y</v>
          </cell>
          <cell r="V529" t="str">
            <v>No Tumor</v>
          </cell>
          <cell r="W529" t="str">
            <v>Private Hospital</v>
          </cell>
          <cell r="X529" t="str">
            <v>Mazumdar Shaw Medical Centre, Bangalore</v>
          </cell>
          <cell r="Y529" t="str">
            <v>Mazumdar Shaw Medical Centre, Bangalore</v>
          </cell>
          <cell r="Z529" t="str">
            <v>Dr Vijay Pillai, Bangalore</v>
          </cell>
          <cell r="AA529" t="str">
            <v>HNSCC</v>
          </cell>
          <cell r="AC529" t="str">
            <v>GBS</v>
          </cell>
          <cell r="AD529" t="str">
            <v>Lower GBS</v>
          </cell>
          <cell r="AE529" t="str">
            <v>Female</v>
          </cell>
          <cell r="AF529">
            <v>67</v>
          </cell>
          <cell r="AG529" t="str">
            <v>N</v>
          </cell>
          <cell r="AH529">
            <v>4.2</v>
          </cell>
          <cell r="AI529" t="str">
            <v>Partha</v>
          </cell>
          <cell r="AJ529" t="str">
            <v>Surgery</v>
          </cell>
          <cell r="AK529" t="str">
            <v>Primary</v>
          </cell>
          <cell r="AV529">
            <v>45049</v>
          </cell>
          <cell r="AW529">
            <v>0.64652777777777781</v>
          </cell>
          <cell r="AX529">
            <v>0.7</v>
          </cell>
          <cell r="AY529">
            <v>5.347222222222222E-2</v>
          </cell>
          <cell r="AZ529">
            <v>8.0555555555555561E-2</v>
          </cell>
          <cell r="BA529">
            <v>0.15625</v>
          </cell>
          <cell r="BB529" t="str">
            <v>0.2/0.3*0.4*1.0</v>
          </cell>
          <cell r="BC529" t="str">
            <v>0.2/0.3*0.4*1.0</v>
          </cell>
          <cell r="BD529" t="str">
            <v>Manual</v>
          </cell>
          <cell r="BE529">
            <v>15</v>
          </cell>
          <cell r="BF529" t="str">
            <v>kuberan</v>
          </cell>
          <cell r="BG529" t="str">
            <v>Y</v>
          </cell>
        </row>
        <row r="530">
          <cell r="A530" t="str">
            <v>FBR1Y230137</v>
          </cell>
          <cell r="B530">
            <v>230137</v>
          </cell>
          <cell r="C530" t="str">
            <v>R&amp;D</v>
          </cell>
          <cell r="D530">
            <v>45050</v>
          </cell>
          <cell r="E530">
            <v>0.51736111111111116</v>
          </cell>
          <cell r="F530">
            <v>45047</v>
          </cell>
          <cell r="G530">
            <v>45050</v>
          </cell>
          <cell r="H530">
            <v>0.58125000000000004</v>
          </cell>
          <cell r="I530">
            <v>6.3888888888888884E-2</v>
          </cell>
          <cell r="J530">
            <v>3</v>
          </cell>
          <cell r="K530" t="str">
            <v>FCB-PROTOCOL-01</v>
          </cell>
          <cell r="L530" t="str">
            <v>VYD/168</v>
          </cell>
          <cell r="M530" t="str">
            <v>Y</v>
          </cell>
          <cell r="N530" t="str">
            <v>CCS Study (1Y)</v>
          </cell>
          <cell r="O530" t="str">
            <v>Internal R&amp;D</v>
          </cell>
          <cell r="P530" t="str">
            <v>Q1 Passed</v>
          </cell>
          <cell r="Q530" t="str">
            <v>Q1 Passed</v>
          </cell>
          <cell r="R530" t="str">
            <v>Q1.5 Passed</v>
          </cell>
          <cell r="S530" t="str">
            <v>Q1.5 Passed</v>
          </cell>
          <cell r="V530" t="str">
            <v>Tumor content 25-85%</v>
          </cell>
          <cell r="W530" t="str">
            <v>Private Hospital</v>
          </cell>
          <cell r="X530" t="str">
            <v>Vydehi Hospital, Bangalore</v>
          </cell>
          <cell r="Y530" t="str">
            <v>Vydehi Hospital, Bangalore</v>
          </cell>
          <cell r="Z530" t="str">
            <v>Dr Amritha Prabha, Bangalore</v>
          </cell>
          <cell r="AA530" t="str">
            <v>HNSCC</v>
          </cell>
          <cell r="AC530" t="str">
            <v>Buccal Mucosa</v>
          </cell>
          <cell r="AD530" t="str">
            <v>Right buccal mucosa</v>
          </cell>
          <cell r="AE530" t="str">
            <v>Female</v>
          </cell>
          <cell r="AF530">
            <v>82</v>
          </cell>
          <cell r="AG530" t="str">
            <v>N</v>
          </cell>
          <cell r="AH530">
            <v>5.3</v>
          </cell>
          <cell r="AI530" t="str">
            <v>Partha</v>
          </cell>
          <cell r="AJ530" t="str">
            <v>Surgery</v>
          </cell>
          <cell r="AK530" t="str">
            <v>Primary</v>
          </cell>
          <cell r="AN530" t="str">
            <v>III</v>
          </cell>
          <cell r="AO530">
            <v>2</v>
          </cell>
          <cell r="AP530" t="str">
            <v>pT3N0</v>
          </cell>
          <cell r="AV530">
            <v>45050</v>
          </cell>
          <cell r="AW530">
            <v>0.60277777777777775</v>
          </cell>
          <cell r="AX530">
            <v>0.74791666666666667</v>
          </cell>
          <cell r="AY530">
            <v>0.1451388888888889</v>
          </cell>
          <cell r="AZ530">
            <v>0.16666666666666666</v>
          </cell>
          <cell r="BA530">
            <v>0.23055555555555557</v>
          </cell>
          <cell r="BB530" t="str">
            <v>0.6/0.8*1.6*1.6</v>
          </cell>
          <cell r="BC530" t="str">
            <v>0.6/0.8*1.6*1.6</v>
          </cell>
          <cell r="BD530" t="str">
            <v>Vibratome</v>
          </cell>
          <cell r="BE530">
            <v>15</v>
          </cell>
          <cell r="BF530" t="str">
            <v xml:space="preserve">sai </v>
          </cell>
          <cell r="BG530" t="str">
            <v>Y</v>
          </cell>
        </row>
        <row r="531">
          <cell r="A531" t="str">
            <v>FBR1Y230138</v>
          </cell>
          <cell r="B531">
            <v>230138</v>
          </cell>
          <cell r="C531" t="str">
            <v>R&amp;D</v>
          </cell>
          <cell r="D531">
            <v>45050</v>
          </cell>
          <cell r="E531">
            <v>0.49652777777777779</v>
          </cell>
          <cell r="F531">
            <v>45047</v>
          </cell>
          <cell r="G531">
            <v>45050</v>
          </cell>
          <cell r="H531">
            <v>0.87430555555555556</v>
          </cell>
          <cell r="I531">
            <v>0.37777777777777777</v>
          </cell>
          <cell r="J531">
            <v>5</v>
          </cell>
          <cell r="K531" t="str">
            <v>FCB-PROTOCOL-01</v>
          </cell>
          <cell r="L531" t="str">
            <v>CLN/DBR/143</v>
          </cell>
          <cell r="M531" t="str">
            <v>Y</v>
          </cell>
          <cell r="N531" t="str">
            <v>CCS Study (1Y)</v>
          </cell>
          <cell r="O531" t="str">
            <v>Internal R&amp;D</v>
          </cell>
          <cell r="P531" t="str">
            <v>Q1 Passed</v>
          </cell>
          <cell r="Q531" t="str">
            <v>Q1 Passed</v>
          </cell>
          <cell r="R531" t="str">
            <v>Q1.5 Passed</v>
          </cell>
          <cell r="S531" t="str">
            <v>Q1.5 Passed</v>
          </cell>
          <cell r="V531" t="str">
            <v>Tumor content 6-60%</v>
          </cell>
          <cell r="W531" t="str">
            <v>Clinic'les</v>
          </cell>
          <cell r="X531" t="str">
            <v>Clinic'les- DBR &amp; SK Hospital, Tirupati</v>
          </cell>
          <cell r="Y531" t="str">
            <v>DBR &amp; SK Hospital, Tirupati</v>
          </cell>
          <cell r="Z531" t="str">
            <v>Dr C Jayaprakash, Tirupati</v>
          </cell>
          <cell r="AA531" t="str">
            <v>HNSCC</v>
          </cell>
          <cell r="AC531" t="str">
            <v>Buccal Mucosa</v>
          </cell>
          <cell r="AD531" t="str">
            <v>Left buccal mucosa</v>
          </cell>
          <cell r="AE531" t="str">
            <v>Female</v>
          </cell>
          <cell r="AF531">
            <v>52</v>
          </cell>
          <cell r="AG531" t="str">
            <v>N</v>
          </cell>
          <cell r="AH531">
            <v>5.8</v>
          </cell>
          <cell r="AI531" t="str">
            <v>Maruthi</v>
          </cell>
          <cell r="AJ531" t="str">
            <v>Surgery</v>
          </cell>
          <cell r="AK531" t="str">
            <v>Primary</v>
          </cell>
          <cell r="AN531" t="str">
            <v>Ivb</v>
          </cell>
          <cell r="AP531" t="str">
            <v>pT3N3bMx</v>
          </cell>
          <cell r="AV531">
            <v>45050</v>
          </cell>
          <cell r="AW531">
            <v>0.88680555555555551</v>
          </cell>
          <cell r="AX531">
            <v>0.9916666666666667</v>
          </cell>
          <cell r="AY531">
            <v>0.10486111111111111</v>
          </cell>
          <cell r="AZ531">
            <v>0.11736111111111111</v>
          </cell>
          <cell r="BA531">
            <v>0.49513888888888891</v>
          </cell>
          <cell r="BB531" t="str">
            <v>0.8*1.2/1.6*1.8/1.2</v>
          </cell>
          <cell r="BC531" t="str">
            <v>0.8*1.2/1.6*1.8/1.2</v>
          </cell>
          <cell r="BD531" t="str">
            <v>Vibratome</v>
          </cell>
          <cell r="BE531">
            <v>15</v>
          </cell>
          <cell r="BF531" t="str">
            <v>Mouniss</v>
          </cell>
          <cell r="BG531" t="str">
            <v>Y</v>
          </cell>
        </row>
        <row r="532">
          <cell r="A532" t="str">
            <v>FBR1Z230139</v>
          </cell>
          <cell r="B532">
            <v>230139</v>
          </cell>
          <cell r="C532" t="str">
            <v>R&amp;D</v>
          </cell>
          <cell r="D532">
            <v>45055</v>
          </cell>
          <cell r="E532">
            <v>0.69791666666666663</v>
          </cell>
          <cell r="F532">
            <v>45047</v>
          </cell>
          <cell r="G532">
            <v>45055</v>
          </cell>
          <cell r="H532">
            <v>0.80138888888888893</v>
          </cell>
          <cell r="I532">
            <v>0.10347222222222222</v>
          </cell>
          <cell r="J532">
            <v>0</v>
          </cell>
          <cell r="K532" t="str">
            <v>FCB-PROTOCOL-01</v>
          </cell>
          <cell r="L532" t="str">
            <v>VYD/BPY/005</v>
          </cell>
          <cell r="M532" t="str">
            <v>Y</v>
          </cell>
          <cell r="N532" t="str">
            <v>CT+LD Nivo -NLD study (1Z)</v>
          </cell>
          <cell r="O532" t="str">
            <v>Internal R&amp;D</v>
          </cell>
          <cell r="P532" t="str">
            <v>Q1 Passed</v>
          </cell>
          <cell r="Q532" t="str">
            <v>Q1 Passed</v>
          </cell>
          <cell r="R532" t="str">
            <v>Q1.5 Passed</v>
          </cell>
          <cell r="S532" t="str">
            <v>Q1.5 Rejected</v>
          </cell>
          <cell r="T532" t="str">
            <v>No Tumor</v>
          </cell>
          <cell r="V532" t="str">
            <v>No Tumor</v>
          </cell>
          <cell r="W532" t="str">
            <v>Private Hospital</v>
          </cell>
          <cell r="X532" t="str">
            <v>Vydehi Hospital, Bangalore</v>
          </cell>
          <cell r="Y532" t="str">
            <v>Vydehi Hospital, Bangalore</v>
          </cell>
          <cell r="Z532" t="str">
            <v>Dr Amritha Prabha, Bangalore</v>
          </cell>
          <cell r="AA532" t="str">
            <v>HNSCC</v>
          </cell>
          <cell r="AC532" t="str">
            <v>Buccal Mucosa</v>
          </cell>
          <cell r="AD532" t="str">
            <v>Left buccal mucosa</v>
          </cell>
          <cell r="AE532" t="str">
            <v>Female</v>
          </cell>
          <cell r="AF532">
            <v>72</v>
          </cell>
          <cell r="AG532" t="str">
            <v>N</v>
          </cell>
          <cell r="AH532">
            <v>5.0999999999999996</v>
          </cell>
          <cell r="AI532" t="str">
            <v>Shashi</v>
          </cell>
          <cell r="AJ532" t="str">
            <v>Biopsy</v>
          </cell>
          <cell r="AK532" t="str">
            <v>Local Recurrent</v>
          </cell>
          <cell r="AL532" t="str">
            <v>Surgery+Radiotherapy</v>
          </cell>
          <cell r="AV532">
            <v>45055</v>
          </cell>
          <cell r="AW532">
            <v>0.81736111111111109</v>
          </cell>
          <cell r="AX532">
            <v>0.85555555555555551</v>
          </cell>
          <cell r="AY532">
            <v>3.8194444444444448E-2</v>
          </cell>
          <cell r="AZ532">
            <v>5.4166666666666669E-2</v>
          </cell>
          <cell r="BA532">
            <v>0.15763888888888888</v>
          </cell>
          <cell r="BB532" t="str">
            <v>0.3/0.3*0.4/0.6*0.6/0.8/1.0</v>
          </cell>
          <cell r="BC532" t="str">
            <v>0.3/0.3*0.4/0.6*0.6/0.8/1.0</v>
          </cell>
          <cell r="BD532" t="str">
            <v>Manual</v>
          </cell>
          <cell r="BE532">
            <v>15</v>
          </cell>
          <cell r="BF532" t="str">
            <v>Dharani</v>
          </cell>
          <cell r="BG532" t="str">
            <v>Y</v>
          </cell>
        </row>
        <row r="533">
          <cell r="A533" t="str">
            <v>FBR1Z230140</v>
          </cell>
          <cell r="B533">
            <v>230140</v>
          </cell>
          <cell r="C533" t="str">
            <v>R&amp;D</v>
          </cell>
          <cell r="D533">
            <v>45056</v>
          </cell>
          <cell r="E533">
            <v>0.42499999999999999</v>
          </cell>
          <cell r="F533">
            <v>45047</v>
          </cell>
          <cell r="G533">
            <v>45056</v>
          </cell>
          <cell r="H533">
            <v>0.46527777777777779</v>
          </cell>
          <cell r="I533">
            <v>4.027777777777778E-2</v>
          </cell>
          <cell r="J533">
            <v>2</v>
          </cell>
          <cell r="K533" t="str">
            <v>FCB-PROTOCOL-01</v>
          </cell>
          <cell r="L533" t="str">
            <v>CLN/PRA/208</v>
          </cell>
          <cell r="M533" t="str">
            <v>Y</v>
          </cell>
          <cell r="N533" t="str">
            <v>CT+LD Nivo -NLD study (1Z)</v>
          </cell>
          <cell r="O533" t="str">
            <v>Internal R&amp;D</v>
          </cell>
          <cell r="P533" t="str">
            <v>Q1 Passed</v>
          </cell>
          <cell r="Q533" t="str">
            <v>Q1 Passed</v>
          </cell>
          <cell r="R533" t="str">
            <v>Q1.5 Passed</v>
          </cell>
          <cell r="S533" t="str">
            <v>Q1.5 Passed</v>
          </cell>
          <cell r="V533" t="str">
            <v>Tumor content 55%-75%</v>
          </cell>
          <cell r="W533" t="str">
            <v>Private Hospital</v>
          </cell>
          <cell r="X533" t="str">
            <v>Dr Prakash BV, Bangalore</v>
          </cell>
          <cell r="Y533" t="str">
            <v>Sri Lakshmi Hospital, Bangalore</v>
          </cell>
          <cell r="Z533" t="str">
            <v>Dr Prakash BV, Bangalore</v>
          </cell>
          <cell r="AA533" t="str">
            <v>HNSCC</v>
          </cell>
          <cell r="AC533" t="str">
            <v>pyriform fossa</v>
          </cell>
          <cell r="AD533" t="str">
            <v>Right priform fossa</v>
          </cell>
          <cell r="AE533" t="str">
            <v>Female</v>
          </cell>
          <cell r="AF533">
            <v>58</v>
          </cell>
          <cell r="AG533" t="str">
            <v>N</v>
          </cell>
          <cell r="AH533">
            <v>6.9</v>
          </cell>
          <cell r="AI533" t="str">
            <v>Partha</v>
          </cell>
          <cell r="AJ533" t="str">
            <v>Surgery</v>
          </cell>
          <cell r="AK533" t="str">
            <v>Primary</v>
          </cell>
          <cell r="AN533" t="str">
            <v>IV</v>
          </cell>
          <cell r="AO533">
            <v>3</v>
          </cell>
          <cell r="AP533" t="str">
            <v>pT4N2bM0</v>
          </cell>
          <cell r="AV533">
            <v>45056</v>
          </cell>
          <cell r="AW533">
            <v>0.4826388888888889</v>
          </cell>
          <cell r="AX533">
            <v>0.56597222222222221</v>
          </cell>
          <cell r="AY533">
            <v>8.3333333333333329E-2</v>
          </cell>
          <cell r="AZ533">
            <v>0.10069444444444445</v>
          </cell>
          <cell r="BA533">
            <v>0.14097222222222222</v>
          </cell>
          <cell r="BB533" t="str">
            <v>1.0*1.0*1.8</v>
          </cell>
          <cell r="BC533" t="str">
            <v>1.0*1.0*1.8</v>
          </cell>
          <cell r="BD533" t="str">
            <v>Vibratome</v>
          </cell>
          <cell r="BE533">
            <v>15</v>
          </cell>
          <cell r="BF533" t="str">
            <v>Kowshik</v>
          </cell>
          <cell r="BG533" t="str">
            <v>Y</v>
          </cell>
        </row>
        <row r="534">
          <cell r="A534" t="str">
            <v>FBB1H230141</v>
          </cell>
          <cell r="B534">
            <v>230141</v>
          </cell>
          <cell r="C534" t="str">
            <v>Biopharma</v>
          </cell>
          <cell r="D534">
            <v>45057</v>
          </cell>
          <cell r="E534">
            <v>0.4861111111111111</v>
          </cell>
          <cell r="F534">
            <v>45047</v>
          </cell>
          <cell r="G534">
            <v>45057</v>
          </cell>
          <cell r="H534">
            <v>0.55625000000000002</v>
          </cell>
          <cell r="I534">
            <v>7.013888888888889E-2</v>
          </cell>
          <cell r="J534">
            <v>2</v>
          </cell>
          <cell r="K534" t="str">
            <v>FCB-PROTOCOL-01</v>
          </cell>
          <cell r="L534" t="str">
            <v>VYD/169</v>
          </cell>
          <cell r="M534" t="str">
            <v>Y</v>
          </cell>
          <cell r="N534" t="str">
            <v>BP007-2023(1H)</v>
          </cell>
          <cell r="O534" t="str">
            <v>Biopharma</v>
          </cell>
          <cell r="P534" t="str">
            <v>Q1 Passed</v>
          </cell>
          <cell r="Q534" t="str">
            <v>Q1 Passed</v>
          </cell>
          <cell r="R534" t="str">
            <v>Q1.5 Passed</v>
          </cell>
          <cell r="S534" t="str">
            <v>Q1.5 Passed</v>
          </cell>
          <cell r="V534" t="str">
            <v>Tumor content 65-95%</v>
          </cell>
          <cell r="W534" t="str">
            <v>Private Hospital</v>
          </cell>
          <cell r="X534" t="str">
            <v>Vydehi Hospital, Bangalore</v>
          </cell>
          <cell r="Y534" t="str">
            <v>Vydehi Hospital, Bangalore</v>
          </cell>
          <cell r="Z534" t="str">
            <v>Dr Amritha Prabha, Bangalore</v>
          </cell>
          <cell r="AA534" t="str">
            <v>HNSCC</v>
          </cell>
          <cell r="AC534" t="str">
            <v>Tongue</v>
          </cell>
          <cell r="AD534" t="str">
            <v>Right Lateral Border of Tongue</v>
          </cell>
          <cell r="AE534" t="str">
            <v>Male</v>
          </cell>
          <cell r="AF534">
            <v>27</v>
          </cell>
          <cell r="AG534" t="str">
            <v>N</v>
          </cell>
          <cell r="AH534">
            <v>6.5</v>
          </cell>
          <cell r="AI534" t="str">
            <v>Maruthi</v>
          </cell>
          <cell r="AJ534" t="str">
            <v>Surgery</v>
          </cell>
          <cell r="AK534" t="str">
            <v>Primary</v>
          </cell>
          <cell r="AN534" t="str">
            <v>II</v>
          </cell>
          <cell r="AO534">
            <v>2</v>
          </cell>
          <cell r="AP534" t="str">
            <v>pT2N0</v>
          </cell>
          <cell r="AV534">
            <v>45057</v>
          </cell>
          <cell r="AW534">
            <v>0.56666666666666665</v>
          </cell>
          <cell r="AX534">
            <v>0.68333333333333335</v>
          </cell>
          <cell r="AY534">
            <v>0.11666666666666667</v>
          </cell>
          <cell r="AZ534">
            <v>0.12708333333333333</v>
          </cell>
          <cell r="BA534">
            <v>0.19722222222222222</v>
          </cell>
          <cell r="BB534" t="str">
            <v>0.9/0.2/0.4/0.4*0.6/0.8/0.6/0.6/0.8/0.6*1.3/0.9/1.0/0.9</v>
          </cell>
          <cell r="BC534" t="str">
            <v>0.9/0.2/0.4/0.4*0.6/0.8/0.6/0.6/0.8/0.6*1.3/0.9/1.0/0.9</v>
          </cell>
          <cell r="BD534" t="str">
            <v>vibratome</v>
          </cell>
          <cell r="BE534">
            <v>15</v>
          </cell>
          <cell r="BF534" t="str">
            <v>Mouniss</v>
          </cell>
          <cell r="BG534" t="str">
            <v>Y</v>
          </cell>
        </row>
        <row r="535">
          <cell r="A535" t="str">
            <v>FBR1Z230142</v>
          </cell>
          <cell r="B535">
            <v>230142</v>
          </cell>
          <cell r="C535" t="str">
            <v>R&amp;D</v>
          </cell>
          <cell r="D535">
            <v>45058</v>
          </cell>
          <cell r="E535">
            <v>0.51041666666666663</v>
          </cell>
          <cell r="F535">
            <v>45047</v>
          </cell>
          <cell r="G535">
            <v>45058</v>
          </cell>
          <cell r="H535">
            <v>0.69513888888888886</v>
          </cell>
          <cell r="I535">
            <v>0.18472222222222223</v>
          </cell>
          <cell r="J535">
            <v>0</v>
          </cell>
          <cell r="K535" t="str">
            <v>FCB-PROTOCOL-01</v>
          </cell>
          <cell r="L535" t="str">
            <v>VYD/BPY/005</v>
          </cell>
          <cell r="M535" t="str">
            <v>Y</v>
          </cell>
          <cell r="N535" t="str">
            <v>CT+LD Nivo -NLD study (1Z)</v>
          </cell>
          <cell r="O535" t="str">
            <v>Internal R&amp;D</v>
          </cell>
          <cell r="P535" t="str">
            <v>Q1 Passed</v>
          </cell>
          <cell r="Q535" t="str">
            <v>Q1 Passed</v>
          </cell>
          <cell r="R535" t="str">
            <v>Q1.5 Passed</v>
          </cell>
          <cell r="S535" t="str">
            <v>Q1.5 Passed</v>
          </cell>
          <cell r="V535" t="str">
            <v>Tumor content 1-90%</v>
          </cell>
          <cell r="W535" t="str">
            <v>Private Hospital</v>
          </cell>
          <cell r="X535" t="str">
            <v>Vydehi Hospital, Bangalore</v>
          </cell>
          <cell r="Y535" t="str">
            <v>Vydehi Hospital, Bangalore</v>
          </cell>
          <cell r="Z535" t="str">
            <v>Dr Amritha Prabha, Bangalore</v>
          </cell>
          <cell r="AA535" t="str">
            <v>HNSCC</v>
          </cell>
          <cell r="AC535" t="str">
            <v>Buccal Mucosa</v>
          </cell>
          <cell r="AD535" t="str">
            <v>Left Buccal Mucosa</v>
          </cell>
          <cell r="AE535" t="str">
            <v>Female</v>
          </cell>
          <cell r="AF535">
            <v>72</v>
          </cell>
          <cell r="AG535" t="str">
            <v>N</v>
          </cell>
          <cell r="AH535">
            <v>3.2</v>
          </cell>
          <cell r="AI535" t="str">
            <v>Maruthi</v>
          </cell>
          <cell r="AJ535" t="str">
            <v>Biopsy</v>
          </cell>
          <cell r="AK535" t="str">
            <v>Local Recurrent</v>
          </cell>
          <cell r="AL535" t="str">
            <v>Surgery+Radiotherapy</v>
          </cell>
          <cell r="AN535" t="str">
            <v>IV</v>
          </cell>
          <cell r="AO535">
            <v>2</v>
          </cell>
          <cell r="AP535" t="str">
            <v>T4aN0M0</v>
          </cell>
          <cell r="AV535">
            <v>45058</v>
          </cell>
          <cell r="AW535">
            <v>0.78541666666666665</v>
          </cell>
          <cell r="AX535">
            <v>0.81944444444444442</v>
          </cell>
          <cell r="AY535">
            <v>3.4027777777777775E-2</v>
          </cell>
          <cell r="AZ535">
            <v>0.12430555555555556</v>
          </cell>
          <cell r="BA535">
            <v>0.30902777777777779</v>
          </cell>
          <cell r="BB535" t="str">
            <v>0.2/0.2/0.3*0.7/0.6*0.8/1.4</v>
          </cell>
          <cell r="BC535" t="str">
            <v>0.2/0.2/0.3*0.7/0.6*0.8/1.5</v>
          </cell>
          <cell r="BD535" t="str">
            <v>Manual</v>
          </cell>
          <cell r="BE535">
            <v>15</v>
          </cell>
          <cell r="BF535" t="str">
            <v>Kowshik</v>
          </cell>
          <cell r="BG535" t="str">
            <v>Y</v>
          </cell>
        </row>
        <row r="536">
          <cell r="A536" t="str">
            <v>FBR1Z230143</v>
          </cell>
          <cell r="B536">
            <v>230143</v>
          </cell>
          <cell r="C536" t="str">
            <v>R&amp;D</v>
          </cell>
          <cell r="D536">
            <v>45059</v>
          </cell>
          <cell r="E536">
            <v>0.46597222222222223</v>
          </cell>
          <cell r="F536">
            <v>45047</v>
          </cell>
          <cell r="G536">
            <v>45059</v>
          </cell>
          <cell r="H536">
            <v>0.52083333333333337</v>
          </cell>
          <cell r="I536">
            <v>5.486111111111111E-2</v>
          </cell>
          <cell r="J536">
            <v>1</v>
          </cell>
          <cell r="K536" t="str">
            <v>FCB-PROTOCOL-01</v>
          </cell>
          <cell r="L536" t="str">
            <v>CLN/PRA/209</v>
          </cell>
          <cell r="M536" t="str">
            <v>Y</v>
          </cell>
          <cell r="N536" t="str">
            <v>CT+LD Nivo -NLD study (1Z)</v>
          </cell>
          <cell r="O536" t="str">
            <v>Internal R&amp;D</v>
          </cell>
          <cell r="P536" t="str">
            <v>Q1 Passed</v>
          </cell>
          <cell r="Q536" t="str">
            <v>Q1 Passed</v>
          </cell>
          <cell r="R536" t="str">
            <v>Q1.5 Passed</v>
          </cell>
          <cell r="S536" t="str">
            <v>Q1.5 Passed</v>
          </cell>
          <cell r="V536" t="str">
            <v>Tumor content 50-80%</v>
          </cell>
          <cell r="W536" t="str">
            <v>Private Hospital</v>
          </cell>
          <cell r="X536" t="str">
            <v>Dr Prakash BV, Bangalore</v>
          </cell>
          <cell r="Y536" t="str">
            <v>Sri Lakshmi Hospital, Bangalore</v>
          </cell>
          <cell r="Z536" t="str">
            <v>Dr Prakash BV, Bangalore</v>
          </cell>
          <cell r="AA536" t="str">
            <v>HNSCC</v>
          </cell>
          <cell r="AC536" t="str">
            <v>Buccal Mucosa</v>
          </cell>
          <cell r="AD536" t="str">
            <v>Left Buccal Mucosa</v>
          </cell>
          <cell r="AE536" t="str">
            <v>Male</v>
          </cell>
          <cell r="AF536">
            <v>55</v>
          </cell>
          <cell r="AG536" t="str">
            <v>N</v>
          </cell>
          <cell r="AH536">
            <v>5.0999999999999996</v>
          </cell>
          <cell r="AI536" t="str">
            <v>Shashi</v>
          </cell>
          <cell r="AJ536" t="str">
            <v>Surgery</v>
          </cell>
          <cell r="AK536" t="str">
            <v>Primary</v>
          </cell>
          <cell r="AN536" t="str">
            <v>II</v>
          </cell>
          <cell r="AO536">
            <v>2</v>
          </cell>
          <cell r="AP536" t="str">
            <v>pT2N0M0</v>
          </cell>
          <cell r="AV536">
            <v>45059</v>
          </cell>
          <cell r="AW536">
            <v>0.55694444444444446</v>
          </cell>
          <cell r="AX536">
            <v>0.62847222222222221</v>
          </cell>
          <cell r="AY536">
            <v>7.1527777777777773E-2</v>
          </cell>
          <cell r="AZ536">
            <v>0.1076388888888889</v>
          </cell>
          <cell r="BA536">
            <v>0.16250000000000001</v>
          </cell>
          <cell r="BB536" t="str">
            <v>0.3/0.4*1.1*2.4</v>
          </cell>
          <cell r="BC536" t="str">
            <v>0.3/0.4*1.1*2.5</v>
          </cell>
          <cell r="BD536" t="str">
            <v>Vibratome</v>
          </cell>
          <cell r="BE536">
            <v>15</v>
          </cell>
          <cell r="BF536" t="str">
            <v>Kowshik</v>
          </cell>
          <cell r="BG536" t="str">
            <v>Y</v>
          </cell>
        </row>
        <row r="537">
          <cell r="A537" t="str">
            <v>FBR1Z230144</v>
          </cell>
          <cell r="B537">
            <v>230144</v>
          </cell>
          <cell r="C537" t="str">
            <v>R&amp;D</v>
          </cell>
          <cell r="D537">
            <v>45059</v>
          </cell>
          <cell r="E537">
            <v>0.36875000000000002</v>
          </cell>
          <cell r="F537">
            <v>45047</v>
          </cell>
          <cell r="G537">
            <v>45059</v>
          </cell>
          <cell r="H537">
            <v>0.53194444444444444</v>
          </cell>
          <cell r="I537">
            <v>0.16319444444444445</v>
          </cell>
          <cell r="J537">
            <v>1</v>
          </cell>
          <cell r="K537" t="str">
            <v>FCB-PROTOCOL-01</v>
          </cell>
          <cell r="L537" t="str">
            <v>VYD/BPY/006</v>
          </cell>
          <cell r="M537" t="str">
            <v>Y</v>
          </cell>
          <cell r="N537" t="str">
            <v>CT+LD Nivo -NLD study (1Z)</v>
          </cell>
          <cell r="O537" t="str">
            <v>Internal R&amp;D</v>
          </cell>
          <cell r="P537" t="str">
            <v>Q1 Passed</v>
          </cell>
          <cell r="Q537" t="str">
            <v>Q1 Passed</v>
          </cell>
          <cell r="R537" t="str">
            <v>Q1.5 Passed</v>
          </cell>
          <cell r="S537" t="str">
            <v>Q1.5 Passed</v>
          </cell>
          <cell r="V537" t="str">
            <v>Tumor content 25-95%</v>
          </cell>
          <cell r="W537" t="str">
            <v>Private Hospital</v>
          </cell>
          <cell r="X537" t="str">
            <v>Vydehi Hospital, Bangalore</v>
          </cell>
          <cell r="Y537" t="str">
            <v>Vydehi Hospital, Bangalore</v>
          </cell>
          <cell r="Z537" t="str">
            <v>Dr Amritha Prabha, Bangalore</v>
          </cell>
          <cell r="AA537" t="str">
            <v>HNSCC</v>
          </cell>
          <cell r="AC537" t="str">
            <v>Buccal Mucosa</v>
          </cell>
          <cell r="AD537" t="str">
            <v>Left Buccal Mucosa</v>
          </cell>
          <cell r="AE537" t="str">
            <v>Female</v>
          </cell>
          <cell r="AF537">
            <v>65</v>
          </cell>
          <cell r="AG537" t="str">
            <v>N</v>
          </cell>
          <cell r="AH537">
            <v>3.2</v>
          </cell>
          <cell r="AI537" t="str">
            <v>Maruthi</v>
          </cell>
          <cell r="AJ537" t="str">
            <v>Biopsy</v>
          </cell>
          <cell r="AK537" t="str">
            <v>Local Recurrent</v>
          </cell>
          <cell r="AL537" t="str">
            <v>Surgery+Radiotherapy</v>
          </cell>
          <cell r="AN537" t="str">
            <v>IV</v>
          </cell>
          <cell r="AO537">
            <v>2</v>
          </cell>
          <cell r="AP537" t="str">
            <v>T4aN0M0</v>
          </cell>
          <cell r="AV537">
            <v>45059</v>
          </cell>
          <cell r="AW537">
            <v>0.58680555555555558</v>
          </cell>
          <cell r="AX537">
            <v>0.65694444444444444</v>
          </cell>
          <cell r="AY537">
            <v>7.013888888888889E-2</v>
          </cell>
          <cell r="AZ537">
            <v>0.125</v>
          </cell>
          <cell r="BA537">
            <v>0.28819444444444442</v>
          </cell>
          <cell r="BB537" t="str">
            <v>Tissue broken into pieces while washing ,so the dimensions are not taken</v>
          </cell>
          <cell r="BC537" t="str">
            <v>Tissue broken into pieces while washing ,so the dimensions are not taken</v>
          </cell>
          <cell r="BD537" t="str">
            <v>Manual</v>
          </cell>
          <cell r="BE537">
            <v>15</v>
          </cell>
          <cell r="BF537" t="str">
            <v>Dharani</v>
          </cell>
          <cell r="BG537" t="str">
            <v>Y</v>
          </cell>
        </row>
        <row r="538">
          <cell r="A538" t="str">
            <v>FBR1Y230145</v>
          </cell>
          <cell r="B538">
            <v>230145</v>
          </cell>
          <cell r="C538" t="str">
            <v>R&amp;D</v>
          </cell>
          <cell r="D538">
            <v>45063</v>
          </cell>
          <cell r="E538">
            <v>0.54861111111111116</v>
          </cell>
          <cell r="F538">
            <v>45047</v>
          </cell>
          <cell r="G538">
            <v>45063</v>
          </cell>
          <cell r="H538">
            <v>0.63958333333333328</v>
          </cell>
          <cell r="I538">
            <v>9.0972222222222218E-2</v>
          </cell>
          <cell r="J538">
            <v>10</v>
          </cell>
          <cell r="K538" t="str">
            <v>FCB-PROTOCOL-02</v>
          </cell>
          <cell r="L538" t="str">
            <v>HN058</v>
          </cell>
          <cell r="M538" t="str">
            <v>Y</v>
          </cell>
          <cell r="N538" t="str">
            <v>CCS Study (1Y)</v>
          </cell>
          <cell r="O538" t="str">
            <v>Internal R&amp;D</v>
          </cell>
          <cell r="P538" t="str">
            <v>Q1 Passed</v>
          </cell>
          <cell r="Q538" t="str">
            <v>Q1 Passed</v>
          </cell>
          <cell r="R538" t="str">
            <v>Q1.5 Passed</v>
          </cell>
          <cell r="S538" t="str">
            <v>Q1.5 Rejected</v>
          </cell>
          <cell r="U538" t="str">
            <v>Y</v>
          </cell>
          <cell r="V538" t="str">
            <v>No Tumor</v>
          </cell>
          <cell r="W538" t="str">
            <v>Private Hospital</v>
          </cell>
          <cell r="X538" t="str">
            <v>Mazumdar Shaw Medical Centre, Bangalore</v>
          </cell>
          <cell r="Y538" t="str">
            <v>Mazumdar Shaw Medical Centre, Bangalore</v>
          </cell>
          <cell r="Z538" t="str">
            <v>Dr Vijay Pillai, Bangalore</v>
          </cell>
          <cell r="AA538" t="str">
            <v>HNSCC</v>
          </cell>
          <cell r="AC538" t="str">
            <v>Buccal Mucosa</v>
          </cell>
          <cell r="AD538" t="str">
            <v>Buccal Mucosa</v>
          </cell>
          <cell r="AE538" t="str">
            <v>Male</v>
          </cell>
          <cell r="AF538">
            <v>59</v>
          </cell>
          <cell r="AG538" t="str">
            <v>N</v>
          </cell>
          <cell r="AH538">
            <v>4.2</v>
          </cell>
          <cell r="AI538" t="str">
            <v>Kalappa</v>
          </cell>
          <cell r="AJ538" t="str">
            <v>Surgery</v>
          </cell>
          <cell r="AK538" t="str">
            <v>Primary</v>
          </cell>
          <cell r="AL538" t="str">
            <v>RT-March2019</v>
          </cell>
          <cell r="AN538" t="str">
            <v>IV</v>
          </cell>
          <cell r="AO538">
            <v>1</v>
          </cell>
          <cell r="AP538" t="str">
            <v>pT4apN0.</v>
          </cell>
          <cell r="AS538" t="str">
            <v>Well differentiated squamous cell carcinoma</v>
          </cell>
          <cell r="AV538">
            <v>45062</v>
          </cell>
          <cell r="AW538">
            <v>0.6645833333333333</v>
          </cell>
          <cell r="AX538">
            <v>0.71944444444444444</v>
          </cell>
          <cell r="AY538">
            <v>5.486111111111111E-2</v>
          </cell>
          <cell r="AZ538">
            <v>7.9861111111111105E-2</v>
          </cell>
          <cell r="BA538">
            <v>0.17083333333333334</v>
          </cell>
          <cell r="BB538" t="str">
            <v>0.2/0.3*0.6*0.5</v>
          </cell>
          <cell r="BC538" t="str">
            <v>0.2/0.3*0.6*0.6</v>
          </cell>
          <cell r="BD538" t="str">
            <v>Manual</v>
          </cell>
          <cell r="BE538">
            <v>15</v>
          </cell>
          <cell r="BF538" t="str">
            <v>kuberan</v>
          </cell>
          <cell r="BG538" t="str">
            <v>Y</v>
          </cell>
        </row>
        <row r="539">
          <cell r="A539" t="str">
            <v>FBR1Y230146</v>
          </cell>
          <cell r="B539">
            <v>230146</v>
          </cell>
          <cell r="C539" t="str">
            <v>R&amp;D</v>
          </cell>
          <cell r="D539">
            <v>45065</v>
          </cell>
          <cell r="E539">
            <v>0.56041666666666667</v>
          </cell>
          <cell r="F539">
            <v>45047</v>
          </cell>
          <cell r="G539">
            <v>45065</v>
          </cell>
          <cell r="H539">
            <v>0.64236111111111116</v>
          </cell>
          <cell r="I539">
            <v>8.1944444444444445E-2</v>
          </cell>
          <cell r="J539">
            <v>9</v>
          </cell>
          <cell r="K539" t="str">
            <v>FCB-PROTOCOL-02</v>
          </cell>
          <cell r="L539" t="str">
            <v>HN059</v>
          </cell>
          <cell r="M539" t="str">
            <v>Y</v>
          </cell>
          <cell r="N539" t="str">
            <v>CCS Study (1Y)</v>
          </cell>
          <cell r="O539" t="str">
            <v>Internal R&amp;D</v>
          </cell>
          <cell r="P539" t="str">
            <v>Q1 Passed</v>
          </cell>
          <cell r="Q539" t="str">
            <v>Q1 Passed</v>
          </cell>
          <cell r="R539" t="str">
            <v>Compromised</v>
          </cell>
          <cell r="S539" t="str">
            <v>Q1.5 Passed</v>
          </cell>
          <cell r="V539" t="str">
            <v>Tumor content 40-80%</v>
          </cell>
          <cell r="W539" t="str">
            <v>Private Hospital</v>
          </cell>
          <cell r="X539" t="str">
            <v>Mazumdar Shaw Medical Centre, Bangalore</v>
          </cell>
          <cell r="Y539" t="str">
            <v>Mazumdar Shaw Medical Centre, Bangalore</v>
          </cell>
          <cell r="Z539" t="str">
            <v>Dr Vijay Pillai, Bangalore</v>
          </cell>
          <cell r="AA539" t="str">
            <v>HNSCC</v>
          </cell>
          <cell r="AC539" t="str">
            <v>Alveolus</v>
          </cell>
          <cell r="AD539" t="str">
            <v>Left lower alveolus</v>
          </cell>
          <cell r="AE539" t="str">
            <v>Female</v>
          </cell>
          <cell r="AF539">
            <v>46</v>
          </cell>
          <cell r="AG539" t="str">
            <v>N</v>
          </cell>
          <cell r="AH539">
            <v>5.0999999999999996</v>
          </cell>
          <cell r="AI539" t="str">
            <v>Shashi</v>
          </cell>
          <cell r="AJ539" t="str">
            <v>Surgery</v>
          </cell>
          <cell r="AK539" t="str">
            <v>Primary</v>
          </cell>
          <cell r="AN539" t="str">
            <v>IV</v>
          </cell>
          <cell r="AO539">
            <v>2</v>
          </cell>
          <cell r="AP539" t="str">
            <v>pT4bpN3b</v>
          </cell>
          <cell r="AS539" t="str">
            <v>Moderately differentiated squamous cell carcinoma</v>
          </cell>
          <cell r="AV539">
            <v>45065</v>
          </cell>
          <cell r="AW539">
            <v>0.65972222222222221</v>
          </cell>
          <cell r="AX539">
            <v>0.73402777777777772</v>
          </cell>
          <cell r="AY539">
            <v>7.4305555555555555E-2</v>
          </cell>
          <cell r="AZ539">
            <v>9.166666666666666E-2</v>
          </cell>
          <cell r="BA539">
            <v>0.1736111111111111</v>
          </cell>
          <cell r="BB539" t="str">
            <v>0.4/0.3*0.8/0.2*0.8</v>
          </cell>
          <cell r="BC539" t="str">
            <v>0.4/0.3*0.8/0.2*0.9</v>
          </cell>
          <cell r="BD539" t="str">
            <v>Manual</v>
          </cell>
          <cell r="BE539">
            <v>15</v>
          </cell>
          <cell r="BF539" t="str">
            <v>Pallavi</v>
          </cell>
          <cell r="BG539" t="str">
            <v>Y</v>
          </cell>
        </row>
        <row r="540">
          <cell r="A540" t="str">
            <v>FBB1H230147</v>
          </cell>
          <cell r="B540">
            <v>230147</v>
          </cell>
          <cell r="C540" t="str">
            <v>Biopharma</v>
          </cell>
          <cell r="D540">
            <v>45070</v>
          </cell>
          <cell r="E540">
            <v>0.52430555555555558</v>
          </cell>
          <cell r="F540">
            <v>45047</v>
          </cell>
          <cell r="G540">
            <v>45070</v>
          </cell>
          <cell r="H540">
            <v>0.66388888888888886</v>
          </cell>
          <cell r="I540">
            <v>0.13958333333333334</v>
          </cell>
          <cell r="J540">
            <v>1</v>
          </cell>
          <cell r="K540" t="str">
            <v>FCB-PROTOCOL-02</v>
          </cell>
          <cell r="L540" t="str">
            <v>CLN/JSS/025</v>
          </cell>
          <cell r="M540" t="str">
            <v>Y</v>
          </cell>
          <cell r="N540" t="str">
            <v>BP007-2023(1H)</v>
          </cell>
          <cell r="O540" t="str">
            <v>Biopharma</v>
          </cell>
          <cell r="P540" t="str">
            <v>Q1 Passed</v>
          </cell>
          <cell r="Q540" t="str">
            <v>Q1 Passed</v>
          </cell>
          <cell r="R540" t="str">
            <v>Q1.5 Passed</v>
          </cell>
          <cell r="S540" t="str">
            <v>Q1.5 Passed</v>
          </cell>
          <cell r="V540" t="str">
            <v>Tumor content 15-75%</v>
          </cell>
          <cell r="W540" t="str">
            <v>Clinic'les</v>
          </cell>
          <cell r="X540" t="str">
            <v>Clinic'les- Dr Ravi Krishnappa, Mysore</v>
          </cell>
          <cell r="Y540" t="str">
            <v>JSS Hospital, Mysore</v>
          </cell>
          <cell r="Z540" t="str">
            <v>Dr Ravi Krishnappa, Mysore</v>
          </cell>
          <cell r="AA540" t="str">
            <v>HNSCC</v>
          </cell>
          <cell r="AC540" t="str">
            <v>Buccal Mucosa</v>
          </cell>
          <cell r="AD540" t="str">
            <v>Buccal Mucosa</v>
          </cell>
          <cell r="AE540" t="str">
            <v>Male</v>
          </cell>
          <cell r="AF540">
            <v>45</v>
          </cell>
          <cell r="AG540" t="str">
            <v>N</v>
          </cell>
          <cell r="AH540">
            <v>4.2</v>
          </cell>
          <cell r="AI540" t="str">
            <v>Kalappa</v>
          </cell>
          <cell r="AJ540" t="str">
            <v>Surgery</v>
          </cell>
          <cell r="AK540" t="str">
            <v>Primary</v>
          </cell>
          <cell r="AN540" t="str">
            <v>II</v>
          </cell>
          <cell r="AP540" t="str">
            <v>pT2N2bMx</v>
          </cell>
          <cell r="AV540">
            <v>45070</v>
          </cell>
          <cell r="AW540">
            <v>0.70138888888888884</v>
          </cell>
          <cell r="AX540">
            <v>0.80208333333333337</v>
          </cell>
          <cell r="AY540">
            <v>0.10069444444444445</v>
          </cell>
          <cell r="AZ540">
            <v>0.13819444444444445</v>
          </cell>
          <cell r="BA540">
            <v>0.27777777777777779</v>
          </cell>
          <cell r="BB540" t="str">
            <v>0.2/0.3/0.4*1.0/1.0/1.4*1.8/2.6</v>
          </cell>
          <cell r="BC540" t="str">
            <v>0.2/0.3/0.4*1.0/1.0/1.4*1.8/2.7</v>
          </cell>
          <cell r="BD540" t="str">
            <v>Vibratome</v>
          </cell>
          <cell r="BE540">
            <v>15</v>
          </cell>
          <cell r="BF540" t="str">
            <v>chandan</v>
          </cell>
          <cell r="BG540" t="str">
            <v>Y</v>
          </cell>
        </row>
        <row r="541">
          <cell r="A541">
            <v>230148</v>
          </cell>
          <cell r="B541">
            <v>230148</v>
          </cell>
          <cell r="C541" t="str">
            <v>R&amp;D</v>
          </cell>
          <cell r="D541">
            <v>45070</v>
          </cell>
          <cell r="E541">
            <v>0.81041666666666667</v>
          </cell>
          <cell r="F541">
            <v>45047</v>
          </cell>
          <cell r="G541">
            <v>45070</v>
          </cell>
          <cell r="H541">
            <v>0.85416666666666663</v>
          </cell>
          <cell r="I541">
            <v>4.3749999999999997E-2</v>
          </cell>
          <cell r="J541">
            <v>5</v>
          </cell>
          <cell r="K541" t="str">
            <v>FCB-PROTOCOL-02</v>
          </cell>
          <cell r="L541" t="str">
            <v>CLN/PRA/210</v>
          </cell>
          <cell r="M541" t="str">
            <v>Y</v>
          </cell>
          <cell r="N541" t="str">
            <v>No study</v>
          </cell>
          <cell r="O541" t="str">
            <v>1st level attrition</v>
          </cell>
          <cell r="P541" t="str">
            <v>Q1 Rejected</v>
          </cell>
          <cell r="Q541" t="str">
            <v>Q1 Rejected</v>
          </cell>
          <cell r="R541" t="str">
            <v>Q1.5 Rejected</v>
          </cell>
          <cell r="S541" t="str">
            <v>Q1.5 Rejected</v>
          </cell>
          <cell r="T541" t="str">
            <v>Skin Present</v>
          </cell>
          <cell r="W541" t="str">
            <v>Private Hospital</v>
          </cell>
          <cell r="X541" t="str">
            <v>Dr Prakash BV, Bangalore</v>
          </cell>
          <cell r="Y541" t="str">
            <v>ASWAD Hospital</v>
          </cell>
          <cell r="Z541" t="str">
            <v>Dr Prakash BV, Bangalore</v>
          </cell>
          <cell r="AA541" t="str">
            <v>HNSCC</v>
          </cell>
          <cell r="AB541" t="str">
            <v>SCC</v>
          </cell>
          <cell r="AC541" t="str">
            <v>Left buccal mucosa</v>
          </cell>
          <cell r="AD541" t="str">
            <v>Left buccal mucosa</v>
          </cell>
          <cell r="AE541" t="str">
            <v>Male</v>
          </cell>
          <cell r="AF541">
            <v>50</v>
          </cell>
          <cell r="AG541" t="str">
            <v>N</v>
          </cell>
          <cell r="AI541" t="str">
            <v>Partha</v>
          </cell>
          <cell r="AJ541" t="str">
            <v>Surgery</v>
          </cell>
          <cell r="AK541" t="str">
            <v>Primary</v>
          </cell>
          <cell r="AO541">
            <v>1</v>
          </cell>
          <cell r="AP541" t="str">
            <v>T2N0M0</v>
          </cell>
          <cell r="AV541">
            <v>45071</v>
          </cell>
          <cell r="AW541">
            <v>0.85763888888888884</v>
          </cell>
          <cell r="BB541" t="str">
            <v>0.6*1.6/2.2*2.0</v>
          </cell>
          <cell r="BC541" t="str">
            <v>0.6*1.6/2.2*2.0</v>
          </cell>
          <cell r="BE541">
            <v>15</v>
          </cell>
          <cell r="BF541" t="str">
            <v>Biswajit</v>
          </cell>
        </row>
        <row r="542">
          <cell r="A542" t="str">
            <v>FBR1A230149</v>
          </cell>
          <cell r="B542">
            <v>230149</v>
          </cell>
          <cell r="C542" t="str">
            <v>R&amp;D</v>
          </cell>
          <cell r="D542">
            <v>45071</v>
          </cell>
          <cell r="E542">
            <v>0.46666666666666667</v>
          </cell>
          <cell r="F542">
            <v>45047</v>
          </cell>
          <cell r="G542">
            <v>45071</v>
          </cell>
          <cell r="H542">
            <v>0.5541666666666667</v>
          </cell>
          <cell r="I542">
            <v>8.7499999999999994E-2</v>
          </cell>
          <cell r="J542">
            <v>1</v>
          </cell>
          <cell r="K542" t="str">
            <v>FCB-PROTOCOL-02</v>
          </cell>
          <cell r="L542" t="str">
            <v>OC011</v>
          </cell>
          <cell r="M542" t="str">
            <v>Y</v>
          </cell>
          <cell r="N542" t="str">
            <v>Other Indication</v>
          </cell>
          <cell r="O542" t="str">
            <v>Internal R&amp;D</v>
          </cell>
          <cell r="P542" t="str">
            <v>Q1 Passed</v>
          </cell>
          <cell r="Q542" t="str">
            <v>Q1 Passed</v>
          </cell>
          <cell r="R542" t="str">
            <v>Compromised</v>
          </cell>
          <cell r="S542" t="str">
            <v>Q1.5 Passed</v>
          </cell>
          <cell r="V542" t="str">
            <v>Tumor content 2-95%</v>
          </cell>
          <cell r="W542" t="str">
            <v>Private Hospital</v>
          </cell>
          <cell r="X542" t="str">
            <v>Mazumdar Shaw Medical Centre, Bangalore</v>
          </cell>
          <cell r="Y542" t="str">
            <v>Mazumdar Shaw Medical Centre, Bangalore</v>
          </cell>
          <cell r="Z542" t="str">
            <v>Dr Rohit Ranade, Bangalore</v>
          </cell>
          <cell r="AA542" t="str">
            <v>Ca Ovary</v>
          </cell>
          <cell r="AC542" t="str">
            <v>Right ovary</v>
          </cell>
          <cell r="AD542" t="str">
            <v>Right ovary</v>
          </cell>
          <cell r="AE542" t="str">
            <v>female</v>
          </cell>
          <cell r="AF542">
            <v>61</v>
          </cell>
          <cell r="AG542" t="str">
            <v>N</v>
          </cell>
          <cell r="AH542">
            <v>4.5</v>
          </cell>
          <cell r="AI542" t="str">
            <v>Maruthi</v>
          </cell>
          <cell r="AJ542" t="str">
            <v>Surgery</v>
          </cell>
          <cell r="AK542" t="str">
            <v>Primary</v>
          </cell>
          <cell r="AO542" t="str">
            <v xml:space="preserve">High grade tumor. </v>
          </cell>
          <cell r="AP542" t="str">
            <v>pN1a</v>
          </cell>
          <cell r="AS542" t="str">
            <v xml:space="preserve"> Carcinosarcoma (malignant mixed Mullerian tumor)</v>
          </cell>
          <cell r="AV542">
            <v>45071</v>
          </cell>
          <cell r="AW542">
            <v>0.56111111111111112</v>
          </cell>
          <cell r="AX542">
            <v>0.70833333333333337</v>
          </cell>
          <cell r="AY542">
            <v>0.14722222222222223</v>
          </cell>
          <cell r="AZ542">
            <v>0.15416666666666667</v>
          </cell>
          <cell r="BA542">
            <v>0.24166666666666667</v>
          </cell>
          <cell r="BB542" t="str">
            <v>0.2/0.4*1.6/1.2*2.0</v>
          </cell>
          <cell r="BC542" t="str">
            <v>0.2/0.4*1.6/1.2*2.1</v>
          </cell>
          <cell r="BD542" t="str">
            <v>Manual</v>
          </cell>
          <cell r="BE542">
            <v>15</v>
          </cell>
          <cell r="BF542" t="str">
            <v>kuberan</v>
          </cell>
          <cell r="BG542" t="str">
            <v>Y</v>
          </cell>
        </row>
        <row r="543">
          <cell r="A543" t="str">
            <v>FBR1Y230150</v>
          </cell>
          <cell r="B543">
            <v>230150</v>
          </cell>
          <cell r="C543" t="str">
            <v>R&amp;D</v>
          </cell>
          <cell r="D543">
            <v>45071</v>
          </cell>
          <cell r="E543">
            <v>0.50902777777777775</v>
          </cell>
          <cell r="F543">
            <v>45047</v>
          </cell>
          <cell r="G543">
            <v>45071</v>
          </cell>
          <cell r="H543">
            <v>0.60069444444444442</v>
          </cell>
          <cell r="I543">
            <v>9.166666666666666E-2</v>
          </cell>
          <cell r="J543">
            <v>2</v>
          </cell>
          <cell r="K543" t="str">
            <v>FCB-PROTOCOL-02</v>
          </cell>
          <cell r="L543" t="str">
            <v>VYD/170</v>
          </cell>
          <cell r="M543" t="str">
            <v>Y</v>
          </cell>
          <cell r="N543" t="str">
            <v>CCS Study (1Y)</v>
          </cell>
          <cell r="O543" t="str">
            <v>Internal R&amp;D</v>
          </cell>
          <cell r="P543" t="str">
            <v>Q1 Passed</v>
          </cell>
          <cell r="Q543" t="str">
            <v>Q1 Passed</v>
          </cell>
          <cell r="R543" t="str">
            <v>Compromised</v>
          </cell>
          <cell r="S543" t="str">
            <v>Q1.5 Passed</v>
          </cell>
          <cell r="V543" t="str">
            <v>Tumor content 2-90%</v>
          </cell>
          <cell r="W543" t="str">
            <v>Private Hospital</v>
          </cell>
          <cell r="X543" t="str">
            <v>Vydehi Hospital, Bangalore</v>
          </cell>
          <cell r="Y543" t="str">
            <v>Vydehi Hospital, Bangalore</v>
          </cell>
          <cell r="Z543" t="str">
            <v>Dr Amritha Prabha, Bangalore</v>
          </cell>
          <cell r="AA543" t="str">
            <v>HNSCC</v>
          </cell>
          <cell r="AC543" t="str">
            <v>Left buccal mucosa</v>
          </cell>
          <cell r="AD543" t="str">
            <v>Left buccal mucosa</v>
          </cell>
          <cell r="AE543" t="str">
            <v>female</v>
          </cell>
          <cell r="AF543">
            <v>38</v>
          </cell>
          <cell r="AG543" t="str">
            <v>N</v>
          </cell>
          <cell r="AH543">
            <v>4.0999999999999996</v>
          </cell>
          <cell r="AI543" t="str">
            <v>Kalappa</v>
          </cell>
          <cell r="AJ543" t="str">
            <v>Surgery</v>
          </cell>
          <cell r="AK543" t="str">
            <v>Primary</v>
          </cell>
          <cell r="AV543">
            <v>45071</v>
          </cell>
          <cell r="AW543">
            <v>0.60416666666666663</v>
          </cell>
          <cell r="AX543">
            <v>0.7006944444444444</v>
          </cell>
          <cell r="AY543">
            <v>9.6527777777777782E-2</v>
          </cell>
          <cell r="AZ543">
            <v>0.1</v>
          </cell>
          <cell r="BA543">
            <v>0.19166666666666668</v>
          </cell>
          <cell r="BB543" t="str">
            <v>0.4/0.4/0.4/0.4*0.8/0.8/0.8/0.6*1.2/0.6/1.25/1.0</v>
          </cell>
          <cell r="BC543" t="str">
            <v>0.4/0.4/0.4/0.4*0.8/0.8/0.8/0.6*1.2/0.6/1.25/1.1</v>
          </cell>
          <cell r="BD543" t="str">
            <v>Manual</v>
          </cell>
          <cell r="BE543">
            <v>15</v>
          </cell>
          <cell r="BF543" t="str">
            <v>Pallavi</v>
          </cell>
          <cell r="BG543" t="str">
            <v>Y</v>
          </cell>
        </row>
        <row r="544">
          <cell r="A544" t="str">
            <v>FBR1Y230151</v>
          </cell>
          <cell r="B544">
            <v>230151</v>
          </cell>
          <cell r="C544" t="str">
            <v>R&amp;D</v>
          </cell>
          <cell r="D544">
            <v>45072</v>
          </cell>
          <cell r="E544">
            <v>0.64166666666666672</v>
          </cell>
          <cell r="F544">
            <v>45047</v>
          </cell>
          <cell r="G544">
            <v>45072</v>
          </cell>
          <cell r="H544">
            <v>0.72916666666666663</v>
          </cell>
          <cell r="I544">
            <v>8.7499999999999994E-2</v>
          </cell>
          <cell r="J544">
            <v>14</v>
          </cell>
          <cell r="K544" t="str">
            <v>FCB-PROTOCOL-02</v>
          </cell>
          <cell r="L544" t="str">
            <v>HN060</v>
          </cell>
          <cell r="M544" t="str">
            <v>Y</v>
          </cell>
          <cell r="N544" t="str">
            <v>CCS Study (1Y)</v>
          </cell>
          <cell r="O544" t="str">
            <v>Internal R&amp;D</v>
          </cell>
          <cell r="P544" t="str">
            <v>Q1 Passed</v>
          </cell>
          <cell r="Q544" t="str">
            <v>Q1 Passed</v>
          </cell>
          <cell r="R544" t="str">
            <v>Compromised</v>
          </cell>
          <cell r="S544" t="str">
            <v>Q1.5 Passed</v>
          </cell>
          <cell r="V544" t="str">
            <v>Tumor content 20-70%</v>
          </cell>
          <cell r="W544" t="str">
            <v>Private Hospital</v>
          </cell>
          <cell r="X544" t="str">
            <v>Mazumdar Shaw Medical Centre, Bangalore</v>
          </cell>
          <cell r="Y544" t="str">
            <v>Mazumdar Shaw Medical Centre, Bangalore</v>
          </cell>
          <cell r="Z544" t="str">
            <v>Dr Vijay Pillai, Bangalore</v>
          </cell>
          <cell r="AA544" t="str">
            <v>HNSCC</v>
          </cell>
          <cell r="AC544" t="str">
            <v>Buccal mucosa</v>
          </cell>
          <cell r="AD544" t="str">
            <v>Left Buccal mucosa</v>
          </cell>
          <cell r="AE544" t="str">
            <v>Male</v>
          </cell>
          <cell r="AF544">
            <v>50</v>
          </cell>
          <cell r="AG544" t="str">
            <v>N</v>
          </cell>
          <cell r="AH544">
            <v>4.2</v>
          </cell>
          <cell r="AI544" t="str">
            <v>Partha</v>
          </cell>
          <cell r="AJ544" t="str">
            <v>Surgery</v>
          </cell>
          <cell r="AK544" t="str">
            <v>Primary</v>
          </cell>
          <cell r="AN544" t="str">
            <v>IV</v>
          </cell>
          <cell r="AO544">
            <v>2</v>
          </cell>
          <cell r="AP544" t="str">
            <v>pT4b</v>
          </cell>
          <cell r="AS544" t="str">
            <v>Moderately differentiated squamous cell carcinoma</v>
          </cell>
          <cell r="AV544">
            <v>45072</v>
          </cell>
          <cell r="AW544">
            <v>0.73611111111111116</v>
          </cell>
          <cell r="AX544">
            <v>0.84722222222222221</v>
          </cell>
          <cell r="AY544">
            <v>0.1111111111111111</v>
          </cell>
          <cell r="AZ544">
            <v>0.11805555555555555</v>
          </cell>
          <cell r="BA544">
            <v>0.20555555555555555</v>
          </cell>
          <cell r="BB544" t="str">
            <v>0.8/1.0*1.9*2.2</v>
          </cell>
          <cell r="BC544" t="str">
            <v>0.8*1.3*2.2/1.6</v>
          </cell>
          <cell r="BD544" t="str">
            <v>Manual</v>
          </cell>
          <cell r="BE544">
            <v>15</v>
          </cell>
          <cell r="BF544" t="str">
            <v xml:space="preserve">sai </v>
          </cell>
          <cell r="BG544" t="str">
            <v>Y</v>
          </cell>
        </row>
        <row r="545">
          <cell r="A545" t="str">
            <v>FBR1W230152</v>
          </cell>
          <cell r="B545">
            <v>230152</v>
          </cell>
          <cell r="C545" t="str">
            <v>R&amp;D</v>
          </cell>
          <cell r="D545">
            <v>45075</v>
          </cell>
          <cell r="E545">
            <v>0.51041666666666663</v>
          </cell>
          <cell r="F545">
            <v>45047</v>
          </cell>
          <cell r="G545">
            <v>45075</v>
          </cell>
          <cell r="H545">
            <v>0.86041666666666672</v>
          </cell>
          <cell r="I545">
            <v>0.35</v>
          </cell>
          <cell r="J545">
            <v>0</v>
          </cell>
          <cell r="K545" t="str">
            <v>FCB-PROTOCOL-01</v>
          </cell>
          <cell r="L545" t="str">
            <v>CLN/DBR/144</v>
          </cell>
          <cell r="M545" t="str">
            <v>Y</v>
          </cell>
          <cell r="N545" t="str">
            <v>Biopsy Cabr-BSS (1W)</v>
          </cell>
          <cell r="O545" t="str">
            <v>Internal R&amp;D</v>
          </cell>
          <cell r="P545" t="str">
            <v>Q1 Passed</v>
          </cell>
          <cell r="Q545" t="str">
            <v>Q1 Passed</v>
          </cell>
          <cell r="R545" t="str">
            <v>Q1.5 Passed</v>
          </cell>
          <cell r="S545" t="str">
            <v>Q1.5 Passed</v>
          </cell>
          <cell r="V545" t="str">
            <v>Tumor Content 1-4%</v>
          </cell>
          <cell r="W545" t="str">
            <v>Clinic'les</v>
          </cell>
          <cell r="X545" t="str">
            <v>Clinic'les- DBR &amp; SK Hospital, Tirupati</v>
          </cell>
          <cell r="Y545" t="str">
            <v>DBR &amp; SK Hospital, Tirupati</v>
          </cell>
          <cell r="Z545" t="str">
            <v>Dr C Jayaprakash, Tirupati</v>
          </cell>
          <cell r="AA545" t="str">
            <v>Ca Breast</v>
          </cell>
          <cell r="AB545" t="str">
            <v>Not done</v>
          </cell>
          <cell r="AC545" t="str">
            <v>Left Breast</v>
          </cell>
          <cell r="AD545" t="str">
            <v>Left Breast</v>
          </cell>
          <cell r="AE545" t="str">
            <v>Female</v>
          </cell>
          <cell r="AF545">
            <v>67</v>
          </cell>
          <cell r="AG545" t="str">
            <v>N</v>
          </cell>
          <cell r="AH545">
            <v>5.8</v>
          </cell>
          <cell r="AI545" t="str">
            <v>Maruthi</v>
          </cell>
          <cell r="AJ545" t="str">
            <v>Biopsy</v>
          </cell>
          <cell r="AK545" t="str">
            <v>Primary</v>
          </cell>
          <cell r="AN545" t="str">
            <v>III</v>
          </cell>
          <cell r="AP545" t="str">
            <v>pT2N3Mx</v>
          </cell>
          <cell r="AV545">
            <v>45075</v>
          </cell>
          <cell r="AW545">
            <v>0.89722222222222225</v>
          </cell>
          <cell r="AX545">
            <v>0.90833333333333333</v>
          </cell>
          <cell r="AY545">
            <v>1.1111111111111112E-2</v>
          </cell>
          <cell r="AZ545">
            <v>4.791666666666667E-2</v>
          </cell>
          <cell r="BA545">
            <v>0.39791666666666664</v>
          </cell>
          <cell r="BB545" t="str">
            <v>0.7-1.0</v>
          </cell>
          <cell r="BC545" t="str">
            <v>0.7-1.0</v>
          </cell>
          <cell r="BD545" t="str">
            <v>Manual</v>
          </cell>
          <cell r="BE545">
            <v>15</v>
          </cell>
          <cell r="BF545" t="str">
            <v>Mouniss</v>
          </cell>
          <cell r="BG545" t="str">
            <v>Y</v>
          </cell>
        </row>
        <row r="546">
          <cell r="A546" t="str">
            <v>FBR1X230153</v>
          </cell>
          <cell r="B546">
            <v>230153</v>
          </cell>
          <cell r="C546" t="str">
            <v>R&amp;D</v>
          </cell>
          <cell r="D546">
            <v>45077</v>
          </cell>
          <cell r="E546">
            <v>0.56111111111111112</v>
          </cell>
          <cell r="F546">
            <v>45047</v>
          </cell>
          <cell r="G546">
            <v>45077</v>
          </cell>
          <cell r="H546">
            <v>0.7</v>
          </cell>
          <cell r="I546">
            <v>0.1388888888888889</v>
          </cell>
          <cell r="J546">
            <v>0</v>
          </cell>
          <cell r="K546" t="str">
            <v>FCB-PROTOCOL-02</v>
          </cell>
          <cell r="L546" t="str">
            <v>HN061</v>
          </cell>
          <cell r="M546" t="str">
            <v>Y</v>
          </cell>
          <cell r="N546" t="str">
            <v>Biopsy HNSCC (1X)</v>
          </cell>
          <cell r="O546" t="str">
            <v>Internal R&amp;D</v>
          </cell>
          <cell r="P546" t="str">
            <v>Q1 Passed</v>
          </cell>
          <cell r="Q546" t="str">
            <v>Q1 Passed</v>
          </cell>
          <cell r="R546" t="str">
            <v>Compromised</v>
          </cell>
          <cell r="S546" t="str">
            <v>Q1.5 Passed</v>
          </cell>
          <cell r="V546" t="str">
            <v>Tumor Content 6-95%</v>
          </cell>
          <cell r="W546" t="str">
            <v>Private Hospital</v>
          </cell>
          <cell r="X546" t="str">
            <v>Mazumdar Shaw Medical Centre, Bangalore</v>
          </cell>
          <cell r="Y546" t="str">
            <v>Mazumdar Shaw Medical Centre, Bangalore</v>
          </cell>
          <cell r="Z546" t="str">
            <v>Dr Vijay Pillai, Bangalore</v>
          </cell>
          <cell r="AA546" t="str">
            <v>HNSCC</v>
          </cell>
          <cell r="AC546" t="str">
            <v>Oropharynx</v>
          </cell>
          <cell r="AD546" t="str">
            <v>Oropharynx</v>
          </cell>
          <cell r="AE546" t="str">
            <v>Male</v>
          </cell>
          <cell r="AF546">
            <v>60</v>
          </cell>
          <cell r="AG546" t="str">
            <v>N</v>
          </cell>
          <cell r="AH546">
            <v>4.3</v>
          </cell>
          <cell r="AI546" t="str">
            <v>Maruthi</v>
          </cell>
          <cell r="AJ546" t="str">
            <v>Biopsy</v>
          </cell>
          <cell r="AK546" t="str">
            <v>Primary</v>
          </cell>
          <cell r="AS546" t="str">
            <v>Atypical proliferative tumour with features of invasive (focal)
squamous cell carcinoma. IHC- The tumor cells are negative for p16</v>
          </cell>
          <cell r="AV546">
            <v>45077</v>
          </cell>
          <cell r="AW546">
            <v>0.71111111111111114</v>
          </cell>
          <cell r="AX546">
            <v>0.79652777777777772</v>
          </cell>
          <cell r="AY546">
            <v>8.5416666666666669E-2</v>
          </cell>
          <cell r="AZ546">
            <v>9.6527777777777782E-2</v>
          </cell>
          <cell r="BA546">
            <v>0.23541666666666666</v>
          </cell>
          <cell r="BB546" t="str">
            <v>0.2*0.2*0.3
0.3*0.3-0.4*0.6-0.8
0.4*0.4*0.8</v>
          </cell>
          <cell r="BC546" t="str">
            <v>0.2*0.2*0.3
0.3*0.3-0.4*0.6-0.8
0.4*0.4*0.8</v>
          </cell>
          <cell r="BD546" t="str">
            <v>Manual</v>
          </cell>
          <cell r="BE546">
            <v>15</v>
          </cell>
          <cell r="BF546" t="str">
            <v>Pallavi</v>
          </cell>
          <cell r="BG546" t="str">
            <v>Y</v>
          </cell>
        </row>
        <row r="547">
          <cell r="A547" t="str">
            <v>FBR1Y230154</v>
          </cell>
          <cell r="B547">
            <v>230154</v>
          </cell>
          <cell r="C547" t="str">
            <v>R&amp;D</v>
          </cell>
          <cell r="D547">
            <v>45077</v>
          </cell>
          <cell r="E547">
            <v>0.64861111111111114</v>
          </cell>
          <cell r="F547">
            <v>45047</v>
          </cell>
          <cell r="G547">
            <v>45077</v>
          </cell>
          <cell r="H547">
            <v>0.7</v>
          </cell>
          <cell r="I547">
            <v>5.1388888888888887E-2</v>
          </cell>
          <cell r="J547">
            <v>16</v>
          </cell>
          <cell r="K547" t="str">
            <v>FCB-PROTOCOL-02</v>
          </cell>
          <cell r="L547" t="str">
            <v>HN062</v>
          </cell>
          <cell r="M547" t="str">
            <v>Y</v>
          </cell>
          <cell r="N547" t="str">
            <v>CCS Study (1Y)</v>
          </cell>
          <cell r="O547" t="str">
            <v>Internal R&amp;D</v>
          </cell>
          <cell r="P547" t="str">
            <v>Q1 Passed</v>
          </cell>
          <cell r="Q547" t="str">
            <v>Q1 Passed</v>
          </cell>
          <cell r="R547" t="str">
            <v>Q1.5 Passed</v>
          </cell>
          <cell r="S547" t="str">
            <v>Q1.5 Passed</v>
          </cell>
          <cell r="V547" t="str">
            <v>Tumor Content 20-80%</v>
          </cell>
          <cell r="W547" t="str">
            <v>Private Hospital</v>
          </cell>
          <cell r="X547" t="str">
            <v>Mazumdar Shaw Medical Centre, Bangalore</v>
          </cell>
          <cell r="Y547" t="str">
            <v>Mazumdar Shaw Medical Centre, Bangalore</v>
          </cell>
          <cell r="Z547" t="str">
            <v>Dr Vijay Pillai, Bangalore</v>
          </cell>
          <cell r="AA547" t="str">
            <v>HNSCC</v>
          </cell>
          <cell r="AC547" t="str">
            <v>RMT</v>
          </cell>
          <cell r="AD547" t="str">
            <v>Right RMT</v>
          </cell>
          <cell r="AE547" t="str">
            <v>Male</v>
          </cell>
          <cell r="AF547">
            <v>48</v>
          </cell>
          <cell r="AG547" t="str">
            <v>N</v>
          </cell>
          <cell r="AH547">
            <v>4.3</v>
          </cell>
          <cell r="AI547" t="str">
            <v>Maruthi</v>
          </cell>
          <cell r="AJ547" t="str">
            <v>Surgery</v>
          </cell>
          <cell r="AK547" t="str">
            <v>Primary</v>
          </cell>
          <cell r="AN547" t="str">
            <v>IV</v>
          </cell>
          <cell r="AO547">
            <v>2</v>
          </cell>
          <cell r="AP547" t="str">
            <v>pT4bpN0</v>
          </cell>
          <cell r="AS547" t="str">
            <v>Moderately differentiated squamous cell carcinoma</v>
          </cell>
          <cell r="AV547">
            <v>45077</v>
          </cell>
          <cell r="AW547">
            <v>0.71111111111111114</v>
          </cell>
          <cell r="AX547">
            <v>0.76736111111111116</v>
          </cell>
          <cell r="AY547">
            <v>5.6250000000000001E-2</v>
          </cell>
          <cell r="AZ547">
            <v>6.7361111111111108E-2</v>
          </cell>
          <cell r="BA547">
            <v>0.11874999999999999</v>
          </cell>
          <cell r="BB547" t="str">
            <v>0.45*1.3*1.3</v>
          </cell>
          <cell r="BC547" t="str">
            <v>0.45*1.3*1.3</v>
          </cell>
          <cell r="BD547" t="str">
            <v>Vibratome</v>
          </cell>
          <cell r="BE547">
            <v>15</v>
          </cell>
          <cell r="BF547" t="str">
            <v>Kowshik</v>
          </cell>
          <cell r="BG547" t="str">
            <v>Y</v>
          </cell>
        </row>
        <row r="548">
          <cell r="A548" t="str">
            <v>FBR1W230155</v>
          </cell>
          <cell r="B548">
            <v>230155</v>
          </cell>
          <cell r="C548" t="str">
            <v>R&amp;D</v>
          </cell>
          <cell r="D548">
            <v>45079</v>
          </cell>
          <cell r="E548">
            <v>0.60763888888888884</v>
          </cell>
          <cell r="F548">
            <v>45078</v>
          </cell>
          <cell r="G548">
            <v>45079</v>
          </cell>
          <cell r="H548">
            <v>0.7</v>
          </cell>
          <cell r="I548">
            <v>9.2361111111111116E-2</v>
          </cell>
          <cell r="J548">
            <v>0</v>
          </cell>
          <cell r="K548" t="str">
            <v>FCB-PROTOCOL-02</v>
          </cell>
          <cell r="L548" t="str">
            <v>BC014</v>
          </cell>
          <cell r="M548" t="str">
            <v>Y</v>
          </cell>
          <cell r="N548" t="str">
            <v>Biopsy Cabr-BSS (1W)</v>
          </cell>
          <cell r="O548" t="str">
            <v>Internal R&amp;D</v>
          </cell>
          <cell r="P548" t="str">
            <v>Q1 Passed</v>
          </cell>
          <cell r="Q548" t="str">
            <v>Q1 Passed</v>
          </cell>
          <cell r="R548" t="str">
            <v>Q1.5 Passed</v>
          </cell>
          <cell r="S548" t="str">
            <v>Q1.5 Passed</v>
          </cell>
          <cell r="V548" t="str">
            <v>Tumor content 20-35%</v>
          </cell>
          <cell r="W548" t="str">
            <v>Private Hospital</v>
          </cell>
          <cell r="X548" t="str">
            <v>Mazumdar Shaw Medical Centre, Bangalore</v>
          </cell>
          <cell r="Y548" t="str">
            <v>Mazumdar Shaw Medical Centre, Bangalore</v>
          </cell>
          <cell r="Z548" t="str">
            <v>Dr Akshita Singh</v>
          </cell>
          <cell r="AA548" t="str">
            <v>Ca Breast</v>
          </cell>
          <cell r="AB548" t="str">
            <v>Er (-)
Pr (-)
Her2 (equivocal)</v>
          </cell>
          <cell r="AC548" t="str">
            <v>Right Breast</v>
          </cell>
          <cell r="AD548" t="str">
            <v>Right Breast</v>
          </cell>
          <cell r="AE548" t="str">
            <v>Female</v>
          </cell>
          <cell r="AF548">
            <v>51</v>
          </cell>
          <cell r="AG548" t="str">
            <v>N</v>
          </cell>
          <cell r="AH548">
            <v>5.0999999999999996</v>
          </cell>
          <cell r="AI548" t="str">
            <v>Shashi</v>
          </cell>
          <cell r="AJ548" t="str">
            <v>Biopsy</v>
          </cell>
          <cell r="AK548" t="str">
            <v>Primary</v>
          </cell>
          <cell r="AV548">
            <v>45079</v>
          </cell>
          <cell r="AW548">
            <v>0.71875</v>
          </cell>
          <cell r="AX548">
            <v>0.77361111111111114</v>
          </cell>
          <cell r="AY548">
            <v>5.486111111111111E-2</v>
          </cell>
          <cell r="AZ548">
            <v>7.3611111111111113E-2</v>
          </cell>
          <cell r="BA548">
            <v>0.16597222222222222</v>
          </cell>
          <cell r="BB548">
            <v>0.5</v>
          </cell>
          <cell r="BC548">
            <v>0.5</v>
          </cell>
          <cell r="BD548" t="str">
            <v>Manual</v>
          </cell>
          <cell r="BE548">
            <v>14</v>
          </cell>
          <cell r="BF548" t="str">
            <v>Syam</v>
          </cell>
          <cell r="BG548" t="str">
            <v>Y</v>
          </cell>
        </row>
        <row r="549">
          <cell r="A549" t="str">
            <v>FBB1H230156</v>
          </cell>
          <cell r="B549">
            <v>230156</v>
          </cell>
          <cell r="C549" t="str">
            <v>Biopharma</v>
          </cell>
          <cell r="D549">
            <v>45082</v>
          </cell>
          <cell r="E549">
            <v>0.6020833333333333</v>
          </cell>
          <cell r="F549">
            <v>45078</v>
          </cell>
          <cell r="G549">
            <v>45082</v>
          </cell>
          <cell r="H549">
            <v>0.66319444444444442</v>
          </cell>
          <cell r="I549">
            <v>6.1111111111111109E-2</v>
          </cell>
          <cell r="J549">
            <v>20</v>
          </cell>
          <cell r="K549" t="str">
            <v>FCB-PROTOCOL-02</v>
          </cell>
          <cell r="L549" t="str">
            <v>HN063</v>
          </cell>
          <cell r="M549" t="str">
            <v>Y</v>
          </cell>
          <cell r="N549" t="str">
            <v>BP007-2023(1H)</v>
          </cell>
          <cell r="O549" t="str">
            <v>Biopharma</v>
          </cell>
          <cell r="P549" t="str">
            <v>Q1 Passed</v>
          </cell>
          <cell r="Q549" t="str">
            <v>Q1 Passed</v>
          </cell>
          <cell r="R549" t="str">
            <v>Q1.5 Passed</v>
          </cell>
          <cell r="S549" t="str">
            <v>Q1.5 Passed</v>
          </cell>
          <cell r="V549" t="str">
            <v>Tumor content 4-20%</v>
          </cell>
          <cell r="W549" t="str">
            <v>Private Hospital</v>
          </cell>
          <cell r="X549" t="str">
            <v>Mazumdar Shaw Medical Centre, Bangalore</v>
          </cell>
          <cell r="Y549" t="str">
            <v>Mazumdar Shaw Medical Centre, Bangalore</v>
          </cell>
          <cell r="Z549" t="str">
            <v>Dr Vijay Pillai, Bangalore</v>
          </cell>
          <cell r="AA549" t="str">
            <v>HNSCC</v>
          </cell>
          <cell r="AC549" t="str">
            <v>Tongue</v>
          </cell>
          <cell r="AD549" t="str">
            <v>Right Lateral Border of Tongue</v>
          </cell>
          <cell r="AE549" t="str">
            <v>Male</v>
          </cell>
          <cell r="AF549">
            <v>39</v>
          </cell>
          <cell r="AG549" t="str">
            <v>N</v>
          </cell>
          <cell r="AH549">
            <v>4.5</v>
          </cell>
          <cell r="AI549" t="str">
            <v>Shashi</v>
          </cell>
          <cell r="AJ549" t="str">
            <v>Surgery</v>
          </cell>
          <cell r="AK549" t="str">
            <v>Primary</v>
          </cell>
          <cell r="AN549" t="str">
            <v>IV</v>
          </cell>
          <cell r="AO549">
            <v>2</v>
          </cell>
          <cell r="AP549" t="str">
            <v>pT4a</v>
          </cell>
          <cell r="AS549" t="str">
            <v>Moderately differentiated squamous cell carcinoma</v>
          </cell>
          <cell r="AV549">
            <v>45082</v>
          </cell>
          <cell r="AW549">
            <v>0.67638888888888893</v>
          </cell>
          <cell r="AX549">
            <v>0.75208333333333333</v>
          </cell>
          <cell r="AY549">
            <v>7.5694444444444439E-2</v>
          </cell>
          <cell r="AZ549">
            <v>8.8888888888888892E-2</v>
          </cell>
          <cell r="BA549">
            <v>0.15</v>
          </cell>
          <cell r="BB549" t="str">
            <v>1.0/0.6*1.4*1.6/1.4</v>
          </cell>
          <cell r="BC549" t="str">
            <v>1.0/0.6*1.4*1.6/1.4</v>
          </cell>
          <cell r="BD549" t="str">
            <v>Vibratome</v>
          </cell>
          <cell r="BE549">
            <v>14</v>
          </cell>
          <cell r="BF549" t="str">
            <v>Mouniss</v>
          </cell>
          <cell r="BG549" t="str">
            <v>Y</v>
          </cell>
        </row>
        <row r="550">
          <cell r="A550" t="str">
            <v>FBR1Y230156</v>
          </cell>
          <cell r="B550">
            <v>230156</v>
          </cell>
          <cell r="C550" t="str">
            <v>R&amp;D</v>
          </cell>
          <cell r="D550">
            <v>45082</v>
          </cell>
          <cell r="E550">
            <v>0.61458333333333337</v>
          </cell>
          <cell r="F550">
            <v>45078</v>
          </cell>
          <cell r="G550">
            <v>45082</v>
          </cell>
          <cell r="H550">
            <v>0.66319444444444442</v>
          </cell>
          <cell r="I550">
            <v>4.8611111111111112E-2</v>
          </cell>
          <cell r="J550">
            <v>18</v>
          </cell>
          <cell r="K550" t="str">
            <v>FCB-PROTOCOL-02</v>
          </cell>
          <cell r="L550" t="str">
            <v>HN063</v>
          </cell>
          <cell r="M550" t="str">
            <v>Y</v>
          </cell>
          <cell r="N550" t="str">
            <v>CCS Study (1Y)</v>
          </cell>
          <cell r="O550" t="str">
            <v>Internal R&amp;D</v>
          </cell>
          <cell r="P550" t="str">
            <v>Q1 Passed</v>
          </cell>
          <cell r="Q550" t="str">
            <v>Q1 Passed</v>
          </cell>
          <cell r="R550" t="str">
            <v>Q1.5 Passed</v>
          </cell>
          <cell r="S550" t="str">
            <v>Q1.5 Passed</v>
          </cell>
          <cell r="V550" t="str">
            <v>Tumor content 4-20%</v>
          </cell>
          <cell r="W550" t="str">
            <v>Private Hospital</v>
          </cell>
          <cell r="X550" t="str">
            <v>Mazumdar Shaw Medical Centre, Bangalore</v>
          </cell>
          <cell r="Y550" t="str">
            <v>Mazumdar Shaw Medical Centre, Bangalore</v>
          </cell>
          <cell r="Z550" t="str">
            <v>Dr Vijay Pillai, Bangalore</v>
          </cell>
          <cell r="AA550" t="str">
            <v>HNSCC</v>
          </cell>
          <cell r="AC550" t="str">
            <v>Tongue</v>
          </cell>
          <cell r="AD550" t="str">
            <v>Right Lateral Border of Tongue</v>
          </cell>
          <cell r="AE550" t="str">
            <v>Male</v>
          </cell>
          <cell r="AF550">
            <v>39</v>
          </cell>
          <cell r="AG550" t="str">
            <v>N</v>
          </cell>
          <cell r="AH550">
            <v>4.5</v>
          </cell>
          <cell r="AI550" t="str">
            <v>Shashi</v>
          </cell>
          <cell r="AJ550" t="str">
            <v>Surgery</v>
          </cell>
          <cell r="AK550" t="str">
            <v>Primary</v>
          </cell>
          <cell r="AN550" t="str">
            <v>IV</v>
          </cell>
          <cell r="AO550">
            <v>2</v>
          </cell>
          <cell r="AP550" t="str">
            <v>pT4a</v>
          </cell>
          <cell r="AS550" t="str">
            <v>Moderately differentiated squamous cell carcinoma</v>
          </cell>
          <cell r="AV550">
            <v>45082</v>
          </cell>
          <cell r="AW550">
            <v>0.67638888888888893</v>
          </cell>
          <cell r="AX550">
            <v>0.76597222222222228</v>
          </cell>
          <cell r="AY550">
            <v>8.9583333333333334E-2</v>
          </cell>
          <cell r="AZ550">
            <v>0.10277777777777777</v>
          </cell>
          <cell r="BA550">
            <v>0.15138888888888888</v>
          </cell>
          <cell r="BB550" t="str">
            <v>1.0/0.8*1.4*1.6/1.4</v>
          </cell>
          <cell r="BC550" t="str">
            <v>1.0/0.8*1.4*1.6/1.4</v>
          </cell>
          <cell r="BD550" t="str">
            <v>Vibratome</v>
          </cell>
          <cell r="BE550">
            <v>14</v>
          </cell>
          <cell r="BF550" t="str">
            <v>Mouniss</v>
          </cell>
          <cell r="BG550" t="str">
            <v>Y</v>
          </cell>
        </row>
        <row r="551">
          <cell r="A551" t="str">
            <v>FBB1H230157</v>
          </cell>
          <cell r="B551">
            <v>230157</v>
          </cell>
          <cell r="C551" t="str">
            <v>Biopharma</v>
          </cell>
          <cell r="D551">
            <v>45083</v>
          </cell>
          <cell r="E551">
            <v>0.56805555555555554</v>
          </cell>
          <cell r="F551">
            <v>45078</v>
          </cell>
          <cell r="G551">
            <v>45083</v>
          </cell>
          <cell r="H551">
            <v>0.63541666666666663</v>
          </cell>
          <cell r="I551">
            <v>6.7361111111111108E-2</v>
          </cell>
          <cell r="J551">
            <v>7</v>
          </cell>
          <cell r="K551" t="str">
            <v>FCB-PROTOCOL-02</v>
          </cell>
          <cell r="L551" t="str">
            <v>HN064</v>
          </cell>
          <cell r="M551" t="str">
            <v>Y</v>
          </cell>
          <cell r="N551" t="str">
            <v>BP007-2023(1H)</v>
          </cell>
          <cell r="O551" t="str">
            <v>Biopharma</v>
          </cell>
          <cell r="P551" t="str">
            <v>Q1 Passed</v>
          </cell>
          <cell r="Q551" t="str">
            <v>Q1 Passed</v>
          </cell>
          <cell r="R551" t="str">
            <v>Q1.5 Passed</v>
          </cell>
          <cell r="S551" t="str">
            <v>Q1.5 Passed</v>
          </cell>
          <cell r="V551" t="str">
            <v>Tumor content 25-60%</v>
          </cell>
          <cell r="W551" t="str">
            <v>Private Hospital</v>
          </cell>
          <cell r="X551" t="str">
            <v>Mazumdar Shaw Medical Centre, Bangalore</v>
          </cell>
          <cell r="Y551" t="str">
            <v>Mazumdar Shaw Medical Centre, Bangalore</v>
          </cell>
          <cell r="Z551" t="str">
            <v>Dr Vijay Pillai, Bangalore</v>
          </cell>
          <cell r="AA551" t="str">
            <v>HNSCC</v>
          </cell>
          <cell r="AC551" t="str">
            <v>Tongue</v>
          </cell>
          <cell r="AD551" t="str">
            <v>Left Lateral Border of Tongue</v>
          </cell>
          <cell r="AE551" t="str">
            <v>Male</v>
          </cell>
          <cell r="AF551">
            <v>39</v>
          </cell>
          <cell r="AG551" t="str">
            <v>N</v>
          </cell>
          <cell r="AH551">
            <v>5.0999999999999996</v>
          </cell>
          <cell r="AI551" t="str">
            <v>Partha</v>
          </cell>
          <cell r="AJ551" t="str">
            <v>Surgery</v>
          </cell>
          <cell r="AK551" t="str">
            <v>Primary</v>
          </cell>
          <cell r="AN551" t="str">
            <v>IV</v>
          </cell>
          <cell r="AO551">
            <v>2</v>
          </cell>
          <cell r="AP551" t="str">
            <v>pT4a</v>
          </cell>
          <cell r="AS551" t="str">
            <v>Moderately differentiated squamous cell carcinoma</v>
          </cell>
          <cell r="AV551">
            <v>45083</v>
          </cell>
          <cell r="AW551">
            <v>0.65416666666666667</v>
          </cell>
          <cell r="AX551">
            <v>0.75486111111111109</v>
          </cell>
          <cell r="AY551">
            <v>0.10069444444444445</v>
          </cell>
          <cell r="AZ551">
            <v>0.11944444444444445</v>
          </cell>
          <cell r="BA551">
            <v>0.18680555555555556</v>
          </cell>
          <cell r="BB551" t="str">
            <v>0.6*1.2*1.4</v>
          </cell>
          <cell r="BC551" t="str">
            <v>0.6*1.2*1.4</v>
          </cell>
          <cell r="BD551" t="str">
            <v>Vibratome</v>
          </cell>
          <cell r="BE551">
            <v>14</v>
          </cell>
          <cell r="BF551" t="str">
            <v>Mouniss</v>
          </cell>
          <cell r="BG551" t="str">
            <v>Y</v>
          </cell>
        </row>
        <row r="552">
          <cell r="A552" t="str">
            <v>FBR1W230158</v>
          </cell>
          <cell r="B552">
            <v>230158</v>
          </cell>
          <cell r="C552" t="str">
            <v>R&amp;D</v>
          </cell>
          <cell r="D552">
            <v>45084</v>
          </cell>
          <cell r="E552">
            <v>0.49722222222222223</v>
          </cell>
          <cell r="F552">
            <v>45078</v>
          </cell>
          <cell r="G552">
            <v>45084</v>
          </cell>
          <cell r="H552">
            <v>0.67569444444444449</v>
          </cell>
          <cell r="I552">
            <v>0.17847222222222223</v>
          </cell>
          <cell r="J552">
            <v>0</v>
          </cell>
          <cell r="K552" t="str">
            <v>FCB-PROTOCOL-02</v>
          </cell>
          <cell r="L552" t="str">
            <v>VYD/171</v>
          </cell>
          <cell r="M552" t="str">
            <v>Y</v>
          </cell>
          <cell r="N552" t="str">
            <v>Biopsy Cabr-BSS (1W)</v>
          </cell>
          <cell r="O552" t="str">
            <v>Internal R&amp;D</v>
          </cell>
          <cell r="P552" t="str">
            <v>Q1 Passed</v>
          </cell>
          <cell r="Q552" t="str">
            <v>Q1 Passed</v>
          </cell>
          <cell r="R552" t="str">
            <v>Q1.5 Passed</v>
          </cell>
          <cell r="S552" t="str">
            <v>Q1.5 Passed</v>
          </cell>
          <cell r="V552" t="str">
            <v>Tumor content 0-55%</v>
          </cell>
          <cell r="W552" t="str">
            <v>Private Hospital</v>
          </cell>
          <cell r="X552" t="str">
            <v>Vydehi Hospital, Bangalore</v>
          </cell>
          <cell r="Y552" t="str">
            <v>Vydehi Hospital, Bangalore</v>
          </cell>
          <cell r="Z552" t="str">
            <v>Dr Amritha Prabha, Bangalore</v>
          </cell>
          <cell r="AA552" t="str">
            <v>Ca Breast</v>
          </cell>
          <cell r="AB552" t="str">
            <v>TNBC</v>
          </cell>
          <cell r="AC552" t="str">
            <v>Breast</v>
          </cell>
          <cell r="AD552" t="str">
            <v>left breast</v>
          </cell>
          <cell r="AE552" t="str">
            <v>female</v>
          </cell>
          <cell r="AF552">
            <v>40</v>
          </cell>
          <cell r="AG552" t="str">
            <v>N</v>
          </cell>
          <cell r="AH552">
            <v>5.0999999999999996</v>
          </cell>
          <cell r="AI552" t="str">
            <v>Partha</v>
          </cell>
          <cell r="AJ552" t="str">
            <v>Biopsy</v>
          </cell>
          <cell r="AK552" t="str">
            <v>Primary</v>
          </cell>
          <cell r="AO552">
            <v>2</v>
          </cell>
          <cell r="AS552" t="str">
            <v>IDC</v>
          </cell>
          <cell r="AT552" t="str">
            <v>Chemotheraphy</v>
          </cell>
          <cell r="AU552" t="str">
            <v>Epirubicin, Cyclophophamide</v>
          </cell>
          <cell r="AV552">
            <v>45084</v>
          </cell>
          <cell r="AW552">
            <v>0.68611111111111112</v>
          </cell>
          <cell r="AX552">
            <v>0.74861111111111112</v>
          </cell>
          <cell r="AY552">
            <v>6.25E-2</v>
          </cell>
          <cell r="AZ552">
            <v>7.2916666666666671E-2</v>
          </cell>
          <cell r="BA552">
            <v>0.25138888888888888</v>
          </cell>
          <cell r="BB552" t="str">
            <v>0.8-1.4</v>
          </cell>
          <cell r="BC552" t="str">
            <v>0.8-1.4</v>
          </cell>
          <cell r="BD552" t="str">
            <v>Manual</v>
          </cell>
          <cell r="BE552">
            <v>14</v>
          </cell>
          <cell r="BF552" t="str">
            <v>Syam</v>
          </cell>
          <cell r="BG552" t="str">
            <v>Y</v>
          </cell>
        </row>
        <row r="553">
          <cell r="A553" t="str">
            <v>FBR1R230159</v>
          </cell>
          <cell r="B553">
            <v>230159</v>
          </cell>
          <cell r="C553" t="str">
            <v>R&amp;D</v>
          </cell>
          <cell r="D553">
            <v>45085</v>
          </cell>
          <cell r="E553">
            <v>0.48958333333333331</v>
          </cell>
          <cell r="F553">
            <v>45078</v>
          </cell>
          <cell r="G553">
            <v>45084</v>
          </cell>
          <cell r="H553">
            <v>0.5541666666666667</v>
          </cell>
          <cell r="I553">
            <v>6.458333333333334E-2</v>
          </cell>
          <cell r="J553">
            <v>2</v>
          </cell>
          <cell r="K553" t="str">
            <v>FCB-PROTOCOL-02</v>
          </cell>
          <cell r="L553" t="str">
            <v>VYD/172</v>
          </cell>
          <cell r="M553" t="str">
            <v>Y</v>
          </cell>
          <cell r="N553" t="str">
            <v>BSS(1R)</v>
          </cell>
          <cell r="O553" t="str">
            <v>Internal R&amp;D</v>
          </cell>
          <cell r="P553" t="str">
            <v>Q1 Passed</v>
          </cell>
          <cell r="Q553" t="str">
            <v>Q1 Passed</v>
          </cell>
          <cell r="R553" t="str">
            <v>Q1.5 Passed</v>
          </cell>
          <cell r="S553" t="str">
            <v>Q1.5 Passed</v>
          </cell>
          <cell r="V553" t="str">
            <v>Tumor content 25-55%</v>
          </cell>
          <cell r="W553" t="str">
            <v>Private Hospital</v>
          </cell>
          <cell r="X553" t="str">
            <v>Vydehi Hospital, Bangalore</v>
          </cell>
          <cell r="Y553" t="str">
            <v>Vydehi Hospital, Bangalore</v>
          </cell>
          <cell r="Z553" t="str">
            <v>Dr Amritha Prabha, Bangalore</v>
          </cell>
          <cell r="AA553" t="str">
            <v>HNSCC</v>
          </cell>
          <cell r="AC553" t="str">
            <v>Larynx</v>
          </cell>
          <cell r="AD553" t="str">
            <v>supraglottis</v>
          </cell>
          <cell r="AE553" t="str">
            <v>Male</v>
          </cell>
          <cell r="AF553">
            <v>60</v>
          </cell>
          <cell r="AG553" t="str">
            <v>N</v>
          </cell>
          <cell r="AH553">
            <v>4.2</v>
          </cell>
          <cell r="AI553" t="str">
            <v>Kalappa</v>
          </cell>
          <cell r="AJ553" t="str">
            <v>Surgery</v>
          </cell>
          <cell r="AK553" t="str">
            <v>Primary</v>
          </cell>
          <cell r="AN553" t="str">
            <v>III</v>
          </cell>
          <cell r="AO553">
            <v>2</v>
          </cell>
          <cell r="AP553" t="str">
            <v>pT3N1</v>
          </cell>
          <cell r="AS553" t="str">
            <v>SCC</v>
          </cell>
          <cell r="AU553" t="str">
            <v>Radiotherapy</v>
          </cell>
          <cell r="AV553">
            <v>45085</v>
          </cell>
          <cell r="AW553">
            <v>0.57916666666666672</v>
          </cell>
          <cell r="AX553">
            <v>0.69652777777777775</v>
          </cell>
          <cell r="AY553">
            <v>0.11736111111111111</v>
          </cell>
          <cell r="AZ553">
            <v>0.1423611111111111</v>
          </cell>
          <cell r="BA553">
            <v>0.20694444444444443</v>
          </cell>
          <cell r="BB553" t="str">
            <v>0.8*0.6*1.2</v>
          </cell>
          <cell r="BC553" t="str">
            <v>0.8*0.6*1.2</v>
          </cell>
          <cell r="BD553" t="str">
            <v>Vibratome</v>
          </cell>
          <cell r="BE553">
            <v>14</v>
          </cell>
          <cell r="BF553" t="str">
            <v>kuberan</v>
          </cell>
          <cell r="BG553" t="str">
            <v>N</v>
          </cell>
        </row>
        <row r="554">
          <cell r="A554" t="str">
            <v>FBR1Y230159</v>
          </cell>
          <cell r="B554">
            <v>230159</v>
          </cell>
          <cell r="C554" t="str">
            <v>R&amp;D</v>
          </cell>
          <cell r="D554">
            <v>45085</v>
          </cell>
          <cell r="E554">
            <v>0.48958333333333331</v>
          </cell>
          <cell r="F554">
            <v>45078</v>
          </cell>
          <cell r="G554">
            <v>45084</v>
          </cell>
          <cell r="H554">
            <v>0.5541666666666667</v>
          </cell>
          <cell r="I554">
            <v>6.458333333333334E-2</v>
          </cell>
          <cell r="J554">
            <v>2</v>
          </cell>
          <cell r="K554" t="str">
            <v>FCB-PROTOCOL-02</v>
          </cell>
          <cell r="L554" t="str">
            <v>VYD/172</v>
          </cell>
          <cell r="M554" t="str">
            <v>Y</v>
          </cell>
          <cell r="N554" t="str">
            <v>CCS Study (1Y)</v>
          </cell>
          <cell r="O554" t="str">
            <v>Internal R&amp;D</v>
          </cell>
          <cell r="P554" t="str">
            <v>Q1 Passed</v>
          </cell>
          <cell r="Q554" t="str">
            <v>Q1 Passed</v>
          </cell>
          <cell r="R554" t="str">
            <v>Q1.5 Passed</v>
          </cell>
          <cell r="S554" t="str">
            <v>Q1.5 Passed</v>
          </cell>
          <cell r="V554" t="str">
            <v>Tumor content 45-65%</v>
          </cell>
          <cell r="W554" t="str">
            <v>Private Hospital</v>
          </cell>
          <cell r="X554" t="str">
            <v>Vydehi Hospital, Bangalore</v>
          </cell>
          <cell r="Y554" t="str">
            <v>Vydehi Hospital, Bangalore</v>
          </cell>
          <cell r="Z554" t="str">
            <v>Dr Amritha Prabha, Bangalore</v>
          </cell>
          <cell r="AA554" t="str">
            <v>HNSCC</v>
          </cell>
          <cell r="AC554" t="str">
            <v>Larynx</v>
          </cell>
          <cell r="AD554" t="str">
            <v>supraglottis</v>
          </cell>
          <cell r="AE554" t="str">
            <v>Male</v>
          </cell>
          <cell r="AF554">
            <v>60</v>
          </cell>
          <cell r="AG554" t="str">
            <v>N</v>
          </cell>
          <cell r="AH554">
            <v>4.2</v>
          </cell>
          <cell r="AI554" t="str">
            <v>Kalappa</v>
          </cell>
          <cell r="AJ554" t="str">
            <v>Surgery</v>
          </cell>
          <cell r="AK554" t="str">
            <v>Primary</v>
          </cell>
          <cell r="AN554" t="str">
            <v>III</v>
          </cell>
          <cell r="AO554">
            <v>2</v>
          </cell>
          <cell r="AP554" t="str">
            <v>pT3N1</v>
          </cell>
          <cell r="AS554" t="str">
            <v>SCC</v>
          </cell>
          <cell r="AU554" t="str">
            <v>Radioterapy</v>
          </cell>
          <cell r="AV554">
            <v>45085</v>
          </cell>
          <cell r="AW554">
            <v>0.58263888888888893</v>
          </cell>
          <cell r="AX554">
            <v>0.70833333333333337</v>
          </cell>
          <cell r="AY554">
            <v>0.12569444444444444</v>
          </cell>
          <cell r="AZ554">
            <v>0.15416666666666667</v>
          </cell>
          <cell r="BA554">
            <v>0.21875</v>
          </cell>
          <cell r="BB554" t="str">
            <v>0.8*1.2*1.6</v>
          </cell>
          <cell r="BC554" t="str">
            <v>0.8*1.2*1.6</v>
          </cell>
          <cell r="BD554" t="str">
            <v>Vibratome</v>
          </cell>
          <cell r="BE554">
            <v>14</v>
          </cell>
          <cell r="BF554" t="str">
            <v>kuberan</v>
          </cell>
          <cell r="BG554" t="str">
            <v>N</v>
          </cell>
        </row>
        <row r="555">
          <cell r="A555" t="str">
            <v>FBB1H230160</v>
          </cell>
          <cell r="B555">
            <v>230160</v>
          </cell>
          <cell r="C555" t="str">
            <v>Biopharma</v>
          </cell>
          <cell r="D555">
            <v>45086</v>
          </cell>
          <cell r="E555">
            <v>0.62083333333333335</v>
          </cell>
          <cell r="F555">
            <v>45078</v>
          </cell>
          <cell r="G555">
            <v>45086</v>
          </cell>
          <cell r="H555">
            <v>0.67986111111111114</v>
          </cell>
          <cell r="I555">
            <v>5.9027777777777776E-2</v>
          </cell>
          <cell r="J555">
            <v>1</v>
          </cell>
          <cell r="K555" t="str">
            <v>FCB-PROTOCOL-02</v>
          </cell>
          <cell r="L555" t="str">
            <v>CLN/PRA/211</v>
          </cell>
          <cell r="M555" t="str">
            <v>Y</v>
          </cell>
          <cell r="N555" t="str">
            <v>BP007-2023(1H)</v>
          </cell>
          <cell r="O555" t="str">
            <v>Biopharma</v>
          </cell>
          <cell r="P555" t="str">
            <v>Q1 Passed</v>
          </cell>
          <cell r="Q555" t="str">
            <v>Q1 Passed</v>
          </cell>
          <cell r="R555" t="str">
            <v>Q1.5 Passed</v>
          </cell>
          <cell r="S555" t="str">
            <v>Q1.5 Passed</v>
          </cell>
          <cell r="V555" t="str">
            <v xml:space="preserve">Tumor content 60-90%. </v>
          </cell>
          <cell r="W555" t="str">
            <v>Private Hospital</v>
          </cell>
          <cell r="X555" t="str">
            <v>Dr Prakash BV, Bangalore</v>
          </cell>
          <cell r="Y555" t="str">
            <v>Sri Lakshmi Hospital, Bangalore</v>
          </cell>
          <cell r="Z555" t="str">
            <v>Dr Prakash BV, Bangalore</v>
          </cell>
          <cell r="AA555" t="str">
            <v>HNSCC</v>
          </cell>
          <cell r="AB555" t="str">
            <v>SCC</v>
          </cell>
          <cell r="AC555" t="str">
            <v>Buccal mucosa</v>
          </cell>
          <cell r="AD555" t="str">
            <v>Left buccal mucosa</v>
          </cell>
          <cell r="AE555" t="str">
            <v>Female</v>
          </cell>
          <cell r="AF555">
            <v>55</v>
          </cell>
          <cell r="AG555" t="str">
            <v>N</v>
          </cell>
          <cell r="AH555">
            <v>4.0999999999999996</v>
          </cell>
          <cell r="AI555" t="str">
            <v>Kalappa</v>
          </cell>
          <cell r="AJ555" t="str">
            <v>Surgery</v>
          </cell>
          <cell r="AK555" t="str">
            <v>Primary</v>
          </cell>
          <cell r="AV555">
            <v>45086</v>
          </cell>
          <cell r="AW555">
            <v>0.71111111111111114</v>
          </cell>
          <cell r="AX555">
            <v>0.79097222222222219</v>
          </cell>
          <cell r="AY555">
            <v>7.9861111111111105E-2</v>
          </cell>
          <cell r="AZ555">
            <v>0.1111111111111111</v>
          </cell>
          <cell r="BA555">
            <v>0.1701388888888889</v>
          </cell>
          <cell r="BB555" t="str">
            <v>0.6*1.4*1.8
0.4*0.9*1.8</v>
          </cell>
          <cell r="BC555" t="str">
            <v>0.6*1.4*1.8
0.4*0.9*1.8</v>
          </cell>
          <cell r="BD555" t="str">
            <v>Vibratome</v>
          </cell>
          <cell r="BE555">
            <v>14</v>
          </cell>
          <cell r="BF555" t="str">
            <v>chandan</v>
          </cell>
          <cell r="BG555" t="str">
            <v>Y</v>
          </cell>
        </row>
        <row r="556">
          <cell r="A556" t="str">
            <v>FBB1H230161</v>
          </cell>
          <cell r="B556">
            <v>230161</v>
          </cell>
          <cell r="C556" t="str">
            <v>Biopharma</v>
          </cell>
          <cell r="D556">
            <v>45086</v>
          </cell>
          <cell r="E556">
            <v>0.51041666666666663</v>
          </cell>
          <cell r="F556">
            <v>45078</v>
          </cell>
          <cell r="G556">
            <v>45086</v>
          </cell>
          <cell r="H556">
            <v>0.85624999999999996</v>
          </cell>
          <cell r="I556">
            <v>0.34583333333333333</v>
          </cell>
          <cell r="J556">
            <v>15</v>
          </cell>
          <cell r="K556" t="str">
            <v>FCB-PROTOCOL-01</v>
          </cell>
          <cell r="L556" t="str">
            <v>CLN/DBR/145</v>
          </cell>
          <cell r="M556" t="str">
            <v>Y</v>
          </cell>
          <cell r="N556" t="str">
            <v>BP007-2023(1H)</v>
          </cell>
          <cell r="O556" t="str">
            <v>Biopharma</v>
          </cell>
          <cell r="P556" t="str">
            <v>Q1 Passed</v>
          </cell>
          <cell r="Q556" t="str">
            <v>Q1 Passed</v>
          </cell>
          <cell r="R556" t="str">
            <v>Q1.5 Passed</v>
          </cell>
          <cell r="S556" t="str">
            <v>Q1.5 Passed</v>
          </cell>
          <cell r="V556" t="str">
            <v>Tumor content 25%-90%</v>
          </cell>
          <cell r="W556" t="str">
            <v>Clinic'les</v>
          </cell>
          <cell r="X556" t="str">
            <v>Clinic'les- DBR &amp; SK Hospital, Tirupati</v>
          </cell>
          <cell r="Y556" t="str">
            <v>DBR &amp; SK Hospital, Tirupati</v>
          </cell>
          <cell r="Z556" t="str">
            <v>Dr C Jayaprakash, Tirupati</v>
          </cell>
          <cell r="AA556" t="str">
            <v>HNSCC</v>
          </cell>
          <cell r="AC556" t="str">
            <v>Buccal mucosa</v>
          </cell>
          <cell r="AD556" t="str">
            <v>Left buccal mucosa</v>
          </cell>
          <cell r="AE556" t="str">
            <v>Female</v>
          </cell>
          <cell r="AF556">
            <v>47</v>
          </cell>
          <cell r="AG556" t="str">
            <v>N</v>
          </cell>
          <cell r="AH556">
            <v>5.6</v>
          </cell>
          <cell r="AI556" t="str">
            <v>Maruthi</v>
          </cell>
          <cell r="AJ556" t="str">
            <v>Surgery</v>
          </cell>
          <cell r="AK556" t="str">
            <v>Primary</v>
          </cell>
          <cell r="AN556" t="str">
            <v>III</v>
          </cell>
          <cell r="AP556" t="str">
            <v>pT3N0Mx</v>
          </cell>
          <cell r="AV556">
            <v>45086</v>
          </cell>
          <cell r="AW556">
            <v>0.86805555555555558</v>
          </cell>
          <cell r="AX556">
            <v>0.94166666666666665</v>
          </cell>
          <cell r="AY556">
            <v>7.3611111111111113E-2</v>
          </cell>
          <cell r="AZ556">
            <v>8.5416666666666669E-2</v>
          </cell>
          <cell r="BA556">
            <v>0.43125000000000002</v>
          </cell>
          <cell r="BB556" t="str">
            <v>1.2*1.2*2.4</v>
          </cell>
          <cell r="BC556" t="str">
            <v>1.2*1.2*2.4</v>
          </cell>
          <cell r="BD556" t="str">
            <v>Vibratome</v>
          </cell>
          <cell r="BE556">
            <v>14</v>
          </cell>
          <cell r="BF556" t="str">
            <v>chandan</v>
          </cell>
          <cell r="BG556" t="str">
            <v>Y</v>
          </cell>
        </row>
        <row r="557">
          <cell r="A557" t="str">
            <v>FBB1H230162</v>
          </cell>
          <cell r="B557">
            <v>230162</v>
          </cell>
          <cell r="C557" t="str">
            <v>Biopharma</v>
          </cell>
          <cell r="D557">
            <v>45089</v>
          </cell>
          <cell r="E557">
            <v>0.57430555555555551</v>
          </cell>
          <cell r="F557">
            <v>45078</v>
          </cell>
          <cell r="G557">
            <v>45089</v>
          </cell>
          <cell r="H557">
            <v>0.62083333333333335</v>
          </cell>
          <cell r="I557">
            <v>4.6527777777777779E-2</v>
          </cell>
          <cell r="J557">
            <v>1</v>
          </cell>
          <cell r="K557" t="str">
            <v>FCB-PROTOCOL-02</v>
          </cell>
          <cell r="L557" t="str">
            <v>CLN/PRA/212</v>
          </cell>
          <cell r="M557" t="str">
            <v>Y</v>
          </cell>
          <cell r="N557" t="str">
            <v>BP007-2023(1H)</v>
          </cell>
          <cell r="O557" t="str">
            <v>Biopharma</v>
          </cell>
          <cell r="P557" t="str">
            <v>Q1 Passed</v>
          </cell>
          <cell r="Q557" t="str">
            <v>Q1 Passed</v>
          </cell>
          <cell r="R557" t="str">
            <v>Q1.5 Passed</v>
          </cell>
          <cell r="S557" t="str">
            <v>Q1.5 Passed</v>
          </cell>
          <cell r="V557" t="str">
            <v>Tumor content 2-15%</v>
          </cell>
          <cell r="W557" t="str">
            <v>Private Hospital</v>
          </cell>
          <cell r="X557" t="str">
            <v>Dr Prakash BV, Bangalore</v>
          </cell>
          <cell r="Y557" t="str">
            <v>Sri Lakshmi Hospital, Bangalore</v>
          </cell>
          <cell r="Z557" t="str">
            <v>Dr Prakash BV, Bangalore</v>
          </cell>
          <cell r="AA557" t="str">
            <v>HNSCC</v>
          </cell>
          <cell r="AB557" t="str">
            <v>SCC</v>
          </cell>
          <cell r="AC557" t="str">
            <v>Buccal mucosa</v>
          </cell>
          <cell r="AD557" t="str">
            <v>Left buccal mucosa</v>
          </cell>
          <cell r="AE557" t="str">
            <v>Female</v>
          </cell>
          <cell r="AF557">
            <v>50</v>
          </cell>
          <cell r="AG557" t="str">
            <v>N</v>
          </cell>
          <cell r="AH557">
            <v>3.4</v>
          </cell>
          <cell r="AI557" t="str">
            <v>Partha</v>
          </cell>
          <cell r="AJ557" t="str">
            <v>Surgery</v>
          </cell>
          <cell r="AK557" t="str">
            <v>Primary</v>
          </cell>
          <cell r="AV557">
            <v>45089</v>
          </cell>
          <cell r="AW557">
            <v>0.63194444444444442</v>
          </cell>
          <cell r="AX557">
            <v>0.71527777777777779</v>
          </cell>
          <cell r="AY557">
            <v>8.3333333333333329E-2</v>
          </cell>
          <cell r="AZ557">
            <v>9.4444444444444442E-2</v>
          </cell>
          <cell r="BA557">
            <v>0.14097222222222222</v>
          </cell>
          <cell r="BB557" t="str">
            <v>0.2/0.6*1.5/0.8*2.0/1.2</v>
          </cell>
          <cell r="BC557" t="str">
            <v>0.2/0.6*1.5/0.8*2.0/1.2</v>
          </cell>
          <cell r="BD557" t="str">
            <v>Vibratome</v>
          </cell>
          <cell r="BE557">
            <v>14</v>
          </cell>
          <cell r="BF557" t="str">
            <v>Biswajit</v>
          </cell>
          <cell r="BG557" t="str">
            <v>Y</v>
          </cell>
        </row>
        <row r="558">
          <cell r="A558" t="str">
            <v>FBB1Z230162</v>
          </cell>
          <cell r="B558">
            <v>230162</v>
          </cell>
          <cell r="C558" t="str">
            <v>R&amp;D</v>
          </cell>
          <cell r="D558">
            <v>45089</v>
          </cell>
          <cell r="E558">
            <v>0.57430555555555551</v>
          </cell>
          <cell r="F558">
            <v>45078</v>
          </cell>
          <cell r="G558">
            <v>45089</v>
          </cell>
          <cell r="H558">
            <v>0.62083333333333335</v>
          </cell>
          <cell r="I558">
            <v>4.6527777777777779E-2</v>
          </cell>
          <cell r="J558">
            <v>1</v>
          </cell>
          <cell r="K558" t="str">
            <v>FCB-PROTOCOL-02</v>
          </cell>
          <cell r="L558" t="str">
            <v>CLN/PRA/212</v>
          </cell>
          <cell r="M558" t="str">
            <v>Y</v>
          </cell>
          <cell r="N558" t="str">
            <v>CT+LD Nivo -NLD study (1Z)</v>
          </cell>
          <cell r="O558" t="str">
            <v>Internal R&amp;D</v>
          </cell>
          <cell r="P558" t="str">
            <v>Q1 Passed</v>
          </cell>
          <cell r="Q558" t="str">
            <v>Q1 Passed</v>
          </cell>
          <cell r="R558" t="str">
            <v>Q1.5 Passed</v>
          </cell>
          <cell r="S558" t="str">
            <v>Q1.5 Passed</v>
          </cell>
          <cell r="V558" t="str">
            <v>Tumor content 0-40%</v>
          </cell>
          <cell r="W558" t="str">
            <v>Private Hospital</v>
          </cell>
          <cell r="X558" t="str">
            <v>Dr Prakash BV, Bangalore</v>
          </cell>
          <cell r="Y558" t="str">
            <v>Sri Lakshmi Hospital, Bangalore</v>
          </cell>
          <cell r="Z558" t="str">
            <v>Dr Prakash BV, Bangalore</v>
          </cell>
          <cell r="AA558" t="str">
            <v>HNSCC</v>
          </cell>
          <cell r="AB558" t="str">
            <v>SCC</v>
          </cell>
          <cell r="AC558" t="str">
            <v>Buccal mucosa</v>
          </cell>
          <cell r="AD558" t="str">
            <v>Left buccal mucosa</v>
          </cell>
          <cell r="AE558" t="str">
            <v>Female</v>
          </cell>
          <cell r="AF558">
            <v>50</v>
          </cell>
          <cell r="AG558" t="str">
            <v>N</v>
          </cell>
          <cell r="AH558">
            <v>3.4</v>
          </cell>
          <cell r="AI558" t="str">
            <v>Partha</v>
          </cell>
          <cell r="AJ558" t="str">
            <v>Surgery</v>
          </cell>
          <cell r="AK558" t="str">
            <v>Primary</v>
          </cell>
          <cell r="AV558">
            <v>45089</v>
          </cell>
          <cell r="AW558">
            <v>0.63194444444444442</v>
          </cell>
          <cell r="AX558">
            <v>0.72499999999999998</v>
          </cell>
          <cell r="AY558">
            <v>9.3055555555555558E-2</v>
          </cell>
          <cell r="AZ558">
            <v>0.10416666666666667</v>
          </cell>
          <cell r="BA558">
            <v>0.15069444444444444</v>
          </cell>
          <cell r="BB558" t="str">
            <v>0.2/0.6*1.5/0.8*2.0/1.2</v>
          </cell>
          <cell r="BC558" t="str">
            <v>0.2/0.6*1.5/0.8*2.0/1.2</v>
          </cell>
          <cell r="BD558" t="str">
            <v>Vibratome</v>
          </cell>
          <cell r="BE558">
            <v>14</v>
          </cell>
          <cell r="BF558" t="str">
            <v>Biswajit</v>
          </cell>
          <cell r="BG558" t="str">
            <v>Y</v>
          </cell>
        </row>
        <row r="559">
          <cell r="A559" t="str">
            <v>FBR1M230163</v>
          </cell>
          <cell r="B559">
            <v>230163</v>
          </cell>
          <cell r="C559" t="str">
            <v>R&amp;D</v>
          </cell>
          <cell r="D559">
            <v>45089</v>
          </cell>
          <cell r="E559">
            <v>0.58888888888888891</v>
          </cell>
          <cell r="F559">
            <v>45078</v>
          </cell>
          <cell r="G559">
            <v>45089</v>
          </cell>
          <cell r="H559">
            <v>0.64861111111111114</v>
          </cell>
          <cell r="I559">
            <v>5.9722222222222225E-2</v>
          </cell>
          <cell r="J559">
            <v>21</v>
          </cell>
          <cell r="K559" t="str">
            <v>FCB-PROTOCOL-02</v>
          </cell>
          <cell r="L559" t="str">
            <v>RC028</v>
          </cell>
          <cell r="M559" t="str">
            <v>Y</v>
          </cell>
          <cell r="N559" t="str">
            <v>DMS_RCC(1M)</v>
          </cell>
          <cell r="O559" t="str">
            <v>Internal R&amp;D</v>
          </cell>
          <cell r="P559" t="str">
            <v>Q1 Passed</v>
          </cell>
          <cell r="Q559" t="str">
            <v>Q1 Passed</v>
          </cell>
          <cell r="R559" t="str">
            <v>Q1.5 Passed</v>
          </cell>
          <cell r="S559" t="str">
            <v>Q1.5 Passed</v>
          </cell>
          <cell r="V559" t="str">
            <v>Tumor content 2-90%</v>
          </cell>
          <cell r="W559" t="str">
            <v>Private Hospital</v>
          </cell>
          <cell r="X559" t="str">
            <v>Mazumdar Shaw Medical Centre, Bangalore</v>
          </cell>
          <cell r="Y559" t="str">
            <v>Mazumdar Shaw Medical Centre, Bangalore</v>
          </cell>
          <cell r="Z559" t="str">
            <v>Dr Saurabh Bhargav, Bangalore</v>
          </cell>
          <cell r="AA559" t="str">
            <v>RCC</v>
          </cell>
          <cell r="AC559" t="str">
            <v>Renal</v>
          </cell>
          <cell r="AD559" t="str">
            <v>Left renal Mass</v>
          </cell>
          <cell r="AE559" t="str">
            <v>Male</v>
          </cell>
          <cell r="AF559">
            <v>39</v>
          </cell>
          <cell r="AG559" t="str">
            <v>N</v>
          </cell>
          <cell r="AH559">
            <v>4.5</v>
          </cell>
          <cell r="AI559" t="str">
            <v>Maruthi</v>
          </cell>
          <cell r="AJ559" t="str">
            <v>Surgery</v>
          </cell>
          <cell r="AK559" t="str">
            <v>Primary</v>
          </cell>
          <cell r="AN559" t="str">
            <v>I</v>
          </cell>
          <cell r="AO559">
            <v>1</v>
          </cell>
          <cell r="AP559" t="str">
            <v>pT1b</v>
          </cell>
          <cell r="AS559" t="str">
            <v>Clear cell renal cell carcinoma</v>
          </cell>
          <cell r="AV559">
            <v>45089</v>
          </cell>
          <cell r="AW559">
            <v>0.66666666666666663</v>
          </cell>
          <cell r="AX559">
            <v>0.83194444444444449</v>
          </cell>
          <cell r="AY559">
            <v>0.16527777777777777</v>
          </cell>
          <cell r="AZ559">
            <v>0.18333333333333332</v>
          </cell>
          <cell r="BA559">
            <v>0.24305555555555555</v>
          </cell>
          <cell r="BB559" t="str">
            <v>0.6*1.3/2.3/1.4*2.4</v>
          </cell>
          <cell r="BC559" t="str">
            <v>0.6*1.3/2.3/1.4*2.4</v>
          </cell>
          <cell r="BD559" t="str">
            <v>Manual</v>
          </cell>
          <cell r="BE559">
            <v>14</v>
          </cell>
          <cell r="BF559" t="str">
            <v>kuberan</v>
          </cell>
          <cell r="BG559" t="str">
            <v>Y</v>
          </cell>
        </row>
        <row r="560">
          <cell r="A560" t="str">
            <v>FBR1Y230164</v>
          </cell>
          <cell r="B560">
            <v>230164</v>
          </cell>
          <cell r="C560" t="str">
            <v>R&amp;D</v>
          </cell>
          <cell r="D560">
            <v>45090</v>
          </cell>
          <cell r="E560">
            <v>0.54861111111111116</v>
          </cell>
          <cell r="F560">
            <v>45078</v>
          </cell>
          <cell r="G560">
            <v>45090</v>
          </cell>
          <cell r="H560">
            <v>0.63263888888888886</v>
          </cell>
          <cell r="I560">
            <v>8.4027777777777785E-2</v>
          </cell>
          <cell r="J560">
            <v>12</v>
          </cell>
          <cell r="K560" t="str">
            <v>FCB-PROTOCOL-02</v>
          </cell>
          <cell r="L560" t="str">
            <v>HN065</v>
          </cell>
          <cell r="M560" t="str">
            <v>Y</v>
          </cell>
          <cell r="N560" t="str">
            <v>CCS Study (1Y)</v>
          </cell>
          <cell r="O560" t="str">
            <v>Internal R&amp;D</v>
          </cell>
          <cell r="P560" t="str">
            <v>Q1 Passed</v>
          </cell>
          <cell r="Q560" t="str">
            <v>Q1 Passed</v>
          </cell>
          <cell r="R560" t="str">
            <v>Compromised</v>
          </cell>
          <cell r="S560" t="str">
            <v>Q1.5 Passed</v>
          </cell>
          <cell r="V560" t="str">
            <v>Tumor content 0-95%. Some fragments are necrosed</v>
          </cell>
          <cell r="W560" t="str">
            <v>Private Hospital</v>
          </cell>
          <cell r="X560" t="str">
            <v>Mazumdar Shaw Medical Centre, Bangalore</v>
          </cell>
          <cell r="Y560" t="str">
            <v>Mazumdar Shaw Medical Centre, Bangalore</v>
          </cell>
          <cell r="Z560" t="str">
            <v>Dr Vijay Pillai, Bangalore</v>
          </cell>
          <cell r="AA560" t="str">
            <v>HNSCC</v>
          </cell>
          <cell r="AC560" t="str">
            <v>Buccal Mucosa</v>
          </cell>
          <cell r="AD560" t="str">
            <v>Right buccal mucosa</v>
          </cell>
          <cell r="AE560" t="str">
            <v>Female</v>
          </cell>
          <cell r="AF560">
            <v>60</v>
          </cell>
          <cell r="AG560" t="str">
            <v>N</v>
          </cell>
          <cell r="AH560">
            <v>4.5999999999999996</v>
          </cell>
          <cell r="AI560" t="str">
            <v>Maruthi</v>
          </cell>
          <cell r="AJ560" t="str">
            <v>Surgery</v>
          </cell>
          <cell r="AK560" t="str">
            <v>Primary</v>
          </cell>
          <cell r="AN560" t="str">
            <v>IV</v>
          </cell>
          <cell r="AO560">
            <v>2</v>
          </cell>
          <cell r="AP560" t="str">
            <v>pT4b</v>
          </cell>
          <cell r="AS560" t="str">
            <v>Moderately differentiated squamous cell carcinoma</v>
          </cell>
          <cell r="AV560">
            <v>45090</v>
          </cell>
          <cell r="AW560">
            <v>0.67222222222222228</v>
          </cell>
          <cell r="AX560">
            <v>0.76111111111111107</v>
          </cell>
          <cell r="AY560">
            <v>8.8888888888888892E-2</v>
          </cell>
          <cell r="AZ560">
            <v>0.12847222222222221</v>
          </cell>
          <cell r="BA560">
            <v>0.21249999999999999</v>
          </cell>
          <cell r="BB560" t="str">
            <v>0.4*0.4*0.8
0.2*0.6/0.5*1.0
0.2*0.3*0.6</v>
          </cell>
          <cell r="BC560" t="str">
            <v>0.4*0.4*0.8
0.2*0.6/0.5*1.0
0.2*0.3*0.6</v>
          </cell>
          <cell r="BD560" t="str">
            <v>Manual</v>
          </cell>
          <cell r="BE560">
            <v>14</v>
          </cell>
          <cell r="BF560" t="str">
            <v>Pallavi</v>
          </cell>
          <cell r="BG560" t="str">
            <v>Y</v>
          </cell>
        </row>
        <row r="561">
          <cell r="A561" t="str">
            <v>FBR1Z230165</v>
          </cell>
          <cell r="B561">
            <v>230165</v>
          </cell>
          <cell r="C561" t="str">
            <v>R&amp;D</v>
          </cell>
          <cell r="D561">
            <v>45091</v>
          </cell>
          <cell r="E561">
            <v>0.47638888888888886</v>
          </cell>
          <cell r="F561">
            <v>45078</v>
          </cell>
          <cell r="G561">
            <v>45091</v>
          </cell>
          <cell r="H561">
            <v>0.5541666666666667</v>
          </cell>
          <cell r="I561">
            <v>7.7777777777777779E-2</v>
          </cell>
          <cell r="J561">
            <v>2</v>
          </cell>
          <cell r="K561" t="str">
            <v>FCB-PROTOCOL-02</v>
          </cell>
          <cell r="L561" t="str">
            <v>VYD/173</v>
          </cell>
          <cell r="M561" t="str">
            <v>Y</v>
          </cell>
          <cell r="N561" t="str">
            <v>CT+LD Nivo -NLD study (1Z)</v>
          </cell>
          <cell r="O561" t="str">
            <v>Internal R&amp;D</v>
          </cell>
          <cell r="P561" t="str">
            <v>Q1 Passed</v>
          </cell>
          <cell r="Q561" t="str">
            <v>Q1 Passed</v>
          </cell>
          <cell r="R561" t="str">
            <v>Q1.5 Passed</v>
          </cell>
          <cell r="S561" t="str">
            <v>Q1.5 Passed</v>
          </cell>
          <cell r="V561" t="str">
            <v>Tumor content 80-95%</v>
          </cell>
          <cell r="W561" t="str">
            <v>Private Hospital</v>
          </cell>
          <cell r="X561" t="str">
            <v>Vydehi Hospital, Bangalore</v>
          </cell>
          <cell r="Y561" t="str">
            <v>Vydehi Hospital, Bangalore</v>
          </cell>
          <cell r="Z561" t="str">
            <v>Dr Amritha Prabha, Bangalore</v>
          </cell>
          <cell r="AA561" t="str">
            <v>HNSCC</v>
          </cell>
          <cell r="AC561" t="str">
            <v>Buccal Mucosa</v>
          </cell>
          <cell r="AD561" t="str">
            <v>Left Buccal Mucosa</v>
          </cell>
          <cell r="AE561" t="str">
            <v>Female</v>
          </cell>
          <cell r="AF561">
            <v>55</v>
          </cell>
          <cell r="AG561" t="str">
            <v>N</v>
          </cell>
          <cell r="AH561">
            <v>4.5</v>
          </cell>
          <cell r="AI561" t="str">
            <v>Kalappa</v>
          </cell>
          <cell r="AJ561" t="str">
            <v>Surgery</v>
          </cell>
          <cell r="AK561" t="str">
            <v>Primary</v>
          </cell>
          <cell r="AN561" t="str">
            <v>II</v>
          </cell>
          <cell r="AO561">
            <v>2</v>
          </cell>
          <cell r="AP561" t="str">
            <v>pT1N0</v>
          </cell>
          <cell r="AS561" t="str">
            <v>SCC</v>
          </cell>
          <cell r="AV561">
            <v>45091</v>
          </cell>
          <cell r="AW561">
            <v>0.59722222222222221</v>
          </cell>
          <cell r="AX561">
            <v>0.71388888888888891</v>
          </cell>
          <cell r="AY561">
            <v>0.11666666666666667</v>
          </cell>
          <cell r="AZ561">
            <v>0.15972222222222221</v>
          </cell>
          <cell r="BA561">
            <v>0.23749999999999999</v>
          </cell>
          <cell r="BB561" t="str">
            <v>0.2/0.5*0.8/1.6*2.4</v>
          </cell>
          <cell r="BC561" t="str">
            <v>0.2/0.5*0.8/1.6*2.4</v>
          </cell>
          <cell r="BD561" t="str">
            <v>Vibratome</v>
          </cell>
          <cell r="BE561">
            <v>14</v>
          </cell>
          <cell r="BF561" t="str">
            <v>Mouniss</v>
          </cell>
          <cell r="BG561" t="str">
            <v>Y</v>
          </cell>
        </row>
        <row r="562">
          <cell r="A562" t="str">
            <v>FBR2B230166</v>
          </cell>
          <cell r="B562">
            <v>230166</v>
          </cell>
          <cell r="C562" t="str">
            <v>R&amp;D</v>
          </cell>
          <cell r="D562">
            <v>45091</v>
          </cell>
          <cell r="E562">
            <v>0.625</v>
          </cell>
          <cell r="F562">
            <v>45078</v>
          </cell>
          <cell r="G562">
            <v>45091</v>
          </cell>
          <cell r="H562">
            <v>0.69027777777777777</v>
          </cell>
          <cell r="I562">
            <v>6.5277777777777782E-2</v>
          </cell>
          <cell r="J562">
            <v>0</v>
          </cell>
          <cell r="K562" t="str">
            <v>FCB-PROTOCOL-02</v>
          </cell>
          <cell r="L562" t="str">
            <v>OC012</v>
          </cell>
          <cell r="M562" t="str">
            <v>Y</v>
          </cell>
          <cell r="N562" t="str">
            <v>ovary Biopsy (R2B)</v>
          </cell>
          <cell r="O562" t="str">
            <v>Internal R&amp;D</v>
          </cell>
          <cell r="P562" t="str">
            <v>Q1 Passed</v>
          </cell>
          <cell r="Q562" t="str">
            <v>Q1 Passed</v>
          </cell>
          <cell r="R562" t="str">
            <v>Q1.5 Passed</v>
          </cell>
          <cell r="S562" t="str">
            <v>Q1.5 Passed</v>
          </cell>
          <cell r="V562" t="str">
            <v>Tumor content 15-95%</v>
          </cell>
          <cell r="W562" t="str">
            <v>Private Hospital</v>
          </cell>
          <cell r="X562" t="str">
            <v>Mazumdar Shaw Medical Centre, Bangalore</v>
          </cell>
          <cell r="Y562" t="str">
            <v>Mazumdar Shaw Medical Centre, Bangalore</v>
          </cell>
          <cell r="Z562" t="str">
            <v>Dr Rohit Ranade, Bangalore</v>
          </cell>
          <cell r="AA562" t="str">
            <v>Ca Ovary</v>
          </cell>
          <cell r="AC562" t="str">
            <v>Omentum</v>
          </cell>
          <cell r="AD562" t="str">
            <v>Omentum</v>
          </cell>
          <cell r="AE562" t="str">
            <v>Female</v>
          </cell>
          <cell r="AF562">
            <v>59</v>
          </cell>
          <cell r="AG562" t="str">
            <v>N</v>
          </cell>
          <cell r="AH562">
            <v>4.5999999999999996</v>
          </cell>
          <cell r="AI562" t="str">
            <v>Maruthi</v>
          </cell>
          <cell r="AJ562" t="str">
            <v>Biopsy</v>
          </cell>
          <cell r="AK562" t="str">
            <v>Primary</v>
          </cell>
          <cell r="AS562" t="str">
            <v>Fragmented bits with a poorly differentiated adenocarcinoma</v>
          </cell>
          <cell r="AV562">
            <v>45091</v>
          </cell>
          <cell r="AW562">
            <v>0.71180555555555558</v>
          </cell>
          <cell r="AX562">
            <v>0.76041666666666663</v>
          </cell>
          <cell r="AY562">
            <v>4.8611111111111112E-2</v>
          </cell>
          <cell r="AZ562">
            <v>7.013888888888889E-2</v>
          </cell>
          <cell r="BA562">
            <v>0.13541666666666666</v>
          </cell>
          <cell r="BB562" t="str">
            <v>0.15*0.4/0.5*0.9
0.15*0.3*0.4</v>
          </cell>
          <cell r="BC562" t="str">
            <v>0.15*0.4/0.5*0.9
0.15*0.3*0.4</v>
          </cell>
          <cell r="BD562" t="str">
            <v>Manual</v>
          </cell>
          <cell r="BE562">
            <v>14</v>
          </cell>
          <cell r="BF562" t="str">
            <v>chandan</v>
          </cell>
          <cell r="BG562" t="str">
            <v>Y</v>
          </cell>
        </row>
        <row r="563">
          <cell r="A563" t="str">
            <v>FBR1Z230167</v>
          </cell>
          <cell r="B563">
            <v>230167</v>
          </cell>
          <cell r="C563" t="str">
            <v>R&amp;D</v>
          </cell>
          <cell r="D563">
            <v>45091</v>
          </cell>
          <cell r="E563">
            <v>0.49652777777777779</v>
          </cell>
          <cell r="F563">
            <v>45078</v>
          </cell>
          <cell r="G563">
            <v>45091</v>
          </cell>
          <cell r="H563">
            <v>0.86041666666666672</v>
          </cell>
          <cell r="I563">
            <v>0.36388888888888887</v>
          </cell>
          <cell r="J563">
            <v>10</v>
          </cell>
          <cell r="K563" t="str">
            <v>FCB-PROTOCOL-01</v>
          </cell>
          <cell r="L563" t="str">
            <v>CLN/DBR/146</v>
          </cell>
          <cell r="M563" t="str">
            <v>Y</v>
          </cell>
          <cell r="N563" t="str">
            <v>CT+LD Nivo -NLD study (1Z)</v>
          </cell>
          <cell r="O563" t="str">
            <v>Internal R&amp;D</v>
          </cell>
          <cell r="P563" t="str">
            <v>Q1 Passed</v>
          </cell>
          <cell r="Q563" t="str">
            <v>Q1 Passed</v>
          </cell>
          <cell r="R563" t="str">
            <v>Q1.5 Passed</v>
          </cell>
          <cell r="S563" t="str">
            <v>Q1.5 Passed</v>
          </cell>
          <cell r="V563" t="str">
            <v>Tumor comntent 30-70%</v>
          </cell>
          <cell r="W563" t="str">
            <v>Clinic'les</v>
          </cell>
          <cell r="X563" t="str">
            <v>Clinic'les- DBR &amp; SK Hospital, Tirupati</v>
          </cell>
          <cell r="Y563" t="str">
            <v>DBR &amp; SK Hospital, Tirupati</v>
          </cell>
          <cell r="Z563" t="str">
            <v>Dr C Jayaprakash, Tirupati</v>
          </cell>
          <cell r="AA563" t="str">
            <v>HNSCC</v>
          </cell>
          <cell r="AC563" t="str">
            <v>Salivaery Glands</v>
          </cell>
          <cell r="AD563" t="str">
            <v>Left Salivary Glands</v>
          </cell>
          <cell r="AE563" t="str">
            <v>Male</v>
          </cell>
          <cell r="AF563">
            <v>52</v>
          </cell>
          <cell r="AG563" t="str">
            <v>N</v>
          </cell>
          <cell r="AH563">
            <v>4.2</v>
          </cell>
          <cell r="AI563" t="str">
            <v>Partha</v>
          </cell>
          <cell r="AJ563" t="str">
            <v>Surgery</v>
          </cell>
          <cell r="AK563" t="str">
            <v>Primary</v>
          </cell>
          <cell r="AN563" t="str">
            <v>IVb</v>
          </cell>
          <cell r="AP563" t="str">
            <v>pTxN3Mx</v>
          </cell>
          <cell r="AV563">
            <v>45091</v>
          </cell>
          <cell r="AW563">
            <v>0.87847222222222221</v>
          </cell>
          <cell r="AX563">
            <v>0.97013888888888888</v>
          </cell>
          <cell r="AY563">
            <v>9.166666666666666E-2</v>
          </cell>
          <cell r="AZ563">
            <v>0.10972222222222222</v>
          </cell>
          <cell r="BA563">
            <v>0.47361111111111109</v>
          </cell>
          <cell r="BB563" t="str">
            <v>1.6*2.2/2.4*3.8</v>
          </cell>
          <cell r="BC563" t="str">
            <v>1.6*2.2/2.4*3.8</v>
          </cell>
          <cell r="BD563" t="str">
            <v>Vibratome</v>
          </cell>
          <cell r="BE563">
            <v>14</v>
          </cell>
          <cell r="BF563" t="str">
            <v>chandan</v>
          </cell>
          <cell r="BG563" t="str">
            <v>Y</v>
          </cell>
        </row>
        <row r="564">
          <cell r="A564" t="str">
            <v>FBR1R230167</v>
          </cell>
          <cell r="B564">
            <v>230167</v>
          </cell>
          <cell r="C564" t="str">
            <v>R&amp;D</v>
          </cell>
          <cell r="D564">
            <v>45091</v>
          </cell>
          <cell r="E564">
            <v>0.49652777777777779</v>
          </cell>
          <cell r="F564">
            <v>45078</v>
          </cell>
          <cell r="G564">
            <v>45091</v>
          </cell>
          <cell r="H564">
            <v>0.86041666666666672</v>
          </cell>
          <cell r="I564">
            <v>0.36388888888888887</v>
          </cell>
          <cell r="J564">
            <v>10</v>
          </cell>
          <cell r="K564" t="str">
            <v>FCB-PROTOCOL-01</v>
          </cell>
          <cell r="L564" t="str">
            <v>CLN/DBR/146</v>
          </cell>
          <cell r="M564" t="str">
            <v>Y</v>
          </cell>
          <cell r="N564" t="str">
            <v>BSS(1R)</v>
          </cell>
          <cell r="O564" t="str">
            <v>Internal R&amp;D</v>
          </cell>
          <cell r="P564" t="str">
            <v>Q1 Passed</v>
          </cell>
          <cell r="Q564" t="str">
            <v>Q1 Passed</v>
          </cell>
          <cell r="R564" t="str">
            <v>Q1.5 Passed</v>
          </cell>
          <cell r="S564" t="str">
            <v>Q1.5 Passed</v>
          </cell>
          <cell r="V564" t="str">
            <v>Tumor content 25-90%</v>
          </cell>
          <cell r="W564" t="str">
            <v>Clinic'les</v>
          </cell>
          <cell r="X564" t="str">
            <v>Clinic'les- DBR &amp; SK Hospital, Tirupati</v>
          </cell>
          <cell r="Y564" t="str">
            <v>DBR &amp; SK Hospital, Tirupati</v>
          </cell>
          <cell r="Z564" t="str">
            <v>Dr C Jayaprakash, Tirupati</v>
          </cell>
          <cell r="AA564" t="str">
            <v>HNSCC</v>
          </cell>
          <cell r="AC564" t="str">
            <v>Salivaery Glands</v>
          </cell>
          <cell r="AD564" t="str">
            <v>Left Salivary Glands</v>
          </cell>
          <cell r="AE564" t="str">
            <v>Male</v>
          </cell>
          <cell r="AF564">
            <v>52</v>
          </cell>
          <cell r="AG564" t="str">
            <v>N</v>
          </cell>
          <cell r="AH564">
            <v>4.2</v>
          </cell>
          <cell r="AI564" t="str">
            <v>Partha</v>
          </cell>
          <cell r="AJ564" t="str">
            <v>Surgery</v>
          </cell>
          <cell r="AK564" t="str">
            <v>Primary</v>
          </cell>
          <cell r="AN564" t="str">
            <v>IVb</v>
          </cell>
          <cell r="AP564" t="str">
            <v>pTxN3Mx</v>
          </cell>
          <cell r="AV564">
            <v>45091</v>
          </cell>
          <cell r="AW564">
            <v>0.87847222222222221</v>
          </cell>
          <cell r="AX564">
            <v>0.96875</v>
          </cell>
          <cell r="AY564">
            <v>9.0277777777777776E-2</v>
          </cell>
          <cell r="AZ564">
            <v>0.10833333333333334</v>
          </cell>
          <cell r="BA564">
            <v>0.47222222222222221</v>
          </cell>
          <cell r="BB564" t="str">
            <v>1.6*2.2/2.4*3.8</v>
          </cell>
          <cell r="BC564" t="str">
            <v>1.6*2.2/2.4*3.8</v>
          </cell>
          <cell r="BD564" t="str">
            <v>Vibratome</v>
          </cell>
          <cell r="BE564">
            <v>14</v>
          </cell>
          <cell r="BF564" t="str">
            <v>chandan</v>
          </cell>
          <cell r="BG564" t="str">
            <v>Y</v>
          </cell>
        </row>
        <row r="565">
          <cell r="A565" t="str">
            <v>FBB1H230168</v>
          </cell>
          <cell r="B565">
            <v>230168</v>
          </cell>
          <cell r="C565" t="str">
            <v>Biopharma</v>
          </cell>
          <cell r="D565">
            <v>45097</v>
          </cell>
          <cell r="E565">
            <v>0.3659722222222222</v>
          </cell>
          <cell r="F565">
            <v>45078</v>
          </cell>
          <cell r="G565">
            <v>45097</v>
          </cell>
          <cell r="H565">
            <v>0.42569444444444443</v>
          </cell>
          <cell r="I565">
            <v>5.9722222222222225E-2</v>
          </cell>
          <cell r="J565">
            <v>3</v>
          </cell>
          <cell r="K565" t="str">
            <v>FCB-PROTOCOL-02</v>
          </cell>
          <cell r="L565" t="str">
            <v>CLN/PRA/213</v>
          </cell>
          <cell r="M565" t="str">
            <v>Y</v>
          </cell>
          <cell r="N565" t="str">
            <v>BP007-2023(1H)</v>
          </cell>
          <cell r="O565" t="str">
            <v>Biopharma</v>
          </cell>
          <cell r="P565" t="str">
            <v>Q1 Passed</v>
          </cell>
          <cell r="Q565" t="str">
            <v>Q1 Passed</v>
          </cell>
          <cell r="R565" t="str">
            <v>Q1.5 Passed</v>
          </cell>
          <cell r="S565" t="str">
            <v>Q1.5 Passed</v>
          </cell>
          <cell r="V565" t="str">
            <v>Tumor content 3-75%. Areas of necrosis present</v>
          </cell>
          <cell r="W565" t="str">
            <v>Private Hospital</v>
          </cell>
          <cell r="X565" t="str">
            <v>Dr Prakash BV, Bangalore</v>
          </cell>
          <cell r="Y565" t="str">
            <v>Sri Lakshmi Hospital, Bangalore</v>
          </cell>
          <cell r="Z565" t="str">
            <v>Dr Prakash BV, Bangalore</v>
          </cell>
          <cell r="AA565" t="str">
            <v>HNSCC</v>
          </cell>
          <cell r="AC565" t="str">
            <v>GBS</v>
          </cell>
          <cell r="AD565" t="str">
            <v>Left Lower GBS</v>
          </cell>
          <cell r="AE565" t="str">
            <v>Female</v>
          </cell>
          <cell r="AF565">
            <v>60</v>
          </cell>
          <cell r="AG565" t="str">
            <v>N</v>
          </cell>
          <cell r="AH565">
            <v>4.0999999999999996</v>
          </cell>
          <cell r="AI565" t="str">
            <v>Partha</v>
          </cell>
          <cell r="AJ565" t="str">
            <v>Surgery</v>
          </cell>
          <cell r="AK565" t="str">
            <v>Primary</v>
          </cell>
          <cell r="AN565" t="str">
            <v>II</v>
          </cell>
          <cell r="AO565">
            <v>2</v>
          </cell>
          <cell r="AP565" t="str">
            <v>pT3N2bM0</v>
          </cell>
          <cell r="AS565" t="str">
            <v>SCC</v>
          </cell>
          <cell r="AV565">
            <v>45097</v>
          </cell>
          <cell r="AW565">
            <v>0.44583333333333336</v>
          </cell>
          <cell r="AX565">
            <v>0.71875</v>
          </cell>
          <cell r="AY565">
            <v>0.27291666666666664</v>
          </cell>
          <cell r="AZ565">
            <v>0.29305555555555557</v>
          </cell>
          <cell r="BA565">
            <v>0.3527777777777778</v>
          </cell>
          <cell r="BB565" t="str">
            <v>0.7-0.8*0.8*2.6</v>
          </cell>
          <cell r="BC565" t="str">
            <v>0.7-0.8*0.8*2.6</v>
          </cell>
          <cell r="BD565" t="str">
            <v>Vibratome</v>
          </cell>
          <cell r="BE565">
            <v>14</v>
          </cell>
          <cell r="BF565" t="str">
            <v>Mouniss</v>
          </cell>
          <cell r="BG565" t="str">
            <v>Y</v>
          </cell>
        </row>
        <row r="566">
          <cell r="A566" t="str">
            <v>FBB1H230169</v>
          </cell>
          <cell r="B566">
            <v>230169</v>
          </cell>
          <cell r="C566" t="str">
            <v>Biopharma</v>
          </cell>
          <cell r="D566">
            <v>45097</v>
          </cell>
          <cell r="E566">
            <v>0.58333333333333337</v>
          </cell>
          <cell r="F566">
            <v>45078</v>
          </cell>
          <cell r="G566">
            <v>45097</v>
          </cell>
          <cell r="H566">
            <v>0.64583333333333337</v>
          </cell>
          <cell r="I566">
            <v>6.25E-2</v>
          </cell>
          <cell r="J566">
            <v>10</v>
          </cell>
          <cell r="K566" t="str">
            <v>FCB-PROTOCOL-02</v>
          </cell>
          <cell r="L566" t="str">
            <v>HN066</v>
          </cell>
          <cell r="M566" t="str">
            <v>Y</v>
          </cell>
          <cell r="N566" t="str">
            <v>BP007-2023(1H)</v>
          </cell>
          <cell r="O566" t="str">
            <v>Biopharma</v>
          </cell>
          <cell r="P566" t="str">
            <v>Q1 Passed</v>
          </cell>
          <cell r="Q566" t="str">
            <v>Q1 Passed</v>
          </cell>
          <cell r="R566" t="str">
            <v>Q1.5 Passed</v>
          </cell>
          <cell r="S566" t="str">
            <v>Q1.5 Passed</v>
          </cell>
          <cell r="V566" t="str">
            <v>High tumor content in all fragments, &gt; 80%</v>
          </cell>
          <cell r="W566" t="str">
            <v>Private Hospital</v>
          </cell>
          <cell r="X566" t="str">
            <v>Mazumdar Shaw Medical Centre, Bangalore</v>
          </cell>
          <cell r="Y566" t="str">
            <v>Mazumdar Shaw Medical Centre, Bangalore</v>
          </cell>
          <cell r="Z566" t="str">
            <v>Dr Vijay Pillai, Bangalore</v>
          </cell>
          <cell r="AA566" t="str">
            <v>HNSCC</v>
          </cell>
          <cell r="AC566" t="str">
            <v>Buccal Mucosa</v>
          </cell>
          <cell r="AD566" t="str">
            <v>Left buccal mucosa</v>
          </cell>
          <cell r="AE566" t="str">
            <v>Male</v>
          </cell>
          <cell r="AF566">
            <v>44</v>
          </cell>
          <cell r="AG566" t="str">
            <v>N</v>
          </cell>
          <cell r="AH566">
            <v>5.0999999999999996</v>
          </cell>
          <cell r="AI566" t="str">
            <v>Shashi</v>
          </cell>
          <cell r="AJ566" t="str">
            <v>Surgery</v>
          </cell>
          <cell r="AK566" t="str">
            <v>Primary</v>
          </cell>
          <cell r="AN566" t="str">
            <v>III</v>
          </cell>
          <cell r="AO566">
            <v>1</v>
          </cell>
          <cell r="AP566" t="str">
            <v>pT3</v>
          </cell>
          <cell r="AS566" t="str">
            <v>Well differentiated squamous cell carcinoma</v>
          </cell>
          <cell r="AV566">
            <v>45097</v>
          </cell>
          <cell r="AW566">
            <v>0.64861111111111114</v>
          </cell>
          <cell r="AX566">
            <v>0.74236111111111114</v>
          </cell>
          <cell r="AY566">
            <v>9.375E-2</v>
          </cell>
          <cell r="AZ566">
            <v>9.6527777777777782E-2</v>
          </cell>
          <cell r="BA566">
            <v>0.15902777777777777</v>
          </cell>
          <cell r="BB566" t="str">
            <v>0.6/1.2*1.0/1.6*1.8</v>
          </cell>
          <cell r="BC566" t="str">
            <v>0.6/1.2*1.0/1.6*1.8</v>
          </cell>
          <cell r="BD566" t="str">
            <v>Vibratome</v>
          </cell>
          <cell r="BE566">
            <v>14</v>
          </cell>
          <cell r="BF566" t="str">
            <v>chandan</v>
          </cell>
          <cell r="BG566" t="str">
            <v>Y</v>
          </cell>
        </row>
        <row r="567">
          <cell r="A567" t="str">
            <v>FBR1Z230170</v>
          </cell>
          <cell r="B567">
            <v>230170</v>
          </cell>
          <cell r="C567" t="str">
            <v>R&amp;D</v>
          </cell>
          <cell r="D567">
            <v>45098</v>
          </cell>
          <cell r="E567">
            <v>0.49652777777777779</v>
          </cell>
          <cell r="F567">
            <v>45078</v>
          </cell>
          <cell r="G567">
            <v>45098</v>
          </cell>
          <cell r="H567">
            <v>0.88402777777777775</v>
          </cell>
          <cell r="I567">
            <v>0.38750000000000001</v>
          </cell>
          <cell r="J567">
            <v>10</v>
          </cell>
          <cell r="K567" t="str">
            <v>FCB-PROTOCOL-01</v>
          </cell>
          <cell r="L567" t="str">
            <v>CLN/DBR/147</v>
          </cell>
          <cell r="M567" t="str">
            <v>Y</v>
          </cell>
          <cell r="N567" t="str">
            <v>CT+LD Nivo -NLD study (1Z)</v>
          </cell>
          <cell r="O567" t="str">
            <v>Internal R&amp;D</v>
          </cell>
          <cell r="P567" t="str">
            <v>Q1 Passed</v>
          </cell>
          <cell r="Q567" t="str">
            <v>Q1 Passed</v>
          </cell>
          <cell r="R567" t="str">
            <v>Q1.5 Passed</v>
          </cell>
          <cell r="S567" t="str">
            <v>Q1.5 Rejected</v>
          </cell>
          <cell r="V567" t="str">
            <v>High tumor content in most fragments, &gt; 60%</v>
          </cell>
          <cell r="W567" t="str">
            <v>Clinic'les</v>
          </cell>
          <cell r="X567" t="str">
            <v>Clinic'les- DBR &amp; SK Hospital, Tirupati</v>
          </cell>
          <cell r="Y567" t="str">
            <v>DBR &amp; SK Hospital, Tirupati</v>
          </cell>
          <cell r="Z567" t="str">
            <v>Dr C Jayaprakash, Tirupati</v>
          </cell>
          <cell r="AA567" t="str">
            <v>HNSCC</v>
          </cell>
          <cell r="AC567" t="str">
            <v>Buccal Mucosa</v>
          </cell>
          <cell r="AD567" t="str">
            <v>Right buccal mucosa</v>
          </cell>
          <cell r="AE567" t="str">
            <v>Male</v>
          </cell>
          <cell r="AF567">
            <v>32</v>
          </cell>
          <cell r="AG567" t="str">
            <v>N</v>
          </cell>
          <cell r="AH567">
            <v>5.3</v>
          </cell>
          <cell r="AI567" t="str">
            <v>Shashi</v>
          </cell>
          <cell r="AJ567" t="str">
            <v>Surgery</v>
          </cell>
          <cell r="AK567" t="str">
            <v>Primary</v>
          </cell>
          <cell r="AN567" t="str">
            <v>IVa</v>
          </cell>
          <cell r="AP567" t="str">
            <v>pT4aN0Mx</v>
          </cell>
          <cell r="AV567">
            <v>45098</v>
          </cell>
          <cell r="AW567">
            <v>0.71875</v>
          </cell>
          <cell r="AX567">
            <v>0.75972222222222219</v>
          </cell>
          <cell r="AY567">
            <v>4.0972222222222222E-2</v>
          </cell>
          <cell r="AZ56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67">
            <v>0.26319444444444445</v>
          </cell>
          <cell r="BB567" t="str">
            <v>0.8/1.0*1.4*2.4</v>
          </cell>
          <cell r="BC567" t="str">
            <v>0.8/1.0*1.4*2.4</v>
          </cell>
          <cell r="BD567" t="str">
            <v>Vibratome</v>
          </cell>
          <cell r="BE567">
            <v>14</v>
          </cell>
          <cell r="BF567" t="str">
            <v>syam</v>
          </cell>
          <cell r="BG567" t="str">
            <v>Y</v>
          </cell>
        </row>
        <row r="568">
          <cell r="A568" t="str">
            <v>FBR1R230170</v>
          </cell>
          <cell r="B568">
            <v>230170</v>
          </cell>
          <cell r="C568" t="str">
            <v>R&amp;D</v>
          </cell>
          <cell r="D568">
            <v>45098</v>
          </cell>
          <cell r="E568">
            <v>0.49652777777777779</v>
          </cell>
          <cell r="F568">
            <v>45078</v>
          </cell>
          <cell r="G568">
            <v>45098</v>
          </cell>
          <cell r="H568">
            <v>0.88402777777777775</v>
          </cell>
          <cell r="I568">
            <v>0.38750000000000001</v>
          </cell>
          <cell r="J568">
            <v>10</v>
          </cell>
          <cell r="K568" t="str">
            <v>FCB-PROTOCOL-01</v>
          </cell>
          <cell r="L568" t="str">
            <v>CLN/DBR/147</v>
          </cell>
          <cell r="M568" t="str">
            <v>Y</v>
          </cell>
          <cell r="N568" t="str">
            <v>BSS(1R)</v>
          </cell>
          <cell r="O568" t="str">
            <v>Internal R&amp;D</v>
          </cell>
          <cell r="P568" t="str">
            <v>Q1 Passed</v>
          </cell>
          <cell r="Q568" t="str">
            <v>Q1 Passed</v>
          </cell>
          <cell r="R568" t="str">
            <v>Q1.5 Passed</v>
          </cell>
          <cell r="S568" t="str">
            <v>Q1.5 Passed</v>
          </cell>
          <cell r="V568" t="str">
            <v>High tumor content in most fragments, &gt; 60%</v>
          </cell>
          <cell r="W568" t="str">
            <v>Clinic'les</v>
          </cell>
          <cell r="X568" t="str">
            <v>Clinic'les- DBR &amp; SK Hospital, Tirupati</v>
          </cell>
          <cell r="Y568" t="str">
            <v>DBR &amp; SK Hospital, Tirupati</v>
          </cell>
          <cell r="Z568" t="str">
            <v>Dr C Jayaprakash, Tirupati</v>
          </cell>
          <cell r="AA568" t="str">
            <v>HNSCC</v>
          </cell>
          <cell r="AC568" t="str">
            <v>Buccal Mucosa</v>
          </cell>
          <cell r="AD568" t="str">
            <v>Right buccal mucosa</v>
          </cell>
          <cell r="AE568" t="str">
            <v>Male</v>
          </cell>
          <cell r="AF568">
            <v>32</v>
          </cell>
          <cell r="AG568" t="str">
            <v>N</v>
          </cell>
          <cell r="AH568">
            <v>5.3</v>
          </cell>
          <cell r="AI568" t="str">
            <v>Shashi</v>
          </cell>
          <cell r="AJ568" t="str">
            <v>Surgery</v>
          </cell>
          <cell r="AK568" t="str">
            <v>Primary</v>
          </cell>
          <cell r="AN568" t="str">
            <v>IVa</v>
          </cell>
          <cell r="AP568" t="str">
            <v>pT4aN0Mx</v>
          </cell>
          <cell r="AV568">
            <v>45098</v>
          </cell>
          <cell r="AW568">
            <v>0.71875</v>
          </cell>
          <cell r="AX568">
            <v>0.75972222222222219</v>
          </cell>
          <cell r="AY568">
            <v>4.0972222222222222E-2</v>
          </cell>
          <cell r="AZ56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68">
            <v>0.26319444444444445</v>
          </cell>
          <cell r="BB568" t="str">
            <v>0.8/1.0*1.4*2.4</v>
          </cell>
          <cell r="BC568" t="str">
            <v>0.8/1.0*1.4*2.4</v>
          </cell>
          <cell r="BD568" t="str">
            <v>Vibratome</v>
          </cell>
          <cell r="BE568">
            <v>14</v>
          </cell>
          <cell r="BF568" t="str">
            <v>syam</v>
          </cell>
          <cell r="BG568" t="str">
            <v>Y</v>
          </cell>
        </row>
        <row r="569">
          <cell r="A569" t="str">
            <v>FBR1M230171</v>
          </cell>
          <cell r="B569">
            <v>230171</v>
          </cell>
          <cell r="C569" t="str">
            <v>R&amp;D</v>
          </cell>
          <cell r="D569">
            <v>45100</v>
          </cell>
          <cell r="E569">
            <v>0.52777777777777779</v>
          </cell>
          <cell r="F569">
            <v>45078</v>
          </cell>
          <cell r="G569">
            <v>45100</v>
          </cell>
          <cell r="H569">
            <v>0.59166666666666667</v>
          </cell>
          <cell r="I569">
            <v>6.3888888888888884E-2</v>
          </cell>
          <cell r="J569">
            <v>0</v>
          </cell>
          <cell r="K569" t="str">
            <v>FCB-PROTOCOL-02</v>
          </cell>
          <cell r="L569" t="str">
            <v>RC029</v>
          </cell>
          <cell r="M569" t="str">
            <v>Y</v>
          </cell>
          <cell r="N569" t="str">
            <v>DMS_RCC(1M)</v>
          </cell>
          <cell r="O569" t="str">
            <v>Internal R&amp;D</v>
          </cell>
          <cell r="P569" t="str">
            <v>Q1 Passed</v>
          </cell>
          <cell r="Q569" t="str">
            <v>Q1 Passed</v>
          </cell>
          <cell r="R569" t="str">
            <v>Q1.5 Passed</v>
          </cell>
          <cell r="S569" t="str">
            <v>Q1.5 Passed</v>
          </cell>
          <cell r="V569" t="str">
            <v>Tumor content 45-90%</v>
          </cell>
          <cell r="W569" t="str">
            <v>Private Hospital</v>
          </cell>
          <cell r="X569" t="str">
            <v>Mazumdar Shaw Medical Centre, Bangalore</v>
          </cell>
          <cell r="Y569" t="str">
            <v>Mazumdar Shaw Medical Centre, Bangalore</v>
          </cell>
          <cell r="Z569" t="str">
            <v>Dr Saurabh Bhargav, Bangalore</v>
          </cell>
          <cell r="AA569" t="str">
            <v>RCC</v>
          </cell>
          <cell r="AC569" t="str">
            <v>Renal</v>
          </cell>
          <cell r="AD569" t="str">
            <v>Right renal Mass</v>
          </cell>
          <cell r="AE569" t="str">
            <v>Male</v>
          </cell>
          <cell r="AF569">
            <v>61</v>
          </cell>
          <cell r="AG569" t="str">
            <v>N</v>
          </cell>
          <cell r="AH569">
            <v>4.9000000000000004</v>
          </cell>
          <cell r="AI569" t="str">
            <v>Shashi</v>
          </cell>
          <cell r="AJ569" t="str">
            <v>Surgery</v>
          </cell>
          <cell r="AK569" t="str">
            <v>Primary</v>
          </cell>
          <cell r="AN569" t="str">
            <v>I</v>
          </cell>
          <cell r="AO569">
            <v>2</v>
          </cell>
          <cell r="AP569" t="str">
            <v>pT1b</v>
          </cell>
          <cell r="AS569" t="str">
            <v>Clear cell renal cell carcinoma</v>
          </cell>
          <cell r="AV569">
            <v>45100</v>
          </cell>
          <cell r="AW569">
            <v>0.625</v>
          </cell>
          <cell r="AX569">
            <v>0.72916666666666663</v>
          </cell>
          <cell r="AY569">
            <v>0.10416666666666667</v>
          </cell>
          <cell r="AZ569">
            <v>0.13750000000000001</v>
          </cell>
          <cell r="BA569">
            <v>0.2013888888888889</v>
          </cell>
          <cell r="BB569" t="str">
            <v>0.6*1.2/1.8/0.6*2.6</v>
          </cell>
          <cell r="BC569" t="str">
            <v>0.6*1.2/1.8/0.6*2.6</v>
          </cell>
          <cell r="BD569" t="str">
            <v>Vibratome</v>
          </cell>
          <cell r="BE569">
            <v>14</v>
          </cell>
          <cell r="BF569" t="str">
            <v>Moumita</v>
          </cell>
          <cell r="BG569" t="str">
            <v>Y</v>
          </cell>
        </row>
        <row r="570">
          <cell r="A570" t="str">
            <v>FBR1R230172</v>
          </cell>
          <cell r="B570">
            <v>230172</v>
          </cell>
          <cell r="C570" t="str">
            <v>R&amp;D</v>
          </cell>
          <cell r="D570">
            <v>45100</v>
          </cell>
          <cell r="E570">
            <v>0.46875</v>
          </cell>
          <cell r="F570">
            <v>45078</v>
          </cell>
          <cell r="G570">
            <v>45100</v>
          </cell>
          <cell r="H570">
            <v>0.66180555555555554</v>
          </cell>
          <cell r="I570">
            <v>0.19305555555555556</v>
          </cell>
          <cell r="J570">
            <v>2</v>
          </cell>
          <cell r="K570" t="str">
            <v>FCB-PROTOCOL-02</v>
          </cell>
          <cell r="L570" t="str">
            <v>CLN/JSS/026</v>
          </cell>
          <cell r="M570" t="str">
            <v>Y</v>
          </cell>
          <cell r="N570" t="str">
            <v>BSS(1R)</v>
          </cell>
          <cell r="O570" t="str">
            <v>Internal R&amp;D</v>
          </cell>
          <cell r="P570" t="str">
            <v>Q1 Passed</v>
          </cell>
          <cell r="Q570" t="str">
            <v>Q1 Passed</v>
          </cell>
          <cell r="R570" t="str">
            <v>Q1.5 Passed</v>
          </cell>
          <cell r="S570" t="str">
            <v>Q1.5 Passed</v>
          </cell>
          <cell r="V570" t="str">
            <v>Tumor content 0-85%</v>
          </cell>
          <cell r="W570" t="str">
            <v>Clinic'les</v>
          </cell>
          <cell r="X570" t="str">
            <v>Clinic'les- Dr Ravi Krishnappa, Mysore</v>
          </cell>
          <cell r="Y570" t="str">
            <v>JSS Hospital, Mysore</v>
          </cell>
          <cell r="Z570" t="str">
            <v>Dr Ravi Krishnappa, Mysore</v>
          </cell>
          <cell r="AA570" t="str">
            <v>HNSCC</v>
          </cell>
          <cell r="AC570" t="str">
            <v>Tongue</v>
          </cell>
          <cell r="AD570" t="str">
            <v>Tongue</v>
          </cell>
          <cell r="AE570" t="str">
            <v>Female</v>
          </cell>
          <cell r="AF570">
            <v>28</v>
          </cell>
          <cell r="AG570" t="str">
            <v>N</v>
          </cell>
          <cell r="AH570">
            <v>4.2</v>
          </cell>
          <cell r="AI570" t="str">
            <v>Kalappa</v>
          </cell>
          <cell r="AJ570" t="str">
            <v>Surgery</v>
          </cell>
          <cell r="AK570" t="str">
            <v>Primary</v>
          </cell>
          <cell r="AV570">
            <v>45100</v>
          </cell>
          <cell r="AW570">
            <v>0.71875</v>
          </cell>
          <cell r="AX570">
            <v>0.75972222222222219</v>
          </cell>
          <cell r="AY570">
            <v>4.0972222222222222E-2</v>
          </cell>
          <cell r="AZ570">
            <v>9.7916666666666666E-2</v>
          </cell>
          <cell r="BA570">
            <v>0.29097222222222224</v>
          </cell>
          <cell r="BB570" t="str">
            <v>0.6*0.8*1.0</v>
          </cell>
          <cell r="BC570" t="str">
            <v>0.6*0.8*1.0</v>
          </cell>
          <cell r="BD570" t="str">
            <v>Manual</v>
          </cell>
          <cell r="BE570">
            <v>14</v>
          </cell>
          <cell r="BF570" t="str">
            <v>Kokila</v>
          </cell>
          <cell r="BG570" t="str">
            <v>Y</v>
          </cell>
        </row>
        <row r="571">
          <cell r="A571" t="str">
            <v>FBR1Q230173</v>
          </cell>
          <cell r="B571">
            <v>230173</v>
          </cell>
          <cell r="C571" t="str">
            <v>R&amp;D</v>
          </cell>
          <cell r="D571">
            <v>45104</v>
          </cell>
          <cell r="E571">
            <v>0.5</v>
          </cell>
          <cell r="F571">
            <v>45078</v>
          </cell>
          <cell r="G571">
            <v>45104</v>
          </cell>
          <cell r="H571">
            <v>0.58333333333333337</v>
          </cell>
          <cell r="I571">
            <v>8.3333333333333329E-2</v>
          </cell>
          <cell r="J571">
            <v>5</v>
          </cell>
          <cell r="K571" t="str">
            <v>FCB-PROTOCOL-02</v>
          </cell>
          <cell r="L571" t="str">
            <v>VYD/174</v>
          </cell>
          <cell r="M571" t="str">
            <v>Y</v>
          </cell>
          <cell r="N571" t="str">
            <v>COSv4.2_CaBR(1Q-Unknown)</v>
          </cell>
          <cell r="O571" t="str">
            <v>Internal R&amp;D</v>
          </cell>
          <cell r="P571" t="str">
            <v>Q1 Passed</v>
          </cell>
          <cell r="Q571" t="str">
            <v>Q1 Passed</v>
          </cell>
          <cell r="R571" t="str">
            <v>Q1.5 Passed</v>
          </cell>
          <cell r="S571" t="str">
            <v>Q1.5 Passed</v>
          </cell>
          <cell r="V571" t="str">
            <v>Tumor in 3/12 explants. Tumor content 3-20%   Others no tumor</v>
          </cell>
          <cell r="W571" t="str">
            <v>Private Hospital</v>
          </cell>
          <cell r="X571" t="str">
            <v>Vydehi Hospital, Bangalore</v>
          </cell>
          <cell r="Y571" t="str">
            <v>Vydehi Hospital, Bangalore</v>
          </cell>
          <cell r="Z571" t="str">
            <v>Dr Amritha Prabha, Bangalore</v>
          </cell>
          <cell r="AA571" t="str">
            <v>Ca Breast</v>
          </cell>
          <cell r="AB571" t="str">
            <v>TNBC</v>
          </cell>
          <cell r="AC571" t="str">
            <v>Breast</v>
          </cell>
          <cell r="AD571" t="str">
            <v>Right Breast</v>
          </cell>
          <cell r="AE571" t="str">
            <v>Female</v>
          </cell>
          <cell r="AF571">
            <v>42</v>
          </cell>
          <cell r="AG571" t="str">
            <v>N</v>
          </cell>
          <cell r="AH571">
            <v>5.6</v>
          </cell>
          <cell r="AI571" t="str">
            <v>Maruthi</v>
          </cell>
          <cell r="AJ571" t="str">
            <v>Surgery</v>
          </cell>
          <cell r="AK571" t="str">
            <v>Primary</v>
          </cell>
          <cell r="AN571" t="str">
            <v>II</v>
          </cell>
          <cell r="AO571">
            <v>2</v>
          </cell>
          <cell r="AP571" t="str">
            <v>pT2N0</v>
          </cell>
          <cell r="AS571" t="str">
            <v>invasive carcinoma with medullary features</v>
          </cell>
          <cell r="AV571">
            <v>45104</v>
          </cell>
          <cell r="AW571">
            <v>0.6430555555555556</v>
          </cell>
          <cell r="AX571">
            <v>0.77430555555555558</v>
          </cell>
          <cell r="AY571">
            <v>0.13125000000000001</v>
          </cell>
          <cell r="AZ571">
            <v>0.19097222222222221</v>
          </cell>
          <cell r="BA571">
            <v>0.27430555555555558</v>
          </cell>
          <cell r="BB571" t="str">
            <v>0.6*1.0*1.2
0.7*0.9*1.4
0.8*1.2*1.2
0.3*0.6*0.8</v>
          </cell>
          <cell r="BC571" t="str">
            <v>0.6*1.0*1.2
0.7*0.9*1.4
0.8*1.2*1.2
0.3*0.6*0.8</v>
          </cell>
          <cell r="BD571" t="str">
            <v>Manual</v>
          </cell>
          <cell r="BE571">
            <v>14</v>
          </cell>
          <cell r="BF571" t="str">
            <v>Kokila</v>
          </cell>
          <cell r="BG571" t="str">
            <v>Y</v>
          </cell>
        </row>
        <row r="572">
          <cell r="A572" t="str">
            <v>FBR2B230174</v>
          </cell>
          <cell r="B572">
            <v>230174</v>
          </cell>
          <cell r="C572" t="str">
            <v>R&amp;D</v>
          </cell>
          <cell r="D572">
            <v>45105</v>
          </cell>
          <cell r="E572">
            <v>0.33680555555555558</v>
          </cell>
          <cell r="F572">
            <v>45078</v>
          </cell>
          <cell r="G572">
            <v>45105</v>
          </cell>
          <cell r="H572">
            <v>0.47847222222222224</v>
          </cell>
          <cell r="I572">
            <v>0.14166666666666666</v>
          </cell>
          <cell r="J572">
            <v>0</v>
          </cell>
          <cell r="K572" t="str">
            <v>FCB-PROTOCOL-02</v>
          </cell>
          <cell r="L572" t="str">
            <v>OC013</v>
          </cell>
          <cell r="M572" t="str">
            <v>Y</v>
          </cell>
          <cell r="N572" t="str">
            <v>ovary Biopsy (R2B)</v>
          </cell>
          <cell r="O572" t="str">
            <v>Internal R&amp;D</v>
          </cell>
          <cell r="P572" t="str">
            <v>Q1 Passed</v>
          </cell>
          <cell r="Q572" t="str">
            <v>Q1 Passed</v>
          </cell>
          <cell r="R572" t="str">
            <v>Q1.5 Passed</v>
          </cell>
          <cell r="S572" t="str">
            <v>Q1.5 Passed</v>
          </cell>
          <cell r="V572" t="str">
            <v>Tumor content 0-35%.  Mets from ?</v>
          </cell>
          <cell r="W572" t="str">
            <v>Private Hospital</v>
          </cell>
          <cell r="X572" t="str">
            <v>Mazumdar Shaw Medical Centre, Bangalore</v>
          </cell>
          <cell r="Y572" t="str">
            <v>Mazumdar Shaw Medical Centre, Bangalore</v>
          </cell>
          <cell r="Z572" t="str">
            <v>Dr Rohit Ranade, Bangalore</v>
          </cell>
          <cell r="AA572" t="str">
            <v>Ca Ovary</v>
          </cell>
          <cell r="AC572" t="str">
            <v>Peritoneal</v>
          </cell>
          <cell r="AD572" t="str">
            <v>Peritineal</v>
          </cell>
          <cell r="AE572" t="str">
            <v>Female</v>
          </cell>
          <cell r="AF572">
            <v>60</v>
          </cell>
          <cell r="AG572" t="str">
            <v>N</v>
          </cell>
          <cell r="AH572">
            <v>4.9000000000000004</v>
          </cell>
          <cell r="AI572" t="str">
            <v>Shashi</v>
          </cell>
          <cell r="AJ572" t="str">
            <v>Biopsy</v>
          </cell>
          <cell r="AK572" t="str">
            <v>Primary</v>
          </cell>
          <cell r="AO572" t="str">
            <v>High grade serious carcinoma</v>
          </cell>
          <cell r="AS572" t="str">
            <v>Fibrocollagenous tissue infiltrated by a poorly differentiated adenocarcinoma</v>
          </cell>
          <cell r="AV572">
            <v>45105</v>
          </cell>
          <cell r="AW572">
            <v>0.49305555555555558</v>
          </cell>
          <cell r="AX572">
            <v>0.54861111111111116</v>
          </cell>
          <cell r="AY572">
            <v>5.5555555555555552E-2</v>
          </cell>
          <cell r="AZ572">
            <v>7.013888888888889E-2</v>
          </cell>
          <cell r="BA572">
            <v>0.21180555555555555</v>
          </cell>
          <cell r="BB572" t="str">
            <v>0.1*0.2*0.4
0.1*0.2*0.4
0.1*0.2*0.6</v>
          </cell>
          <cell r="BC572" t="str">
            <v>0.1*0.2*0.4
0.1*0.2*0.4
0.1*0.2*0.6</v>
          </cell>
          <cell r="BD572" t="str">
            <v>Manual</v>
          </cell>
          <cell r="BE572">
            <v>14</v>
          </cell>
          <cell r="BF572" t="str">
            <v>Syam</v>
          </cell>
          <cell r="BG572" t="str">
            <v>Y</v>
          </cell>
        </row>
        <row r="573">
          <cell r="A573" t="str">
            <v>FBR1M230175</v>
          </cell>
          <cell r="B573">
            <v>230175</v>
          </cell>
          <cell r="C573" t="str">
            <v>R&amp;D</v>
          </cell>
          <cell r="D573">
            <v>45105</v>
          </cell>
          <cell r="E573">
            <v>0.65486111111111112</v>
          </cell>
          <cell r="F573">
            <v>45078</v>
          </cell>
          <cell r="G573">
            <v>45105</v>
          </cell>
          <cell r="H573">
            <v>0.72569444444444442</v>
          </cell>
          <cell r="I573">
            <v>7.0833333333333331E-2</v>
          </cell>
          <cell r="J573">
            <v>32</v>
          </cell>
          <cell r="K573" t="str">
            <v>FCB-PROTOCOL-02</v>
          </cell>
          <cell r="L573" t="str">
            <v>RC030</v>
          </cell>
          <cell r="M573" t="str">
            <v>Y</v>
          </cell>
          <cell r="N573" t="str">
            <v>DMS_RCC(1M)</v>
          </cell>
          <cell r="O573" t="str">
            <v>Internal R&amp;D</v>
          </cell>
          <cell r="P573" t="str">
            <v>Q1 Passed</v>
          </cell>
          <cell r="Q573" t="str">
            <v>Q1 Passed</v>
          </cell>
          <cell r="R573" t="str">
            <v>Compromised</v>
          </cell>
          <cell r="S573" t="str">
            <v>Q1.5 Passed</v>
          </cell>
          <cell r="V573" t="str">
            <v>Tumor content 0-95%. 2 fragments without tumor</v>
          </cell>
          <cell r="W573" t="str">
            <v>Private Hospital</v>
          </cell>
          <cell r="X573" t="str">
            <v>Mazumdar Shaw Medical Centre, Bangalore</v>
          </cell>
          <cell r="Y573" t="str">
            <v>Mazumdar Shaw Medical Centre, Bangalore</v>
          </cell>
          <cell r="Z573" t="str">
            <v>Dr Saurabh Bhargav, Bangalore</v>
          </cell>
          <cell r="AA573" t="str">
            <v>RCC</v>
          </cell>
          <cell r="AC573" t="str">
            <v>Renal</v>
          </cell>
          <cell r="AD573" t="str">
            <v>Right renal Mass</v>
          </cell>
          <cell r="AE573" t="str">
            <v>Male</v>
          </cell>
          <cell r="AF573">
            <v>69</v>
          </cell>
          <cell r="AG573" t="str">
            <v>N</v>
          </cell>
          <cell r="AH573">
            <v>5.6</v>
          </cell>
          <cell r="AI573" t="str">
            <v>Maruthi</v>
          </cell>
          <cell r="AJ573" t="str">
            <v>Surgery</v>
          </cell>
          <cell r="AK573" t="str">
            <v>Primary</v>
          </cell>
          <cell r="AN573" t="str">
            <v>I</v>
          </cell>
          <cell r="AO573">
            <v>2</v>
          </cell>
          <cell r="AP573" t="str">
            <v>pT1a</v>
          </cell>
          <cell r="AS573" t="str">
            <v>Clear cell renal cell carcinoma</v>
          </cell>
          <cell r="AV573">
            <v>45105</v>
          </cell>
          <cell r="AW573">
            <v>0.73472222222222228</v>
          </cell>
          <cell r="AX573">
            <v>0.8125</v>
          </cell>
          <cell r="AY573">
            <v>7.7777777777777779E-2</v>
          </cell>
          <cell r="AZ573">
            <v>8.6805555555555552E-2</v>
          </cell>
          <cell r="BA573">
            <v>0.15763888888888888</v>
          </cell>
          <cell r="BB573" t="str">
            <v>0.5*0.9*1.3</v>
          </cell>
          <cell r="BC573" t="str">
            <v>0.5*0.9*1.3</v>
          </cell>
          <cell r="BD573" t="str">
            <v>Manual</v>
          </cell>
          <cell r="BE573">
            <v>14</v>
          </cell>
          <cell r="BF573" t="str">
            <v xml:space="preserve">sai </v>
          </cell>
          <cell r="BG573" t="str">
            <v>N</v>
          </cell>
        </row>
        <row r="574">
          <cell r="A574" t="str">
            <v>FBR1W230176</v>
          </cell>
          <cell r="B574">
            <v>230176</v>
          </cell>
          <cell r="C574" t="str">
            <v>R&amp;D</v>
          </cell>
          <cell r="D574">
            <v>45106</v>
          </cell>
          <cell r="E574">
            <v>0.4152777777777778</v>
          </cell>
          <cell r="F574">
            <v>45078</v>
          </cell>
          <cell r="G574">
            <v>45106</v>
          </cell>
          <cell r="H574">
            <v>0.52222222222222225</v>
          </cell>
          <cell r="I574">
            <v>0.10694444444444444</v>
          </cell>
          <cell r="J574">
            <v>0</v>
          </cell>
          <cell r="K574" t="str">
            <v>FCB-PROTOCOL-02</v>
          </cell>
          <cell r="L574" t="str">
            <v>VYD/175</v>
          </cell>
          <cell r="M574" t="str">
            <v>Y</v>
          </cell>
          <cell r="N574" t="str">
            <v>Biopsy Cabr-BSS (1W)</v>
          </cell>
          <cell r="O574" t="str">
            <v>Internal R&amp;D</v>
          </cell>
          <cell r="P574" t="str">
            <v>Q1 Passed</v>
          </cell>
          <cell r="Q574" t="str">
            <v>Q1 Passed</v>
          </cell>
          <cell r="R574" t="str">
            <v>Q1.5 Passed</v>
          </cell>
          <cell r="S574" t="str">
            <v>Q1.5 Passed</v>
          </cell>
          <cell r="V574" t="str">
            <v>Suspicious cell clusters (3%) seen in 3 explants, no frank malignancy</v>
          </cell>
          <cell r="W574" t="str">
            <v>Private Hospital</v>
          </cell>
          <cell r="X574" t="str">
            <v>Vydehi Hospital, Bangalore</v>
          </cell>
          <cell r="Y574" t="str">
            <v>Vydehi Hospital, Bangalore</v>
          </cell>
          <cell r="Z574" t="str">
            <v>Dr Amritha Prabha, Bangalore</v>
          </cell>
          <cell r="AA574" t="str">
            <v>Ca Breast</v>
          </cell>
          <cell r="AB574" t="str">
            <v>Er (P)
Pr (P)
Her2 (P)</v>
          </cell>
          <cell r="AC574" t="str">
            <v>Breast</v>
          </cell>
          <cell r="AD574" t="str">
            <v>Right Breast</v>
          </cell>
          <cell r="AE574" t="str">
            <v>Female</v>
          </cell>
          <cell r="AF574">
            <v>53</v>
          </cell>
          <cell r="AG574" t="str">
            <v>N</v>
          </cell>
          <cell r="AH574">
            <v>4.2</v>
          </cell>
          <cell r="AI574" t="str">
            <v>Kalappa</v>
          </cell>
          <cell r="AJ574" t="str">
            <v>Biopsy</v>
          </cell>
          <cell r="AK574" t="str">
            <v>Primary</v>
          </cell>
          <cell r="AM574" t="str">
            <v>T4bN1M1</v>
          </cell>
          <cell r="AO574">
            <v>3</v>
          </cell>
          <cell r="AT574" t="str">
            <v>Chemotherapy</v>
          </cell>
          <cell r="AU574" t="str">
            <v>6X Paclitaxel, Trastuzumab, Hormona Therapy</v>
          </cell>
          <cell r="AV574">
            <v>45106</v>
          </cell>
          <cell r="AW574">
            <v>0.53472222222222221</v>
          </cell>
          <cell r="AX574">
            <v>0.60069444444444442</v>
          </cell>
          <cell r="AY574">
            <v>6.5972222222222224E-2</v>
          </cell>
          <cell r="AZ574">
            <v>7.8472222222222221E-2</v>
          </cell>
          <cell r="BA574">
            <v>0.18541666666666667</v>
          </cell>
          <cell r="BB574" t="str">
            <v>0.2-1.3</v>
          </cell>
          <cell r="BC574" t="str">
            <v>0.2-1.3</v>
          </cell>
          <cell r="BD574" t="str">
            <v>Manual</v>
          </cell>
          <cell r="BE574">
            <v>14</v>
          </cell>
          <cell r="BF574" t="str">
            <v>Mouniss</v>
          </cell>
          <cell r="BG574" t="str">
            <v>Y</v>
          </cell>
        </row>
        <row r="575">
          <cell r="A575" t="str">
            <v>FBR1M230177</v>
          </cell>
          <cell r="B575">
            <v>230177</v>
          </cell>
          <cell r="C575" t="str">
            <v>R&amp;D</v>
          </cell>
          <cell r="D575">
            <v>45106</v>
          </cell>
          <cell r="E575">
            <v>0.49305555555555558</v>
          </cell>
          <cell r="F575">
            <v>45078</v>
          </cell>
          <cell r="G575">
            <v>45106</v>
          </cell>
          <cell r="H575">
            <v>0.56736111111111109</v>
          </cell>
          <cell r="I575">
            <v>7.4305555555555555E-2</v>
          </cell>
          <cell r="J575">
            <v>10</v>
          </cell>
          <cell r="K575" t="str">
            <v>FCB-PROTOCOL-02</v>
          </cell>
          <cell r="L575" t="str">
            <v>RC031</v>
          </cell>
          <cell r="M575" t="str">
            <v>Y</v>
          </cell>
          <cell r="N575" t="str">
            <v>DMS_RCC(1M)</v>
          </cell>
          <cell r="O575" t="str">
            <v>Internal R&amp;D</v>
          </cell>
          <cell r="P575" t="str">
            <v>Q1 Passed</v>
          </cell>
          <cell r="Q575" t="str">
            <v>Q1 Passed</v>
          </cell>
          <cell r="R575" t="str">
            <v>Q1.5 Passed</v>
          </cell>
          <cell r="S575" t="str">
            <v>Q1.5 Rejected</v>
          </cell>
          <cell r="U575" t="str">
            <v>Y</v>
          </cell>
          <cell r="V575" t="str">
            <v>No tumor, tissue mostly  necrosed</v>
          </cell>
          <cell r="W575" t="str">
            <v>Private Hospital</v>
          </cell>
          <cell r="X575" t="str">
            <v>Mazumdar Shaw Medical Centre, Bangalore</v>
          </cell>
          <cell r="Y575" t="str">
            <v>Mazumdar Shaw Medical Centre, Bangalore</v>
          </cell>
          <cell r="Z575" t="str">
            <v>Dr Saurabh Bhargav, Bangalore</v>
          </cell>
          <cell r="AA575" t="str">
            <v>RCC</v>
          </cell>
          <cell r="AC575" t="str">
            <v>Renal</v>
          </cell>
          <cell r="AD575" t="str">
            <v>Right renal Mass</v>
          </cell>
          <cell r="AE575" t="str">
            <v>Male</v>
          </cell>
          <cell r="AF575">
            <v>50</v>
          </cell>
          <cell r="AG575" t="str">
            <v>N</v>
          </cell>
          <cell r="AH575">
            <v>4.8</v>
          </cell>
          <cell r="AI575" t="str">
            <v>Shashi</v>
          </cell>
          <cell r="AJ575" t="str">
            <v>Surgery</v>
          </cell>
          <cell r="AK575" t="str">
            <v>Primary</v>
          </cell>
          <cell r="AN575" t="str">
            <v>II</v>
          </cell>
          <cell r="AO575">
            <v>2</v>
          </cell>
          <cell r="AP575" t="str">
            <v>pT2a</v>
          </cell>
          <cell r="AS575" t="str">
            <v>Clear cell renal cell carcinoma</v>
          </cell>
          <cell r="AV575">
            <v>45106</v>
          </cell>
          <cell r="AW575">
            <v>0.59722222222222221</v>
          </cell>
          <cell r="AX575">
            <v>0.70833333333333337</v>
          </cell>
          <cell r="AY575">
            <v>0.1111111111111111</v>
          </cell>
          <cell r="AZ575">
            <v>0.14097222222222222</v>
          </cell>
          <cell r="BA575">
            <v>0.21527777777777779</v>
          </cell>
          <cell r="BB575" t="str">
            <v>0.8*1.2/0.8*2.5
0.6*1.0/0.6*2.5</v>
          </cell>
          <cell r="BC575" t="str">
            <v>0.6*1.0/0.4*2.5
0.2*0.8/0.6*2.5</v>
          </cell>
          <cell r="BD575" t="str">
            <v>Vibratome</v>
          </cell>
          <cell r="BE575">
            <v>14</v>
          </cell>
          <cell r="BF575" t="str">
            <v>kuberan</v>
          </cell>
          <cell r="BG575" t="str">
            <v>Y</v>
          </cell>
        </row>
        <row r="576">
          <cell r="A576" t="str">
            <v>FBR2D230178</v>
          </cell>
          <cell r="B576">
            <v>230178</v>
          </cell>
          <cell r="C576" t="str">
            <v>R&amp;D</v>
          </cell>
          <cell r="D576">
            <v>45107</v>
          </cell>
          <cell r="E576">
            <v>0.51249999999999996</v>
          </cell>
          <cell r="F576">
            <v>45078</v>
          </cell>
          <cell r="G576">
            <v>45107</v>
          </cell>
          <cell r="H576">
            <v>0.62638888888888888</v>
          </cell>
          <cell r="I576">
            <v>0.11388888888888889</v>
          </cell>
          <cell r="J576">
            <v>17</v>
          </cell>
          <cell r="K576" t="str">
            <v>FCB-PROTOCOL-02</v>
          </cell>
          <cell r="L576" t="str">
            <v>HN067</v>
          </cell>
          <cell r="M576" t="str">
            <v>Y</v>
          </cell>
          <cell r="N576" t="str">
            <v>BSS V2 (R2D)</v>
          </cell>
          <cell r="O576" t="str">
            <v>Internal R&amp;D</v>
          </cell>
          <cell r="P576" t="str">
            <v>Q1 Passed</v>
          </cell>
          <cell r="Q576" t="str">
            <v>Q1 Passed</v>
          </cell>
          <cell r="R576" t="str">
            <v>Compromised</v>
          </cell>
          <cell r="S576" t="str">
            <v>Q1.5 Passed</v>
          </cell>
          <cell r="V576" t="str">
            <v>Tumor content 12-95%</v>
          </cell>
          <cell r="W576" t="str">
            <v>Private Hospital</v>
          </cell>
          <cell r="X576" t="str">
            <v>Mazumdar Shaw Medical Centre, Bangalore</v>
          </cell>
          <cell r="Y576" t="str">
            <v>Mazumdar Shaw Medical Centre, Bangalore</v>
          </cell>
          <cell r="Z576" t="str">
            <v>Dr Vijay Pillai, Bangalore</v>
          </cell>
          <cell r="AA576" t="str">
            <v>HNSCC</v>
          </cell>
          <cell r="AC576" t="str">
            <v>Buccal Mucosa</v>
          </cell>
          <cell r="AD576" t="str">
            <v>Left buccal mucosa</v>
          </cell>
          <cell r="AE576" t="str">
            <v>Male</v>
          </cell>
          <cell r="AF576">
            <v>69</v>
          </cell>
          <cell r="AG576" t="str">
            <v>N</v>
          </cell>
          <cell r="AH576">
            <v>3.5</v>
          </cell>
          <cell r="AI576" t="str">
            <v>Maruthi</v>
          </cell>
          <cell r="AJ576" t="str">
            <v>Surgery</v>
          </cell>
          <cell r="AK576" t="str">
            <v>Primary</v>
          </cell>
          <cell r="AN576" t="str">
            <v>III</v>
          </cell>
          <cell r="AO576">
            <v>2</v>
          </cell>
          <cell r="AP576" t="str">
            <v>pT3</v>
          </cell>
          <cell r="AS576" t="str">
            <v>Moderately differentiated squamous cell carcinoma of the left buccal mucosa</v>
          </cell>
          <cell r="AV576">
            <v>45107</v>
          </cell>
          <cell r="AW576">
            <v>0.65069444444444446</v>
          </cell>
          <cell r="AX576">
            <v>0.70138888888888884</v>
          </cell>
          <cell r="AY576">
            <v>5.0694444444444445E-2</v>
          </cell>
          <cell r="AZ576">
            <v>7.4999999999999997E-2</v>
          </cell>
          <cell r="BA576">
            <v>0.18888888888888888</v>
          </cell>
          <cell r="BB576" t="str">
            <v>0.2*0.3*0.8</v>
          </cell>
          <cell r="BC576" t="str">
            <v>0.2*0.3*0.8</v>
          </cell>
          <cell r="BD576" t="str">
            <v>Manual</v>
          </cell>
          <cell r="BE576">
            <v>14</v>
          </cell>
          <cell r="BF576" t="str">
            <v>Syam</v>
          </cell>
          <cell r="BG576" t="str">
            <v>Y</v>
          </cell>
        </row>
        <row r="577">
          <cell r="A577" t="str">
            <v>FBR1Y230179</v>
          </cell>
          <cell r="B577">
            <v>230179</v>
          </cell>
          <cell r="C577" t="str">
            <v>R&amp;D</v>
          </cell>
          <cell r="D577">
            <v>45107</v>
          </cell>
          <cell r="E577">
            <v>0.63888888888888884</v>
          </cell>
          <cell r="F577">
            <v>45078</v>
          </cell>
          <cell r="G577">
            <v>45107</v>
          </cell>
          <cell r="H577">
            <v>0.71736111111111112</v>
          </cell>
          <cell r="I577">
            <v>7.8472222222222221E-2</v>
          </cell>
          <cell r="J577">
            <v>10</v>
          </cell>
          <cell r="K577" t="str">
            <v>FCB-PROTOCOL-02</v>
          </cell>
          <cell r="L577" t="str">
            <v>HN068</v>
          </cell>
          <cell r="M577" t="str">
            <v>Y</v>
          </cell>
          <cell r="N577" t="str">
            <v>CCS Study (1Y)</v>
          </cell>
          <cell r="O577" t="str">
            <v>Internal R&amp;D</v>
          </cell>
          <cell r="P577" t="str">
            <v>Q1 Passed</v>
          </cell>
          <cell r="Q577" t="str">
            <v>Q1 Passed</v>
          </cell>
          <cell r="R577" t="str">
            <v>Q1.5 Passed</v>
          </cell>
          <cell r="S577" t="str">
            <v>Q1.5 Rejected</v>
          </cell>
          <cell r="T577" t="str">
            <v>Plate Contaminated at T24</v>
          </cell>
          <cell r="V577" t="str">
            <v>Tumor content 8-45%</v>
          </cell>
          <cell r="W577" t="str">
            <v>Private Hospital</v>
          </cell>
          <cell r="X577" t="str">
            <v>Mazumdar Shaw Medical Centre, Bangalore</v>
          </cell>
          <cell r="Y577" t="str">
            <v>Mazumdar Shaw Medical Centre, Bangalore</v>
          </cell>
          <cell r="Z577" t="str">
            <v>Dr Vijay Pillai, Bangalore</v>
          </cell>
          <cell r="AA577" t="str">
            <v>HNSCC</v>
          </cell>
          <cell r="AC577" t="str">
            <v>Tongue</v>
          </cell>
          <cell r="AD577" t="str">
            <v>Left Lateral border of tongue</v>
          </cell>
          <cell r="AE577" t="str">
            <v>Male</v>
          </cell>
          <cell r="AF577">
            <v>33</v>
          </cell>
          <cell r="AG577" t="str">
            <v>N</v>
          </cell>
          <cell r="AH577">
            <v>3.5</v>
          </cell>
          <cell r="AI577" t="str">
            <v>Shashi</v>
          </cell>
          <cell r="AJ577" t="str">
            <v>Surgery</v>
          </cell>
          <cell r="AK577" t="str">
            <v>Primary</v>
          </cell>
          <cell r="AN577" t="str">
            <v>III</v>
          </cell>
          <cell r="AO577">
            <v>1</v>
          </cell>
          <cell r="AP577" t="str">
            <v>pT3 N0</v>
          </cell>
          <cell r="AS577" t="str">
            <v>Well differentiated squamous cell carcinoma</v>
          </cell>
          <cell r="AV577">
            <v>45107</v>
          </cell>
          <cell r="AW577">
            <v>0.72569444444444442</v>
          </cell>
          <cell r="AX577">
            <v>0.77083333333333337</v>
          </cell>
          <cell r="AY577">
            <v>4.5138888888888888E-2</v>
          </cell>
          <cell r="AZ577">
            <v>5.347222222222222E-2</v>
          </cell>
          <cell r="BA577">
            <v>0.13194444444444445</v>
          </cell>
          <cell r="BB577" t="str">
            <v>0.4*0.9*1.5</v>
          </cell>
          <cell r="BC577" t="str">
            <v>0.4*0.9*1.5</v>
          </cell>
          <cell r="BD577" t="str">
            <v>Manual</v>
          </cell>
          <cell r="BE577">
            <v>14</v>
          </cell>
          <cell r="BF577" t="str">
            <v>Dharani</v>
          </cell>
          <cell r="BG577" t="str">
            <v>N</v>
          </cell>
        </row>
        <row r="578">
          <cell r="A578" t="str">
            <v>FBR1Q230180</v>
          </cell>
          <cell r="B578">
            <v>230180</v>
          </cell>
          <cell r="C578" t="str">
            <v>R&amp;D</v>
          </cell>
          <cell r="D578">
            <v>45108</v>
          </cell>
          <cell r="E578">
            <v>0.54861111111111116</v>
          </cell>
          <cell r="F578">
            <v>45108</v>
          </cell>
          <cell r="G578">
            <v>45108</v>
          </cell>
          <cell r="H578">
            <v>0.60138888888888886</v>
          </cell>
          <cell r="I578">
            <v>5.2777777777777778E-2</v>
          </cell>
          <cell r="J578">
            <v>5</v>
          </cell>
          <cell r="K578" t="str">
            <v>FCB-PROTOCOL-02</v>
          </cell>
          <cell r="L578" t="str">
            <v>VYD/176</v>
          </cell>
          <cell r="M578" t="str">
            <v>Y</v>
          </cell>
          <cell r="N578" t="str">
            <v>COSv4.2_CaBR(1Q-Unknown)</v>
          </cell>
          <cell r="O578" t="str">
            <v>Internal R&amp;D</v>
          </cell>
          <cell r="P578" t="str">
            <v>Q1 Passed</v>
          </cell>
          <cell r="Q578" t="str">
            <v>Q1 Passed</v>
          </cell>
          <cell r="R578" t="str">
            <v>Q1.5 Passed</v>
          </cell>
          <cell r="S578" t="str">
            <v>Q1.5 Rejected</v>
          </cell>
          <cell r="V578" t="str">
            <v>No Tumor</v>
          </cell>
          <cell r="W578" t="str">
            <v>Private Hospital</v>
          </cell>
          <cell r="X578" t="str">
            <v>Vydehi Hospital, Bangalore</v>
          </cell>
          <cell r="Y578" t="str">
            <v>Vydehi Hospital, Bangalore</v>
          </cell>
          <cell r="Z578" t="str">
            <v>Dr Amritha Prabha, Bangalore</v>
          </cell>
          <cell r="AA578" t="str">
            <v>Ca Breast</v>
          </cell>
          <cell r="AC578" t="str">
            <v>Breast</v>
          </cell>
          <cell r="AD578" t="str">
            <v>Left Breast</v>
          </cell>
          <cell r="AE578" t="str">
            <v>Female</v>
          </cell>
          <cell r="AF578">
            <v>47</v>
          </cell>
          <cell r="AG578" t="str">
            <v>N</v>
          </cell>
          <cell r="AH578">
            <v>4.0999999999999996</v>
          </cell>
          <cell r="AI578" t="str">
            <v>Kalappa</v>
          </cell>
          <cell r="AJ578" t="str">
            <v>Surgery</v>
          </cell>
          <cell r="AK578" t="str">
            <v>Primary</v>
          </cell>
          <cell r="AV578">
            <v>45108</v>
          </cell>
          <cell r="AW578">
            <v>0.61875000000000002</v>
          </cell>
          <cell r="AX578">
            <v>0.67569444444444449</v>
          </cell>
          <cell r="AY578">
            <v>5.6944444444444443E-2</v>
          </cell>
          <cell r="AZ578">
            <v>7.4305555555555555E-2</v>
          </cell>
          <cell r="BA578">
            <v>0.12708333333333333</v>
          </cell>
          <cell r="BB578" t="str">
            <v>0.8*1.6*2.5</v>
          </cell>
          <cell r="BC578" t="str">
            <v>0.8*1.6*2.5</v>
          </cell>
          <cell r="BD578" t="str">
            <v>Manual</v>
          </cell>
          <cell r="BE578">
            <v>14</v>
          </cell>
          <cell r="BF578" t="str">
            <v>Dharani</v>
          </cell>
          <cell r="BG578" t="str">
            <v>Y</v>
          </cell>
        </row>
        <row r="579">
          <cell r="A579" t="str">
            <v>FBR1Y230181</v>
          </cell>
          <cell r="B579">
            <v>230181</v>
          </cell>
          <cell r="C579" t="str">
            <v>R&amp;D</v>
          </cell>
          <cell r="D579">
            <v>45110</v>
          </cell>
          <cell r="E579">
            <v>0.46875</v>
          </cell>
          <cell r="F579">
            <v>45108</v>
          </cell>
          <cell r="G579">
            <v>45110</v>
          </cell>
          <cell r="H579">
            <v>0.55069444444444449</v>
          </cell>
          <cell r="I579">
            <v>8.1944444444444445E-2</v>
          </cell>
          <cell r="J579">
            <v>5</v>
          </cell>
          <cell r="K579" t="str">
            <v>FCB-PROTOCOL-02</v>
          </cell>
          <cell r="L579" t="str">
            <v>HN069</v>
          </cell>
          <cell r="M579" t="str">
            <v>Y</v>
          </cell>
          <cell r="N579" t="str">
            <v>CCS Study (1Y)</v>
          </cell>
          <cell r="O579" t="str">
            <v>Internal R&amp;D</v>
          </cell>
          <cell r="P579" t="str">
            <v>Q1 Passed</v>
          </cell>
          <cell r="Q579" t="str">
            <v>Q1 Passed</v>
          </cell>
          <cell r="R579" t="str">
            <v>Compromised</v>
          </cell>
          <cell r="S579" t="str">
            <v>Q1.5 Passed</v>
          </cell>
          <cell r="V579" t="str">
            <v>Tumor content 70-98%</v>
          </cell>
          <cell r="W579" t="str">
            <v>Private Hospital</v>
          </cell>
          <cell r="X579" t="str">
            <v>Mazumdar Shaw Medical Centre, Bangalore</v>
          </cell>
          <cell r="Y579" t="str">
            <v>Mazumdar Shaw Medical Centre, Bangalore</v>
          </cell>
          <cell r="Z579" t="str">
            <v>Dr Vijay Pillai, Bangalore</v>
          </cell>
          <cell r="AA579" t="str">
            <v>HNSCC</v>
          </cell>
          <cell r="AC579" t="str">
            <v>Tongue</v>
          </cell>
          <cell r="AD579" t="str">
            <v>Right Lateral Border of Tongue</v>
          </cell>
          <cell r="AE579" t="str">
            <v>Male</v>
          </cell>
          <cell r="AF579">
            <v>54</v>
          </cell>
          <cell r="AG579" t="str">
            <v>N</v>
          </cell>
          <cell r="AH579">
            <v>5.2</v>
          </cell>
          <cell r="AI579" t="str">
            <v>Shashi</v>
          </cell>
          <cell r="AJ579" t="str">
            <v>Surgery</v>
          </cell>
          <cell r="AK579" t="str">
            <v>Primary</v>
          </cell>
          <cell r="AN579" t="str">
            <v>III</v>
          </cell>
          <cell r="AO579">
            <v>2</v>
          </cell>
          <cell r="AP579" t="str">
            <v>pT3</v>
          </cell>
          <cell r="AS579" t="str">
            <v>Moderately differentiated Squamous cell carcinoma, conventional (keratinizing)</v>
          </cell>
          <cell r="AV579">
            <v>45110</v>
          </cell>
          <cell r="AW579">
            <v>0.58333333333333337</v>
          </cell>
          <cell r="AX579">
            <v>0.64583333333333337</v>
          </cell>
          <cell r="AY579">
            <v>6.25E-2</v>
          </cell>
          <cell r="AZ579">
            <v>9.5138888888888884E-2</v>
          </cell>
          <cell r="BA579">
            <v>0.17708333333333334</v>
          </cell>
          <cell r="BB579" t="str">
            <v>0.2*0.3*0.4
0.4*0.6*0.7
0.5*0.5*0.5</v>
          </cell>
          <cell r="BC579" t="str">
            <v>0.2*0.3*0.4
0.4*0.6*0.7
0.5*0.5*0.5</v>
          </cell>
          <cell r="BD579" t="str">
            <v>Manual</v>
          </cell>
          <cell r="BE579">
            <v>14</v>
          </cell>
          <cell r="BF579" t="str">
            <v>Pallavi</v>
          </cell>
          <cell r="BG579" t="str">
            <v>N</v>
          </cell>
        </row>
        <row r="580">
          <cell r="A580" t="str">
            <v>FBR1Y230182</v>
          </cell>
          <cell r="B580">
            <v>230182</v>
          </cell>
          <cell r="C580" t="str">
            <v>R&amp;D</v>
          </cell>
          <cell r="D580">
            <v>45110</v>
          </cell>
          <cell r="E580">
            <v>0.55208333333333337</v>
          </cell>
          <cell r="F580">
            <v>45108</v>
          </cell>
          <cell r="G580">
            <v>45110</v>
          </cell>
          <cell r="H580">
            <v>0.64652777777777781</v>
          </cell>
          <cell r="I580">
            <v>9.4444444444444442E-2</v>
          </cell>
          <cell r="J580">
            <v>6</v>
          </cell>
          <cell r="K580" t="str">
            <v>FCB-PROTOCOL-02</v>
          </cell>
          <cell r="L580" t="str">
            <v>HN070</v>
          </cell>
          <cell r="M580" t="str">
            <v>Y</v>
          </cell>
          <cell r="N580" t="str">
            <v>CCS Study (1Y)</v>
          </cell>
          <cell r="O580" t="str">
            <v>Internal R&amp;D</v>
          </cell>
          <cell r="P580" t="str">
            <v>Q1 Passed</v>
          </cell>
          <cell r="Q580" t="str">
            <v>Q1 Passed</v>
          </cell>
          <cell r="R580" t="str">
            <v>Q1.5 Passed</v>
          </cell>
          <cell r="S580" t="str">
            <v>Q1.5 Passed</v>
          </cell>
          <cell r="V580" t="str">
            <v>Tumor content 12-50%</v>
          </cell>
          <cell r="W580" t="str">
            <v>Private Hospital</v>
          </cell>
          <cell r="X580" t="str">
            <v>Mazumdar Shaw Medical Centre, Bangalore</v>
          </cell>
          <cell r="Y580" t="str">
            <v>Mazumdar Shaw Medical Centre, Bangalore</v>
          </cell>
          <cell r="Z580" t="str">
            <v>Dr Vijay Pillai, Bangalore</v>
          </cell>
          <cell r="AA580" t="str">
            <v>HNSCC</v>
          </cell>
          <cell r="AC580" t="str">
            <v>Alveolus</v>
          </cell>
          <cell r="AD580" t="str">
            <v>Right Lower Alveolus</v>
          </cell>
          <cell r="AE580" t="str">
            <v>Female</v>
          </cell>
          <cell r="AF580">
            <v>85</v>
          </cell>
          <cell r="AG580" t="str">
            <v>N</v>
          </cell>
          <cell r="AH580">
            <v>3.5</v>
          </cell>
          <cell r="AI580" t="str">
            <v>Maruthi</v>
          </cell>
          <cell r="AJ580" t="str">
            <v>Surgery</v>
          </cell>
          <cell r="AK580" t="str">
            <v>Primary</v>
          </cell>
          <cell r="AN580" t="str">
            <v>IV</v>
          </cell>
          <cell r="AO580">
            <v>2</v>
          </cell>
          <cell r="AP580" t="str">
            <v>pT4a</v>
          </cell>
          <cell r="AS580" t="str">
            <v>Moderately differentiated Squamous cell carcinoma</v>
          </cell>
          <cell r="AV580">
            <v>45110</v>
          </cell>
          <cell r="AW580">
            <v>0.65277777777777779</v>
          </cell>
          <cell r="AX580">
            <v>0.76875000000000004</v>
          </cell>
          <cell r="AY580">
            <v>0.11597222222222223</v>
          </cell>
          <cell r="AZ580">
            <v>0.12222222222222222</v>
          </cell>
          <cell r="BA580">
            <v>0.21666666666666667</v>
          </cell>
          <cell r="BB580" t="str">
            <v>02/0.8*0.8/1.4*2.0/2.2</v>
          </cell>
          <cell r="BC580" t="str">
            <v>02/0.8*0.8/1.4*2.0/2.2</v>
          </cell>
          <cell r="BD580" t="str">
            <v>Vibratome</v>
          </cell>
          <cell r="BE580">
            <v>14</v>
          </cell>
          <cell r="BF580" t="str">
            <v>Pallavi</v>
          </cell>
          <cell r="BG580" t="str">
            <v>N</v>
          </cell>
        </row>
        <row r="581">
          <cell r="A581" t="str">
            <v>FBR1W230183</v>
          </cell>
          <cell r="B581">
            <v>230183</v>
          </cell>
          <cell r="C581" t="str">
            <v>R&amp;D</v>
          </cell>
          <cell r="D581">
            <v>45110</v>
          </cell>
          <cell r="E581">
            <v>0.58333333333333337</v>
          </cell>
          <cell r="F581">
            <v>45108</v>
          </cell>
          <cell r="G581">
            <v>45110</v>
          </cell>
          <cell r="H581">
            <v>0.63402777777777775</v>
          </cell>
          <cell r="I581">
            <v>5.0694444444444445E-2</v>
          </cell>
          <cell r="J581">
            <v>0</v>
          </cell>
          <cell r="K581" t="str">
            <v>FCB-PROTOCOL-02</v>
          </cell>
          <cell r="L581" t="str">
            <v>BC015</v>
          </cell>
          <cell r="M581" t="str">
            <v>Y</v>
          </cell>
          <cell r="N581" t="str">
            <v>Biopsy Cabr-BSS (1W)</v>
          </cell>
          <cell r="O581" t="str">
            <v>Internal R&amp;D</v>
          </cell>
          <cell r="P581" t="str">
            <v>Q1 Passed</v>
          </cell>
          <cell r="Q581" t="str">
            <v>Q1 Passed</v>
          </cell>
          <cell r="R581" t="str">
            <v>Q1.5 Passed</v>
          </cell>
          <cell r="S581" t="str">
            <v>Q1.5 Passed</v>
          </cell>
          <cell r="V581" t="str">
            <v>Tumor content 0-4%</v>
          </cell>
          <cell r="W581" t="str">
            <v>Private Hospital</v>
          </cell>
          <cell r="X581" t="str">
            <v>Mazumdar Shaw Medical Centre, Bangalore</v>
          </cell>
          <cell r="Y581" t="str">
            <v>Mazumdar Shaw Medical Centre, Bangalore</v>
          </cell>
          <cell r="Z581" t="str">
            <v>Dr Akshita Singh</v>
          </cell>
          <cell r="AA581" t="str">
            <v>Ca Breast</v>
          </cell>
          <cell r="AB581" t="str">
            <v>ER+
PR(Weakly+)
HER2+</v>
          </cell>
          <cell r="AC581" t="str">
            <v>Breast</v>
          </cell>
          <cell r="AD581" t="str">
            <v>Left  Breast</v>
          </cell>
          <cell r="AE581" t="str">
            <v>Female</v>
          </cell>
          <cell r="AF581">
            <v>62</v>
          </cell>
          <cell r="AG581" t="str">
            <v>N</v>
          </cell>
          <cell r="AH581">
            <v>3.5</v>
          </cell>
          <cell r="AI581" t="str">
            <v>Maruthi</v>
          </cell>
          <cell r="AJ581" t="str">
            <v>Biopsy</v>
          </cell>
          <cell r="AK581" t="str">
            <v>Primary</v>
          </cell>
          <cell r="AS581" t="str">
            <v>Invasive carcinoma</v>
          </cell>
          <cell r="AV581">
            <v>45110</v>
          </cell>
          <cell r="AW581">
            <v>0.65625</v>
          </cell>
          <cell r="AX581">
            <v>0.73611111111111116</v>
          </cell>
          <cell r="AY581">
            <v>7.9861111111111105E-2</v>
          </cell>
          <cell r="AZ581">
            <v>0.10208333333333333</v>
          </cell>
          <cell r="BA581">
            <v>0.15277777777777779</v>
          </cell>
          <cell r="BB581" t="str">
            <v>1.4*0.1*0.1</v>
          </cell>
          <cell r="BC581" t="str">
            <v>1.4*0.1*0.1</v>
          </cell>
          <cell r="BD581" t="str">
            <v>Manual</v>
          </cell>
          <cell r="BE581">
            <v>14</v>
          </cell>
          <cell r="BF581" t="str">
            <v>chandan</v>
          </cell>
          <cell r="BG581" t="str">
            <v>Y</v>
          </cell>
        </row>
        <row r="582">
          <cell r="A582" t="str">
            <v>FBR1M230184</v>
          </cell>
          <cell r="B582">
            <v>230184</v>
          </cell>
          <cell r="C582" t="str">
            <v>R&amp;D</v>
          </cell>
          <cell r="D582">
            <v>45111</v>
          </cell>
          <cell r="E582">
            <v>0.53125</v>
          </cell>
          <cell r="F582">
            <v>45108</v>
          </cell>
          <cell r="G582">
            <v>45111</v>
          </cell>
          <cell r="H582">
            <v>0.63124999999999998</v>
          </cell>
          <cell r="I582">
            <v>0.1</v>
          </cell>
          <cell r="J582">
            <v>15</v>
          </cell>
          <cell r="K582" t="str">
            <v>FCB-PROTOCOL-02</v>
          </cell>
          <cell r="L582" t="str">
            <v>RC032</v>
          </cell>
          <cell r="M582" t="str">
            <v>Y</v>
          </cell>
          <cell r="N582" t="str">
            <v>DMS_RCC(1M)</v>
          </cell>
          <cell r="O582" t="str">
            <v>Internal R&amp;D</v>
          </cell>
          <cell r="P582" t="str">
            <v>Q1 Passed</v>
          </cell>
          <cell r="Q582" t="str">
            <v>Q1 Passed</v>
          </cell>
          <cell r="R582" t="str">
            <v>Q1.5 Passed</v>
          </cell>
          <cell r="S582" t="str">
            <v>Q1.5 Rejected</v>
          </cell>
          <cell r="U582" t="str">
            <v>Y</v>
          </cell>
          <cell r="V582" t="str">
            <v>All explants show normal renal tissue. One explant has ? Tumor 3%. Others no tumor</v>
          </cell>
          <cell r="W582" t="str">
            <v>Private Hospital</v>
          </cell>
          <cell r="X582" t="str">
            <v>Mazumdar Shaw Medical Centre, Bangalore</v>
          </cell>
          <cell r="Y582" t="str">
            <v>Mazumdar Shaw Medical Centre, Bangalore</v>
          </cell>
          <cell r="Z582" t="str">
            <v>Dr Saurabh Bhargav, Bangalore</v>
          </cell>
          <cell r="AA582" t="str">
            <v>RCC</v>
          </cell>
          <cell r="AC582" t="str">
            <v>Renal</v>
          </cell>
          <cell r="AD582" t="str">
            <v>Right renal Mass</v>
          </cell>
          <cell r="AE582" t="str">
            <v>Male</v>
          </cell>
          <cell r="AF582">
            <v>32</v>
          </cell>
          <cell r="AG582" t="str">
            <v>N</v>
          </cell>
          <cell r="AH582">
            <v>4.9000000000000004</v>
          </cell>
          <cell r="AI582" t="str">
            <v>Shashi</v>
          </cell>
          <cell r="AJ582" t="str">
            <v>Surgery</v>
          </cell>
          <cell r="AK582" t="str">
            <v>Primary</v>
          </cell>
          <cell r="AV582">
            <v>45111</v>
          </cell>
          <cell r="AW582">
            <v>0.6694444444444444</v>
          </cell>
          <cell r="AX582">
            <v>0.75347222222222221</v>
          </cell>
          <cell r="AY582">
            <v>8.4027777777777785E-2</v>
          </cell>
          <cell r="AZ582">
            <v>0.12222222222222222</v>
          </cell>
          <cell r="BA582">
            <v>0.22222222222222221</v>
          </cell>
          <cell r="BB582" t="str">
            <v>0.6*0.8/1.0*1.6*2.0</v>
          </cell>
          <cell r="BC582" t="str">
            <v>0.6*0.8/1.0*1.6*2.0</v>
          </cell>
          <cell r="BD582" t="str">
            <v>Vibratome</v>
          </cell>
          <cell r="BE582">
            <v>15</v>
          </cell>
          <cell r="BF582" t="str">
            <v>Syam</v>
          </cell>
          <cell r="BG582" t="str">
            <v>N</v>
          </cell>
        </row>
        <row r="583">
          <cell r="A583" t="str">
            <v>FBR1Q230185</v>
          </cell>
          <cell r="B583">
            <v>230185</v>
          </cell>
          <cell r="C583" t="str">
            <v>R&amp;D</v>
          </cell>
          <cell r="D583">
            <v>45111</v>
          </cell>
          <cell r="E583">
            <v>0.55347222222222225</v>
          </cell>
          <cell r="F583">
            <v>45108</v>
          </cell>
          <cell r="G583">
            <v>45111</v>
          </cell>
          <cell r="H583">
            <v>0.64097222222222228</v>
          </cell>
          <cell r="I583">
            <v>8.7499999999999994E-2</v>
          </cell>
          <cell r="J583">
            <v>2</v>
          </cell>
          <cell r="K583" t="str">
            <v>FCB-PROTOCOL-02</v>
          </cell>
          <cell r="L583" t="str">
            <v>VYD/177</v>
          </cell>
          <cell r="M583" t="str">
            <v>Y</v>
          </cell>
          <cell r="N583" t="str">
            <v>COSv4.2_CaBR(1Q-Unknown)</v>
          </cell>
          <cell r="O583" t="str">
            <v>Internal R&amp;D</v>
          </cell>
          <cell r="P583" t="str">
            <v>Q1 Passed</v>
          </cell>
          <cell r="Q583" t="str">
            <v>Q1 Passed</v>
          </cell>
          <cell r="R583" t="str">
            <v>Q1.5 Passed</v>
          </cell>
          <cell r="S583" t="str">
            <v>Q1.5 Passed</v>
          </cell>
          <cell r="V583" t="str">
            <v>Tumor content 3-40%</v>
          </cell>
          <cell r="W583" t="str">
            <v>Private Hospital</v>
          </cell>
          <cell r="X583" t="str">
            <v>Vydehi Hospital, Bangalore</v>
          </cell>
          <cell r="Y583" t="str">
            <v>Vydehi Hospital, Bangalore</v>
          </cell>
          <cell r="Z583" t="str">
            <v>Dr Amritha Prabha, Bangalore</v>
          </cell>
          <cell r="AA583" t="str">
            <v>Ca Breast</v>
          </cell>
          <cell r="AB583" t="str">
            <v>Er(P)
Pr(P)
Her2(N)</v>
          </cell>
          <cell r="AC583" t="str">
            <v>Breast</v>
          </cell>
          <cell r="AD583" t="str">
            <v>Left Breast</v>
          </cell>
          <cell r="AE583" t="str">
            <v>Female</v>
          </cell>
          <cell r="AF583">
            <v>51</v>
          </cell>
          <cell r="AG583" t="str">
            <v>N</v>
          </cell>
          <cell r="AH583">
            <v>4.0999999999999996</v>
          </cell>
          <cell r="AI583" t="str">
            <v>Kalappa</v>
          </cell>
          <cell r="AJ583" t="str">
            <v>Surgery</v>
          </cell>
          <cell r="AK583" t="str">
            <v>Primary</v>
          </cell>
          <cell r="AN583" t="str">
            <v>IIA</v>
          </cell>
          <cell r="AO583">
            <v>2</v>
          </cell>
          <cell r="AP583" t="str">
            <v>pT2N0</v>
          </cell>
          <cell r="AV583">
            <v>45111</v>
          </cell>
          <cell r="AW583">
            <v>0.6694444444444444</v>
          </cell>
          <cell r="AX583">
            <v>0.79305555555555551</v>
          </cell>
          <cell r="AY583">
            <v>0.12361111111111112</v>
          </cell>
          <cell r="AZ583">
            <v>0.15208333333333332</v>
          </cell>
          <cell r="BA583">
            <v>0.23958333333333334</v>
          </cell>
          <cell r="BB583" t="str">
            <v>1.0*2.0*2.7</v>
          </cell>
          <cell r="BC583" t="str">
            <v>1.0*2.0*2.7</v>
          </cell>
          <cell r="BD583" t="str">
            <v>Manual</v>
          </cell>
          <cell r="BE583">
            <v>15</v>
          </cell>
          <cell r="BF583" t="str">
            <v>kuberan</v>
          </cell>
          <cell r="BG583" t="str">
            <v>Y</v>
          </cell>
        </row>
        <row r="584">
          <cell r="A584" t="str">
            <v>FBR1W230186</v>
          </cell>
          <cell r="B584">
            <v>230186</v>
          </cell>
          <cell r="C584" t="str">
            <v>R&amp;D</v>
          </cell>
          <cell r="D584">
            <v>45111</v>
          </cell>
          <cell r="E584">
            <v>0.56666666666666665</v>
          </cell>
          <cell r="F584">
            <v>45108</v>
          </cell>
          <cell r="G584">
            <v>45111</v>
          </cell>
          <cell r="H584">
            <v>0.64097222222222228</v>
          </cell>
          <cell r="I584">
            <v>7.4305555555555555E-2</v>
          </cell>
          <cell r="J584">
            <v>0</v>
          </cell>
          <cell r="K584" t="str">
            <v>FCB-PROTOCOL-02</v>
          </cell>
          <cell r="L584" t="str">
            <v>VYD/178</v>
          </cell>
          <cell r="M584" t="str">
            <v>Y</v>
          </cell>
          <cell r="N584" t="str">
            <v>Biopsy Cabr-BSS (1W)</v>
          </cell>
          <cell r="O584" t="str">
            <v>Internal R&amp;D</v>
          </cell>
          <cell r="P584" t="str">
            <v>Q1 Passed</v>
          </cell>
          <cell r="Q584" t="str">
            <v>Q1 Passed</v>
          </cell>
          <cell r="R584" t="str">
            <v>Q1.5 Passed</v>
          </cell>
          <cell r="S584" t="str">
            <v>Q1.5 Rejected</v>
          </cell>
          <cell r="V584" t="str">
            <v>No tumor</v>
          </cell>
          <cell r="W584" t="str">
            <v>Private Hospital</v>
          </cell>
          <cell r="X584" t="str">
            <v>Vydehi Hospital, Bangalore</v>
          </cell>
          <cell r="Y584" t="str">
            <v>Vydehi Hospital, Bangalore</v>
          </cell>
          <cell r="Z584" t="str">
            <v>Dr Amritha Prabha, Bangalore</v>
          </cell>
          <cell r="AA584" t="str">
            <v>Ca Breast</v>
          </cell>
          <cell r="AC584" t="str">
            <v>Breast</v>
          </cell>
          <cell r="AD584" t="str">
            <v>Left Breast</v>
          </cell>
          <cell r="AE584" t="str">
            <v>Female</v>
          </cell>
          <cell r="AF584">
            <v>48</v>
          </cell>
          <cell r="AG584" t="str">
            <v>N</v>
          </cell>
          <cell r="AH584">
            <v>4.0999999999999996</v>
          </cell>
          <cell r="AI584" t="str">
            <v>Kalappa</v>
          </cell>
          <cell r="AJ584" t="str">
            <v>Biopsy</v>
          </cell>
          <cell r="AK584" t="str">
            <v>Primary</v>
          </cell>
          <cell r="AV584">
            <v>45111</v>
          </cell>
          <cell r="AW584">
            <v>0.6875</v>
          </cell>
          <cell r="AX584">
            <v>0.74027777777777781</v>
          </cell>
          <cell r="AY584">
            <v>5.2777777777777778E-2</v>
          </cell>
          <cell r="AZ584">
            <v>9.930555555555555E-2</v>
          </cell>
          <cell r="BA584">
            <v>0.1736111111111111</v>
          </cell>
          <cell r="BB584" t="str">
            <v>0.3-0.8
5 fragments</v>
          </cell>
          <cell r="BC584" t="str">
            <v>0.3-0.8
5 fragments</v>
          </cell>
          <cell r="BD584" t="str">
            <v>Manual</v>
          </cell>
          <cell r="BE584">
            <v>15</v>
          </cell>
          <cell r="BF584" t="str">
            <v>Pallavi</v>
          </cell>
          <cell r="BG584" t="str">
            <v>Y</v>
          </cell>
        </row>
        <row r="585">
          <cell r="A585" t="str">
            <v>FBR1Q230187</v>
          </cell>
          <cell r="B585">
            <v>230187</v>
          </cell>
          <cell r="C585" t="str">
            <v>R&amp;D</v>
          </cell>
          <cell r="D585">
            <v>45111</v>
          </cell>
          <cell r="E585">
            <v>0.61805555555555558</v>
          </cell>
          <cell r="F585">
            <v>45108</v>
          </cell>
          <cell r="G585">
            <v>45111</v>
          </cell>
          <cell r="H585">
            <v>0.95625000000000004</v>
          </cell>
          <cell r="I585">
            <v>0.33819444444444446</v>
          </cell>
          <cell r="J585">
            <v>10</v>
          </cell>
          <cell r="K585" t="str">
            <v>FCB-PROTOCOL-01</v>
          </cell>
          <cell r="L585" t="str">
            <v>CLN/DBR/148</v>
          </cell>
          <cell r="M585" t="str">
            <v>Y</v>
          </cell>
          <cell r="N585" t="str">
            <v>COSv4.2_CaBR(1Q-Unknown)</v>
          </cell>
          <cell r="O585" t="str">
            <v>Internal R&amp;D</v>
          </cell>
          <cell r="P585" t="str">
            <v>Q1 Passed</v>
          </cell>
          <cell r="Q585" t="str">
            <v>Q1 Passed</v>
          </cell>
          <cell r="R585" t="str">
            <v>Q1.5 Passed</v>
          </cell>
          <cell r="S585" t="str">
            <v>Q1.5 Rejected</v>
          </cell>
          <cell r="V585" t="str">
            <v>Some explants show hyperplastic changes/DCIS. No tumor</v>
          </cell>
          <cell r="W585" t="str">
            <v>Clinic'les</v>
          </cell>
          <cell r="X585" t="str">
            <v>Clinic'les- DBR &amp; SK Hospital, Tirupati</v>
          </cell>
          <cell r="Y585" t="str">
            <v>DBR &amp; SK Hospital, Tirupati</v>
          </cell>
          <cell r="Z585" t="str">
            <v>Dr C Jayaprakash, Tirupati</v>
          </cell>
          <cell r="AA585" t="str">
            <v>Ca Breast</v>
          </cell>
          <cell r="AC585" t="str">
            <v>Breast</v>
          </cell>
          <cell r="AD585" t="str">
            <v>Right Breast</v>
          </cell>
          <cell r="AE585" t="str">
            <v>Female</v>
          </cell>
          <cell r="AF585">
            <v>61</v>
          </cell>
          <cell r="AG585" t="str">
            <v>N</v>
          </cell>
          <cell r="AH585">
            <v>5.8</v>
          </cell>
          <cell r="AI585" t="str">
            <v>Maruthi</v>
          </cell>
          <cell r="AJ585" t="str">
            <v>Surgery</v>
          </cell>
          <cell r="AK585" t="str">
            <v>Primary</v>
          </cell>
          <cell r="AN585" t="str">
            <v>IIb</v>
          </cell>
          <cell r="AO585">
            <v>3</v>
          </cell>
          <cell r="AP585" t="str">
            <v>pT3N0Mx</v>
          </cell>
          <cell r="AV585">
            <v>45112</v>
          </cell>
          <cell r="AW585">
            <v>1.2916666666666667</v>
          </cell>
          <cell r="AX585">
            <v>1.40625</v>
          </cell>
          <cell r="AY585">
            <v>0.11458333333333333</v>
          </cell>
          <cell r="AZ585">
            <v>0.45</v>
          </cell>
          <cell r="BA585">
            <v>0.78819444444444442</v>
          </cell>
          <cell r="BB585" t="str">
            <v>1.4*2.0*2.8</v>
          </cell>
          <cell r="BC585" t="str">
            <v>1.4*2.0*2.8</v>
          </cell>
          <cell r="BD585" t="str">
            <v>Manual</v>
          </cell>
          <cell r="BE585">
            <v>15</v>
          </cell>
          <cell r="BF585" t="str">
            <v>Pallavi</v>
          </cell>
          <cell r="BG585" t="str">
            <v>Y</v>
          </cell>
        </row>
        <row r="586">
          <cell r="A586" t="str">
            <v>FBR2C230188</v>
          </cell>
          <cell r="B586">
            <v>230188</v>
          </cell>
          <cell r="C586" t="str">
            <v>R&amp;D</v>
          </cell>
          <cell r="D586">
            <v>45113</v>
          </cell>
          <cell r="E586">
            <v>0.49722222222222223</v>
          </cell>
          <cell r="F586">
            <v>45108</v>
          </cell>
          <cell r="G586">
            <v>45113</v>
          </cell>
          <cell r="H586">
            <v>0.58472222222222225</v>
          </cell>
          <cell r="I586">
            <v>8.7499999999999994E-2</v>
          </cell>
          <cell r="J586">
            <v>4</v>
          </cell>
          <cell r="K586" t="str">
            <v>FCB-PROTOCOL-02</v>
          </cell>
          <cell r="L586" t="str">
            <v>VYD/179</v>
          </cell>
          <cell r="M586" t="str">
            <v>Y</v>
          </cell>
          <cell r="N586" t="str">
            <v>RCC DPT (R2C)</v>
          </cell>
          <cell r="O586" t="str">
            <v>Internal R&amp;D</v>
          </cell>
          <cell r="P586" t="str">
            <v>Q1 Passed</v>
          </cell>
          <cell r="Q586" t="str">
            <v>Q1 Passed</v>
          </cell>
          <cell r="R586" t="str">
            <v>Q1.5 Passed</v>
          </cell>
          <cell r="S586" t="str">
            <v>Q1.5 Passed</v>
          </cell>
          <cell r="V586" t="str">
            <v>40% tumor in 1/6 explants; others no tumor</v>
          </cell>
          <cell r="W586" t="str">
            <v>Private Hospital</v>
          </cell>
          <cell r="X586" t="str">
            <v>Vydehi Hospital, Bangalore</v>
          </cell>
          <cell r="Y586" t="str">
            <v>Vydehi Hospital, Bangalore</v>
          </cell>
          <cell r="Z586" t="str">
            <v>Dr Amritha Prabha, Bangalore</v>
          </cell>
          <cell r="AA586" t="str">
            <v>RCC</v>
          </cell>
          <cell r="AC586" t="str">
            <v>Kidney</v>
          </cell>
          <cell r="AD586" t="str">
            <v>Left  Kidney</v>
          </cell>
          <cell r="AE586" t="str">
            <v>Female</v>
          </cell>
          <cell r="AF586">
            <v>53</v>
          </cell>
          <cell r="AG586" t="str">
            <v>N</v>
          </cell>
          <cell r="AH586">
            <v>4.9000000000000004</v>
          </cell>
          <cell r="AI586" t="str">
            <v>Kalappa</v>
          </cell>
          <cell r="AJ586" t="str">
            <v>Surgery</v>
          </cell>
          <cell r="AK586" t="str">
            <v>Primary</v>
          </cell>
          <cell r="AN586" t="str">
            <v>Iia</v>
          </cell>
          <cell r="AO586">
            <v>1</v>
          </cell>
          <cell r="AP586" t="str">
            <v>pT2aN0</v>
          </cell>
          <cell r="AV586">
            <v>45113</v>
          </cell>
          <cell r="AW586">
            <v>0.60416666666666663</v>
          </cell>
          <cell r="AX586">
            <v>0.69374999999999998</v>
          </cell>
          <cell r="AY586">
            <v>8.9583333333333334E-2</v>
          </cell>
          <cell r="AZ586">
            <v>0.10902777777777778</v>
          </cell>
          <cell r="BA586">
            <v>0.19652777777777777</v>
          </cell>
          <cell r="BB586" t="str">
            <v>1.0/0.8*1.4*1.4
0.6*1.2*1.4</v>
          </cell>
          <cell r="BC586" t="str">
            <v>1.0/0.8*1.4*1.4
0.6*1.2*1.4</v>
          </cell>
          <cell r="BD586" t="str">
            <v>Manual+Vibratome</v>
          </cell>
          <cell r="BE586">
            <v>15</v>
          </cell>
          <cell r="BF586" t="str">
            <v>Syam</v>
          </cell>
          <cell r="BG586" t="str">
            <v>Y</v>
          </cell>
        </row>
        <row r="587">
          <cell r="A587" t="str">
            <v>FBR2C230189</v>
          </cell>
          <cell r="B587">
            <v>230189</v>
          </cell>
          <cell r="C587" t="str">
            <v>R&amp;D</v>
          </cell>
          <cell r="D587">
            <v>45113</v>
          </cell>
          <cell r="E587">
            <v>0.52013888888888893</v>
          </cell>
          <cell r="F587">
            <v>45108</v>
          </cell>
          <cell r="G587">
            <v>45113</v>
          </cell>
          <cell r="H587">
            <v>0.59722222222222221</v>
          </cell>
          <cell r="I587">
            <v>7.7083333333333337E-2</v>
          </cell>
          <cell r="J587">
            <v>2</v>
          </cell>
          <cell r="K587" t="str">
            <v>FCB-PROTOCOL-02</v>
          </cell>
          <cell r="L587" t="str">
            <v>RC033</v>
          </cell>
          <cell r="M587" t="str">
            <v>Y</v>
          </cell>
          <cell r="N587" t="str">
            <v>RCC DPT (R2C)</v>
          </cell>
          <cell r="O587" t="str">
            <v>Internal R&amp;D</v>
          </cell>
          <cell r="P587" t="str">
            <v>Q1 Passed</v>
          </cell>
          <cell r="Q587" t="str">
            <v>Q1 Passed</v>
          </cell>
          <cell r="R587" t="str">
            <v>Compromised</v>
          </cell>
          <cell r="S587" t="str">
            <v>Q1.5 Passed</v>
          </cell>
          <cell r="V587" t="str">
            <v>Tumor content 35-90%</v>
          </cell>
          <cell r="W587" t="str">
            <v>Private Hospital</v>
          </cell>
          <cell r="X587" t="str">
            <v>Mazumdar Shaw Medical Centre, Bangalore</v>
          </cell>
          <cell r="Y587" t="str">
            <v>Mazumdar Shaw Medical Centre, Bangalore</v>
          </cell>
          <cell r="Z587" t="str">
            <v>Dr Saurabh Bhargav, Bangalore</v>
          </cell>
          <cell r="AA587" t="str">
            <v>RCC</v>
          </cell>
          <cell r="AC587" t="str">
            <v>Renal</v>
          </cell>
          <cell r="AD587" t="str">
            <v>Left Renal Mass</v>
          </cell>
          <cell r="AE587" t="str">
            <v>Male</v>
          </cell>
          <cell r="AF587">
            <v>45</v>
          </cell>
          <cell r="AG587" t="str">
            <v>N</v>
          </cell>
          <cell r="AH587">
            <v>4.0999999999999996</v>
          </cell>
          <cell r="AI587" t="str">
            <v>Maruthi</v>
          </cell>
          <cell r="AJ587" t="str">
            <v>Surgery</v>
          </cell>
          <cell r="AK587" t="str">
            <v>Primary</v>
          </cell>
          <cell r="AN587" t="str">
            <v>I</v>
          </cell>
          <cell r="AO587">
            <v>2</v>
          </cell>
          <cell r="AP587" t="str">
            <v>pT1b</v>
          </cell>
          <cell r="AS587" t="str">
            <v>Clear cell renal cell carcinoma</v>
          </cell>
          <cell r="AV587">
            <v>45113</v>
          </cell>
          <cell r="AW587">
            <v>0.65208333333333335</v>
          </cell>
          <cell r="AX587">
            <v>0.72013888888888888</v>
          </cell>
          <cell r="AY587">
            <v>6.805555555555555E-2</v>
          </cell>
          <cell r="AZ587">
            <v>0.12291666666666666</v>
          </cell>
          <cell r="BA587">
            <v>0.2</v>
          </cell>
          <cell r="BB587" t="str">
            <v>0.6/0.4*1.4/0.8*2.4</v>
          </cell>
          <cell r="BC587" t="str">
            <v>0.6/0.4*1.4/0.8*2.4</v>
          </cell>
          <cell r="BD587" t="str">
            <v>Manual</v>
          </cell>
          <cell r="BE587">
            <v>15</v>
          </cell>
          <cell r="BF587" t="str">
            <v>Dharani</v>
          </cell>
          <cell r="BG587" t="str">
            <v>Y</v>
          </cell>
        </row>
        <row r="588">
          <cell r="A588" t="str">
            <v>FBR1Q230190</v>
          </cell>
          <cell r="B588">
            <v>230190</v>
          </cell>
          <cell r="C588" t="str">
            <v>R&amp;D</v>
          </cell>
          <cell r="D588">
            <v>45113</v>
          </cell>
          <cell r="E588">
            <v>0.59027777777777779</v>
          </cell>
          <cell r="F588">
            <v>45108</v>
          </cell>
          <cell r="G588">
            <v>45113</v>
          </cell>
          <cell r="H588">
            <v>0.60555555555555551</v>
          </cell>
          <cell r="I588">
            <v>1.5277777777777777E-2</v>
          </cell>
          <cell r="J588">
            <v>1</v>
          </cell>
          <cell r="K588" t="str">
            <v>FCB-PROTOCOL-02</v>
          </cell>
          <cell r="L588" t="str">
            <v>CLN/PRA/214</v>
          </cell>
          <cell r="M588" t="str">
            <v>Y</v>
          </cell>
          <cell r="N588" t="str">
            <v>COSv4.2_CaBR(1Q-Unknown)</v>
          </cell>
          <cell r="O588" t="str">
            <v>Internal R&amp;D</v>
          </cell>
          <cell r="P588" t="str">
            <v>Q1 Passed</v>
          </cell>
          <cell r="Q588" t="str">
            <v>Q1 Passed</v>
          </cell>
          <cell r="R588" t="str">
            <v>Compromised</v>
          </cell>
          <cell r="S588" t="str">
            <v>Q1.5 Passed</v>
          </cell>
          <cell r="V588" t="str">
            <v>Tumor content 5-65%</v>
          </cell>
          <cell r="W588" t="str">
            <v>Private Hospital</v>
          </cell>
          <cell r="X588" t="str">
            <v>Dr Prakash BV, Bangalore</v>
          </cell>
          <cell r="Y588" t="str">
            <v>Sri Lakshmi Hospital, Bangalore</v>
          </cell>
          <cell r="Z588" t="str">
            <v>Dr Prakash BV, Bangalore</v>
          </cell>
          <cell r="AA588" t="str">
            <v>Ca Breast</v>
          </cell>
          <cell r="AC588" t="str">
            <v>Breast</v>
          </cell>
          <cell r="AD588" t="str">
            <v>Breast</v>
          </cell>
          <cell r="AE588" t="str">
            <v>Female</v>
          </cell>
          <cell r="AF588">
            <v>60</v>
          </cell>
          <cell r="AG588" t="str">
            <v>N</v>
          </cell>
          <cell r="AH588">
            <v>4.9000000000000004</v>
          </cell>
          <cell r="AI588" t="str">
            <v>Shashi</v>
          </cell>
          <cell r="AJ588" t="str">
            <v>Surgery</v>
          </cell>
          <cell r="AK588" t="str">
            <v>Primary</v>
          </cell>
          <cell r="AV588">
            <v>45113</v>
          </cell>
          <cell r="AW588">
            <v>0.62986111111111109</v>
          </cell>
          <cell r="AX588">
            <v>0.74652777777777779</v>
          </cell>
          <cell r="AY588">
            <v>0.11666666666666667</v>
          </cell>
          <cell r="AZ588">
            <v>0.14097222222222222</v>
          </cell>
          <cell r="BA588">
            <v>0.15625</v>
          </cell>
          <cell r="BB588" t="str">
            <v>0.4/0.6*1.3*1.8/1.4</v>
          </cell>
          <cell r="BC588" t="str">
            <v>0.4/0.6*1.0/1.2*1.6/1.2</v>
          </cell>
          <cell r="BD588" t="str">
            <v>Manual</v>
          </cell>
          <cell r="BE588">
            <v>15</v>
          </cell>
          <cell r="BF588" t="str">
            <v>Syam</v>
          </cell>
          <cell r="BG588" t="str">
            <v>Y</v>
          </cell>
        </row>
        <row r="589">
          <cell r="A589" t="str">
            <v>FBR1Q230191</v>
          </cell>
          <cell r="B589">
            <v>230191</v>
          </cell>
          <cell r="C589" t="str">
            <v>R&amp;D</v>
          </cell>
          <cell r="D589">
            <v>45114</v>
          </cell>
          <cell r="E589">
            <v>0.47916666666666669</v>
          </cell>
          <cell r="F589">
            <v>45108</v>
          </cell>
          <cell r="G589">
            <v>45114</v>
          </cell>
          <cell r="H589">
            <v>0.6118055555555556</v>
          </cell>
          <cell r="I589">
            <v>0.13263888888888889</v>
          </cell>
          <cell r="J589">
            <v>1</v>
          </cell>
          <cell r="K589" t="str">
            <v>FCB-PROTOCOL-02</v>
          </cell>
          <cell r="L589" t="str">
            <v>CLN/JSS/027</v>
          </cell>
          <cell r="M589" t="str">
            <v>Y</v>
          </cell>
          <cell r="N589" t="str">
            <v>COSv4.2_CaBR(1Q-Unknown)</v>
          </cell>
          <cell r="O589" t="str">
            <v>Internal R&amp;D</v>
          </cell>
          <cell r="P589" t="str">
            <v>Q1 Passed</v>
          </cell>
          <cell r="Q589" t="str">
            <v>Q1 Passed</v>
          </cell>
          <cell r="R589" t="str">
            <v>Q1.5 Passed</v>
          </cell>
          <cell r="S589" t="str">
            <v>Q1.5 Rejected</v>
          </cell>
          <cell r="V589" t="str">
            <v>Hyperplasia, ?DCIS    -No tumor</v>
          </cell>
          <cell r="W589" t="str">
            <v>Clinic'les</v>
          </cell>
          <cell r="X589" t="str">
            <v>Clinic'les- Dr Ravi Krishnappa, Mysore</v>
          </cell>
          <cell r="Y589" t="str">
            <v>JSS Hospital, Mysore</v>
          </cell>
          <cell r="Z589" t="str">
            <v>Dr Ravi Krishnappa, Mysore</v>
          </cell>
          <cell r="AA589" t="str">
            <v>Ca Breast</v>
          </cell>
          <cell r="AB589" t="str">
            <v>TNBC</v>
          </cell>
          <cell r="AC589" t="str">
            <v>Breast</v>
          </cell>
          <cell r="AD589" t="str">
            <v>Left Breast</v>
          </cell>
          <cell r="AE589" t="str">
            <v>Female</v>
          </cell>
          <cell r="AF589">
            <v>45</v>
          </cell>
          <cell r="AG589" t="str">
            <v>N</v>
          </cell>
          <cell r="AH589">
            <v>5.0999999999999996</v>
          </cell>
          <cell r="AI589" t="str">
            <v>Shashi</v>
          </cell>
          <cell r="AJ589" t="str">
            <v>Surgery</v>
          </cell>
          <cell r="AK589" t="str">
            <v>Primary</v>
          </cell>
          <cell r="AL589" t="str">
            <v>Chemotherapy</v>
          </cell>
          <cell r="AQ589">
            <v>8</v>
          </cell>
          <cell r="AR589" t="str">
            <v>Adriamycin+Cyclophosphamide</v>
          </cell>
          <cell r="AV589">
            <v>45114</v>
          </cell>
          <cell r="AW589">
            <v>0.65138888888888891</v>
          </cell>
          <cell r="AX589">
            <v>0.74652777777777779</v>
          </cell>
          <cell r="AY589">
            <v>9.5138888888888884E-2</v>
          </cell>
          <cell r="AZ589">
            <v>0.13472222222222222</v>
          </cell>
          <cell r="BA589">
            <v>0.2673611111111111</v>
          </cell>
          <cell r="BB589" t="str">
            <v>0.4/0.6*1.4/1.8*2.4*3.0
0.4/0.6*1.4/1.8*2.2
0.4/0.6*0.6/0.8*1.6</v>
          </cell>
          <cell r="BC589" t="str">
            <v>0.4/0.6*0.8/1.0*1.6*2.0
0.4/0.6*0.6/0.8*1.4/1.6
0.4/0.6*1.0/1.4*1.6
0.4/0.6*0.8/1.0*1.2/1.4
0.4/0.6*0.8/1.0*1.0/1.4</v>
          </cell>
          <cell r="BD589" t="str">
            <v>Manual</v>
          </cell>
          <cell r="BE589">
            <v>15</v>
          </cell>
          <cell r="BF589" t="str">
            <v>Syam</v>
          </cell>
          <cell r="BG589" t="str">
            <v>Y</v>
          </cell>
        </row>
        <row r="590">
          <cell r="A590" t="str">
            <v>FBR1Y230192</v>
          </cell>
          <cell r="B590">
            <v>230192</v>
          </cell>
          <cell r="C590" t="str">
            <v>R&amp;D</v>
          </cell>
          <cell r="D590">
            <v>45114</v>
          </cell>
          <cell r="E590">
            <v>0.77083333333333337</v>
          </cell>
          <cell r="F590">
            <v>45108</v>
          </cell>
          <cell r="G590">
            <v>45114</v>
          </cell>
          <cell r="H590">
            <v>0.81666666666666665</v>
          </cell>
          <cell r="I590">
            <v>4.583333333333333E-2</v>
          </cell>
          <cell r="J590">
            <v>10</v>
          </cell>
          <cell r="K590" t="str">
            <v>FCB-PROTOCOL-02</v>
          </cell>
          <cell r="L590" t="str">
            <v>HN071</v>
          </cell>
          <cell r="M590" t="str">
            <v>Y</v>
          </cell>
          <cell r="N590" t="str">
            <v>CCS Study (1Y)</v>
          </cell>
          <cell r="O590" t="str">
            <v>Internal R&amp;D</v>
          </cell>
          <cell r="P590" t="str">
            <v>Q1 Passed</v>
          </cell>
          <cell r="Q590" t="str">
            <v>Q1 Passed</v>
          </cell>
          <cell r="R590" t="str">
            <v>Q1.5 Rejected</v>
          </cell>
          <cell r="S590" t="str">
            <v>Q1.5 Rejected</v>
          </cell>
          <cell r="T590" t="str">
            <v>Blood Misplaced</v>
          </cell>
          <cell r="U590" t="str">
            <v>Y</v>
          </cell>
          <cell r="V590" t="str">
            <v>Tumor content 8-45%</v>
          </cell>
          <cell r="W590" t="str">
            <v>Private Hospital</v>
          </cell>
          <cell r="X590" t="str">
            <v>Mazumdar Shaw Medical Centre, Bangalore</v>
          </cell>
          <cell r="Y590" t="str">
            <v>Mazumdar Shaw Medical Centre, Bangalore</v>
          </cell>
          <cell r="Z590" t="str">
            <v>Dr Vijay Pillai, Bangalore</v>
          </cell>
          <cell r="AA590" t="str">
            <v>HNSCC</v>
          </cell>
          <cell r="AC590" t="str">
            <v>Tongue</v>
          </cell>
          <cell r="AD590" t="str">
            <v>tongue</v>
          </cell>
          <cell r="AE590" t="str">
            <v>Male</v>
          </cell>
          <cell r="AF590">
            <v>65</v>
          </cell>
          <cell r="AG590" t="str">
            <v>N</v>
          </cell>
          <cell r="AH590">
            <v>5.0999999999999996</v>
          </cell>
          <cell r="AI590" t="str">
            <v>Shashi</v>
          </cell>
          <cell r="AJ590" t="str">
            <v>Surgery</v>
          </cell>
          <cell r="AK590" t="str">
            <v>Primary</v>
          </cell>
          <cell r="AL590" t="str">
            <v>Chemotherapy+Radiotherapy</v>
          </cell>
          <cell r="AQ590">
            <v>4</v>
          </cell>
          <cell r="AV590">
            <v>45114</v>
          </cell>
          <cell r="AW590">
            <v>0.82638888888888884</v>
          </cell>
          <cell r="AX590">
            <v>0.91249999999999998</v>
          </cell>
          <cell r="AY590">
            <v>8.611111111111111E-2</v>
          </cell>
          <cell r="AZ590">
            <v>9.583333333333334E-2</v>
          </cell>
          <cell r="BA590">
            <v>0.14166666666666666</v>
          </cell>
          <cell r="BB590" t="str">
            <v>0.2/0.4*1.2*1.3/1.6</v>
          </cell>
          <cell r="BC590" t="str">
            <v>0.2/0.4*1.2*1.3/1.6</v>
          </cell>
          <cell r="BD590" t="str">
            <v>Vibratome</v>
          </cell>
          <cell r="BE590">
            <v>15</v>
          </cell>
          <cell r="BF590" t="str">
            <v>Dharani</v>
          </cell>
          <cell r="BG590" t="str">
            <v>Y</v>
          </cell>
        </row>
        <row r="591">
          <cell r="A591" t="str">
            <v>FBR2D230193</v>
          </cell>
          <cell r="B591">
            <v>230193</v>
          </cell>
          <cell r="C591" t="str">
            <v>R&amp;D</v>
          </cell>
          <cell r="D591">
            <v>45115</v>
          </cell>
          <cell r="E591">
            <v>0.50555555555555554</v>
          </cell>
          <cell r="F591">
            <v>45108</v>
          </cell>
          <cell r="G591">
            <v>45115</v>
          </cell>
          <cell r="H591">
            <v>0.54513888888888884</v>
          </cell>
          <cell r="I591">
            <v>3.9583333333333331E-2</v>
          </cell>
          <cell r="J591">
            <v>1</v>
          </cell>
          <cell r="K591" t="str">
            <v>FCB-PROTOCOL-02</v>
          </cell>
          <cell r="L591" t="str">
            <v>CLN/PRA/216</v>
          </cell>
          <cell r="M591" t="str">
            <v>Y</v>
          </cell>
          <cell r="N591" t="str">
            <v>BSS V2 (R2D)</v>
          </cell>
          <cell r="O591" t="str">
            <v>Internal R&amp;D</v>
          </cell>
          <cell r="P591" t="str">
            <v>Q1 Passed</v>
          </cell>
          <cell r="Q591" t="str">
            <v>Q1 Passed</v>
          </cell>
          <cell r="R591" t="str">
            <v>Q1.5 Passed</v>
          </cell>
          <cell r="S591" t="str">
            <v>Q1.5 Passed</v>
          </cell>
          <cell r="V591" t="str">
            <v>Tumor content 55-98%</v>
          </cell>
          <cell r="W591" t="str">
            <v>Private Hospital</v>
          </cell>
          <cell r="X591" t="str">
            <v>Dr Prakash BV, Bangalore</v>
          </cell>
          <cell r="Y591" t="str">
            <v>Sri Lakshmi Hospital, Bangalore</v>
          </cell>
          <cell r="Z591" t="str">
            <v>Dr Prakash BV, Bangalore</v>
          </cell>
          <cell r="AA591" t="str">
            <v>HNSCC</v>
          </cell>
          <cell r="AC591" t="str">
            <v>GBS</v>
          </cell>
          <cell r="AD591" t="str">
            <v>Left Lower GBS</v>
          </cell>
          <cell r="AE591" t="str">
            <v>Female</v>
          </cell>
          <cell r="AF591">
            <v>60</v>
          </cell>
          <cell r="AG591" t="str">
            <v>N</v>
          </cell>
          <cell r="AH591">
            <v>5.6</v>
          </cell>
          <cell r="AI591" t="str">
            <v>Maruthi</v>
          </cell>
          <cell r="AJ591" t="str">
            <v>Surgery</v>
          </cell>
          <cell r="AK591" t="str">
            <v>Primary</v>
          </cell>
          <cell r="AN591" t="str">
            <v>II</v>
          </cell>
          <cell r="AP591" t="str">
            <v>pT4aN0</v>
          </cell>
          <cell r="AV591">
            <v>45115</v>
          </cell>
          <cell r="AW591">
            <v>0.39583333333333331</v>
          </cell>
          <cell r="AX591">
            <v>0.47916666666666669</v>
          </cell>
          <cell r="AY591">
            <v>8.3333333333333329E-2</v>
          </cell>
          <cell r="AZ59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9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591" t="str">
            <v>0.8*1.0*2.4</v>
          </cell>
          <cell r="BC591" t="str">
            <v>0.8*1.0*2.4</v>
          </cell>
          <cell r="BD591" t="str">
            <v>Manual</v>
          </cell>
          <cell r="BE591">
            <v>15</v>
          </cell>
          <cell r="BF591" t="str">
            <v>Kowshik</v>
          </cell>
          <cell r="BG591" t="str">
            <v>Y</v>
          </cell>
        </row>
        <row r="592">
          <cell r="A592" t="str">
            <v>FBR2F230193</v>
          </cell>
          <cell r="B592">
            <v>230193</v>
          </cell>
          <cell r="C592" t="str">
            <v>R&amp;D</v>
          </cell>
          <cell r="D592">
            <v>45115</v>
          </cell>
          <cell r="E592">
            <v>0.50555555555555554</v>
          </cell>
          <cell r="F592">
            <v>45108</v>
          </cell>
          <cell r="G592">
            <v>45115</v>
          </cell>
          <cell r="H592">
            <v>0.54513888888888884</v>
          </cell>
          <cell r="I592">
            <v>3.9583333333333331E-2</v>
          </cell>
          <cell r="J592">
            <v>1</v>
          </cell>
          <cell r="K592" t="str">
            <v>FCB-PROTOCOL-02</v>
          </cell>
          <cell r="L592" t="str">
            <v>CLN/PRA/216</v>
          </cell>
          <cell r="M592" t="str">
            <v>Y</v>
          </cell>
          <cell r="N592" t="str">
            <v>ECR (2F)</v>
          </cell>
          <cell r="O592" t="str">
            <v>Internal R&amp;D</v>
          </cell>
          <cell r="P592" t="str">
            <v>Q1 Passed</v>
          </cell>
          <cell r="Q592" t="str">
            <v>Q1 Passed</v>
          </cell>
          <cell r="R592" t="str">
            <v>Q1.5 Passed</v>
          </cell>
          <cell r="S592" t="str">
            <v>Q1.5 Passed</v>
          </cell>
          <cell r="V592" t="str">
            <v>Tumor content 55-98%</v>
          </cell>
          <cell r="W592" t="str">
            <v>Private Hospital</v>
          </cell>
          <cell r="X592" t="str">
            <v>Dr Prakash BV, Bangalore</v>
          </cell>
          <cell r="Y592" t="str">
            <v>Sri Lakshmi Hospital, Bangalore</v>
          </cell>
          <cell r="Z592" t="str">
            <v>Dr Prakash BV, Bangalore</v>
          </cell>
          <cell r="AA592" t="str">
            <v>HNSCC</v>
          </cell>
          <cell r="AC592" t="str">
            <v>GBS</v>
          </cell>
          <cell r="AD592" t="str">
            <v>Left Lower GBS</v>
          </cell>
          <cell r="AE592" t="str">
            <v>Female</v>
          </cell>
          <cell r="AF592">
            <v>60</v>
          </cell>
          <cell r="AG592" t="str">
            <v>N</v>
          </cell>
          <cell r="AH592">
            <v>5.6</v>
          </cell>
          <cell r="AI592" t="str">
            <v>Maruthi</v>
          </cell>
          <cell r="AJ592" t="str">
            <v>Surgery</v>
          </cell>
          <cell r="AK592" t="str">
            <v>Primary</v>
          </cell>
          <cell r="AN592" t="str">
            <v>II</v>
          </cell>
          <cell r="AP592" t="str">
            <v>pT4aN0</v>
          </cell>
          <cell r="AV592">
            <v>45115</v>
          </cell>
          <cell r="AW592">
            <v>0.39583333333333331</v>
          </cell>
          <cell r="AX592">
            <v>0.47916666666666669</v>
          </cell>
          <cell r="AY592">
            <v>8.3333333333333329E-2</v>
          </cell>
          <cell r="AZ59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59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592" t="str">
            <v>0.8*1.0*2.4</v>
          </cell>
          <cell r="BC592" t="str">
            <v>0.8*1.0*2.4</v>
          </cell>
          <cell r="BD592" t="str">
            <v>Manual</v>
          </cell>
          <cell r="BE592">
            <v>15</v>
          </cell>
          <cell r="BF592" t="str">
            <v>Kowshik</v>
          </cell>
          <cell r="BG592" t="str">
            <v>Y</v>
          </cell>
        </row>
        <row r="593">
          <cell r="A593" t="str">
            <v>FBR2F230194</v>
          </cell>
          <cell r="B593">
            <v>230194</v>
          </cell>
          <cell r="C593" t="str">
            <v>R&amp;D</v>
          </cell>
          <cell r="D593">
            <v>45115</v>
          </cell>
          <cell r="E593">
            <v>0.39861111111111114</v>
          </cell>
          <cell r="F593">
            <v>45108</v>
          </cell>
          <cell r="G593">
            <v>45115</v>
          </cell>
          <cell r="H593">
            <v>0.56180555555555556</v>
          </cell>
          <cell r="I593">
            <v>0.16319444444444445</v>
          </cell>
          <cell r="J593">
            <v>2</v>
          </cell>
          <cell r="K593" t="str">
            <v>FCB-PROTOCOL-02</v>
          </cell>
          <cell r="L593" t="str">
            <v>CLN/PRA/215</v>
          </cell>
          <cell r="M593" t="str">
            <v>Y</v>
          </cell>
          <cell r="N593" t="str">
            <v>ECR (2F)</v>
          </cell>
          <cell r="O593" t="str">
            <v>Internal R&amp;D</v>
          </cell>
          <cell r="P593" t="str">
            <v>Q1 Passed</v>
          </cell>
          <cell r="Q593" t="str">
            <v>Q1 Passed</v>
          </cell>
          <cell r="R593" t="str">
            <v>Q1.5 Passed</v>
          </cell>
          <cell r="S593" t="str">
            <v>Q1.5 Passed</v>
          </cell>
          <cell r="V593" t="str">
            <v>Tumor content 0-40%. 2 explants without tumor</v>
          </cell>
          <cell r="W593" t="str">
            <v>Private Hospital</v>
          </cell>
          <cell r="X593" t="str">
            <v>Dr Prakash BV, Bangalore</v>
          </cell>
          <cell r="Y593" t="str">
            <v>Sri Lakshmi Hospital, Bangalore</v>
          </cell>
          <cell r="Z593" t="str">
            <v>Dr Prakash BV, Bangalore</v>
          </cell>
          <cell r="AA593" t="str">
            <v>GI</v>
          </cell>
          <cell r="AC593" t="str">
            <v>Stomach</v>
          </cell>
          <cell r="AD593" t="str">
            <v>Antrum of Stomach</v>
          </cell>
          <cell r="AE593" t="str">
            <v>Male</v>
          </cell>
          <cell r="AF593">
            <v>55</v>
          </cell>
          <cell r="AG593" t="str">
            <v>N</v>
          </cell>
          <cell r="AH593">
            <v>5.0999999999999996</v>
          </cell>
          <cell r="AI593" t="str">
            <v>Kalappa</v>
          </cell>
          <cell r="AJ593" t="str">
            <v>Surgery</v>
          </cell>
          <cell r="AK593" t="str">
            <v>Primary</v>
          </cell>
          <cell r="AN593" t="str">
            <v>II</v>
          </cell>
          <cell r="AP593" t="str">
            <v>pT3N1</v>
          </cell>
          <cell r="AV593">
            <v>45115</v>
          </cell>
          <cell r="AW593">
            <v>0.60416666666666663</v>
          </cell>
          <cell r="AX593">
            <v>0.66319444444444442</v>
          </cell>
          <cell r="AY593">
            <v>5.9027777777777776E-2</v>
          </cell>
          <cell r="AZ593">
            <v>0.10138888888888889</v>
          </cell>
          <cell r="BA593">
            <v>0.26458333333333334</v>
          </cell>
          <cell r="BB593" t="str">
            <v>1.0*1.4/1.0*2.6/2.0</v>
          </cell>
          <cell r="BC593" t="str">
            <v>1.0*1.4/1.0*2.6/2.0</v>
          </cell>
          <cell r="BD593" t="str">
            <v>Manual</v>
          </cell>
          <cell r="BE593">
            <v>15</v>
          </cell>
          <cell r="BF593" t="str">
            <v>Kowshik</v>
          </cell>
          <cell r="BG593" t="str">
            <v>Y</v>
          </cell>
        </row>
        <row r="594">
          <cell r="A594" t="str">
            <v>FBR1J230194</v>
          </cell>
          <cell r="B594">
            <v>230194</v>
          </cell>
          <cell r="C594" t="str">
            <v>R&amp;D</v>
          </cell>
          <cell r="D594">
            <v>45115</v>
          </cell>
          <cell r="E594">
            <v>0.39861111111111114</v>
          </cell>
          <cell r="F594">
            <v>45108</v>
          </cell>
          <cell r="G594">
            <v>45115</v>
          </cell>
          <cell r="H594">
            <v>0.56180555555555556</v>
          </cell>
          <cell r="I594">
            <v>0.16319444444444445</v>
          </cell>
          <cell r="J594">
            <v>2</v>
          </cell>
          <cell r="K594" t="str">
            <v>FCB-PROTOCOL-02</v>
          </cell>
          <cell r="L594" t="str">
            <v>CLN/PRA/215</v>
          </cell>
          <cell r="M594" t="str">
            <v>Y</v>
          </cell>
          <cell r="N594" t="str">
            <v>COS_v3.0-Gastric (1J)</v>
          </cell>
          <cell r="O594" t="str">
            <v>Internal R&amp;D</v>
          </cell>
          <cell r="P594" t="str">
            <v>Q1 Passed</v>
          </cell>
          <cell r="Q594" t="str">
            <v>Q1 Passed</v>
          </cell>
          <cell r="R594" t="str">
            <v>Q1.5 Passed</v>
          </cell>
          <cell r="S594" t="str">
            <v>Q1.5 Passed</v>
          </cell>
          <cell r="V594" t="str">
            <v>Tumor content 0-40%. 2 explants without tumor</v>
          </cell>
          <cell r="W594" t="str">
            <v>Private Hospital</v>
          </cell>
          <cell r="X594" t="str">
            <v>Dr Prakash BV, Bangalore</v>
          </cell>
          <cell r="Y594" t="str">
            <v>Sri Lakshmi Hospital, Bangalore</v>
          </cell>
          <cell r="Z594" t="str">
            <v>Dr Prakash BV, Bangalore</v>
          </cell>
          <cell r="AA594" t="str">
            <v>GI</v>
          </cell>
          <cell r="AC594" t="str">
            <v>Stomach</v>
          </cell>
          <cell r="AD594" t="str">
            <v>Antrum of Stomach</v>
          </cell>
          <cell r="AE594" t="str">
            <v>Male</v>
          </cell>
          <cell r="AF594">
            <v>55</v>
          </cell>
          <cell r="AG594" t="str">
            <v>N</v>
          </cell>
          <cell r="AH594">
            <v>5.0999999999999996</v>
          </cell>
          <cell r="AI594" t="str">
            <v>Kalappa</v>
          </cell>
          <cell r="AJ594" t="str">
            <v>Surgery</v>
          </cell>
          <cell r="AK594" t="str">
            <v>Primary</v>
          </cell>
          <cell r="AN594" t="str">
            <v>II</v>
          </cell>
          <cell r="AP594" t="str">
            <v>pT3N1</v>
          </cell>
          <cell r="AV594">
            <v>45115</v>
          </cell>
          <cell r="AW594">
            <v>0.60416666666666663</v>
          </cell>
          <cell r="AX594">
            <v>0.66319444444444442</v>
          </cell>
          <cell r="AY594">
            <v>5.9027777777777776E-2</v>
          </cell>
          <cell r="AZ594">
            <v>0.10138888888888889</v>
          </cell>
          <cell r="BA594">
            <v>0.26458333333333334</v>
          </cell>
          <cell r="BB594" t="str">
            <v>1.0*1.4/1.0*2.6/2.0</v>
          </cell>
          <cell r="BC594" t="str">
            <v>1.0*1.4/1.0*2.6/2.0</v>
          </cell>
          <cell r="BD594" t="str">
            <v>Manual</v>
          </cell>
          <cell r="BE594">
            <v>15</v>
          </cell>
          <cell r="BF594" t="str">
            <v>Kowshik</v>
          </cell>
          <cell r="BG594" t="str">
            <v>Y</v>
          </cell>
        </row>
        <row r="595">
          <cell r="A595" t="str">
            <v>FBR2D230195</v>
          </cell>
          <cell r="B595">
            <v>230195</v>
          </cell>
          <cell r="C595" t="str">
            <v>R&amp;D</v>
          </cell>
          <cell r="D595">
            <v>45115</v>
          </cell>
          <cell r="E595">
            <v>0.44861111111111113</v>
          </cell>
          <cell r="F595">
            <v>45108</v>
          </cell>
          <cell r="G595">
            <v>45115</v>
          </cell>
          <cell r="H595">
            <v>0.56180555555555556</v>
          </cell>
          <cell r="I595">
            <v>0.11319444444444444</v>
          </cell>
          <cell r="J595">
            <v>2</v>
          </cell>
          <cell r="K595" t="str">
            <v>FCB-PROTOCOL-02</v>
          </cell>
          <cell r="L595" t="str">
            <v>CLN/PRA/217</v>
          </cell>
          <cell r="M595" t="str">
            <v>Y</v>
          </cell>
          <cell r="N595" t="str">
            <v>BSS V2 (R2D)</v>
          </cell>
          <cell r="O595" t="str">
            <v>Internal R&amp;D</v>
          </cell>
          <cell r="P595" t="str">
            <v>Q1 Passed</v>
          </cell>
          <cell r="Q595" t="str">
            <v>Q1 Passed</v>
          </cell>
          <cell r="R595" t="str">
            <v>Q1.5 Passed</v>
          </cell>
          <cell r="S595" t="str">
            <v>Q1.5 Passed</v>
          </cell>
          <cell r="V595" t="str">
            <v xml:space="preserve">Tumor content 15-98% </v>
          </cell>
          <cell r="W595" t="str">
            <v>Private Hospital</v>
          </cell>
          <cell r="X595" t="str">
            <v>Dr Prakash BV, Bangalore</v>
          </cell>
          <cell r="Y595" t="str">
            <v>Sri Lakshmi Hospital, Bangalore</v>
          </cell>
          <cell r="Z595" t="str">
            <v>Dr Prakash BV, Bangalore</v>
          </cell>
          <cell r="AA595" t="str">
            <v>HNSCC</v>
          </cell>
          <cell r="AC595" t="str">
            <v>Tongue</v>
          </cell>
          <cell r="AD595" t="str">
            <v>Left Lateral Border of Tongue</v>
          </cell>
          <cell r="AE595" t="str">
            <v>Male</v>
          </cell>
          <cell r="AF595">
            <v>65</v>
          </cell>
          <cell r="AG595" t="str">
            <v>N</v>
          </cell>
          <cell r="AH595">
            <v>5.0999999999999996</v>
          </cell>
          <cell r="AI595" t="str">
            <v>Kalappa</v>
          </cell>
          <cell r="AJ595" t="str">
            <v>Surgery</v>
          </cell>
          <cell r="AK595" t="str">
            <v>Primary</v>
          </cell>
          <cell r="AN595" t="str">
            <v>II</v>
          </cell>
          <cell r="AP595" t="str">
            <v>pT2N0</v>
          </cell>
          <cell r="AV595">
            <v>45115</v>
          </cell>
          <cell r="AW595">
            <v>0.60902777777777772</v>
          </cell>
          <cell r="AX595">
            <v>0.6875</v>
          </cell>
          <cell r="AY595">
            <v>7.8472222222222221E-2</v>
          </cell>
          <cell r="AZ595">
            <v>0.12569444444444444</v>
          </cell>
          <cell r="BA595">
            <v>0.2388888888888889</v>
          </cell>
          <cell r="BB595" t="str">
            <v>0.6*1.0*1.6
0.4*0.7*1.4</v>
          </cell>
          <cell r="BC595" t="str">
            <v>0.6*1.0*1.6
0.4*0.7*1.4</v>
          </cell>
          <cell r="BD595" t="str">
            <v>Manual</v>
          </cell>
          <cell r="BE595">
            <v>15</v>
          </cell>
          <cell r="BF595" t="str">
            <v>Syam</v>
          </cell>
          <cell r="BG595" t="str">
            <v>Y</v>
          </cell>
        </row>
        <row r="596">
          <cell r="A596" t="str">
            <v>FBR2F230195</v>
          </cell>
          <cell r="B596">
            <v>230195</v>
          </cell>
          <cell r="C596" t="str">
            <v>R&amp;D</v>
          </cell>
          <cell r="D596">
            <v>45115</v>
          </cell>
          <cell r="E596">
            <v>0.44861111111111113</v>
          </cell>
          <cell r="F596">
            <v>45108</v>
          </cell>
          <cell r="G596">
            <v>45115</v>
          </cell>
          <cell r="H596">
            <v>0.56180555555555556</v>
          </cell>
          <cell r="I596">
            <v>0.11319444444444444</v>
          </cell>
          <cell r="J596">
            <v>2</v>
          </cell>
          <cell r="K596" t="str">
            <v>FCB-PROTOCOL-02</v>
          </cell>
          <cell r="L596" t="str">
            <v>CLN/PRA/217</v>
          </cell>
          <cell r="M596" t="str">
            <v>Y</v>
          </cell>
          <cell r="N596" t="str">
            <v>ECR (2F)</v>
          </cell>
          <cell r="O596" t="str">
            <v>Internal R&amp;D</v>
          </cell>
          <cell r="P596" t="str">
            <v>Q1 Passed</v>
          </cell>
          <cell r="Q596" t="str">
            <v>Q1 Passed</v>
          </cell>
          <cell r="R596" t="str">
            <v>Q1.5 Passed</v>
          </cell>
          <cell r="S596" t="str">
            <v>Q1.5 Passed</v>
          </cell>
          <cell r="V596" t="str">
            <v xml:space="preserve">Tumor content 15-98% </v>
          </cell>
          <cell r="W596" t="str">
            <v>Private Hospital</v>
          </cell>
          <cell r="X596" t="str">
            <v>Dr Prakash BV, Bangalore</v>
          </cell>
          <cell r="Y596" t="str">
            <v>Sri Lakshmi Hospital, Bangalore</v>
          </cell>
          <cell r="Z596" t="str">
            <v>Dr Prakash BV, Bangalore</v>
          </cell>
          <cell r="AA596" t="str">
            <v>HNSCC</v>
          </cell>
          <cell r="AC596" t="str">
            <v>Tongue</v>
          </cell>
          <cell r="AD596" t="str">
            <v>Left Lateral Border of Tongue</v>
          </cell>
          <cell r="AE596" t="str">
            <v>Male</v>
          </cell>
          <cell r="AF596">
            <v>65</v>
          </cell>
          <cell r="AG596" t="str">
            <v>N</v>
          </cell>
          <cell r="AH596">
            <v>5.0999999999999996</v>
          </cell>
          <cell r="AI596" t="str">
            <v>Kalappa</v>
          </cell>
          <cell r="AJ596" t="str">
            <v>Surgery</v>
          </cell>
          <cell r="AK596" t="str">
            <v>Primary</v>
          </cell>
          <cell r="AN596" t="str">
            <v>II</v>
          </cell>
          <cell r="AP596" t="str">
            <v>pT2N0</v>
          </cell>
          <cell r="AV596">
            <v>45115</v>
          </cell>
          <cell r="AW596">
            <v>0.60902777777777772</v>
          </cell>
          <cell r="AX596">
            <v>0.6875</v>
          </cell>
          <cell r="AY596">
            <v>7.8472222222222221E-2</v>
          </cell>
          <cell r="AZ596">
            <v>0.12569444444444444</v>
          </cell>
          <cell r="BA596">
            <v>0.2388888888888889</v>
          </cell>
          <cell r="BB596" t="str">
            <v>0.6*1.0*1.6
0.4*0.7*1.4</v>
          </cell>
          <cell r="BC596" t="str">
            <v>0.6*1.0*1.6
0.4*0.7*1.4</v>
          </cell>
          <cell r="BD596" t="str">
            <v>Manual</v>
          </cell>
          <cell r="BE596">
            <v>15</v>
          </cell>
          <cell r="BF596" t="str">
            <v>Syam</v>
          </cell>
          <cell r="BG596" t="str">
            <v>Y</v>
          </cell>
        </row>
        <row r="597">
          <cell r="A597" t="str">
            <v>FBR1Q230196</v>
          </cell>
          <cell r="B597">
            <v>230196</v>
          </cell>
          <cell r="C597" t="str">
            <v>R&amp;D</v>
          </cell>
          <cell r="D597">
            <v>45117</v>
          </cell>
          <cell r="E597">
            <v>0.40972222222222221</v>
          </cell>
          <cell r="F597">
            <v>45108</v>
          </cell>
          <cell r="G597">
            <v>45117</v>
          </cell>
          <cell r="H597">
            <v>0.52986111111111112</v>
          </cell>
          <cell r="I597">
            <v>0.12013888888888889</v>
          </cell>
          <cell r="J597">
            <v>2</v>
          </cell>
          <cell r="K597" t="str">
            <v>FCB-PROTOCOL-02</v>
          </cell>
          <cell r="L597" t="str">
            <v>VYD/180</v>
          </cell>
          <cell r="M597" t="str">
            <v>Y</v>
          </cell>
          <cell r="N597" t="str">
            <v>COSv4.2_CaBR(1Q-Unknown)</v>
          </cell>
          <cell r="O597" t="str">
            <v>Internal R&amp;D</v>
          </cell>
          <cell r="P597" t="str">
            <v>Q1 Passed</v>
          </cell>
          <cell r="Q597" t="str">
            <v>Q1 Passed</v>
          </cell>
          <cell r="R597" t="str">
            <v>Q1.5 Passed</v>
          </cell>
          <cell r="S597" t="str">
            <v>Q1.5 Passed</v>
          </cell>
          <cell r="V597" t="str">
            <v>Tumor content 0-20%</v>
          </cell>
          <cell r="W597" t="str">
            <v>Private Hospital</v>
          </cell>
          <cell r="X597" t="str">
            <v>Vydehi Hospital, Bangalore</v>
          </cell>
          <cell r="Y597" t="str">
            <v>Vydehi Hospital, Bangalore</v>
          </cell>
          <cell r="Z597" t="str">
            <v>Dr Amritha Prabha, Bangalore</v>
          </cell>
          <cell r="AA597" t="str">
            <v>Ca Breast</v>
          </cell>
          <cell r="AB597" t="str">
            <v>Er(P)
Pr(N)
Her2(P)</v>
          </cell>
          <cell r="AC597" t="str">
            <v>Breast</v>
          </cell>
          <cell r="AD597" t="str">
            <v>Left Breast</v>
          </cell>
          <cell r="AE597" t="str">
            <v>Female</v>
          </cell>
          <cell r="AF597">
            <v>83</v>
          </cell>
          <cell r="AG597" t="str">
            <v>N</v>
          </cell>
          <cell r="AH597">
            <v>3.5</v>
          </cell>
          <cell r="AI597" t="str">
            <v>Kalappa</v>
          </cell>
          <cell r="AJ597" t="str">
            <v>Surgery</v>
          </cell>
          <cell r="AK597" t="str">
            <v>Primary</v>
          </cell>
          <cell r="AN597" t="str">
            <v>IIB</v>
          </cell>
          <cell r="AO597">
            <v>2</v>
          </cell>
          <cell r="AP597" t="str">
            <v>pT2N0</v>
          </cell>
          <cell r="AV597">
            <v>45117</v>
          </cell>
          <cell r="AW597">
            <v>0.55208333333333337</v>
          </cell>
          <cell r="AX597">
            <v>0.68402777777777779</v>
          </cell>
          <cell r="AY597">
            <v>0.13194444444444445</v>
          </cell>
          <cell r="AZ597">
            <v>0.15416666666666667</v>
          </cell>
          <cell r="BA597">
            <v>0.27430555555555558</v>
          </cell>
          <cell r="BB597" t="str">
            <v>0.6/0.8*1.6*2.4</v>
          </cell>
          <cell r="BC597" t="str">
            <v>0.6*1.2*1.6</v>
          </cell>
          <cell r="BD597" t="str">
            <v>Manual</v>
          </cell>
          <cell r="BE597">
            <v>15</v>
          </cell>
          <cell r="BF597" t="str">
            <v>Kokila</v>
          </cell>
          <cell r="BG597" t="str">
            <v>Y</v>
          </cell>
        </row>
        <row r="598">
          <cell r="A598" t="str">
            <v>FBR1J230197</v>
          </cell>
          <cell r="B598">
            <v>230197</v>
          </cell>
          <cell r="C598" t="str">
            <v>R&amp;D</v>
          </cell>
          <cell r="D598">
            <v>45117</v>
          </cell>
          <cell r="E598">
            <v>0.73750000000000004</v>
          </cell>
          <cell r="F598">
            <v>45108</v>
          </cell>
          <cell r="G598">
            <v>45117</v>
          </cell>
          <cell r="H598">
            <v>0.80972222222222223</v>
          </cell>
          <cell r="I598">
            <v>7.2222222222222215E-2</v>
          </cell>
          <cell r="J598">
            <v>2</v>
          </cell>
          <cell r="K598" t="str">
            <v>FCB-PROTOCOL-02</v>
          </cell>
          <cell r="L598" t="str">
            <v>CLN/PRA/218</v>
          </cell>
          <cell r="M598" t="str">
            <v>Y</v>
          </cell>
          <cell r="N598" t="str">
            <v>COS_v3.0-Gastric (1J)</v>
          </cell>
          <cell r="O598" t="str">
            <v>Internal R&amp;D</v>
          </cell>
          <cell r="P598" t="str">
            <v>Q1 Passed</v>
          </cell>
          <cell r="Q598" t="str">
            <v>Q1 Passed</v>
          </cell>
          <cell r="R598" t="str">
            <v>Q1.5 Passed</v>
          </cell>
          <cell r="S598" t="str">
            <v>Q1.5 Rejected</v>
          </cell>
          <cell r="V598" t="str">
            <v>No tumor</v>
          </cell>
          <cell r="W598" t="str">
            <v>Private Hospital</v>
          </cell>
          <cell r="X598" t="str">
            <v>Dr Prakash BV, Bangalore</v>
          </cell>
          <cell r="Y598" t="str">
            <v>Sri Lakshmi Hospital, Bangalore</v>
          </cell>
          <cell r="Z598" t="str">
            <v>Dr Prakash BV, Bangalore</v>
          </cell>
          <cell r="AA598" t="str">
            <v>GI</v>
          </cell>
          <cell r="AC598" t="str">
            <v>Stomach</v>
          </cell>
          <cell r="AD598" t="str">
            <v>Stomach Antrum</v>
          </cell>
          <cell r="AE598" t="str">
            <v>Male</v>
          </cell>
          <cell r="AF598">
            <v>40</v>
          </cell>
          <cell r="AG598" t="str">
            <v>N</v>
          </cell>
          <cell r="AH598">
            <v>4.4000000000000004</v>
          </cell>
          <cell r="AI598" t="str">
            <v>Maruthi</v>
          </cell>
          <cell r="AJ598" t="str">
            <v>Surgery</v>
          </cell>
          <cell r="AK598" t="str">
            <v>Primary</v>
          </cell>
          <cell r="AO598">
            <v>2</v>
          </cell>
          <cell r="AP598" t="str">
            <v>pT4N0</v>
          </cell>
          <cell r="AV598">
            <v>45117</v>
          </cell>
          <cell r="AW598">
            <v>0.8256944444444444</v>
          </cell>
          <cell r="AX598">
            <v>0.90486111111111112</v>
          </cell>
          <cell r="AY598">
            <v>7.9166666666666663E-2</v>
          </cell>
          <cell r="AZ598">
            <v>9.5138888888888884E-2</v>
          </cell>
          <cell r="BA598">
            <v>0.1673611111111111</v>
          </cell>
          <cell r="BB598" t="str">
            <v>0.4-0.8*1.4-2.0*2.6
0.8*0.2-0.9*2.4</v>
          </cell>
          <cell r="BC598" t="str">
            <v>0.4-0.8*1.4-2.0*2.6
0.8*0.2-0.9*2.4</v>
          </cell>
          <cell r="BD598" t="str">
            <v>Manual</v>
          </cell>
          <cell r="BE598">
            <v>15</v>
          </cell>
          <cell r="BF598" t="str">
            <v>Mouniss</v>
          </cell>
          <cell r="BG598" t="str">
            <v>N</v>
          </cell>
        </row>
        <row r="599">
          <cell r="A599" t="str">
            <v>FBR2E230198</v>
          </cell>
          <cell r="B599">
            <v>230198</v>
          </cell>
          <cell r="C599" t="str">
            <v>R&amp;D</v>
          </cell>
          <cell r="D599">
            <v>45118</v>
          </cell>
          <cell r="E599">
            <v>0.59097222222222223</v>
          </cell>
          <cell r="F599">
            <v>45108</v>
          </cell>
          <cell r="G599">
            <v>45118</v>
          </cell>
          <cell r="H599">
            <v>0.63541666666666663</v>
          </cell>
          <cell r="I599">
            <v>4.4444444444444446E-2</v>
          </cell>
          <cell r="J599">
            <v>4</v>
          </cell>
          <cell r="K599" t="str">
            <v>FCB-PROTOCOL-02</v>
          </cell>
          <cell r="L599" t="str">
            <v>CLN/PRA/219</v>
          </cell>
          <cell r="M599" t="str">
            <v>Y</v>
          </cell>
          <cell r="N599" t="str">
            <v>ESP (2E)</v>
          </cell>
          <cell r="O599" t="str">
            <v>Internal R&amp;D</v>
          </cell>
          <cell r="P599" t="str">
            <v>Q1 Passed</v>
          </cell>
          <cell r="Q599" t="str">
            <v>Q1 Passed</v>
          </cell>
          <cell r="R599" t="str">
            <v>Q1.5 Passed</v>
          </cell>
          <cell r="S599" t="str">
            <v>Q1.5 Rejected</v>
          </cell>
          <cell r="V599" t="str">
            <v>Fragments show mostly degenerated keratin . No tumor cells seen</v>
          </cell>
          <cell r="W599" t="str">
            <v>Private Hospital</v>
          </cell>
          <cell r="X599" t="str">
            <v>Dr Prakash BV, Bangalore</v>
          </cell>
          <cell r="Y599" t="str">
            <v>Abhaya Hospital, Bangalore</v>
          </cell>
          <cell r="Z599" t="str">
            <v>Dr Prakash BV, Bangalore</v>
          </cell>
          <cell r="AA599" t="str">
            <v>GI</v>
          </cell>
          <cell r="AC599" t="str">
            <v>Esophagus</v>
          </cell>
          <cell r="AD599" t="str">
            <v>Esophagus</v>
          </cell>
          <cell r="AE599" t="str">
            <v>Female</v>
          </cell>
          <cell r="AF599">
            <v>56</v>
          </cell>
          <cell r="AG599" t="str">
            <v>N</v>
          </cell>
          <cell r="AH599">
            <v>4.9000000000000004</v>
          </cell>
          <cell r="AI599" t="str">
            <v>Shashi</v>
          </cell>
          <cell r="AJ599" t="str">
            <v>Surgery</v>
          </cell>
          <cell r="AK599" t="str">
            <v>Primary</v>
          </cell>
          <cell r="AO599">
            <v>2</v>
          </cell>
          <cell r="AP599" t="str">
            <v>pT2N0M0</v>
          </cell>
          <cell r="AV599">
            <v>45118</v>
          </cell>
          <cell r="AW599">
            <v>0.68541666666666667</v>
          </cell>
          <cell r="AX599">
            <v>0.73611111111111116</v>
          </cell>
          <cell r="AY599">
            <v>5.0694444444444445E-2</v>
          </cell>
          <cell r="AZ599">
            <v>0.10069444444444445</v>
          </cell>
          <cell r="BA599">
            <v>0.1451388888888889</v>
          </cell>
          <cell r="BB599" t="str">
            <v>0.3/0.4*1.4/0.8*4.0</v>
          </cell>
          <cell r="BC599" t="str">
            <v>0.3/0.4*1.4/0.8*4.0</v>
          </cell>
          <cell r="BD599" t="str">
            <v>Manual</v>
          </cell>
          <cell r="BE599">
            <v>15</v>
          </cell>
          <cell r="BF599" t="str">
            <v>Dharani</v>
          </cell>
          <cell r="BG599" t="str">
            <v>Y</v>
          </cell>
        </row>
        <row r="600">
          <cell r="A600" t="str">
            <v>FBR2G230199</v>
          </cell>
          <cell r="B600">
            <v>230199</v>
          </cell>
          <cell r="C600" t="str">
            <v>R&amp;D</v>
          </cell>
          <cell r="D600">
            <v>45119</v>
          </cell>
          <cell r="E600">
            <v>0.51388888888888884</v>
          </cell>
          <cell r="F600">
            <v>45108</v>
          </cell>
          <cell r="G600">
            <v>45119</v>
          </cell>
          <cell r="H600">
            <v>0.90277777777777779</v>
          </cell>
          <cell r="I600">
            <v>0.3888888888888889</v>
          </cell>
          <cell r="J600">
            <v>20</v>
          </cell>
          <cell r="K600" t="str">
            <v>FCB-PROTOCOL-01</v>
          </cell>
          <cell r="L600" t="str">
            <v>CLN/DBR/149</v>
          </cell>
          <cell r="M600" t="str">
            <v>Y</v>
          </cell>
          <cell r="N600" t="str">
            <v>Microfragments (2G)</v>
          </cell>
          <cell r="O600" t="str">
            <v>Internal R&amp;D</v>
          </cell>
          <cell r="P600" t="str">
            <v>Q1 Passed</v>
          </cell>
          <cell r="Q600" t="str">
            <v>Q1 Passed</v>
          </cell>
          <cell r="R600" t="str">
            <v>Q1.5 Passed</v>
          </cell>
          <cell r="S600" t="str">
            <v>Q1.5 Passed</v>
          </cell>
          <cell r="V600" t="str">
            <v>Tumor content 65-90%</v>
          </cell>
          <cell r="W600" t="str">
            <v>Clinic'les</v>
          </cell>
          <cell r="X600" t="str">
            <v>Clinic'les- DBR &amp; SK Hospital, Tirupati</v>
          </cell>
          <cell r="Y600" t="str">
            <v>DBR &amp; SK Hospital, Tirupati</v>
          </cell>
          <cell r="Z600" t="str">
            <v>Dr C Jayaprakash, Tirupati</v>
          </cell>
          <cell r="AA600" t="str">
            <v>HNSCC</v>
          </cell>
          <cell r="AC600" t="str">
            <v>Buccal mucosa</v>
          </cell>
          <cell r="AD600" t="str">
            <v>Left Buccal Mucosa</v>
          </cell>
          <cell r="AE600" t="str">
            <v>Female</v>
          </cell>
          <cell r="AF600">
            <v>62</v>
          </cell>
          <cell r="AG600" t="str">
            <v>N</v>
          </cell>
          <cell r="AH600">
            <v>4.9000000000000004</v>
          </cell>
          <cell r="AI600" t="str">
            <v>Shashi</v>
          </cell>
          <cell r="AJ600" t="str">
            <v>Surgery</v>
          </cell>
          <cell r="AK600" t="str">
            <v>Primary</v>
          </cell>
          <cell r="AN600" t="str">
            <v>IVa</v>
          </cell>
          <cell r="AP600" t="str">
            <v>pT4aN1Mx</v>
          </cell>
          <cell r="AV600">
            <v>45119</v>
          </cell>
          <cell r="AW600">
            <v>0.92152777777777772</v>
          </cell>
          <cell r="AX600">
            <v>0.96388888888888891</v>
          </cell>
          <cell r="AY600">
            <v>4.2361111111111113E-2</v>
          </cell>
          <cell r="AZ600">
            <v>6.1111111111111109E-2</v>
          </cell>
          <cell r="BA600">
            <v>0.45</v>
          </cell>
          <cell r="BB600" t="str">
            <v>0.6*0.8/1.2*2.4</v>
          </cell>
          <cell r="BC600" t="str">
            <v>0.6*0.8/1.2*2.4</v>
          </cell>
          <cell r="BD600" t="str">
            <v>Vibratome</v>
          </cell>
          <cell r="BE600">
            <v>15</v>
          </cell>
          <cell r="BF600" t="str">
            <v>kuberan</v>
          </cell>
          <cell r="BG600" t="str">
            <v>Y</v>
          </cell>
        </row>
        <row r="601">
          <cell r="A601" t="str">
            <v>FBR1Z230199</v>
          </cell>
          <cell r="B601">
            <v>230199</v>
          </cell>
          <cell r="C601" t="str">
            <v>R&amp;D</v>
          </cell>
          <cell r="D601">
            <v>45119</v>
          </cell>
          <cell r="E601">
            <v>0.51388888888888884</v>
          </cell>
          <cell r="F601">
            <v>45108</v>
          </cell>
          <cell r="G601">
            <v>45119</v>
          </cell>
          <cell r="H601">
            <v>0.90277777777777779</v>
          </cell>
          <cell r="I601">
            <v>0.3888888888888889</v>
          </cell>
          <cell r="J601">
            <v>20</v>
          </cell>
          <cell r="K601" t="str">
            <v>FCB-PROTOCOL-01</v>
          </cell>
          <cell r="L601" t="str">
            <v>CLN/DBR/149</v>
          </cell>
          <cell r="M601" t="str">
            <v>Y</v>
          </cell>
          <cell r="N601" t="str">
            <v>CT+LD Nivo -NLD study (1Z)</v>
          </cell>
          <cell r="O601" t="str">
            <v>Internal R&amp;D</v>
          </cell>
          <cell r="P601" t="str">
            <v>Q1 Passed</v>
          </cell>
          <cell r="Q601" t="str">
            <v>Q1 Passed</v>
          </cell>
          <cell r="R601" t="str">
            <v>Q1.5 Passed</v>
          </cell>
          <cell r="S601" t="str">
            <v>Q1.5 Passed</v>
          </cell>
          <cell r="V601" t="str">
            <v>Tumor content 65-90%</v>
          </cell>
          <cell r="W601" t="str">
            <v>Clinic'les</v>
          </cell>
          <cell r="X601" t="str">
            <v>Clinic'les- DBR &amp; SK Hospital, Tirupati</v>
          </cell>
          <cell r="Y601" t="str">
            <v>DBR &amp; SK Hospital, Tirupati</v>
          </cell>
          <cell r="Z601" t="str">
            <v>Dr C Jayaprakash, Tirupati</v>
          </cell>
          <cell r="AA601" t="str">
            <v>HNSCC</v>
          </cell>
          <cell r="AC601" t="str">
            <v>Buccal mucosa</v>
          </cell>
          <cell r="AD601" t="str">
            <v>Left Buccal Mucosa</v>
          </cell>
          <cell r="AE601" t="str">
            <v>Female</v>
          </cell>
          <cell r="AF601">
            <v>62</v>
          </cell>
          <cell r="AG601" t="str">
            <v>N</v>
          </cell>
          <cell r="AH601">
            <v>4.9000000000000004</v>
          </cell>
          <cell r="AI601" t="str">
            <v>Shashi</v>
          </cell>
          <cell r="AJ601" t="str">
            <v>Surgery</v>
          </cell>
          <cell r="AK601" t="str">
            <v>Primary</v>
          </cell>
          <cell r="AN601" t="str">
            <v>IVa</v>
          </cell>
          <cell r="AP601" t="str">
            <v>pT4aN1Mx</v>
          </cell>
          <cell r="AV601">
            <v>45119</v>
          </cell>
          <cell r="AW601">
            <v>0.92152777777777772</v>
          </cell>
          <cell r="AX601">
            <v>0.96388888888888891</v>
          </cell>
          <cell r="AY601">
            <v>4.2361111111111113E-2</v>
          </cell>
          <cell r="AZ601">
            <v>6.1111111111111109E-2</v>
          </cell>
          <cell r="BA601">
            <v>0.45</v>
          </cell>
          <cell r="BB601" t="str">
            <v>0.6*0.8/1.2*2.4</v>
          </cell>
          <cell r="BC601" t="str">
            <v>0.6*0.8/1.2*2.4</v>
          </cell>
          <cell r="BD601" t="str">
            <v>Vibratome</v>
          </cell>
          <cell r="BE601">
            <v>15</v>
          </cell>
          <cell r="BF601" t="str">
            <v>kuberan</v>
          </cell>
          <cell r="BG601" t="str">
            <v>Y</v>
          </cell>
        </row>
        <row r="602">
          <cell r="A602" t="str">
            <v>FBR2C230200</v>
          </cell>
          <cell r="B602">
            <v>230200</v>
          </cell>
          <cell r="C602" t="str">
            <v>R&amp;D</v>
          </cell>
          <cell r="D602">
            <v>45120</v>
          </cell>
          <cell r="E602">
            <v>0.53263888888888888</v>
          </cell>
          <cell r="F602">
            <v>45108</v>
          </cell>
          <cell r="G602">
            <v>45120</v>
          </cell>
          <cell r="H602">
            <v>0.58888888888888891</v>
          </cell>
          <cell r="I602">
            <v>5.6250000000000001E-2</v>
          </cell>
          <cell r="J602">
            <v>1</v>
          </cell>
          <cell r="K602" t="str">
            <v>FCB-PROTOCOL-02</v>
          </cell>
          <cell r="L602" t="str">
            <v>VYD/181</v>
          </cell>
          <cell r="M602" t="str">
            <v>Y</v>
          </cell>
          <cell r="N602" t="str">
            <v>RCC DPT (R2C)</v>
          </cell>
          <cell r="O602" t="str">
            <v>Internal R&amp;D</v>
          </cell>
          <cell r="P602" t="str">
            <v>Q1 Passed</v>
          </cell>
          <cell r="Q602" t="str">
            <v>Q1 Passed</v>
          </cell>
          <cell r="R602" t="str">
            <v>Q1.5 Passed</v>
          </cell>
          <cell r="S602" t="str">
            <v>Q1.5 Passed</v>
          </cell>
          <cell r="V602" t="str">
            <v>2 fragments have 70-80% tumor. Others no tumor</v>
          </cell>
          <cell r="W602" t="str">
            <v>Private Hospital</v>
          </cell>
          <cell r="X602" t="str">
            <v>Vydehi Hospital, Bangalore</v>
          </cell>
          <cell r="Y602" t="str">
            <v>Vydehi Hospital, Bangalore</v>
          </cell>
          <cell r="Z602" t="str">
            <v>Dr Amritha Prabha, Bangalore</v>
          </cell>
          <cell r="AA602" t="str">
            <v>RCC</v>
          </cell>
          <cell r="AC602" t="str">
            <v>Kidney</v>
          </cell>
          <cell r="AD602" t="str">
            <v>Left Kidney</v>
          </cell>
          <cell r="AE602" t="str">
            <v>Male</v>
          </cell>
          <cell r="AF602">
            <v>68</v>
          </cell>
          <cell r="AG602" t="str">
            <v>N</v>
          </cell>
          <cell r="AH602">
            <v>6</v>
          </cell>
          <cell r="AI602" t="str">
            <v>Kalappa</v>
          </cell>
          <cell r="AJ602" t="str">
            <v>Surgery</v>
          </cell>
          <cell r="AK602" t="str">
            <v>Primary</v>
          </cell>
          <cell r="AN602" t="str">
            <v>III</v>
          </cell>
          <cell r="AO602">
            <v>1</v>
          </cell>
          <cell r="AP602" t="str">
            <v>pT3aNx</v>
          </cell>
          <cell r="AV602">
            <v>45120</v>
          </cell>
          <cell r="AW602">
            <v>0.61319444444444449</v>
          </cell>
          <cell r="AX602">
            <v>0.7319444444444444</v>
          </cell>
          <cell r="AY602">
            <v>0.11874999999999999</v>
          </cell>
          <cell r="AZ602">
            <v>0.14305555555555555</v>
          </cell>
          <cell r="BA602">
            <v>0.19930555555555557</v>
          </cell>
          <cell r="BB602" t="str">
            <v>1.2/0.6*1.6*2.2
1.0/0.6*1.3*1.6</v>
          </cell>
          <cell r="BC602" t="str">
            <v>1.0*1.2*2.0</v>
          </cell>
          <cell r="BD602" t="str">
            <v>Vibratome</v>
          </cell>
          <cell r="BE602">
            <v>15</v>
          </cell>
          <cell r="BF602" t="str">
            <v>Pallavi</v>
          </cell>
          <cell r="BG602" t="str">
            <v>Y</v>
          </cell>
        </row>
        <row r="603">
          <cell r="A603" t="str">
            <v>FBR1Z230201</v>
          </cell>
          <cell r="B603">
            <v>230201</v>
          </cell>
          <cell r="C603" t="str">
            <v>R&amp;D</v>
          </cell>
          <cell r="D603">
            <v>45120</v>
          </cell>
          <cell r="E603">
            <v>0.53125</v>
          </cell>
          <cell r="F603">
            <v>45108</v>
          </cell>
          <cell r="G603">
            <v>45120</v>
          </cell>
          <cell r="H603">
            <v>0.58888888888888891</v>
          </cell>
          <cell r="I603">
            <v>5.7638888888888892E-2</v>
          </cell>
          <cell r="J603">
            <v>0</v>
          </cell>
          <cell r="K603" t="str">
            <v>FCB-PROTOCOL-02</v>
          </cell>
          <cell r="L603" t="str">
            <v>VYD/BPY/007</v>
          </cell>
          <cell r="M603" t="str">
            <v>Y</v>
          </cell>
          <cell r="N603" t="str">
            <v>CT+LD Nivo -NLD study (1Z)</v>
          </cell>
          <cell r="O603" t="str">
            <v>Internal R&amp;D</v>
          </cell>
          <cell r="P603" t="str">
            <v>Q1 Passed</v>
          </cell>
          <cell r="Q603" t="str">
            <v>Q1 Passed</v>
          </cell>
          <cell r="R603" t="str">
            <v>Q1.5 Passed</v>
          </cell>
          <cell r="S603" t="str">
            <v>Q1.5 Passed</v>
          </cell>
          <cell r="V603" t="str">
            <v>Tumor content 0-30%</v>
          </cell>
          <cell r="W603" t="str">
            <v>Private Hospital</v>
          </cell>
          <cell r="X603" t="str">
            <v>Vydehi Hospital, Bangalore</v>
          </cell>
          <cell r="Y603" t="str">
            <v>Vydehi Hospital, Bangalore</v>
          </cell>
          <cell r="Z603" t="str">
            <v>Dr Shashidar</v>
          </cell>
          <cell r="AA603" t="str">
            <v>HNSCC</v>
          </cell>
          <cell r="AC603" t="str">
            <v>Buccal mucosa</v>
          </cell>
          <cell r="AD603" t="str">
            <v>Right buccal mucosa</v>
          </cell>
          <cell r="AE603" t="str">
            <v>Male</v>
          </cell>
          <cell r="AF603">
            <v>32</v>
          </cell>
          <cell r="AG603" t="str">
            <v>N</v>
          </cell>
          <cell r="AH603">
            <v>6</v>
          </cell>
          <cell r="AI603" t="str">
            <v>Kalappa</v>
          </cell>
          <cell r="AJ603" t="str">
            <v>Biopsy</v>
          </cell>
          <cell r="AK603" t="str">
            <v>Local Recurrent</v>
          </cell>
          <cell r="AL603" t="str">
            <v>Radiotherapy (May2023)</v>
          </cell>
          <cell r="AN603" t="str">
            <v>IV</v>
          </cell>
          <cell r="AO603">
            <v>1</v>
          </cell>
          <cell r="AP603" t="str">
            <v>T4aN2M0</v>
          </cell>
          <cell r="AV603">
            <v>45120</v>
          </cell>
          <cell r="AW603">
            <v>0.60972222222222228</v>
          </cell>
          <cell r="AX603">
            <v>0.70416666666666672</v>
          </cell>
          <cell r="AY603">
            <v>9.4444444444444442E-2</v>
          </cell>
          <cell r="AZ603">
            <v>0.11527777777777778</v>
          </cell>
          <cell r="BA603">
            <v>0.17291666666666666</v>
          </cell>
          <cell r="BB603" t="str">
            <v>0.4*0.8*1.0
0.6*0.6*0.8</v>
          </cell>
          <cell r="BC603" t="str">
            <v>0.4*0.8*1.0
0.6*0.6*0.8</v>
          </cell>
          <cell r="BD603" t="str">
            <v>Manual</v>
          </cell>
          <cell r="BE603">
            <v>15</v>
          </cell>
          <cell r="BF603" t="str">
            <v>Mouniss</v>
          </cell>
          <cell r="BG603" t="str">
            <v>Y</v>
          </cell>
        </row>
        <row r="604">
          <cell r="A604" t="str">
            <v>FBR2C230202</v>
          </cell>
          <cell r="B604">
            <v>230202</v>
          </cell>
          <cell r="C604" t="str">
            <v>R&amp;D</v>
          </cell>
          <cell r="D604">
            <v>45120</v>
          </cell>
          <cell r="E604">
            <v>0.58333333333333337</v>
          </cell>
          <cell r="F604">
            <v>45108</v>
          </cell>
          <cell r="G604">
            <v>45120</v>
          </cell>
          <cell r="H604">
            <v>0.6694444444444444</v>
          </cell>
          <cell r="I604">
            <v>8.611111111111111E-2</v>
          </cell>
          <cell r="J604">
            <v>10</v>
          </cell>
          <cell r="K604" t="str">
            <v>FCB-PROTOCOL-02</v>
          </cell>
          <cell r="L604" t="str">
            <v>RC034</v>
          </cell>
          <cell r="M604" t="str">
            <v>Y</v>
          </cell>
          <cell r="N604" t="str">
            <v>RCC DPT (R2C)</v>
          </cell>
          <cell r="O604" t="str">
            <v>Internal R&amp;D</v>
          </cell>
          <cell r="P604" t="str">
            <v>Q1 Passed</v>
          </cell>
          <cell r="Q604" t="str">
            <v>Q1 Passed</v>
          </cell>
          <cell r="R604" t="str">
            <v>Q1.5 Passed</v>
          </cell>
          <cell r="S604" t="str">
            <v>Q1.5 Passed</v>
          </cell>
          <cell r="V604" t="str">
            <v>Tumor content 10-20%</v>
          </cell>
          <cell r="W604" t="str">
            <v>Private Hospital</v>
          </cell>
          <cell r="X604" t="str">
            <v>Mazumdar Shaw Medical Centre, Bangalore</v>
          </cell>
          <cell r="Y604" t="str">
            <v>Mazumdar Shaw Medical Centre, Bangalore</v>
          </cell>
          <cell r="Z604" t="str">
            <v>Dr Saurabh Bhargav, Bangalore</v>
          </cell>
          <cell r="AA604" t="str">
            <v>RCC</v>
          </cell>
          <cell r="AC604" t="str">
            <v>Renal</v>
          </cell>
          <cell r="AD604" t="str">
            <v>Left Renal Mass</v>
          </cell>
          <cell r="AE604" t="str">
            <v>Male</v>
          </cell>
          <cell r="AF604">
            <v>52</v>
          </cell>
          <cell r="AG604" t="str">
            <v>N</v>
          </cell>
          <cell r="AH604">
            <v>5.0999999999999996</v>
          </cell>
          <cell r="AI604" t="str">
            <v>Shashi</v>
          </cell>
          <cell r="AJ604" t="str">
            <v>Surgery</v>
          </cell>
          <cell r="AK604" t="str">
            <v>Primary</v>
          </cell>
          <cell r="AN604" t="str">
            <v>IV</v>
          </cell>
          <cell r="AO604">
            <v>4</v>
          </cell>
          <cell r="AP604" t="str">
            <v>pT4</v>
          </cell>
          <cell r="AS604" t="str">
            <v>Clear cell renal cell carcinoma</v>
          </cell>
          <cell r="AV604">
            <v>45120</v>
          </cell>
          <cell r="AW604">
            <v>0.68055555555555558</v>
          </cell>
          <cell r="AX604">
            <v>0.80208333333333337</v>
          </cell>
          <cell r="AY604">
            <v>0.12152777777777778</v>
          </cell>
          <cell r="AZ604">
            <v>0.13263888888888889</v>
          </cell>
          <cell r="BA604">
            <v>0.21875</v>
          </cell>
          <cell r="BB604" t="str">
            <v>0.2/0.6*0.5/1.2*2.1</v>
          </cell>
          <cell r="BC604" t="str">
            <v>0.2/0.6*0.5/1.2*2.1</v>
          </cell>
          <cell r="BD604" t="str">
            <v>Vibratome</v>
          </cell>
          <cell r="BE604">
            <v>15</v>
          </cell>
          <cell r="BF604" t="str">
            <v>Kokila</v>
          </cell>
          <cell r="BG604" t="str">
            <v>Y</v>
          </cell>
        </row>
        <row r="605">
          <cell r="A605" t="str">
            <v>FBR1J230203</v>
          </cell>
          <cell r="B605">
            <v>230203</v>
          </cell>
          <cell r="C605" t="str">
            <v>R&amp;D</v>
          </cell>
          <cell r="D605">
            <v>45120</v>
          </cell>
          <cell r="E605">
            <v>0.6430555555555556</v>
          </cell>
          <cell r="F605">
            <v>45108</v>
          </cell>
          <cell r="G605">
            <v>45120</v>
          </cell>
          <cell r="H605">
            <v>0.68472222222222223</v>
          </cell>
          <cell r="I605">
            <v>4.1666666666666664E-2</v>
          </cell>
          <cell r="J605">
            <v>2</v>
          </cell>
          <cell r="K605" t="str">
            <v>FCB-PROTOCOL-02</v>
          </cell>
          <cell r="L605" t="str">
            <v>CLN/PRA/220</v>
          </cell>
          <cell r="M605" t="str">
            <v>Y</v>
          </cell>
          <cell r="N605" t="str">
            <v>COS_v3.0-Gastric (1J)</v>
          </cell>
          <cell r="O605" t="str">
            <v>Internal R&amp;D</v>
          </cell>
          <cell r="P605" t="str">
            <v>Q1 Passed</v>
          </cell>
          <cell r="Q605" t="str">
            <v>Q1 Passed</v>
          </cell>
          <cell r="R605" t="str">
            <v>Q1.5 Passed</v>
          </cell>
          <cell r="S605" t="str">
            <v>Q1.5 Rejected</v>
          </cell>
          <cell r="V605" t="str">
            <v>No tumor</v>
          </cell>
          <cell r="W605" t="str">
            <v>Private Hospital</v>
          </cell>
          <cell r="X605" t="str">
            <v>Dr Prakash BV, Bangalore</v>
          </cell>
          <cell r="Y605" t="str">
            <v>Abhaya Hospital, Bangalore</v>
          </cell>
          <cell r="Z605" t="str">
            <v>Dr Prakash BV, Bangalore</v>
          </cell>
          <cell r="AA605" t="str">
            <v>GI</v>
          </cell>
          <cell r="AC605" t="str">
            <v>Stomach</v>
          </cell>
          <cell r="AD605" t="str">
            <v>Stomach Antrum</v>
          </cell>
          <cell r="AE605" t="str">
            <v>Female</v>
          </cell>
          <cell r="AF605">
            <v>50</v>
          </cell>
          <cell r="AG605" t="str">
            <v>N</v>
          </cell>
          <cell r="AH605">
            <v>5.4</v>
          </cell>
          <cell r="AI605" t="str">
            <v>Maruthi</v>
          </cell>
          <cell r="AJ605" t="str">
            <v>Surgery</v>
          </cell>
          <cell r="AK605" t="str">
            <v>Primary</v>
          </cell>
          <cell r="AO605">
            <v>2</v>
          </cell>
          <cell r="AP605" t="str">
            <v>pT2N1M0</v>
          </cell>
          <cell r="AV605">
            <v>45120</v>
          </cell>
          <cell r="AW605">
            <v>0.71597222222222223</v>
          </cell>
          <cell r="AX605">
            <v>0.7944444444444444</v>
          </cell>
          <cell r="AY605">
            <v>7.8472222222222221E-2</v>
          </cell>
          <cell r="AZ605">
            <v>0.10972222222222222</v>
          </cell>
          <cell r="BA605">
            <v>0.15138888888888888</v>
          </cell>
          <cell r="BB605" t="str">
            <v>0.4/0.6/0.6*2.2/2.4/1.2* 1.4/3.4/0.8</v>
          </cell>
          <cell r="BC605" t="str">
            <v>0.4/0.6/0.6*2.2/2.4/1.2* 1.4/3.4/0.8</v>
          </cell>
          <cell r="BD605" t="str">
            <v>Manual</v>
          </cell>
          <cell r="BE605">
            <v>15</v>
          </cell>
          <cell r="BF605" t="str">
            <v>Syam</v>
          </cell>
          <cell r="BG605" t="str">
            <v>Y</v>
          </cell>
        </row>
        <row r="606">
          <cell r="A606" t="str">
            <v>FBR1Q230204</v>
          </cell>
          <cell r="B606">
            <v>230204</v>
          </cell>
          <cell r="C606" t="str">
            <v>R&amp;D</v>
          </cell>
          <cell r="D606">
            <v>45120</v>
          </cell>
          <cell r="E606">
            <v>0.4861111111111111</v>
          </cell>
          <cell r="F606">
            <v>45108</v>
          </cell>
          <cell r="G606">
            <v>45120</v>
          </cell>
          <cell r="H606">
            <v>0.8569444444444444</v>
          </cell>
          <cell r="I606">
            <v>0.37083333333333335</v>
          </cell>
          <cell r="J606">
            <v>10</v>
          </cell>
          <cell r="K606" t="str">
            <v>FCB-PROTOCOL-01</v>
          </cell>
          <cell r="L606" t="str">
            <v>CLN/DBR/150</v>
          </cell>
          <cell r="M606" t="str">
            <v>Y</v>
          </cell>
          <cell r="N606" t="str">
            <v>COSv4.2_CaBR(1Q-Unknown)</v>
          </cell>
          <cell r="O606" t="str">
            <v>Internal R&amp;D</v>
          </cell>
          <cell r="P606" t="str">
            <v>Q1 Passed</v>
          </cell>
          <cell r="Q606" t="str">
            <v>Q1 Passed</v>
          </cell>
          <cell r="R606" t="str">
            <v>Q1.5 Passed</v>
          </cell>
          <cell r="S606" t="str">
            <v>Q1.5 Passed</v>
          </cell>
          <cell r="V606" t="str">
            <v>Tumor content 0-45%                   Pyknosis high; necrosis present</v>
          </cell>
          <cell r="W606" t="str">
            <v>Clinic'les</v>
          </cell>
          <cell r="X606" t="str">
            <v>Clinic'les- DBR &amp; SK Hospital, Tirupati</v>
          </cell>
          <cell r="Y606" t="str">
            <v>DBR &amp; SK Hospital, Tirupati</v>
          </cell>
          <cell r="Z606" t="str">
            <v>Dr C Jayaprakash, Tirupati</v>
          </cell>
          <cell r="AA606" t="str">
            <v>Ca Breast</v>
          </cell>
          <cell r="AC606" t="str">
            <v>Breast</v>
          </cell>
          <cell r="AD606" t="str">
            <v>Left Breast</v>
          </cell>
          <cell r="AE606" t="str">
            <v>Female</v>
          </cell>
          <cell r="AF606">
            <v>50</v>
          </cell>
          <cell r="AG606" t="str">
            <v>N</v>
          </cell>
          <cell r="AH606">
            <v>5.0999999999999996</v>
          </cell>
          <cell r="AI606" t="str">
            <v>Shashi</v>
          </cell>
          <cell r="AJ606" t="str">
            <v>Surgery</v>
          </cell>
          <cell r="AK606" t="str">
            <v>Primary</v>
          </cell>
          <cell r="AN606" t="str">
            <v>IIa</v>
          </cell>
          <cell r="AO606">
            <v>3</v>
          </cell>
          <cell r="AP606" t="str">
            <v>pT2N0Mx</v>
          </cell>
          <cell r="AV606">
            <v>45120</v>
          </cell>
          <cell r="AW606">
            <v>0.86944444444444446</v>
          </cell>
          <cell r="AX606">
            <v>0.95</v>
          </cell>
          <cell r="AY606">
            <v>8.0555555555555561E-2</v>
          </cell>
          <cell r="AZ606">
            <v>9.3055555555555558E-2</v>
          </cell>
          <cell r="BA606">
            <v>0.46388888888888891</v>
          </cell>
          <cell r="BB606" t="str">
            <v>1.0*1.6*2.0/1.6</v>
          </cell>
          <cell r="BC606" t="str">
            <v>0.8/1.0*1.2*1.6</v>
          </cell>
          <cell r="BD606" t="str">
            <v>Manual</v>
          </cell>
          <cell r="BE606">
            <v>15</v>
          </cell>
          <cell r="BF606" t="str">
            <v>chandan</v>
          </cell>
          <cell r="BG606" t="str">
            <v>N</v>
          </cell>
        </row>
        <row r="607">
          <cell r="A607" t="str">
            <v>FBR1Q230205</v>
          </cell>
          <cell r="B607">
            <v>230205</v>
          </cell>
          <cell r="C607" t="str">
            <v>R&amp;D</v>
          </cell>
          <cell r="D607">
            <v>45121</v>
          </cell>
          <cell r="E607">
            <v>0.48958333333333331</v>
          </cell>
          <cell r="F607">
            <v>45108</v>
          </cell>
          <cell r="G607">
            <v>45121</v>
          </cell>
          <cell r="H607">
            <v>0.58958333333333335</v>
          </cell>
          <cell r="I607">
            <v>0.1</v>
          </cell>
          <cell r="J607">
            <v>5</v>
          </cell>
          <cell r="K607" t="str">
            <v>FCB-PROTOCOL-02</v>
          </cell>
          <cell r="L607" t="str">
            <v>VYD/182</v>
          </cell>
          <cell r="M607" t="str">
            <v>Y</v>
          </cell>
          <cell r="N607" t="str">
            <v>COSv4.2_CaBR(1Q-Unknown)</v>
          </cell>
          <cell r="O607" t="str">
            <v>Internal R&amp;D</v>
          </cell>
          <cell r="P607" t="str">
            <v>Q1 Passed</v>
          </cell>
          <cell r="Q607" t="str">
            <v>Q1 Passed</v>
          </cell>
          <cell r="R607" t="str">
            <v>Q1.5 Passed</v>
          </cell>
          <cell r="S607" t="str">
            <v>Q1.5 Passed</v>
          </cell>
          <cell r="V607" t="str">
            <v>Tumor content 1-30%</v>
          </cell>
          <cell r="W607" t="str">
            <v>Private Hospital</v>
          </cell>
          <cell r="X607" t="str">
            <v>Vydehi Hospital, Bangalore</v>
          </cell>
          <cell r="Y607" t="str">
            <v>Vydehi Hospital, Bangalore</v>
          </cell>
          <cell r="Z607" t="str">
            <v>Dr Amritha Prabha, Bangalore</v>
          </cell>
          <cell r="AA607" t="str">
            <v>Ca Breast</v>
          </cell>
          <cell r="AB607" t="str">
            <v>Er(P)
Pr(P)
Her2(N)</v>
          </cell>
          <cell r="AC607" t="str">
            <v>Breast</v>
          </cell>
          <cell r="AD607" t="str">
            <v>Right Breast</v>
          </cell>
          <cell r="AE607" t="str">
            <v>Female</v>
          </cell>
          <cell r="AF607">
            <v>52</v>
          </cell>
          <cell r="AG607" t="str">
            <v>N</v>
          </cell>
          <cell r="AH607">
            <v>4.8</v>
          </cell>
          <cell r="AI607" t="str">
            <v>Kalappa</v>
          </cell>
          <cell r="AJ607" t="str">
            <v>Surgery</v>
          </cell>
          <cell r="AK607" t="str">
            <v>Primary</v>
          </cell>
          <cell r="AL607" t="str">
            <v>Chemotherapy</v>
          </cell>
          <cell r="AN607" t="str">
            <v>III</v>
          </cell>
          <cell r="AO607">
            <v>2</v>
          </cell>
          <cell r="AP607" t="str">
            <v>ypT2N2a</v>
          </cell>
          <cell r="AQ607">
            <v>8</v>
          </cell>
          <cell r="AR607" t="str">
            <v>4xAC, 4xPaclitaxel</v>
          </cell>
          <cell r="AS607" t="str">
            <v>IDC</v>
          </cell>
          <cell r="AV607">
            <v>45121</v>
          </cell>
          <cell r="AW607">
            <v>0.61250000000000004</v>
          </cell>
          <cell r="AX607">
            <v>0.70833333333333337</v>
          </cell>
          <cell r="AY607">
            <v>9.583333333333334E-2</v>
          </cell>
          <cell r="AZ607">
            <v>0.11874999999999999</v>
          </cell>
          <cell r="BA607">
            <v>0.21875</v>
          </cell>
          <cell r="BB607" t="str">
            <v>1.4*2.6*3.2/2.4</v>
          </cell>
          <cell r="BC607" t="str">
            <v>0.4*1.0/0.8*1.8/1.0
1.0*1.6*1.8</v>
          </cell>
          <cell r="BD607" t="str">
            <v>Manual</v>
          </cell>
          <cell r="BE607">
            <v>15</v>
          </cell>
          <cell r="BF607" t="str">
            <v>Syam</v>
          </cell>
          <cell r="BG607" t="str">
            <v>Y</v>
          </cell>
        </row>
        <row r="608">
          <cell r="A608" t="str">
            <v>FBR1Y230206</v>
          </cell>
          <cell r="B608">
            <v>230206</v>
          </cell>
          <cell r="C608" t="str">
            <v>R&amp;D</v>
          </cell>
          <cell r="D608">
            <v>45121</v>
          </cell>
          <cell r="E608">
            <v>0.54166666666666663</v>
          </cell>
          <cell r="F608">
            <v>45108</v>
          </cell>
          <cell r="G608">
            <v>45121</v>
          </cell>
          <cell r="H608">
            <v>0.75138888888888888</v>
          </cell>
          <cell r="I608">
            <v>0.20972222222222223</v>
          </cell>
          <cell r="J608">
            <v>3</v>
          </cell>
          <cell r="K608" t="str">
            <v>FCB-PROTOCOL-02</v>
          </cell>
          <cell r="L608" t="str">
            <v>HN072</v>
          </cell>
          <cell r="M608" t="str">
            <v>Y</v>
          </cell>
          <cell r="N608" t="str">
            <v>CCS Study (1Y)</v>
          </cell>
          <cell r="O608" t="str">
            <v>Internal R&amp;D</v>
          </cell>
          <cell r="P608" t="str">
            <v>Q1 Passed</v>
          </cell>
          <cell r="Q608" t="str">
            <v>Q1 Passed</v>
          </cell>
          <cell r="R608" t="str">
            <v>Compromised</v>
          </cell>
          <cell r="S608" t="str">
            <v>Q1.5 Passed</v>
          </cell>
          <cell r="V608" t="str">
            <v>Tumor content 15-90% Necrosis in some fragments</v>
          </cell>
          <cell r="W608" t="str">
            <v>Private Hospital</v>
          </cell>
          <cell r="X608" t="str">
            <v>Mazumdar Shaw Medical Centre, Bangalore</v>
          </cell>
          <cell r="Y608" t="str">
            <v>Mazumdar Shaw Medical Centre, Bangalore</v>
          </cell>
          <cell r="Z608" t="str">
            <v>Dr Vijay Pillai, Bangalore</v>
          </cell>
          <cell r="AA608" t="str">
            <v>HNSCC</v>
          </cell>
          <cell r="AC608" t="str">
            <v>Buccal mucosa</v>
          </cell>
          <cell r="AD608" t="str">
            <v>Left Buccal mucosa</v>
          </cell>
          <cell r="AE608" t="str">
            <v>Female</v>
          </cell>
          <cell r="AF608">
            <v>65</v>
          </cell>
          <cell r="AG608" t="str">
            <v>N</v>
          </cell>
          <cell r="AH608">
            <v>4.5999999999999996</v>
          </cell>
          <cell r="AI608" t="str">
            <v>Maruthi</v>
          </cell>
          <cell r="AJ608" t="str">
            <v>Surgery</v>
          </cell>
          <cell r="AK608" t="str">
            <v>Primary</v>
          </cell>
          <cell r="AN608" t="str">
            <v>II</v>
          </cell>
          <cell r="AO608">
            <v>2</v>
          </cell>
          <cell r="AP608" t="str">
            <v>pT2</v>
          </cell>
          <cell r="AS608" t="str">
            <v>Moderately differentiated Squamous cell carcinoma</v>
          </cell>
          <cell r="AV608">
            <v>45121</v>
          </cell>
          <cell r="AW608">
            <v>0.77916666666666667</v>
          </cell>
          <cell r="AX608">
            <v>0.8125</v>
          </cell>
          <cell r="AY608">
            <v>3.3333333333333333E-2</v>
          </cell>
          <cell r="AZ608">
            <v>6.1111111111111109E-2</v>
          </cell>
          <cell r="BA608">
            <v>0.27083333333333331</v>
          </cell>
          <cell r="BB608" t="str">
            <v>0.2*0.4*0.5</v>
          </cell>
          <cell r="BC608" t="str">
            <v>0.2*0.4*0.5</v>
          </cell>
          <cell r="BD608" t="str">
            <v>Manual</v>
          </cell>
          <cell r="BE608">
            <v>15</v>
          </cell>
          <cell r="BF608" t="str">
            <v>Kowshik</v>
          </cell>
          <cell r="BG608" t="str">
            <v>Y</v>
          </cell>
        </row>
        <row r="609">
          <cell r="A609" t="str">
            <v>FBR1Y230207</v>
          </cell>
          <cell r="B609">
            <v>230207</v>
          </cell>
          <cell r="C609" t="str">
            <v>R&amp;D</v>
          </cell>
          <cell r="D609">
            <v>45121</v>
          </cell>
          <cell r="E609">
            <v>0.63888888888888884</v>
          </cell>
          <cell r="F609">
            <v>45108</v>
          </cell>
          <cell r="G609">
            <v>45121</v>
          </cell>
          <cell r="H609">
            <v>0.75</v>
          </cell>
          <cell r="I609">
            <v>0.1111111111111111</v>
          </cell>
          <cell r="J609">
            <v>3</v>
          </cell>
          <cell r="K609" t="str">
            <v>FCB-PROTOCOL-02</v>
          </cell>
          <cell r="L609" t="str">
            <v>HN073</v>
          </cell>
          <cell r="M609" t="str">
            <v>Y</v>
          </cell>
          <cell r="N609" t="str">
            <v>CCS Study (1Y)</v>
          </cell>
          <cell r="O609" t="str">
            <v>Internal R&amp;D</v>
          </cell>
          <cell r="P609" t="str">
            <v>Q1 Passed</v>
          </cell>
          <cell r="Q609" t="str">
            <v>Q1 Passed</v>
          </cell>
          <cell r="R609" t="str">
            <v>Compromised</v>
          </cell>
          <cell r="S609" t="str">
            <v>Q1.5 Passed</v>
          </cell>
          <cell r="V609" t="str">
            <v>Tumor content 88-95%</v>
          </cell>
          <cell r="W609" t="str">
            <v>Private Hospital</v>
          </cell>
          <cell r="X609" t="str">
            <v>Mazumdar Shaw Medical Centre, Bangalore</v>
          </cell>
          <cell r="Y609" t="str">
            <v>Mazumdar Shaw Medical Centre, Bangalore</v>
          </cell>
          <cell r="Z609" t="str">
            <v>Dr Vijay Pillai, Bangalore</v>
          </cell>
          <cell r="AA609" t="str">
            <v>HNSCC</v>
          </cell>
          <cell r="AC609" t="str">
            <v>Alveolus</v>
          </cell>
          <cell r="AD609" t="str">
            <v>Right Upper and Lower Alveolus</v>
          </cell>
          <cell r="AE609" t="str">
            <v>Male</v>
          </cell>
          <cell r="AF609">
            <v>53</v>
          </cell>
          <cell r="AG609" t="str">
            <v>N</v>
          </cell>
          <cell r="AH609">
            <v>4.5999999999999996</v>
          </cell>
          <cell r="AI609" t="str">
            <v>Maruthi</v>
          </cell>
          <cell r="AJ609" t="str">
            <v>Surgery</v>
          </cell>
          <cell r="AK609" t="str">
            <v>Primary</v>
          </cell>
          <cell r="AN609" t="str">
            <v>IV</v>
          </cell>
          <cell r="AO609">
            <v>2</v>
          </cell>
          <cell r="AP609" t="str">
            <v>pT4a</v>
          </cell>
          <cell r="AS609" t="str">
            <v>Moderatly advanced local disease, Moderately differentiated Squamous cell carcinoma</v>
          </cell>
          <cell r="AV609">
            <v>45121</v>
          </cell>
          <cell r="AW609">
            <v>0.77500000000000002</v>
          </cell>
          <cell r="AX609">
            <v>0.8256944444444444</v>
          </cell>
          <cell r="AY609">
            <v>5.0694444444444445E-2</v>
          </cell>
          <cell r="AZ609">
            <v>7.5694444444444439E-2</v>
          </cell>
          <cell r="BA609">
            <v>0.18680555555555556</v>
          </cell>
          <cell r="BB609" t="str">
            <v>0.3/9.4*0.8*1.5</v>
          </cell>
          <cell r="BC609" t="str">
            <v>0.3/9.4*0.8*1.5</v>
          </cell>
          <cell r="BD609" t="str">
            <v>Manual</v>
          </cell>
          <cell r="BE609">
            <v>15</v>
          </cell>
          <cell r="BF609" t="str">
            <v>Kowshik</v>
          </cell>
          <cell r="BG609" t="str">
            <v>Y</v>
          </cell>
        </row>
        <row r="610">
          <cell r="A610" t="str">
            <v>FBR2E230208</v>
          </cell>
          <cell r="B610">
            <v>230208</v>
          </cell>
          <cell r="C610" t="str">
            <v>R&amp;D</v>
          </cell>
          <cell r="D610">
            <v>45121</v>
          </cell>
          <cell r="E610">
            <v>0.70277777777777772</v>
          </cell>
          <cell r="F610">
            <v>45108</v>
          </cell>
          <cell r="G610">
            <v>45121</v>
          </cell>
          <cell r="H610">
            <v>0.75208333333333333</v>
          </cell>
          <cell r="I610">
            <v>4.9305555555555554E-2</v>
          </cell>
          <cell r="J610">
            <v>3</v>
          </cell>
          <cell r="K610" t="str">
            <v>FCB-PROTOCOL-02</v>
          </cell>
          <cell r="L610" t="str">
            <v>CLN/PRA/221</v>
          </cell>
          <cell r="M610" t="str">
            <v>Y</v>
          </cell>
          <cell r="N610" t="str">
            <v>ESP (2E)</v>
          </cell>
          <cell r="O610" t="str">
            <v>Internal R&amp;D</v>
          </cell>
          <cell r="P610" t="str">
            <v>Q1 Passed</v>
          </cell>
          <cell r="Q610" t="str">
            <v>Q1 Passed</v>
          </cell>
          <cell r="R610" t="str">
            <v>Q1.5 Passed</v>
          </cell>
          <cell r="S610" t="str">
            <v>Q1.5 Rejected</v>
          </cell>
          <cell r="V610" t="str">
            <v>No tumor</v>
          </cell>
          <cell r="W610" t="str">
            <v>Private Hospital</v>
          </cell>
          <cell r="X610" t="str">
            <v>Dr Prakash BV, Bangalore</v>
          </cell>
          <cell r="Y610" t="str">
            <v>Abhaya Hospital, Bangalore</v>
          </cell>
          <cell r="Z610" t="str">
            <v>Dr Prakash BV, Bangalore</v>
          </cell>
          <cell r="AA610" t="str">
            <v>GI</v>
          </cell>
          <cell r="AC610" t="str">
            <v>Eshophagus</v>
          </cell>
          <cell r="AD610" t="str">
            <v>Eshophagus</v>
          </cell>
          <cell r="AE610" t="str">
            <v>Male</v>
          </cell>
          <cell r="AF610">
            <v>53</v>
          </cell>
          <cell r="AG610" t="str">
            <v>N</v>
          </cell>
          <cell r="AH610">
            <v>4.2</v>
          </cell>
          <cell r="AI610" t="str">
            <v>Kalappa</v>
          </cell>
          <cell r="AJ610" t="str">
            <v>Surgery</v>
          </cell>
          <cell r="AK610" t="str">
            <v>Primary</v>
          </cell>
          <cell r="AL610" t="str">
            <v>Chemotherapy + Radiotherapy</v>
          </cell>
          <cell r="AP610" t="str">
            <v>pT3N1M0</v>
          </cell>
          <cell r="AQ610">
            <v>4</v>
          </cell>
          <cell r="AR610" t="str">
            <v>Paclitaxel + Carbo</v>
          </cell>
          <cell r="AV610">
            <v>45121</v>
          </cell>
          <cell r="AW610">
            <v>0.78472222222222221</v>
          </cell>
          <cell r="AX610">
            <v>0.83402777777777781</v>
          </cell>
          <cell r="AY610">
            <v>4.9305555555555554E-2</v>
          </cell>
          <cell r="AZ610">
            <v>8.1944444444444445E-2</v>
          </cell>
          <cell r="BA610">
            <v>0.13125000000000001</v>
          </cell>
          <cell r="BB610" t="str">
            <v>0.4*0.5*1.8
0.4*1.2*1.6
0.4*0.6*1.0/0.6</v>
          </cell>
          <cell r="BC610" t="str">
            <v>0.4*0.5*1.8
0.4*1.2*1.6
0.4*0.6*1.0/0.6</v>
          </cell>
          <cell r="BD610" t="str">
            <v>Manual</v>
          </cell>
          <cell r="BE610">
            <v>15</v>
          </cell>
          <cell r="BF610" t="str">
            <v>Syam</v>
          </cell>
          <cell r="BG610" t="str">
            <v>Y</v>
          </cell>
        </row>
        <row r="611">
          <cell r="A611" t="str">
            <v>FBR2A230209</v>
          </cell>
          <cell r="B611">
            <v>230209</v>
          </cell>
          <cell r="C611" t="str">
            <v>R&amp;D</v>
          </cell>
          <cell r="D611">
            <v>45124</v>
          </cell>
          <cell r="E611">
            <v>0.44791666666666669</v>
          </cell>
          <cell r="F611">
            <v>45108</v>
          </cell>
          <cell r="G611">
            <v>45124</v>
          </cell>
          <cell r="H611">
            <v>0.56527777777777777</v>
          </cell>
          <cell r="I611">
            <v>0.11736111111111111</v>
          </cell>
          <cell r="J611">
            <v>15</v>
          </cell>
          <cell r="K611" t="str">
            <v>FCB-PROTOCOL-02</v>
          </cell>
          <cell r="L611" t="str">
            <v>OC014</v>
          </cell>
          <cell r="M611" t="str">
            <v>Y</v>
          </cell>
          <cell r="N611" t="str">
            <v>Ovary CC (R2A)</v>
          </cell>
          <cell r="O611" t="str">
            <v>Internal R&amp;D</v>
          </cell>
          <cell r="P611" t="str">
            <v>Q1 Passed</v>
          </cell>
          <cell r="Q611" t="str">
            <v>Q1 Passed</v>
          </cell>
          <cell r="R611" t="str">
            <v>Compromised</v>
          </cell>
          <cell r="S611" t="str">
            <v>Q1.5 Passed</v>
          </cell>
          <cell r="V611" t="str">
            <v>Tumor content 40-90%</v>
          </cell>
          <cell r="W611" t="str">
            <v>Private Hospital</v>
          </cell>
          <cell r="X611" t="str">
            <v>Mazumdar Shaw Medical Centre, Bangalore</v>
          </cell>
          <cell r="Y611" t="str">
            <v>Mazumdar Shaw Medical Centre, Bangalore</v>
          </cell>
          <cell r="Z611" t="str">
            <v>Dr Rohit Ranade, Bangalore</v>
          </cell>
          <cell r="AA611" t="str">
            <v>Ca Ovary</v>
          </cell>
          <cell r="AC611" t="str">
            <v>Ovary</v>
          </cell>
          <cell r="AD611" t="str">
            <v>Right Ovary</v>
          </cell>
          <cell r="AE611" t="str">
            <v>Female</v>
          </cell>
          <cell r="AF611">
            <v>19</v>
          </cell>
          <cell r="AG611" t="str">
            <v>N</v>
          </cell>
          <cell r="AH611">
            <v>4.5</v>
          </cell>
          <cell r="AI611" t="str">
            <v>Kalappa</v>
          </cell>
          <cell r="AJ611" t="str">
            <v>Surgery</v>
          </cell>
          <cell r="AK611" t="str">
            <v>Primary</v>
          </cell>
          <cell r="AO611" t="str">
            <v>Not applicable</v>
          </cell>
          <cell r="AP611" t="str">
            <v>pT1a</v>
          </cell>
          <cell r="AS611" t="str">
            <v>stromal tumor favouring steroid cell tumor</v>
          </cell>
          <cell r="AV611">
            <v>45124</v>
          </cell>
          <cell r="AW611">
            <v>0.59791666666666665</v>
          </cell>
          <cell r="AX611">
            <v>0.7006944444444444</v>
          </cell>
          <cell r="AY611">
            <v>0.10277777777777777</v>
          </cell>
          <cell r="AZ611">
            <v>0.13541666666666666</v>
          </cell>
          <cell r="BA611">
            <v>0.25277777777777777</v>
          </cell>
          <cell r="BB611" t="str">
            <v>0.3/0.4*1.7/1.2*2.1</v>
          </cell>
          <cell r="BC611" t="str">
            <v>0.3/0.4*1.7/1.2*2.1</v>
          </cell>
          <cell r="BD611" t="str">
            <v>Manual</v>
          </cell>
          <cell r="BE611">
            <v>15</v>
          </cell>
          <cell r="BF611" t="str">
            <v>kuberan</v>
          </cell>
          <cell r="BG611" t="str">
            <v>Y</v>
          </cell>
        </row>
        <row r="612">
          <cell r="A612" t="str">
            <v>FBR1X230210</v>
          </cell>
          <cell r="B612">
            <v>230210</v>
          </cell>
          <cell r="C612" t="str">
            <v>R&amp;D</v>
          </cell>
          <cell r="D612">
            <v>45124</v>
          </cell>
          <cell r="E612">
            <v>0.49791666666666667</v>
          </cell>
          <cell r="F612">
            <v>45108</v>
          </cell>
          <cell r="G612">
            <v>45124</v>
          </cell>
          <cell r="H612">
            <v>0.56527777777777777</v>
          </cell>
          <cell r="I612">
            <v>6.7361111111111108E-2</v>
          </cell>
          <cell r="J612">
            <v>0</v>
          </cell>
          <cell r="K612" t="str">
            <v>FCB-PROTOCOL-02</v>
          </cell>
          <cell r="L612" t="str">
            <v>HN074</v>
          </cell>
          <cell r="M612" t="str">
            <v>Y</v>
          </cell>
          <cell r="N612" t="str">
            <v>Biopsy HNSCC (1X)</v>
          </cell>
          <cell r="O612" t="str">
            <v>Internal R&amp;D</v>
          </cell>
          <cell r="P612" t="str">
            <v>Q1 Passed</v>
          </cell>
          <cell r="Q612" t="str">
            <v>Q1 Passed</v>
          </cell>
          <cell r="R612" t="str">
            <v>Compromised</v>
          </cell>
          <cell r="S612" t="str">
            <v>Q1.5 Passed</v>
          </cell>
          <cell r="V612" t="str">
            <v>Tumor content 8-70%</v>
          </cell>
          <cell r="W612" t="str">
            <v>Private Hospital</v>
          </cell>
          <cell r="X612" t="str">
            <v>Mazumdar Shaw Medical Centre, Bangalore</v>
          </cell>
          <cell r="Y612" t="str">
            <v>Mazumdar Shaw Medical Centre, Bangalore</v>
          </cell>
          <cell r="Z612" t="str">
            <v>Dr Vijay Pillai, Bangalore</v>
          </cell>
          <cell r="AA612" t="str">
            <v>HNSCC</v>
          </cell>
          <cell r="AC612" t="str">
            <v>Larynx</v>
          </cell>
          <cell r="AD612" t="str">
            <v>Larynx</v>
          </cell>
          <cell r="AE612" t="str">
            <v>Male</v>
          </cell>
          <cell r="AF612">
            <v>39</v>
          </cell>
          <cell r="AG612" t="str">
            <v>N</v>
          </cell>
          <cell r="AH612">
            <v>4.5</v>
          </cell>
          <cell r="AI612" t="str">
            <v>Kalappa</v>
          </cell>
          <cell r="AJ612" t="str">
            <v>Biopsy</v>
          </cell>
          <cell r="AK612" t="str">
            <v>Primary</v>
          </cell>
          <cell r="AS612" t="str">
            <v>Squamous mucosa with mild to moderate dysplasia</v>
          </cell>
          <cell r="AV612">
            <v>45124</v>
          </cell>
          <cell r="AW612">
            <v>0.59513888888888888</v>
          </cell>
          <cell r="AX612">
            <v>0.63194444444444442</v>
          </cell>
          <cell r="AY612">
            <v>3.6805555555555557E-2</v>
          </cell>
          <cell r="AZ612">
            <v>6.6666666666666666E-2</v>
          </cell>
          <cell r="BA612">
            <v>0.13402777777777777</v>
          </cell>
          <cell r="BB612" t="str">
            <v>0.4*0.4*0.4
0.2*0.2*0.4
0.2*0.2*0.2</v>
          </cell>
          <cell r="BC612" t="str">
            <v>0.4*0.4*0.4
0.2*0.2*0.4
0.2*0.2*0.2</v>
          </cell>
          <cell r="BD612" t="str">
            <v>Manual</v>
          </cell>
          <cell r="BE612">
            <v>15</v>
          </cell>
          <cell r="BF612" t="str">
            <v>Biswajit</v>
          </cell>
          <cell r="BG612" t="str">
            <v>Y</v>
          </cell>
        </row>
        <row r="613">
          <cell r="A613" t="str">
            <v>FBR1Y230211</v>
          </cell>
          <cell r="B613">
            <v>230211</v>
          </cell>
          <cell r="C613" t="str">
            <v>R&amp;D</v>
          </cell>
          <cell r="D613">
            <v>45125</v>
          </cell>
          <cell r="E613">
            <v>0.56180555555555556</v>
          </cell>
          <cell r="F613">
            <v>45108</v>
          </cell>
          <cell r="G613">
            <v>45125</v>
          </cell>
          <cell r="H613">
            <v>0.62361111111111112</v>
          </cell>
          <cell r="I613">
            <v>6.1805555555555558E-2</v>
          </cell>
          <cell r="J613">
            <v>4</v>
          </cell>
          <cell r="K613" t="str">
            <v>FCB-PROTOCOL-02</v>
          </cell>
          <cell r="L613" t="str">
            <v>HN075</v>
          </cell>
          <cell r="M613" t="str">
            <v>Y</v>
          </cell>
          <cell r="N613" t="str">
            <v>CCS Study (1Y)</v>
          </cell>
          <cell r="O613" t="str">
            <v>Internal R&amp;D</v>
          </cell>
          <cell r="P613" t="str">
            <v>Q1 Passed</v>
          </cell>
          <cell r="Q613" t="str">
            <v>Q1 Passed</v>
          </cell>
          <cell r="R613" t="str">
            <v>Compromised</v>
          </cell>
          <cell r="S613" t="str">
            <v>Q1.5 Passed</v>
          </cell>
          <cell r="V613" t="str">
            <v>Tumor content 6-80%</v>
          </cell>
          <cell r="W613" t="str">
            <v>Private Hospital</v>
          </cell>
          <cell r="X613" t="str">
            <v>Mazumdar Shaw Medical Centre, Bangalore</v>
          </cell>
          <cell r="Y613" t="str">
            <v>Mazumdar Shaw Medical Centre, Bangalore</v>
          </cell>
          <cell r="Z613" t="str">
            <v>Dr Vijay Pillai, Bangalore</v>
          </cell>
          <cell r="AA613" t="str">
            <v>HNSCC</v>
          </cell>
          <cell r="AC613" t="str">
            <v>Alveolus</v>
          </cell>
          <cell r="AD613" t="str">
            <v>Left lower alveolus</v>
          </cell>
          <cell r="AE613" t="str">
            <v>Male</v>
          </cell>
          <cell r="AF613">
            <v>55</v>
          </cell>
          <cell r="AG613" t="str">
            <v>N</v>
          </cell>
          <cell r="AH613">
            <v>4.8</v>
          </cell>
          <cell r="AI613" t="str">
            <v>Shashi</v>
          </cell>
          <cell r="AJ613" t="str">
            <v>Surgery</v>
          </cell>
          <cell r="AK613" t="str">
            <v>Primary</v>
          </cell>
          <cell r="AN613" t="str">
            <v>IV</v>
          </cell>
          <cell r="AO613">
            <v>2</v>
          </cell>
          <cell r="AP613" t="str">
            <v>pT4a</v>
          </cell>
          <cell r="AS613" t="str">
            <v>Moderately differentiated squamous cell carcinoma</v>
          </cell>
          <cell r="AV613">
            <v>45125</v>
          </cell>
          <cell r="AW613">
            <v>0.64583333333333337</v>
          </cell>
          <cell r="AX613">
            <v>0.70694444444444449</v>
          </cell>
          <cell r="AY613">
            <v>6.1111111111111109E-2</v>
          </cell>
          <cell r="AZ613">
            <v>8.3333333333333329E-2</v>
          </cell>
          <cell r="BA613">
            <v>0.1451388888888889</v>
          </cell>
          <cell r="BB613" t="str">
            <v>0.4-0.5*0.6/0.8*1.0</v>
          </cell>
          <cell r="BC613" t="str">
            <v>0.4-0.5*0.6/0.8*1.0</v>
          </cell>
          <cell r="BD613" t="str">
            <v>Manual</v>
          </cell>
          <cell r="BE613">
            <v>15</v>
          </cell>
          <cell r="BF613" t="str">
            <v>Mouniss</v>
          </cell>
          <cell r="BG613" t="str">
            <v>Y</v>
          </cell>
        </row>
        <row r="614">
          <cell r="A614" t="str">
            <v>FBR1W230212</v>
          </cell>
          <cell r="B614">
            <v>230212</v>
          </cell>
          <cell r="C614" t="str">
            <v>R&amp;D</v>
          </cell>
          <cell r="D614">
            <v>45125</v>
          </cell>
          <cell r="E614">
            <v>0.4861111111111111</v>
          </cell>
          <cell r="F614">
            <v>45108</v>
          </cell>
          <cell r="G614">
            <v>45125</v>
          </cell>
          <cell r="H614">
            <v>0.63194444444444442</v>
          </cell>
          <cell r="I614">
            <v>0.14583333333333334</v>
          </cell>
          <cell r="J614">
            <v>0</v>
          </cell>
          <cell r="K614" t="str">
            <v>FCB-PROTOCOL-02</v>
          </cell>
          <cell r="L614" t="str">
            <v>VYD/183</v>
          </cell>
          <cell r="M614" t="str">
            <v>Y</v>
          </cell>
          <cell r="N614" t="str">
            <v>Biopsy Cabr-BSS (1W)</v>
          </cell>
          <cell r="O614" t="str">
            <v>Internal R&amp;D</v>
          </cell>
          <cell r="P614" t="str">
            <v>Q1 Passed</v>
          </cell>
          <cell r="Q614" t="str">
            <v>Q1 Passed</v>
          </cell>
          <cell r="R614" t="str">
            <v>Q1.5 Passed</v>
          </cell>
          <cell r="S614" t="str">
            <v>Q1.5 Passed</v>
          </cell>
          <cell r="V614" t="str">
            <v>Tumor content 0-3%</v>
          </cell>
          <cell r="W614" t="str">
            <v>Private Hospital</v>
          </cell>
          <cell r="X614" t="str">
            <v>Vydehi Hospital, Bangalore</v>
          </cell>
          <cell r="Y614" t="str">
            <v>Vydehi Hospital, Bangalore</v>
          </cell>
          <cell r="Z614" t="str">
            <v>Dr Amritha Prabha, Bangalore</v>
          </cell>
          <cell r="AA614" t="str">
            <v>Ca Breast</v>
          </cell>
          <cell r="AB614" t="str">
            <v>Er (-)
Pr (-)
Her2 +</v>
          </cell>
          <cell r="AC614" t="str">
            <v>Breast</v>
          </cell>
          <cell r="AD614" t="str">
            <v>Left Breast</v>
          </cell>
          <cell r="AE614" t="str">
            <v>Female</v>
          </cell>
          <cell r="AF614">
            <v>36</v>
          </cell>
          <cell r="AG614" t="str">
            <v>N</v>
          </cell>
          <cell r="AH614">
            <v>4.5999999999999996</v>
          </cell>
          <cell r="AI614" t="str">
            <v>Kalappa</v>
          </cell>
          <cell r="AJ614" t="str">
            <v>Biopsy</v>
          </cell>
          <cell r="AK614" t="str">
            <v>Primary</v>
          </cell>
          <cell r="AO614">
            <v>2</v>
          </cell>
          <cell r="AV614">
            <v>45125</v>
          </cell>
          <cell r="AW614">
            <v>0.65416666666666667</v>
          </cell>
          <cell r="AX614">
            <v>0.71180555555555558</v>
          </cell>
          <cell r="AY614">
            <v>5.7638888888888892E-2</v>
          </cell>
          <cell r="AZ614">
            <v>7.9861111111111105E-2</v>
          </cell>
          <cell r="BA614">
            <v>0.22569444444444445</v>
          </cell>
          <cell r="BB614" t="str">
            <v>0.1*0.1*1.4
0.1*0.1*0.6
0.1*0.1*0.8</v>
          </cell>
          <cell r="BC614" t="str">
            <v>0.1*0.1*1.4
0.1*0.1*0.6
0.1*0.1*0.8</v>
          </cell>
          <cell r="BD614" t="str">
            <v>Manual</v>
          </cell>
          <cell r="BE614">
            <v>15</v>
          </cell>
          <cell r="BF614" t="str">
            <v>Syam</v>
          </cell>
          <cell r="BG614" t="str">
            <v>Y</v>
          </cell>
        </row>
        <row r="615">
          <cell r="A615" t="str">
            <v>FBR1Z230213</v>
          </cell>
          <cell r="B615">
            <v>230213</v>
          </cell>
          <cell r="C615" t="str">
            <v>R&amp;D</v>
          </cell>
          <cell r="D615">
            <v>45125</v>
          </cell>
          <cell r="E615">
            <v>0.51388888888888884</v>
          </cell>
          <cell r="F615">
            <v>45108</v>
          </cell>
          <cell r="G615">
            <v>45125</v>
          </cell>
          <cell r="H615">
            <v>0.88541666666666663</v>
          </cell>
          <cell r="I615">
            <v>0.37152777777777779</v>
          </cell>
          <cell r="J615">
            <v>15</v>
          </cell>
          <cell r="K615" t="str">
            <v>FCB-PROTOCOL-01</v>
          </cell>
          <cell r="L615" t="str">
            <v>CLN/DBR/151</v>
          </cell>
          <cell r="M615" t="str">
            <v>Y</v>
          </cell>
          <cell r="N615" t="str">
            <v>CT+LD Nivo -NLD study (1Z)</v>
          </cell>
          <cell r="O615" t="str">
            <v>Internal R&amp;D</v>
          </cell>
          <cell r="P615" t="str">
            <v>Q1 Passed</v>
          </cell>
          <cell r="Q615" t="str">
            <v>Q1 Passed</v>
          </cell>
          <cell r="R615" t="str">
            <v>Q1.5 Passed</v>
          </cell>
          <cell r="S615" t="str">
            <v>Q1.5 Passed</v>
          </cell>
          <cell r="V615" t="str">
            <v>Tumor content 0-70%. 4 Fragments without tumor</v>
          </cell>
          <cell r="W615" t="str">
            <v>Clinic'les</v>
          </cell>
          <cell r="X615" t="str">
            <v>Clinic'les- DBR &amp; SK Hospital, Tirupati</v>
          </cell>
          <cell r="Y615" t="str">
            <v>DBR &amp; SK Hospital, Tirupati</v>
          </cell>
          <cell r="Z615" t="str">
            <v>Dr C Jayaprakash, Tirupati</v>
          </cell>
          <cell r="AA615" t="str">
            <v>HNSCC</v>
          </cell>
          <cell r="AC615" t="str">
            <v>Buccal Mucosa</v>
          </cell>
          <cell r="AD615" t="str">
            <v>Left buccal mucosa</v>
          </cell>
          <cell r="AE615" t="str">
            <v>Male</v>
          </cell>
          <cell r="AF615">
            <v>54</v>
          </cell>
          <cell r="AG615" t="str">
            <v>N</v>
          </cell>
          <cell r="AH615">
            <v>5.8</v>
          </cell>
          <cell r="AI615" t="str">
            <v>Maruthi</v>
          </cell>
          <cell r="AJ615" t="str">
            <v>Surgery</v>
          </cell>
          <cell r="AK615" t="str">
            <v>Primary</v>
          </cell>
          <cell r="AN615" t="str">
            <v>III</v>
          </cell>
          <cell r="AP615" t="str">
            <v>pT3N0Mx</v>
          </cell>
          <cell r="AV615">
            <v>45126</v>
          </cell>
          <cell r="AW615">
            <v>0.32222222222222224</v>
          </cell>
          <cell r="AX615">
            <v>0.47222222222222221</v>
          </cell>
          <cell r="AY615">
            <v>0.15</v>
          </cell>
          <cell r="AZ61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61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615" t="str">
            <v>0.6*1.4/1.6*2.0</v>
          </cell>
          <cell r="BC615" t="str">
            <v>0.6*1.4/1.6*2.0</v>
          </cell>
          <cell r="BD615" t="str">
            <v>Manual+Vibratome</v>
          </cell>
          <cell r="BE615">
            <v>15</v>
          </cell>
          <cell r="BF615" t="str">
            <v>kuberan</v>
          </cell>
          <cell r="BG615" t="str">
            <v>Y</v>
          </cell>
        </row>
        <row r="616">
          <cell r="A616" t="str">
            <v>FBR2G230213</v>
          </cell>
          <cell r="B616">
            <v>230213</v>
          </cell>
          <cell r="C616" t="str">
            <v>R&amp;D</v>
          </cell>
          <cell r="D616">
            <v>45125</v>
          </cell>
          <cell r="E616">
            <v>0.51388888888888884</v>
          </cell>
          <cell r="F616">
            <v>45108</v>
          </cell>
          <cell r="G616">
            <v>45125</v>
          </cell>
          <cell r="H616">
            <v>0.88541666666666663</v>
          </cell>
          <cell r="I616">
            <v>0.37152777777777779</v>
          </cell>
          <cell r="J616">
            <v>15</v>
          </cell>
          <cell r="K616" t="str">
            <v>FCB-PROTOCOL-01</v>
          </cell>
          <cell r="L616" t="str">
            <v>CLN/DBR/151</v>
          </cell>
          <cell r="M616" t="str">
            <v>Y</v>
          </cell>
          <cell r="N616" t="str">
            <v>Microfragments (2G)</v>
          </cell>
          <cell r="O616" t="str">
            <v>Internal R&amp;D</v>
          </cell>
          <cell r="P616" t="str">
            <v>Q1 Passed</v>
          </cell>
          <cell r="Q616" t="str">
            <v>Q1 Passed</v>
          </cell>
          <cell r="R616" t="str">
            <v>Q1.5 Passed</v>
          </cell>
          <cell r="S616" t="str">
            <v>Q1.5 Passed</v>
          </cell>
          <cell r="V616" t="str">
            <v>Tumor content 0-70%. 4 Fragments without tumor</v>
          </cell>
          <cell r="W616" t="str">
            <v>Clinic'les</v>
          </cell>
          <cell r="X616" t="str">
            <v>Clinic'les- DBR &amp; SK Hospital, Tirupati</v>
          </cell>
          <cell r="Y616" t="str">
            <v>DBR &amp; SK Hospital, Tirupati</v>
          </cell>
          <cell r="Z616" t="str">
            <v>Dr C Jayaprakash, Tirupati</v>
          </cell>
          <cell r="AA616" t="str">
            <v>HNSCC</v>
          </cell>
          <cell r="AC616" t="str">
            <v>Buccal Mucosa</v>
          </cell>
          <cell r="AD616" t="str">
            <v>Left buccal mucosa</v>
          </cell>
          <cell r="AE616" t="str">
            <v>Male</v>
          </cell>
          <cell r="AF616">
            <v>54</v>
          </cell>
          <cell r="AG616" t="str">
            <v>N</v>
          </cell>
          <cell r="AH616">
            <v>5.8</v>
          </cell>
          <cell r="AI616" t="str">
            <v>Maruthi</v>
          </cell>
          <cell r="AJ616" t="str">
            <v>Surgery</v>
          </cell>
          <cell r="AK616" t="str">
            <v>Primary</v>
          </cell>
          <cell r="AN616" t="str">
            <v>III</v>
          </cell>
          <cell r="AP616" t="str">
            <v>pT3N0Mx</v>
          </cell>
          <cell r="AV616">
            <v>45126</v>
          </cell>
          <cell r="AW616">
            <v>0.32222222222222224</v>
          </cell>
          <cell r="AX616">
            <v>0.47222222222222221</v>
          </cell>
          <cell r="AY616">
            <v>0.15</v>
          </cell>
          <cell r="AZ61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61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616" t="str">
            <v>0.6*1.4/1.6*2.0</v>
          </cell>
          <cell r="BC616" t="str">
            <v>0.6*1.4/1.6*2.0</v>
          </cell>
          <cell r="BD616" t="str">
            <v>Manual+Vibratome</v>
          </cell>
          <cell r="BE616">
            <v>15</v>
          </cell>
          <cell r="BF616" t="str">
            <v>kuberan</v>
          </cell>
          <cell r="BG616" t="str">
            <v>Y</v>
          </cell>
        </row>
        <row r="617">
          <cell r="A617" t="str">
            <v>FBR1Q230214</v>
          </cell>
          <cell r="B617">
            <v>230214</v>
          </cell>
          <cell r="C617" t="str">
            <v>R&amp;D</v>
          </cell>
          <cell r="D617">
            <v>45126</v>
          </cell>
          <cell r="E617">
            <v>0.56944444444444442</v>
          </cell>
          <cell r="F617">
            <v>45108</v>
          </cell>
          <cell r="G617">
            <v>45126</v>
          </cell>
          <cell r="H617">
            <v>0.67986111111111114</v>
          </cell>
          <cell r="I617">
            <v>0.11041666666666666</v>
          </cell>
          <cell r="J617">
            <v>10</v>
          </cell>
          <cell r="K617" t="str">
            <v>FCB-PROTOCOL-02</v>
          </cell>
          <cell r="L617" t="str">
            <v>VYD/184</v>
          </cell>
          <cell r="M617" t="str">
            <v>Y</v>
          </cell>
          <cell r="N617" t="str">
            <v>COSv4.2_CaBR(1Q-Unknown)</v>
          </cell>
          <cell r="O617" t="str">
            <v>Internal R&amp;D</v>
          </cell>
          <cell r="P617" t="str">
            <v>Q1 Passed</v>
          </cell>
          <cell r="Q617" t="str">
            <v>Q1 Passed</v>
          </cell>
          <cell r="R617" t="str">
            <v>Q1.5 Passed</v>
          </cell>
          <cell r="S617" t="str">
            <v>Q1.5 Passed</v>
          </cell>
          <cell r="V617" t="str">
            <v>Tumor content 0-45%</v>
          </cell>
          <cell r="W617" t="str">
            <v>Private Hospital</v>
          </cell>
          <cell r="X617" t="str">
            <v>Vydehi Hospital, Bangalore</v>
          </cell>
          <cell r="Y617" t="str">
            <v>Vydehi Hospital, Bangalore</v>
          </cell>
          <cell r="Z617" t="str">
            <v>Dr Amritha Prabha, Bangalore</v>
          </cell>
          <cell r="AA617" t="str">
            <v>Ca Breast</v>
          </cell>
          <cell r="AB617" t="str">
            <v>Er(P)
Pr(P)
Her2(N)</v>
          </cell>
          <cell r="AC617" t="str">
            <v>Breast</v>
          </cell>
          <cell r="AD617" t="str">
            <v>Left Breast</v>
          </cell>
          <cell r="AE617" t="str">
            <v>Female</v>
          </cell>
          <cell r="AF617">
            <v>42</v>
          </cell>
          <cell r="AG617" t="str">
            <v>N</v>
          </cell>
          <cell r="AH617">
            <v>4.0999999999999996</v>
          </cell>
          <cell r="AI617" t="str">
            <v>Kalappa</v>
          </cell>
          <cell r="AJ617" t="str">
            <v>Surgery</v>
          </cell>
          <cell r="AK617" t="str">
            <v>Primary</v>
          </cell>
          <cell r="AN617" t="str">
            <v>IIa</v>
          </cell>
          <cell r="AO617">
            <v>2</v>
          </cell>
          <cell r="AP617" t="str">
            <v>pT2Nx</v>
          </cell>
          <cell r="AV617">
            <v>45126</v>
          </cell>
          <cell r="AW617">
            <v>0.69722222222222219</v>
          </cell>
          <cell r="AX617">
            <v>0.80763888888888891</v>
          </cell>
          <cell r="AY617">
            <v>0.11041666666666666</v>
          </cell>
          <cell r="AZ617">
            <v>0.12777777777777777</v>
          </cell>
          <cell r="BA617">
            <v>0.23819444444444443</v>
          </cell>
          <cell r="BB617" t="str">
            <v>0.3-0.8*1.6-0.7*3.2</v>
          </cell>
          <cell r="BC617" t="str">
            <v>0.3-0.6*1.4/0.6*3.2
0.2*0.7*1.0</v>
          </cell>
          <cell r="BD617" t="str">
            <v>Manual</v>
          </cell>
          <cell r="BE617">
            <v>15</v>
          </cell>
          <cell r="BF617" t="str">
            <v xml:space="preserve">sai </v>
          </cell>
          <cell r="BG617" t="str">
            <v>Y</v>
          </cell>
        </row>
        <row r="618">
          <cell r="A618" t="str">
            <v>FBR1W230215</v>
          </cell>
          <cell r="B618">
            <v>230215</v>
          </cell>
          <cell r="C618" t="str">
            <v>R&amp;D</v>
          </cell>
          <cell r="D618">
            <v>45126</v>
          </cell>
          <cell r="E618">
            <v>0.69374999999999998</v>
          </cell>
          <cell r="F618">
            <v>45108</v>
          </cell>
          <cell r="G618">
            <v>45126</v>
          </cell>
          <cell r="H618">
            <v>0.7583333333333333</v>
          </cell>
          <cell r="I618">
            <v>6.458333333333334E-2</v>
          </cell>
          <cell r="J618">
            <v>0</v>
          </cell>
          <cell r="K618" t="str">
            <v>FCB-PROTOCOL-02</v>
          </cell>
          <cell r="L618" t="str">
            <v>BC016</v>
          </cell>
          <cell r="M618" t="str">
            <v>Y</v>
          </cell>
          <cell r="N618" t="str">
            <v>Biopsy Cabr-BSS (1W)</v>
          </cell>
          <cell r="O618" t="str">
            <v>Internal R&amp;D</v>
          </cell>
          <cell r="P618" t="str">
            <v>Q1 Passed</v>
          </cell>
          <cell r="Q618" t="str">
            <v>Q1 Passed</v>
          </cell>
          <cell r="R618" t="str">
            <v>Q1.5 Passed</v>
          </cell>
          <cell r="S618" t="str">
            <v>Q1.5 Passed</v>
          </cell>
          <cell r="V618" t="str">
            <v>Tumor content 0-55%</v>
          </cell>
          <cell r="W618" t="str">
            <v>Private Hospital</v>
          </cell>
          <cell r="X618" t="str">
            <v>Mazumdar Shaw Medical Centre, Bangalore</v>
          </cell>
          <cell r="Y618" t="str">
            <v>Mazumdar Shaw Medical Centre, Bangalore</v>
          </cell>
          <cell r="Z618" t="str">
            <v>Dr Akshita Singh</v>
          </cell>
          <cell r="AA618" t="str">
            <v>Ca Breast</v>
          </cell>
          <cell r="AB618" t="str">
            <v>Er (-)
Pr (-)
Her2 +</v>
          </cell>
          <cell r="AC618" t="str">
            <v>Breast</v>
          </cell>
          <cell r="AD618" t="str">
            <v>Right Breast</v>
          </cell>
          <cell r="AE618" t="str">
            <v>Female</v>
          </cell>
          <cell r="AF618">
            <v>54</v>
          </cell>
          <cell r="AG618" t="str">
            <v>N</v>
          </cell>
          <cell r="AH618">
            <v>4.5</v>
          </cell>
          <cell r="AI618" t="str">
            <v>Maruthi</v>
          </cell>
          <cell r="AJ618" t="str">
            <v>Biopsy</v>
          </cell>
          <cell r="AK618" t="str">
            <v>Primary</v>
          </cell>
          <cell r="AS618" t="str">
            <v>Invasive carcinoma of no special type</v>
          </cell>
          <cell r="AV618">
            <v>45126</v>
          </cell>
          <cell r="AW618">
            <v>0.79166666666666663</v>
          </cell>
          <cell r="AX618">
            <v>0.8208333333333333</v>
          </cell>
          <cell r="AY618">
            <v>2.9166666666666667E-2</v>
          </cell>
          <cell r="AZ618">
            <v>6.25E-2</v>
          </cell>
          <cell r="BA618">
            <v>0.12708333333333333</v>
          </cell>
          <cell r="BB618" t="str">
            <v>0.1*0.1*1.3
0.1*0.1*1.2</v>
          </cell>
          <cell r="BC618" t="str">
            <v>0.1*0.1*1.3
0.1*0.1*1.2</v>
          </cell>
          <cell r="BD618" t="str">
            <v>Manual</v>
          </cell>
          <cell r="BE618">
            <v>15</v>
          </cell>
          <cell r="BF618" t="str">
            <v>chandan</v>
          </cell>
          <cell r="BG618" t="str">
            <v>Y</v>
          </cell>
        </row>
        <row r="619">
          <cell r="A619" t="str">
            <v>FBR1K230216</v>
          </cell>
          <cell r="B619">
            <v>230216</v>
          </cell>
          <cell r="C619" t="str">
            <v>R&amp;D</v>
          </cell>
          <cell r="D619">
            <v>45126</v>
          </cell>
          <cell r="E619">
            <v>0.46875</v>
          </cell>
          <cell r="F619">
            <v>45108</v>
          </cell>
          <cell r="G619">
            <v>45126</v>
          </cell>
          <cell r="H619">
            <v>0.88611111111111107</v>
          </cell>
          <cell r="I619">
            <v>0.41736111111111113</v>
          </cell>
          <cell r="J619">
            <v>20</v>
          </cell>
          <cell r="K619" t="str">
            <v>FCB-PROTOCOL-01</v>
          </cell>
          <cell r="L619" t="str">
            <v>CLN/DBR/152</v>
          </cell>
          <cell r="M619" t="str">
            <v>Y</v>
          </cell>
          <cell r="N619" t="str">
            <v>DMS_v4(1K)</v>
          </cell>
          <cell r="O619" t="str">
            <v>Internal R&amp;D</v>
          </cell>
          <cell r="P619" t="str">
            <v>Q1 Passed</v>
          </cell>
          <cell r="Q619" t="str">
            <v>Q1 Passed</v>
          </cell>
          <cell r="R619" t="str">
            <v>Q1.5 Passed</v>
          </cell>
          <cell r="S619" t="str">
            <v>Q1.5 Passed</v>
          </cell>
          <cell r="V619" t="str">
            <v>Tumor content 40-90%</v>
          </cell>
          <cell r="W619" t="str">
            <v>Clinic'les</v>
          </cell>
          <cell r="X619" t="str">
            <v>Clinic'les- DBR &amp; SK Hospital, Tirupati</v>
          </cell>
          <cell r="Y619" t="str">
            <v>DBR &amp; SK Hospital, Tirupati</v>
          </cell>
          <cell r="Z619" t="str">
            <v>Dr C Jayaprakash, Tirupati</v>
          </cell>
          <cell r="AA619" t="str">
            <v>HNSCC</v>
          </cell>
          <cell r="AC619" t="str">
            <v>Buccal Mucosa</v>
          </cell>
          <cell r="AD619" t="str">
            <v>Left buccal mucosa</v>
          </cell>
          <cell r="AE619" t="str">
            <v>Male</v>
          </cell>
          <cell r="AF619">
            <v>66</v>
          </cell>
          <cell r="AG619" t="str">
            <v>N</v>
          </cell>
          <cell r="AH619">
            <v>4.8</v>
          </cell>
          <cell r="AI619" t="str">
            <v>Shashi</v>
          </cell>
          <cell r="AJ619" t="str">
            <v>Surgery</v>
          </cell>
          <cell r="AK619" t="str">
            <v>Primary</v>
          </cell>
          <cell r="AN619" t="str">
            <v>III</v>
          </cell>
          <cell r="AP619" t="str">
            <v>pT3N0Mx</v>
          </cell>
          <cell r="AV619">
            <v>45126</v>
          </cell>
          <cell r="AW619">
            <v>0.88958333333333328</v>
          </cell>
          <cell r="AX619">
            <v>0.97222222222222221</v>
          </cell>
          <cell r="AY619">
            <v>8.2638888888888887E-2</v>
          </cell>
          <cell r="AZ619">
            <v>8.611111111111111E-2</v>
          </cell>
          <cell r="BA619">
            <v>0.50347222222222221</v>
          </cell>
          <cell r="BB619" t="str">
            <v>0.4*1.1/0.3*2.0
0.4*1.1/0.6*1.6</v>
          </cell>
          <cell r="BC619" t="str">
            <v>0.4*1.1/0.3*2.0
0.4*1.1/0.6*1.6</v>
          </cell>
          <cell r="BD619" t="str">
            <v>Vibratome</v>
          </cell>
          <cell r="BE619">
            <v>15</v>
          </cell>
          <cell r="BF619" t="str">
            <v>Mouniss</v>
          </cell>
          <cell r="BG619" t="str">
            <v>Y</v>
          </cell>
        </row>
        <row r="620">
          <cell r="A620" t="str">
            <v>FBR1K230217</v>
          </cell>
          <cell r="B620">
            <v>230217</v>
          </cell>
          <cell r="C620" t="str">
            <v>R&amp;D</v>
          </cell>
          <cell r="D620">
            <v>45127</v>
          </cell>
          <cell r="E620">
            <v>0.57291666666666663</v>
          </cell>
          <cell r="F620">
            <v>45108</v>
          </cell>
          <cell r="G620">
            <v>45127</v>
          </cell>
          <cell r="H620">
            <v>0.65347222222222223</v>
          </cell>
          <cell r="I620">
            <v>8.0555555555555561E-2</v>
          </cell>
          <cell r="J620">
            <v>10</v>
          </cell>
          <cell r="K620" t="str">
            <v>FCB-PROTOCOL-02</v>
          </cell>
          <cell r="L620" t="str">
            <v>HN076</v>
          </cell>
          <cell r="M620" t="str">
            <v>Y</v>
          </cell>
          <cell r="N620" t="str">
            <v>DMS_v4(1K)</v>
          </cell>
          <cell r="O620" t="str">
            <v>Internal R&amp;D</v>
          </cell>
          <cell r="P620" t="str">
            <v>Q1 Passed</v>
          </cell>
          <cell r="Q620" t="str">
            <v>Not Received</v>
          </cell>
          <cell r="R620" t="str">
            <v>Compromised</v>
          </cell>
          <cell r="S620" t="str">
            <v>Q1.5 Passed</v>
          </cell>
          <cell r="T620" t="str">
            <v>blood not collected</v>
          </cell>
          <cell r="V620" t="str">
            <v>Tumor content 70-90%</v>
          </cell>
          <cell r="W620" t="str">
            <v>Private Hospital</v>
          </cell>
          <cell r="X620" t="str">
            <v>Mazumdar Shaw Medical Centre, Bangalore</v>
          </cell>
          <cell r="Y620" t="str">
            <v>Mazumdar Shaw Medical Centre, Bangalore</v>
          </cell>
          <cell r="Z620" t="str">
            <v>Dr Vijay Pillai, Bangalore</v>
          </cell>
          <cell r="AA620" t="str">
            <v>HNSCC</v>
          </cell>
          <cell r="AC620" t="str">
            <v>Buccal Mucosa</v>
          </cell>
          <cell r="AD620" t="str">
            <v>Left buccal mucosa</v>
          </cell>
          <cell r="AE620" t="str">
            <v>Male</v>
          </cell>
          <cell r="AF620">
            <v>40</v>
          </cell>
          <cell r="AG620" t="str">
            <v>N</v>
          </cell>
          <cell r="AH620">
            <v>3.8</v>
          </cell>
          <cell r="AI620" t="str">
            <v>Partha</v>
          </cell>
          <cell r="AJ620" t="str">
            <v>Surgery</v>
          </cell>
          <cell r="AK620" t="str">
            <v>Primary</v>
          </cell>
          <cell r="AN620" t="str">
            <v>IV</v>
          </cell>
          <cell r="AO620">
            <v>2</v>
          </cell>
          <cell r="AP620" t="str">
            <v>pT4b</v>
          </cell>
          <cell r="AS620" t="str">
            <v>Moderately differentiated squamous cell carcinoma.</v>
          </cell>
          <cell r="AV620">
            <v>45127</v>
          </cell>
          <cell r="AW620">
            <v>0.67361111111111116</v>
          </cell>
          <cell r="AX620">
            <v>0.78680555555555554</v>
          </cell>
          <cell r="AY620">
            <v>0.11319444444444444</v>
          </cell>
          <cell r="AZ620">
            <v>0.13333333333333333</v>
          </cell>
          <cell r="BA620">
            <v>0.21388888888888888</v>
          </cell>
          <cell r="BB620" t="str">
            <v>1.0/1.2*1.0*1.2</v>
          </cell>
          <cell r="BC620" t="str">
            <v>1.0/1.2*1.0*1.2</v>
          </cell>
          <cell r="BD620" t="str">
            <v>Vibratome</v>
          </cell>
          <cell r="BE620">
            <v>15</v>
          </cell>
          <cell r="BF620" t="str">
            <v>kuberan</v>
          </cell>
          <cell r="BG620" t="str">
            <v>N</v>
          </cell>
        </row>
        <row r="621">
          <cell r="A621" t="str">
            <v>FBR1Y230217</v>
          </cell>
          <cell r="B621">
            <v>230217</v>
          </cell>
          <cell r="C621" t="str">
            <v>R&amp;D</v>
          </cell>
          <cell r="D621">
            <v>45127</v>
          </cell>
          <cell r="E621">
            <v>0.57291666666666663</v>
          </cell>
          <cell r="F621">
            <v>45108</v>
          </cell>
          <cell r="G621">
            <v>45127</v>
          </cell>
          <cell r="H621">
            <v>0.65347222222222223</v>
          </cell>
          <cell r="I621">
            <v>8.0555555555555561E-2</v>
          </cell>
          <cell r="J621">
            <v>10</v>
          </cell>
          <cell r="K621" t="str">
            <v>FCB-PROTOCOL-02</v>
          </cell>
          <cell r="L621" t="str">
            <v>HN076</v>
          </cell>
          <cell r="M621" t="str">
            <v>Y</v>
          </cell>
          <cell r="N621" t="str">
            <v>CCS Study (1Y)</v>
          </cell>
          <cell r="O621" t="str">
            <v>Internal R&amp;D</v>
          </cell>
          <cell r="P621" t="str">
            <v>Q1 Passed</v>
          </cell>
          <cell r="Q621" t="str">
            <v>Not Received</v>
          </cell>
          <cell r="R621" t="str">
            <v>Compromised</v>
          </cell>
          <cell r="S621" t="str">
            <v>Q1.5 Passed</v>
          </cell>
          <cell r="T621" t="str">
            <v>blood not collected</v>
          </cell>
          <cell r="V621" t="str">
            <v>Tumor content 70-90%</v>
          </cell>
          <cell r="W621" t="str">
            <v>Private Hospital</v>
          </cell>
          <cell r="X621" t="str">
            <v>Mazumdar Shaw Medical Centre, Bangalore</v>
          </cell>
          <cell r="Y621" t="str">
            <v>Mazumdar Shaw Medical Centre, Bangalore</v>
          </cell>
          <cell r="Z621" t="str">
            <v>Dr Vijay Pillai, Bangalore</v>
          </cell>
          <cell r="AA621" t="str">
            <v>HNSCC</v>
          </cell>
          <cell r="AC621" t="str">
            <v>Buccal Mucosa</v>
          </cell>
          <cell r="AD621" t="str">
            <v>Left buccal mucosa</v>
          </cell>
          <cell r="AE621" t="str">
            <v>Male</v>
          </cell>
          <cell r="AF621">
            <v>40</v>
          </cell>
          <cell r="AG621" t="str">
            <v>N</v>
          </cell>
          <cell r="AH621">
            <v>3.8</v>
          </cell>
          <cell r="AI621" t="str">
            <v>Partha</v>
          </cell>
          <cell r="AJ621" t="str">
            <v>Surgery</v>
          </cell>
          <cell r="AK621" t="str">
            <v>Primary</v>
          </cell>
          <cell r="AN621" t="str">
            <v>IV</v>
          </cell>
          <cell r="AO621">
            <v>2</v>
          </cell>
          <cell r="AP621" t="str">
            <v>pT4b</v>
          </cell>
          <cell r="AS621" t="str">
            <v>Moderately differentiated squamous cell carcinoma.</v>
          </cell>
          <cell r="AV621">
            <v>45127</v>
          </cell>
          <cell r="AW621">
            <v>0.67361111111111116</v>
          </cell>
          <cell r="AX621">
            <v>0.78680555555555554</v>
          </cell>
          <cell r="AY621">
            <v>0.11319444444444444</v>
          </cell>
          <cell r="AZ621">
            <v>0.13333333333333333</v>
          </cell>
          <cell r="BA621">
            <v>0.21388888888888888</v>
          </cell>
          <cell r="BB621" t="str">
            <v>1.0/1.2*1.0*1.2</v>
          </cell>
          <cell r="BC621" t="str">
            <v>1.0/1.2*1.0*1.2</v>
          </cell>
          <cell r="BD621" t="str">
            <v>Vibratome</v>
          </cell>
          <cell r="BE621">
            <v>15</v>
          </cell>
          <cell r="BF621" t="str">
            <v>kuberan</v>
          </cell>
          <cell r="BG621" t="str">
            <v>N</v>
          </cell>
        </row>
        <row r="622">
          <cell r="A622" t="str">
            <v>FBR1Z230218</v>
          </cell>
          <cell r="B622">
            <v>230218</v>
          </cell>
          <cell r="C622" t="str">
            <v>R&amp;D</v>
          </cell>
          <cell r="D622">
            <v>45127</v>
          </cell>
          <cell r="E622">
            <v>0.4861111111111111</v>
          </cell>
          <cell r="F622">
            <v>45108</v>
          </cell>
          <cell r="G622">
            <v>45127</v>
          </cell>
          <cell r="H622">
            <v>0.82499999999999996</v>
          </cell>
          <cell r="I622">
            <v>0.33888888888888891</v>
          </cell>
          <cell r="J622">
            <v>10</v>
          </cell>
          <cell r="K622" t="str">
            <v>FCB-PROTOCOL-01</v>
          </cell>
          <cell r="L622" t="str">
            <v>CLN/DBR/153</v>
          </cell>
          <cell r="M622" t="str">
            <v>Y</v>
          </cell>
          <cell r="N622" t="str">
            <v>CT+LD Nivo -NLD study (1Z)</v>
          </cell>
          <cell r="O622" t="str">
            <v>Internal R&amp;D</v>
          </cell>
          <cell r="P622" t="str">
            <v>Q1 Passed</v>
          </cell>
          <cell r="Q622" t="str">
            <v>Q1 Passed</v>
          </cell>
          <cell r="R622" t="str">
            <v>Q1.5 Passed</v>
          </cell>
          <cell r="S622" t="str">
            <v>Q1.5 Passed</v>
          </cell>
          <cell r="V622" t="str">
            <v>Tumor content 90-95%</v>
          </cell>
          <cell r="W622" t="str">
            <v>Clinic'les</v>
          </cell>
          <cell r="X622" t="str">
            <v>Clinic'les- DBR &amp; SK Hospital, Tirupati</v>
          </cell>
          <cell r="Y622" t="str">
            <v>DBR &amp; SK Hospital, Tirupati</v>
          </cell>
          <cell r="Z622" t="str">
            <v>Dr C Jayaprakash, Tirupati</v>
          </cell>
          <cell r="AA622" t="str">
            <v>HNSCC</v>
          </cell>
          <cell r="AC622" t="str">
            <v>Buccal Mucosa</v>
          </cell>
          <cell r="AD622" t="str">
            <v>Left buccal mucosa</v>
          </cell>
          <cell r="AE622" t="str">
            <v>Female</v>
          </cell>
          <cell r="AF622">
            <v>71</v>
          </cell>
          <cell r="AG622" t="str">
            <v>N</v>
          </cell>
          <cell r="AH622">
            <v>5.0999999999999996</v>
          </cell>
          <cell r="AI622" t="str">
            <v>Shashi</v>
          </cell>
          <cell r="AJ622" t="str">
            <v>Surgery</v>
          </cell>
          <cell r="AK622" t="str">
            <v>Primary</v>
          </cell>
          <cell r="AN622" t="str">
            <v>III</v>
          </cell>
          <cell r="AP622" t="str">
            <v>pT3N0Mx</v>
          </cell>
          <cell r="AV622">
            <v>45127</v>
          </cell>
          <cell r="AW622">
            <v>0.8354166666666667</v>
          </cell>
          <cell r="AX622">
            <v>0.91666666666666663</v>
          </cell>
          <cell r="AY622">
            <v>8.1250000000000003E-2</v>
          </cell>
          <cell r="AZ622">
            <v>9.166666666666666E-2</v>
          </cell>
          <cell r="BA622">
            <v>0.43055555555555558</v>
          </cell>
          <cell r="BB622" t="str">
            <v>0.4-1.0*1.0/0.8/2.0*3.0</v>
          </cell>
          <cell r="BC622" t="str">
            <v>0.4-1.0*1.0/0.8/2.0*3.0</v>
          </cell>
          <cell r="BD622" t="str">
            <v>Vibratome</v>
          </cell>
          <cell r="BE622">
            <v>15</v>
          </cell>
          <cell r="BF622" t="str">
            <v>chandan</v>
          </cell>
          <cell r="BG622" t="str">
            <v>Y</v>
          </cell>
        </row>
        <row r="623">
          <cell r="A623" t="str">
            <v>FBR1Q230219</v>
          </cell>
          <cell r="B623">
            <v>230219</v>
          </cell>
          <cell r="C623" t="str">
            <v>R&amp;D</v>
          </cell>
          <cell r="D623">
            <v>45128</v>
          </cell>
          <cell r="E623">
            <v>0.5</v>
          </cell>
          <cell r="F623">
            <v>45108</v>
          </cell>
          <cell r="G623">
            <v>45128</v>
          </cell>
          <cell r="H623">
            <v>0.60069444444444442</v>
          </cell>
          <cell r="I623">
            <v>0.10069444444444445</v>
          </cell>
          <cell r="J623">
            <v>3</v>
          </cell>
          <cell r="K623" t="str">
            <v>FCB-PROTOCOL-02</v>
          </cell>
          <cell r="L623" t="str">
            <v>VYD/185</v>
          </cell>
          <cell r="M623" t="str">
            <v>Y</v>
          </cell>
          <cell r="N623" t="str">
            <v>COSv4.2_CaBR(1Q-Unknown)</v>
          </cell>
          <cell r="O623" t="str">
            <v>Internal R&amp;D</v>
          </cell>
          <cell r="P623" t="str">
            <v>Q1 Passed</v>
          </cell>
          <cell r="Q623" t="str">
            <v>Q1 Passed</v>
          </cell>
          <cell r="R623" t="str">
            <v>Q1.5 Passed</v>
          </cell>
          <cell r="S623" t="str">
            <v>Q1.5 Passed</v>
          </cell>
          <cell r="V623" t="str">
            <v>Tumor content 0-20%</v>
          </cell>
          <cell r="W623" t="str">
            <v>Private Hospital</v>
          </cell>
          <cell r="X623" t="str">
            <v>Vydehi Hospital, Bangalore</v>
          </cell>
          <cell r="Y623" t="str">
            <v>Vydehi Hospital, Bangalore</v>
          </cell>
          <cell r="Z623" t="str">
            <v>Dr Amritha Prabha, Bangalore</v>
          </cell>
          <cell r="AA623" t="str">
            <v>Ca Breast</v>
          </cell>
          <cell r="AB623" t="str">
            <v>ER+,PR+,Her 2Equivocal</v>
          </cell>
          <cell r="AC623" t="str">
            <v>Breast</v>
          </cell>
          <cell r="AD623" t="str">
            <v>Left Breast</v>
          </cell>
          <cell r="AE623" t="str">
            <v>Female</v>
          </cell>
          <cell r="AF623">
            <v>78</v>
          </cell>
          <cell r="AG623" t="str">
            <v>N</v>
          </cell>
          <cell r="AH623">
            <v>4.5999999999999996</v>
          </cell>
          <cell r="AI623" t="str">
            <v>Maruthi</v>
          </cell>
          <cell r="AJ623" t="str">
            <v>Surgery</v>
          </cell>
          <cell r="AK623" t="str">
            <v>Primary</v>
          </cell>
          <cell r="AN623" t="str">
            <v>IIB</v>
          </cell>
          <cell r="AO623">
            <v>2</v>
          </cell>
          <cell r="AP623" t="str">
            <v>pT3N0</v>
          </cell>
          <cell r="AV623">
            <v>45128</v>
          </cell>
          <cell r="AW623">
            <v>0.62152777777777779</v>
          </cell>
          <cell r="AX623">
            <v>0.72916666666666663</v>
          </cell>
          <cell r="AY623">
            <v>0.1076388888888889</v>
          </cell>
          <cell r="AZ623">
            <v>0.12847222222222221</v>
          </cell>
          <cell r="BA623">
            <v>0.22916666666666666</v>
          </cell>
          <cell r="BB623" t="str">
            <v>0.8/1.1*2.0*2.6</v>
          </cell>
          <cell r="BC623" t="str">
            <v>0.4/0.6*0.7*1.3
2.4*0.6*1.4</v>
          </cell>
          <cell r="BD623" t="str">
            <v>Manual</v>
          </cell>
          <cell r="BE623">
            <v>15</v>
          </cell>
          <cell r="BF623" t="str">
            <v xml:space="preserve">sai </v>
          </cell>
          <cell r="BG623" t="str">
            <v>Y</v>
          </cell>
        </row>
        <row r="624">
          <cell r="A624" t="str">
            <v>FBR2G230219</v>
          </cell>
          <cell r="B624">
            <v>230219</v>
          </cell>
          <cell r="C624" t="str">
            <v>R&amp;D</v>
          </cell>
          <cell r="D624">
            <v>45128</v>
          </cell>
          <cell r="E624">
            <v>0.5</v>
          </cell>
          <cell r="F624">
            <v>45108</v>
          </cell>
          <cell r="G624">
            <v>45128</v>
          </cell>
          <cell r="H624">
            <v>0.60069444444444442</v>
          </cell>
          <cell r="I624">
            <v>0.10069444444444445</v>
          </cell>
          <cell r="J624">
            <v>3</v>
          </cell>
          <cell r="K624" t="str">
            <v>FCB-PROTOCOL-02</v>
          </cell>
          <cell r="L624" t="str">
            <v>VYD/185</v>
          </cell>
          <cell r="M624" t="str">
            <v>Y</v>
          </cell>
          <cell r="N624" t="str">
            <v>Microfragments (2G)</v>
          </cell>
          <cell r="O624" t="str">
            <v>Internal R&amp;D</v>
          </cell>
          <cell r="P624" t="str">
            <v>Q1 Passed</v>
          </cell>
          <cell r="Q624" t="str">
            <v>Q1 Passed</v>
          </cell>
          <cell r="R624" t="str">
            <v>Q1.5 Passed</v>
          </cell>
          <cell r="S624" t="str">
            <v>Q1.5 Passed</v>
          </cell>
          <cell r="V624" t="str">
            <v>Tumor content 0-20%</v>
          </cell>
          <cell r="W624" t="str">
            <v>Private Hospital</v>
          </cell>
          <cell r="X624" t="str">
            <v>Vydehi Hospital, Bangalore</v>
          </cell>
          <cell r="Y624" t="str">
            <v>Vydehi Hospital, Bangalore</v>
          </cell>
          <cell r="Z624" t="str">
            <v>Dr Amritha Prabha, Bangalore</v>
          </cell>
          <cell r="AA624" t="str">
            <v>Ca Breast</v>
          </cell>
          <cell r="AB624" t="str">
            <v>ER+,PR+,Her 2Equivocal</v>
          </cell>
          <cell r="AC624" t="str">
            <v>Breast</v>
          </cell>
          <cell r="AD624" t="str">
            <v>Left Breast</v>
          </cell>
          <cell r="AE624" t="str">
            <v>Female</v>
          </cell>
          <cell r="AF624">
            <v>78</v>
          </cell>
          <cell r="AG624" t="str">
            <v>N</v>
          </cell>
          <cell r="AH624">
            <v>4.5999999999999996</v>
          </cell>
          <cell r="AI624" t="str">
            <v>Maruthi</v>
          </cell>
          <cell r="AJ624" t="str">
            <v>Surgery</v>
          </cell>
          <cell r="AK624" t="str">
            <v>Primary</v>
          </cell>
          <cell r="AN624" t="str">
            <v>IIB</v>
          </cell>
          <cell r="AO624">
            <v>2</v>
          </cell>
          <cell r="AP624" t="str">
            <v>pT3N0</v>
          </cell>
          <cell r="AV624">
            <v>45128</v>
          </cell>
          <cell r="AW624">
            <v>0.62152777777777779</v>
          </cell>
          <cell r="AX624">
            <v>0.72916666666666663</v>
          </cell>
          <cell r="AY624">
            <v>0.1076388888888889</v>
          </cell>
          <cell r="AZ624">
            <v>0.12847222222222221</v>
          </cell>
          <cell r="BA624">
            <v>0.22916666666666666</v>
          </cell>
          <cell r="BB624" t="str">
            <v>0.8/1.1*2.0*2.6</v>
          </cell>
          <cell r="BC624" t="str">
            <v>0.4/0.6*0.7*1.3
2.4*0.6*1.4</v>
          </cell>
          <cell r="BD624" t="str">
            <v>Manual</v>
          </cell>
          <cell r="BE624">
            <v>15</v>
          </cell>
          <cell r="BF624" t="str">
            <v xml:space="preserve">sai </v>
          </cell>
          <cell r="BG624" t="str">
            <v>Y</v>
          </cell>
        </row>
        <row r="625">
          <cell r="A625" t="str">
            <v>FBR2F230220</v>
          </cell>
          <cell r="B625">
            <v>230220</v>
          </cell>
          <cell r="C625" t="str">
            <v>R&amp;D</v>
          </cell>
          <cell r="D625">
            <v>45128</v>
          </cell>
          <cell r="E625">
            <v>0.53194444444444444</v>
          </cell>
          <cell r="F625">
            <v>45108</v>
          </cell>
          <cell r="G625">
            <v>45128</v>
          </cell>
          <cell r="H625">
            <v>0.60347222222222219</v>
          </cell>
          <cell r="I625">
            <v>7.1527777777777773E-2</v>
          </cell>
          <cell r="J625">
            <v>3</v>
          </cell>
          <cell r="K625" t="str">
            <v>FCB-PROTOCOL-02</v>
          </cell>
          <cell r="L625" t="str">
            <v>CLN/PRA/222</v>
          </cell>
          <cell r="M625" t="str">
            <v>Y</v>
          </cell>
          <cell r="N625" t="str">
            <v>ECR (2F)</v>
          </cell>
          <cell r="O625" t="str">
            <v>Internal R&amp;D</v>
          </cell>
          <cell r="P625" t="str">
            <v>Q1 Passed</v>
          </cell>
          <cell r="Q625" t="str">
            <v>Q1 Passed</v>
          </cell>
          <cell r="R625" t="str">
            <v>Q1.5 Passed</v>
          </cell>
          <cell r="S625" t="str">
            <v>Q1.5 Passed</v>
          </cell>
          <cell r="V625" t="str">
            <v>Tumor content 15-90%</v>
          </cell>
          <cell r="W625" t="str">
            <v>Private Hospital</v>
          </cell>
          <cell r="X625" t="str">
            <v>Dr Prakash BV, Bangalore</v>
          </cell>
          <cell r="Y625" t="str">
            <v>Abhaya Hospital, Bangalore</v>
          </cell>
          <cell r="Z625" t="str">
            <v>Dr Prakash BV, Bangalore</v>
          </cell>
          <cell r="AA625" t="str">
            <v>HNSCC</v>
          </cell>
          <cell r="AC625" t="str">
            <v>Buccal Mucosa</v>
          </cell>
          <cell r="AD625" t="str">
            <v>Left Buccal Mucosa</v>
          </cell>
          <cell r="AE625" t="str">
            <v>Male</v>
          </cell>
          <cell r="AF625">
            <v>62</v>
          </cell>
          <cell r="AG625" t="str">
            <v>N</v>
          </cell>
          <cell r="AH625">
            <v>4.8</v>
          </cell>
          <cell r="AI625" t="str">
            <v>Shashi</v>
          </cell>
          <cell r="AJ625" t="str">
            <v>Surgery</v>
          </cell>
          <cell r="AK625" t="str">
            <v>Primary</v>
          </cell>
          <cell r="AV625">
            <v>45128</v>
          </cell>
          <cell r="AW625">
            <v>0.62152777777777779</v>
          </cell>
          <cell r="AX625">
            <v>0.70486111111111116</v>
          </cell>
          <cell r="AY625">
            <v>8.3333333333333329E-2</v>
          </cell>
          <cell r="AZ625">
            <v>0.10138888888888889</v>
          </cell>
          <cell r="BA625">
            <v>0.17291666666666666</v>
          </cell>
          <cell r="BB625" t="str">
            <v>0.5*0.8*2.0</v>
          </cell>
          <cell r="BC625" t="str">
            <v>0.5*0.8*2.0</v>
          </cell>
          <cell r="BD625" t="str">
            <v>Vibratome</v>
          </cell>
          <cell r="BE625">
            <v>15</v>
          </cell>
          <cell r="BF625" t="str">
            <v>Kowshik</v>
          </cell>
          <cell r="BG625" t="str">
            <v>Y</v>
          </cell>
        </row>
        <row r="626">
          <cell r="A626" t="str">
            <v>FBR1K230220</v>
          </cell>
          <cell r="B626">
            <v>230220</v>
          </cell>
          <cell r="C626" t="str">
            <v>R&amp;D</v>
          </cell>
          <cell r="D626">
            <v>45128</v>
          </cell>
          <cell r="E626">
            <v>0.53194444444444444</v>
          </cell>
          <cell r="F626">
            <v>45108</v>
          </cell>
          <cell r="G626">
            <v>45128</v>
          </cell>
          <cell r="H626">
            <v>0.60347222222222219</v>
          </cell>
          <cell r="I626">
            <v>7.1527777777777773E-2</v>
          </cell>
          <cell r="J626">
            <v>3</v>
          </cell>
          <cell r="K626" t="str">
            <v>FCB-PROTOCOL-02</v>
          </cell>
          <cell r="L626" t="str">
            <v>CLN/PRA/222</v>
          </cell>
          <cell r="M626" t="str">
            <v>Y</v>
          </cell>
          <cell r="N626" t="str">
            <v>DMS_v4(1K)</v>
          </cell>
          <cell r="O626" t="str">
            <v>Internal R&amp;D</v>
          </cell>
          <cell r="P626" t="str">
            <v>Q1 Passed</v>
          </cell>
          <cell r="Q626" t="str">
            <v>Q1 Passed</v>
          </cell>
          <cell r="R626" t="str">
            <v>Q1.5 Passed</v>
          </cell>
          <cell r="S626" t="str">
            <v>Q1.5 Passed</v>
          </cell>
          <cell r="V626" t="str">
            <v>Tumor content 0-90%</v>
          </cell>
          <cell r="W626" t="str">
            <v>Private Hospital</v>
          </cell>
          <cell r="X626" t="str">
            <v>Dr Prakash BV, Bangalore</v>
          </cell>
          <cell r="Y626" t="str">
            <v>Abhaya Hospital, Bangalore</v>
          </cell>
          <cell r="Z626" t="str">
            <v>Dr Prakash BV, Bangalore</v>
          </cell>
          <cell r="AA626" t="str">
            <v>HNSCC</v>
          </cell>
          <cell r="AC626" t="str">
            <v>Buccal Mucosa</v>
          </cell>
          <cell r="AD626" t="str">
            <v>Left Buccal Mucosa</v>
          </cell>
          <cell r="AE626" t="str">
            <v>Male</v>
          </cell>
          <cell r="AF626">
            <v>62</v>
          </cell>
          <cell r="AG626" t="str">
            <v>N</v>
          </cell>
          <cell r="AH626">
            <v>4.8</v>
          </cell>
          <cell r="AI626" t="str">
            <v>Shashi</v>
          </cell>
          <cell r="AJ626" t="str">
            <v>Surgery</v>
          </cell>
          <cell r="AK626" t="str">
            <v>Primary</v>
          </cell>
          <cell r="AV626">
            <v>45128</v>
          </cell>
          <cell r="AW626">
            <v>0.62152777777777779</v>
          </cell>
          <cell r="AX626">
            <v>0.70486111111111116</v>
          </cell>
          <cell r="AY626">
            <v>8.3333333333333329E-2</v>
          </cell>
          <cell r="AZ626">
            <v>0.10138888888888889</v>
          </cell>
          <cell r="BA626">
            <v>0.17291666666666666</v>
          </cell>
          <cell r="BB626" t="str">
            <v>0.5*0.8*2.0</v>
          </cell>
          <cell r="BC626" t="str">
            <v>0.5*0.8*2.0</v>
          </cell>
          <cell r="BD626" t="str">
            <v>Vibratome</v>
          </cell>
          <cell r="BE626">
            <v>15</v>
          </cell>
          <cell r="BF626" t="str">
            <v>Kowshik</v>
          </cell>
          <cell r="BG626" t="str">
            <v>Y</v>
          </cell>
        </row>
        <row r="627">
          <cell r="A627" t="str">
            <v>FBR1Y230221</v>
          </cell>
          <cell r="B627">
            <v>230221</v>
          </cell>
          <cell r="C627" t="str">
            <v>R&amp;D</v>
          </cell>
          <cell r="D627">
            <v>45128</v>
          </cell>
          <cell r="E627">
            <v>0.60416666666666663</v>
          </cell>
          <cell r="F627">
            <v>45108</v>
          </cell>
          <cell r="G627">
            <v>45128</v>
          </cell>
          <cell r="H627">
            <v>0.7104166666666667</v>
          </cell>
          <cell r="I627">
            <v>0.10625</v>
          </cell>
          <cell r="J627">
            <v>10</v>
          </cell>
          <cell r="K627" t="str">
            <v>FCB-PROTOCOL-02</v>
          </cell>
          <cell r="L627" t="str">
            <v>HN077</v>
          </cell>
          <cell r="M627" t="str">
            <v>Y</v>
          </cell>
          <cell r="N627" t="str">
            <v>CCS Study (1Y)</v>
          </cell>
          <cell r="O627" t="str">
            <v>Internal R&amp;D</v>
          </cell>
          <cell r="P627" t="str">
            <v>Q1 Passed</v>
          </cell>
          <cell r="Q627" t="str">
            <v>Q1 Passed</v>
          </cell>
          <cell r="R627" t="str">
            <v>Compromised</v>
          </cell>
          <cell r="S627" t="str">
            <v>Q1.5 Passed</v>
          </cell>
          <cell r="V627" t="str">
            <v>Tumor content 70-95%</v>
          </cell>
          <cell r="W627" t="str">
            <v>Private Hospital</v>
          </cell>
          <cell r="X627" t="str">
            <v>Mazumdar Shaw Medical Centre, Bangalore</v>
          </cell>
          <cell r="Y627" t="str">
            <v>Mazumdar Shaw Medical Centre, Bangalore</v>
          </cell>
          <cell r="Z627" t="str">
            <v>Dr Vijay Pillai, Bangalore</v>
          </cell>
          <cell r="AA627" t="str">
            <v>HNSCC</v>
          </cell>
          <cell r="AC627" t="str">
            <v>Alveolus</v>
          </cell>
          <cell r="AD627" t="str">
            <v>Right Lower Alveolus</v>
          </cell>
          <cell r="AE627" t="str">
            <v>Male</v>
          </cell>
          <cell r="AF627">
            <v>73</v>
          </cell>
          <cell r="AG627" t="str">
            <v>N</v>
          </cell>
          <cell r="AH627">
            <v>5.0999999999999996</v>
          </cell>
          <cell r="AI627" t="str">
            <v>Maruthi</v>
          </cell>
          <cell r="AJ627" t="str">
            <v>Surgery</v>
          </cell>
          <cell r="AK627" t="str">
            <v>Primary</v>
          </cell>
          <cell r="AN627" t="str">
            <v>I</v>
          </cell>
          <cell r="AO627">
            <v>2</v>
          </cell>
          <cell r="AP627" t="str">
            <v>pN1</v>
          </cell>
          <cell r="AS627" t="str">
            <v>Moderately differentiated Squamous cell carcinoma, conventional (keratinizing)</v>
          </cell>
          <cell r="AV627">
            <v>45128</v>
          </cell>
          <cell r="AW627">
            <v>0.75</v>
          </cell>
          <cell r="AX627">
            <v>0.79166666666666663</v>
          </cell>
          <cell r="AY627">
            <v>4.1666666666666664E-2</v>
          </cell>
          <cell r="AZ627">
            <v>8.1250000000000003E-2</v>
          </cell>
          <cell r="BA627">
            <v>0.1875</v>
          </cell>
          <cell r="BB627" t="str">
            <v>0.4*0.8*0.8</v>
          </cell>
          <cell r="BC627" t="str">
            <v>0.4*0.8*0.8</v>
          </cell>
          <cell r="BD627" t="str">
            <v>Manual</v>
          </cell>
          <cell r="BE627">
            <v>15</v>
          </cell>
          <cell r="BF627" t="str">
            <v>Syam</v>
          </cell>
          <cell r="BG627" t="str">
            <v>Y</v>
          </cell>
        </row>
        <row r="628">
          <cell r="A628" t="str">
            <v>FBR1Q230222</v>
          </cell>
          <cell r="B628">
            <v>230222</v>
          </cell>
          <cell r="C628" t="str">
            <v>R&amp;D</v>
          </cell>
          <cell r="D628">
            <v>45129</v>
          </cell>
          <cell r="E628">
            <v>0.55902777777777779</v>
          </cell>
          <cell r="F628">
            <v>45108</v>
          </cell>
          <cell r="G628">
            <v>45129</v>
          </cell>
          <cell r="H628">
            <v>0.60555555555555551</v>
          </cell>
          <cell r="I628">
            <v>4.6527777777777779E-2</v>
          </cell>
          <cell r="J628">
            <v>2</v>
          </cell>
          <cell r="K628" t="str">
            <v>FCB-PROTOCOL-02</v>
          </cell>
          <cell r="L628" t="str">
            <v>VYD/186</v>
          </cell>
          <cell r="M628" t="str">
            <v>Y</v>
          </cell>
          <cell r="N628" t="str">
            <v>COSv4.2_CaBR(1Q-Unknown)</v>
          </cell>
          <cell r="O628" t="str">
            <v>Internal R&amp;D</v>
          </cell>
          <cell r="P628" t="str">
            <v>Q1 Passed</v>
          </cell>
          <cell r="Q628" t="str">
            <v>Q1 Passed</v>
          </cell>
          <cell r="R628" t="str">
            <v>Q1.5 Passed</v>
          </cell>
          <cell r="S628" t="str">
            <v>Q1.5 Passed</v>
          </cell>
          <cell r="V628" t="str">
            <v>Tumor content 3-25%</v>
          </cell>
          <cell r="W628" t="str">
            <v>Private Hospital</v>
          </cell>
          <cell r="X628" t="str">
            <v>Vydehi Hospital, Bangalore</v>
          </cell>
          <cell r="Y628" t="str">
            <v>Vydehi Hospital, Bangalore</v>
          </cell>
          <cell r="Z628" t="str">
            <v>Dr Amritha Prabha, Bangalore</v>
          </cell>
          <cell r="AA628" t="str">
            <v>Ca Breast</v>
          </cell>
          <cell r="AB628" t="str">
            <v>TPBC</v>
          </cell>
          <cell r="AC628" t="str">
            <v>Breast</v>
          </cell>
          <cell r="AD628" t="str">
            <v>Right Breast</v>
          </cell>
          <cell r="AE628" t="str">
            <v>Female</v>
          </cell>
          <cell r="AF628">
            <v>38</v>
          </cell>
          <cell r="AG628" t="str">
            <v>N</v>
          </cell>
          <cell r="AH628">
            <v>5.4</v>
          </cell>
          <cell r="AI628" t="str">
            <v>Maruthi</v>
          </cell>
          <cell r="AJ628" t="str">
            <v>Surgery</v>
          </cell>
          <cell r="AK628" t="str">
            <v>Primary</v>
          </cell>
          <cell r="AN628" t="str">
            <v>IIA</v>
          </cell>
          <cell r="AO628">
            <v>2</v>
          </cell>
          <cell r="AP628" t="str">
            <v>pT1ccN1a</v>
          </cell>
          <cell r="AV628">
            <v>45129</v>
          </cell>
          <cell r="AW628">
            <v>0.62638888888888888</v>
          </cell>
          <cell r="AX628">
            <v>0.6694444444444444</v>
          </cell>
          <cell r="AY628">
            <v>4.3055555555555555E-2</v>
          </cell>
          <cell r="AZ628">
            <v>6.3888888888888884E-2</v>
          </cell>
          <cell r="BA628">
            <v>0.11041666666666666</v>
          </cell>
          <cell r="BB628" t="str">
            <v>1.2*1.8.2.8</v>
          </cell>
          <cell r="BC628" t="str">
            <v>0.6*0.9*1.6</v>
          </cell>
          <cell r="BD628" t="str">
            <v>Manual</v>
          </cell>
          <cell r="BE628">
            <v>15</v>
          </cell>
          <cell r="BF628" t="str">
            <v>Kowshik</v>
          </cell>
          <cell r="BG628" t="str">
            <v>Y</v>
          </cell>
        </row>
        <row r="629">
          <cell r="A629" t="str">
            <v>FBR2F230223 (CRYO)</v>
          </cell>
          <cell r="B629">
            <v>230223</v>
          </cell>
          <cell r="C629" t="str">
            <v>R&amp;D</v>
          </cell>
          <cell r="D629">
            <v>45131</v>
          </cell>
          <cell r="E629">
            <v>0.37083333333333335</v>
          </cell>
          <cell r="F629">
            <v>45108</v>
          </cell>
          <cell r="G629">
            <v>45131</v>
          </cell>
          <cell r="H629">
            <v>0.44791666666666669</v>
          </cell>
          <cell r="I629">
            <v>7.7083333333333337E-2</v>
          </cell>
          <cell r="J629">
            <v>2</v>
          </cell>
          <cell r="K629" t="str">
            <v>FCB-PROTOCOL-02</v>
          </cell>
          <cell r="L629" t="str">
            <v>CLN/PRA/223</v>
          </cell>
          <cell r="M629" t="str">
            <v>Y</v>
          </cell>
          <cell r="N629" t="str">
            <v>ECR (2F)</v>
          </cell>
          <cell r="O629" t="str">
            <v>Internal R&amp;D</v>
          </cell>
          <cell r="P629" t="str">
            <v>Q1 Passed</v>
          </cell>
          <cell r="Q629" t="str">
            <v>Q1 Passed</v>
          </cell>
          <cell r="R629" t="str">
            <v>Q1.5 Passed</v>
          </cell>
          <cell r="S629" t="str">
            <v>Q1.5 Passed</v>
          </cell>
          <cell r="V629" t="str">
            <v>Tumor content 40-85%</v>
          </cell>
          <cell r="W629" t="str">
            <v>Private Hospital</v>
          </cell>
          <cell r="X629" t="str">
            <v>Dr Prakash BV, Bangalore</v>
          </cell>
          <cell r="Y629" t="str">
            <v>Abhaya Hospital, Bangalore</v>
          </cell>
          <cell r="Z629" t="str">
            <v>Dr Prakash BV, Bangalore</v>
          </cell>
          <cell r="AA629" t="str">
            <v>HNSCC</v>
          </cell>
          <cell r="AC629" t="str">
            <v>Alveolus</v>
          </cell>
          <cell r="AD629" t="str">
            <v>Lower Alveolus</v>
          </cell>
          <cell r="AE629" t="str">
            <v>Male</v>
          </cell>
          <cell r="AF629">
            <v>56</v>
          </cell>
          <cell r="AG629" t="str">
            <v>N</v>
          </cell>
          <cell r="AH629">
            <v>4.5999999999999996</v>
          </cell>
          <cell r="AI629" t="str">
            <v>Kalappa</v>
          </cell>
          <cell r="AJ629" t="str">
            <v>Surgery</v>
          </cell>
          <cell r="AK629" t="str">
            <v>Primary</v>
          </cell>
          <cell r="AO629">
            <v>2</v>
          </cell>
          <cell r="AP629" t="str">
            <v>pT4aN2bM0</v>
          </cell>
          <cell r="AV629">
            <v>45131</v>
          </cell>
          <cell r="AW629">
            <v>0.47083333333333333</v>
          </cell>
          <cell r="AX629">
            <v>0.57361111111111107</v>
          </cell>
          <cell r="AY629">
            <v>0.10277777777777777</v>
          </cell>
          <cell r="AZ629">
            <v>0.12569444444444444</v>
          </cell>
          <cell r="BA629">
            <v>0.20277777777777778</v>
          </cell>
          <cell r="BB629" t="str">
            <v>0.6*1.6*1.7</v>
          </cell>
          <cell r="BC629" t="str">
            <v>0.6*1.6*1.7</v>
          </cell>
          <cell r="BD629" t="str">
            <v>Vibratome</v>
          </cell>
          <cell r="BE629">
            <v>15</v>
          </cell>
          <cell r="BF629" t="str">
            <v>Pallavi</v>
          </cell>
          <cell r="BG629" t="str">
            <v>Y</v>
          </cell>
        </row>
        <row r="630">
          <cell r="A630" t="str">
            <v>FBR2F230223(FRESH)</v>
          </cell>
          <cell r="B630">
            <v>230223</v>
          </cell>
          <cell r="C630" t="str">
            <v>R&amp;D</v>
          </cell>
          <cell r="D630">
            <v>45131</v>
          </cell>
          <cell r="E630">
            <v>0.37083333333333335</v>
          </cell>
          <cell r="F630">
            <v>45108</v>
          </cell>
          <cell r="G630">
            <v>45131</v>
          </cell>
          <cell r="H630">
            <v>0.44791666666666669</v>
          </cell>
          <cell r="I630">
            <v>7.7083333333333337E-2</v>
          </cell>
          <cell r="J630">
            <v>2</v>
          </cell>
          <cell r="K630" t="str">
            <v>FCB-PROTOCOL-02</v>
          </cell>
          <cell r="L630" t="str">
            <v>CLN/PRA/223</v>
          </cell>
          <cell r="M630" t="str">
            <v>Y</v>
          </cell>
          <cell r="N630" t="str">
            <v>ECR (2F)</v>
          </cell>
          <cell r="O630" t="str">
            <v>Internal R&amp;D</v>
          </cell>
          <cell r="P630" t="str">
            <v>Q1 Passed</v>
          </cell>
          <cell r="Q630" t="str">
            <v>Q1 Passed</v>
          </cell>
          <cell r="R630" t="str">
            <v>Q1.5 Passed</v>
          </cell>
          <cell r="S630" t="str">
            <v>Q1.5 Passed</v>
          </cell>
          <cell r="V630" t="str">
            <v>Tumor content 40-85%</v>
          </cell>
          <cell r="W630" t="str">
            <v>Private Hospital</v>
          </cell>
          <cell r="X630" t="str">
            <v>Dr Prakash BV, Bangalore</v>
          </cell>
          <cell r="Y630" t="str">
            <v>Abhaya Hospital, Bangalore</v>
          </cell>
          <cell r="Z630" t="str">
            <v>Dr Prakash BV, Bangalore</v>
          </cell>
          <cell r="AA630" t="str">
            <v>HNSCC</v>
          </cell>
          <cell r="AC630" t="str">
            <v>Alveolus</v>
          </cell>
          <cell r="AD630" t="str">
            <v>Lower Alveolus</v>
          </cell>
          <cell r="AE630" t="str">
            <v>Male</v>
          </cell>
          <cell r="AF630">
            <v>56</v>
          </cell>
          <cell r="AG630" t="str">
            <v>N</v>
          </cell>
          <cell r="AH630">
            <v>4.5999999999999996</v>
          </cell>
          <cell r="AI630" t="str">
            <v>Kalappa</v>
          </cell>
          <cell r="AJ630" t="str">
            <v>Surgery</v>
          </cell>
          <cell r="AK630" t="str">
            <v>Primary</v>
          </cell>
          <cell r="AO630">
            <v>2</v>
          </cell>
          <cell r="AP630" t="str">
            <v>pT4aN2bM0</v>
          </cell>
          <cell r="AV630">
            <v>45131</v>
          </cell>
          <cell r="AW630">
            <v>0.47083333333333333</v>
          </cell>
          <cell r="AX630">
            <v>0.57361111111111107</v>
          </cell>
          <cell r="AY630">
            <v>0.10277777777777777</v>
          </cell>
          <cell r="AZ630">
            <v>0.12569444444444444</v>
          </cell>
          <cell r="BA630">
            <v>0.20277777777777778</v>
          </cell>
          <cell r="BB630" t="str">
            <v>0.6*1.6*1.7</v>
          </cell>
          <cell r="BC630" t="str">
            <v>0.6*1.6*1.7</v>
          </cell>
          <cell r="BD630" t="str">
            <v>Vibratome</v>
          </cell>
          <cell r="BE630">
            <v>15</v>
          </cell>
          <cell r="BF630" t="str">
            <v>Pallavi</v>
          </cell>
          <cell r="BG630" t="str">
            <v>Y</v>
          </cell>
        </row>
        <row r="631">
          <cell r="A631" t="str">
            <v>FBR1Z230223</v>
          </cell>
          <cell r="B631">
            <v>230223</v>
          </cell>
          <cell r="C631" t="str">
            <v>R&amp;D</v>
          </cell>
          <cell r="D631">
            <v>45131</v>
          </cell>
          <cell r="E631">
            <v>0.37083333333333335</v>
          </cell>
          <cell r="F631">
            <v>45108</v>
          </cell>
          <cell r="G631">
            <v>45131</v>
          </cell>
          <cell r="H631">
            <v>0.44791666666666669</v>
          </cell>
          <cell r="I631">
            <v>7.7083333333333337E-2</v>
          </cell>
          <cell r="J631">
            <v>2</v>
          </cell>
          <cell r="K631" t="str">
            <v>FCB-PROTOCOL-02</v>
          </cell>
          <cell r="L631" t="str">
            <v>CLN/PRA/223</v>
          </cell>
          <cell r="M631" t="str">
            <v>Y</v>
          </cell>
          <cell r="N631" t="str">
            <v>CT+LD Nivo -NLD study (1Z)</v>
          </cell>
          <cell r="O631" t="str">
            <v>Internal R&amp;D</v>
          </cell>
          <cell r="P631" t="str">
            <v>Q1 Passed</v>
          </cell>
          <cell r="Q631" t="str">
            <v>Q1 Passed</v>
          </cell>
          <cell r="R631" t="str">
            <v>Q1.5 Passed</v>
          </cell>
          <cell r="S631" t="str">
            <v>Q1.5 Passed</v>
          </cell>
          <cell r="V631" t="str">
            <v>Tumor content 40-90%</v>
          </cell>
          <cell r="W631" t="str">
            <v>Private Hospital</v>
          </cell>
          <cell r="X631" t="str">
            <v>Dr Prakash BV, Bangalore</v>
          </cell>
          <cell r="Y631" t="str">
            <v>Abhaya Hospital, Bangalore</v>
          </cell>
          <cell r="Z631" t="str">
            <v>Dr Prakash BV, Bangalore</v>
          </cell>
          <cell r="AA631" t="str">
            <v>HNSCC</v>
          </cell>
          <cell r="AC631" t="str">
            <v>Alveolus</v>
          </cell>
          <cell r="AD631" t="str">
            <v>Lower Alveolus</v>
          </cell>
          <cell r="AE631" t="str">
            <v>Male</v>
          </cell>
          <cell r="AF631">
            <v>56</v>
          </cell>
          <cell r="AG631" t="str">
            <v>N</v>
          </cell>
          <cell r="AH631">
            <v>4.5999999999999996</v>
          </cell>
          <cell r="AI631" t="str">
            <v>Kalappa</v>
          </cell>
          <cell r="AJ631" t="str">
            <v>Surgery</v>
          </cell>
          <cell r="AK631" t="str">
            <v>Primary</v>
          </cell>
          <cell r="AO631">
            <v>2</v>
          </cell>
          <cell r="AP631" t="str">
            <v>pT4aN2bM0</v>
          </cell>
          <cell r="AV631">
            <v>45131</v>
          </cell>
          <cell r="AW631">
            <v>0.47083333333333333</v>
          </cell>
          <cell r="AX631">
            <v>0.57361111111111107</v>
          </cell>
          <cell r="AY631">
            <v>0.10277777777777777</v>
          </cell>
          <cell r="AZ631">
            <v>0.12569444444444444</v>
          </cell>
          <cell r="BA631">
            <v>0.20277777777777778</v>
          </cell>
          <cell r="BB631" t="str">
            <v>0.6*1.6*1.7</v>
          </cell>
          <cell r="BC631" t="str">
            <v>0.6*1.6*1.7</v>
          </cell>
          <cell r="BD631" t="str">
            <v>Vibratome</v>
          </cell>
          <cell r="BE631">
            <v>15</v>
          </cell>
          <cell r="BF631" t="str">
            <v>Pallavi</v>
          </cell>
          <cell r="BG631" t="str">
            <v>Y</v>
          </cell>
        </row>
        <row r="632">
          <cell r="A632" t="str">
            <v>FBR2A230224</v>
          </cell>
          <cell r="B632">
            <v>230224</v>
          </cell>
          <cell r="C632" t="str">
            <v>R&amp;D</v>
          </cell>
          <cell r="D632">
            <v>45131</v>
          </cell>
          <cell r="E632">
            <v>0.45763888888888887</v>
          </cell>
          <cell r="F632">
            <v>45108</v>
          </cell>
          <cell r="G632">
            <v>45131</v>
          </cell>
          <cell r="H632">
            <v>0.51944444444444449</v>
          </cell>
          <cell r="I632">
            <v>6.1805555555555558E-2</v>
          </cell>
          <cell r="J632">
            <v>1</v>
          </cell>
          <cell r="K632" t="str">
            <v>FCB-PROTOCOL-02</v>
          </cell>
          <cell r="L632" t="str">
            <v>OC015</v>
          </cell>
          <cell r="M632" t="str">
            <v>Y</v>
          </cell>
          <cell r="N632" t="str">
            <v>Ovary CC (R2A)</v>
          </cell>
          <cell r="O632" t="str">
            <v>Internal R&amp;D</v>
          </cell>
          <cell r="P632" t="str">
            <v>Q1 Passed</v>
          </cell>
          <cell r="Q632" t="str">
            <v>Q1 Passed</v>
          </cell>
          <cell r="R632" t="str">
            <v>Q1.5 Passed</v>
          </cell>
          <cell r="S632" t="str">
            <v>Q1.5 Passed</v>
          </cell>
          <cell r="V632" t="str">
            <v>Tumor content 0-96%</v>
          </cell>
          <cell r="W632" t="str">
            <v>Private Hospital</v>
          </cell>
          <cell r="X632" t="str">
            <v>Mazumdar Shaw Medical Centre, Bangalore</v>
          </cell>
          <cell r="Y632" t="str">
            <v>Mazumdar Shaw Medical Centre, Bangalore</v>
          </cell>
          <cell r="Z632" t="str">
            <v>Dr Rohit Ranade, Bangalore</v>
          </cell>
          <cell r="AA632" t="str">
            <v>Ca Ovary</v>
          </cell>
          <cell r="AC632" t="str">
            <v>Ovary</v>
          </cell>
          <cell r="AD632" t="str">
            <v>Left Ovary</v>
          </cell>
          <cell r="AE632" t="str">
            <v>Female</v>
          </cell>
          <cell r="AF632">
            <v>56</v>
          </cell>
          <cell r="AG632" t="str">
            <v>N</v>
          </cell>
          <cell r="AH632">
            <v>4.8</v>
          </cell>
          <cell r="AI632" t="str">
            <v>Kalappa</v>
          </cell>
          <cell r="AJ632" t="str">
            <v>Surgery</v>
          </cell>
          <cell r="AK632" t="str">
            <v>Primary</v>
          </cell>
          <cell r="AO632">
            <v>3</v>
          </cell>
          <cell r="AS632" t="str">
            <v>Squamous cell carcinoma with poorly differentiated</v>
          </cell>
          <cell r="AV632">
            <v>45131</v>
          </cell>
          <cell r="AW632">
            <v>0.53472222222222221</v>
          </cell>
          <cell r="AX632">
            <v>0.60416666666666663</v>
          </cell>
          <cell r="AY632">
            <v>6.9444444444444448E-2</v>
          </cell>
          <cell r="AZ632">
            <v>8.4722222222222227E-2</v>
          </cell>
          <cell r="BA632">
            <v>0.14652777777777778</v>
          </cell>
          <cell r="BB632" t="str">
            <v>0.6*1.4/0.6*1.8
0.6*0.6*1.4</v>
          </cell>
          <cell r="BC632" t="str">
            <v>0.6*1.4/0.6*1.8
0.6*0.6*1.4</v>
          </cell>
          <cell r="BD632" t="str">
            <v>Manual</v>
          </cell>
          <cell r="BE632">
            <v>15</v>
          </cell>
          <cell r="BF632" t="str">
            <v>Biswajit</v>
          </cell>
          <cell r="BG632" t="str">
            <v>Y</v>
          </cell>
        </row>
        <row r="633">
          <cell r="A633" t="str">
            <v>FBR1Y230225</v>
          </cell>
          <cell r="B633">
            <v>230225</v>
          </cell>
          <cell r="C633" t="str">
            <v>R&amp;D</v>
          </cell>
          <cell r="D633">
            <v>45131</v>
          </cell>
          <cell r="E633">
            <v>0.7631944444444444</v>
          </cell>
          <cell r="F633">
            <v>45108</v>
          </cell>
          <cell r="G633">
            <v>45131</v>
          </cell>
          <cell r="H633">
            <v>0.80069444444444449</v>
          </cell>
          <cell r="I633">
            <v>3.7499999999999999E-2</v>
          </cell>
          <cell r="J633">
            <v>11</v>
          </cell>
          <cell r="K633" t="str">
            <v>FCB-PROTOCOL-02</v>
          </cell>
          <cell r="L633" t="str">
            <v>HN078</v>
          </cell>
          <cell r="M633" t="str">
            <v>Y</v>
          </cell>
          <cell r="N633" t="str">
            <v>CCS Study (1Y)</v>
          </cell>
          <cell r="O633" t="str">
            <v>Internal R&amp;D</v>
          </cell>
          <cell r="P633" t="str">
            <v>Q1 Passed</v>
          </cell>
          <cell r="Q633" t="str">
            <v>Q1 Rejected</v>
          </cell>
          <cell r="R633" t="str">
            <v>Compromised</v>
          </cell>
          <cell r="S633" t="str">
            <v>Q1.5 Passed</v>
          </cell>
          <cell r="T633" t="str">
            <v>blood volume only 2ml</v>
          </cell>
          <cell r="V633" t="str">
            <v>Tumor content &gt;80%</v>
          </cell>
          <cell r="W633" t="str">
            <v>Private Hospital</v>
          </cell>
          <cell r="X633" t="str">
            <v>Mazumdar Shaw Medical Centre, Bangalore</v>
          </cell>
          <cell r="Y633" t="str">
            <v>Mazumdar Shaw Medical Centre, Bangalore</v>
          </cell>
          <cell r="Z633" t="str">
            <v>Dr Vijay Pillai, Bangalore</v>
          </cell>
          <cell r="AA633" t="str">
            <v>HNSCC</v>
          </cell>
          <cell r="AC633" t="str">
            <v>Lip</v>
          </cell>
          <cell r="AD633" t="str">
            <v>Left Upper Lip</v>
          </cell>
          <cell r="AE633" t="str">
            <v>Female</v>
          </cell>
          <cell r="AF633">
            <v>56</v>
          </cell>
          <cell r="AG633" t="str">
            <v>N</v>
          </cell>
          <cell r="AH633">
            <v>5.0999999999999996</v>
          </cell>
          <cell r="AI633" t="str">
            <v>Shashi</v>
          </cell>
          <cell r="AJ633" t="str">
            <v>Surgery</v>
          </cell>
          <cell r="AK633" t="str">
            <v>Primary</v>
          </cell>
          <cell r="AN633" t="str">
            <v>II</v>
          </cell>
          <cell r="AO633">
            <v>1</v>
          </cell>
          <cell r="AP633" t="str">
            <v>pT2</v>
          </cell>
          <cell r="AS633" t="str">
            <v>Well differentiated Squamous cell carcinoma, conventional (keratinizing)</v>
          </cell>
          <cell r="AV633">
            <v>45131</v>
          </cell>
          <cell r="AW633">
            <v>0.81736111111111109</v>
          </cell>
          <cell r="AX633">
            <v>0.87638888888888888</v>
          </cell>
          <cell r="AY633">
            <v>5.9027777777777776E-2</v>
          </cell>
          <cell r="AZ633">
            <v>7.5694444444444439E-2</v>
          </cell>
          <cell r="BA633">
            <v>0.11319444444444444</v>
          </cell>
          <cell r="BB633" t="str">
            <v>0.2/0.3*0.8/0.9*2.3</v>
          </cell>
          <cell r="BC633" t="str">
            <v>0.2/0.3*0.8/0.9*2.3</v>
          </cell>
          <cell r="BD633" t="str">
            <v>Manual</v>
          </cell>
          <cell r="BE633">
            <v>15</v>
          </cell>
          <cell r="BF633" t="str">
            <v>chandan</v>
          </cell>
          <cell r="BG633" t="str">
            <v>N</v>
          </cell>
        </row>
        <row r="634">
          <cell r="A634" t="str">
            <v>FBR1W230226</v>
          </cell>
          <cell r="B634">
            <v>230226</v>
          </cell>
          <cell r="C634" t="str">
            <v>R&amp;D</v>
          </cell>
          <cell r="D634">
            <v>45132</v>
          </cell>
          <cell r="E634">
            <v>0.67013888888888884</v>
          </cell>
          <cell r="F634">
            <v>45108</v>
          </cell>
          <cell r="G634">
            <v>45132</v>
          </cell>
          <cell r="H634">
            <v>0.72777777777777775</v>
          </cell>
          <cell r="I634">
            <v>5.7638888888888892E-2</v>
          </cell>
          <cell r="J634">
            <v>0</v>
          </cell>
          <cell r="K634" t="str">
            <v>FCB-PROTOCOL-02</v>
          </cell>
          <cell r="L634" t="str">
            <v>BC017</v>
          </cell>
          <cell r="M634" t="str">
            <v>Y</v>
          </cell>
          <cell r="N634" t="str">
            <v>Biopsy Cabr-BSS (1W)</v>
          </cell>
          <cell r="O634" t="str">
            <v>Internal R&amp;D</v>
          </cell>
          <cell r="P634" t="str">
            <v>Q1 Passed</v>
          </cell>
          <cell r="Q634" t="str">
            <v>Q1 Passed</v>
          </cell>
          <cell r="R634" t="str">
            <v>Q1.5 Passed</v>
          </cell>
          <cell r="S634" t="str">
            <v>Q1.5 Rejected</v>
          </cell>
          <cell r="V634" t="str">
            <v>No Tumor</v>
          </cell>
          <cell r="W634" t="str">
            <v>Private Hospital</v>
          </cell>
          <cell r="X634" t="str">
            <v>Mazumdar Shaw Medical Centre, Bangalore</v>
          </cell>
          <cell r="Y634" t="str">
            <v>Mazumdar Shaw Medical Centre, Bangalore</v>
          </cell>
          <cell r="Z634" t="str">
            <v>Dr Akshita Singh</v>
          </cell>
          <cell r="AA634" t="str">
            <v>Ca Breast</v>
          </cell>
          <cell r="AB634" t="str">
            <v>TNBC</v>
          </cell>
          <cell r="AC634" t="str">
            <v>Breast</v>
          </cell>
          <cell r="AD634" t="str">
            <v>Left Breast</v>
          </cell>
          <cell r="AE634" t="str">
            <v>Female</v>
          </cell>
          <cell r="AF634">
            <v>67</v>
          </cell>
          <cell r="AG634" t="str">
            <v>N</v>
          </cell>
          <cell r="AH634">
            <v>3.6</v>
          </cell>
          <cell r="AI634" t="str">
            <v>Maruthi</v>
          </cell>
          <cell r="AJ634" t="str">
            <v>Biopsy</v>
          </cell>
          <cell r="AK634" t="str">
            <v>Primary</v>
          </cell>
          <cell r="AS634" t="str">
            <v>Invasive carcinoma</v>
          </cell>
          <cell r="AV634">
            <v>45132</v>
          </cell>
          <cell r="AW634">
            <v>0.73958333333333337</v>
          </cell>
          <cell r="AX634">
            <v>0.77083333333333337</v>
          </cell>
          <cell r="AY634">
            <v>3.125E-2</v>
          </cell>
          <cell r="AZ634">
            <v>4.3055555555555555E-2</v>
          </cell>
          <cell r="BA634">
            <v>0.10069444444444445</v>
          </cell>
          <cell r="BB634" t="str">
            <v>0.1*0.1*1.7
0.1*0.1*1.3</v>
          </cell>
          <cell r="BC634" t="str">
            <v>0.1*0.1*1.7
0.1*0.1*1.3</v>
          </cell>
          <cell r="BD634" t="str">
            <v>Manual</v>
          </cell>
          <cell r="BE634">
            <v>15</v>
          </cell>
          <cell r="BF634" t="str">
            <v>kuberan</v>
          </cell>
          <cell r="BG634" t="str">
            <v>Y</v>
          </cell>
        </row>
        <row r="635">
          <cell r="A635" t="str">
            <v>FBR1Q230227</v>
          </cell>
          <cell r="B635">
            <v>230227</v>
          </cell>
          <cell r="C635" t="str">
            <v>R&amp;D</v>
          </cell>
          <cell r="D635">
            <v>45133</v>
          </cell>
          <cell r="E635">
            <v>0.51180555555555551</v>
          </cell>
          <cell r="F635">
            <v>45108</v>
          </cell>
          <cell r="G635">
            <v>45133</v>
          </cell>
          <cell r="H635">
            <v>0.61111111111111116</v>
          </cell>
          <cell r="I635">
            <v>9.930555555555555E-2</v>
          </cell>
          <cell r="J635">
            <v>3</v>
          </cell>
          <cell r="K635" t="str">
            <v>FCB-PROTOCOL-02</v>
          </cell>
          <cell r="L635" t="str">
            <v>VYD/187</v>
          </cell>
          <cell r="M635" t="str">
            <v>Y</v>
          </cell>
          <cell r="N635" t="str">
            <v>COSv4.2_CaBR(1Q-Unknown)</v>
          </cell>
          <cell r="O635" t="str">
            <v>Internal R&amp;D</v>
          </cell>
          <cell r="P635" t="str">
            <v>Q1 Passed</v>
          </cell>
          <cell r="Q635" t="str">
            <v>Q1 Passed</v>
          </cell>
          <cell r="R635" t="str">
            <v>Q1.5 Passed</v>
          </cell>
          <cell r="S635" t="str">
            <v>Q1.5 Rejected</v>
          </cell>
          <cell r="V635" t="str">
            <v>No tumor</v>
          </cell>
          <cell r="W635" t="str">
            <v>Private Hospital</v>
          </cell>
          <cell r="X635" t="str">
            <v>Vydehi Hospital, Bangalore</v>
          </cell>
          <cell r="Y635" t="str">
            <v>Vydehi Hospital, Bangalore</v>
          </cell>
          <cell r="Z635" t="str">
            <v>Dr Amritha Prabha, Bangalore</v>
          </cell>
          <cell r="AA635" t="str">
            <v>Ca Breast</v>
          </cell>
          <cell r="AC635" t="str">
            <v>Breast</v>
          </cell>
          <cell r="AD635" t="str">
            <v>Left Breast</v>
          </cell>
          <cell r="AE635" t="str">
            <v>Female</v>
          </cell>
          <cell r="AF635">
            <v>54</v>
          </cell>
          <cell r="AG635" t="str">
            <v>N</v>
          </cell>
          <cell r="AH635">
            <v>4.8</v>
          </cell>
          <cell r="AI635" t="str">
            <v>Shashi</v>
          </cell>
          <cell r="AJ635" t="str">
            <v>Surgery</v>
          </cell>
          <cell r="AK635" t="str">
            <v>Primary</v>
          </cell>
          <cell r="AL635" t="str">
            <v>Chemotherapy</v>
          </cell>
          <cell r="AR635" t="str">
            <v>4xAC+4XPaclitaxel</v>
          </cell>
          <cell r="AV635">
            <v>45133</v>
          </cell>
          <cell r="AW635">
            <v>0.62986111111111109</v>
          </cell>
          <cell r="AX635">
            <v>0.73611111111111116</v>
          </cell>
          <cell r="AY635">
            <v>0.10625</v>
          </cell>
          <cell r="AZ635">
            <v>0.125</v>
          </cell>
          <cell r="BA635">
            <v>0.22430555555555556</v>
          </cell>
          <cell r="BB635" t="str">
            <v>0.6*1.4*3.0</v>
          </cell>
          <cell r="BC635" t="str">
            <v>0.6*1.4*3.0</v>
          </cell>
          <cell r="BD635" t="str">
            <v>Manual</v>
          </cell>
          <cell r="BE635">
            <v>15</v>
          </cell>
          <cell r="BF635" t="str">
            <v>Kokila</v>
          </cell>
          <cell r="BG635" t="str">
            <v>Y</v>
          </cell>
        </row>
        <row r="636">
          <cell r="A636" t="str">
            <v>FBR1W230228</v>
          </cell>
          <cell r="B636">
            <v>230228</v>
          </cell>
          <cell r="C636" t="str">
            <v>R&amp;D</v>
          </cell>
          <cell r="D636">
            <v>45133</v>
          </cell>
          <cell r="E636">
            <v>0.57986111111111116</v>
          </cell>
          <cell r="F636">
            <v>45108</v>
          </cell>
          <cell r="G636">
            <v>45133</v>
          </cell>
          <cell r="H636">
            <v>0.64027777777777772</v>
          </cell>
          <cell r="I636">
            <v>6.0416666666666667E-2</v>
          </cell>
          <cell r="J636">
            <v>0</v>
          </cell>
          <cell r="K636" t="str">
            <v>FCB-PROTOCOL-02</v>
          </cell>
          <cell r="L636" t="str">
            <v>BC018</v>
          </cell>
          <cell r="M636" t="str">
            <v>Y</v>
          </cell>
          <cell r="N636" t="str">
            <v>Biopsy Cabr-BSS (1W)</v>
          </cell>
          <cell r="O636" t="str">
            <v>Internal R&amp;D</v>
          </cell>
          <cell r="P636" t="str">
            <v>Q1 Passed</v>
          </cell>
          <cell r="Q636" t="str">
            <v>Q1 Passed</v>
          </cell>
          <cell r="R636" t="str">
            <v>Q1.5 Passed</v>
          </cell>
          <cell r="S636" t="str">
            <v>Q1.5 Passed</v>
          </cell>
          <cell r="V636" t="str">
            <v>Tumor content 0-40%</v>
          </cell>
          <cell r="W636" t="str">
            <v>Private Hospital</v>
          </cell>
          <cell r="X636" t="str">
            <v>Mazumdar Shaw Medical Centre, Bangalore</v>
          </cell>
          <cell r="Y636" t="str">
            <v>Mazumdar Shaw Medical Centre, Bangalore</v>
          </cell>
          <cell r="Z636" t="str">
            <v>Dr Akshita Singh</v>
          </cell>
          <cell r="AA636" t="str">
            <v>Ca Breast</v>
          </cell>
          <cell r="AB636" t="str">
            <v>Er (+)
Pr (-)
Her2 (-)</v>
          </cell>
          <cell r="AC636" t="str">
            <v>Breast</v>
          </cell>
          <cell r="AD636" t="str">
            <v>Left Breast</v>
          </cell>
          <cell r="AE636" t="str">
            <v>Female</v>
          </cell>
          <cell r="AF636">
            <v>53</v>
          </cell>
          <cell r="AG636" t="str">
            <v>N</v>
          </cell>
          <cell r="AH636">
            <v>3.1</v>
          </cell>
          <cell r="AI636" t="str">
            <v>Partha</v>
          </cell>
          <cell r="AJ636" t="str">
            <v>Biopsy</v>
          </cell>
          <cell r="AK636" t="str">
            <v>Primary</v>
          </cell>
          <cell r="AS636" t="str">
            <v>Invasive ductal carcinoma</v>
          </cell>
          <cell r="AV636">
            <v>45133</v>
          </cell>
          <cell r="AW636">
            <v>0.65555555555555556</v>
          </cell>
          <cell r="AX636">
            <v>0.69236111111111109</v>
          </cell>
          <cell r="AY636">
            <v>3.6805555555555557E-2</v>
          </cell>
          <cell r="AZ636">
            <v>5.2083333333333336E-2</v>
          </cell>
          <cell r="BA636">
            <v>0.1125</v>
          </cell>
          <cell r="BB636" t="str">
            <v>0.15*0.*2.4
0.15*0.1*0.8
0.15*0.1*0.6</v>
          </cell>
          <cell r="BC636" t="str">
            <v>0.15*0.*2.4
0.15*0.1*0.8
0.15*0.1*0.6</v>
          </cell>
          <cell r="BD636" t="str">
            <v>Manual</v>
          </cell>
          <cell r="BE636">
            <v>15</v>
          </cell>
          <cell r="BF636" t="str">
            <v>Pallavi</v>
          </cell>
          <cell r="BG636" t="str">
            <v>Y</v>
          </cell>
        </row>
        <row r="637">
          <cell r="A637" t="str">
            <v>FBR2B230229</v>
          </cell>
          <cell r="B637">
            <v>230229</v>
          </cell>
          <cell r="C637" t="str">
            <v>R&amp;D</v>
          </cell>
          <cell r="D637">
            <v>45133</v>
          </cell>
          <cell r="E637">
            <v>0.47916666666666669</v>
          </cell>
          <cell r="F637">
            <v>45108</v>
          </cell>
          <cell r="G637">
            <v>45133</v>
          </cell>
          <cell r="H637">
            <v>0.67291666666666672</v>
          </cell>
          <cell r="I637">
            <v>0.19375000000000001</v>
          </cell>
          <cell r="J637">
            <v>0</v>
          </cell>
          <cell r="K637" t="str">
            <v>FCB-PROTOCOL-02</v>
          </cell>
          <cell r="L637" t="str">
            <v>CLN/JSS/028</v>
          </cell>
          <cell r="M637" t="str">
            <v>Y</v>
          </cell>
          <cell r="N637" t="str">
            <v>ovary Biopsy (R2B)</v>
          </cell>
          <cell r="O637" t="str">
            <v>Internal R&amp;D</v>
          </cell>
          <cell r="P637" t="str">
            <v>Q1 Passed</v>
          </cell>
          <cell r="Q637" t="str">
            <v>Q1 Passed</v>
          </cell>
          <cell r="R637" t="str">
            <v>Q1.5 Passed</v>
          </cell>
          <cell r="S637" t="str">
            <v>Q1.5 Passed</v>
          </cell>
          <cell r="V637" t="str">
            <v>Tumor content 70-95%</v>
          </cell>
          <cell r="W637" t="str">
            <v>Clinic'les</v>
          </cell>
          <cell r="X637" t="str">
            <v>Clinic'les- Dr Ravi Krishnappa, Mysore</v>
          </cell>
          <cell r="Y637" t="str">
            <v>JSS Hospital, Mysore</v>
          </cell>
          <cell r="Z637" t="str">
            <v>Dr Kiran</v>
          </cell>
          <cell r="AA637" t="str">
            <v>Ca Ovary</v>
          </cell>
          <cell r="AC637" t="str">
            <v>Ovary</v>
          </cell>
          <cell r="AD637" t="str">
            <v>Right Ovary</v>
          </cell>
          <cell r="AE637" t="str">
            <v>Female</v>
          </cell>
          <cell r="AF637">
            <v>56</v>
          </cell>
          <cell r="AG637" t="str">
            <v>N</v>
          </cell>
          <cell r="AH637">
            <v>6.7</v>
          </cell>
          <cell r="AI637" t="str">
            <v>Kalappa</v>
          </cell>
          <cell r="AJ637" t="str">
            <v>Biopsy</v>
          </cell>
          <cell r="AK637" t="str">
            <v>Primary</v>
          </cell>
          <cell r="AV637">
            <v>45133</v>
          </cell>
          <cell r="AW637">
            <v>0.70694444444444449</v>
          </cell>
          <cell r="AX637">
            <v>0.75138888888888888</v>
          </cell>
          <cell r="AY637">
            <v>4.4444444444444446E-2</v>
          </cell>
          <cell r="AZ637">
            <v>7.8472222222222221E-2</v>
          </cell>
          <cell r="BA637">
            <v>0.2722222222222222</v>
          </cell>
          <cell r="BB637" t="str">
            <v>0.05/0.1*0.1*0.2/0.4</v>
          </cell>
          <cell r="BC637" t="str">
            <v>0.05/0.1*0.1*0.2/0.4</v>
          </cell>
          <cell r="BD637" t="str">
            <v>Manual</v>
          </cell>
          <cell r="BE637">
            <v>15</v>
          </cell>
          <cell r="BF637" t="str">
            <v xml:space="preserve">sai </v>
          </cell>
          <cell r="BG637" t="str">
            <v>Y</v>
          </cell>
        </row>
        <row r="638">
          <cell r="A638" t="str">
            <v>FBR1W230230</v>
          </cell>
          <cell r="B638">
            <v>230230</v>
          </cell>
          <cell r="C638" t="str">
            <v>R&amp;D</v>
          </cell>
          <cell r="D638">
            <v>45133</v>
          </cell>
          <cell r="E638">
            <v>0.54166666666666663</v>
          </cell>
          <cell r="F638">
            <v>45108</v>
          </cell>
          <cell r="G638">
            <v>45133</v>
          </cell>
          <cell r="H638">
            <v>0.67291666666666672</v>
          </cell>
          <cell r="I638">
            <v>0.13125000000000001</v>
          </cell>
          <cell r="J638">
            <v>0</v>
          </cell>
          <cell r="K638" t="str">
            <v>FCB-PROTOCOL-02</v>
          </cell>
          <cell r="L638" t="str">
            <v>CLN/JSS/029</v>
          </cell>
          <cell r="M638" t="str">
            <v>Y</v>
          </cell>
          <cell r="N638" t="str">
            <v>Biopsy Cabr-BSS (1W)</v>
          </cell>
          <cell r="O638" t="str">
            <v>Internal R&amp;D</v>
          </cell>
          <cell r="P638" t="str">
            <v>Q1 Passed</v>
          </cell>
          <cell r="Q638" t="str">
            <v>Q1 Passed</v>
          </cell>
          <cell r="R638" t="str">
            <v>Q1.5 Passed</v>
          </cell>
          <cell r="S638" t="str">
            <v>Q1.5 Passed</v>
          </cell>
          <cell r="V638" t="str">
            <v>Tumor content 0-8%</v>
          </cell>
          <cell r="W638" t="str">
            <v>Clinic'les</v>
          </cell>
          <cell r="X638" t="str">
            <v>Clinic'les- Dr Ravi Krishnappa, Mysore</v>
          </cell>
          <cell r="Y638" t="str">
            <v>JSS Hospital, Mysore</v>
          </cell>
          <cell r="Z638" t="str">
            <v>Dr Ravi Krishnappa, Mysore</v>
          </cell>
          <cell r="AA638" t="str">
            <v>Ca Breast</v>
          </cell>
          <cell r="AC638" t="str">
            <v>Breast</v>
          </cell>
          <cell r="AD638" t="str">
            <v>Right Breast</v>
          </cell>
          <cell r="AE638" t="str">
            <v>Female</v>
          </cell>
          <cell r="AF638">
            <v>49</v>
          </cell>
          <cell r="AG638" t="str">
            <v>N</v>
          </cell>
          <cell r="AH638">
            <v>6.7</v>
          </cell>
          <cell r="AI638" t="str">
            <v>Kalappa</v>
          </cell>
          <cell r="AJ638" t="str">
            <v>Biopsy</v>
          </cell>
          <cell r="AK638" t="str">
            <v>Primary</v>
          </cell>
          <cell r="AV638">
            <v>45133</v>
          </cell>
          <cell r="AW638">
            <v>0.70486111111111116</v>
          </cell>
          <cell r="AX638">
            <v>0.75347222222222221</v>
          </cell>
          <cell r="AY638">
            <v>4.8611111111111112E-2</v>
          </cell>
          <cell r="AZ638">
            <v>8.0555555555555561E-2</v>
          </cell>
          <cell r="BA638">
            <v>0.21180555555555555</v>
          </cell>
          <cell r="BB638" t="str">
            <v>0.7-2.2 multiple fragments</v>
          </cell>
          <cell r="BC638" t="str">
            <v>0.7-2.2 multiple fragments</v>
          </cell>
          <cell r="BD638" t="str">
            <v>Manual</v>
          </cell>
          <cell r="BE638">
            <v>15</v>
          </cell>
          <cell r="BF638" t="str">
            <v>kuberan</v>
          </cell>
          <cell r="BG638" t="str">
            <v>Y</v>
          </cell>
        </row>
        <row r="639">
          <cell r="A639" t="str">
            <v>FBR1Z230231</v>
          </cell>
          <cell r="B639">
            <v>230231</v>
          </cell>
          <cell r="C639" t="str">
            <v>R&amp;D</v>
          </cell>
          <cell r="D639">
            <v>45133</v>
          </cell>
          <cell r="E639">
            <v>0.92500000000000004</v>
          </cell>
          <cell r="F639">
            <v>45108</v>
          </cell>
          <cell r="G639">
            <v>45133</v>
          </cell>
          <cell r="H639">
            <v>0.97569444444444442</v>
          </cell>
          <cell r="I639">
            <v>5.0694444444444445E-2</v>
          </cell>
          <cell r="J639">
            <v>2</v>
          </cell>
          <cell r="K639" t="str">
            <v>FCB-PROTOCOL-02</v>
          </cell>
          <cell r="L639" t="str">
            <v>CLN/PRA/224</v>
          </cell>
          <cell r="M639" t="str">
            <v>Y</v>
          </cell>
          <cell r="N639" t="str">
            <v>CT+LD Nivo -NLD study (1Z)</v>
          </cell>
          <cell r="O639" t="str">
            <v>Internal R&amp;D</v>
          </cell>
          <cell r="P639" t="str">
            <v>Q1 Passed</v>
          </cell>
          <cell r="Q639" t="str">
            <v>Q1 Rejected</v>
          </cell>
          <cell r="R639" t="str">
            <v>Compromised</v>
          </cell>
          <cell r="S639" t="str">
            <v>Q1.5 Passed</v>
          </cell>
          <cell r="T639" t="str">
            <v>Blood came expired tube</v>
          </cell>
          <cell r="V639" t="str">
            <v>Tumor content 40-80%</v>
          </cell>
          <cell r="W639" t="str">
            <v>Private Hospital</v>
          </cell>
          <cell r="X639" t="str">
            <v>Dr Prakash BV, Bangalore</v>
          </cell>
          <cell r="Y639" t="str">
            <v>Abhaya Hospital, Bangalore</v>
          </cell>
          <cell r="Z639" t="str">
            <v>Dr Prakash BV, Bangalore</v>
          </cell>
          <cell r="AA639" t="str">
            <v>HNSCC</v>
          </cell>
          <cell r="AC639" t="str">
            <v>GBS</v>
          </cell>
          <cell r="AD639" t="str">
            <v>Left Lower GBS</v>
          </cell>
          <cell r="AE639" t="str">
            <v>Male</v>
          </cell>
          <cell r="AF639">
            <v>60</v>
          </cell>
          <cell r="AG639" t="str">
            <v>N</v>
          </cell>
          <cell r="AH639">
            <v>5.6</v>
          </cell>
          <cell r="AI639" t="str">
            <v>Maruthi</v>
          </cell>
          <cell r="AJ639" t="str">
            <v>Surgery</v>
          </cell>
          <cell r="AK639" t="str">
            <v>Primary</v>
          </cell>
          <cell r="AO639">
            <v>2</v>
          </cell>
          <cell r="AP639" t="str">
            <v>pT2N2bM0</v>
          </cell>
          <cell r="AV639">
            <v>45134</v>
          </cell>
          <cell r="AW639">
            <v>0.32083333333333336</v>
          </cell>
          <cell r="AX639">
            <v>0.43263888888888891</v>
          </cell>
          <cell r="AY639">
            <v>0.11180555555555556</v>
          </cell>
          <cell r="AZ63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63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639" t="str">
            <v>0.4*0.6*1.8
0.2*0.4*1.4</v>
          </cell>
          <cell r="BC639" t="str">
            <v>0.4*0.6*1.8
0.2*0.4*1.4</v>
          </cell>
          <cell r="BD639" t="str">
            <v>Manual</v>
          </cell>
          <cell r="BE639">
            <v>15</v>
          </cell>
          <cell r="BF639" t="str">
            <v>Pallavi</v>
          </cell>
          <cell r="BG639" t="str">
            <v>N</v>
          </cell>
        </row>
        <row r="640">
          <cell r="A640" t="str">
            <v>FBR1Y230232</v>
          </cell>
          <cell r="B640">
            <v>230232</v>
          </cell>
          <cell r="C640" t="str">
            <v>R&amp;D</v>
          </cell>
          <cell r="D640">
            <v>45134</v>
          </cell>
          <cell r="E640">
            <v>0.54513888888888884</v>
          </cell>
          <cell r="F640">
            <v>45108</v>
          </cell>
          <cell r="G640">
            <v>45134</v>
          </cell>
          <cell r="H640">
            <v>0.62083333333333335</v>
          </cell>
          <cell r="I640">
            <v>7.5694444444444439E-2</v>
          </cell>
          <cell r="J640">
            <v>2</v>
          </cell>
          <cell r="K640" t="str">
            <v>FCB-PROTOCOL-02</v>
          </cell>
          <cell r="L640" t="str">
            <v>VYD/188</v>
          </cell>
          <cell r="M640" t="str">
            <v>Y</v>
          </cell>
          <cell r="N640" t="str">
            <v>CCS Study (1Y)</v>
          </cell>
          <cell r="O640" t="str">
            <v>Internal R&amp;D</v>
          </cell>
          <cell r="P640" t="str">
            <v>Q1 Passed</v>
          </cell>
          <cell r="Q640" t="str">
            <v>Q1 Passed</v>
          </cell>
          <cell r="R640" t="str">
            <v>Q1.5 Passed</v>
          </cell>
          <cell r="S640" t="str">
            <v>Q1.5 Passed</v>
          </cell>
          <cell r="V640" t="str">
            <v>Tumor content 30-50%</v>
          </cell>
          <cell r="W640" t="str">
            <v>Private Hospital</v>
          </cell>
          <cell r="X640" t="str">
            <v>Vydehi Hospital, Bangalore</v>
          </cell>
          <cell r="Y640" t="str">
            <v>Vydehi Hospital, Bangalore</v>
          </cell>
          <cell r="Z640" t="str">
            <v>Dr Amritha Prabha, Bangalore</v>
          </cell>
          <cell r="AA640" t="str">
            <v>HNSCC</v>
          </cell>
          <cell r="AC640" t="str">
            <v>Buccal Mucosa</v>
          </cell>
          <cell r="AD640" t="str">
            <v>Right Buccal Mucosa</v>
          </cell>
          <cell r="AE640" t="str">
            <v>Male</v>
          </cell>
          <cell r="AF640">
            <v>35</v>
          </cell>
          <cell r="AG640" t="str">
            <v>N</v>
          </cell>
          <cell r="AH640">
            <v>4.5</v>
          </cell>
          <cell r="AI640" t="str">
            <v>Maruthi</v>
          </cell>
          <cell r="AJ640" t="str">
            <v>Surgery</v>
          </cell>
          <cell r="AK640" t="str">
            <v>Primary</v>
          </cell>
          <cell r="AL640" t="str">
            <v>Chemotherapy last date on 07-06-2023</v>
          </cell>
          <cell r="AN640" t="str">
            <v>IVa</v>
          </cell>
          <cell r="AO640">
            <v>2</v>
          </cell>
          <cell r="AP640" t="str">
            <v>ypT4aN0</v>
          </cell>
          <cell r="AR640" t="str">
            <v>4xPaclitaxel and Carboplatin</v>
          </cell>
          <cell r="AV640">
            <v>45134</v>
          </cell>
          <cell r="AW640">
            <v>0.64236111111111116</v>
          </cell>
          <cell r="AX640">
            <v>0.75</v>
          </cell>
          <cell r="AY640">
            <v>0.1076388888888889</v>
          </cell>
          <cell r="AZ640">
            <v>0.12916666666666668</v>
          </cell>
          <cell r="BA640">
            <v>0.2048611111111111</v>
          </cell>
          <cell r="BB640" t="str">
            <v>0.6*1.8*2.6</v>
          </cell>
          <cell r="BC640" t="str">
            <v>0.6*1.8*2.6</v>
          </cell>
          <cell r="BD640" t="str">
            <v>Vibratome</v>
          </cell>
          <cell r="BE640">
            <v>15</v>
          </cell>
          <cell r="BF640" t="str">
            <v>Syam</v>
          </cell>
          <cell r="BG640" t="str">
            <v>Y</v>
          </cell>
        </row>
        <row r="641">
          <cell r="A641" t="str">
            <v>FBR1Z230232</v>
          </cell>
          <cell r="B641">
            <v>230232</v>
          </cell>
          <cell r="C641" t="str">
            <v>R&amp;D</v>
          </cell>
          <cell r="D641">
            <v>45134</v>
          </cell>
          <cell r="E641">
            <v>0.54513888888888884</v>
          </cell>
          <cell r="F641">
            <v>45108</v>
          </cell>
          <cell r="G641">
            <v>45134</v>
          </cell>
          <cell r="H641">
            <v>0.62083333333333335</v>
          </cell>
          <cell r="I641">
            <v>7.5694444444444439E-2</v>
          </cell>
          <cell r="J641">
            <v>2</v>
          </cell>
          <cell r="K641" t="str">
            <v>FCB-PROTOCOL-02</v>
          </cell>
          <cell r="L641" t="str">
            <v>VYD/188</v>
          </cell>
          <cell r="M641" t="str">
            <v>Y</v>
          </cell>
          <cell r="N641" t="str">
            <v>CT+LD Nivo -NLD study (1Z)</v>
          </cell>
          <cell r="O641" t="str">
            <v>Internal R&amp;D</v>
          </cell>
          <cell r="P641" t="str">
            <v>Q1 Passed</v>
          </cell>
          <cell r="Q641" t="str">
            <v>Q1 Passed</v>
          </cell>
          <cell r="R641" t="str">
            <v>Q1.5 Passed</v>
          </cell>
          <cell r="S641" t="str">
            <v>Q1.5 Passed</v>
          </cell>
          <cell r="V641" t="str">
            <v>Tumor content 12-60%</v>
          </cell>
          <cell r="W641" t="str">
            <v>Private Hospital</v>
          </cell>
          <cell r="X641" t="str">
            <v>Vydehi Hospital, Bangalore</v>
          </cell>
          <cell r="Y641" t="str">
            <v>Vydehi Hospital, Bangalore</v>
          </cell>
          <cell r="Z641" t="str">
            <v>Dr Amritha Prabha, Bangalore</v>
          </cell>
          <cell r="AA641" t="str">
            <v>HNSCC</v>
          </cell>
          <cell r="AC641" t="str">
            <v>Buccal Mucosa</v>
          </cell>
          <cell r="AD641" t="str">
            <v>Right Buccal Mucosa</v>
          </cell>
          <cell r="AE641" t="str">
            <v>Male</v>
          </cell>
          <cell r="AF641">
            <v>35</v>
          </cell>
          <cell r="AG641" t="str">
            <v>N</v>
          </cell>
          <cell r="AH641">
            <v>4.5</v>
          </cell>
          <cell r="AI641" t="str">
            <v>Maruthi</v>
          </cell>
          <cell r="AJ641" t="str">
            <v>Surgery</v>
          </cell>
          <cell r="AK641" t="str">
            <v>Primary</v>
          </cell>
          <cell r="AL641" t="str">
            <v>Chemotherapy last date on 07-06-2023</v>
          </cell>
          <cell r="AN641" t="str">
            <v>IVa</v>
          </cell>
          <cell r="AO641">
            <v>2</v>
          </cell>
          <cell r="AP641" t="str">
            <v>ypT4aN0</v>
          </cell>
          <cell r="AR641" t="str">
            <v>4xPaclitaxel and Carboplatin</v>
          </cell>
          <cell r="AV641">
            <v>45134</v>
          </cell>
          <cell r="AW641">
            <v>0.64236111111111116</v>
          </cell>
          <cell r="AX641">
            <v>0.75902777777777775</v>
          </cell>
          <cell r="AY641">
            <v>0.11666666666666667</v>
          </cell>
          <cell r="AZ641">
            <v>0.13819444444444445</v>
          </cell>
          <cell r="BA641">
            <v>0.21388888888888888</v>
          </cell>
          <cell r="BB641" t="str">
            <v>0.6*1.8*2.6</v>
          </cell>
          <cell r="BC641" t="str">
            <v>0.6*1.8*2.6</v>
          </cell>
          <cell r="BD641" t="str">
            <v>Vibratome</v>
          </cell>
          <cell r="BE641">
            <v>15</v>
          </cell>
          <cell r="BF641" t="str">
            <v>Syam</v>
          </cell>
          <cell r="BG641" t="str">
            <v>Y</v>
          </cell>
        </row>
        <row r="642">
          <cell r="A642" t="str">
            <v>FBR2G230232</v>
          </cell>
          <cell r="B642">
            <v>230232</v>
          </cell>
          <cell r="C642" t="str">
            <v>R&amp;D</v>
          </cell>
          <cell r="D642">
            <v>45134</v>
          </cell>
          <cell r="E642">
            <v>0.54513888888888884</v>
          </cell>
          <cell r="F642">
            <v>45108</v>
          </cell>
          <cell r="G642">
            <v>45134</v>
          </cell>
          <cell r="H642">
            <v>0.62083333333333335</v>
          </cell>
          <cell r="I642">
            <v>7.5694444444444439E-2</v>
          </cell>
          <cell r="J642">
            <v>2</v>
          </cell>
          <cell r="K642" t="str">
            <v>FCB-PROTOCOL-02</v>
          </cell>
          <cell r="L642" t="str">
            <v>VYD/188</v>
          </cell>
          <cell r="M642" t="str">
            <v>Y</v>
          </cell>
          <cell r="N642" t="str">
            <v>Microfragments (2G)</v>
          </cell>
          <cell r="O642" t="str">
            <v>Internal R&amp;D</v>
          </cell>
          <cell r="P642" t="str">
            <v>Q1 Passed</v>
          </cell>
          <cell r="Q642" t="str">
            <v>Q1 Passed</v>
          </cell>
          <cell r="R642" t="str">
            <v>Q1.5 Passed</v>
          </cell>
          <cell r="S642" t="str">
            <v>Q1.5 Passed</v>
          </cell>
          <cell r="V642" t="str">
            <v>Tumor content 12-60%</v>
          </cell>
          <cell r="W642" t="str">
            <v>Private Hospital</v>
          </cell>
          <cell r="X642" t="str">
            <v>Vydehi Hospital, Bangalore</v>
          </cell>
          <cell r="Y642" t="str">
            <v>Vydehi Hospital, Bangalore</v>
          </cell>
          <cell r="Z642" t="str">
            <v>Dr Amritha Prabha, Bangalore</v>
          </cell>
          <cell r="AA642" t="str">
            <v>HNSCC</v>
          </cell>
          <cell r="AC642" t="str">
            <v>Buccal Mucosa</v>
          </cell>
          <cell r="AD642" t="str">
            <v>Right Buccal Mucosa</v>
          </cell>
          <cell r="AE642" t="str">
            <v>Male</v>
          </cell>
          <cell r="AF642">
            <v>35</v>
          </cell>
          <cell r="AG642" t="str">
            <v>N</v>
          </cell>
          <cell r="AH642">
            <v>4.5</v>
          </cell>
          <cell r="AI642" t="str">
            <v>Maruthi</v>
          </cell>
          <cell r="AJ642" t="str">
            <v>Surgery</v>
          </cell>
          <cell r="AK642" t="str">
            <v>Primary</v>
          </cell>
          <cell r="AL642" t="str">
            <v>Chemotherapy last date on 07-06-2023</v>
          </cell>
          <cell r="AN642" t="str">
            <v>IVa</v>
          </cell>
          <cell r="AO642">
            <v>2</v>
          </cell>
          <cell r="AP642" t="str">
            <v>ypT4aN0</v>
          </cell>
          <cell r="AR642" t="str">
            <v>4xPaclitaxel and Carboplatin</v>
          </cell>
          <cell r="AV642">
            <v>45134</v>
          </cell>
          <cell r="AW642">
            <v>0.64236111111111116</v>
          </cell>
          <cell r="AX642">
            <v>0.75902777777777775</v>
          </cell>
          <cell r="AY642">
            <v>0.11666666666666667</v>
          </cell>
          <cell r="AZ642">
            <v>0.13819444444444445</v>
          </cell>
          <cell r="BA642">
            <v>0.21388888888888888</v>
          </cell>
          <cell r="BB642" t="str">
            <v>0.6*1.8*2.6</v>
          </cell>
          <cell r="BC642" t="str">
            <v>0.6*1.8*2.6</v>
          </cell>
          <cell r="BD642" t="str">
            <v>Vibratome</v>
          </cell>
          <cell r="BE642">
            <v>15</v>
          </cell>
          <cell r="BF642" t="str">
            <v>Syam</v>
          </cell>
          <cell r="BG642" t="str">
            <v>Y</v>
          </cell>
        </row>
        <row r="643">
          <cell r="A643" t="str">
            <v>FBR1Y230233</v>
          </cell>
          <cell r="B643">
            <v>230233</v>
          </cell>
          <cell r="C643" t="str">
            <v>R&amp;D</v>
          </cell>
          <cell r="D643">
            <v>45134</v>
          </cell>
          <cell r="E643">
            <v>0.49652777777777779</v>
          </cell>
          <cell r="F643">
            <v>45108</v>
          </cell>
          <cell r="G643">
            <v>45134</v>
          </cell>
          <cell r="H643">
            <v>0.64027777777777772</v>
          </cell>
          <cell r="I643">
            <v>0.14374999999999999</v>
          </cell>
          <cell r="J643">
            <v>10</v>
          </cell>
          <cell r="K643" t="str">
            <v>FCB-PROTOCOL-02</v>
          </cell>
          <cell r="L643" t="str">
            <v>HN079</v>
          </cell>
          <cell r="M643" t="str">
            <v>Y</v>
          </cell>
          <cell r="N643" t="str">
            <v>CCS Study (1Y)</v>
          </cell>
          <cell r="O643" t="str">
            <v>Internal R&amp;D</v>
          </cell>
          <cell r="P643" t="str">
            <v>Q1 Passed</v>
          </cell>
          <cell r="Q643" t="str">
            <v>Q1 Passed</v>
          </cell>
          <cell r="R643" t="str">
            <v>Q1.5 Passed</v>
          </cell>
          <cell r="S643" t="str">
            <v>Q1.5 Passed</v>
          </cell>
          <cell r="V643" t="str">
            <v>Tumor content 80-96%</v>
          </cell>
          <cell r="W643" t="str">
            <v>Private Hospital</v>
          </cell>
          <cell r="X643" t="str">
            <v>Mazumdar Shaw Medical Centre, Bangalore</v>
          </cell>
          <cell r="Y643" t="str">
            <v>Mazumdar Shaw Medical Centre, Bangalore</v>
          </cell>
          <cell r="Z643" t="str">
            <v>Dr Vijay Pillai, Bangalore</v>
          </cell>
          <cell r="AA643" t="str">
            <v>HNSCC</v>
          </cell>
          <cell r="AC643" t="str">
            <v>Alveolus</v>
          </cell>
          <cell r="AD643" t="str">
            <v>Left lower Alveolus</v>
          </cell>
          <cell r="AE643" t="str">
            <v>Male</v>
          </cell>
          <cell r="AF643">
            <v>49</v>
          </cell>
          <cell r="AG643" t="str">
            <v>N</v>
          </cell>
          <cell r="AH643">
            <v>4.3</v>
          </cell>
          <cell r="AI643" t="str">
            <v>Shashi</v>
          </cell>
          <cell r="AJ643" t="str">
            <v>Surgery</v>
          </cell>
          <cell r="AK643" t="str">
            <v>Primary</v>
          </cell>
          <cell r="AN643" t="str">
            <v>IV</v>
          </cell>
          <cell r="AO643">
            <v>1</v>
          </cell>
          <cell r="AP643" t="str">
            <v>pT4a</v>
          </cell>
          <cell r="AS643" t="str">
            <v>Well differentiated squamous cell carcinoma</v>
          </cell>
          <cell r="AV643">
            <v>45134</v>
          </cell>
          <cell r="AW643">
            <v>0.6645833333333333</v>
          </cell>
          <cell r="AX643">
            <v>0.77777777777777779</v>
          </cell>
          <cell r="AY643">
            <v>0.11319444444444444</v>
          </cell>
          <cell r="AZ643">
            <v>0.13750000000000001</v>
          </cell>
          <cell r="BA643">
            <v>0.28125</v>
          </cell>
          <cell r="BB643" t="str">
            <v>1.0/0.4*1.4*1.6</v>
          </cell>
          <cell r="BC643" t="str">
            <v>1.0/0.4*1.4*1.6</v>
          </cell>
          <cell r="BD643" t="str">
            <v>Vibratome</v>
          </cell>
          <cell r="BE643">
            <v>15</v>
          </cell>
          <cell r="BF643" t="str">
            <v>kuberan</v>
          </cell>
          <cell r="BG643" t="str">
            <v>Y</v>
          </cell>
        </row>
        <row r="644">
          <cell r="A644" t="str">
            <v>FBR1X230234</v>
          </cell>
          <cell r="B644">
            <v>230234</v>
          </cell>
          <cell r="C644" t="str">
            <v>R&amp;D</v>
          </cell>
          <cell r="D644">
            <v>45134</v>
          </cell>
          <cell r="E644">
            <v>0.57152777777777775</v>
          </cell>
          <cell r="F644">
            <v>45108</v>
          </cell>
          <cell r="G644">
            <v>45134</v>
          </cell>
          <cell r="H644">
            <v>0.64027777777777772</v>
          </cell>
          <cell r="I644">
            <v>6.8750000000000006E-2</v>
          </cell>
          <cell r="J644">
            <v>0</v>
          </cell>
          <cell r="K644" t="str">
            <v>FCB-PROTOCOL-02</v>
          </cell>
          <cell r="L644" t="str">
            <v>HN080</v>
          </cell>
          <cell r="M644" t="str">
            <v>Y</v>
          </cell>
          <cell r="N644" t="str">
            <v>Biopsy HNSCC (1X)</v>
          </cell>
          <cell r="O644" t="str">
            <v>Internal R&amp;D</v>
          </cell>
          <cell r="P644" t="str">
            <v>Q1 Passed</v>
          </cell>
          <cell r="Q644" t="str">
            <v>Q1 Passed</v>
          </cell>
          <cell r="R644" t="str">
            <v>Q1.5 Passed</v>
          </cell>
          <cell r="S644" t="str">
            <v>Q1.5 Passed</v>
          </cell>
          <cell r="V644" t="str">
            <v>Tumor content 0-45%</v>
          </cell>
          <cell r="W644" t="str">
            <v>Private Hospital</v>
          </cell>
          <cell r="X644" t="str">
            <v>Mazumdar Shaw Medical Centre, Bangalore</v>
          </cell>
          <cell r="Y644" t="str">
            <v>Mazumdar Shaw Medical Centre, Bangalore</v>
          </cell>
          <cell r="Z644" t="str">
            <v>Dr Vijay Pillai, Bangalore</v>
          </cell>
          <cell r="AA644" t="str">
            <v>HNSCC</v>
          </cell>
          <cell r="AC644" t="str">
            <v>Lip</v>
          </cell>
          <cell r="AD644" t="str">
            <v>Left Upper Lip</v>
          </cell>
          <cell r="AE644" t="str">
            <v>Male</v>
          </cell>
          <cell r="AF644">
            <v>62</v>
          </cell>
          <cell r="AG644" t="str">
            <v>N</v>
          </cell>
          <cell r="AH644">
            <v>4.3</v>
          </cell>
          <cell r="AI644" t="str">
            <v>Shashi</v>
          </cell>
          <cell r="AJ644" t="str">
            <v>Biopsy</v>
          </cell>
          <cell r="AK644" t="str">
            <v>Primary</v>
          </cell>
          <cell r="AS644" t="str">
            <v>Keratinising squamous cell carcinoma</v>
          </cell>
          <cell r="AV644">
            <v>45134</v>
          </cell>
          <cell r="AW644">
            <v>0.53402777777777777</v>
          </cell>
          <cell r="AX644">
            <v>0.70486111111111116</v>
          </cell>
          <cell r="AY644">
            <v>0.17083333333333334</v>
          </cell>
          <cell r="AZ644">
            <v>6.458333333333334E-2</v>
          </cell>
          <cell r="BA644">
            <v>0.13333333333333333</v>
          </cell>
          <cell r="BB644" t="str">
            <v>0.2-0.4</v>
          </cell>
          <cell r="BC644" t="str">
            <v>0.2-0.4</v>
          </cell>
          <cell r="BD644" t="str">
            <v>Manual</v>
          </cell>
          <cell r="BE644">
            <v>15</v>
          </cell>
          <cell r="BF644" t="str">
            <v xml:space="preserve">sai </v>
          </cell>
          <cell r="BG644" t="str">
            <v>Y</v>
          </cell>
        </row>
        <row r="645">
          <cell r="A645" t="str">
            <v>FBR1Q230235</v>
          </cell>
          <cell r="B645">
            <v>230235</v>
          </cell>
          <cell r="C645" t="str">
            <v>R&amp;D</v>
          </cell>
          <cell r="D645">
            <v>45135</v>
          </cell>
          <cell r="E645">
            <v>0.32083333333333336</v>
          </cell>
          <cell r="F645">
            <v>45108</v>
          </cell>
          <cell r="G645">
            <v>45135</v>
          </cell>
          <cell r="H645">
            <v>0.3888888888888889</v>
          </cell>
          <cell r="I645">
            <v>6.805555555555555E-2</v>
          </cell>
          <cell r="J645">
            <v>2</v>
          </cell>
          <cell r="K645" t="str">
            <v>FCB-PROTOCOL-02</v>
          </cell>
          <cell r="L645" t="str">
            <v>CLN/PRA/225</v>
          </cell>
          <cell r="M645" t="str">
            <v>Y</v>
          </cell>
          <cell r="N645" t="str">
            <v>COSv4.2_CaBR(1Q-Unknown)</v>
          </cell>
          <cell r="O645" t="str">
            <v>Internal R&amp;D</v>
          </cell>
          <cell r="P645" t="str">
            <v>Q1 Passed</v>
          </cell>
          <cell r="Q645" t="str">
            <v>Q1 Rejected</v>
          </cell>
          <cell r="R645" t="str">
            <v>Compromised</v>
          </cell>
          <cell r="S645" t="str">
            <v>Q1.5 Passed</v>
          </cell>
          <cell r="T645" t="str">
            <v>Blood clotted</v>
          </cell>
          <cell r="V645" t="str">
            <v>Tumor content 5-45%</v>
          </cell>
          <cell r="W645" t="str">
            <v>Private Hospital</v>
          </cell>
          <cell r="X645" t="str">
            <v>Dr Prakash BV, Bangalore</v>
          </cell>
          <cell r="Y645" t="str">
            <v>Abhaya Hospital, Bangalore</v>
          </cell>
          <cell r="Z645" t="str">
            <v>Dr Prakash BV, Bangalore</v>
          </cell>
          <cell r="AA645" t="str">
            <v>Ca Breast</v>
          </cell>
          <cell r="AC645" t="str">
            <v>Breast</v>
          </cell>
          <cell r="AD645" t="str">
            <v>Right Breast</v>
          </cell>
          <cell r="AE645" t="str">
            <v>Female</v>
          </cell>
          <cell r="AF645">
            <v>37</v>
          </cell>
          <cell r="AG645" t="str">
            <v>N</v>
          </cell>
          <cell r="AH645">
            <v>4.2</v>
          </cell>
          <cell r="AI645" t="str">
            <v>Maruthi</v>
          </cell>
          <cell r="AJ645" t="str">
            <v>Surgery</v>
          </cell>
          <cell r="AK645" t="str">
            <v>Primary</v>
          </cell>
          <cell r="AO645">
            <v>2</v>
          </cell>
          <cell r="AP645" t="str">
            <v>pT2N0M0</v>
          </cell>
          <cell r="AV645">
            <v>45135</v>
          </cell>
          <cell r="AW645">
            <v>0.42569444444444443</v>
          </cell>
          <cell r="AX645">
            <v>0.48958333333333331</v>
          </cell>
          <cell r="AY645">
            <v>6.3888888888888884E-2</v>
          </cell>
          <cell r="AZ645">
            <v>0.10069444444444445</v>
          </cell>
          <cell r="BA645">
            <v>0.16875000000000001</v>
          </cell>
          <cell r="BB645" t="str">
            <v>0.4*1.0*2.2</v>
          </cell>
          <cell r="BC645" t="str">
            <v>0.4*1.0*2.2</v>
          </cell>
          <cell r="BD645" t="str">
            <v>Manual</v>
          </cell>
          <cell r="BE645">
            <v>15</v>
          </cell>
          <cell r="BF645" t="str">
            <v>Kokila</v>
          </cell>
          <cell r="BG645" t="str">
            <v>N</v>
          </cell>
        </row>
        <row r="646">
          <cell r="A646" t="str">
            <v>FBR1Y230236</v>
          </cell>
          <cell r="B646">
            <v>230236</v>
          </cell>
          <cell r="C646" t="str">
            <v>R&amp;D</v>
          </cell>
          <cell r="D646">
            <v>45135</v>
          </cell>
          <cell r="E646">
            <v>0.47291666666666665</v>
          </cell>
          <cell r="F646">
            <v>45108</v>
          </cell>
          <cell r="G646">
            <v>45135</v>
          </cell>
          <cell r="H646">
            <v>0.6</v>
          </cell>
          <cell r="I646">
            <v>0.12708333333333333</v>
          </cell>
          <cell r="J646">
            <v>3</v>
          </cell>
          <cell r="K646" t="str">
            <v>FCB-PROTOCOL-02</v>
          </cell>
          <cell r="L646" t="str">
            <v>VYD/189</v>
          </cell>
          <cell r="M646" t="str">
            <v>Y</v>
          </cell>
          <cell r="N646" t="str">
            <v>CCS Study (1Y)</v>
          </cell>
          <cell r="O646" t="str">
            <v>Internal R&amp;D</v>
          </cell>
          <cell r="P646" t="str">
            <v>Q1 Passed</v>
          </cell>
          <cell r="Q646" t="str">
            <v>Q1 Passed</v>
          </cell>
          <cell r="R646" t="str">
            <v>Q1.5 Passed</v>
          </cell>
          <cell r="S646" t="str">
            <v>Q1.5 Passed</v>
          </cell>
          <cell r="V646" t="str">
            <v>Tumor content 5-40%</v>
          </cell>
          <cell r="W646" t="str">
            <v>Private Hospital</v>
          </cell>
          <cell r="X646" t="str">
            <v>Vydehi Hospital, Bangalore</v>
          </cell>
          <cell r="Y646" t="str">
            <v>Vydehi Hospital, Bangalore</v>
          </cell>
          <cell r="Z646" t="str">
            <v>Dr Amritha Prabha, Bangalore</v>
          </cell>
          <cell r="AA646" t="str">
            <v>HNSCC</v>
          </cell>
          <cell r="AC646" t="str">
            <v>Buccal Mucosa</v>
          </cell>
          <cell r="AD646" t="str">
            <v>Right Buccal Mucosa</v>
          </cell>
          <cell r="AE646" t="str">
            <v>Male</v>
          </cell>
          <cell r="AF646">
            <v>51</v>
          </cell>
          <cell r="AG646" t="str">
            <v>N</v>
          </cell>
          <cell r="AH646">
            <v>6.5</v>
          </cell>
          <cell r="AI646" t="str">
            <v>Partha</v>
          </cell>
          <cell r="AJ646" t="str">
            <v>Surgery</v>
          </cell>
          <cell r="AK646" t="str">
            <v>Primary</v>
          </cell>
          <cell r="AN646" t="str">
            <v>IV</v>
          </cell>
          <cell r="AO646">
            <v>2</v>
          </cell>
          <cell r="AP646" t="str">
            <v>pT4aN0</v>
          </cell>
          <cell r="AV646">
            <v>45135</v>
          </cell>
          <cell r="AW646">
            <v>0.625</v>
          </cell>
          <cell r="AX646">
            <v>0.72916666666666663</v>
          </cell>
          <cell r="AY646">
            <v>0.10416666666666667</v>
          </cell>
          <cell r="AZ646">
            <v>0.12916666666666668</v>
          </cell>
          <cell r="BA646">
            <v>0.25624999999999998</v>
          </cell>
          <cell r="BB646" t="str">
            <v>1.0*1.5*1.9</v>
          </cell>
          <cell r="BC646" t="str">
            <v>1.0*1.5*1.9</v>
          </cell>
          <cell r="BD646" t="str">
            <v>Vibratome</v>
          </cell>
          <cell r="BE646">
            <v>15</v>
          </cell>
          <cell r="BF646" t="str">
            <v>Dharani</v>
          </cell>
          <cell r="BG646" t="str">
            <v>Y</v>
          </cell>
        </row>
        <row r="647">
          <cell r="A647" t="str">
            <v>FBR2G230236</v>
          </cell>
          <cell r="B647">
            <v>230236</v>
          </cell>
          <cell r="C647" t="str">
            <v>R&amp;D</v>
          </cell>
          <cell r="D647">
            <v>45135</v>
          </cell>
          <cell r="E647">
            <v>0.47291666666666665</v>
          </cell>
          <cell r="F647">
            <v>45108</v>
          </cell>
          <cell r="G647">
            <v>45135</v>
          </cell>
          <cell r="H647">
            <v>0.6</v>
          </cell>
          <cell r="I647">
            <v>0.12708333333333333</v>
          </cell>
          <cell r="J647">
            <v>3</v>
          </cell>
          <cell r="K647" t="str">
            <v>FCB-PROTOCOL-02</v>
          </cell>
          <cell r="L647" t="str">
            <v>VYD/189</v>
          </cell>
          <cell r="M647" t="str">
            <v>Y</v>
          </cell>
          <cell r="N647" t="str">
            <v>Microfragments (2G)</v>
          </cell>
          <cell r="O647" t="str">
            <v>Internal R&amp;D</v>
          </cell>
          <cell r="P647" t="str">
            <v>Q1 Passed</v>
          </cell>
          <cell r="Q647" t="str">
            <v>Q1 Passed</v>
          </cell>
          <cell r="R647" t="str">
            <v>Q1.5 Passed</v>
          </cell>
          <cell r="S647" t="str">
            <v>Q1.5 Passed</v>
          </cell>
          <cell r="V647" t="str">
            <v>Tumor content 5-40%</v>
          </cell>
          <cell r="W647" t="str">
            <v>Private Hospital</v>
          </cell>
          <cell r="X647" t="str">
            <v>Vydehi Hospital, Bangalore</v>
          </cell>
          <cell r="Y647" t="str">
            <v>Vydehi Hospital, Bangalore</v>
          </cell>
          <cell r="Z647" t="str">
            <v>Dr Amritha Prabha, Bangalore</v>
          </cell>
          <cell r="AA647" t="str">
            <v>HNSCC</v>
          </cell>
          <cell r="AC647" t="str">
            <v>Buccal Mucosa</v>
          </cell>
          <cell r="AD647" t="str">
            <v>Right Buccal Mucosa</v>
          </cell>
          <cell r="AE647" t="str">
            <v>Male</v>
          </cell>
          <cell r="AF647">
            <v>51</v>
          </cell>
          <cell r="AG647" t="str">
            <v>N</v>
          </cell>
          <cell r="AH647">
            <v>6.5</v>
          </cell>
          <cell r="AI647" t="str">
            <v>Partha</v>
          </cell>
          <cell r="AJ647" t="str">
            <v>Surgery</v>
          </cell>
          <cell r="AK647" t="str">
            <v>Primary</v>
          </cell>
          <cell r="AN647" t="str">
            <v>IV</v>
          </cell>
          <cell r="AO647">
            <v>2</v>
          </cell>
          <cell r="AP647" t="str">
            <v>pT4aN0</v>
          </cell>
          <cell r="AV647">
            <v>45135</v>
          </cell>
          <cell r="AW647">
            <v>0.625</v>
          </cell>
          <cell r="AX647">
            <v>0.72916666666666663</v>
          </cell>
          <cell r="AY647">
            <v>0.10416666666666667</v>
          </cell>
          <cell r="AZ647">
            <v>0.12916666666666668</v>
          </cell>
          <cell r="BA647">
            <v>0.25624999999999998</v>
          </cell>
          <cell r="BB647" t="str">
            <v>1.0*1.5*1.9</v>
          </cell>
          <cell r="BC647" t="str">
            <v>1.0*1.5*1.9</v>
          </cell>
          <cell r="BD647" t="str">
            <v>Vibratome</v>
          </cell>
          <cell r="BE647">
            <v>15</v>
          </cell>
          <cell r="BF647" t="str">
            <v>Dharani</v>
          </cell>
          <cell r="BG647" t="str">
            <v>Y</v>
          </cell>
        </row>
        <row r="648">
          <cell r="A648" t="str">
            <v>FBR1Q230237</v>
          </cell>
          <cell r="B648">
            <v>230237</v>
          </cell>
          <cell r="C648" t="str">
            <v>R&amp;D</v>
          </cell>
          <cell r="D648">
            <v>45135</v>
          </cell>
          <cell r="E648">
            <v>0.50347222222222221</v>
          </cell>
          <cell r="F648">
            <v>45108</v>
          </cell>
          <cell r="G648">
            <v>45135</v>
          </cell>
          <cell r="H648">
            <v>0.6</v>
          </cell>
          <cell r="I648">
            <v>9.6527777777777782E-2</v>
          </cell>
          <cell r="J648">
            <v>10</v>
          </cell>
          <cell r="K648" t="str">
            <v>FCB-PROTOCOL-02</v>
          </cell>
          <cell r="L648" t="str">
            <v>VYD/190</v>
          </cell>
          <cell r="M648" t="str">
            <v>Y</v>
          </cell>
          <cell r="N648" t="str">
            <v>COSv4.2_CaBR(1Q-Unknown)</v>
          </cell>
          <cell r="O648" t="str">
            <v>Internal R&amp;D</v>
          </cell>
          <cell r="P648" t="str">
            <v>Q1 Passed</v>
          </cell>
          <cell r="Q648" t="str">
            <v>Q1 Passed</v>
          </cell>
          <cell r="R648" t="str">
            <v>Q1.5 Passed</v>
          </cell>
          <cell r="S648" t="str">
            <v>Q1.5 Passed</v>
          </cell>
          <cell r="V648" t="str">
            <v>Tumor content 2-85%</v>
          </cell>
          <cell r="W648" t="str">
            <v>Private Hospital</v>
          </cell>
          <cell r="X648" t="str">
            <v>Vydehi Hospital, Bangalore</v>
          </cell>
          <cell r="Y648" t="str">
            <v>Vydehi Hospital, Bangalore</v>
          </cell>
          <cell r="Z648" t="str">
            <v>Dr Amritha Prabha, Bangalore</v>
          </cell>
          <cell r="AA648" t="str">
            <v>Ca Breast</v>
          </cell>
          <cell r="AB648" t="str">
            <v>Er (-)
Pr (-)
Her2( +)</v>
          </cell>
          <cell r="AC648" t="str">
            <v>Breast</v>
          </cell>
          <cell r="AD648" t="str">
            <v>Right Breast</v>
          </cell>
          <cell r="AE648" t="str">
            <v>Female</v>
          </cell>
          <cell r="AF648">
            <v>59</v>
          </cell>
          <cell r="AG648" t="str">
            <v>N</v>
          </cell>
          <cell r="AH648">
            <v>6.5</v>
          </cell>
          <cell r="AI648" t="str">
            <v>Partha</v>
          </cell>
          <cell r="AJ648" t="str">
            <v>Surgery</v>
          </cell>
          <cell r="AK648" t="str">
            <v>Primary</v>
          </cell>
          <cell r="AN648" t="str">
            <v>II</v>
          </cell>
          <cell r="AO648">
            <v>2</v>
          </cell>
          <cell r="AP648" t="str">
            <v>pT2N1a</v>
          </cell>
          <cell r="AV648">
            <v>45135</v>
          </cell>
          <cell r="AW648">
            <v>0.62708333333333333</v>
          </cell>
          <cell r="AX648">
            <v>0.70833333333333337</v>
          </cell>
          <cell r="AY648">
            <v>8.1250000000000003E-2</v>
          </cell>
          <cell r="AZ648">
            <v>0.10833333333333334</v>
          </cell>
          <cell r="BA648">
            <v>0.2048611111111111</v>
          </cell>
          <cell r="BB648" t="str">
            <v>1.2*1.4*1.6</v>
          </cell>
          <cell r="BC648" t="str">
            <v>1.2*1.4*1.6</v>
          </cell>
          <cell r="BD648" t="str">
            <v>Manual</v>
          </cell>
          <cell r="BE648">
            <v>15</v>
          </cell>
          <cell r="BF648" t="str">
            <v>Kowshik</v>
          </cell>
          <cell r="BG648" t="str">
            <v>Y</v>
          </cell>
        </row>
        <row r="649">
          <cell r="A649" t="str">
            <v>FBR1Q230238</v>
          </cell>
          <cell r="B649">
            <v>230238</v>
          </cell>
          <cell r="C649" t="str">
            <v>R&amp;D</v>
          </cell>
          <cell r="D649">
            <v>45135</v>
          </cell>
          <cell r="E649">
            <v>0.39930555555555558</v>
          </cell>
          <cell r="F649">
            <v>45108</v>
          </cell>
          <cell r="G649">
            <v>45135</v>
          </cell>
          <cell r="H649">
            <v>0.60277777777777775</v>
          </cell>
          <cell r="I649">
            <v>0.20347222222222222</v>
          </cell>
          <cell r="J649">
            <v>25</v>
          </cell>
          <cell r="K649" t="str">
            <v>FCB-PROTOCOL-02</v>
          </cell>
          <cell r="L649" t="str">
            <v>CLN/JSS/30</v>
          </cell>
          <cell r="M649" t="str">
            <v>Y</v>
          </cell>
          <cell r="N649" t="str">
            <v>COSv4.2_CaBR(1Q-Unknown)</v>
          </cell>
          <cell r="O649" t="str">
            <v>Internal R&amp;D</v>
          </cell>
          <cell r="P649" t="str">
            <v>Q1 Passed</v>
          </cell>
          <cell r="Q649" t="str">
            <v>Q1 Passed</v>
          </cell>
          <cell r="R649" t="str">
            <v>Compromised</v>
          </cell>
          <cell r="S649" t="str">
            <v>Q1.5 Passed</v>
          </cell>
          <cell r="V649" t="str">
            <v>Tumor content 0-40% 
DCIS also present</v>
          </cell>
          <cell r="W649" t="str">
            <v>Clinic'les</v>
          </cell>
          <cell r="X649" t="str">
            <v>Clinic'les- Dr Ravi Krishnappa, Mysore</v>
          </cell>
          <cell r="Y649" t="str">
            <v>JSS Hospital, Mysore</v>
          </cell>
          <cell r="Z649" t="str">
            <v>Dr Ravi Krishnappa, Mysore</v>
          </cell>
          <cell r="AA649" t="str">
            <v>Ca Breast</v>
          </cell>
          <cell r="AC649" t="str">
            <v>Breast</v>
          </cell>
          <cell r="AD649" t="str">
            <v>Left Breast</v>
          </cell>
          <cell r="AE649" t="str">
            <v>Female</v>
          </cell>
          <cell r="AF649">
            <v>51</v>
          </cell>
          <cell r="AG649" t="str">
            <v>N</v>
          </cell>
          <cell r="AH649">
            <v>4.7</v>
          </cell>
          <cell r="AI649" t="str">
            <v>Kalappa</v>
          </cell>
          <cell r="AJ649" t="str">
            <v>Surgery</v>
          </cell>
          <cell r="AK649" t="str">
            <v>Primary</v>
          </cell>
          <cell r="AV649">
            <v>45135</v>
          </cell>
          <cell r="AW649">
            <v>0.62847222222222221</v>
          </cell>
          <cell r="AX649">
            <v>0.7368055555555556</v>
          </cell>
          <cell r="AY649">
            <v>0.10833333333333334</v>
          </cell>
          <cell r="AZ649">
            <v>0.13402777777777777</v>
          </cell>
          <cell r="BA649">
            <v>0.33750000000000002</v>
          </cell>
          <cell r="BB649" t="str">
            <v>0.4/0.6*1.2/0.4*2.4
0.4*1.0/0.8*3.0
0.4*0.8/0.6*1.6
0.2/0.3*0.6/0.4*2.0</v>
          </cell>
          <cell r="BC649" t="str">
            <v>0.4/0.6*1.2/0.4*2.4
0.4*1.0/0.8*3.0
0.4*0.8/0.6*1.6
0.2/0.3*0.6/0.4*2.0</v>
          </cell>
          <cell r="BD649" t="str">
            <v>Manual</v>
          </cell>
          <cell r="BE649">
            <v>15</v>
          </cell>
          <cell r="BF649" t="str">
            <v>Pallavi</v>
          </cell>
          <cell r="BG649" t="str">
            <v>Y</v>
          </cell>
        </row>
        <row r="650">
          <cell r="A650" t="str">
            <v>FBR1J230239</v>
          </cell>
          <cell r="B650">
            <v>230239</v>
          </cell>
          <cell r="C650" t="str">
            <v>R&amp;D</v>
          </cell>
          <cell r="D650">
            <v>45136</v>
          </cell>
          <cell r="E650">
            <v>0.45277777777777778</v>
          </cell>
          <cell r="F650">
            <v>45108</v>
          </cell>
          <cell r="G650">
            <v>45136</v>
          </cell>
          <cell r="H650">
            <v>0.50347222222222221</v>
          </cell>
          <cell r="I650">
            <v>5.0694444444444445E-2</v>
          </cell>
          <cell r="J650">
            <v>3</v>
          </cell>
          <cell r="K650" t="str">
            <v>FCB-PROTOCOL-02</v>
          </cell>
          <cell r="L650" t="str">
            <v>CLN/PRA/226</v>
          </cell>
          <cell r="M650" t="str">
            <v>Y</v>
          </cell>
          <cell r="N650" t="str">
            <v>COS_v3.0-Gastric (1J)</v>
          </cell>
          <cell r="O650" t="str">
            <v>Internal R&amp;D</v>
          </cell>
          <cell r="P650" t="str">
            <v>Q1 Passed</v>
          </cell>
          <cell r="Q650" t="str">
            <v>Q1 Passed</v>
          </cell>
          <cell r="R650" t="str">
            <v>Q1.5 Passed</v>
          </cell>
          <cell r="S650" t="str">
            <v>Q1.5 Passed</v>
          </cell>
          <cell r="V650" t="str">
            <v>A :Tumor content 12-60%
B : Tumor content 3-35%</v>
          </cell>
          <cell r="W650" t="str">
            <v>Private Hospital</v>
          </cell>
          <cell r="X650" t="str">
            <v>Dr Prakash BV, Bangalore</v>
          </cell>
          <cell r="Y650" t="str">
            <v>Abhaya Hospital, Bangalore</v>
          </cell>
          <cell r="Z650" t="str">
            <v>Dr Prakash BV, Bangalore</v>
          </cell>
          <cell r="AA650" t="str">
            <v>GI</v>
          </cell>
          <cell r="AC650" t="str">
            <v>Stomach</v>
          </cell>
          <cell r="AD650" t="str">
            <v>Antrum of Stomach</v>
          </cell>
          <cell r="AE650" t="str">
            <v>Male</v>
          </cell>
          <cell r="AF650">
            <v>70</v>
          </cell>
          <cell r="AG650" t="str">
            <v>N</v>
          </cell>
          <cell r="AH650">
            <v>4.5999999999999996</v>
          </cell>
          <cell r="AI650" t="str">
            <v>Partha</v>
          </cell>
          <cell r="AJ650" t="str">
            <v>Surgery</v>
          </cell>
          <cell r="AK650" t="str">
            <v>Primary</v>
          </cell>
          <cell r="AO650">
            <v>3</v>
          </cell>
          <cell r="AP650" t="str">
            <v>pT3N2M1</v>
          </cell>
          <cell r="AV650">
            <v>45136</v>
          </cell>
          <cell r="AW650">
            <v>0.44027777777777777</v>
          </cell>
          <cell r="AX650">
            <v>0.50486111111111109</v>
          </cell>
          <cell r="AY650">
            <v>6.458333333333334E-2</v>
          </cell>
          <cell r="AZ650">
            <v>1.3888888888888889E-3</v>
          </cell>
          <cell r="BA650">
            <v>5.2083333333333336E-2</v>
          </cell>
          <cell r="BB650" t="str">
            <v>0.6/0.2*1.2/0.5*2.4</v>
          </cell>
          <cell r="BC650" t="str">
            <v>0.6/0.2*1.2/0.5*2.4</v>
          </cell>
          <cell r="BE650">
            <v>15</v>
          </cell>
          <cell r="BF650" t="str">
            <v>Dharani</v>
          </cell>
          <cell r="BG650" t="str">
            <v>Y</v>
          </cell>
        </row>
        <row r="651">
          <cell r="A651" t="str">
            <v>FBR1Z230240</v>
          </cell>
          <cell r="B651">
            <v>230240</v>
          </cell>
          <cell r="C651" t="str">
            <v>R&amp;D</v>
          </cell>
          <cell r="D651">
            <v>45138</v>
          </cell>
          <cell r="E651">
            <v>0.36249999999999999</v>
          </cell>
          <cell r="F651">
            <v>45108</v>
          </cell>
          <cell r="G651">
            <v>45138</v>
          </cell>
          <cell r="H651">
            <v>0.50208333333333333</v>
          </cell>
          <cell r="I651">
            <v>0.13958333333333334</v>
          </cell>
          <cell r="J651">
            <v>2</v>
          </cell>
          <cell r="K651" t="str">
            <v>FCB-PROTOCOL-02</v>
          </cell>
          <cell r="L651" t="str">
            <v>CLN/PRA/227</v>
          </cell>
          <cell r="M651" t="str">
            <v>Y</v>
          </cell>
          <cell r="N651" t="str">
            <v>CT+LD Nivo -NLD study (1Z)</v>
          </cell>
          <cell r="O651" t="str">
            <v>Internal R&amp;D</v>
          </cell>
          <cell r="P651" t="str">
            <v>Q1 Passed</v>
          </cell>
          <cell r="Q651" t="str">
            <v>Q1 Passed</v>
          </cell>
          <cell r="R651" t="str">
            <v>Q1.5 Passed</v>
          </cell>
          <cell r="S651" t="str">
            <v>Q1.5 Passed</v>
          </cell>
          <cell r="V651" t="str">
            <v>Tumor content &gt;90%</v>
          </cell>
          <cell r="W651" t="str">
            <v>Private Hospital</v>
          </cell>
          <cell r="X651" t="str">
            <v>Dr Prakash BV, Bangalore</v>
          </cell>
          <cell r="Y651" t="str">
            <v>Sri Lakshmi Hospital, Bangalore</v>
          </cell>
          <cell r="Z651" t="str">
            <v>Dr Prakash BV, Bangalore</v>
          </cell>
          <cell r="AA651" t="str">
            <v>HNSCC</v>
          </cell>
          <cell r="AC651" t="str">
            <v>GBS</v>
          </cell>
          <cell r="AD651" t="str">
            <v>Right Lower GBS</v>
          </cell>
          <cell r="AE651" t="str">
            <v>Male</v>
          </cell>
          <cell r="AF651">
            <v>43</v>
          </cell>
          <cell r="AG651" t="str">
            <v>N</v>
          </cell>
          <cell r="AH651">
            <v>4.5</v>
          </cell>
          <cell r="AI651" t="str">
            <v>Maruthi</v>
          </cell>
          <cell r="AJ651" t="str">
            <v>Surgery</v>
          </cell>
          <cell r="AK651" t="str">
            <v>Primary</v>
          </cell>
          <cell r="AO651">
            <v>2</v>
          </cell>
          <cell r="AP651" t="str">
            <v>pT2N1M1</v>
          </cell>
          <cell r="AV651">
            <v>45138</v>
          </cell>
          <cell r="AW651">
            <v>0.53125</v>
          </cell>
          <cell r="AX651">
            <v>0.60416666666666663</v>
          </cell>
          <cell r="AY651">
            <v>7.2916666666666671E-2</v>
          </cell>
          <cell r="AZ651">
            <v>0.10208333333333333</v>
          </cell>
          <cell r="BA651">
            <v>0.24166666666666667</v>
          </cell>
          <cell r="BB651" t="str">
            <v>0.6*0.6*0.8
0.5*1.0*0.5
1.6*0.8*0.2</v>
          </cell>
          <cell r="BD651" t="str">
            <v>Manual</v>
          </cell>
          <cell r="BE651">
            <v>15</v>
          </cell>
          <cell r="BF651" t="str">
            <v>Moumita</v>
          </cell>
          <cell r="BG651" t="str">
            <v>N</v>
          </cell>
        </row>
        <row r="652">
          <cell r="A652" t="str">
            <v>FBR1Z230241</v>
          </cell>
          <cell r="B652">
            <v>230241</v>
          </cell>
          <cell r="C652" t="str">
            <v>R&amp;D</v>
          </cell>
          <cell r="D652">
            <v>45138</v>
          </cell>
          <cell r="E652">
            <v>0.41458333333333336</v>
          </cell>
          <cell r="F652">
            <v>45108</v>
          </cell>
          <cell r="G652">
            <v>45138</v>
          </cell>
          <cell r="H652">
            <v>0.50208333333333333</v>
          </cell>
          <cell r="I652">
            <v>8.7499999999999994E-2</v>
          </cell>
          <cell r="J652">
            <v>1</v>
          </cell>
          <cell r="K652" t="str">
            <v>FCB-PROTOCOL-02</v>
          </cell>
          <cell r="L652" t="str">
            <v>CLN/PRA/228</v>
          </cell>
          <cell r="M652" t="str">
            <v>Y</v>
          </cell>
          <cell r="N652" t="str">
            <v>CT+LD Nivo -NLD study (1Z)</v>
          </cell>
          <cell r="O652" t="str">
            <v>Internal R&amp;D</v>
          </cell>
          <cell r="P652" t="str">
            <v>Q1 Passed</v>
          </cell>
          <cell r="Q652" t="str">
            <v>Q1 Passed</v>
          </cell>
          <cell r="R652" t="str">
            <v>Q1.5 Passed</v>
          </cell>
          <cell r="S652" t="str">
            <v>Q1.5 Passed</v>
          </cell>
          <cell r="V652" t="str">
            <v>Tumor content 40-70%</v>
          </cell>
          <cell r="W652" t="str">
            <v>Private Hospital</v>
          </cell>
          <cell r="X652" t="str">
            <v>Dr Prakash BV, Bangalore</v>
          </cell>
          <cell r="Y652" t="str">
            <v>Sri Lakshmi Hospital, Bangalore</v>
          </cell>
          <cell r="Z652" t="str">
            <v>Dr Prakash BV, Bangalore</v>
          </cell>
          <cell r="AA652" t="str">
            <v>HNSCC</v>
          </cell>
          <cell r="AC652" t="str">
            <v>Buccal mucosa</v>
          </cell>
          <cell r="AD652" t="str">
            <v>Left Buccal Mucosa</v>
          </cell>
          <cell r="AE652" t="str">
            <v>Female</v>
          </cell>
          <cell r="AF652">
            <v>60</v>
          </cell>
          <cell r="AG652" t="str">
            <v>N</v>
          </cell>
          <cell r="AH652">
            <v>4.5</v>
          </cell>
          <cell r="AI652" t="str">
            <v>Maruthi</v>
          </cell>
          <cell r="AJ652" t="str">
            <v>Surgery</v>
          </cell>
          <cell r="AK652" t="str">
            <v>Primary</v>
          </cell>
          <cell r="AO652">
            <v>2</v>
          </cell>
          <cell r="AP652" t="str">
            <v>T4aN2b</v>
          </cell>
          <cell r="AV652">
            <v>45138</v>
          </cell>
          <cell r="AW652">
            <v>0.53680555555555554</v>
          </cell>
          <cell r="AX652">
            <v>0.68125000000000002</v>
          </cell>
          <cell r="AY652">
            <v>0.14444444444444443</v>
          </cell>
          <cell r="AZ652">
            <v>0.17916666666666667</v>
          </cell>
          <cell r="BA652">
            <v>0.26666666666666666</v>
          </cell>
          <cell r="BB652" t="str">
            <v>0.8*1.2*1.2
0.4*1.0*1.4</v>
          </cell>
          <cell r="BC652" t="str">
            <v>0.8*1.2*1.2
0.4*1.0*1.4</v>
          </cell>
          <cell r="BD652" t="str">
            <v>Vibratome</v>
          </cell>
          <cell r="BE652">
            <v>15</v>
          </cell>
          <cell r="BF652" t="str">
            <v>Pallavi</v>
          </cell>
          <cell r="BG652" t="str">
            <v>Y</v>
          </cell>
        </row>
        <row r="653">
          <cell r="A653" t="str">
            <v>FBR2A230242</v>
          </cell>
          <cell r="B653">
            <v>230242</v>
          </cell>
          <cell r="C653" t="str">
            <v>R&amp;D</v>
          </cell>
          <cell r="D653">
            <v>45138</v>
          </cell>
          <cell r="E653">
            <v>0.46875</v>
          </cell>
          <cell r="F653">
            <v>45108</v>
          </cell>
          <cell r="G653">
            <v>45138</v>
          </cell>
          <cell r="H653">
            <v>0.57361111111111107</v>
          </cell>
          <cell r="I653">
            <v>0.10486111111111111</v>
          </cell>
          <cell r="J653">
            <v>20</v>
          </cell>
          <cell r="K653" t="str">
            <v>FCB-PROTOCOL-02</v>
          </cell>
          <cell r="L653" t="str">
            <v>OC016</v>
          </cell>
          <cell r="M653" t="str">
            <v>Y</v>
          </cell>
          <cell r="N653" t="str">
            <v>Ovary CC (R2A)</v>
          </cell>
          <cell r="O653" t="str">
            <v>Internal R&amp;D</v>
          </cell>
          <cell r="P653" t="str">
            <v>Q1 Passed</v>
          </cell>
          <cell r="Q653" t="str">
            <v>Q1 Passed</v>
          </cell>
          <cell r="R653" t="str">
            <v>Compromised</v>
          </cell>
          <cell r="S653" t="str">
            <v>Q1.5 Rejected</v>
          </cell>
          <cell r="U653" t="str">
            <v>Yes</v>
          </cell>
          <cell r="V653" t="str">
            <v>No epithelial tumor</v>
          </cell>
          <cell r="W653" t="str">
            <v>Private Hospital</v>
          </cell>
          <cell r="X653" t="str">
            <v>Mazumdar Shaw Medical Centre, Bangalore</v>
          </cell>
          <cell r="Y653" t="str">
            <v>Mazumdar Shaw Medical Centre, Bangalore</v>
          </cell>
          <cell r="Z653" t="str">
            <v>Dr Rohit Ranade, Bangalore</v>
          </cell>
          <cell r="AA653" t="str">
            <v>Ca Ovary</v>
          </cell>
          <cell r="AC653" t="str">
            <v>Ovary</v>
          </cell>
          <cell r="AD653" t="str">
            <v>Right Ovary</v>
          </cell>
          <cell r="AE653" t="str">
            <v>Female</v>
          </cell>
          <cell r="AF653">
            <v>73</v>
          </cell>
          <cell r="AG653" t="str">
            <v>N</v>
          </cell>
          <cell r="AH653">
            <v>5.5</v>
          </cell>
          <cell r="AI653" t="str">
            <v>Partha</v>
          </cell>
          <cell r="AJ653" t="str">
            <v>Surgery</v>
          </cell>
          <cell r="AK653" t="str">
            <v>Primary</v>
          </cell>
          <cell r="AL653" t="str">
            <v>Chemotherapy</v>
          </cell>
          <cell r="AO653" t="str">
            <v>High grade</v>
          </cell>
          <cell r="AP653" t="str">
            <v>pT3b</v>
          </cell>
          <cell r="AQ653">
            <v>6</v>
          </cell>
          <cell r="AR653" t="str">
            <v>Pacli+Cis</v>
          </cell>
          <cell r="AV653">
            <v>45138</v>
          </cell>
          <cell r="AW653">
            <v>0.59722222222222221</v>
          </cell>
          <cell r="AX653">
            <v>0.67569444444444449</v>
          </cell>
          <cell r="AY653">
            <v>7.8472222222222221E-2</v>
          </cell>
          <cell r="AZ653">
            <v>0.10208333333333333</v>
          </cell>
          <cell r="BA653">
            <v>0.20694444444444443</v>
          </cell>
          <cell r="BB653" t="str">
            <v>0.2/0.3*1.0*1.6/1.4</v>
          </cell>
          <cell r="BC653" t="str">
            <v>0.2/0.3*1.0*1.6/1.4</v>
          </cell>
          <cell r="BD653" t="str">
            <v>Manual</v>
          </cell>
          <cell r="BE653">
            <v>15</v>
          </cell>
          <cell r="BF653" t="str">
            <v>kuberan</v>
          </cell>
          <cell r="BG653" t="str">
            <v>Y</v>
          </cell>
        </row>
        <row r="654">
          <cell r="A654" t="str">
            <v>FBR1W230243</v>
          </cell>
          <cell r="B654">
            <v>230243</v>
          </cell>
          <cell r="C654" t="str">
            <v>R&amp;D</v>
          </cell>
          <cell r="D654">
            <v>45138</v>
          </cell>
          <cell r="E654">
            <v>0.53125</v>
          </cell>
          <cell r="F654">
            <v>45108</v>
          </cell>
          <cell r="G654">
            <v>45138</v>
          </cell>
          <cell r="H654">
            <v>0.57361111111111107</v>
          </cell>
          <cell r="I654">
            <v>4.2361111111111113E-2</v>
          </cell>
          <cell r="J654">
            <v>0</v>
          </cell>
          <cell r="K654" t="str">
            <v>FCB-PROTOCOL-02</v>
          </cell>
          <cell r="L654" t="str">
            <v>BC019</v>
          </cell>
          <cell r="M654" t="str">
            <v>Y</v>
          </cell>
          <cell r="N654" t="str">
            <v>Biopsy Cabr-BSS (1W)</v>
          </cell>
          <cell r="O654" t="str">
            <v>Internal R&amp;D</v>
          </cell>
          <cell r="P654" t="str">
            <v>Q1 Passed</v>
          </cell>
          <cell r="Q654" t="str">
            <v>Q1 Passed</v>
          </cell>
          <cell r="R654" t="str">
            <v>Q1.5 Passed</v>
          </cell>
          <cell r="S654" t="str">
            <v>Q1.5 Passed</v>
          </cell>
          <cell r="V654" t="str">
            <v>Tumor content 2-25%</v>
          </cell>
          <cell r="W654" t="str">
            <v>Private Hospital</v>
          </cell>
          <cell r="X654" t="str">
            <v>Mazumdar Shaw Medical Centre, Bangalore</v>
          </cell>
          <cell r="Y654" t="str">
            <v>Mazumdar Shaw Medical Centre, Bangalore</v>
          </cell>
          <cell r="Z654" t="str">
            <v>Dr Akshita Singh</v>
          </cell>
          <cell r="AA654" t="str">
            <v>Ca Breast</v>
          </cell>
          <cell r="AB654" t="str">
            <v>Er (+)
Pr (+)
Her2 (-)</v>
          </cell>
          <cell r="AC654" t="str">
            <v>Breast</v>
          </cell>
          <cell r="AD654" t="str">
            <v>Left Breast</v>
          </cell>
          <cell r="AE654" t="str">
            <v>Female</v>
          </cell>
          <cell r="AF654">
            <v>55</v>
          </cell>
          <cell r="AG654" t="str">
            <v>N</v>
          </cell>
          <cell r="AH654">
            <v>5.5</v>
          </cell>
          <cell r="AI654" t="str">
            <v>Partha</v>
          </cell>
          <cell r="AJ654" t="str">
            <v>Biopsy</v>
          </cell>
          <cell r="AK654" t="str">
            <v>Primary</v>
          </cell>
          <cell r="AS654" t="str">
            <v>Invasive carcinoma of no special type (ductal )</v>
          </cell>
          <cell r="AV654">
            <v>45138</v>
          </cell>
          <cell r="AW654">
            <v>0.59722222222222221</v>
          </cell>
          <cell r="AX654">
            <v>0.64097222222222228</v>
          </cell>
          <cell r="AY654">
            <v>4.3749999999999997E-2</v>
          </cell>
          <cell r="AZ654">
            <v>6.7361111111111108E-2</v>
          </cell>
          <cell r="BA654">
            <v>0.10972222222222222</v>
          </cell>
          <cell r="BB654" t="str">
            <v>0.2*0.2*1.6
0.2*0.2*1.6
0.2*0.2*1.8</v>
          </cell>
          <cell r="BC654" t="str">
            <v>0.2*0.2*1.6
0.2*0.2*1.6
0.2*0.2*1.8</v>
          </cell>
          <cell r="BD654" t="str">
            <v>Manual</v>
          </cell>
          <cell r="BE654">
            <v>15</v>
          </cell>
          <cell r="BF654" t="str">
            <v>Syam</v>
          </cell>
          <cell r="BG654" t="str">
            <v>Y</v>
          </cell>
        </row>
        <row r="655">
          <cell r="A655" t="str">
            <v>FBR1Y230244</v>
          </cell>
          <cell r="B655">
            <v>230244</v>
          </cell>
          <cell r="C655" t="str">
            <v>R&amp;D</v>
          </cell>
          <cell r="D655">
            <v>45138</v>
          </cell>
          <cell r="E655">
            <v>0.53125</v>
          </cell>
          <cell r="F655">
            <v>45108</v>
          </cell>
          <cell r="G655">
            <v>45138</v>
          </cell>
          <cell r="H655">
            <v>0.57361111111111107</v>
          </cell>
          <cell r="I655">
            <v>4.2361111111111113E-2</v>
          </cell>
          <cell r="J655">
            <v>21</v>
          </cell>
          <cell r="K655" t="str">
            <v>FCB-PROTOCOL-02</v>
          </cell>
          <cell r="L655" t="str">
            <v>HN081</v>
          </cell>
          <cell r="M655" t="str">
            <v>Y</v>
          </cell>
          <cell r="N655" t="str">
            <v>CCS Study (1Y)</v>
          </cell>
          <cell r="O655" t="str">
            <v>Internal R&amp;D</v>
          </cell>
          <cell r="P655" t="str">
            <v>Q1 Passed</v>
          </cell>
          <cell r="Q655" t="str">
            <v>Q1 Passed</v>
          </cell>
          <cell r="R655" t="str">
            <v>Compromised</v>
          </cell>
          <cell r="S655" t="str">
            <v>Q1.5 Passed</v>
          </cell>
          <cell r="V655" t="str">
            <v>Tumor content 8-98%</v>
          </cell>
          <cell r="W655" t="str">
            <v>Private Hospital</v>
          </cell>
          <cell r="X655" t="str">
            <v>Mazumdar Shaw Medical Centre, Bangalore</v>
          </cell>
          <cell r="Y655" t="str">
            <v>Mazumdar Shaw Medical Centre, Bangalore</v>
          </cell>
          <cell r="Z655" t="str">
            <v>Dr Vijay Pillai, Bangalore</v>
          </cell>
          <cell r="AA655" t="str">
            <v>HNSCC</v>
          </cell>
          <cell r="AC655" t="str">
            <v>Buccal mucosa</v>
          </cell>
          <cell r="AD655" t="str">
            <v>Right buccal mucosa</v>
          </cell>
          <cell r="AE655" t="str">
            <v>Male</v>
          </cell>
          <cell r="AF655">
            <v>61</v>
          </cell>
          <cell r="AG655" t="str">
            <v>N</v>
          </cell>
          <cell r="AH655">
            <v>5.5</v>
          </cell>
          <cell r="AI655" t="str">
            <v>Partha</v>
          </cell>
          <cell r="AJ655" t="str">
            <v>Surgery</v>
          </cell>
          <cell r="AK655" t="str">
            <v>Primary</v>
          </cell>
          <cell r="AN655" t="str">
            <v>IV</v>
          </cell>
          <cell r="AO655">
            <v>2</v>
          </cell>
          <cell r="AP655" t="str">
            <v>pT4b</v>
          </cell>
          <cell r="AS655" t="str">
            <v>Moderately differentiated squamous cell carcinoma</v>
          </cell>
          <cell r="AV655">
            <v>45138</v>
          </cell>
          <cell r="AW655">
            <v>0.69444444444444442</v>
          </cell>
          <cell r="AX655">
            <v>0.74305555555555558</v>
          </cell>
          <cell r="AY655">
            <v>4.8611111111111112E-2</v>
          </cell>
          <cell r="AZ655">
            <v>0.16944444444444445</v>
          </cell>
          <cell r="BA655">
            <v>0.21180555555555555</v>
          </cell>
          <cell r="BB655" t="str">
            <v>0.6*0.6/0.4*1.0</v>
          </cell>
          <cell r="BC655" t="str">
            <v>0.6*0.6/0.4*1.0</v>
          </cell>
          <cell r="BD655" t="str">
            <v>Manual</v>
          </cell>
          <cell r="BE655">
            <v>15</v>
          </cell>
          <cell r="BF655" t="str">
            <v>chandan</v>
          </cell>
          <cell r="BG655" t="str">
            <v>Y</v>
          </cell>
        </row>
        <row r="656">
          <cell r="A656" t="str">
            <v>FBR1Z230245</v>
          </cell>
          <cell r="B656">
            <v>230245</v>
          </cell>
          <cell r="C656" t="str">
            <v>R&amp;D</v>
          </cell>
          <cell r="D656">
            <v>45139</v>
          </cell>
          <cell r="E656">
            <v>0.2722222222222222</v>
          </cell>
          <cell r="F656">
            <v>45139</v>
          </cell>
          <cell r="G656">
            <v>45139</v>
          </cell>
          <cell r="H656">
            <v>0.43055555555555558</v>
          </cell>
          <cell r="I656">
            <v>0.15833333333333333</v>
          </cell>
          <cell r="J656">
            <v>1</v>
          </cell>
          <cell r="K656" t="str">
            <v>FCB-PROTOCOL-02</v>
          </cell>
          <cell r="L656" t="str">
            <v>CLN/PRA/229</v>
          </cell>
          <cell r="M656" t="str">
            <v>Y</v>
          </cell>
          <cell r="N656" t="str">
            <v>CT+LD Nivo -NLD study (1Z)</v>
          </cell>
          <cell r="O656" t="str">
            <v>Internal R&amp;D</v>
          </cell>
          <cell r="P656" t="str">
            <v>Q1 Passed</v>
          </cell>
          <cell r="Q656" t="str">
            <v>Q1 Passed</v>
          </cell>
          <cell r="R656" t="str">
            <v>Q1.5 Passed</v>
          </cell>
          <cell r="S656" t="str">
            <v>Q1.5 Passed</v>
          </cell>
          <cell r="V656" t="str">
            <v>Tumor content 40-85%</v>
          </cell>
          <cell r="W656" t="str">
            <v>Private Hospital</v>
          </cell>
          <cell r="X656" t="str">
            <v>Dr Prakash BV, Bangalore</v>
          </cell>
          <cell r="Y656" t="str">
            <v>Sri Lakshmi Hospital, Bangalore</v>
          </cell>
          <cell r="Z656" t="str">
            <v>Dr Prakash BV, Bangalore</v>
          </cell>
          <cell r="AA656" t="str">
            <v>HNSCC</v>
          </cell>
          <cell r="AC656" t="str">
            <v>Tongue</v>
          </cell>
          <cell r="AD656" t="str">
            <v xml:space="preserve">Right Lateral Tongue </v>
          </cell>
          <cell r="AE656" t="str">
            <v>Male</v>
          </cell>
          <cell r="AF656">
            <v>42</v>
          </cell>
          <cell r="AG656" t="str">
            <v>N</v>
          </cell>
          <cell r="AH656">
            <v>5.4</v>
          </cell>
          <cell r="AI656" t="str">
            <v>Maruthi</v>
          </cell>
          <cell r="AJ656" t="str">
            <v>Surgery</v>
          </cell>
          <cell r="AK656" t="str">
            <v>Primary</v>
          </cell>
          <cell r="AO656">
            <v>2</v>
          </cell>
          <cell r="AP656" t="str">
            <v>pT2N0M0</v>
          </cell>
          <cell r="AV656">
            <v>45139</v>
          </cell>
          <cell r="AW656">
            <v>0.47638888888888886</v>
          </cell>
          <cell r="AX656">
            <v>0.61597222222222225</v>
          </cell>
          <cell r="AY656">
            <v>0.13958333333333334</v>
          </cell>
          <cell r="AZ656">
            <v>0.18541666666666667</v>
          </cell>
          <cell r="BA656">
            <v>0.34375</v>
          </cell>
          <cell r="BB656" t="str">
            <v>0.8*2.0*2.2</v>
          </cell>
          <cell r="BC656" t="str">
            <v>0.8*2.0*2.2</v>
          </cell>
          <cell r="BD656" t="str">
            <v>Vibratome</v>
          </cell>
          <cell r="BE656">
            <v>14</v>
          </cell>
          <cell r="BF656" t="str">
            <v>Pallavi</v>
          </cell>
          <cell r="BG656" t="str">
            <v>Y</v>
          </cell>
        </row>
        <row r="657">
          <cell r="A657" t="str">
            <v>FBR2G230245</v>
          </cell>
          <cell r="B657">
            <v>230245</v>
          </cell>
          <cell r="C657" t="str">
            <v>R&amp;D</v>
          </cell>
          <cell r="D657">
            <v>45139</v>
          </cell>
          <cell r="E657">
            <v>0.2722222222222222</v>
          </cell>
          <cell r="F657">
            <v>45139</v>
          </cell>
          <cell r="G657">
            <v>45139</v>
          </cell>
          <cell r="H657">
            <v>0.43055555555555558</v>
          </cell>
          <cell r="I657">
            <v>0.15833333333333333</v>
          </cell>
          <cell r="J657">
            <v>1</v>
          </cell>
          <cell r="K657" t="str">
            <v>FCB-PROTOCOL-02</v>
          </cell>
          <cell r="L657" t="str">
            <v>CLN/PRA/229</v>
          </cell>
          <cell r="M657" t="str">
            <v>Y</v>
          </cell>
          <cell r="N657" t="str">
            <v>Microfragments (2G)</v>
          </cell>
          <cell r="O657" t="str">
            <v>Internal R&amp;D</v>
          </cell>
          <cell r="P657" t="str">
            <v>Q1 Passed</v>
          </cell>
          <cell r="Q657" t="str">
            <v>Q1 Passed</v>
          </cell>
          <cell r="R657" t="str">
            <v>Q1.5 Passed</v>
          </cell>
          <cell r="S657" t="str">
            <v>Q1.5 Passed</v>
          </cell>
          <cell r="V657" t="str">
            <v>Tumor content 40-85%</v>
          </cell>
          <cell r="W657" t="str">
            <v>Private Hospital</v>
          </cell>
          <cell r="X657" t="str">
            <v>Dr Prakash BV, Bangalore</v>
          </cell>
          <cell r="Y657" t="str">
            <v>Sri Lakshmi Hospital, Bangalore</v>
          </cell>
          <cell r="Z657" t="str">
            <v>Dr Prakash BV, Bangalore</v>
          </cell>
          <cell r="AA657" t="str">
            <v>HNSCC</v>
          </cell>
          <cell r="AC657" t="str">
            <v>Tongue</v>
          </cell>
          <cell r="AD657" t="str">
            <v xml:space="preserve">Right Lateral Tongue </v>
          </cell>
          <cell r="AE657" t="str">
            <v>Male</v>
          </cell>
          <cell r="AF657">
            <v>42</v>
          </cell>
          <cell r="AG657" t="str">
            <v>N</v>
          </cell>
          <cell r="AH657">
            <v>5.4</v>
          </cell>
          <cell r="AI657" t="str">
            <v>Maruthi</v>
          </cell>
          <cell r="AJ657" t="str">
            <v>Surgery</v>
          </cell>
          <cell r="AK657" t="str">
            <v>Primary</v>
          </cell>
          <cell r="AO657">
            <v>2</v>
          </cell>
          <cell r="AP657" t="str">
            <v>pT2N0M0</v>
          </cell>
          <cell r="AV657">
            <v>45139</v>
          </cell>
          <cell r="AW657">
            <v>0.47638888888888886</v>
          </cell>
          <cell r="AX657">
            <v>0.61597222222222225</v>
          </cell>
          <cell r="AY657">
            <v>0.13958333333333334</v>
          </cell>
          <cell r="AZ657">
            <v>0.18541666666666667</v>
          </cell>
          <cell r="BA657">
            <v>0.34375</v>
          </cell>
          <cell r="BB657" t="str">
            <v>0.8*2.0*2.2</v>
          </cell>
          <cell r="BC657" t="str">
            <v>0.8*2.0*2.2</v>
          </cell>
          <cell r="BD657" t="str">
            <v>Vibratome</v>
          </cell>
          <cell r="BE657">
            <v>14</v>
          </cell>
          <cell r="BF657" t="str">
            <v>Pallavi</v>
          </cell>
          <cell r="BG657" t="str">
            <v>Y</v>
          </cell>
        </row>
        <row r="658">
          <cell r="A658" t="str">
            <v>FBR1Q230246</v>
          </cell>
          <cell r="B658">
            <v>230246</v>
          </cell>
          <cell r="C658" t="str">
            <v>R&amp;D</v>
          </cell>
          <cell r="D658">
            <v>45139</v>
          </cell>
          <cell r="E658">
            <v>0.35625000000000001</v>
          </cell>
          <cell r="F658">
            <v>45139</v>
          </cell>
          <cell r="G658">
            <v>45139</v>
          </cell>
          <cell r="H658">
            <v>0.43055555555555558</v>
          </cell>
          <cell r="I658">
            <v>7.4305555555555555E-2</v>
          </cell>
          <cell r="J658">
            <v>1</v>
          </cell>
          <cell r="K658" t="str">
            <v>FCB-PROTOCOL-02</v>
          </cell>
          <cell r="L658" t="str">
            <v>CLN/PRA/230</v>
          </cell>
          <cell r="M658" t="str">
            <v>Y</v>
          </cell>
          <cell r="N658" t="str">
            <v>COSv4.2_CaBR(1Q-Unknown)</v>
          </cell>
          <cell r="O658" t="str">
            <v>Internal R&amp;D</v>
          </cell>
          <cell r="P658" t="str">
            <v>Q1 Passed</v>
          </cell>
          <cell r="Q658" t="str">
            <v>Q1 Passed</v>
          </cell>
          <cell r="R658" t="str">
            <v>Compromised</v>
          </cell>
          <cell r="S658" t="str">
            <v>Q1.5 Passed</v>
          </cell>
          <cell r="V658" t="str">
            <v>Tumor content 2-55%</v>
          </cell>
          <cell r="W658" t="str">
            <v>Private Hospital</v>
          </cell>
          <cell r="X658" t="str">
            <v>Dr Prakash BV, Bangalore</v>
          </cell>
          <cell r="Y658" t="str">
            <v>Sri Lakshmi Hospital, Bangalore</v>
          </cell>
          <cell r="Z658" t="str">
            <v>Dr Prakash BV, Bangalore</v>
          </cell>
          <cell r="AA658" t="str">
            <v>Ca Breast</v>
          </cell>
          <cell r="AC658" t="str">
            <v>Breast</v>
          </cell>
          <cell r="AD658" t="str">
            <v>Right Breast</v>
          </cell>
          <cell r="AE658" t="str">
            <v>Female</v>
          </cell>
          <cell r="AF658">
            <v>35</v>
          </cell>
          <cell r="AG658" t="str">
            <v>N</v>
          </cell>
          <cell r="AH658">
            <v>5.4</v>
          </cell>
          <cell r="AI658" t="str">
            <v>Maruthi</v>
          </cell>
          <cell r="AJ658" t="str">
            <v>Surgery</v>
          </cell>
          <cell r="AK658" t="str">
            <v>Primary</v>
          </cell>
          <cell r="AO658">
            <v>2</v>
          </cell>
          <cell r="AP658" t="str">
            <v>pT2N0M0</v>
          </cell>
          <cell r="AV658">
            <v>45139</v>
          </cell>
          <cell r="AW658">
            <v>0.46597222222222223</v>
          </cell>
          <cell r="AX658">
            <v>0.57986111111111116</v>
          </cell>
          <cell r="AY658">
            <v>0.11388888888888889</v>
          </cell>
          <cell r="AZ658">
            <v>0.14930555555555555</v>
          </cell>
          <cell r="BA658">
            <v>0.22361111111111112</v>
          </cell>
          <cell r="BB658" t="str">
            <v>1.0*1.0/1.6*4.4</v>
          </cell>
          <cell r="BC658" t="str">
            <v>1.0*1.0/1.6*4.4</v>
          </cell>
          <cell r="BD658" t="str">
            <v>Manual</v>
          </cell>
          <cell r="BE658">
            <v>14</v>
          </cell>
          <cell r="BF658" t="str">
            <v>Moumita</v>
          </cell>
          <cell r="BG658" t="str">
            <v>Y</v>
          </cell>
        </row>
        <row r="659">
          <cell r="A659" t="str">
            <v>FBR1Y230247</v>
          </cell>
          <cell r="B659">
            <v>230247</v>
          </cell>
          <cell r="C659" t="str">
            <v>R&amp;D</v>
          </cell>
          <cell r="D659">
            <v>45139</v>
          </cell>
          <cell r="E659">
            <v>0.5625</v>
          </cell>
          <cell r="F659">
            <v>45139</v>
          </cell>
          <cell r="G659">
            <v>45139</v>
          </cell>
          <cell r="H659">
            <v>0.65138888888888891</v>
          </cell>
          <cell r="I659">
            <v>8.8888888888888892E-2</v>
          </cell>
          <cell r="J659">
            <v>15</v>
          </cell>
          <cell r="K659" t="str">
            <v>FCB-PROTOCOL-02</v>
          </cell>
          <cell r="L659" t="str">
            <v>HN082</v>
          </cell>
          <cell r="M659" t="str">
            <v>Y</v>
          </cell>
          <cell r="N659" t="str">
            <v>CCS Study (1Y)</v>
          </cell>
          <cell r="O659" t="str">
            <v>Internal R&amp;D</v>
          </cell>
          <cell r="P659" t="str">
            <v>Q1 Passed</v>
          </cell>
          <cell r="Q659" t="str">
            <v>Q1 Passed</v>
          </cell>
          <cell r="R659" t="str">
            <v>Compromised</v>
          </cell>
          <cell r="S659" t="str">
            <v>Q1.5 Passed</v>
          </cell>
          <cell r="V659" t="str">
            <v>Tumor content 15-90%</v>
          </cell>
          <cell r="W659" t="str">
            <v>Private Hospital</v>
          </cell>
          <cell r="X659" t="str">
            <v>Mazumdar Shaw Medical Centre, Bangalore</v>
          </cell>
          <cell r="Y659" t="str">
            <v>Mazumdar Shaw Medical Centre, Bangalore</v>
          </cell>
          <cell r="Z659" t="str">
            <v>Dr Vijay Pillai, Bangalore</v>
          </cell>
          <cell r="AA659" t="str">
            <v>HNSCC</v>
          </cell>
          <cell r="AC659" t="str">
            <v>Buccal mucosa</v>
          </cell>
          <cell r="AD659" t="str">
            <v>Left buccal mucosa</v>
          </cell>
          <cell r="AE659" t="str">
            <v>Female</v>
          </cell>
          <cell r="AF659">
            <v>53</v>
          </cell>
          <cell r="AG659" t="str">
            <v>N</v>
          </cell>
          <cell r="AH659">
            <v>3.8</v>
          </cell>
          <cell r="AI659" t="str">
            <v>Maruthi</v>
          </cell>
          <cell r="AJ659" t="str">
            <v>Surgery</v>
          </cell>
          <cell r="AK659" t="str">
            <v>Primary</v>
          </cell>
          <cell r="AN659" t="str">
            <v>IV</v>
          </cell>
          <cell r="AO659">
            <v>2</v>
          </cell>
          <cell r="AP659" t="str">
            <v>pT4a</v>
          </cell>
          <cell r="AS659" t="str">
            <v>Moderately differentiated squamous cell carcinoma</v>
          </cell>
          <cell r="AV659">
            <v>45139</v>
          </cell>
          <cell r="AW659">
            <v>0.68402777777777779</v>
          </cell>
          <cell r="AX659">
            <v>0.80069444444444449</v>
          </cell>
          <cell r="AY659">
            <v>0.11666666666666667</v>
          </cell>
          <cell r="AZ659">
            <v>0.14930555555555555</v>
          </cell>
          <cell r="BA659">
            <v>0.23819444444444443</v>
          </cell>
          <cell r="BB659" t="str">
            <v>0.4*0.8*1.0</v>
          </cell>
          <cell r="BC659" t="str">
            <v>0.4*0.8*1.0</v>
          </cell>
          <cell r="BD659" t="str">
            <v>Manual</v>
          </cell>
          <cell r="BE659">
            <v>14</v>
          </cell>
          <cell r="BG659" t="str">
            <v>Y</v>
          </cell>
        </row>
        <row r="660">
          <cell r="A660" t="str">
            <v>FBR1Y230248</v>
          </cell>
          <cell r="B660">
            <v>230248</v>
          </cell>
          <cell r="C660" t="str">
            <v>R&amp;D</v>
          </cell>
          <cell r="D660">
            <v>45139</v>
          </cell>
          <cell r="E660">
            <v>0.49027777777777776</v>
          </cell>
          <cell r="F660">
            <v>45139</v>
          </cell>
          <cell r="G660">
            <v>45139</v>
          </cell>
          <cell r="H660">
            <v>0.65694444444444444</v>
          </cell>
          <cell r="I660">
            <v>0.16666666666666666</v>
          </cell>
          <cell r="J660">
            <v>2</v>
          </cell>
          <cell r="K660" t="str">
            <v>FCB-PROTOCOL-02</v>
          </cell>
          <cell r="L660" t="str">
            <v>VYD/191</v>
          </cell>
          <cell r="M660" t="str">
            <v>Y</v>
          </cell>
          <cell r="N660" t="str">
            <v>CCS Study (1Y)</v>
          </cell>
          <cell r="O660" t="str">
            <v>Internal R&amp;D</v>
          </cell>
          <cell r="P660" t="str">
            <v>Q1 Passed</v>
          </cell>
          <cell r="Q660" t="str">
            <v>Q1 Passed</v>
          </cell>
          <cell r="R660" t="str">
            <v>Q1.5 Passed</v>
          </cell>
          <cell r="S660" t="str">
            <v>Q1.5 Passed</v>
          </cell>
          <cell r="V660" t="str">
            <v>Tumor content &gt;90%</v>
          </cell>
          <cell r="W660" t="str">
            <v>Private Hospital</v>
          </cell>
          <cell r="X660" t="str">
            <v>Vydehi Hospital, Bangalore</v>
          </cell>
          <cell r="Y660" t="str">
            <v>Vydehi Hospital, Bangalore</v>
          </cell>
          <cell r="Z660" t="str">
            <v>Dr Amritha Prabha, Bangalore</v>
          </cell>
          <cell r="AA660" t="str">
            <v>HNSCC</v>
          </cell>
          <cell r="AC660" t="str">
            <v>Buccal mucosa</v>
          </cell>
          <cell r="AD660" t="str">
            <v>Right Buccal Mucosa</v>
          </cell>
          <cell r="AE660" t="str">
            <v>Female</v>
          </cell>
          <cell r="AF660">
            <v>74</v>
          </cell>
          <cell r="AG660" t="str">
            <v>N</v>
          </cell>
          <cell r="AH660">
            <v>5.0999999999999996</v>
          </cell>
          <cell r="AI660" t="str">
            <v>Partha</v>
          </cell>
          <cell r="AJ660" t="str">
            <v>Surgery</v>
          </cell>
          <cell r="AK660" t="str">
            <v>Primary</v>
          </cell>
          <cell r="AN660" t="str">
            <v>III</v>
          </cell>
          <cell r="AO660">
            <v>1</v>
          </cell>
          <cell r="AP660" t="str">
            <v>pT3N0</v>
          </cell>
          <cell r="AV660">
            <v>45139</v>
          </cell>
          <cell r="AW660">
            <v>0.69444444444444442</v>
          </cell>
          <cell r="AX660">
            <v>0.79027777777777775</v>
          </cell>
          <cell r="AY660">
            <v>9.583333333333334E-2</v>
          </cell>
          <cell r="AZ660">
            <v>0.13333333333333333</v>
          </cell>
          <cell r="BA660">
            <v>0.3</v>
          </cell>
          <cell r="BB660" t="str">
            <v>0.8*1.4*2.0</v>
          </cell>
          <cell r="BC660" t="str">
            <v>0.8*1.4*2.0</v>
          </cell>
          <cell r="BD660" t="str">
            <v>Vibratome</v>
          </cell>
          <cell r="BE660">
            <v>14</v>
          </cell>
          <cell r="BF660" t="str">
            <v>Syam</v>
          </cell>
          <cell r="BG660" t="str">
            <v>Y</v>
          </cell>
        </row>
        <row r="661">
          <cell r="A661" t="str">
            <v>FBR1Z230249</v>
          </cell>
          <cell r="B661">
            <v>230249</v>
          </cell>
          <cell r="C661" t="str">
            <v>R&amp;D</v>
          </cell>
          <cell r="D661">
            <v>45139</v>
          </cell>
          <cell r="E661">
            <v>0.4826388888888889</v>
          </cell>
          <cell r="F661">
            <v>45139</v>
          </cell>
          <cell r="G661">
            <v>45139</v>
          </cell>
          <cell r="H661">
            <v>0.88194444444444442</v>
          </cell>
          <cell r="I661">
            <v>0.39930555555555558</v>
          </cell>
          <cell r="J661">
            <v>25</v>
          </cell>
          <cell r="K661" t="str">
            <v>FCB-PROTOCOL-01</v>
          </cell>
          <cell r="L661" t="str">
            <v>CLN/DBR/154</v>
          </cell>
          <cell r="M661" t="str">
            <v>Y</v>
          </cell>
          <cell r="N661" t="str">
            <v>CT+LD Nivo -NLD study (1Z)</v>
          </cell>
          <cell r="O661" t="str">
            <v>Internal R&amp;D</v>
          </cell>
          <cell r="P661" t="str">
            <v>Q1 Passed</v>
          </cell>
          <cell r="Q661" t="str">
            <v>Q1 Passed</v>
          </cell>
          <cell r="R661" t="str">
            <v>Q1.5 Passed</v>
          </cell>
          <cell r="S661" t="str">
            <v>Q1.5 Passed</v>
          </cell>
          <cell r="V661" t="str">
            <v>Tumor content 60-85%</v>
          </cell>
          <cell r="W661" t="str">
            <v>Clinic'les</v>
          </cell>
          <cell r="X661" t="str">
            <v>Clinic'les- DBR &amp; SK Hospital, Tirupati</v>
          </cell>
          <cell r="Y661" t="str">
            <v>DBR &amp; SK Hospital, Tirupati</v>
          </cell>
          <cell r="Z661" t="str">
            <v>Dr C Jayaprakash, Tirupati</v>
          </cell>
          <cell r="AA661" t="str">
            <v>HNSCC</v>
          </cell>
          <cell r="AC661" t="str">
            <v>Buccal Mucosa</v>
          </cell>
          <cell r="AD661" t="str">
            <v>Right Buccal Mucosa</v>
          </cell>
          <cell r="AE661" t="str">
            <v>Female</v>
          </cell>
          <cell r="AF661">
            <v>40</v>
          </cell>
          <cell r="AG661" t="str">
            <v>N</v>
          </cell>
          <cell r="AH661">
            <v>5.0999999999999996</v>
          </cell>
          <cell r="AI661" t="str">
            <v>Shashi</v>
          </cell>
          <cell r="AJ661" t="str">
            <v>Surgery</v>
          </cell>
          <cell r="AK661" t="str">
            <v>Primary</v>
          </cell>
          <cell r="AN661" t="str">
            <v>III</v>
          </cell>
          <cell r="AP661" t="str">
            <v>T3 N0 MX</v>
          </cell>
          <cell r="AV661">
            <v>45140</v>
          </cell>
          <cell r="AW661">
            <v>0.34027777777777779</v>
          </cell>
          <cell r="AX661">
            <v>0.44444444444444442</v>
          </cell>
          <cell r="AY661">
            <v>0.10416666666666667</v>
          </cell>
          <cell r="AZ66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66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661" t="str">
            <v>0.6*1.6*2.0</v>
          </cell>
          <cell r="BC661" t="str">
            <v>0.6*1.6*2.0</v>
          </cell>
          <cell r="BD661" t="str">
            <v>Vibratome</v>
          </cell>
          <cell r="BE661">
            <v>14</v>
          </cell>
          <cell r="BF661" t="str">
            <v>Kokila</v>
          </cell>
          <cell r="BG661" t="str">
            <v>Y</v>
          </cell>
        </row>
        <row r="662">
          <cell r="A662" t="str">
            <v>FBR2G230249</v>
          </cell>
          <cell r="B662">
            <v>230249</v>
          </cell>
          <cell r="C662" t="str">
            <v>R&amp;D</v>
          </cell>
          <cell r="D662">
            <v>45139</v>
          </cell>
          <cell r="E662">
            <v>0.4826388888888889</v>
          </cell>
          <cell r="F662">
            <v>45139</v>
          </cell>
          <cell r="G662">
            <v>45139</v>
          </cell>
          <cell r="H662">
            <v>0.88194444444444442</v>
          </cell>
          <cell r="I662">
            <v>0.39930555555555558</v>
          </cell>
          <cell r="J662">
            <v>25</v>
          </cell>
          <cell r="K662" t="str">
            <v>FCB-PROTOCOL-01</v>
          </cell>
          <cell r="L662" t="str">
            <v>CLN/DBR/154</v>
          </cell>
          <cell r="M662" t="str">
            <v>Y</v>
          </cell>
          <cell r="N662" t="str">
            <v>Microfragments (2G)</v>
          </cell>
          <cell r="O662" t="str">
            <v>Internal R&amp;D</v>
          </cell>
          <cell r="P662" t="str">
            <v>Q1 Passed</v>
          </cell>
          <cell r="Q662" t="str">
            <v>Q1 Passed</v>
          </cell>
          <cell r="R662" t="str">
            <v>Q1.5 Passed</v>
          </cell>
          <cell r="S662" t="str">
            <v>Q1.5 Passed</v>
          </cell>
          <cell r="V662" t="str">
            <v>Tumor content 60-85%</v>
          </cell>
          <cell r="W662" t="str">
            <v>Clinic'les</v>
          </cell>
          <cell r="X662" t="str">
            <v>Clinic'les- DBR &amp; SK Hospital, Tirupati</v>
          </cell>
          <cell r="Y662" t="str">
            <v>DBR &amp; SK Hospital, Tirupati</v>
          </cell>
          <cell r="Z662" t="str">
            <v>Dr C Jayaprakash, Tirupati</v>
          </cell>
          <cell r="AA662" t="str">
            <v>HNSCC</v>
          </cell>
          <cell r="AC662" t="str">
            <v>Buccal Mucosa</v>
          </cell>
          <cell r="AD662" t="str">
            <v>Right Buccal Mucosa</v>
          </cell>
          <cell r="AE662" t="str">
            <v>Female</v>
          </cell>
          <cell r="AF662">
            <v>40</v>
          </cell>
          <cell r="AG662" t="str">
            <v>N</v>
          </cell>
          <cell r="AH662">
            <v>5.0999999999999996</v>
          </cell>
          <cell r="AI662" t="str">
            <v>Shashi</v>
          </cell>
          <cell r="AJ662" t="str">
            <v>Surgery</v>
          </cell>
          <cell r="AK662" t="str">
            <v>Primary</v>
          </cell>
          <cell r="AN662" t="str">
            <v>III</v>
          </cell>
          <cell r="AP662" t="str">
            <v>T3 N0 MX</v>
          </cell>
          <cell r="AV662">
            <v>45140</v>
          </cell>
          <cell r="AW662">
            <v>0.34027777777777779</v>
          </cell>
          <cell r="AX662">
            <v>0.44444444444444442</v>
          </cell>
          <cell r="AY662">
            <v>0.10416666666666667</v>
          </cell>
          <cell r="AZ66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66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662" t="str">
            <v>0.6*1.6*2.0</v>
          </cell>
          <cell r="BC662" t="str">
            <v>0.6*1.6*2.0</v>
          </cell>
          <cell r="BD662" t="str">
            <v>Vibratome</v>
          </cell>
          <cell r="BE662">
            <v>14</v>
          </cell>
          <cell r="BF662" t="str">
            <v>Kokila</v>
          </cell>
          <cell r="BG662" t="str">
            <v>Y</v>
          </cell>
        </row>
        <row r="663">
          <cell r="A663" t="str">
            <v>FBR2A230250</v>
          </cell>
          <cell r="B663">
            <v>230250</v>
          </cell>
          <cell r="C663" t="str">
            <v>R&amp;D</v>
          </cell>
          <cell r="D663">
            <v>45140</v>
          </cell>
          <cell r="E663">
            <v>0.46250000000000002</v>
          </cell>
          <cell r="F663">
            <v>45139</v>
          </cell>
          <cell r="G663">
            <v>45140</v>
          </cell>
          <cell r="H663">
            <v>0.55902777777777779</v>
          </cell>
          <cell r="I663">
            <v>9.6527777777777782E-2</v>
          </cell>
          <cell r="J663">
            <v>1</v>
          </cell>
          <cell r="K663" t="str">
            <v>FCB-PROTOCOL-02</v>
          </cell>
          <cell r="L663" t="str">
            <v>OC017</v>
          </cell>
          <cell r="M663" t="str">
            <v>Y</v>
          </cell>
          <cell r="N663" t="str">
            <v>Ovary CC (R2A)</v>
          </cell>
          <cell r="O663" t="str">
            <v>Internal R&amp;D</v>
          </cell>
          <cell r="P663" t="str">
            <v>Q1 Passed</v>
          </cell>
          <cell r="Q663" t="str">
            <v>Q1 Passed</v>
          </cell>
          <cell r="R663" t="str">
            <v>Compromised</v>
          </cell>
          <cell r="S663" t="str">
            <v>Q1.5 Passed</v>
          </cell>
          <cell r="V663" t="str">
            <v>Tumor content 70-90%</v>
          </cell>
          <cell r="W663" t="str">
            <v>Private Hospital</v>
          </cell>
          <cell r="X663" t="str">
            <v>Mazumdar Shaw Medical Centre, Bangalore</v>
          </cell>
          <cell r="Y663" t="str">
            <v>Mazumdar Shaw Medical Centre, Bangalore</v>
          </cell>
          <cell r="Z663" t="str">
            <v>Dr Rohit Ranade, Bangalore</v>
          </cell>
          <cell r="AA663" t="str">
            <v>Ca Ovary</v>
          </cell>
          <cell r="AC663" t="str">
            <v>Ovary</v>
          </cell>
          <cell r="AD663" t="str">
            <v>Right Ovary</v>
          </cell>
          <cell r="AE663" t="str">
            <v>Female</v>
          </cell>
          <cell r="AF663">
            <v>46</v>
          </cell>
          <cell r="AG663" t="str">
            <v>N</v>
          </cell>
          <cell r="AH663">
            <v>4.5999999999999996</v>
          </cell>
          <cell r="AI663" t="str">
            <v>Partha</v>
          </cell>
          <cell r="AJ663" t="str">
            <v>Surgery</v>
          </cell>
          <cell r="AK663" t="str">
            <v>Primary</v>
          </cell>
          <cell r="AN663" t="str">
            <v>II</v>
          </cell>
          <cell r="AO663" t="str">
            <v>High grade carcinoma</v>
          </cell>
          <cell r="AP663" t="str">
            <v>pT2a</v>
          </cell>
          <cell r="AS663" t="str">
            <v>endometrioid carcinoma and serous carcinoma of ovary</v>
          </cell>
          <cell r="AV663">
            <v>45140</v>
          </cell>
          <cell r="AW663">
            <v>0.58819444444444446</v>
          </cell>
          <cell r="AX663">
            <v>0.63749999999999996</v>
          </cell>
          <cell r="AY663">
            <v>4.9305555555555554E-2</v>
          </cell>
          <cell r="AZ663">
            <v>7.8472222222222221E-2</v>
          </cell>
          <cell r="BA663">
            <v>0.17499999999999999</v>
          </cell>
          <cell r="BB663" t="str">
            <v>0.2*0.5/0.8*0.8/1.0
0.2*0.2/0.4*1.1/1.4
0.2*0.4/0.6*0.6/0.7</v>
          </cell>
          <cell r="BC663" t="str">
            <v>0.2*0.5/0.8*0.8/1.0
0.2*0.2/0.4*1.1/1.4
0.2*0.4/0.6*0.6/0.7</v>
          </cell>
          <cell r="BD663" t="str">
            <v>Manual</v>
          </cell>
          <cell r="BE663">
            <v>14</v>
          </cell>
          <cell r="BF663" t="str">
            <v>Syam</v>
          </cell>
          <cell r="BG663" t="str">
            <v>Y</v>
          </cell>
        </row>
        <row r="664">
          <cell r="A664" t="str">
            <v>FBR1Y230251</v>
          </cell>
          <cell r="B664">
            <v>230251</v>
          </cell>
          <cell r="C664" t="str">
            <v>R&amp;D</v>
          </cell>
          <cell r="D664">
            <v>45140</v>
          </cell>
          <cell r="E664">
            <v>0.50624999999999998</v>
          </cell>
          <cell r="F664">
            <v>45139</v>
          </cell>
          <cell r="G664">
            <v>45140</v>
          </cell>
          <cell r="H664">
            <v>0.60833333333333328</v>
          </cell>
          <cell r="I664">
            <v>0.10208333333333333</v>
          </cell>
          <cell r="J664">
            <v>5</v>
          </cell>
          <cell r="K664" t="str">
            <v>FCB-PROTOCOL-01</v>
          </cell>
          <cell r="L664" t="str">
            <v>VYD/192</v>
          </cell>
          <cell r="M664" t="str">
            <v>Y</v>
          </cell>
          <cell r="N664" t="str">
            <v>CCS Study (1Y)</v>
          </cell>
          <cell r="O664" t="str">
            <v>Internal R&amp;D</v>
          </cell>
          <cell r="P664" t="str">
            <v>Q1 Passed</v>
          </cell>
          <cell r="Q664" t="str">
            <v>Q1 Passed</v>
          </cell>
          <cell r="R664" t="str">
            <v>Q1.5 Passed</v>
          </cell>
          <cell r="S664" t="str">
            <v>Q1.5 Passed</v>
          </cell>
          <cell r="V664" t="str">
            <v>Tumor content 15-40%</v>
          </cell>
          <cell r="W664" t="str">
            <v>Private Hospital</v>
          </cell>
          <cell r="X664" t="str">
            <v>Vydehi Hospital, Bangalore</v>
          </cell>
          <cell r="Y664" t="str">
            <v>Vydehi Hospital, Bangalore</v>
          </cell>
          <cell r="Z664" t="str">
            <v>Dr Amritha Prabha, Bangalore</v>
          </cell>
          <cell r="AA664" t="str">
            <v>HNSCC</v>
          </cell>
          <cell r="AC664" t="str">
            <v>Suoraglottis</v>
          </cell>
          <cell r="AD664" t="str">
            <v>Suoraglottis</v>
          </cell>
          <cell r="AE664" t="str">
            <v>Male</v>
          </cell>
          <cell r="AF664">
            <v>39</v>
          </cell>
          <cell r="AG664" t="str">
            <v>N</v>
          </cell>
          <cell r="AH664">
            <v>4.9000000000000004</v>
          </cell>
          <cell r="AI664" t="str">
            <v>Shashi</v>
          </cell>
          <cell r="AJ664" t="str">
            <v>Surgery</v>
          </cell>
          <cell r="AK664" t="str">
            <v>Primary</v>
          </cell>
          <cell r="AN664" t="str">
            <v xml:space="preserve">IV </v>
          </cell>
          <cell r="AO664">
            <v>2</v>
          </cell>
          <cell r="AP664" t="str">
            <v>pT4aN0</v>
          </cell>
          <cell r="AV664">
            <v>45140</v>
          </cell>
          <cell r="AW664">
            <v>0.61736111111111114</v>
          </cell>
          <cell r="AX664">
            <v>0.71180555555555558</v>
          </cell>
          <cell r="AY664">
            <v>9.4444444444444442E-2</v>
          </cell>
          <cell r="AZ664">
            <v>0.10347222222222222</v>
          </cell>
          <cell r="BA664">
            <v>0.20555555555555555</v>
          </cell>
          <cell r="BB664" t="str">
            <v>0.9*1.6*2.0</v>
          </cell>
          <cell r="BC664" t="str">
            <v>0.9*1.6*2.0</v>
          </cell>
          <cell r="BD664" t="str">
            <v>Vibratome</v>
          </cell>
          <cell r="BE664">
            <v>14</v>
          </cell>
          <cell r="BF664" t="str">
            <v>kuberan</v>
          </cell>
          <cell r="BG664" t="str">
            <v>Y</v>
          </cell>
        </row>
        <row r="665">
          <cell r="A665" t="str">
            <v>FBR2G230251</v>
          </cell>
          <cell r="B665">
            <v>230251</v>
          </cell>
          <cell r="C665" t="str">
            <v>R&amp;D</v>
          </cell>
          <cell r="D665">
            <v>45140</v>
          </cell>
          <cell r="E665">
            <v>0.50624999999999998</v>
          </cell>
          <cell r="F665">
            <v>45139</v>
          </cell>
          <cell r="G665">
            <v>45140</v>
          </cell>
          <cell r="H665">
            <v>0.60833333333333328</v>
          </cell>
          <cell r="I665">
            <v>0.10208333333333333</v>
          </cell>
          <cell r="J665">
            <v>5</v>
          </cell>
          <cell r="K665" t="str">
            <v>FCB-PROTOCOL-01</v>
          </cell>
          <cell r="L665" t="str">
            <v>VYD/192</v>
          </cell>
          <cell r="M665" t="str">
            <v>Y</v>
          </cell>
          <cell r="N665" t="str">
            <v>Microfragments (2G)</v>
          </cell>
          <cell r="O665" t="str">
            <v>Internal R&amp;D</v>
          </cell>
          <cell r="P665" t="str">
            <v>Q1 Passed</v>
          </cell>
          <cell r="Q665" t="str">
            <v>Q1 Passed</v>
          </cell>
          <cell r="R665" t="str">
            <v>Q1.5 Passed</v>
          </cell>
          <cell r="S665" t="str">
            <v>Q1.5 Passed</v>
          </cell>
          <cell r="V665" t="str">
            <v>Tumor content 15-40%</v>
          </cell>
          <cell r="W665" t="str">
            <v>Private Hospital</v>
          </cell>
          <cell r="X665" t="str">
            <v>Vydehi Hospital, Bangalore</v>
          </cell>
          <cell r="Y665" t="str">
            <v>Vydehi Hospital, Bangalore</v>
          </cell>
          <cell r="Z665" t="str">
            <v>Dr Amritha Prabha, Bangalore</v>
          </cell>
          <cell r="AA665" t="str">
            <v>HNSCC</v>
          </cell>
          <cell r="AC665" t="str">
            <v>Suoraglottis</v>
          </cell>
          <cell r="AD665" t="str">
            <v>Suoraglottis</v>
          </cell>
          <cell r="AE665" t="str">
            <v>Male</v>
          </cell>
          <cell r="AF665">
            <v>39</v>
          </cell>
          <cell r="AG665" t="str">
            <v>N</v>
          </cell>
          <cell r="AH665">
            <v>4.9000000000000004</v>
          </cell>
          <cell r="AI665" t="str">
            <v>Shashi</v>
          </cell>
          <cell r="AJ665" t="str">
            <v>Surgery</v>
          </cell>
          <cell r="AK665" t="str">
            <v>Primary</v>
          </cell>
          <cell r="AN665" t="str">
            <v xml:space="preserve">IV </v>
          </cell>
          <cell r="AO665">
            <v>2</v>
          </cell>
          <cell r="AP665" t="str">
            <v>pT4aN0</v>
          </cell>
          <cell r="AV665">
            <v>45140</v>
          </cell>
          <cell r="AW665">
            <v>0.61736111111111114</v>
          </cell>
          <cell r="AX665">
            <v>0.71180555555555558</v>
          </cell>
          <cell r="AY665">
            <v>9.4444444444444442E-2</v>
          </cell>
          <cell r="AZ665">
            <v>0.10347222222222222</v>
          </cell>
          <cell r="BA665">
            <v>0.20555555555555555</v>
          </cell>
          <cell r="BB665" t="str">
            <v>0.9*1.6*2.0</v>
          </cell>
          <cell r="BC665" t="str">
            <v>0.9*1.6*2.0</v>
          </cell>
          <cell r="BD665" t="str">
            <v>Vibratome</v>
          </cell>
          <cell r="BE665">
            <v>14</v>
          </cell>
          <cell r="BF665" t="str">
            <v>kuberan</v>
          </cell>
          <cell r="BG665" t="str">
            <v>Y</v>
          </cell>
        </row>
        <row r="666">
          <cell r="A666" t="str">
            <v>FBR1X230252</v>
          </cell>
          <cell r="B666">
            <v>230252</v>
          </cell>
          <cell r="C666" t="str">
            <v>R&amp;D</v>
          </cell>
          <cell r="D666">
            <v>45141</v>
          </cell>
          <cell r="E666">
            <v>0.5</v>
          </cell>
          <cell r="F666">
            <v>45139</v>
          </cell>
          <cell r="G666">
            <v>45141</v>
          </cell>
          <cell r="H666">
            <v>0.5805555555555556</v>
          </cell>
          <cell r="I666">
            <v>8.0555555555555561E-2</v>
          </cell>
          <cell r="J666">
            <v>0</v>
          </cell>
          <cell r="K666" t="str">
            <v>FCB-PROTOCOL-02</v>
          </cell>
          <cell r="L666" t="str">
            <v>HN083</v>
          </cell>
          <cell r="M666" t="str">
            <v>Y</v>
          </cell>
          <cell r="N666" t="str">
            <v>Biopsy HNSCC (1X)</v>
          </cell>
          <cell r="O666" t="str">
            <v>Internal R&amp;D</v>
          </cell>
          <cell r="P666" t="str">
            <v>Q1 Passed</v>
          </cell>
          <cell r="Q666" t="str">
            <v>Q1 Passed</v>
          </cell>
          <cell r="R666" t="str">
            <v>Compromised</v>
          </cell>
          <cell r="S666" t="str">
            <v>Q1.5 Passed</v>
          </cell>
          <cell r="V666" t="str">
            <v>Tumor content 60-95%</v>
          </cell>
          <cell r="W666" t="str">
            <v>Private Hospital</v>
          </cell>
          <cell r="X666" t="str">
            <v>Mazumdar Shaw Medical Centre, Bangalore</v>
          </cell>
          <cell r="Y666" t="str">
            <v>Mazumdar Shaw Medical Centre, Bangalore</v>
          </cell>
          <cell r="Z666" t="str">
            <v>Dr Vijay Pillai, Bangalore</v>
          </cell>
          <cell r="AA666" t="str">
            <v>HNSCC</v>
          </cell>
          <cell r="AC666" t="str">
            <v>Larynx</v>
          </cell>
          <cell r="AD666" t="str">
            <v>Larynx</v>
          </cell>
          <cell r="AE666" t="str">
            <v>Female</v>
          </cell>
          <cell r="AF666">
            <v>70</v>
          </cell>
          <cell r="AG666" t="str">
            <v>N</v>
          </cell>
          <cell r="AH666">
            <v>4.5</v>
          </cell>
          <cell r="AI666" t="str">
            <v>Maruthi</v>
          </cell>
          <cell r="AJ666" t="str">
            <v>Biopsy</v>
          </cell>
          <cell r="AK666" t="str">
            <v>Primary</v>
          </cell>
          <cell r="AS666" t="str">
            <v>Moderately differentiated squamous carcinoma,Invasive squamous cell carcinoma</v>
          </cell>
          <cell r="AV666">
            <v>45141</v>
          </cell>
          <cell r="AW666">
            <v>0.61458333333333337</v>
          </cell>
          <cell r="AX666">
            <v>0.67083333333333328</v>
          </cell>
          <cell r="AY666">
            <v>5.6250000000000001E-2</v>
          </cell>
          <cell r="AZ666">
            <v>9.0277777777777776E-2</v>
          </cell>
          <cell r="BA666">
            <v>0.17083333333333334</v>
          </cell>
          <cell r="BB666" t="str">
            <v>0.2*0.4*0.8
0.2*0.4*0.6</v>
          </cell>
          <cell r="BC666" t="str">
            <v>0.2*0.4*0.8
0.2*0.4*0.6</v>
          </cell>
          <cell r="BD666" t="str">
            <v>Manual</v>
          </cell>
          <cell r="BE666">
            <v>14</v>
          </cell>
          <cell r="BF666" t="str">
            <v>Syam</v>
          </cell>
          <cell r="BG666" t="str">
            <v>Y</v>
          </cell>
        </row>
        <row r="667">
          <cell r="A667" t="str">
            <v>FBR1W230253</v>
          </cell>
          <cell r="B667">
            <v>230253</v>
          </cell>
          <cell r="C667" t="str">
            <v>R&amp;D</v>
          </cell>
          <cell r="D667">
            <v>45142</v>
          </cell>
          <cell r="E667">
            <v>0.60763888888888884</v>
          </cell>
          <cell r="F667">
            <v>45139</v>
          </cell>
          <cell r="G667">
            <v>45142</v>
          </cell>
          <cell r="H667">
            <v>0.72430555555555554</v>
          </cell>
          <cell r="I667">
            <v>0.11666666666666667</v>
          </cell>
          <cell r="J667">
            <v>0</v>
          </cell>
          <cell r="K667" t="str">
            <v>FCB-PROTOCOL-01</v>
          </cell>
          <cell r="L667" t="str">
            <v>VYD/193</v>
          </cell>
          <cell r="M667" t="str">
            <v>Y</v>
          </cell>
          <cell r="N667" t="str">
            <v>Biopsy Cabr-BSS (1W)</v>
          </cell>
          <cell r="O667" t="str">
            <v>Internal R&amp;D</v>
          </cell>
          <cell r="P667" t="str">
            <v>Q1 Passed</v>
          </cell>
          <cell r="Q667" t="str">
            <v>Q1 Passed</v>
          </cell>
          <cell r="R667" t="str">
            <v>Q1.5 Passed</v>
          </cell>
          <cell r="S667" t="str">
            <v>Q1.5 Rejected</v>
          </cell>
          <cell r="V667" t="str">
            <v>No tumor</v>
          </cell>
          <cell r="W667" t="str">
            <v>Private Hospital</v>
          </cell>
          <cell r="X667" t="str">
            <v>Vydehi Hospital, Bangalore</v>
          </cell>
          <cell r="Y667" t="str">
            <v>Vydehi Hospital, Bangalore</v>
          </cell>
          <cell r="Z667" t="str">
            <v>Dr Amritha Prabha, Bangalore</v>
          </cell>
          <cell r="AA667" t="str">
            <v>Ca Breast</v>
          </cell>
          <cell r="AC667" t="str">
            <v>Breast</v>
          </cell>
          <cell r="AD667" t="str">
            <v>Left Breast</v>
          </cell>
          <cell r="AE667" t="str">
            <v>Female</v>
          </cell>
          <cell r="AF667">
            <v>55</v>
          </cell>
          <cell r="AG667" t="str">
            <v>N</v>
          </cell>
          <cell r="AH667">
            <v>4.2</v>
          </cell>
          <cell r="AI667" t="str">
            <v>Maruthi</v>
          </cell>
          <cell r="AJ667" t="str">
            <v>Biopsy</v>
          </cell>
          <cell r="AK667" t="str">
            <v>Primary</v>
          </cell>
          <cell r="AV667">
            <v>45142</v>
          </cell>
          <cell r="AW667">
            <v>0.73611111111111116</v>
          </cell>
          <cell r="AX667">
            <v>0.78125</v>
          </cell>
          <cell r="AY667">
            <v>4.5138888888888888E-2</v>
          </cell>
          <cell r="AZ667">
            <v>5.6944444444444443E-2</v>
          </cell>
          <cell r="BA667">
            <v>0.1736111111111111</v>
          </cell>
          <cell r="BB667" t="str">
            <v>0.1*0.2*1.4
0.1*0.2*1.0
0.1*0.2*0.6
0.1*0.2*1.4
0.1*0.2*1.2</v>
          </cell>
          <cell r="BC667" t="str">
            <v>0.1*0.2*1.4
0.1*0.2*1.0
0.1*0.2*0.6
0.1*0.2*1.4
0.1*0.2*1.2</v>
          </cell>
          <cell r="BD667" t="str">
            <v>Manual</v>
          </cell>
          <cell r="BE667">
            <v>14</v>
          </cell>
          <cell r="BF667" t="str">
            <v>Syam</v>
          </cell>
          <cell r="BG667" t="str">
            <v>Y</v>
          </cell>
        </row>
        <row r="668">
          <cell r="A668">
            <v>230254</v>
          </cell>
          <cell r="B668">
            <v>230254</v>
          </cell>
          <cell r="C668" t="str">
            <v>R&amp;D</v>
          </cell>
          <cell r="D668">
            <v>45142</v>
          </cell>
          <cell r="E668">
            <v>0.48958333333333331</v>
          </cell>
          <cell r="F668">
            <v>45139</v>
          </cell>
          <cell r="G668">
            <v>45142</v>
          </cell>
          <cell r="H668">
            <v>0.86458333333333337</v>
          </cell>
          <cell r="I668">
            <v>0.375</v>
          </cell>
          <cell r="J668">
            <v>15</v>
          </cell>
          <cell r="K668" t="str">
            <v>FCB-PROTOCOL-01</v>
          </cell>
          <cell r="L668" t="str">
            <v>CLN/DBR/155</v>
          </cell>
          <cell r="M668" t="str">
            <v>Y</v>
          </cell>
          <cell r="N668" t="str">
            <v>No study</v>
          </cell>
          <cell r="O668" t="str">
            <v>1st level attrition</v>
          </cell>
          <cell r="P668" t="str">
            <v>Q1 Passed</v>
          </cell>
          <cell r="Q668" t="str">
            <v>Q1 Passed</v>
          </cell>
          <cell r="R668" t="str">
            <v>Q1.5 Passed</v>
          </cell>
          <cell r="S668" t="str">
            <v>Q1.5 Rejected</v>
          </cell>
          <cell r="V668" t="str">
            <v>Rejected</v>
          </cell>
          <cell r="W668" t="str">
            <v>Clinic'les</v>
          </cell>
          <cell r="X668" t="str">
            <v>Clinic'les- DBR &amp; SK Hospital, Tirupati</v>
          </cell>
          <cell r="Y668" t="str">
            <v>DBR &amp; SK Hospital, Tirupati</v>
          </cell>
          <cell r="Z668" t="str">
            <v>Dr C Jayaprakash, Tirupati</v>
          </cell>
          <cell r="AA668" t="str">
            <v>Ca Breast</v>
          </cell>
          <cell r="AC668" t="str">
            <v>Breast</v>
          </cell>
          <cell r="AD668" t="str">
            <v>Right Breast</v>
          </cell>
          <cell r="AE668" t="str">
            <v>Female</v>
          </cell>
          <cell r="AF668">
            <v>46</v>
          </cell>
          <cell r="AG668" t="str">
            <v>N</v>
          </cell>
          <cell r="AH668">
            <v>5.2</v>
          </cell>
          <cell r="AI668" t="str">
            <v>Partha</v>
          </cell>
          <cell r="AJ668" t="str">
            <v>Surgery</v>
          </cell>
          <cell r="AK668" t="str">
            <v>Primary</v>
          </cell>
          <cell r="AN668" t="str">
            <v>IIa</v>
          </cell>
          <cell r="AO668">
            <v>1</v>
          </cell>
          <cell r="AP668" t="str">
            <v>T2 N0 MX</v>
          </cell>
          <cell r="AV668">
            <v>45142</v>
          </cell>
          <cell r="AW668" t="str">
            <v>NA</v>
          </cell>
          <cell r="AX668" t="str">
            <v>NA</v>
          </cell>
          <cell r="AY668" t="str">
            <v>NA</v>
          </cell>
          <cell r="AZ668" t="str">
            <v>NA</v>
          </cell>
          <cell r="BA668" t="str">
            <v>NA</v>
          </cell>
          <cell r="BB668" t="str">
            <v>NA</v>
          </cell>
          <cell r="BC668" t="str">
            <v>NA</v>
          </cell>
          <cell r="BD668" t="str">
            <v>NA</v>
          </cell>
          <cell r="BE668">
            <v>14</v>
          </cell>
          <cell r="BF668" t="str">
            <v>Kowshik</v>
          </cell>
          <cell r="BG668" t="str">
            <v>N</v>
          </cell>
        </row>
        <row r="669">
          <cell r="A669" t="str">
            <v>FBR1Y230255</v>
          </cell>
          <cell r="B669">
            <v>230255</v>
          </cell>
          <cell r="C669" t="str">
            <v>R&amp;D</v>
          </cell>
          <cell r="D669">
            <v>45145</v>
          </cell>
          <cell r="E669">
            <v>0.41597222222222224</v>
          </cell>
          <cell r="F669">
            <v>45139</v>
          </cell>
          <cell r="G669">
            <v>45145</v>
          </cell>
          <cell r="H669">
            <v>0.54583333333333328</v>
          </cell>
          <cell r="I669">
            <v>0.12986111111111112</v>
          </cell>
          <cell r="J669">
            <v>1</v>
          </cell>
          <cell r="K669" t="str">
            <v>FCB-PROTOCOL-01</v>
          </cell>
          <cell r="L669" t="str">
            <v>VYD/194</v>
          </cell>
          <cell r="M669" t="str">
            <v>Y</v>
          </cell>
          <cell r="N669" t="str">
            <v>CCS Study (1Y)</v>
          </cell>
          <cell r="O669" t="str">
            <v>Internal R&amp;D</v>
          </cell>
          <cell r="P669" t="str">
            <v>Q1 Passed</v>
          </cell>
          <cell r="Q669" t="str">
            <v>Q1 Passed</v>
          </cell>
          <cell r="R669" t="str">
            <v>Q1.5 Passed</v>
          </cell>
          <cell r="S669" t="str">
            <v>Q1.5 Passed</v>
          </cell>
          <cell r="V669" t="str">
            <v>Tumor content 0-60%</v>
          </cell>
          <cell r="W669" t="str">
            <v>Private Hospital</v>
          </cell>
          <cell r="X669" t="str">
            <v>Vydehi Hospital, Bangalore</v>
          </cell>
          <cell r="Y669" t="str">
            <v>Vydehi Hospital, Bangalore</v>
          </cell>
          <cell r="Z669" t="str">
            <v>Dr Amritha Prabha, Bangalore</v>
          </cell>
          <cell r="AA669" t="str">
            <v>HNSCC</v>
          </cell>
          <cell r="AC669" t="str">
            <v>Tongue</v>
          </cell>
          <cell r="AD669" t="str">
            <v>Right Lateral Border of Tongue</v>
          </cell>
          <cell r="AE669" t="str">
            <v>Male</v>
          </cell>
          <cell r="AF669">
            <v>28</v>
          </cell>
          <cell r="AG669" t="str">
            <v>N</v>
          </cell>
          <cell r="AH669">
            <v>4.7</v>
          </cell>
          <cell r="AI669" t="str">
            <v>Kalappa</v>
          </cell>
          <cell r="AJ669" t="str">
            <v>Surgery</v>
          </cell>
          <cell r="AK669" t="str">
            <v>Primary</v>
          </cell>
          <cell r="AN669" t="str">
            <v>II</v>
          </cell>
          <cell r="AO669">
            <v>1</v>
          </cell>
          <cell r="AP669" t="str">
            <v>pT2N0</v>
          </cell>
          <cell r="AV669">
            <v>45145</v>
          </cell>
          <cell r="AW669">
            <v>0.5708333333333333</v>
          </cell>
          <cell r="AX669">
            <v>0.66527777777777775</v>
          </cell>
          <cell r="AY669">
            <v>9.4444444444444442E-2</v>
          </cell>
          <cell r="AZ669">
            <v>0.11944444444444445</v>
          </cell>
          <cell r="BA669">
            <v>0.24930555555555556</v>
          </cell>
          <cell r="BB669" t="str">
            <v>0.4-0.5*0.8*1.2</v>
          </cell>
          <cell r="BC669" t="str">
            <v>0.4-0.5*0.8*1.2</v>
          </cell>
          <cell r="BD669" t="str">
            <v>Vibratome</v>
          </cell>
          <cell r="BE669">
            <v>14</v>
          </cell>
          <cell r="BF669" t="str">
            <v>Kokila</v>
          </cell>
          <cell r="BG669" t="str">
            <v>N</v>
          </cell>
        </row>
        <row r="670">
          <cell r="A670" t="str">
            <v>FBR1K230255</v>
          </cell>
          <cell r="B670">
            <v>230255</v>
          </cell>
          <cell r="C670" t="str">
            <v>R&amp;D</v>
          </cell>
          <cell r="D670">
            <v>45145</v>
          </cell>
          <cell r="E670">
            <v>0.41597222222222224</v>
          </cell>
          <cell r="F670">
            <v>45139</v>
          </cell>
          <cell r="G670">
            <v>45145</v>
          </cell>
          <cell r="H670">
            <v>0.54583333333333328</v>
          </cell>
          <cell r="I670">
            <v>0.12986111111111112</v>
          </cell>
          <cell r="J670">
            <v>1</v>
          </cell>
          <cell r="K670" t="str">
            <v>FCB-PROTOCOL-01</v>
          </cell>
          <cell r="L670" t="str">
            <v>VYD/194</v>
          </cell>
          <cell r="M670" t="str">
            <v>Y</v>
          </cell>
          <cell r="N670" t="str">
            <v>CCS Study (1Y)</v>
          </cell>
          <cell r="O670" t="str">
            <v>Internal R&amp;D</v>
          </cell>
          <cell r="P670" t="str">
            <v>Q1 Passed</v>
          </cell>
          <cell r="Q670" t="str">
            <v>Q1 Passed</v>
          </cell>
          <cell r="R670" t="str">
            <v>Q1.5 Passed</v>
          </cell>
          <cell r="S670" t="str">
            <v>Q1.5 Passed</v>
          </cell>
          <cell r="V670" t="str">
            <v>Tumor content 0-60%</v>
          </cell>
          <cell r="W670" t="str">
            <v>Private Hospital</v>
          </cell>
          <cell r="X670" t="str">
            <v>Vydehi Hospital, Bangalore</v>
          </cell>
          <cell r="Y670" t="str">
            <v>Vydehi Hospital, Bangalore</v>
          </cell>
          <cell r="Z670" t="str">
            <v>Dr Amritha Prabha, Bangalore</v>
          </cell>
          <cell r="AA670" t="str">
            <v>HNSCC</v>
          </cell>
          <cell r="AC670" t="str">
            <v>Tongue</v>
          </cell>
          <cell r="AD670" t="str">
            <v>Right Lateral Border of Tongue</v>
          </cell>
          <cell r="AE670" t="str">
            <v>Male</v>
          </cell>
          <cell r="AF670">
            <v>28</v>
          </cell>
          <cell r="AG670" t="str">
            <v>N</v>
          </cell>
          <cell r="AH670">
            <v>4.7</v>
          </cell>
          <cell r="AI670" t="str">
            <v>Kalappa</v>
          </cell>
          <cell r="AJ670" t="str">
            <v>Surgery</v>
          </cell>
          <cell r="AK670" t="str">
            <v>Primary</v>
          </cell>
          <cell r="AN670" t="str">
            <v>II</v>
          </cell>
          <cell r="AO670">
            <v>1</v>
          </cell>
          <cell r="AP670" t="str">
            <v>pT2N0</v>
          </cell>
          <cell r="AV670">
            <v>45145</v>
          </cell>
          <cell r="AW670">
            <v>0.5708333333333333</v>
          </cell>
          <cell r="AX670">
            <v>0.66527777777777775</v>
          </cell>
          <cell r="AY670">
            <v>9.4444444444444442E-2</v>
          </cell>
          <cell r="AZ670">
            <v>0.11944444444444445</v>
          </cell>
          <cell r="BA670">
            <v>0.24930555555555556</v>
          </cell>
          <cell r="BB670" t="str">
            <v>0.4-0.5*0.8*1.2</v>
          </cell>
          <cell r="BC670" t="str">
            <v>0.4-0.5*0.8*1.2</v>
          </cell>
          <cell r="BD670" t="str">
            <v>Vibratome</v>
          </cell>
          <cell r="BE670">
            <v>14</v>
          </cell>
          <cell r="BF670" t="str">
            <v>Kokila</v>
          </cell>
          <cell r="BG670" t="str">
            <v>N</v>
          </cell>
        </row>
        <row r="671">
          <cell r="A671" t="str">
            <v>FBR1W230256</v>
          </cell>
          <cell r="B671">
            <v>230256</v>
          </cell>
          <cell r="C671" t="str">
            <v>R&amp;D</v>
          </cell>
          <cell r="D671">
            <v>45149</v>
          </cell>
          <cell r="E671">
            <v>0.68055555555555558</v>
          </cell>
          <cell r="F671">
            <v>45139</v>
          </cell>
          <cell r="G671">
            <v>45149</v>
          </cell>
          <cell r="H671">
            <v>0.72777777777777775</v>
          </cell>
          <cell r="I671">
            <v>4.7222222222222221E-2</v>
          </cell>
          <cell r="J671">
            <v>0</v>
          </cell>
          <cell r="K671" t="str">
            <v>FCB-PROTOCOL-02</v>
          </cell>
          <cell r="L671" t="str">
            <v>BC020</v>
          </cell>
          <cell r="M671" t="str">
            <v>Y</v>
          </cell>
          <cell r="N671" t="str">
            <v>Biopsy Cabr-BSS (1W)</v>
          </cell>
          <cell r="O671" t="str">
            <v>Internal R&amp;D</v>
          </cell>
          <cell r="P671" t="str">
            <v>Q1 Passed</v>
          </cell>
          <cell r="Q671" t="str">
            <v>Q1 Passed</v>
          </cell>
          <cell r="R671" t="str">
            <v>Q1.5 Passed</v>
          </cell>
          <cell r="S671" t="str">
            <v>Q1.5 Passed</v>
          </cell>
          <cell r="V671" t="str">
            <v>Tumor content 2-25%</v>
          </cell>
          <cell r="W671" t="str">
            <v>Private Hospital</v>
          </cell>
          <cell r="X671" t="str">
            <v>Mazumdar Shaw Medical Centre, Bangalore</v>
          </cell>
          <cell r="Y671" t="str">
            <v>Mazumdar Shaw Medical Centre, Bangalore</v>
          </cell>
          <cell r="Z671" t="str">
            <v>Dr Akshita Singh</v>
          </cell>
          <cell r="AA671" t="str">
            <v>Ca Breast</v>
          </cell>
          <cell r="AB671" t="str">
            <v>Er (-)
Pr (-)
Her2 (equivocal 2+)</v>
          </cell>
          <cell r="AC671" t="str">
            <v>Breast</v>
          </cell>
          <cell r="AD671" t="str">
            <v>Right Breast</v>
          </cell>
          <cell r="AE671" t="str">
            <v>Female</v>
          </cell>
          <cell r="AF671">
            <v>56</v>
          </cell>
          <cell r="AG671" t="str">
            <v>N</v>
          </cell>
          <cell r="AH671">
            <v>3.6</v>
          </cell>
          <cell r="AI671" t="str">
            <v>Maruthi</v>
          </cell>
          <cell r="AJ671" t="str">
            <v>Biopsy</v>
          </cell>
          <cell r="AK671" t="str">
            <v>Primary</v>
          </cell>
          <cell r="AS671" t="str">
            <v>Invasive carcinoma of no special type (ductal )</v>
          </cell>
          <cell r="AV671">
            <v>45149</v>
          </cell>
          <cell r="AW671">
            <v>0.75</v>
          </cell>
          <cell r="AX671">
            <v>0.77986111111111112</v>
          </cell>
          <cell r="AY671">
            <v>2.9861111111111113E-2</v>
          </cell>
          <cell r="AZ671">
            <v>5.2083333333333336E-2</v>
          </cell>
          <cell r="BA671">
            <v>9.930555555555555E-2</v>
          </cell>
          <cell r="BB671" t="str">
            <v>0.1*0.1*1.4
0.1*0.1*1.0
0.1*0.1*1.2</v>
          </cell>
          <cell r="BC671" t="str">
            <v>0.1*0.1*1.4
0.1*0.1*1.0
0.1*0.1*1.2</v>
          </cell>
          <cell r="BD671" t="str">
            <v>Manual</v>
          </cell>
          <cell r="BE671">
            <v>14</v>
          </cell>
          <cell r="BF671" t="str">
            <v>chandan</v>
          </cell>
          <cell r="BG671" t="str">
            <v>Y</v>
          </cell>
        </row>
        <row r="672">
          <cell r="A672" t="str">
            <v>FBR1Q230257</v>
          </cell>
          <cell r="B672">
            <v>230257</v>
          </cell>
          <cell r="C672" t="str">
            <v>R&amp;D</v>
          </cell>
          <cell r="D672">
            <v>45149</v>
          </cell>
          <cell r="E672">
            <v>0.5</v>
          </cell>
          <cell r="F672">
            <v>45139</v>
          </cell>
          <cell r="G672">
            <v>45149</v>
          </cell>
          <cell r="H672">
            <v>0.84305555555555556</v>
          </cell>
          <cell r="I672">
            <v>0.34305555555555556</v>
          </cell>
          <cell r="J672">
            <v>15</v>
          </cell>
          <cell r="K672" t="str">
            <v>FCB-PROTOCOL-01</v>
          </cell>
          <cell r="L672" t="str">
            <v>CLN/DBR/156</v>
          </cell>
          <cell r="M672" t="str">
            <v>Y</v>
          </cell>
          <cell r="N672" t="str">
            <v>COSv4.2_CaBR(1Q-Unknown)</v>
          </cell>
          <cell r="O672" t="str">
            <v>Internal R&amp;D</v>
          </cell>
          <cell r="P672" t="str">
            <v>Q1 Passed</v>
          </cell>
          <cell r="Q672" t="str">
            <v>Q1 Passed</v>
          </cell>
          <cell r="R672" t="str">
            <v>Q1.5 Passed</v>
          </cell>
          <cell r="S672" t="str">
            <v>Q1.5 Passed</v>
          </cell>
          <cell r="V672" t="str">
            <v>Tumor content 4-85%</v>
          </cell>
          <cell r="W672" t="str">
            <v>Clinic'les</v>
          </cell>
          <cell r="X672" t="str">
            <v>Clinic'les- DBR &amp; SK Hospital, Tirupati</v>
          </cell>
          <cell r="Y672" t="str">
            <v>DBR &amp; SK Hospital, Tirupati</v>
          </cell>
          <cell r="Z672" t="str">
            <v>Dr C Jayaprakash, Tirupati</v>
          </cell>
          <cell r="AA672" t="str">
            <v>Ca Breast</v>
          </cell>
          <cell r="AC672" t="str">
            <v>Breast</v>
          </cell>
          <cell r="AD672" t="str">
            <v>Right Breast</v>
          </cell>
          <cell r="AE672" t="str">
            <v>Female</v>
          </cell>
          <cell r="AF672">
            <v>35</v>
          </cell>
          <cell r="AG672" t="str">
            <v>N</v>
          </cell>
          <cell r="AH672">
            <v>7.2</v>
          </cell>
          <cell r="AI672" t="str">
            <v>Partha</v>
          </cell>
          <cell r="AJ672" t="str">
            <v>Surgery</v>
          </cell>
          <cell r="AK672" t="str">
            <v>Primary</v>
          </cell>
          <cell r="AN672" t="str">
            <v>IIb</v>
          </cell>
          <cell r="AO672">
            <v>2</v>
          </cell>
          <cell r="AP672" t="str">
            <v>T2 N1 MX</v>
          </cell>
          <cell r="AV672">
            <v>45149</v>
          </cell>
          <cell r="AW672">
            <v>0.85069444444444442</v>
          </cell>
          <cell r="AX672">
            <v>0.92361111111111116</v>
          </cell>
          <cell r="AY672">
            <v>7.2916666666666671E-2</v>
          </cell>
          <cell r="AZ672">
            <v>8.0555555555555561E-2</v>
          </cell>
          <cell r="BA672">
            <v>0.4236111111111111</v>
          </cell>
          <cell r="BB672" t="str">
            <v>1.2/1.6*1.8/1.2*2.8</v>
          </cell>
          <cell r="BC672" t="str">
            <v>1.0/1.4*1.6/0.8*2.8</v>
          </cell>
          <cell r="BD672" t="str">
            <v>Manual</v>
          </cell>
          <cell r="BE672">
            <v>14</v>
          </cell>
          <cell r="BF672" t="str">
            <v>chandan</v>
          </cell>
          <cell r="BG672" t="str">
            <v>Y</v>
          </cell>
        </row>
        <row r="673">
          <cell r="A673" t="str">
            <v>FBR2A230258</v>
          </cell>
          <cell r="B673">
            <v>230258</v>
          </cell>
          <cell r="C673" t="str">
            <v>R&amp;D</v>
          </cell>
          <cell r="D673">
            <v>45152</v>
          </cell>
          <cell r="E673">
            <v>0.59027777777777779</v>
          </cell>
          <cell r="F673">
            <v>45139</v>
          </cell>
          <cell r="G673">
            <v>45152</v>
          </cell>
          <cell r="H673">
            <v>0.6694444444444444</v>
          </cell>
          <cell r="I673">
            <v>7.9166666666666663E-2</v>
          </cell>
          <cell r="J673">
            <v>5</v>
          </cell>
          <cell r="K673" t="str">
            <v>FCB-PROTOCOL-02</v>
          </cell>
          <cell r="L673" t="str">
            <v>OC018</v>
          </cell>
          <cell r="M673" t="str">
            <v>Y</v>
          </cell>
          <cell r="N673" t="str">
            <v>Ovary CC (R2A)</v>
          </cell>
          <cell r="O673" t="str">
            <v>Internal R&amp;D</v>
          </cell>
          <cell r="P673" t="str">
            <v>Q1 Passed</v>
          </cell>
          <cell r="Q673" t="str">
            <v>Q1 Passed</v>
          </cell>
          <cell r="R673" t="str">
            <v>Q1.5 Passed</v>
          </cell>
          <cell r="S673" t="str">
            <v>Q1.5 Rejected</v>
          </cell>
          <cell r="U673" t="str">
            <v>Yes</v>
          </cell>
          <cell r="V673" t="str">
            <v>No tumor. Only 1 fragment has few cells suspicious for tumor</v>
          </cell>
          <cell r="W673" t="str">
            <v>Private Hospital</v>
          </cell>
          <cell r="X673" t="str">
            <v>Mazumdar Shaw Medical Centre, Bangalore</v>
          </cell>
          <cell r="Y673" t="str">
            <v>Mazumdar Shaw Medical Centre, Bangalore</v>
          </cell>
          <cell r="Z673" t="str">
            <v>Dr Rohit Ranade, Bangalore</v>
          </cell>
          <cell r="AA673" t="str">
            <v>Ca Ovary</v>
          </cell>
          <cell r="AC673" t="str">
            <v>Ovary</v>
          </cell>
          <cell r="AD673" t="str">
            <v>Right Ovary</v>
          </cell>
          <cell r="AE673" t="str">
            <v>Female</v>
          </cell>
          <cell r="AF673">
            <v>54</v>
          </cell>
          <cell r="AG673" t="str">
            <v>N</v>
          </cell>
          <cell r="AH673">
            <v>4.3</v>
          </cell>
          <cell r="AI673" t="str">
            <v>Kalappa</v>
          </cell>
          <cell r="AJ673" t="str">
            <v>Surgery</v>
          </cell>
          <cell r="AK673" t="str">
            <v>Primary</v>
          </cell>
          <cell r="AV673">
            <v>45152</v>
          </cell>
          <cell r="AW673">
            <v>0.72083333333333333</v>
          </cell>
          <cell r="AX673">
            <v>0.78611111111111109</v>
          </cell>
          <cell r="AY673">
            <v>6.5277777777777782E-2</v>
          </cell>
          <cell r="AZ673">
            <v>0.11666666666666667</v>
          </cell>
          <cell r="BA673">
            <v>0.19583333333333333</v>
          </cell>
          <cell r="BB673" t="str">
            <v>0.2*0.8/1.6*2.2</v>
          </cell>
          <cell r="BC673" t="str">
            <v>0.2*0.8/1.6*2.2</v>
          </cell>
          <cell r="BD673" t="str">
            <v>Manual</v>
          </cell>
          <cell r="BE673">
            <v>14</v>
          </cell>
          <cell r="BF673" t="str">
            <v>Kokila</v>
          </cell>
          <cell r="BG673" t="str">
            <v>N</v>
          </cell>
        </row>
        <row r="674">
          <cell r="A674" t="str">
            <v>FBR1W230259</v>
          </cell>
          <cell r="B674">
            <v>230259</v>
          </cell>
          <cell r="C674" t="str">
            <v>R&amp;D</v>
          </cell>
          <cell r="D674">
            <v>45152</v>
          </cell>
          <cell r="E674">
            <v>0.625</v>
          </cell>
          <cell r="F674">
            <v>45139</v>
          </cell>
          <cell r="G674">
            <v>45152</v>
          </cell>
          <cell r="H674">
            <v>0.6694444444444444</v>
          </cell>
          <cell r="I674">
            <v>4.4444444444444446E-2</v>
          </cell>
          <cell r="J674">
            <v>0</v>
          </cell>
          <cell r="K674" t="str">
            <v>FCB-PROTOCOL-02</v>
          </cell>
          <cell r="L674" t="str">
            <v>BC021</v>
          </cell>
          <cell r="M674" t="str">
            <v>Y</v>
          </cell>
          <cell r="N674" t="str">
            <v>Biopsy Cabr-BSS (1W)</v>
          </cell>
          <cell r="O674" t="str">
            <v>Internal R&amp;D</v>
          </cell>
          <cell r="P674" t="str">
            <v>Q1 Passed</v>
          </cell>
          <cell r="Q674" t="str">
            <v>Q1 Passed</v>
          </cell>
          <cell r="R674" t="str">
            <v>Q1.5 Passed</v>
          </cell>
          <cell r="S674" t="str">
            <v>Q1.5 Rejected</v>
          </cell>
          <cell r="U674" t="str">
            <v>Yes</v>
          </cell>
          <cell r="V674" t="str">
            <v>No tumor</v>
          </cell>
          <cell r="W674" t="str">
            <v>Private Hospital</v>
          </cell>
          <cell r="X674" t="str">
            <v>Mazumdar Shaw Medical Centre, Bangalore</v>
          </cell>
          <cell r="Y674" t="str">
            <v>Mazumdar Shaw Medical Centre, Bangalore</v>
          </cell>
          <cell r="Z674" t="str">
            <v>Dr Akshita Singh</v>
          </cell>
          <cell r="AA674" t="str">
            <v>Ca Breast</v>
          </cell>
          <cell r="AC674" t="str">
            <v>Breast</v>
          </cell>
          <cell r="AD674" t="str">
            <v>Right Breast</v>
          </cell>
          <cell r="AE674" t="str">
            <v>Female</v>
          </cell>
          <cell r="AF674">
            <v>54</v>
          </cell>
          <cell r="AG674" t="str">
            <v>N</v>
          </cell>
          <cell r="AH674">
            <v>4.3</v>
          </cell>
          <cell r="AI674" t="str">
            <v>Kalappa</v>
          </cell>
          <cell r="AJ674" t="str">
            <v>Biopsy</v>
          </cell>
          <cell r="AK674" t="str">
            <v>Primary</v>
          </cell>
          <cell r="AV674">
            <v>45152</v>
          </cell>
          <cell r="AW674">
            <v>0.72222222222222221</v>
          </cell>
          <cell r="AX674">
            <v>0.76111111111111107</v>
          </cell>
          <cell r="AY674">
            <v>3.888888888888889E-2</v>
          </cell>
          <cell r="AZ674">
            <v>9.166666666666666E-2</v>
          </cell>
          <cell r="BA674">
            <v>0.1361111111111111</v>
          </cell>
          <cell r="BB674" t="str">
            <v>2 Fragment
1.6-2.2</v>
          </cell>
          <cell r="BC674" t="str">
            <v>2 Fragment
1.6-2.2</v>
          </cell>
          <cell r="BD674" t="str">
            <v>Manual</v>
          </cell>
          <cell r="BE674">
            <v>14</v>
          </cell>
          <cell r="BF674" t="str">
            <v>kuberan</v>
          </cell>
          <cell r="BG674" t="str">
            <v>Y</v>
          </cell>
        </row>
        <row r="675">
          <cell r="A675" t="str">
            <v>FBR1Z230260</v>
          </cell>
          <cell r="B675">
            <v>230260</v>
          </cell>
          <cell r="C675" t="str">
            <v>R&amp;D</v>
          </cell>
          <cell r="D675">
            <v>45152</v>
          </cell>
          <cell r="E675">
            <v>0.49652777777777779</v>
          </cell>
          <cell r="F675">
            <v>45139</v>
          </cell>
          <cell r="G675">
            <v>45152</v>
          </cell>
          <cell r="H675">
            <v>0.83125000000000004</v>
          </cell>
          <cell r="I675">
            <v>0.3347222222222222</v>
          </cell>
          <cell r="J675">
            <v>15</v>
          </cell>
          <cell r="K675" t="str">
            <v>FCB-PROTOCOL-01</v>
          </cell>
          <cell r="L675" t="str">
            <v>CLN/DBR/157</v>
          </cell>
          <cell r="M675" t="str">
            <v>Y</v>
          </cell>
          <cell r="N675" t="str">
            <v>CT+LD Nivo -NLD study (1Z)</v>
          </cell>
          <cell r="O675" t="str">
            <v>Internal R&amp;D</v>
          </cell>
          <cell r="P675" t="str">
            <v>Q1 Passed</v>
          </cell>
          <cell r="Q675" t="str">
            <v>Q1 Passed</v>
          </cell>
          <cell r="R675" t="str">
            <v>Q1.5 Passed</v>
          </cell>
          <cell r="S675" t="str">
            <v>Q1.5 Passed</v>
          </cell>
          <cell r="V675" t="str">
            <v>Tumor content 70-90%</v>
          </cell>
          <cell r="W675" t="str">
            <v>Clinic'les</v>
          </cell>
          <cell r="X675" t="str">
            <v>Clinic'les- DBR &amp; SK Hospital, Tirupati</v>
          </cell>
          <cell r="Y675" t="str">
            <v>DBR &amp; SK Hospital, Tirupati</v>
          </cell>
          <cell r="Z675" t="str">
            <v>Dr C Jayaprakash, Tirupati</v>
          </cell>
          <cell r="AA675" t="str">
            <v>HNSCC</v>
          </cell>
          <cell r="AC675" t="str">
            <v>Buccal mucosa</v>
          </cell>
          <cell r="AD675" t="str">
            <v>Left Buccal Mucosa</v>
          </cell>
          <cell r="AE675" t="str">
            <v>Female</v>
          </cell>
          <cell r="AF675">
            <v>75</v>
          </cell>
          <cell r="AG675" t="str">
            <v>N</v>
          </cell>
          <cell r="AH675">
            <v>6.8</v>
          </cell>
          <cell r="AI675" t="str">
            <v>Maruthi</v>
          </cell>
          <cell r="AJ675" t="str">
            <v>Surgery</v>
          </cell>
          <cell r="AK675" t="str">
            <v>Primary</v>
          </cell>
          <cell r="AN675" t="str">
            <v>II</v>
          </cell>
          <cell r="AP675" t="str">
            <v>T2 N0 MX</v>
          </cell>
          <cell r="AV675">
            <v>45152</v>
          </cell>
          <cell r="AW675">
            <v>0.84027777777777779</v>
          </cell>
          <cell r="AX675">
            <v>0.90833333333333333</v>
          </cell>
          <cell r="AY675">
            <v>6.805555555555555E-2</v>
          </cell>
          <cell r="AZ675">
            <v>7.7083333333333337E-2</v>
          </cell>
          <cell r="BA675">
            <v>0.41180555555555554</v>
          </cell>
          <cell r="BB675" t="str">
            <v>0.2/0.3*0.8*2.5/1.8</v>
          </cell>
          <cell r="BC675" t="str">
            <v>0.2/0.3*0.8*2.5/1.8</v>
          </cell>
          <cell r="BD675" t="str">
            <v>Vibratome</v>
          </cell>
          <cell r="BE675">
            <v>14</v>
          </cell>
          <cell r="BF675" t="str">
            <v>kuberan</v>
          </cell>
          <cell r="BG675" t="str">
            <v>Y</v>
          </cell>
        </row>
        <row r="676">
          <cell r="A676" t="str">
            <v>FBR1Y230261</v>
          </cell>
          <cell r="B676">
            <v>230261</v>
          </cell>
          <cell r="C676" t="str">
            <v>R&amp;D</v>
          </cell>
          <cell r="D676">
            <v>45154</v>
          </cell>
          <cell r="E676">
            <v>0.52222222222222225</v>
          </cell>
          <cell r="F676">
            <v>45139</v>
          </cell>
          <cell r="G676">
            <v>45154</v>
          </cell>
          <cell r="H676">
            <v>0.66597222222222219</v>
          </cell>
          <cell r="I676">
            <v>0.14374999999999999</v>
          </cell>
          <cell r="J676">
            <v>2</v>
          </cell>
          <cell r="K676" t="str">
            <v>FCB-PROTOCOL-01</v>
          </cell>
          <cell r="L676" t="str">
            <v>VYD/195</v>
          </cell>
          <cell r="M676" t="str">
            <v>Y</v>
          </cell>
          <cell r="N676" t="str">
            <v>CCS Study (1Y)</v>
          </cell>
          <cell r="O676" t="str">
            <v>Internal R&amp;D</v>
          </cell>
          <cell r="P676" t="str">
            <v>Q1 Passed</v>
          </cell>
          <cell r="Q676" t="str">
            <v>Q1 Passed</v>
          </cell>
          <cell r="R676" t="str">
            <v>Q1.5 Passed</v>
          </cell>
          <cell r="S676" t="str">
            <v>Q1.5 Passed</v>
          </cell>
          <cell r="V676" t="str">
            <v>Tumor content 65-80%</v>
          </cell>
          <cell r="W676" t="str">
            <v>Private Hospital</v>
          </cell>
          <cell r="X676" t="str">
            <v>Vydehi Hospital, Bangalore</v>
          </cell>
          <cell r="Y676" t="str">
            <v>Vydehi Hospital, Bangalore</v>
          </cell>
          <cell r="Z676" t="str">
            <v>Dr Amritha Prabha, Bangalore</v>
          </cell>
          <cell r="AA676" t="str">
            <v>HNSCC</v>
          </cell>
          <cell r="AC676" t="str">
            <v>Buccal mucosa</v>
          </cell>
          <cell r="AD676" t="str">
            <v>Right Buccal Mucosa</v>
          </cell>
          <cell r="AE676" t="str">
            <v>Male</v>
          </cell>
          <cell r="AF676">
            <v>48</v>
          </cell>
          <cell r="AG676" t="str">
            <v>N</v>
          </cell>
          <cell r="AH676">
            <v>4.5999999999999996</v>
          </cell>
          <cell r="AI676" t="str">
            <v>Kalappa</v>
          </cell>
          <cell r="AJ676" t="str">
            <v>Surgery</v>
          </cell>
          <cell r="AK676" t="str">
            <v>Primary</v>
          </cell>
          <cell r="AN676" t="str">
            <v>III</v>
          </cell>
          <cell r="AO676">
            <v>2</v>
          </cell>
          <cell r="AP676" t="str">
            <v>pT2N1</v>
          </cell>
          <cell r="AV676">
            <v>45154</v>
          </cell>
          <cell r="AW676">
            <v>0.68819444444444444</v>
          </cell>
          <cell r="AX676">
            <v>0.76249999999999996</v>
          </cell>
          <cell r="AY676">
            <v>7.4305555555555555E-2</v>
          </cell>
          <cell r="AZ676">
            <v>9.6527777777777782E-2</v>
          </cell>
          <cell r="BA676">
            <v>0.24027777777777778</v>
          </cell>
          <cell r="BB676" t="str">
            <v>0.4/0.6*1.0/0.6*1.6</v>
          </cell>
          <cell r="BC676" t="str">
            <v>0.4/0.6*1.0/0.6*1.6</v>
          </cell>
          <cell r="BD676" t="str">
            <v>Vibratome</v>
          </cell>
          <cell r="BE676">
            <v>14</v>
          </cell>
          <cell r="BF676" t="str">
            <v>kuberan</v>
          </cell>
          <cell r="BG676" t="str">
            <v>Y</v>
          </cell>
        </row>
        <row r="677">
          <cell r="A677" t="str">
            <v>FBR2G230261</v>
          </cell>
          <cell r="B677">
            <v>230261</v>
          </cell>
          <cell r="C677" t="str">
            <v>R&amp;D</v>
          </cell>
          <cell r="D677">
            <v>45154</v>
          </cell>
          <cell r="E677">
            <v>0.52222222222222225</v>
          </cell>
          <cell r="F677">
            <v>45139</v>
          </cell>
          <cell r="G677">
            <v>45154</v>
          </cell>
          <cell r="H677">
            <v>0.66597222222222219</v>
          </cell>
          <cell r="I677">
            <v>0.14374999999999999</v>
          </cell>
          <cell r="J677">
            <v>2</v>
          </cell>
          <cell r="K677" t="str">
            <v>FCB-PROTOCOL-01</v>
          </cell>
          <cell r="L677" t="str">
            <v>VYD/195</v>
          </cell>
          <cell r="M677" t="str">
            <v>Y</v>
          </cell>
          <cell r="N677" t="str">
            <v>Microfragments (2G)</v>
          </cell>
          <cell r="O677" t="str">
            <v>Internal R&amp;D</v>
          </cell>
          <cell r="P677" t="str">
            <v>Q1 Passed</v>
          </cell>
          <cell r="Q677" t="str">
            <v>Q1 Passed</v>
          </cell>
          <cell r="R677" t="str">
            <v>Q1.5 Passed</v>
          </cell>
          <cell r="S677" t="str">
            <v>Q1.5 Passed</v>
          </cell>
          <cell r="V677" t="str">
            <v>Tumor content 65-80%</v>
          </cell>
          <cell r="W677" t="str">
            <v>Private Hospital</v>
          </cell>
          <cell r="X677" t="str">
            <v>Vydehi Hospital, Bangalore</v>
          </cell>
          <cell r="Y677" t="str">
            <v>Vydehi Hospital, Bangalore</v>
          </cell>
          <cell r="Z677" t="str">
            <v>Dr Amritha Prabha, Bangalore</v>
          </cell>
          <cell r="AA677" t="str">
            <v>HNSCC</v>
          </cell>
          <cell r="AC677" t="str">
            <v>Buccal mucosa</v>
          </cell>
          <cell r="AD677" t="str">
            <v>Right Buccal Mucosa</v>
          </cell>
          <cell r="AE677" t="str">
            <v>Male</v>
          </cell>
          <cell r="AF677">
            <v>48</v>
          </cell>
          <cell r="AG677" t="str">
            <v>N</v>
          </cell>
          <cell r="AH677">
            <v>4.5999999999999996</v>
          </cell>
          <cell r="AI677" t="str">
            <v>Kalappa</v>
          </cell>
          <cell r="AJ677" t="str">
            <v>Surgery</v>
          </cell>
          <cell r="AK677" t="str">
            <v>Primary</v>
          </cell>
          <cell r="AN677" t="str">
            <v>III</v>
          </cell>
          <cell r="AO677">
            <v>2</v>
          </cell>
          <cell r="AP677" t="str">
            <v>pT2N1</v>
          </cell>
          <cell r="AV677">
            <v>45154</v>
          </cell>
          <cell r="AW677">
            <v>0.68819444444444444</v>
          </cell>
          <cell r="AX677">
            <v>0.76249999999999996</v>
          </cell>
          <cell r="AY677">
            <v>7.4305555555555555E-2</v>
          </cell>
          <cell r="AZ677">
            <v>9.6527777777777782E-2</v>
          </cell>
          <cell r="BA677">
            <v>0.24027777777777778</v>
          </cell>
          <cell r="BB677" t="str">
            <v>0.4/0.6*1.0/0.6*1.6</v>
          </cell>
          <cell r="BC677" t="str">
            <v>0.4/0.6*1.0/0.6*1.6</v>
          </cell>
          <cell r="BD677" t="str">
            <v>Vibratome</v>
          </cell>
          <cell r="BE677">
            <v>14</v>
          </cell>
        </row>
        <row r="678">
          <cell r="A678" t="str">
            <v>FBR1W230262</v>
          </cell>
          <cell r="B678">
            <v>230262</v>
          </cell>
          <cell r="C678" t="str">
            <v>R&amp;D</v>
          </cell>
          <cell r="D678">
            <v>45155</v>
          </cell>
          <cell r="E678">
            <v>0.5083333333333333</v>
          </cell>
          <cell r="F678">
            <v>45139</v>
          </cell>
          <cell r="G678">
            <v>45155</v>
          </cell>
          <cell r="H678">
            <v>0.63749999999999996</v>
          </cell>
          <cell r="I678">
            <v>0.12916666666666668</v>
          </cell>
          <cell r="J678">
            <v>0</v>
          </cell>
          <cell r="K678" t="str">
            <v>FCB-PROTOCOL-01</v>
          </cell>
          <cell r="L678" t="str">
            <v>VYD/197</v>
          </cell>
          <cell r="M678" t="str">
            <v>Y</v>
          </cell>
          <cell r="N678" t="str">
            <v>Biopsy Cabr-BSS (1W)</v>
          </cell>
          <cell r="O678" t="str">
            <v>Internal R&amp;D</v>
          </cell>
          <cell r="P678" t="str">
            <v>Q1 Passed</v>
          </cell>
          <cell r="Q678" t="str">
            <v>Q1 Passed</v>
          </cell>
          <cell r="R678" t="str">
            <v>Q1.5 Passed</v>
          </cell>
          <cell r="S678" t="str">
            <v>Q1.5 Rejected</v>
          </cell>
          <cell r="V678" t="str">
            <v>No tumor</v>
          </cell>
          <cell r="W678" t="str">
            <v>Private Hospital</v>
          </cell>
          <cell r="X678" t="str">
            <v>Vydehi Hospital, Bangalore</v>
          </cell>
          <cell r="Y678" t="str">
            <v>Vydehi Hospital, Bangalore</v>
          </cell>
          <cell r="Z678" t="str">
            <v>Dr Amritha Prabha, Bangalore</v>
          </cell>
          <cell r="AA678" t="str">
            <v>Ca Breast</v>
          </cell>
          <cell r="AC678" t="str">
            <v>Breast</v>
          </cell>
          <cell r="AD678" t="str">
            <v>Left Breast</v>
          </cell>
          <cell r="AE678" t="str">
            <v>Female</v>
          </cell>
          <cell r="AF678">
            <v>52</v>
          </cell>
          <cell r="AG678" t="str">
            <v>N</v>
          </cell>
          <cell r="AH678">
            <v>5.0999999999999996</v>
          </cell>
          <cell r="AI678" t="str">
            <v>Partha</v>
          </cell>
          <cell r="AJ678" t="str">
            <v>Biopsy</v>
          </cell>
          <cell r="AK678" t="str">
            <v>Primary</v>
          </cell>
          <cell r="AV678">
            <v>45155</v>
          </cell>
          <cell r="AW678">
            <v>0.68402777777777779</v>
          </cell>
          <cell r="AX678">
            <v>0.74305555555555558</v>
          </cell>
          <cell r="AY678">
            <v>5.9027777777777776E-2</v>
          </cell>
          <cell r="AZ678">
            <v>0.10555555555555556</v>
          </cell>
          <cell r="BA678">
            <v>0.23472222222222222</v>
          </cell>
          <cell r="BB678" t="str">
            <v>0.1*0.1*2.4
0.1*0.1*0.8
0.1*0.1*1.0
0.1*0.1*0.2
0.1*0.1*1.6
0.1*0.*2.4
0.1*0.1*1.0</v>
          </cell>
          <cell r="BC678" t="str">
            <v>0.1*0.1*2.4
0.1*0.1*0.8
0.1*0.1*1.0
0.1*0.1*0.2
0.1*0.1*1.6
0.1*0.*2.4
0.1*0.1*1.0</v>
          </cell>
          <cell r="BD678" t="str">
            <v>Manual</v>
          </cell>
          <cell r="BE678">
            <v>14</v>
          </cell>
          <cell r="BF678" t="str">
            <v>Pallavi</v>
          </cell>
          <cell r="BG678" t="str">
            <v>Y</v>
          </cell>
        </row>
        <row r="679">
          <cell r="A679" t="str">
            <v>FBR1Q230263</v>
          </cell>
          <cell r="B679">
            <v>230263</v>
          </cell>
          <cell r="C679" t="str">
            <v>R&amp;D</v>
          </cell>
          <cell r="D679">
            <v>45155</v>
          </cell>
          <cell r="E679">
            <v>0.55902777777777779</v>
          </cell>
          <cell r="F679">
            <v>45139</v>
          </cell>
          <cell r="G679">
            <v>45155</v>
          </cell>
          <cell r="H679">
            <v>0.63749999999999996</v>
          </cell>
          <cell r="I679">
            <v>7.8472222222222221E-2</v>
          </cell>
          <cell r="J679">
            <v>10</v>
          </cell>
          <cell r="K679" t="str">
            <v>FCB-PROTOCOL-01</v>
          </cell>
          <cell r="L679" t="str">
            <v>VYD/196</v>
          </cell>
          <cell r="M679" t="str">
            <v>Y</v>
          </cell>
          <cell r="N679" t="str">
            <v>COSv4.2_CaBR(1Q-Unknown)</v>
          </cell>
          <cell r="O679" t="str">
            <v>Internal R&amp;D</v>
          </cell>
          <cell r="P679" t="str">
            <v>Q1 Passed</v>
          </cell>
          <cell r="Q679" t="str">
            <v>Q1 Passed</v>
          </cell>
          <cell r="R679" t="str">
            <v>Q1.5 Passed</v>
          </cell>
          <cell r="S679" t="str">
            <v>Q1.5 Passed</v>
          </cell>
          <cell r="V679" t="str">
            <v>Tumor content 0-75%</v>
          </cell>
          <cell r="W679" t="str">
            <v>Private Hospital</v>
          </cell>
          <cell r="X679" t="str">
            <v>Vydehi Hospital, Bangalore</v>
          </cell>
          <cell r="Y679" t="str">
            <v>Vydehi Hospital, Bangalore</v>
          </cell>
          <cell r="Z679" t="str">
            <v>Dr Amritha Prabha, Bangalore</v>
          </cell>
          <cell r="AA679" t="str">
            <v>Ca Breast</v>
          </cell>
          <cell r="AB679" t="str">
            <v>ER +
PR +
Her2 -</v>
          </cell>
          <cell r="AC679" t="str">
            <v>Breast</v>
          </cell>
          <cell r="AD679" t="str">
            <v>Right Breast</v>
          </cell>
          <cell r="AE679" t="str">
            <v>Female</v>
          </cell>
          <cell r="AF679">
            <v>52</v>
          </cell>
          <cell r="AG679" t="str">
            <v>N</v>
          </cell>
          <cell r="AH679">
            <v>5.0999999999999996</v>
          </cell>
          <cell r="AI679" t="str">
            <v>Partha</v>
          </cell>
          <cell r="AJ679" t="str">
            <v>Surgery</v>
          </cell>
          <cell r="AK679" t="str">
            <v>Primary</v>
          </cell>
          <cell r="AN679" t="str">
            <v>IIb</v>
          </cell>
          <cell r="AO679">
            <v>3</v>
          </cell>
          <cell r="AP679" t="str">
            <v>pT3N0</v>
          </cell>
          <cell r="AV679">
            <v>45155</v>
          </cell>
          <cell r="AW679">
            <v>0.69444444444444442</v>
          </cell>
          <cell r="AX679">
            <v>0.77847222222222223</v>
          </cell>
          <cell r="AY679">
            <v>8.4027777777777785E-2</v>
          </cell>
          <cell r="AZ679">
            <v>0.14097222222222222</v>
          </cell>
          <cell r="BA679">
            <v>0.21944444444444444</v>
          </cell>
          <cell r="BB679" t="str">
            <v>1.2*1.8*2.6</v>
          </cell>
          <cell r="BC679" t="str">
            <v>1.2/1.0*1.6/1.8*2.2</v>
          </cell>
          <cell r="BD679" t="str">
            <v>Manual</v>
          </cell>
          <cell r="BE679">
            <v>14</v>
          </cell>
          <cell r="BF679" t="str">
            <v>Dharani</v>
          </cell>
          <cell r="BG679" t="str">
            <v>Y</v>
          </cell>
        </row>
        <row r="680">
          <cell r="A680" t="str">
            <v>FB2A230264</v>
          </cell>
          <cell r="B680">
            <v>230264</v>
          </cell>
          <cell r="C680" t="str">
            <v>R&amp;D</v>
          </cell>
          <cell r="D680">
            <v>45156</v>
          </cell>
          <cell r="E680">
            <v>0.49305555555555558</v>
          </cell>
          <cell r="F680">
            <v>45139</v>
          </cell>
          <cell r="G680">
            <v>45156</v>
          </cell>
          <cell r="H680">
            <v>0.66874999999999996</v>
          </cell>
          <cell r="I680">
            <v>0.17569444444444443</v>
          </cell>
          <cell r="J680">
            <v>10</v>
          </cell>
          <cell r="K680" t="str">
            <v>FCB-PROTOCOL-02</v>
          </cell>
          <cell r="L680" t="str">
            <v>CLN/JSS/31</v>
          </cell>
          <cell r="M680" t="str">
            <v>Y</v>
          </cell>
          <cell r="N680" t="str">
            <v>Ovary CC (R2A)</v>
          </cell>
          <cell r="O680" t="str">
            <v>Internal R&amp;D</v>
          </cell>
          <cell r="P680" t="str">
            <v>Q1 Passed</v>
          </cell>
          <cell r="Q680" t="str">
            <v>Q1 Passed</v>
          </cell>
          <cell r="R680" t="str">
            <v>Q1.5 Passed</v>
          </cell>
          <cell r="S680" t="str">
            <v>Q1.5 Rejected</v>
          </cell>
          <cell r="V680" t="str">
            <v>No tumor</v>
          </cell>
          <cell r="W680" t="str">
            <v>Clinic'les</v>
          </cell>
          <cell r="X680" t="str">
            <v>Clinic'les- Dr Ravi Krishnappa, Mysore</v>
          </cell>
          <cell r="Y680" t="str">
            <v>JSS Hospital, Mysore</v>
          </cell>
          <cell r="Z680" t="str">
            <v>Dr Ravi Krishnappa, Mysore</v>
          </cell>
          <cell r="AA680" t="str">
            <v>Ca Ovary</v>
          </cell>
          <cell r="AC680" t="str">
            <v>Ovary</v>
          </cell>
          <cell r="AD680" t="str">
            <v>Ovary</v>
          </cell>
          <cell r="AE680" t="str">
            <v>Female</v>
          </cell>
          <cell r="AF680">
            <v>61</v>
          </cell>
          <cell r="AG680" t="str">
            <v>N</v>
          </cell>
          <cell r="AH680">
            <v>5.6</v>
          </cell>
          <cell r="AI680" t="str">
            <v>Maruthi</v>
          </cell>
          <cell r="AJ680" t="str">
            <v>Surgery</v>
          </cell>
          <cell r="AK680" t="str">
            <v>Primary</v>
          </cell>
          <cell r="AL680" t="str">
            <v>Chemotherapy</v>
          </cell>
          <cell r="AQ680">
            <v>6</v>
          </cell>
          <cell r="AR680" t="str">
            <v>Pacli+Carbo+Bevasizumab</v>
          </cell>
          <cell r="AV680">
            <v>45156</v>
          </cell>
          <cell r="AW680">
            <v>0.69374999999999998</v>
          </cell>
          <cell r="AX680">
            <v>0.75694444444444442</v>
          </cell>
          <cell r="AY680">
            <v>6.3194444444444442E-2</v>
          </cell>
          <cell r="AZ680">
            <v>8.819444444444445E-2</v>
          </cell>
          <cell r="BA680">
            <v>0.2638888888888889</v>
          </cell>
          <cell r="BB680" t="str">
            <v>0.6*0.8/1.6*2.5</v>
          </cell>
          <cell r="BC680" t="str">
            <v>0.6*0.8/1.6*2.5</v>
          </cell>
          <cell r="BD680" t="str">
            <v>Manual</v>
          </cell>
          <cell r="BE680">
            <v>14</v>
          </cell>
          <cell r="BF680" t="str">
            <v>Dharani</v>
          </cell>
          <cell r="BG680" t="str">
            <v>Y</v>
          </cell>
        </row>
        <row r="681">
          <cell r="A681" t="str">
            <v>FBR1W230265</v>
          </cell>
          <cell r="B681">
            <v>230265</v>
          </cell>
          <cell r="C681" t="str">
            <v>R&amp;D</v>
          </cell>
          <cell r="D681">
            <v>45157</v>
          </cell>
          <cell r="E681">
            <v>0.53819444444444442</v>
          </cell>
          <cell r="F681">
            <v>45139</v>
          </cell>
          <cell r="G681">
            <v>45157</v>
          </cell>
          <cell r="H681">
            <v>0.73055555555555551</v>
          </cell>
          <cell r="I681">
            <v>0.19236111111111112</v>
          </cell>
          <cell r="J681">
            <v>5</v>
          </cell>
          <cell r="K681" t="str">
            <v>FCB-PROTOCOL-02</v>
          </cell>
          <cell r="L681" t="str">
            <v>CLN/JSS/32</v>
          </cell>
          <cell r="M681" t="str">
            <v>Y</v>
          </cell>
          <cell r="N681" t="str">
            <v>Biopsy Cabr-BSS (1W)</v>
          </cell>
          <cell r="O681" t="str">
            <v>Internal R&amp;D</v>
          </cell>
          <cell r="P681" t="str">
            <v>Q1 Passed</v>
          </cell>
          <cell r="Q681" t="str">
            <v>Q1 Passed</v>
          </cell>
          <cell r="R681" t="str">
            <v>Q1.5 Passed</v>
          </cell>
          <cell r="S681" t="str">
            <v>Q1.5 Passed</v>
          </cell>
          <cell r="V681" t="str">
            <v>Tumor content 2-80%</v>
          </cell>
          <cell r="W681" t="str">
            <v>Clinic'les</v>
          </cell>
          <cell r="X681" t="str">
            <v>Clinic'les- Dr Ravi Krishnappa, Mysore</v>
          </cell>
          <cell r="Y681" t="str">
            <v>JSS Hospital, Mysore</v>
          </cell>
          <cell r="Z681" t="str">
            <v>Dr Ravi Krishnappa, Mysore</v>
          </cell>
          <cell r="AA681" t="str">
            <v>Ca Breast</v>
          </cell>
          <cell r="AC681" t="str">
            <v>Breast</v>
          </cell>
          <cell r="AD681" t="str">
            <v>right breast</v>
          </cell>
          <cell r="AE681" t="str">
            <v>Female</v>
          </cell>
          <cell r="AF681">
            <v>48</v>
          </cell>
          <cell r="AG681" t="str">
            <v>N</v>
          </cell>
          <cell r="AH681">
            <v>4</v>
          </cell>
          <cell r="AI681" t="str">
            <v>Partha</v>
          </cell>
          <cell r="AJ681" t="str">
            <v>Biopsy</v>
          </cell>
          <cell r="AK681" t="str">
            <v>Primary</v>
          </cell>
          <cell r="AV681">
            <v>45157</v>
          </cell>
          <cell r="AW681">
            <v>0.73958333333333337</v>
          </cell>
          <cell r="AX681">
            <v>0.78472222222222221</v>
          </cell>
          <cell r="AY681">
            <v>4.5138888888888888E-2</v>
          </cell>
          <cell r="AZ681">
            <v>5.4166666666666669E-2</v>
          </cell>
          <cell r="BA681">
            <v>0.24652777777777779</v>
          </cell>
          <cell r="BB681" t="str">
            <v>0.3-0.4*1.6*1.5
0.2*0.8*0.3
0.2*0.4*1.0</v>
          </cell>
          <cell r="BC681" t="str">
            <v>0.1-0.4*0.8*1.4
0.1-0.2*0.3-0.4*1.0
0.1-0.2*0.3-0.4*0.8</v>
          </cell>
          <cell r="BD681" t="str">
            <v>Manual</v>
          </cell>
          <cell r="BE681">
            <v>14</v>
          </cell>
          <cell r="BF681" t="str">
            <v>kuberan</v>
          </cell>
          <cell r="BG681" t="str">
            <v>Y</v>
          </cell>
        </row>
        <row r="682">
          <cell r="A682" t="str">
            <v>FBR1K230266</v>
          </cell>
          <cell r="B682">
            <v>230266</v>
          </cell>
          <cell r="C682" t="str">
            <v>R&amp;D</v>
          </cell>
          <cell r="D682">
            <v>45159</v>
          </cell>
          <cell r="E682">
            <v>0.36249999999999999</v>
          </cell>
          <cell r="F682">
            <v>45139</v>
          </cell>
          <cell r="G682">
            <v>45159</v>
          </cell>
          <cell r="H682">
            <v>0.44027777777777777</v>
          </cell>
          <cell r="I682">
            <v>7.7777777777777779E-2</v>
          </cell>
          <cell r="J682">
            <v>6</v>
          </cell>
          <cell r="K682" t="str">
            <v>FCB-PROTOCOL-02</v>
          </cell>
          <cell r="L682" t="str">
            <v>CLN/PRA/231</v>
          </cell>
          <cell r="M682" t="str">
            <v>Y</v>
          </cell>
          <cell r="N682" t="str">
            <v>DMS_v4(1K)</v>
          </cell>
          <cell r="O682" t="str">
            <v>Internal R&amp;D</v>
          </cell>
          <cell r="P682" t="str">
            <v>Q1 Passed</v>
          </cell>
          <cell r="Q682" t="str">
            <v>Q1 Passed</v>
          </cell>
          <cell r="R682" t="str">
            <v>Compromised</v>
          </cell>
          <cell r="S682" t="str">
            <v>Q1.5 Passed</v>
          </cell>
          <cell r="V682" t="str">
            <v>Tumor content 0-65%</v>
          </cell>
          <cell r="W682" t="str">
            <v>Private Hospital</v>
          </cell>
          <cell r="X682" t="str">
            <v>Dr Prakash BV, Bangalore</v>
          </cell>
          <cell r="Y682" t="str">
            <v>Sri Lakshmi Hospital, Bangalore</v>
          </cell>
          <cell r="Z682" t="str">
            <v>Dr Prakash BV, Bangalore</v>
          </cell>
          <cell r="AA682" t="str">
            <v>HNSCC</v>
          </cell>
          <cell r="AC682" t="str">
            <v>GBS</v>
          </cell>
          <cell r="AD682" t="str">
            <v>Left Lower GBS</v>
          </cell>
          <cell r="AE682" t="str">
            <v>Female</v>
          </cell>
          <cell r="AF682">
            <v>50</v>
          </cell>
          <cell r="AG682" t="str">
            <v>N</v>
          </cell>
          <cell r="AH682">
            <v>4.5</v>
          </cell>
          <cell r="AI682" t="str">
            <v>Maruthi</v>
          </cell>
          <cell r="AJ682" t="str">
            <v>Surgery</v>
          </cell>
          <cell r="AK682" t="str">
            <v>Primary</v>
          </cell>
          <cell r="AO682">
            <v>2</v>
          </cell>
          <cell r="AP682" t="str">
            <v>pT4N2bM0</v>
          </cell>
          <cell r="AV682">
            <v>45159</v>
          </cell>
          <cell r="AW682">
            <v>0.46875</v>
          </cell>
          <cell r="AX682">
            <v>0.54166666666666663</v>
          </cell>
          <cell r="AY682">
            <v>7.2916666666666671E-2</v>
          </cell>
          <cell r="AZ682">
            <v>0.10138888888888889</v>
          </cell>
          <cell r="BA682">
            <v>0.17916666666666667</v>
          </cell>
          <cell r="BB682" t="str">
            <v>0.6*1.4*2.0
0.4*1.8*1.6</v>
          </cell>
          <cell r="BC682" t="str">
            <v>0.6*1.4*2.0
0.4*1.8*1.6</v>
          </cell>
          <cell r="BD682" t="str">
            <v>Manual</v>
          </cell>
          <cell r="BE682">
            <v>14</v>
          </cell>
          <cell r="BF682" t="str">
            <v>Pallavi</v>
          </cell>
          <cell r="BG682" t="str">
            <v>Y</v>
          </cell>
        </row>
        <row r="683">
          <cell r="A683" t="str">
            <v>FBR2A230267</v>
          </cell>
          <cell r="B683">
            <v>230267</v>
          </cell>
          <cell r="C683" t="str">
            <v>R&amp;D</v>
          </cell>
          <cell r="D683">
            <v>45159</v>
          </cell>
          <cell r="E683">
            <v>0.46736111111111112</v>
          </cell>
          <cell r="F683">
            <v>45139</v>
          </cell>
          <cell r="G683">
            <v>45159</v>
          </cell>
          <cell r="H683">
            <v>0.58333333333333337</v>
          </cell>
          <cell r="I683">
            <v>0.11597222222222223</v>
          </cell>
          <cell r="J683">
            <v>4</v>
          </cell>
          <cell r="K683" t="str">
            <v>FCB-PROTOCOL-02</v>
          </cell>
          <cell r="L683" t="str">
            <v>OC019</v>
          </cell>
          <cell r="M683" t="str">
            <v>Y</v>
          </cell>
          <cell r="N683" t="str">
            <v>Ovary CC (R2A)</v>
          </cell>
          <cell r="O683" t="str">
            <v>Internal R&amp;D</v>
          </cell>
          <cell r="P683" t="str">
            <v>Q1 Passed</v>
          </cell>
          <cell r="Q683" t="str">
            <v>Q1 Rejected</v>
          </cell>
          <cell r="R683" t="str">
            <v>Q1.5 Passed</v>
          </cell>
          <cell r="S683" t="str">
            <v>Q1.5 Rejected</v>
          </cell>
          <cell r="T683" t="str">
            <v>Blood not collected</v>
          </cell>
          <cell r="U683" t="str">
            <v>Yes</v>
          </cell>
          <cell r="V683" t="str">
            <v>No tumor</v>
          </cell>
          <cell r="W683" t="str">
            <v>Private Hospital</v>
          </cell>
          <cell r="X683" t="str">
            <v>Mazumdar Shaw Medical Centre, Bangalore</v>
          </cell>
          <cell r="Y683" t="str">
            <v>Mazumdar Shaw Medical Centre, Bangalore</v>
          </cell>
          <cell r="Z683" t="str">
            <v>Dr Rohit Ranade, Bangalore</v>
          </cell>
          <cell r="AA683" t="str">
            <v>Ca Ovary</v>
          </cell>
          <cell r="AC683" t="str">
            <v>Ovary</v>
          </cell>
          <cell r="AD683" t="str">
            <v>Left Ovary</v>
          </cell>
          <cell r="AE683" t="str">
            <v>Female</v>
          </cell>
          <cell r="AF683">
            <v>38</v>
          </cell>
          <cell r="AG683" t="str">
            <v>N</v>
          </cell>
          <cell r="AH683">
            <v>4.9000000000000004</v>
          </cell>
          <cell r="AI683" t="str">
            <v>Shashi</v>
          </cell>
          <cell r="AJ683" t="str">
            <v>Surgery</v>
          </cell>
          <cell r="AK683" t="str">
            <v>Primary</v>
          </cell>
          <cell r="AL683" t="str">
            <v>Chemotherapy</v>
          </cell>
          <cell r="AQ683">
            <v>3</v>
          </cell>
          <cell r="AR683" t="str">
            <v>NACT, Pacli+Carbo</v>
          </cell>
          <cell r="AV683">
            <v>45159</v>
          </cell>
          <cell r="AW683">
            <v>0.60069444444444442</v>
          </cell>
          <cell r="AX683">
            <v>0.64583333333333337</v>
          </cell>
          <cell r="AY683">
            <v>4.5138888888888888E-2</v>
          </cell>
          <cell r="AZ683">
            <v>6.25E-2</v>
          </cell>
          <cell r="BA683">
            <v>0.17847222222222223</v>
          </cell>
          <cell r="BB683" t="str">
            <v>0.2/0.4*0.4/0.6*0.8/1.2</v>
          </cell>
          <cell r="BC683" t="str">
            <v>0.2/0.4*0.4/0.6*0.8/1.2</v>
          </cell>
          <cell r="BD683" t="str">
            <v>Manual</v>
          </cell>
          <cell r="BE683">
            <v>14</v>
          </cell>
          <cell r="BF683" t="str">
            <v>Syam</v>
          </cell>
          <cell r="BG683" t="str">
            <v>N</v>
          </cell>
        </row>
        <row r="684">
          <cell r="A684" t="str">
            <v>FBR2C230268</v>
          </cell>
          <cell r="B684">
            <v>230268</v>
          </cell>
          <cell r="C684" t="str">
            <v>R&amp;D</v>
          </cell>
          <cell r="D684">
            <v>45159</v>
          </cell>
          <cell r="E684">
            <v>0.49305555555555558</v>
          </cell>
          <cell r="F684">
            <v>45139</v>
          </cell>
          <cell r="G684">
            <v>45159</v>
          </cell>
          <cell r="H684">
            <v>0.58333333333333337</v>
          </cell>
          <cell r="I684">
            <v>9.0277777777777776E-2</v>
          </cell>
          <cell r="J684">
            <v>10</v>
          </cell>
          <cell r="K684" t="str">
            <v>FCB-PROTOCOL-02</v>
          </cell>
          <cell r="L684" t="str">
            <v>RC035</v>
          </cell>
          <cell r="M684" t="str">
            <v>Y</v>
          </cell>
          <cell r="P684" t="str">
            <v>Q1 Passed</v>
          </cell>
          <cell r="Q684" t="str">
            <v>Q1 Passed</v>
          </cell>
          <cell r="R684" t="str">
            <v>Q1.5 Passed</v>
          </cell>
          <cell r="S684" t="str">
            <v>Q1.5 Passed</v>
          </cell>
          <cell r="V684" t="str">
            <v>Tumor content 60-90%</v>
          </cell>
          <cell r="W684" t="str">
            <v>Private Hospital</v>
          </cell>
          <cell r="X684" t="str">
            <v>Mazumdar Shaw Medical Centre, Bangalore</v>
          </cell>
          <cell r="Y684" t="str">
            <v>Mazumdar Shaw Medical Centre, Bangalore</v>
          </cell>
          <cell r="Z684" t="str">
            <v>Dr Saurabh Bhargav, Bangalore</v>
          </cell>
          <cell r="AA684" t="str">
            <v>RCC</v>
          </cell>
          <cell r="AC684" t="str">
            <v>Renal</v>
          </cell>
          <cell r="AD684" t="str">
            <v>Left Renal Mass</v>
          </cell>
          <cell r="AE684" t="str">
            <v>Male</v>
          </cell>
          <cell r="AF684">
            <v>69</v>
          </cell>
          <cell r="AG684" t="str">
            <v>N</v>
          </cell>
          <cell r="AH684">
            <v>4.9000000000000004</v>
          </cell>
          <cell r="AI684" t="str">
            <v>Shashi</v>
          </cell>
          <cell r="AJ684" t="str">
            <v>Surgery</v>
          </cell>
          <cell r="AK684" t="str">
            <v>Primary</v>
          </cell>
          <cell r="AN684" t="str">
            <v>I</v>
          </cell>
          <cell r="AO684">
            <v>1</v>
          </cell>
          <cell r="AP684" t="str">
            <v>pT1b</v>
          </cell>
          <cell r="AS684" t="str">
            <v>Clear cell renal cell carcinoma</v>
          </cell>
          <cell r="AV684">
            <v>45159</v>
          </cell>
          <cell r="AW684">
            <v>0.60277777777777775</v>
          </cell>
          <cell r="AX684">
            <v>0.69652777777777775</v>
          </cell>
          <cell r="AY684">
            <v>9.375E-2</v>
          </cell>
          <cell r="AZ684">
            <v>0.11319444444444444</v>
          </cell>
          <cell r="BA684">
            <v>0.20347222222222222</v>
          </cell>
          <cell r="BB684" t="str">
            <v>0.8/1.0*2.2*2.4/2.6</v>
          </cell>
          <cell r="BC684" t="str">
            <v>0.8/1.0*2.2*2.4/2.6</v>
          </cell>
          <cell r="BD684" t="str">
            <v>Vibratome</v>
          </cell>
          <cell r="BE684">
            <v>14</v>
          </cell>
          <cell r="BF684" t="str">
            <v>Kokila</v>
          </cell>
          <cell r="BG684" t="str">
            <v>Y</v>
          </cell>
        </row>
        <row r="685">
          <cell r="A685" t="str">
            <v>FBR1Y230269</v>
          </cell>
          <cell r="B685">
            <v>230269</v>
          </cell>
          <cell r="C685" t="str">
            <v>R&amp;D</v>
          </cell>
          <cell r="D685">
            <v>45159</v>
          </cell>
          <cell r="E685">
            <v>0.50694444444444442</v>
          </cell>
          <cell r="F685">
            <v>45139</v>
          </cell>
          <cell r="G685">
            <v>45159</v>
          </cell>
          <cell r="H685">
            <v>0.6743055555555556</v>
          </cell>
          <cell r="I685">
            <v>0.1673611111111111</v>
          </cell>
          <cell r="J685">
            <v>3</v>
          </cell>
          <cell r="K685" t="str">
            <v>FCB-PROTOCOL-01</v>
          </cell>
          <cell r="L685" t="str">
            <v>VYD/198</v>
          </cell>
          <cell r="M685" t="str">
            <v>Y</v>
          </cell>
          <cell r="N685" t="str">
            <v>CCS Study (1Y)</v>
          </cell>
          <cell r="O685" t="str">
            <v>Internal R&amp;D</v>
          </cell>
          <cell r="P685" t="str">
            <v>Q1 Passed</v>
          </cell>
          <cell r="Q685" t="str">
            <v>Q1 Passed</v>
          </cell>
          <cell r="R685" t="str">
            <v>Compromised</v>
          </cell>
          <cell r="S685" t="str">
            <v>Q1.5 Passed</v>
          </cell>
          <cell r="V685" t="str">
            <v>Tumor content 0-90%</v>
          </cell>
          <cell r="W685" t="str">
            <v>Private Hospital</v>
          </cell>
          <cell r="X685" t="str">
            <v>Vydehi Hospital, Bangalore</v>
          </cell>
          <cell r="Y685" t="str">
            <v>Vydehi Hospital, Bangalore</v>
          </cell>
          <cell r="Z685" t="str">
            <v>Dr Amritha Prabha, Bangalore</v>
          </cell>
          <cell r="AA685" t="str">
            <v>HNSCC</v>
          </cell>
          <cell r="AC685" t="str">
            <v>Tongue</v>
          </cell>
          <cell r="AD685" t="str">
            <v>Left Lateral Border of Tongue</v>
          </cell>
          <cell r="AE685" t="str">
            <v>Female</v>
          </cell>
          <cell r="AF685">
            <v>39</v>
          </cell>
          <cell r="AG685" t="str">
            <v>N</v>
          </cell>
          <cell r="AH685">
            <v>5.0999999999999996</v>
          </cell>
          <cell r="AI685" t="str">
            <v>Partha</v>
          </cell>
          <cell r="AJ685" t="str">
            <v>Surgery</v>
          </cell>
          <cell r="AK685" t="str">
            <v>Primary</v>
          </cell>
          <cell r="AN685" t="str">
            <v>III</v>
          </cell>
          <cell r="AO685">
            <v>1</v>
          </cell>
          <cell r="AP685" t="str">
            <v>pT3N0</v>
          </cell>
          <cell r="AV685">
            <v>45159</v>
          </cell>
          <cell r="AW685">
            <v>0.69305555555555554</v>
          </cell>
          <cell r="AX685">
            <v>0.77569444444444446</v>
          </cell>
          <cell r="AY685">
            <v>8.2638888888888887E-2</v>
          </cell>
          <cell r="AZ685">
            <v>0.10138888888888889</v>
          </cell>
          <cell r="BA685">
            <v>0.26874999999999999</v>
          </cell>
          <cell r="BB685" t="str">
            <v>0.8/1.0*1.6*1.2</v>
          </cell>
          <cell r="BC685" t="str">
            <v>0.4/0.5*0.8-1.0*1.2</v>
          </cell>
          <cell r="BD685" t="str">
            <v>Manual</v>
          </cell>
          <cell r="BE685">
            <v>14</v>
          </cell>
          <cell r="BF685" t="str">
            <v>kuberan</v>
          </cell>
          <cell r="BG685" t="str">
            <v>Y</v>
          </cell>
        </row>
        <row r="686">
          <cell r="A686" t="str">
            <v>FBR2F230269</v>
          </cell>
          <cell r="B686">
            <v>230269</v>
          </cell>
          <cell r="C686" t="str">
            <v>R&amp;D</v>
          </cell>
          <cell r="D686">
            <v>45159</v>
          </cell>
          <cell r="E686">
            <v>0.50694444444444442</v>
          </cell>
          <cell r="F686">
            <v>45139</v>
          </cell>
          <cell r="G686">
            <v>45159</v>
          </cell>
          <cell r="H686">
            <v>0.6743055555555556</v>
          </cell>
          <cell r="I686">
            <v>0.1673611111111111</v>
          </cell>
          <cell r="J686">
            <v>3</v>
          </cell>
          <cell r="K686" t="str">
            <v>FCB-PROTOCOL-01</v>
          </cell>
          <cell r="L686" t="str">
            <v>VYD/198</v>
          </cell>
          <cell r="M686" t="str">
            <v>Y</v>
          </cell>
          <cell r="N686" t="str">
            <v>CCS Study (1Y)</v>
          </cell>
          <cell r="O686" t="str">
            <v>Internal R&amp;D</v>
          </cell>
          <cell r="P686" t="str">
            <v>Q1 Passed</v>
          </cell>
          <cell r="Q686" t="str">
            <v>Q1 Passed</v>
          </cell>
          <cell r="R686" t="str">
            <v>Compromised</v>
          </cell>
          <cell r="S686" t="str">
            <v>Q1.5 Passed</v>
          </cell>
          <cell r="V686" t="str">
            <v>Tumor content 0-90%</v>
          </cell>
          <cell r="W686" t="str">
            <v>Private Hospital</v>
          </cell>
          <cell r="X686" t="str">
            <v>Vydehi Hospital, Bangalore</v>
          </cell>
          <cell r="Y686" t="str">
            <v>Vydehi Hospital, Bangalore</v>
          </cell>
          <cell r="Z686" t="str">
            <v>Dr Amritha Prabha, Bangalore</v>
          </cell>
          <cell r="AA686" t="str">
            <v>HNSCC</v>
          </cell>
          <cell r="AC686" t="str">
            <v>Tongue</v>
          </cell>
          <cell r="AD686" t="str">
            <v>Left Lateral Border of Tongue</v>
          </cell>
          <cell r="AE686" t="str">
            <v>Female</v>
          </cell>
          <cell r="AF686">
            <v>39</v>
          </cell>
          <cell r="AG686" t="str">
            <v>N</v>
          </cell>
          <cell r="AH686">
            <v>5.0999999999999996</v>
          </cell>
          <cell r="AI686" t="str">
            <v>Partha</v>
          </cell>
          <cell r="AJ686" t="str">
            <v>Surgery</v>
          </cell>
          <cell r="AK686" t="str">
            <v>Primary</v>
          </cell>
          <cell r="AN686" t="str">
            <v>III</v>
          </cell>
          <cell r="AO686">
            <v>1</v>
          </cell>
          <cell r="AP686" t="str">
            <v>pT3N0</v>
          </cell>
          <cell r="AV686">
            <v>45159</v>
          </cell>
          <cell r="AW686">
            <v>0.69305555555555554</v>
          </cell>
          <cell r="AX686">
            <v>0.77569444444444446</v>
          </cell>
          <cell r="AY686">
            <v>8.2638888888888887E-2</v>
          </cell>
          <cell r="AZ686">
            <v>0.10138888888888889</v>
          </cell>
          <cell r="BA686">
            <v>0.26874999999999999</v>
          </cell>
          <cell r="BB686" t="str">
            <v>0.8/1.0*1.6*1.2</v>
          </cell>
          <cell r="BC686" t="str">
            <v>0.4/0.5*0.8-1.0*1.2</v>
          </cell>
          <cell r="BD686" t="str">
            <v>Manual</v>
          </cell>
          <cell r="BE686">
            <v>14</v>
          </cell>
          <cell r="BF686" t="str">
            <v>kuberan</v>
          </cell>
          <cell r="BG686" t="str">
            <v>Y</v>
          </cell>
        </row>
        <row r="687">
          <cell r="A687" t="str">
            <v>FBR1Q230270</v>
          </cell>
          <cell r="B687">
            <v>230270</v>
          </cell>
          <cell r="C687" t="str">
            <v>R&amp;D</v>
          </cell>
          <cell r="D687">
            <v>45159</v>
          </cell>
          <cell r="E687">
            <v>0.57499999999999996</v>
          </cell>
          <cell r="F687">
            <v>45139</v>
          </cell>
          <cell r="G687">
            <v>45159</v>
          </cell>
          <cell r="H687">
            <v>0.6743055555555556</v>
          </cell>
          <cell r="I687">
            <v>9.930555555555555E-2</v>
          </cell>
          <cell r="J687">
            <v>3</v>
          </cell>
          <cell r="K687" t="str">
            <v>FCB-PROTOCOL-01</v>
          </cell>
          <cell r="L687" t="str">
            <v>VYD/199</v>
          </cell>
          <cell r="M687" t="str">
            <v>Y</v>
          </cell>
          <cell r="N687" t="str">
            <v>COSv4.2_CaBR(1Q-Unknown)</v>
          </cell>
          <cell r="O687" t="str">
            <v>Internal R&amp;D</v>
          </cell>
          <cell r="P687" t="str">
            <v>Q1 Passed</v>
          </cell>
          <cell r="Q687" t="str">
            <v>Q1 Passed</v>
          </cell>
          <cell r="R687" t="str">
            <v>Q1.5 Passed</v>
          </cell>
          <cell r="S687" t="str">
            <v>Q1.5 Passed</v>
          </cell>
          <cell r="V687" t="str">
            <v>Tumor content 0-1%. Only 1 fragment has 1% tumor, others no tumor</v>
          </cell>
          <cell r="W687" t="str">
            <v>Private Hospital</v>
          </cell>
          <cell r="X687" t="str">
            <v>Vydehi Hospital, Bangalore</v>
          </cell>
          <cell r="Y687" t="str">
            <v>Vydehi Hospital, Bangalore</v>
          </cell>
          <cell r="Z687" t="str">
            <v>Dr Amritha Prabha, Bangalore</v>
          </cell>
          <cell r="AA687" t="str">
            <v>Ca Breast</v>
          </cell>
          <cell r="AB687" t="str">
            <v>ER +
PR +
Her2 -</v>
          </cell>
          <cell r="AC687" t="str">
            <v>Breast</v>
          </cell>
          <cell r="AD687" t="str">
            <v>Right Breast</v>
          </cell>
          <cell r="AE687" t="str">
            <v>Female</v>
          </cell>
          <cell r="AF687">
            <v>56</v>
          </cell>
          <cell r="AG687" t="str">
            <v>N</v>
          </cell>
          <cell r="AH687">
            <v>5.0999999999999996</v>
          </cell>
          <cell r="AI687" t="str">
            <v>Partha</v>
          </cell>
          <cell r="AJ687" t="str">
            <v>Surgery</v>
          </cell>
          <cell r="AK687" t="str">
            <v>Primary</v>
          </cell>
          <cell r="AL687" t="str">
            <v>Chemotherapy</v>
          </cell>
          <cell r="AN687" t="str">
            <v>IIb</v>
          </cell>
          <cell r="AO687">
            <v>1</v>
          </cell>
          <cell r="AP687" t="str">
            <v>ypT2N1a</v>
          </cell>
          <cell r="AQ687">
            <v>8</v>
          </cell>
          <cell r="AR687" t="str">
            <v>4x(Adriyamysin+Cyclophosphamide) &amp; 4xPaclitaxel</v>
          </cell>
          <cell r="AV687">
            <v>45159</v>
          </cell>
          <cell r="AW687">
            <v>0.69305555555555554</v>
          </cell>
          <cell r="AX687">
            <v>0.77083333333333337</v>
          </cell>
          <cell r="AY687">
            <v>7.7777777777777779E-2</v>
          </cell>
          <cell r="AZ687">
            <v>9.6527777777777782E-2</v>
          </cell>
          <cell r="BA687">
            <v>0.19583333333333333</v>
          </cell>
          <cell r="BB687" t="str">
            <v>1.4*1.4*1.8/2.0</v>
          </cell>
          <cell r="BC687" t="str">
            <v>1.2*1.4*1.8</v>
          </cell>
          <cell r="BD687" t="str">
            <v>Manual</v>
          </cell>
          <cell r="BE687">
            <v>14</v>
          </cell>
          <cell r="BF687" t="str">
            <v>chandan</v>
          </cell>
          <cell r="BG687" t="str">
            <v>Y</v>
          </cell>
        </row>
        <row r="688">
          <cell r="A688" t="str">
            <v>FBR1Y230271</v>
          </cell>
          <cell r="B688">
            <v>230271</v>
          </cell>
          <cell r="C688" t="str">
            <v>R&amp;D</v>
          </cell>
          <cell r="D688">
            <v>45160</v>
          </cell>
          <cell r="E688">
            <v>0.46250000000000002</v>
          </cell>
          <cell r="F688">
            <v>45139</v>
          </cell>
          <cell r="G688">
            <v>45160</v>
          </cell>
          <cell r="H688">
            <v>0.59722222222222221</v>
          </cell>
          <cell r="I688">
            <v>0.13472222222222222</v>
          </cell>
          <cell r="J688">
            <v>2</v>
          </cell>
          <cell r="K688" t="str">
            <v>FCB-PROTOCOL-01</v>
          </cell>
          <cell r="L688" t="str">
            <v>VYD/200</v>
          </cell>
          <cell r="M688" t="str">
            <v>Y</v>
          </cell>
          <cell r="N688" t="str">
            <v>CCS Study (1Y)</v>
          </cell>
          <cell r="O688" t="str">
            <v>Internal R&amp;D</v>
          </cell>
          <cell r="P688" t="str">
            <v>Q1 Passed</v>
          </cell>
          <cell r="Q688" t="str">
            <v>Q1 Passed</v>
          </cell>
          <cell r="R688" t="str">
            <v>Compromised</v>
          </cell>
          <cell r="S688" t="str">
            <v>Q1.5 Passed</v>
          </cell>
          <cell r="V688" t="str">
            <v>Tumor content 60-95%</v>
          </cell>
          <cell r="W688" t="str">
            <v>Private Hospital</v>
          </cell>
          <cell r="X688" t="str">
            <v>Vydehi Hospital, Bangalore</v>
          </cell>
          <cell r="Y688" t="str">
            <v>Vydehi Hospital, Bangalore</v>
          </cell>
          <cell r="Z688" t="str">
            <v>Dr Amritha Prabha, Bangalore</v>
          </cell>
          <cell r="AA688" t="str">
            <v>HNSCC</v>
          </cell>
          <cell r="AC688" t="str">
            <v>Buccal Mucosa</v>
          </cell>
          <cell r="AD688" t="str">
            <v>Right Buccal Mucosa</v>
          </cell>
          <cell r="AE688" t="str">
            <v>Female</v>
          </cell>
          <cell r="AF688">
            <v>26</v>
          </cell>
          <cell r="AG688" t="str">
            <v>N</v>
          </cell>
          <cell r="AH688">
            <v>5.6</v>
          </cell>
          <cell r="AI688" t="str">
            <v>Kalappa</v>
          </cell>
          <cell r="AJ688" t="str">
            <v>Surgery</v>
          </cell>
          <cell r="AK688" t="str">
            <v>Primary</v>
          </cell>
          <cell r="AN688" t="str">
            <v>IVa</v>
          </cell>
          <cell r="AO688">
            <v>1</v>
          </cell>
          <cell r="AP688" t="str">
            <v>pT4aN0</v>
          </cell>
          <cell r="AV688">
            <v>45160</v>
          </cell>
          <cell r="AW688">
            <v>0.61458333333333337</v>
          </cell>
          <cell r="AX688">
            <v>0.65625</v>
          </cell>
          <cell r="AY688">
            <v>4.1666666666666664E-2</v>
          </cell>
          <cell r="AZ688">
            <v>5.9027777777777776E-2</v>
          </cell>
          <cell r="BA688">
            <v>0.19375000000000001</v>
          </cell>
          <cell r="BB688" t="str">
            <v>0.4*2.4*3.4</v>
          </cell>
          <cell r="BC688" t="str">
            <v>0.4*2.4*3.4</v>
          </cell>
          <cell r="BD688" t="str">
            <v>Manual</v>
          </cell>
          <cell r="BE688">
            <v>14</v>
          </cell>
          <cell r="BF688" t="str">
            <v>Syam</v>
          </cell>
          <cell r="BG688" t="str">
            <v>Y</v>
          </cell>
        </row>
        <row r="689">
          <cell r="A689" t="str">
            <v>FBR2H230271</v>
          </cell>
          <cell r="B689">
            <v>230271</v>
          </cell>
          <cell r="C689" t="str">
            <v>R&amp;D</v>
          </cell>
          <cell r="D689">
            <v>45160</v>
          </cell>
          <cell r="E689">
            <v>0.46250000000000002</v>
          </cell>
          <cell r="F689">
            <v>45139</v>
          </cell>
          <cell r="G689">
            <v>45160</v>
          </cell>
          <cell r="H689">
            <v>0.59722222222222221</v>
          </cell>
          <cell r="I689">
            <v>0.13472222222222222</v>
          </cell>
          <cell r="J689">
            <v>2</v>
          </cell>
          <cell r="K689" t="str">
            <v>FCB-PROTOCOL-01</v>
          </cell>
          <cell r="L689" t="str">
            <v>VYD/200</v>
          </cell>
          <cell r="M689" t="str">
            <v>Y</v>
          </cell>
          <cell r="N689" t="str">
            <v>CCS Study (1Y)</v>
          </cell>
          <cell r="O689" t="str">
            <v>Internal R&amp;D</v>
          </cell>
          <cell r="P689" t="str">
            <v>Q1 Passed</v>
          </cell>
          <cell r="Q689" t="str">
            <v>Q1 Passed</v>
          </cell>
          <cell r="R689" t="str">
            <v>Compromised</v>
          </cell>
          <cell r="S689" t="str">
            <v>Q1.5 Passed</v>
          </cell>
          <cell r="V689" t="str">
            <v>Tumor content 60-95%</v>
          </cell>
          <cell r="W689" t="str">
            <v>Private Hospital</v>
          </cell>
          <cell r="X689" t="str">
            <v>Vydehi Hospital, Bangalore</v>
          </cell>
          <cell r="Y689" t="str">
            <v>Vydehi Hospital, Bangalore</v>
          </cell>
          <cell r="Z689" t="str">
            <v>Dr Amritha Prabha, Bangalore</v>
          </cell>
          <cell r="AA689" t="str">
            <v>HNSCC</v>
          </cell>
          <cell r="AC689" t="str">
            <v>Buccal Mucosa</v>
          </cell>
          <cell r="AD689" t="str">
            <v>Right Buccal Mucosa</v>
          </cell>
          <cell r="AE689" t="str">
            <v>Female</v>
          </cell>
          <cell r="AF689">
            <v>26</v>
          </cell>
          <cell r="AG689" t="str">
            <v>N</v>
          </cell>
          <cell r="AH689">
            <v>5.6</v>
          </cell>
          <cell r="AI689" t="str">
            <v>Kalappa</v>
          </cell>
          <cell r="AJ689" t="str">
            <v>Surgery</v>
          </cell>
          <cell r="AK689" t="str">
            <v>Primary</v>
          </cell>
          <cell r="AN689" t="str">
            <v>IVa</v>
          </cell>
          <cell r="AO689">
            <v>1</v>
          </cell>
          <cell r="AP689" t="str">
            <v>pT4aN0</v>
          </cell>
          <cell r="AV689">
            <v>45160</v>
          </cell>
          <cell r="AW689">
            <v>0.61458333333333337</v>
          </cell>
          <cell r="AX689">
            <v>0.65625</v>
          </cell>
          <cell r="AY689">
            <v>4.1666666666666664E-2</v>
          </cell>
          <cell r="AZ689">
            <v>5.9027777777777776E-2</v>
          </cell>
          <cell r="BA689">
            <v>0.19375000000000001</v>
          </cell>
          <cell r="BB689" t="str">
            <v>0.4*2.4*3.4</v>
          </cell>
          <cell r="BC689" t="str">
            <v>0.4*2.4*3.4</v>
          </cell>
          <cell r="BD689" t="str">
            <v>Manual</v>
          </cell>
          <cell r="BE689">
            <v>14</v>
          </cell>
          <cell r="BF689" t="str">
            <v>Syam</v>
          </cell>
          <cell r="BG689" t="str">
            <v>Y</v>
          </cell>
        </row>
        <row r="690">
          <cell r="A690" t="str">
            <v>FBR1W230272</v>
          </cell>
          <cell r="B690">
            <v>230272</v>
          </cell>
          <cell r="C690" t="str">
            <v>R&amp;D</v>
          </cell>
          <cell r="D690">
            <v>45160</v>
          </cell>
          <cell r="E690">
            <v>0.63541666666666663</v>
          </cell>
          <cell r="F690">
            <v>45139</v>
          </cell>
          <cell r="G690">
            <v>45160</v>
          </cell>
          <cell r="H690">
            <v>0.70347222222222228</v>
          </cell>
          <cell r="I690">
            <v>6.805555555555555E-2</v>
          </cell>
          <cell r="J690">
            <v>0</v>
          </cell>
          <cell r="K690" t="str">
            <v>FCB-PROTOCOL-02</v>
          </cell>
          <cell r="L690" t="str">
            <v>BC022</v>
          </cell>
          <cell r="M690" t="str">
            <v>Y</v>
          </cell>
          <cell r="N690" t="str">
            <v>Biopsy Cabr-BSS (1W)</v>
          </cell>
          <cell r="O690" t="str">
            <v>Internal R&amp;D</v>
          </cell>
          <cell r="P690" t="str">
            <v>Q1 Passed</v>
          </cell>
          <cell r="Q690" t="str">
            <v>Q1 Passed</v>
          </cell>
          <cell r="R690" t="str">
            <v>Q1.5 Passed</v>
          </cell>
          <cell r="S690" t="str">
            <v>Q1.5 Rejected</v>
          </cell>
          <cell r="U690" t="str">
            <v>Yes</v>
          </cell>
          <cell r="V690" t="str">
            <v>No tumor, inflammation present</v>
          </cell>
          <cell r="W690" t="str">
            <v>Private Hospital</v>
          </cell>
          <cell r="X690" t="str">
            <v>Mazumdar Shaw Medical Centre, Bangalore</v>
          </cell>
          <cell r="Y690" t="str">
            <v>Mazumdar Shaw Medical Centre, Bangalore</v>
          </cell>
          <cell r="Z690" t="str">
            <v>Dr Akshita Singh</v>
          </cell>
          <cell r="AA690" t="str">
            <v>Ca Breast</v>
          </cell>
          <cell r="AC690" t="str">
            <v>Breast</v>
          </cell>
          <cell r="AD690" t="str">
            <v>Right Breast</v>
          </cell>
          <cell r="AE690" t="str">
            <v>Female</v>
          </cell>
          <cell r="AF690">
            <v>43</v>
          </cell>
          <cell r="AG690" t="str">
            <v>N</v>
          </cell>
          <cell r="AH690">
            <v>5.2</v>
          </cell>
          <cell r="AI690" t="str">
            <v>Partha</v>
          </cell>
          <cell r="AJ690" t="str">
            <v>Biopsy</v>
          </cell>
          <cell r="AK690" t="str">
            <v>Primary</v>
          </cell>
          <cell r="AV690">
            <v>45160</v>
          </cell>
          <cell r="AW690">
            <v>0.71527777777777779</v>
          </cell>
          <cell r="AX690">
            <v>0.75694444444444442</v>
          </cell>
          <cell r="AY690">
            <v>4.1666666666666664E-2</v>
          </cell>
          <cell r="AZ690">
            <v>5.347222222222222E-2</v>
          </cell>
          <cell r="BA690">
            <v>0.12152777777777778</v>
          </cell>
          <cell r="BB690" t="str">
            <v>0.1*0.1*0.8
0.1*0.1*1.8
0.1*0.1*1.6</v>
          </cell>
          <cell r="BC690" t="str">
            <v>0.1*0.1*0.8
0.1*0.1*1.8
0.1*0.1*1.6</v>
          </cell>
          <cell r="BD690" t="str">
            <v>Manual</v>
          </cell>
          <cell r="BE690">
            <v>14</v>
          </cell>
          <cell r="BF690" t="str">
            <v>chandan</v>
          </cell>
          <cell r="BG690" t="str">
            <v>Y</v>
          </cell>
        </row>
        <row r="691">
          <cell r="A691" t="str">
            <v>FBR1W230273</v>
          </cell>
          <cell r="B691">
            <v>230273</v>
          </cell>
          <cell r="C691" t="str">
            <v>R&amp;D</v>
          </cell>
          <cell r="D691">
            <v>45161</v>
          </cell>
          <cell r="E691">
            <v>0.48958333333333331</v>
          </cell>
          <cell r="F691">
            <v>45139</v>
          </cell>
          <cell r="G691">
            <v>45161</v>
          </cell>
          <cell r="H691">
            <v>0.56180555555555556</v>
          </cell>
          <cell r="I691">
            <v>7.2222222222222215E-2</v>
          </cell>
          <cell r="J691">
            <v>0</v>
          </cell>
          <cell r="K691" t="str">
            <v>FCB-PROTOCOL-02</v>
          </cell>
          <cell r="L691" t="str">
            <v>BC023</v>
          </cell>
          <cell r="M691" t="str">
            <v>Y</v>
          </cell>
          <cell r="N691" t="str">
            <v>Biopsy Cabr-BSS (1W)</v>
          </cell>
          <cell r="O691" t="str">
            <v>Internal R&amp;D</v>
          </cell>
          <cell r="P691" t="str">
            <v>Q1 Passed</v>
          </cell>
          <cell r="Q691" t="str">
            <v>Q1 Passed</v>
          </cell>
          <cell r="R691" t="str">
            <v>Q1.5 Passed</v>
          </cell>
          <cell r="S691" t="str">
            <v>Q1.5 Passed</v>
          </cell>
          <cell r="V691" t="str">
            <v>Tumor content 8-45%</v>
          </cell>
          <cell r="W691" t="str">
            <v>Private Hospital</v>
          </cell>
          <cell r="X691" t="str">
            <v>Mazumdar Shaw Medical Centre, Bangalore</v>
          </cell>
          <cell r="Y691" t="str">
            <v>Mazumdar Shaw Medical Centre, Bangalore</v>
          </cell>
          <cell r="Z691" t="str">
            <v>Dr Akshita Singh</v>
          </cell>
          <cell r="AA691" t="str">
            <v>Ca Breast</v>
          </cell>
          <cell r="AB691" t="str">
            <v>Er (+)
Pr (+)
Her2 (equivocal)</v>
          </cell>
          <cell r="AC691" t="str">
            <v>Breast</v>
          </cell>
          <cell r="AD691" t="str">
            <v>Left Breast</v>
          </cell>
          <cell r="AE691" t="str">
            <v>Female</v>
          </cell>
          <cell r="AF691">
            <v>75</v>
          </cell>
          <cell r="AG691" t="str">
            <v>N</v>
          </cell>
          <cell r="AH691">
            <v>4.8</v>
          </cell>
          <cell r="AI691" t="str">
            <v>Partha</v>
          </cell>
          <cell r="AJ691" t="str">
            <v>Biopsy</v>
          </cell>
          <cell r="AK691" t="str">
            <v>Primary</v>
          </cell>
          <cell r="AS691" t="str">
            <v xml:space="preserve">Invasive carcinoma of no special type </v>
          </cell>
          <cell r="AV691">
            <v>45161</v>
          </cell>
          <cell r="AW691">
            <v>0.5756944444444444</v>
          </cell>
          <cell r="AX691">
            <v>0.81319444444444444</v>
          </cell>
          <cell r="AY691">
            <v>0.23749999999999999</v>
          </cell>
          <cell r="AZ691">
            <v>0.25138888888888888</v>
          </cell>
          <cell r="BA691">
            <v>0.32361111111111113</v>
          </cell>
          <cell r="BB691" t="str">
            <v>0.1*0.1*1.6</v>
          </cell>
          <cell r="BC691" t="str">
            <v>0.1*0.1*1.2</v>
          </cell>
          <cell r="BD691" t="str">
            <v>Manual</v>
          </cell>
          <cell r="BE691">
            <v>14</v>
          </cell>
          <cell r="BF691" t="str">
            <v>Syam</v>
          </cell>
          <cell r="BG691" t="str">
            <v>Y</v>
          </cell>
        </row>
        <row r="692">
          <cell r="A692" t="str">
            <v>FBR2G230274</v>
          </cell>
          <cell r="B692">
            <v>230274</v>
          </cell>
          <cell r="C692" t="str">
            <v>R&amp;D</v>
          </cell>
          <cell r="D692">
            <v>45162</v>
          </cell>
          <cell r="E692">
            <v>0.52777777777777779</v>
          </cell>
          <cell r="F692">
            <v>45139</v>
          </cell>
          <cell r="G692">
            <v>45162</v>
          </cell>
          <cell r="H692">
            <v>0.65972222222222221</v>
          </cell>
          <cell r="I692">
            <v>0.13194444444444445</v>
          </cell>
          <cell r="J692">
            <v>2</v>
          </cell>
          <cell r="K692" t="str">
            <v>FCB-PROTOCOL-01</v>
          </cell>
          <cell r="L692" t="str">
            <v>VYD/202</v>
          </cell>
          <cell r="M692" t="str">
            <v>Y</v>
          </cell>
          <cell r="N692" t="str">
            <v>CCS Study (1Y)</v>
          </cell>
          <cell r="O692" t="str">
            <v>Internal R&amp;D</v>
          </cell>
          <cell r="P692" t="str">
            <v>Q1 Passed</v>
          </cell>
          <cell r="Q692" t="str">
            <v>Q1 Passed</v>
          </cell>
          <cell r="R692" t="str">
            <v>Q1.5 Passed</v>
          </cell>
          <cell r="S692" t="str">
            <v>Q1.5 Passed</v>
          </cell>
          <cell r="V692" t="str">
            <v>Tumor content &gt;90%</v>
          </cell>
          <cell r="W692" t="str">
            <v>Private Hospital</v>
          </cell>
          <cell r="X692" t="str">
            <v>Vydehi Hospital, Bangalore</v>
          </cell>
          <cell r="Y692" t="str">
            <v>Vydehi Hospital, Bangalore</v>
          </cell>
          <cell r="Z692" t="str">
            <v>Dr Amritha Prabha, Bangalore</v>
          </cell>
          <cell r="AA692" t="str">
            <v>HNSCC</v>
          </cell>
          <cell r="AC692" t="str">
            <v>Buccal Mucosa</v>
          </cell>
          <cell r="AD692" t="str">
            <v>Left Buccal Mucosa</v>
          </cell>
          <cell r="AE692" t="str">
            <v>Male</v>
          </cell>
          <cell r="AF692">
            <v>59</v>
          </cell>
          <cell r="AG692" t="str">
            <v>N</v>
          </cell>
          <cell r="AH692">
            <v>5.6</v>
          </cell>
          <cell r="AI692" t="str">
            <v>Kalappa</v>
          </cell>
          <cell r="AJ692" t="str">
            <v>Surgery</v>
          </cell>
          <cell r="AK692" t="str">
            <v>Primary</v>
          </cell>
          <cell r="AN692" t="str">
            <v>IVa</v>
          </cell>
          <cell r="AO692">
            <v>2</v>
          </cell>
          <cell r="AP692" t="str">
            <v>pT3N2</v>
          </cell>
          <cell r="AV692">
            <v>45162</v>
          </cell>
          <cell r="AW692">
            <v>0.67013888888888884</v>
          </cell>
          <cell r="AX692">
            <v>0.76388888888888884</v>
          </cell>
          <cell r="AY692">
            <v>9.375E-2</v>
          </cell>
          <cell r="AZ692">
            <v>0.10416666666666667</v>
          </cell>
          <cell r="BA692">
            <v>0.2361111111111111</v>
          </cell>
          <cell r="BB692" t="str">
            <v>0.9*1.8*1.6</v>
          </cell>
          <cell r="BC692" t="str">
            <v>0.9*1.8*1.6</v>
          </cell>
          <cell r="BD692" t="str">
            <v>Vibratome</v>
          </cell>
          <cell r="BE692">
            <v>14</v>
          </cell>
          <cell r="BF692" t="str">
            <v>Kowshik</v>
          </cell>
          <cell r="BG692" t="str">
            <v>Y</v>
          </cell>
        </row>
        <row r="693">
          <cell r="A693" t="str">
            <v>FBR1Y230274</v>
          </cell>
          <cell r="B693">
            <v>230274</v>
          </cell>
          <cell r="C693" t="str">
            <v>R&amp;D</v>
          </cell>
          <cell r="D693">
            <v>45162</v>
          </cell>
          <cell r="E693">
            <v>0.52777777777777779</v>
          </cell>
          <cell r="F693">
            <v>45139</v>
          </cell>
          <cell r="G693">
            <v>45162</v>
          </cell>
          <cell r="H693">
            <v>0.65972222222222221</v>
          </cell>
          <cell r="I693">
            <v>0.13194444444444445</v>
          </cell>
          <cell r="J693">
            <v>2</v>
          </cell>
          <cell r="K693" t="str">
            <v>FCB-PROTOCOL-01</v>
          </cell>
          <cell r="L693" t="str">
            <v>VYD/202</v>
          </cell>
          <cell r="M693" t="str">
            <v>Y</v>
          </cell>
          <cell r="N693" t="str">
            <v>CCS Study (1Y)</v>
          </cell>
          <cell r="O693" t="str">
            <v>Internal R&amp;D</v>
          </cell>
          <cell r="P693" t="str">
            <v>Q1 Passed</v>
          </cell>
          <cell r="Q693" t="str">
            <v>Q1 Passed</v>
          </cell>
          <cell r="R693" t="str">
            <v>Q1.5 Passed</v>
          </cell>
          <cell r="S693" t="str">
            <v>Q1.5 Passed</v>
          </cell>
          <cell r="V693" t="str">
            <v>Tumor content &gt;90%</v>
          </cell>
          <cell r="W693" t="str">
            <v>Private Hospital</v>
          </cell>
          <cell r="X693" t="str">
            <v>Vydehi Hospital, Bangalore</v>
          </cell>
          <cell r="Y693" t="str">
            <v>Vydehi Hospital, Bangalore</v>
          </cell>
          <cell r="Z693" t="str">
            <v>Dr Amritha Prabha, Bangalore</v>
          </cell>
          <cell r="AA693" t="str">
            <v>HNSCC</v>
          </cell>
          <cell r="AC693" t="str">
            <v>Buccal Mucosa</v>
          </cell>
          <cell r="AD693" t="str">
            <v>Left Buccal Mucosa</v>
          </cell>
          <cell r="AE693" t="str">
            <v>Male</v>
          </cell>
          <cell r="AF693">
            <v>59</v>
          </cell>
          <cell r="AG693" t="str">
            <v>N</v>
          </cell>
          <cell r="AH693">
            <v>5.6</v>
          </cell>
          <cell r="AI693" t="str">
            <v>Kalappa</v>
          </cell>
          <cell r="AJ693" t="str">
            <v>Surgery</v>
          </cell>
          <cell r="AK693" t="str">
            <v>Primary</v>
          </cell>
          <cell r="AN693" t="str">
            <v>IVa</v>
          </cell>
          <cell r="AO693">
            <v>2</v>
          </cell>
          <cell r="AP693" t="str">
            <v>pT3N2</v>
          </cell>
          <cell r="AV693">
            <v>45162</v>
          </cell>
          <cell r="AW693">
            <v>0.67013888888888884</v>
          </cell>
          <cell r="AX693">
            <v>0.76388888888888884</v>
          </cell>
          <cell r="AY693">
            <v>9.375E-2</v>
          </cell>
          <cell r="AZ693">
            <v>0.10416666666666667</v>
          </cell>
          <cell r="BA693">
            <v>0.2361111111111111</v>
          </cell>
          <cell r="BB693" t="str">
            <v>0.9*1.8*1.6</v>
          </cell>
          <cell r="BC693" t="str">
            <v>0.9*1.8*1.6</v>
          </cell>
          <cell r="BD693" t="str">
            <v>Vibratome</v>
          </cell>
          <cell r="BE693">
            <v>14</v>
          </cell>
          <cell r="BF693" t="str">
            <v>Kowshik</v>
          </cell>
          <cell r="BG693" t="str">
            <v>Y</v>
          </cell>
        </row>
        <row r="694">
          <cell r="A694" t="str">
            <v>FBR1Q230275</v>
          </cell>
          <cell r="B694">
            <v>230275</v>
          </cell>
          <cell r="C694" t="str">
            <v>R&amp;D</v>
          </cell>
          <cell r="D694">
            <v>45162</v>
          </cell>
          <cell r="E694">
            <v>0.47499999999999998</v>
          </cell>
          <cell r="F694">
            <v>45139</v>
          </cell>
          <cell r="G694">
            <v>45162</v>
          </cell>
          <cell r="H694">
            <v>0.65972222222222221</v>
          </cell>
          <cell r="I694">
            <v>0.18472222222222223</v>
          </cell>
          <cell r="J694">
            <v>2</v>
          </cell>
          <cell r="K694" t="str">
            <v>FCB-PROTOCOL-01</v>
          </cell>
          <cell r="L694" t="str">
            <v>VYD/201</v>
          </cell>
          <cell r="M694" t="str">
            <v>Y</v>
          </cell>
          <cell r="N694" t="str">
            <v>COSv4.2_CaBR(1Q-Unknown)</v>
          </cell>
          <cell r="O694" t="str">
            <v>Internal R&amp;D</v>
          </cell>
          <cell r="P694" t="str">
            <v>Q1 Passed</v>
          </cell>
          <cell r="Q694" t="str">
            <v>Q1 Rejected</v>
          </cell>
          <cell r="R694" t="str">
            <v>Compromised</v>
          </cell>
          <cell r="S694" t="str">
            <v>Q1.5 Passed</v>
          </cell>
          <cell r="T694" t="str">
            <v>blood not qualified</v>
          </cell>
          <cell r="V694" t="str">
            <v>Tumor content 3-40%</v>
          </cell>
          <cell r="W694" t="str">
            <v>Private Hospital</v>
          </cell>
          <cell r="X694" t="str">
            <v>Vydehi Hospital, Bangalore</v>
          </cell>
          <cell r="Y694" t="str">
            <v>Vydehi Hospital, Bangalore</v>
          </cell>
          <cell r="Z694" t="str">
            <v>Dr Amritha Prabha, Bangalore</v>
          </cell>
          <cell r="AA694" t="str">
            <v>Ca Breast</v>
          </cell>
          <cell r="AB694" t="str">
            <v>Er (+)
Pr(+)
Her2 (-)</v>
          </cell>
          <cell r="AC694" t="str">
            <v>Breast</v>
          </cell>
          <cell r="AD694" t="str">
            <v>Right Breast</v>
          </cell>
          <cell r="AE694" t="str">
            <v>Female</v>
          </cell>
          <cell r="AF694">
            <v>37</v>
          </cell>
          <cell r="AG694" t="str">
            <v>N</v>
          </cell>
          <cell r="AH694">
            <v>5.6</v>
          </cell>
          <cell r="AI694" t="str">
            <v>Kalappa</v>
          </cell>
          <cell r="AJ694" t="str">
            <v>Surgery</v>
          </cell>
          <cell r="AK694" t="str">
            <v>Primary</v>
          </cell>
          <cell r="AN694" t="str">
            <v>IIIa</v>
          </cell>
          <cell r="AO694">
            <v>2</v>
          </cell>
          <cell r="AP694" t="str">
            <v>pT2N2a</v>
          </cell>
          <cell r="AV694">
            <v>45162</v>
          </cell>
          <cell r="AW694">
            <v>0.67013888888888884</v>
          </cell>
          <cell r="AX694">
            <v>0.72361111111111109</v>
          </cell>
          <cell r="AY694">
            <v>5.347222222222222E-2</v>
          </cell>
          <cell r="AZ694">
            <v>6.3888888888888884E-2</v>
          </cell>
          <cell r="BA694">
            <v>0.24861111111111112</v>
          </cell>
          <cell r="BB694" t="str">
            <v>1.0*2.0*2.4
0.6*0.8*2.0</v>
          </cell>
          <cell r="BC694" t="str">
            <v>1.0*2.0*2.4
0.6*0.8*2.0</v>
          </cell>
          <cell r="BD694" t="str">
            <v>Manual</v>
          </cell>
          <cell r="BE694">
            <v>14</v>
          </cell>
          <cell r="BF694" t="str">
            <v>Syam</v>
          </cell>
          <cell r="BG694" t="str">
            <v>N</v>
          </cell>
        </row>
        <row r="695">
          <cell r="A695" t="str">
            <v>FBR1Q230276</v>
          </cell>
          <cell r="B695">
            <v>230276</v>
          </cell>
          <cell r="C695" t="str">
            <v>R&amp;D</v>
          </cell>
          <cell r="D695">
            <v>45162</v>
          </cell>
          <cell r="E695">
            <v>0.68958333333333333</v>
          </cell>
          <cell r="F695">
            <v>45139</v>
          </cell>
          <cell r="G695">
            <v>45162</v>
          </cell>
          <cell r="H695">
            <v>0.79305555555555551</v>
          </cell>
          <cell r="I695">
            <v>0.10347222222222222</v>
          </cell>
          <cell r="J695">
            <v>23</v>
          </cell>
          <cell r="K695" t="str">
            <v>FCB-PROTOCOL-01</v>
          </cell>
          <cell r="L695" t="str">
            <v>VYD/203</v>
          </cell>
          <cell r="M695" t="str">
            <v>Y</v>
          </cell>
          <cell r="N695" t="str">
            <v>COSv4.2_CaBR(1Q-Unknown)</v>
          </cell>
          <cell r="O695" t="str">
            <v>Internal R&amp;D</v>
          </cell>
          <cell r="P695" t="str">
            <v>Q1 Passed</v>
          </cell>
          <cell r="Q695" t="str">
            <v>Q1 Passed</v>
          </cell>
          <cell r="R695" t="str">
            <v>Compromised</v>
          </cell>
          <cell r="S695" t="str">
            <v>Q1.5 Passed</v>
          </cell>
          <cell r="V695" t="str">
            <v>Tumor content 4-15%</v>
          </cell>
          <cell r="W695" t="str">
            <v>Private Hospital</v>
          </cell>
          <cell r="X695" t="str">
            <v>Vydehi Hospital, Bangalore</v>
          </cell>
          <cell r="Y695" t="str">
            <v>Vydehi Hospital, Bangalore</v>
          </cell>
          <cell r="Z695" t="str">
            <v>Dr Amritha Prabha, Bangalore</v>
          </cell>
          <cell r="AA695" t="str">
            <v>Ca Breast</v>
          </cell>
          <cell r="AB695" t="str">
            <v>Er (+)
Pr(+)
Her2 (Equivocal)</v>
          </cell>
          <cell r="AC695" t="str">
            <v>Breast</v>
          </cell>
          <cell r="AD695" t="str">
            <v>Left Breast</v>
          </cell>
          <cell r="AE695" t="str">
            <v>Female</v>
          </cell>
          <cell r="AF695">
            <v>51</v>
          </cell>
          <cell r="AG695" t="str">
            <v>N</v>
          </cell>
          <cell r="AH695">
            <v>4.5999999999999996</v>
          </cell>
          <cell r="AI695" t="str">
            <v>Partha</v>
          </cell>
          <cell r="AJ695" t="str">
            <v>Surgery</v>
          </cell>
          <cell r="AK695" t="str">
            <v>Primary</v>
          </cell>
          <cell r="AN695" t="str">
            <v>I</v>
          </cell>
          <cell r="AO695">
            <v>1</v>
          </cell>
          <cell r="AP695" t="str">
            <v>pT1cN0</v>
          </cell>
          <cell r="AV695">
            <v>45162</v>
          </cell>
          <cell r="AW695">
            <v>0.8</v>
          </cell>
          <cell r="AX695">
            <v>0.89166666666666672</v>
          </cell>
          <cell r="AY695">
            <v>9.166666666666666E-2</v>
          </cell>
          <cell r="AZ695">
            <v>9.8611111111111108E-2</v>
          </cell>
          <cell r="BA695">
            <v>0.20208333333333334</v>
          </cell>
          <cell r="BB695" t="str">
            <v>0..4/0.6*1.0/1.8*1.9</v>
          </cell>
          <cell r="BC695" t="str">
            <v>0.2/0.4*1.0*1.2</v>
          </cell>
          <cell r="BD695" t="str">
            <v>Manual</v>
          </cell>
          <cell r="BE695">
            <v>14</v>
          </cell>
          <cell r="BF695" t="str">
            <v xml:space="preserve">sai </v>
          </cell>
          <cell r="BG695" t="str">
            <v>Y</v>
          </cell>
        </row>
        <row r="696">
          <cell r="A696" t="str">
            <v>FBR2C230277</v>
          </cell>
          <cell r="B696">
            <v>230277</v>
          </cell>
          <cell r="C696" t="str">
            <v>R&amp;D</v>
          </cell>
          <cell r="D696">
            <v>45166</v>
          </cell>
          <cell r="E696">
            <v>0.50347222222222221</v>
          </cell>
          <cell r="F696">
            <v>45139</v>
          </cell>
          <cell r="G696">
            <v>45166</v>
          </cell>
          <cell r="H696">
            <v>0.59652777777777777</v>
          </cell>
          <cell r="I696">
            <v>9.3055555555555558E-2</v>
          </cell>
          <cell r="J696">
            <v>12</v>
          </cell>
          <cell r="K696" t="str">
            <v>FCB-PROTOCOL-02</v>
          </cell>
          <cell r="L696" t="str">
            <v>RC036</v>
          </cell>
          <cell r="M696" t="str">
            <v>Y</v>
          </cell>
          <cell r="N696" t="str">
            <v>RCC DPT (2C)</v>
          </cell>
          <cell r="O696" t="str">
            <v>Internal R&amp;D</v>
          </cell>
          <cell r="P696" t="str">
            <v>Q1 Passed</v>
          </cell>
          <cell r="Q696" t="str">
            <v>Q1 Passed</v>
          </cell>
          <cell r="R696" t="str">
            <v>Q1.5 Passed</v>
          </cell>
          <cell r="S696" t="str">
            <v>Q1.5 Passed</v>
          </cell>
          <cell r="V696" t="str">
            <v>Tumor content 8-55%</v>
          </cell>
          <cell r="W696" t="str">
            <v>Private Hospital</v>
          </cell>
          <cell r="X696" t="str">
            <v>Mazumdar Shaw Medical Centre, Bangalore</v>
          </cell>
          <cell r="Y696" t="str">
            <v>Mazumdar Shaw Medical Centre, Bangalore</v>
          </cell>
          <cell r="Z696" t="str">
            <v>Dr Saurabh Bhargav, Bangalore</v>
          </cell>
          <cell r="AA696" t="str">
            <v>RCC</v>
          </cell>
          <cell r="AC696" t="str">
            <v>Renal</v>
          </cell>
          <cell r="AD696" t="str">
            <v>Right Renal Mass</v>
          </cell>
          <cell r="AE696" t="str">
            <v>Male</v>
          </cell>
          <cell r="AF696">
            <v>38</v>
          </cell>
          <cell r="AG696" t="str">
            <v>N</v>
          </cell>
          <cell r="AH696">
            <v>5.6</v>
          </cell>
          <cell r="AI696" t="str">
            <v>Shashi</v>
          </cell>
          <cell r="AJ696" t="str">
            <v>Surgery</v>
          </cell>
          <cell r="AK696" t="str">
            <v>Primary</v>
          </cell>
          <cell r="AN696" t="str">
            <v>I</v>
          </cell>
          <cell r="AO696">
            <v>2</v>
          </cell>
          <cell r="AP696" t="str">
            <v>pT1a</v>
          </cell>
          <cell r="AS696" t="str">
            <v>clear cell papillary carcinoma</v>
          </cell>
          <cell r="AV696">
            <v>45166</v>
          </cell>
          <cell r="AW696">
            <v>0.6166666666666667</v>
          </cell>
          <cell r="AX696">
            <v>0.68819444444444444</v>
          </cell>
          <cell r="AY696">
            <v>7.1527777777777773E-2</v>
          </cell>
          <cell r="AZ696">
            <v>9.166666666666666E-2</v>
          </cell>
          <cell r="BA696">
            <v>0.18472222222222223</v>
          </cell>
          <cell r="BB696" t="str">
            <v>0.5*1.1/1.0*1.1</v>
          </cell>
          <cell r="BC696" t="str">
            <v>0.5*1.1/1.0*1.1</v>
          </cell>
          <cell r="BD696" t="str">
            <v>Vibratome</v>
          </cell>
          <cell r="BE696">
            <v>14</v>
          </cell>
          <cell r="BF696" t="str">
            <v>Moumita</v>
          </cell>
          <cell r="BG696" t="str">
            <v>Y</v>
          </cell>
        </row>
        <row r="697">
          <cell r="A697" t="str">
            <v>FBR2A230278</v>
          </cell>
          <cell r="B697">
            <v>230278</v>
          </cell>
          <cell r="C697" t="str">
            <v>R&amp;D</v>
          </cell>
          <cell r="D697">
            <v>45166</v>
          </cell>
          <cell r="E697">
            <v>0.57430555555555551</v>
          </cell>
          <cell r="F697">
            <v>45139</v>
          </cell>
          <cell r="G697">
            <v>45166</v>
          </cell>
          <cell r="H697">
            <v>0.65555555555555556</v>
          </cell>
          <cell r="I697">
            <v>8.1250000000000003E-2</v>
          </cell>
          <cell r="J697">
            <v>3</v>
          </cell>
          <cell r="K697" t="str">
            <v>FCB-PROTOCOL-02</v>
          </cell>
          <cell r="L697" t="str">
            <v>OC020</v>
          </cell>
          <cell r="M697" t="str">
            <v>Y</v>
          </cell>
          <cell r="N697" t="str">
            <v>Ovary CC (R2A)</v>
          </cell>
          <cell r="O697" t="str">
            <v>Internal R&amp;D</v>
          </cell>
          <cell r="P697" t="str">
            <v>Q1 Passed</v>
          </cell>
          <cell r="Q697" t="str">
            <v>Q1 Passed</v>
          </cell>
          <cell r="R697" t="str">
            <v>Compromised</v>
          </cell>
          <cell r="S697" t="str">
            <v>Q1.5 Passed</v>
          </cell>
          <cell r="V697" t="str">
            <v>Tumor content 15-40%</v>
          </cell>
          <cell r="W697" t="str">
            <v>Private Hospital</v>
          </cell>
          <cell r="X697" t="str">
            <v>Mazumdar Shaw Medical Centre, Bangalore</v>
          </cell>
          <cell r="Y697" t="str">
            <v>Mazumdar Shaw Medical Centre, Bangalore</v>
          </cell>
          <cell r="Z697" t="str">
            <v>Dr Rohit Ranade, Bangalore</v>
          </cell>
          <cell r="AA697" t="str">
            <v>Ca Ovary</v>
          </cell>
          <cell r="AC697" t="str">
            <v>Ovary</v>
          </cell>
          <cell r="AD697" t="str">
            <v>Left Ovary</v>
          </cell>
          <cell r="AE697" t="str">
            <v>Female</v>
          </cell>
          <cell r="AF697">
            <v>52</v>
          </cell>
          <cell r="AG697" t="str">
            <v>N</v>
          </cell>
          <cell r="AH697">
            <v>5.8</v>
          </cell>
          <cell r="AI697" t="str">
            <v>Maruthi</v>
          </cell>
          <cell r="AJ697" t="str">
            <v>Surgery</v>
          </cell>
          <cell r="AK697" t="str">
            <v>Primary</v>
          </cell>
          <cell r="AN697" t="str">
            <v>III</v>
          </cell>
          <cell r="AO697" t="str">
            <v>High grade</v>
          </cell>
          <cell r="AP697" t="str">
            <v>pT3</v>
          </cell>
          <cell r="AS697" t="str">
            <v>serous carcinoma</v>
          </cell>
          <cell r="AV697">
            <v>45166</v>
          </cell>
          <cell r="AW697">
            <v>0.66249999999999998</v>
          </cell>
          <cell r="AX697">
            <v>0.71944444444444444</v>
          </cell>
          <cell r="AY697">
            <v>5.6944444444444443E-2</v>
          </cell>
          <cell r="AZ697">
            <v>6.3888888888888884E-2</v>
          </cell>
          <cell r="BA697">
            <v>0.1451388888888889</v>
          </cell>
          <cell r="BB697" t="str">
            <v>0.4*1.2*1.2</v>
          </cell>
          <cell r="BC697" t="str">
            <v>0.4*1.2*1.2</v>
          </cell>
          <cell r="BD697" t="str">
            <v>Manual</v>
          </cell>
          <cell r="BE697">
            <v>14</v>
          </cell>
          <cell r="BF697" t="str">
            <v>chandan</v>
          </cell>
          <cell r="BG697" t="str">
            <v>Y</v>
          </cell>
        </row>
        <row r="698">
          <cell r="A698" t="str">
            <v>FBR2H230278</v>
          </cell>
          <cell r="B698">
            <v>230278</v>
          </cell>
          <cell r="C698" t="str">
            <v>R&amp;D</v>
          </cell>
          <cell r="D698">
            <v>45166</v>
          </cell>
          <cell r="E698">
            <v>0.57430555555555551</v>
          </cell>
          <cell r="F698">
            <v>45139</v>
          </cell>
          <cell r="G698">
            <v>45166</v>
          </cell>
          <cell r="H698">
            <v>0.65555555555555556</v>
          </cell>
          <cell r="I698">
            <v>8.1250000000000003E-2</v>
          </cell>
          <cell r="J698">
            <v>3</v>
          </cell>
          <cell r="K698" t="str">
            <v>FCB-PROTOCOL-02</v>
          </cell>
          <cell r="L698" t="str">
            <v>OC020</v>
          </cell>
          <cell r="M698" t="str">
            <v>Y</v>
          </cell>
          <cell r="N698" t="str">
            <v>Ovary CC (R2A)</v>
          </cell>
          <cell r="O698" t="str">
            <v>Internal R&amp;D</v>
          </cell>
          <cell r="P698" t="str">
            <v>Q1 Passed</v>
          </cell>
          <cell r="Q698" t="str">
            <v>Q1 Passed</v>
          </cell>
          <cell r="R698" t="str">
            <v>Compromised</v>
          </cell>
          <cell r="S698" t="str">
            <v>Q1.5 Passed</v>
          </cell>
          <cell r="V698" t="str">
            <v>Tumor content 15-40%</v>
          </cell>
          <cell r="W698" t="str">
            <v>Private Hospital</v>
          </cell>
          <cell r="X698" t="str">
            <v>Mazumdar Shaw Medical Centre, Bangalore</v>
          </cell>
          <cell r="Y698" t="str">
            <v>Mazumdar Shaw Medical Centre, Bangalore</v>
          </cell>
          <cell r="Z698" t="str">
            <v>Dr Rohit Ranade, Bangalore</v>
          </cell>
          <cell r="AA698" t="str">
            <v>Ca Ovary</v>
          </cell>
          <cell r="AC698" t="str">
            <v>Ovary</v>
          </cell>
          <cell r="AD698" t="str">
            <v>Left Ovary</v>
          </cell>
          <cell r="AE698" t="str">
            <v>Female</v>
          </cell>
          <cell r="AF698">
            <v>52</v>
          </cell>
          <cell r="AG698" t="str">
            <v>N</v>
          </cell>
          <cell r="AH698">
            <v>5.8</v>
          </cell>
          <cell r="AI698" t="str">
            <v>Maruthi</v>
          </cell>
          <cell r="AJ698" t="str">
            <v>Surgery</v>
          </cell>
          <cell r="AK698" t="str">
            <v>Primary</v>
          </cell>
          <cell r="AN698" t="str">
            <v>III</v>
          </cell>
          <cell r="AO698" t="str">
            <v>High grade</v>
          </cell>
          <cell r="AP698" t="str">
            <v>pT3</v>
          </cell>
          <cell r="AS698" t="str">
            <v>serous carcinoma</v>
          </cell>
          <cell r="AV698">
            <v>45166</v>
          </cell>
          <cell r="AW698">
            <v>0.66249999999999998</v>
          </cell>
          <cell r="AX698">
            <v>0.71944444444444444</v>
          </cell>
          <cell r="AY698">
            <v>5.6944444444444443E-2</v>
          </cell>
          <cell r="AZ698">
            <v>6.3888888888888884E-2</v>
          </cell>
          <cell r="BA698">
            <v>0.1451388888888889</v>
          </cell>
          <cell r="BB698" t="str">
            <v>0.4*1.2*1.2</v>
          </cell>
          <cell r="BC698" t="str">
            <v>0.4*1.2*1.2</v>
          </cell>
          <cell r="BD698" t="str">
            <v>Manual</v>
          </cell>
          <cell r="BE698">
            <v>14</v>
          </cell>
          <cell r="BF698" t="str">
            <v>chandan</v>
          </cell>
          <cell r="BG698" t="str">
            <v>Y</v>
          </cell>
        </row>
        <row r="699">
          <cell r="A699" t="str">
            <v>FBR1W230279</v>
          </cell>
          <cell r="B699">
            <v>230279</v>
          </cell>
          <cell r="C699" t="str">
            <v>R&amp;D</v>
          </cell>
          <cell r="D699">
            <v>45167</v>
          </cell>
          <cell r="E699">
            <v>0.46111111111111114</v>
          </cell>
          <cell r="F699">
            <v>45139</v>
          </cell>
          <cell r="G699">
            <v>45167</v>
          </cell>
          <cell r="H699">
            <v>0.56458333333333333</v>
          </cell>
          <cell r="I699">
            <v>0.10347222222222222</v>
          </cell>
          <cell r="J699">
            <v>0</v>
          </cell>
          <cell r="K699" t="str">
            <v>FCB-PROTOCOL-01</v>
          </cell>
          <cell r="L699" t="str">
            <v>VYD/204</v>
          </cell>
          <cell r="M699" t="str">
            <v>Y</v>
          </cell>
          <cell r="N699" t="str">
            <v>Biopsy Cabr-BSS (1W)</v>
          </cell>
          <cell r="O699" t="str">
            <v>Internal R&amp;D</v>
          </cell>
          <cell r="P699" t="str">
            <v>Q1 Passed</v>
          </cell>
          <cell r="Q699" t="str">
            <v>Q1 Passed</v>
          </cell>
          <cell r="R699" t="str">
            <v>Q1.5 Passed</v>
          </cell>
          <cell r="S699" t="str">
            <v>Q1.5 Passed</v>
          </cell>
          <cell r="V699" t="str">
            <v>Tumor content 0-12%. Tumor in 1 fragment only</v>
          </cell>
          <cell r="W699" t="str">
            <v>Private Hospital</v>
          </cell>
          <cell r="X699" t="str">
            <v>Vydehi Hospital, Bangalore</v>
          </cell>
          <cell r="Y699" t="str">
            <v>Vydehi Hospital, Bangalore</v>
          </cell>
          <cell r="Z699" t="str">
            <v>Dr Amritha Prabha, Bangalore</v>
          </cell>
          <cell r="AA699" t="str">
            <v>Ca Breast</v>
          </cell>
          <cell r="AB699" t="str">
            <v>TNBC</v>
          </cell>
          <cell r="AC699" t="str">
            <v>Breast</v>
          </cell>
          <cell r="AD699" t="str">
            <v>Left Breast</v>
          </cell>
          <cell r="AE699" t="str">
            <v>Female</v>
          </cell>
          <cell r="AF699">
            <v>28</v>
          </cell>
          <cell r="AG699" t="str">
            <v>N</v>
          </cell>
          <cell r="AH699">
            <v>5.2</v>
          </cell>
          <cell r="AI699" t="str">
            <v>Kalappa</v>
          </cell>
          <cell r="AJ699" t="str">
            <v>Biopsy</v>
          </cell>
          <cell r="AK699" t="str">
            <v>Primary</v>
          </cell>
          <cell r="AM699" t="str">
            <v>cT3N1</v>
          </cell>
          <cell r="AO699">
            <v>2</v>
          </cell>
          <cell r="AV699">
            <v>45167</v>
          </cell>
          <cell r="AW699">
            <v>0.58750000000000002</v>
          </cell>
          <cell r="AX699">
            <v>0.63402777777777775</v>
          </cell>
          <cell r="AY699">
            <v>4.6527777777777779E-2</v>
          </cell>
          <cell r="AZ699">
            <v>6.9444444444444448E-2</v>
          </cell>
          <cell r="BA699">
            <v>0.17291666666666666</v>
          </cell>
          <cell r="BB699" t="str">
            <v>0.1*0.1*1.4
0.1*0.1*1.8
0.1*0.1*1.2</v>
          </cell>
          <cell r="BC699" t="str">
            <v>0.1*0.1*1.4
0.1*0.1*1.8
0.1*0.1*1.2</v>
          </cell>
          <cell r="BD699" t="str">
            <v>Manual</v>
          </cell>
          <cell r="BE699">
            <v>14</v>
          </cell>
          <cell r="BF699" t="str">
            <v>kuberan</v>
          </cell>
          <cell r="BG699" t="str">
            <v>Y</v>
          </cell>
        </row>
        <row r="700">
          <cell r="A700" t="str">
            <v>FBR2H230279</v>
          </cell>
          <cell r="B700">
            <v>230279</v>
          </cell>
          <cell r="C700" t="str">
            <v>R&amp;D</v>
          </cell>
          <cell r="D700">
            <v>45167</v>
          </cell>
          <cell r="E700">
            <v>0.46111111111111114</v>
          </cell>
          <cell r="F700">
            <v>45139</v>
          </cell>
          <cell r="G700">
            <v>45167</v>
          </cell>
          <cell r="H700">
            <v>0.56458333333333333</v>
          </cell>
          <cell r="I700">
            <v>0.10347222222222222</v>
          </cell>
          <cell r="J700">
            <v>0</v>
          </cell>
          <cell r="K700" t="str">
            <v>FCB-PROTOCOL-01</v>
          </cell>
          <cell r="L700" t="str">
            <v>VYD/204</v>
          </cell>
          <cell r="M700" t="str">
            <v>Y</v>
          </cell>
          <cell r="N700" t="str">
            <v>Biopsy Cabr-BSS (1W)</v>
          </cell>
          <cell r="O700" t="str">
            <v>Internal R&amp;D</v>
          </cell>
          <cell r="P700" t="str">
            <v>Q1 Passed</v>
          </cell>
          <cell r="Q700" t="str">
            <v>Q1 Passed</v>
          </cell>
          <cell r="R700" t="str">
            <v>Q1.5 Passed</v>
          </cell>
          <cell r="S700" t="str">
            <v>Q1.5 Passed</v>
          </cell>
          <cell r="V700" t="str">
            <v>Tumor content 0-12%. Tumor in 1 fragment only</v>
          </cell>
          <cell r="W700" t="str">
            <v>Private Hospital</v>
          </cell>
          <cell r="X700" t="str">
            <v>Vydehi Hospital, Bangalore</v>
          </cell>
          <cell r="Y700" t="str">
            <v>Vydehi Hospital, Bangalore</v>
          </cell>
          <cell r="Z700" t="str">
            <v>Dr Amritha Prabha, Bangalore</v>
          </cell>
          <cell r="AA700" t="str">
            <v>Ca Breast</v>
          </cell>
          <cell r="AB700" t="str">
            <v>TNBC</v>
          </cell>
          <cell r="AC700" t="str">
            <v>Breast</v>
          </cell>
          <cell r="AD700" t="str">
            <v>Left Breast</v>
          </cell>
          <cell r="AE700" t="str">
            <v>Female</v>
          </cell>
          <cell r="AF700">
            <v>28</v>
          </cell>
          <cell r="AG700" t="str">
            <v>N</v>
          </cell>
          <cell r="AH700">
            <v>5.2</v>
          </cell>
          <cell r="AI700" t="str">
            <v>Kalappa</v>
          </cell>
          <cell r="AJ700" t="str">
            <v>Biopsy</v>
          </cell>
          <cell r="AK700" t="str">
            <v>Primary</v>
          </cell>
          <cell r="AM700" t="str">
            <v>cT3N1</v>
          </cell>
          <cell r="AO700">
            <v>2</v>
          </cell>
          <cell r="AV700">
            <v>45167</v>
          </cell>
          <cell r="AW700">
            <v>0.58750000000000002</v>
          </cell>
          <cell r="AX700">
            <v>0.63402777777777775</v>
          </cell>
          <cell r="AY700">
            <v>4.6527777777777779E-2</v>
          </cell>
          <cell r="AZ700">
            <v>6.9444444444444448E-2</v>
          </cell>
          <cell r="BA700">
            <v>0.17291666666666666</v>
          </cell>
          <cell r="BB700" t="str">
            <v>0.1*0.1*1.4
0.1*0.1*1.8
0.1*0.1*1.2</v>
          </cell>
          <cell r="BC700" t="str">
            <v>0.1*0.1*1.4
0.1*0.1*1.8
0.1*0.1*1.2</v>
          </cell>
          <cell r="BD700" t="str">
            <v>Manual</v>
          </cell>
          <cell r="BE700">
            <v>14</v>
          </cell>
          <cell r="BF700" t="str">
            <v>kuberan</v>
          </cell>
          <cell r="BG700" t="str">
            <v>Y</v>
          </cell>
        </row>
        <row r="701">
          <cell r="A701" t="str">
            <v>FBR1W230280</v>
          </cell>
          <cell r="B701">
            <v>230280</v>
          </cell>
          <cell r="C701" t="str">
            <v>R&amp;D</v>
          </cell>
          <cell r="D701">
            <v>45167</v>
          </cell>
          <cell r="E701">
            <v>0.70833333333333337</v>
          </cell>
          <cell r="F701">
            <v>45139</v>
          </cell>
          <cell r="G701">
            <v>45167</v>
          </cell>
          <cell r="H701">
            <v>0.77083333333333337</v>
          </cell>
          <cell r="I701">
            <v>6.25E-2</v>
          </cell>
          <cell r="J701">
            <v>0</v>
          </cell>
          <cell r="K701" t="str">
            <v>FCB-PROTOCOL-02</v>
          </cell>
          <cell r="L701" t="str">
            <v>BC024</v>
          </cell>
          <cell r="M701" t="str">
            <v>Y</v>
          </cell>
          <cell r="N701" t="str">
            <v>Biopsy Cabr-BSS (1W)</v>
          </cell>
          <cell r="O701" t="str">
            <v>Internal R&amp;D</v>
          </cell>
          <cell r="P701" t="str">
            <v>Q1 Passed</v>
          </cell>
          <cell r="Q701" t="str">
            <v>Q1 Passed</v>
          </cell>
          <cell r="R701" t="str">
            <v>Q1.5 Passed</v>
          </cell>
          <cell r="S701" t="str">
            <v>Q1.5 Passed</v>
          </cell>
          <cell r="V701" t="str">
            <v>Tumor content 0-20%</v>
          </cell>
          <cell r="W701" t="str">
            <v>Private Hospital</v>
          </cell>
          <cell r="X701" t="str">
            <v>Mazumdar Shaw Medical Centre, Bangalore</v>
          </cell>
          <cell r="Y701" t="str">
            <v>Mazumdar Shaw Medical Centre, Bangalore</v>
          </cell>
          <cell r="Z701" t="str">
            <v>Dr Akshita Singh</v>
          </cell>
          <cell r="AA701" t="str">
            <v>Ca Breast</v>
          </cell>
          <cell r="AB701" t="str">
            <v>Er (+)
Pr (+)
Her2 (-)</v>
          </cell>
          <cell r="AC701" t="str">
            <v>Breast</v>
          </cell>
          <cell r="AD701" t="str">
            <v>Right Breast</v>
          </cell>
          <cell r="AE701" t="str">
            <v>Female</v>
          </cell>
          <cell r="AF701">
            <v>54</v>
          </cell>
          <cell r="AG701" t="str">
            <v>N</v>
          </cell>
          <cell r="AH701">
            <v>4.5</v>
          </cell>
          <cell r="AI701" t="str">
            <v>Maruthi</v>
          </cell>
          <cell r="AJ701" t="str">
            <v>Biopsy</v>
          </cell>
          <cell r="AK701" t="str">
            <v>Primary</v>
          </cell>
          <cell r="AS701" t="str">
            <v xml:space="preserve">Invasive carcinoma of no special type </v>
          </cell>
          <cell r="AV701">
            <v>45167</v>
          </cell>
          <cell r="AW701">
            <v>0.77986111111111112</v>
          </cell>
          <cell r="AX701">
            <v>0.82291666666666663</v>
          </cell>
          <cell r="AY701">
            <v>4.3055555555555555E-2</v>
          </cell>
          <cell r="AZ701">
            <v>5.2083333333333336E-2</v>
          </cell>
          <cell r="BA701">
            <v>0.11458333333333333</v>
          </cell>
          <cell r="BB701" t="str">
            <v>0.1*0.1*0.1</v>
          </cell>
          <cell r="BC701" t="str">
            <v>0.1*0.1*0.1</v>
          </cell>
          <cell r="BD701" t="str">
            <v>Manual</v>
          </cell>
          <cell r="BE701">
            <v>14</v>
          </cell>
          <cell r="BF701" t="str">
            <v xml:space="preserve">sai </v>
          </cell>
          <cell r="BG701" t="str">
            <v>N</v>
          </cell>
        </row>
        <row r="702">
          <cell r="A702" t="str">
            <v>FBR1W230281</v>
          </cell>
          <cell r="B702">
            <v>230281</v>
          </cell>
          <cell r="C702" t="str">
            <v>R&amp;D</v>
          </cell>
          <cell r="D702">
            <v>45169</v>
          </cell>
          <cell r="E702">
            <v>0.49027777777777776</v>
          </cell>
          <cell r="F702">
            <v>45139</v>
          </cell>
          <cell r="G702">
            <v>45168</v>
          </cell>
          <cell r="H702">
            <v>0.61527777777777781</v>
          </cell>
          <cell r="I702">
            <v>0.125</v>
          </cell>
          <cell r="J702">
            <v>2</v>
          </cell>
          <cell r="K702" t="str">
            <v>FCB-PROTOCOL-01</v>
          </cell>
          <cell r="L702" t="str">
            <v>VYD/205</v>
          </cell>
          <cell r="M702" t="str">
            <v>Y</v>
          </cell>
          <cell r="N702" t="str">
            <v>Biopsy Cabr-BSS (1W)</v>
          </cell>
          <cell r="O702" t="str">
            <v>Internal R&amp;D</v>
          </cell>
          <cell r="P702" t="str">
            <v>Q1 Passed</v>
          </cell>
          <cell r="Q702" t="str">
            <v>Q1 Passed</v>
          </cell>
          <cell r="R702" t="str">
            <v>Q1.5 Passed</v>
          </cell>
          <cell r="S702" t="str">
            <v>Q1.5 Passed</v>
          </cell>
          <cell r="V702" t="str">
            <v>Tumor content 0-5%</v>
          </cell>
          <cell r="W702" t="str">
            <v>Private Hospital</v>
          </cell>
          <cell r="X702" t="str">
            <v>Vydehi Hospital, Bangalore</v>
          </cell>
          <cell r="Y702" t="str">
            <v>Vydehi Hospital, Bangalore</v>
          </cell>
          <cell r="Z702" t="str">
            <v>Dr Amritha Prabha, Bangalore</v>
          </cell>
          <cell r="AA702" t="str">
            <v>Ca Breast</v>
          </cell>
          <cell r="AB702" t="str">
            <v>TPBC</v>
          </cell>
          <cell r="AC702" t="str">
            <v>Breast</v>
          </cell>
          <cell r="AD702" t="str">
            <v>Left Breast</v>
          </cell>
          <cell r="AE702" t="str">
            <v>Female</v>
          </cell>
          <cell r="AF702">
            <v>50</v>
          </cell>
          <cell r="AG702" t="str">
            <v>N</v>
          </cell>
          <cell r="AH702">
            <v>5.0999999999999996</v>
          </cell>
          <cell r="AI702" t="str">
            <v>Shashi</v>
          </cell>
          <cell r="AJ702" t="str">
            <v>Surgery</v>
          </cell>
          <cell r="AK702" t="str">
            <v>Primary</v>
          </cell>
          <cell r="AL702" t="str">
            <v>Chemotherapy</v>
          </cell>
          <cell r="AN702" t="str">
            <v>II</v>
          </cell>
          <cell r="AO702">
            <v>1</v>
          </cell>
          <cell r="AP702" t="str">
            <v>ypT2N0</v>
          </cell>
          <cell r="AQ702">
            <v>6</v>
          </cell>
          <cell r="AR702" t="str">
            <v>Docetaxel&amp;Carboplatin</v>
          </cell>
          <cell r="AV702">
            <v>45169</v>
          </cell>
          <cell r="AW702">
            <v>0.63194444444444442</v>
          </cell>
          <cell r="AX702">
            <v>0.69097222222222221</v>
          </cell>
          <cell r="AY702">
            <v>5.9027777777777776E-2</v>
          </cell>
          <cell r="AZ702">
            <v>7.5694444444444439E-2</v>
          </cell>
          <cell r="BA702">
            <v>0.20069444444444445</v>
          </cell>
          <cell r="BB702" t="str">
            <v>0.4-0.5*1.5/0.6*2.0</v>
          </cell>
          <cell r="BC702" t="str">
            <v>0.4-0.5*1.5/0.6*2.0</v>
          </cell>
          <cell r="BD702" t="str">
            <v>Manual</v>
          </cell>
          <cell r="BE702">
            <v>14</v>
          </cell>
          <cell r="BF702" t="str">
            <v>kuberan</v>
          </cell>
          <cell r="BG702" t="str">
            <v>Y</v>
          </cell>
        </row>
        <row r="703">
          <cell r="A703" t="str">
            <v>FBR1Y230282</v>
          </cell>
          <cell r="B703">
            <v>230282</v>
          </cell>
          <cell r="C703" t="str">
            <v>R&amp;D</v>
          </cell>
          <cell r="D703">
            <v>45169</v>
          </cell>
          <cell r="E703">
            <v>0.50694444444444442</v>
          </cell>
          <cell r="F703">
            <v>45139</v>
          </cell>
          <cell r="G703">
            <v>45168</v>
          </cell>
          <cell r="H703">
            <v>0.64652777777777781</v>
          </cell>
          <cell r="I703">
            <v>0.13958333333333334</v>
          </cell>
          <cell r="J703">
            <v>10</v>
          </cell>
          <cell r="K703" t="str">
            <v>FCB-PROTOCOL-02</v>
          </cell>
          <cell r="L703" t="str">
            <v>HN084</v>
          </cell>
          <cell r="M703" t="str">
            <v>Y</v>
          </cell>
          <cell r="N703" t="str">
            <v>CCS Study (1Y)</v>
          </cell>
          <cell r="O703" t="str">
            <v>Internal R&amp;D</v>
          </cell>
          <cell r="P703" t="str">
            <v>Q1 Passed</v>
          </cell>
          <cell r="Q703" t="str">
            <v>Q1 Passed</v>
          </cell>
          <cell r="R703" t="str">
            <v>Q1.5 Passed</v>
          </cell>
          <cell r="S703" t="str">
            <v>Q1.5 Passed</v>
          </cell>
          <cell r="V703" t="str">
            <v>Tumor content 40-60%</v>
          </cell>
          <cell r="W703" t="str">
            <v>Private Hospital</v>
          </cell>
          <cell r="X703" t="str">
            <v>Mazumdar Shaw Medical Centre, Bangalore</v>
          </cell>
          <cell r="Y703" t="str">
            <v>Mazumdar Shaw Medical Centre, Bangalore</v>
          </cell>
          <cell r="Z703" t="str">
            <v>Dr Vijay Pillai, Bangalore</v>
          </cell>
          <cell r="AA703" t="str">
            <v>HNSCC</v>
          </cell>
          <cell r="AC703" t="str">
            <v>Alveolus</v>
          </cell>
          <cell r="AD703" t="str">
            <v>Lower Alveolus</v>
          </cell>
          <cell r="AE703" t="str">
            <v>Female</v>
          </cell>
          <cell r="AF703">
            <v>56</v>
          </cell>
          <cell r="AG703" t="str">
            <v>N</v>
          </cell>
          <cell r="AH703">
            <v>3.1</v>
          </cell>
          <cell r="AI703" t="str">
            <v>Partha</v>
          </cell>
          <cell r="AJ703" t="str">
            <v>Surgery</v>
          </cell>
          <cell r="AK703" t="str">
            <v>Primary</v>
          </cell>
          <cell r="AN703" t="str">
            <v>IV</v>
          </cell>
          <cell r="AO703">
            <v>2</v>
          </cell>
          <cell r="AP703" t="str">
            <v>pT4b</v>
          </cell>
          <cell r="AS703" t="str">
            <v>Moderately differentiated squamous cell carcinoma</v>
          </cell>
          <cell r="AV703">
            <v>45169</v>
          </cell>
          <cell r="AW703">
            <v>0.65972222222222221</v>
          </cell>
          <cell r="AX703">
            <v>0.75347222222222221</v>
          </cell>
          <cell r="AY703">
            <v>9.375E-2</v>
          </cell>
          <cell r="AZ703">
            <v>0.10694444444444444</v>
          </cell>
          <cell r="BA703">
            <v>0.24652777777777779</v>
          </cell>
          <cell r="BB703" t="str">
            <v>0.9*1.2/1.4*1.4</v>
          </cell>
          <cell r="BD703" t="str">
            <v>Vibratome</v>
          </cell>
          <cell r="BE703">
            <v>14</v>
          </cell>
          <cell r="BF703" t="str">
            <v>Mouniss</v>
          </cell>
          <cell r="BG703" t="str">
            <v>Y</v>
          </cell>
        </row>
        <row r="704">
          <cell r="A704" t="str">
            <v>FBR2G30282</v>
          </cell>
          <cell r="B704">
            <v>230282</v>
          </cell>
          <cell r="C704" t="str">
            <v>R&amp;D</v>
          </cell>
          <cell r="D704">
            <v>45169</v>
          </cell>
          <cell r="E704">
            <v>0.50694444444444442</v>
          </cell>
          <cell r="F704">
            <v>45139</v>
          </cell>
          <cell r="G704">
            <v>45168</v>
          </cell>
          <cell r="H704">
            <v>0.64652777777777781</v>
          </cell>
          <cell r="I704">
            <v>0.13958333333333334</v>
          </cell>
          <cell r="J704">
            <v>10</v>
          </cell>
          <cell r="K704" t="str">
            <v>FCB-PROTOCOL-02</v>
          </cell>
          <cell r="L704" t="str">
            <v>HN084</v>
          </cell>
          <cell r="M704" t="str">
            <v>Y</v>
          </cell>
          <cell r="N704" t="str">
            <v>Microfragments (2G)</v>
          </cell>
          <cell r="O704" t="str">
            <v>Internal R&amp;D</v>
          </cell>
          <cell r="P704" t="str">
            <v>Q1 Passed</v>
          </cell>
          <cell r="Q704" t="str">
            <v>Q1 Passed</v>
          </cell>
          <cell r="R704" t="str">
            <v>Q1.5 Passed</v>
          </cell>
          <cell r="S704" t="str">
            <v>Q1.5 Passed</v>
          </cell>
          <cell r="V704" t="str">
            <v>Tumor content 40-60%</v>
          </cell>
          <cell r="W704" t="str">
            <v>Private Hospital</v>
          </cell>
          <cell r="X704" t="str">
            <v>Mazumdar Shaw Medical Centre, Bangalore</v>
          </cell>
          <cell r="Y704" t="str">
            <v>Mazumdar Shaw Medical Centre, Bangalore</v>
          </cell>
          <cell r="Z704" t="str">
            <v>Dr Vijay Pillai, Bangalore</v>
          </cell>
          <cell r="AA704" t="str">
            <v>HNSCC</v>
          </cell>
          <cell r="AC704" t="str">
            <v>Alveolus</v>
          </cell>
          <cell r="AD704" t="str">
            <v>Lower Alveolus</v>
          </cell>
          <cell r="AE704" t="str">
            <v>Female</v>
          </cell>
          <cell r="AF704">
            <v>56</v>
          </cell>
          <cell r="AG704" t="str">
            <v>N</v>
          </cell>
          <cell r="AH704">
            <v>3.1</v>
          </cell>
          <cell r="AI704" t="str">
            <v>Partha</v>
          </cell>
          <cell r="AJ704" t="str">
            <v>Surgery</v>
          </cell>
          <cell r="AK704" t="str">
            <v>Primary</v>
          </cell>
          <cell r="AS704" t="str">
            <v>Moderately differentiated squamous cell carcinoma</v>
          </cell>
          <cell r="AV704">
            <v>45169</v>
          </cell>
          <cell r="BB704" t="str">
            <v>0.9*1.2/1.4*1.4</v>
          </cell>
          <cell r="BD704" t="str">
            <v>Vibratome</v>
          </cell>
        </row>
        <row r="705">
          <cell r="A705" t="str">
            <v>FBR1W30283</v>
          </cell>
          <cell r="B705">
            <v>230283</v>
          </cell>
          <cell r="C705" t="str">
            <v>R&amp;D</v>
          </cell>
          <cell r="D705">
            <v>45175</v>
          </cell>
          <cell r="E705">
            <v>0.46180555555555558</v>
          </cell>
          <cell r="F705">
            <v>45170</v>
          </cell>
          <cell r="G705">
            <v>45175</v>
          </cell>
          <cell r="H705">
            <v>0.52569444444444446</v>
          </cell>
          <cell r="I705">
            <v>6.3888888888888884E-2</v>
          </cell>
          <cell r="J705">
            <v>0</v>
          </cell>
          <cell r="K705" t="str">
            <v>FCB-PROTOCOL-02</v>
          </cell>
          <cell r="L705" t="str">
            <v>BC025</v>
          </cell>
          <cell r="M705" t="str">
            <v>Y</v>
          </cell>
          <cell r="N705" t="str">
            <v>Biopsy Cabr-BSS (1W)</v>
          </cell>
          <cell r="O705" t="str">
            <v>Internal R&amp;D</v>
          </cell>
          <cell r="P705" t="str">
            <v>Q1 Passed</v>
          </cell>
          <cell r="Q705" t="str">
            <v>Q1 Rejected</v>
          </cell>
          <cell r="R705" t="str">
            <v>Compromised</v>
          </cell>
          <cell r="S705" t="str">
            <v>Q1.5 Passed</v>
          </cell>
          <cell r="T705" t="str">
            <v>blood volume is 2ml</v>
          </cell>
          <cell r="V705" t="str">
            <v>Tumor content 0-25%</v>
          </cell>
          <cell r="W705" t="str">
            <v>Private Hospital</v>
          </cell>
          <cell r="X705" t="str">
            <v>Mazumdar Shaw Medical Centre, Bangalore</v>
          </cell>
          <cell r="Y705" t="str">
            <v>Mazumdar Shaw Medical Centre, Bangalore</v>
          </cell>
          <cell r="Z705" t="str">
            <v>Dr Akshita Singh</v>
          </cell>
          <cell r="AA705" t="str">
            <v>Ca Breast</v>
          </cell>
          <cell r="AB705" t="str">
            <v>ER +
PR +
Her2 -</v>
          </cell>
          <cell r="AC705" t="str">
            <v>Breast</v>
          </cell>
          <cell r="AD705" t="str">
            <v>Right Breast</v>
          </cell>
          <cell r="AE705" t="str">
            <v>Female</v>
          </cell>
          <cell r="AF705">
            <v>40</v>
          </cell>
          <cell r="AG705" t="str">
            <v>N</v>
          </cell>
          <cell r="AH705">
            <v>5.2</v>
          </cell>
          <cell r="AI705" t="str">
            <v>Kalappa</v>
          </cell>
          <cell r="AJ705" t="str">
            <v>Biopsy</v>
          </cell>
          <cell r="AK705" t="str">
            <v>Primary</v>
          </cell>
          <cell r="AS705" t="str">
            <v>Invasive carcinoma</v>
          </cell>
          <cell r="AV705">
            <v>45175</v>
          </cell>
          <cell r="AW705">
            <v>0.58194444444444449</v>
          </cell>
          <cell r="AX705">
            <v>0.63402777777777775</v>
          </cell>
          <cell r="AY705">
            <v>5.2083333333333336E-2</v>
          </cell>
          <cell r="AZ705">
            <v>0.10833333333333334</v>
          </cell>
          <cell r="BA705">
            <v>0.17222222222222222</v>
          </cell>
          <cell r="BB705" t="str">
            <v>0.4-15</v>
          </cell>
          <cell r="BC705" t="str">
            <v>0.4-15</v>
          </cell>
          <cell r="BD705" t="str">
            <v>Manual</v>
          </cell>
          <cell r="BE705">
            <v>15</v>
          </cell>
          <cell r="BF705" t="str">
            <v xml:space="preserve">sai </v>
          </cell>
          <cell r="BG705" t="str">
            <v>N</v>
          </cell>
        </row>
        <row r="706">
          <cell r="A706" t="str">
            <v>FBR1W30284</v>
          </cell>
          <cell r="B706">
            <v>230284</v>
          </cell>
          <cell r="C706" t="str">
            <v>R&amp;D</v>
          </cell>
          <cell r="D706">
            <v>45185</v>
          </cell>
          <cell r="E706">
            <v>0.69791666666666663</v>
          </cell>
          <cell r="F706">
            <v>45170</v>
          </cell>
          <cell r="G706">
            <v>45185</v>
          </cell>
          <cell r="H706">
            <v>0.75347222222222221</v>
          </cell>
          <cell r="I706">
            <v>5.5555555555555552E-2</v>
          </cell>
          <cell r="J706">
            <v>0</v>
          </cell>
          <cell r="K706" t="str">
            <v>FCB-PROTOCOL-02</v>
          </cell>
          <cell r="L706" t="str">
            <v>BC026</v>
          </cell>
          <cell r="M706" t="str">
            <v>Y</v>
          </cell>
          <cell r="N706" t="str">
            <v>Biopsy Cabr-BSS (1W)</v>
          </cell>
          <cell r="O706" t="str">
            <v>Internal R&amp;D</v>
          </cell>
          <cell r="P706" t="str">
            <v>Q1 Passed</v>
          </cell>
          <cell r="Q706" t="str">
            <v>Q1 Passed</v>
          </cell>
          <cell r="R706" t="str">
            <v>Q1.5 Passed</v>
          </cell>
          <cell r="S706" t="str">
            <v>Q1.5 Passed</v>
          </cell>
          <cell r="V706" t="str">
            <v>Tumor content 0-15%  ( Average content 5%)</v>
          </cell>
          <cell r="W706" t="str">
            <v>Private Hospital</v>
          </cell>
          <cell r="X706" t="str">
            <v>Mazumdar Shaw Medical Centre, Bangalore</v>
          </cell>
          <cell r="Y706" t="str">
            <v>Mazumdar Shaw Medical Centre, Bangalore</v>
          </cell>
          <cell r="Z706" t="str">
            <v>Dr Akshita Singh</v>
          </cell>
          <cell r="AA706" t="str">
            <v>Ca Breast</v>
          </cell>
          <cell r="AB706" t="str">
            <v>ER +
PR +
Her2 -</v>
          </cell>
          <cell r="AC706" t="str">
            <v>Breast</v>
          </cell>
          <cell r="AD706" t="str">
            <v>Left Breast</v>
          </cell>
          <cell r="AE706" t="str">
            <v>Female</v>
          </cell>
          <cell r="AF706">
            <v>58</v>
          </cell>
          <cell r="AG706" t="str">
            <v>N</v>
          </cell>
          <cell r="AH706">
            <v>5.0999999999999996</v>
          </cell>
          <cell r="AI706" t="str">
            <v>Shashi</v>
          </cell>
          <cell r="AJ706" t="str">
            <v>Biopsy</v>
          </cell>
          <cell r="AK706" t="str">
            <v>Primary</v>
          </cell>
          <cell r="AS706" t="str">
            <v>Invasive carcinoma</v>
          </cell>
          <cell r="AV706">
            <v>45185</v>
          </cell>
          <cell r="AW706">
            <v>0.77361111111111114</v>
          </cell>
          <cell r="AX706">
            <v>0.8125</v>
          </cell>
          <cell r="AY706">
            <v>3.888888888888889E-2</v>
          </cell>
          <cell r="AZ706">
            <v>5.9027777777777776E-2</v>
          </cell>
          <cell r="BA706">
            <v>0.11458333333333333</v>
          </cell>
          <cell r="BB706" t="str">
            <v>0.1*0.1*0.1</v>
          </cell>
          <cell r="BC706" t="str">
            <v>0.1*0.1*0.1</v>
          </cell>
          <cell r="BD706" t="str">
            <v>Manual</v>
          </cell>
          <cell r="BE706">
            <v>15</v>
          </cell>
          <cell r="BF706" t="str">
            <v xml:space="preserve">sai </v>
          </cell>
          <cell r="BG706" t="str">
            <v>N</v>
          </cell>
        </row>
        <row r="707">
          <cell r="A707" t="str">
            <v>FBR2D30285</v>
          </cell>
          <cell r="B707">
            <v>230285</v>
          </cell>
          <cell r="C707" t="str">
            <v>R&amp;D</v>
          </cell>
          <cell r="D707">
            <v>45190</v>
          </cell>
          <cell r="E707">
            <v>0.4861111111111111</v>
          </cell>
          <cell r="F707">
            <v>45170</v>
          </cell>
          <cell r="G707">
            <v>45190</v>
          </cell>
          <cell r="H707">
            <v>0.87916666666666665</v>
          </cell>
          <cell r="I707">
            <v>0.39305555555555555</v>
          </cell>
          <cell r="J707">
            <v>20</v>
          </cell>
          <cell r="K707" t="str">
            <v>FCB-PROTOCOL-01</v>
          </cell>
          <cell r="L707" t="str">
            <v>CLN/DBR/158</v>
          </cell>
          <cell r="M707" t="str">
            <v>Y</v>
          </cell>
          <cell r="N707" t="str">
            <v>BSS V2 (2D)</v>
          </cell>
          <cell r="O707" t="str">
            <v>Internal R&amp;D</v>
          </cell>
          <cell r="P707" t="str">
            <v>Q1 Passed</v>
          </cell>
          <cell r="Q707" t="str">
            <v>Q1 Passed</v>
          </cell>
          <cell r="R707" t="str">
            <v>Q1.5 Passed</v>
          </cell>
          <cell r="S707" t="str">
            <v>Q1.5 Passed</v>
          </cell>
          <cell r="V707" t="str">
            <v>Tumor content 12-80%</v>
          </cell>
          <cell r="W707" t="str">
            <v>Clinic'les</v>
          </cell>
          <cell r="X707" t="str">
            <v>Clinic'les- DBR &amp; SK Hospital, Tirupati</v>
          </cell>
          <cell r="Y707" t="str">
            <v>DBR &amp; SK Hospital, Tirupati</v>
          </cell>
          <cell r="Z707" t="str">
            <v>Dr C Jayaprakash, Tirupati</v>
          </cell>
          <cell r="AA707" t="str">
            <v>HNSCC</v>
          </cell>
          <cell r="AC707" t="str">
            <v>Buccal mucosa</v>
          </cell>
          <cell r="AD707" t="str">
            <v>Left Buccal Mucosa</v>
          </cell>
          <cell r="AE707" t="str">
            <v>Female</v>
          </cell>
          <cell r="AF707">
            <v>69</v>
          </cell>
          <cell r="AG707" t="str">
            <v>N</v>
          </cell>
          <cell r="AH707">
            <v>5.0999999999999996</v>
          </cell>
          <cell r="AI707" t="str">
            <v>Shashi</v>
          </cell>
          <cell r="AJ707" t="str">
            <v>Surgery</v>
          </cell>
          <cell r="AK707" t="str">
            <v>Primary</v>
          </cell>
          <cell r="AN707" t="str">
            <v>III</v>
          </cell>
          <cell r="AP707" t="str">
            <v xml:space="preserve">T3 N1 MX </v>
          </cell>
          <cell r="AV707">
            <v>45191</v>
          </cell>
          <cell r="AW707">
            <v>0.27777777777777779</v>
          </cell>
          <cell r="AX707">
            <v>0.35416666666666669</v>
          </cell>
          <cell r="AY707">
            <v>7.6388888888888895E-2</v>
          </cell>
          <cell r="AZ70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0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07" t="str">
            <v>0.8/0.9*1.0*1.8</v>
          </cell>
          <cell r="BD707" t="str">
            <v>Vibratome</v>
          </cell>
          <cell r="BE707">
            <v>15</v>
          </cell>
          <cell r="BF707" t="str">
            <v>Kowshik</v>
          </cell>
          <cell r="BG707" t="str">
            <v>Y</v>
          </cell>
        </row>
        <row r="708">
          <cell r="A708">
            <v>230286</v>
          </cell>
          <cell r="B708">
            <v>230286</v>
          </cell>
          <cell r="C708" t="str">
            <v>R&amp;D</v>
          </cell>
          <cell r="D708">
            <v>45196</v>
          </cell>
          <cell r="E708">
            <v>0.51527777777777772</v>
          </cell>
          <cell r="F708">
            <v>45170</v>
          </cell>
          <cell r="G708">
            <v>45196</v>
          </cell>
          <cell r="H708">
            <v>0.56944444444444442</v>
          </cell>
          <cell r="I708">
            <v>5.4166666666666669E-2</v>
          </cell>
          <cell r="J708">
            <v>1</v>
          </cell>
          <cell r="K708" t="str">
            <v>FCB-PROTOCOL-02</v>
          </cell>
          <cell r="L708" t="str">
            <v>CLN/PRA/232</v>
          </cell>
          <cell r="M708" t="str">
            <v>Y</v>
          </cell>
          <cell r="N708" t="str">
            <v>No Study</v>
          </cell>
          <cell r="O708" t="str">
            <v>1st level attrition</v>
          </cell>
          <cell r="P708" t="str">
            <v>Q1 Rejected</v>
          </cell>
          <cell r="Q708" t="str">
            <v>Q1 Passed</v>
          </cell>
          <cell r="R708" t="str">
            <v>Q1.5 Rejected</v>
          </cell>
          <cell r="S708" t="str">
            <v>Q1.5 Rejected</v>
          </cell>
          <cell r="T708" t="str">
            <v>Fatty tissue</v>
          </cell>
          <cell r="V708" t="str">
            <v>NA</v>
          </cell>
          <cell r="W708" t="str">
            <v>Private Hospital</v>
          </cell>
          <cell r="X708" t="str">
            <v>Dr Prakash BV, Bangalore</v>
          </cell>
          <cell r="Y708" t="str">
            <v>Sri Lakshmi Hospital, Bangalore</v>
          </cell>
          <cell r="Z708" t="str">
            <v>Dr Prakash BV, Bangalore</v>
          </cell>
          <cell r="AA708" t="str">
            <v>Ca Breast</v>
          </cell>
          <cell r="AC708" t="str">
            <v>Breast</v>
          </cell>
          <cell r="AD708" t="str">
            <v>Right Breast</v>
          </cell>
          <cell r="AE708" t="str">
            <v>Female</v>
          </cell>
          <cell r="AF708">
            <v>55</v>
          </cell>
          <cell r="AG708" t="str">
            <v>N</v>
          </cell>
          <cell r="AH708">
            <v>4.2</v>
          </cell>
          <cell r="AI708" t="str">
            <v>Maruthi</v>
          </cell>
          <cell r="AJ708" t="str">
            <v>Surgery</v>
          </cell>
          <cell r="AK708" t="str">
            <v>Primary</v>
          </cell>
          <cell r="AV708">
            <v>45196</v>
          </cell>
        </row>
        <row r="709">
          <cell r="A709" t="str">
            <v>FBR1Y230287</v>
          </cell>
          <cell r="B709">
            <v>230287</v>
          </cell>
          <cell r="C709" t="str">
            <v>R&amp;D</v>
          </cell>
          <cell r="D709">
            <v>45196</v>
          </cell>
          <cell r="E709">
            <v>0.67361111111111116</v>
          </cell>
          <cell r="F709">
            <v>45170</v>
          </cell>
          <cell r="G709">
            <v>45196</v>
          </cell>
          <cell r="H709">
            <v>0.74722222222222223</v>
          </cell>
          <cell r="I709">
            <v>7.3611111111111113E-2</v>
          </cell>
          <cell r="J709">
            <v>10</v>
          </cell>
          <cell r="K709" t="str">
            <v>FCB-PROTOCOL-02</v>
          </cell>
          <cell r="L709" t="str">
            <v>HN085</v>
          </cell>
          <cell r="M709" t="str">
            <v>Y</v>
          </cell>
          <cell r="N709" t="str">
            <v>CCS Study (1Y)</v>
          </cell>
          <cell r="O709" t="str">
            <v>Internal R&amp;D</v>
          </cell>
          <cell r="P709" t="str">
            <v>Q1 Passed</v>
          </cell>
          <cell r="Q709" t="str">
            <v>Q1 Passed</v>
          </cell>
          <cell r="R709" t="str">
            <v>Q1.5 Passed</v>
          </cell>
          <cell r="S709" t="str">
            <v>Q1.5 Passed</v>
          </cell>
          <cell r="V709" t="str">
            <v>Not done (Sample came out off paraffin, culture continued but TBL data not available)</v>
          </cell>
          <cell r="W709" t="str">
            <v>Private Hospital</v>
          </cell>
          <cell r="X709" t="str">
            <v>Mazumdar Shaw Medical Centre, Bangalore</v>
          </cell>
          <cell r="Y709" t="str">
            <v>Mazumdar Shaw Medical Centre, Bangalore</v>
          </cell>
          <cell r="Z709" t="str">
            <v>Dr Vijay Pillai, Bangalore</v>
          </cell>
          <cell r="AA709" t="str">
            <v>HNSCC</v>
          </cell>
          <cell r="AC709" t="str">
            <v>Tongue</v>
          </cell>
          <cell r="AD709" t="str">
            <v>Right Lateral Border of Tongue</v>
          </cell>
          <cell r="AE709" t="str">
            <v>Female</v>
          </cell>
          <cell r="AF709">
            <v>38</v>
          </cell>
          <cell r="AG709" t="str">
            <v>N</v>
          </cell>
          <cell r="AH709">
            <v>6.2</v>
          </cell>
          <cell r="AI709" t="str">
            <v>Partha</v>
          </cell>
          <cell r="AJ709" t="str">
            <v>Surgery</v>
          </cell>
          <cell r="AK709" t="str">
            <v>Primary</v>
          </cell>
          <cell r="AN709" t="str">
            <v>III</v>
          </cell>
          <cell r="AO709">
            <v>2</v>
          </cell>
          <cell r="AP709" t="str">
            <v>pT3 pN0</v>
          </cell>
          <cell r="AS709" t="str">
            <v>Moderately differentiated squamous cell carcinoma</v>
          </cell>
          <cell r="AV709">
            <v>45196</v>
          </cell>
          <cell r="AW709">
            <v>0.7631944444444444</v>
          </cell>
          <cell r="AX709">
            <v>0.84027777777777779</v>
          </cell>
          <cell r="AY709">
            <v>7.7083333333333337E-2</v>
          </cell>
          <cell r="AZ709">
            <v>9.3055555555555558E-2</v>
          </cell>
          <cell r="BA709">
            <v>0.16666666666666666</v>
          </cell>
          <cell r="BB709" t="str">
            <v xml:space="preserve">0.6/0.4*0.6/0.8*0.8/0.6 </v>
          </cell>
          <cell r="BC709" t="str">
            <v>0.5*0.8*0.8</v>
          </cell>
          <cell r="BD709" t="str">
            <v>Vibratome</v>
          </cell>
          <cell r="BE709">
            <v>15</v>
          </cell>
          <cell r="BF709" t="str">
            <v>Syam</v>
          </cell>
          <cell r="BG709" t="str">
            <v>Y</v>
          </cell>
        </row>
        <row r="710">
          <cell r="A710" t="str">
            <v>FBR1M230288</v>
          </cell>
          <cell r="B710">
            <v>230288</v>
          </cell>
          <cell r="C710" t="str">
            <v>R&amp;D</v>
          </cell>
          <cell r="D710">
            <v>45197</v>
          </cell>
          <cell r="E710">
            <v>0.66666666666666663</v>
          </cell>
          <cell r="F710">
            <v>45170</v>
          </cell>
          <cell r="G710">
            <v>45197</v>
          </cell>
          <cell r="H710">
            <v>0.73055555555555551</v>
          </cell>
          <cell r="I710">
            <v>6.3888888888888884E-2</v>
          </cell>
          <cell r="J710">
            <v>5</v>
          </cell>
          <cell r="K710" t="str">
            <v>FCB-PROTOCOL-02</v>
          </cell>
          <cell r="L710" t="str">
            <v>RC037</v>
          </cell>
          <cell r="M710" t="str">
            <v>Y</v>
          </cell>
          <cell r="N710" t="str">
            <v>DMS_RCC(1M)</v>
          </cell>
          <cell r="O710" t="str">
            <v>Internal R&amp;D</v>
          </cell>
          <cell r="P710" t="str">
            <v>Q1 Passed</v>
          </cell>
          <cell r="Q710" t="str">
            <v>Q1 Passed</v>
          </cell>
          <cell r="R710" t="str">
            <v>Q1.5 Passed</v>
          </cell>
          <cell r="S710" t="str">
            <v>Q1.5 Passed</v>
          </cell>
          <cell r="V710" t="str">
            <v>Tumor content greater than 90%</v>
          </cell>
          <cell r="W710" t="str">
            <v>Private Hospital</v>
          </cell>
          <cell r="X710" t="str">
            <v>Mazumdar Shaw Medical Centre, Bangalore</v>
          </cell>
          <cell r="Y710" t="str">
            <v>Mazumdar Shaw Medical Centre, Bangalore</v>
          </cell>
          <cell r="Z710" t="str">
            <v>Dr Saurabh Bhargav, Bangalore</v>
          </cell>
          <cell r="AA710" t="str">
            <v>RCC</v>
          </cell>
          <cell r="AC710" t="str">
            <v>Renal</v>
          </cell>
          <cell r="AD710" t="str">
            <v>Left Renal Mass</v>
          </cell>
          <cell r="AE710" t="str">
            <v>Male</v>
          </cell>
          <cell r="AF710">
            <v>61</v>
          </cell>
          <cell r="AG710" t="str">
            <v>N</v>
          </cell>
          <cell r="AH710">
            <v>4.5</v>
          </cell>
          <cell r="AI710" t="str">
            <v>Kalappa</v>
          </cell>
          <cell r="AJ710" t="str">
            <v>Surgery</v>
          </cell>
          <cell r="AK710" t="str">
            <v>Primary</v>
          </cell>
          <cell r="AN710" t="str">
            <v>I</v>
          </cell>
          <cell r="AO710">
            <v>1</v>
          </cell>
          <cell r="AP710" t="str">
            <v>pT1b</v>
          </cell>
          <cell r="AS710" t="str">
            <v> Clear cell renal cell carcinoma </v>
          </cell>
          <cell r="AV710">
            <v>45197</v>
          </cell>
          <cell r="AW710">
            <v>0.77638888888888891</v>
          </cell>
          <cell r="AX710">
            <v>0.84722222222222221</v>
          </cell>
          <cell r="AY710">
            <v>7.0833333333333331E-2</v>
          </cell>
          <cell r="AZ710">
            <v>0.11666666666666667</v>
          </cell>
          <cell r="BA710">
            <v>0.18055555555555555</v>
          </cell>
          <cell r="BB710" t="str">
            <v>0.6*0.6*1.1</v>
          </cell>
          <cell r="BD710" t="str">
            <v>Vibratome</v>
          </cell>
          <cell r="BE710">
            <v>15</v>
          </cell>
          <cell r="BF710" t="str">
            <v>Biswajit</v>
          </cell>
          <cell r="BG710" t="str">
            <v>N</v>
          </cell>
        </row>
        <row r="711">
          <cell r="A711" t="str">
            <v>FBR1Y230289</v>
          </cell>
          <cell r="B711">
            <v>230289</v>
          </cell>
          <cell r="C711" t="str">
            <v>R&amp;D</v>
          </cell>
          <cell r="D711">
            <v>45198</v>
          </cell>
          <cell r="E711">
            <v>0.70138888888888884</v>
          </cell>
          <cell r="F711">
            <v>45170</v>
          </cell>
          <cell r="G711">
            <v>45167</v>
          </cell>
          <cell r="H711">
            <v>0.76249999999999996</v>
          </cell>
          <cell r="I711">
            <v>6.1111111111111109E-2</v>
          </cell>
          <cell r="J711">
            <v>15</v>
          </cell>
          <cell r="K711" t="str">
            <v>FCB-PROTOCOL-02</v>
          </cell>
          <cell r="L711" t="str">
            <v>HN086</v>
          </cell>
          <cell r="M711" t="str">
            <v>Y</v>
          </cell>
          <cell r="N711" t="str">
            <v>BSS V2 (2D)</v>
          </cell>
          <cell r="O711" t="str">
            <v>Internal R&amp;D</v>
          </cell>
          <cell r="P711" t="str">
            <v>Q1 Passed</v>
          </cell>
          <cell r="Q711" t="str">
            <v>Q1 Rejected</v>
          </cell>
          <cell r="R711" t="str">
            <v>Compromised</v>
          </cell>
          <cell r="S711" t="str">
            <v>Q1.5 Passed</v>
          </cell>
          <cell r="T711" t="str">
            <v>Blood Heamolysed</v>
          </cell>
          <cell r="V711" t="str">
            <v>Tumor content 0-90%</v>
          </cell>
          <cell r="W711" t="str">
            <v>Private Hospital</v>
          </cell>
          <cell r="X711" t="str">
            <v>Mazumdar Shaw Medical Centre, Bangalore</v>
          </cell>
          <cell r="Y711" t="str">
            <v>Mazumdar Shaw Medical Centre, Bangalore</v>
          </cell>
          <cell r="Z711" t="str">
            <v>Dr Vijay Pillai, Bangalore</v>
          </cell>
          <cell r="AA711" t="str">
            <v>HNSCC</v>
          </cell>
          <cell r="AC711" t="str">
            <v>Tongue</v>
          </cell>
          <cell r="AD711" t="str">
            <v>Right Lateral Border of Tongue</v>
          </cell>
          <cell r="AE711" t="str">
            <v>Male</v>
          </cell>
          <cell r="AF711">
            <v>47</v>
          </cell>
          <cell r="AG711" t="str">
            <v>N</v>
          </cell>
          <cell r="AH711">
            <v>4.5999999999999996</v>
          </cell>
          <cell r="AI711" t="str">
            <v>Kalappa</v>
          </cell>
          <cell r="AJ711" t="str">
            <v>Surgery</v>
          </cell>
          <cell r="AK711" t="str">
            <v>Primary</v>
          </cell>
          <cell r="AN711" t="str">
            <v>III</v>
          </cell>
          <cell r="AO711">
            <v>2</v>
          </cell>
          <cell r="AP711" t="str">
            <v>pT3  pN2b</v>
          </cell>
          <cell r="AS711" t="str">
            <v>Moderately differentiated squamous cell carcinoma</v>
          </cell>
          <cell r="AV711">
            <v>45198</v>
          </cell>
          <cell r="AW711">
            <v>0.77638888888888891</v>
          </cell>
          <cell r="AX711">
            <v>0.84722222222222221</v>
          </cell>
          <cell r="AY711">
            <v>7.0833333333333331E-2</v>
          </cell>
          <cell r="AZ711">
            <v>8.4722222222222227E-2</v>
          </cell>
          <cell r="BA711">
            <v>0.14583333333333334</v>
          </cell>
          <cell r="BB711" t="str">
            <v>0.6*0.6*1.1</v>
          </cell>
          <cell r="BD711" t="str">
            <v>Vibratome</v>
          </cell>
          <cell r="BE711">
            <v>15</v>
          </cell>
          <cell r="BF711" t="str">
            <v>Biswajit</v>
          </cell>
          <cell r="BG711" t="str">
            <v>N</v>
          </cell>
        </row>
        <row r="712">
          <cell r="A712" t="str">
            <v>FBR2D230289</v>
          </cell>
          <cell r="B712">
            <v>230289</v>
          </cell>
          <cell r="C712" t="str">
            <v>R&amp;D</v>
          </cell>
          <cell r="D712">
            <v>45198</v>
          </cell>
          <cell r="E712">
            <v>0.70138888888888884</v>
          </cell>
          <cell r="F712">
            <v>45170</v>
          </cell>
          <cell r="G712">
            <v>45167</v>
          </cell>
          <cell r="H712">
            <v>0.76249999999999996</v>
          </cell>
          <cell r="I712">
            <v>6.1111111111111109E-2</v>
          </cell>
          <cell r="J712">
            <v>15</v>
          </cell>
          <cell r="K712" t="str">
            <v>FCB-PROTOCOL-02</v>
          </cell>
          <cell r="L712" t="str">
            <v>HN086</v>
          </cell>
          <cell r="M712" t="str">
            <v>Y</v>
          </cell>
          <cell r="N712" t="str">
            <v>BSS V2 (2D)</v>
          </cell>
          <cell r="O712" t="str">
            <v>Internal R&amp;D</v>
          </cell>
          <cell r="P712" t="str">
            <v>Q1 Passed</v>
          </cell>
          <cell r="Q712" t="str">
            <v>Q1 Rejected</v>
          </cell>
          <cell r="R712" t="str">
            <v>Compromised</v>
          </cell>
          <cell r="S712" t="str">
            <v>Q1.5 Passed</v>
          </cell>
          <cell r="T712" t="str">
            <v>Blood Heamolysed</v>
          </cell>
          <cell r="V712" t="str">
            <v>Tumor content 0-90%</v>
          </cell>
          <cell r="W712" t="str">
            <v>Private Hospital</v>
          </cell>
          <cell r="X712" t="str">
            <v>Mazumdar Shaw Medical Centre, Bangalore</v>
          </cell>
          <cell r="Y712" t="str">
            <v>Mazumdar Shaw Medical Centre, Bangalore</v>
          </cell>
          <cell r="Z712" t="str">
            <v>Dr Vijay Pillai, Bangalore</v>
          </cell>
          <cell r="AA712" t="str">
            <v>HNSCC</v>
          </cell>
          <cell r="AC712" t="str">
            <v>Tongue</v>
          </cell>
          <cell r="AD712" t="str">
            <v>Right Lateral Border of Tongue</v>
          </cell>
          <cell r="AE712" t="str">
            <v>Male</v>
          </cell>
          <cell r="AF712">
            <v>47</v>
          </cell>
          <cell r="AG712" t="str">
            <v>N</v>
          </cell>
          <cell r="AH712">
            <v>4.5999999999999996</v>
          </cell>
          <cell r="AI712" t="str">
            <v>Kalappa</v>
          </cell>
          <cell r="AJ712" t="str">
            <v>Surgery</v>
          </cell>
          <cell r="AK712" t="str">
            <v>Primary</v>
          </cell>
          <cell r="AN712" t="str">
            <v>III</v>
          </cell>
          <cell r="AO712">
            <v>2</v>
          </cell>
          <cell r="AP712" t="str">
            <v>pT3  pN2b</v>
          </cell>
          <cell r="AS712" t="str">
            <v>Moderately differentiated squamous cell carcinoma</v>
          </cell>
          <cell r="AV712">
            <v>45198</v>
          </cell>
          <cell r="AW712">
            <v>0.77638888888888891</v>
          </cell>
          <cell r="AX712">
            <v>0.84722222222222221</v>
          </cell>
          <cell r="AY712">
            <v>7.0833333333333331E-2</v>
          </cell>
          <cell r="AZ712">
            <v>8.4722222222222227E-2</v>
          </cell>
          <cell r="BA712">
            <v>0.14583333333333334</v>
          </cell>
          <cell r="BB712" t="str">
            <v>0.6*0.6*1.1</v>
          </cell>
          <cell r="BD712" t="str">
            <v>Vibratome</v>
          </cell>
          <cell r="BE712">
            <v>15</v>
          </cell>
          <cell r="BF712" t="str">
            <v>Biswajit</v>
          </cell>
          <cell r="BG712" t="str">
            <v>N</v>
          </cell>
        </row>
        <row r="713">
          <cell r="A713" t="str">
            <v>FBR2A230290</v>
          </cell>
          <cell r="B713">
            <v>230290</v>
          </cell>
          <cell r="C713" t="str">
            <v>R&amp;D</v>
          </cell>
          <cell r="D713">
            <v>45198</v>
          </cell>
          <cell r="E713">
            <v>0.42708333333333331</v>
          </cell>
          <cell r="F713">
            <v>45170</v>
          </cell>
          <cell r="G713">
            <v>45167</v>
          </cell>
          <cell r="H713">
            <v>0.86805555555555558</v>
          </cell>
          <cell r="I713">
            <v>0.44097222222222221</v>
          </cell>
          <cell r="J713">
            <v>15</v>
          </cell>
          <cell r="K713" t="str">
            <v>FCB-PROTOCOL-02</v>
          </cell>
          <cell r="L713" t="str">
            <v>JSS-001</v>
          </cell>
          <cell r="M713" t="str">
            <v>Y</v>
          </cell>
          <cell r="N713" t="str">
            <v>Ovary CC (R2A)</v>
          </cell>
          <cell r="O713" t="str">
            <v>Internal R&amp;D</v>
          </cell>
          <cell r="P713" t="str">
            <v>Q1 Passed</v>
          </cell>
          <cell r="Q713" t="str">
            <v>Q1 Rejected</v>
          </cell>
          <cell r="R713" t="str">
            <v>Q1.5 Passed</v>
          </cell>
          <cell r="S713" t="str">
            <v>Q1.5 Rejected</v>
          </cell>
          <cell r="T713" t="str">
            <v>Blood Heamolysed</v>
          </cell>
          <cell r="V713" t="str">
            <v>No Tumor</v>
          </cell>
          <cell r="W713" t="str">
            <v>Clinic'les</v>
          </cell>
          <cell r="X713" t="str">
            <v>Clinic'les- Dr Ravi Krishnappa, Mysore</v>
          </cell>
          <cell r="Y713" t="str">
            <v>JSS Hospital, Mysore</v>
          </cell>
          <cell r="Z713" t="str">
            <v>Dr Ravi Krishnappa, Mysore</v>
          </cell>
          <cell r="AA713" t="str">
            <v>Ca Ovary</v>
          </cell>
          <cell r="AC713" t="str">
            <v>Ovary</v>
          </cell>
          <cell r="AD713" t="str">
            <v>B/L Ovary</v>
          </cell>
          <cell r="AE713" t="str">
            <v>Female</v>
          </cell>
          <cell r="AF713">
            <v>57</v>
          </cell>
          <cell r="AG713" t="str">
            <v>N</v>
          </cell>
          <cell r="AH713">
            <v>5.6</v>
          </cell>
          <cell r="AI713" t="str">
            <v>Maruthi</v>
          </cell>
          <cell r="AJ713" t="str">
            <v>Surgery</v>
          </cell>
          <cell r="AK713" t="str">
            <v>Primary</v>
          </cell>
          <cell r="AL713" t="str">
            <v>Chemotherapy</v>
          </cell>
          <cell r="AQ713">
            <v>6</v>
          </cell>
          <cell r="AR713" t="str">
            <v>Pacli+Carbo</v>
          </cell>
          <cell r="AV713">
            <v>45198</v>
          </cell>
          <cell r="AW713">
            <v>0.88402777777777775</v>
          </cell>
          <cell r="AX713">
            <v>0.93958333333333333</v>
          </cell>
          <cell r="AY713">
            <v>5.5555555555555552E-2</v>
          </cell>
          <cell r="AZ713">
            <v>7.1527777777777773E-2</v>
          </cell>
          <cell r="BA713">
            <v>0.51249999999999996</v>
          </cell>
          <cell r="BB713" t="str">
            <v>1.8*2.2*2.8</v>
          </cell>
          <cell r="BD713" t="str">
            <v>Manual</v>
          </cell>
          <cell r="BE713">
            <v>15</v>
          </cell>
          <cell r="BF713" t="str">
            <v>Dharani</v>
          </cell>
          <cell r="BG713" t="str">
            <v>N</v>
          </cell>
        </row>
        <row r="714">
          <cell r="A714" t="str">
            <v>FBB1I230291</v>
          </cell>
          <cell r="B714">
            <v>230291</v>
          </cell>
          <cell r="C714" t="str">
            <v>Biopharma</v>
          </cell>
          <cell r="D714">
            <v>45202</v>
          </cell>
          <cell r="E714">
            <v>0.48333333333333334</v>
          </cell>
          <cell r="F714">
            <v>45200</v>
          </cell>
          <cell r="G714">
            <v>45202</v>
          </cell>
          <cell r="H714">
            <v>0.58333333333333337</v>
          </cell>
          <cell r="I714">
            <v>0.1</v>
          </cell>
          <cell r="J714">
            <v>1</v>
          </cell>
          <cell r="K714" t="str">
            <v>FCB-PROTOCOL-01</v>
          </cell>
          <cell r="L714" t="str">
            <v>VYD/207</v>
          </cell>
          <cell r="M714" t="str">
            <v>Y</v>
          </cell>
          <cell r="N714" t="str">
            <v>BP008 (1I)</v>
          </cell>
          <cell r="O714" t="str">
            <v>Biopharma</v>
          </cell>
          <cell r="P714" t="str">
            <v>Q1 Passed</v>
          </cell>
          <cell r="Q714" t="str">
            <v>Q1 Passed</v>
          </cell>
          <cell r="R714" t="str">
            <v>Q1.5 Passed</v>
          </cell>
          <cell r="S714" t="str">
            <v>Q1.5 Passed</v>
          </cell>
          <cell r="V714" t="str">
            <v>Tumor content 55-90%</v>
          </cell>
          <cell r="W714" t="str">
            <v>Private Hospital</v>
          </cell>
          <cell r="X714" t="str">
            <v>Vydehi Hospital, Bangalore</v>
          </cell>
          <cell r="Y714" t="str">
            <v>Vydehi Hospital, Bangalore</v>
          </cell>
          <cell r="Z714" t="str">
            <v>Dr Amritha Prabha, Bangalore</v>
          </cell>
          <cell r="AA714" t="str">
            <v>HNSCC</v>
          </cell>
          <cell r="AC714" t="str">
            <v>Alveolus</v>
          </cell>
          <cell r="AD714" t="str">
            <v>Left Lower Alveolus</v>
          </cell>
          <cell r="AE714" t="str">
            <v>Female</v>
          </cell>
          <cell r="AF714">
            <v>53</v>
          </cell>
          <cell r="AG714" t="str">
            <v>N</v>
          </cell>
          <cell r="AH714">
            <v>5.5</v>
          </cell>
          <cell r="AI714" t="str">
            <v>Kalappa</v>
          </cell>
          <cell r="AJ714" t="str">
            <v>Surgery</v>
          </cell>
          <cell r="AK714" t="str">
            <v>Primary</v>
          </cell>
          <cell r="AN714" t="str">
            <v>II</v>
          </cell>
          <cell r="AO714">
            <v>2</v>
          </cell>
          <cell r="AP714" t="str">
            <v>T2N0</v>
          </cell>
          <cell r="AV714">
            <v>45202</v>
          </cell>
          <cell r="AW714">
            <v>0.59375</v>
          </cell>
          <cell r="AX714">
            <v>0.67986111111111114</v>
          </cell>
          <cell r="AY714">
            <v>8.611111111111111E-2</v>
          </cell>
          <cell r="AZ714">
            <v>9.6527777777777782E-2</v>
          </cell>
          <cell r="BA714">
            <v>0.19652777777777777</v>
          </cell>
          <cell r="BB714" t="str">
            <v>0.6/0.7*1.0/0.7*1.4/1.2</v>
          </cell>
          <cell r="BD714" t="str">
            <v>Vibratome</v>
          </cell>
          <cell r="BE714">
            <v>15</v>
          </cell>
          <cell r="BF714" t="str">
            <v>chandan</v>
          </cell>
          <cell r="BG714" t="str">
            <v>Y</v>
          </cell>
        </row>
        <row r="715">
          <cell r="A715" t="str">
            <v>FBR1W230292</v>
          </cell>
          <cell r="B715">
            <v>230292</v>
          </cell>
          <cell r="C715" t="str">
            <v>R&amp;D</v>
          </cell>
          <cell r="D715">
            <v>45202</v>
          </cell>
          <cell r="E715">
            <v>0.46250000000000002</v>
          </cell>
          <cell r="F715">
            <v>45200</v>
          </cell>
          <cell r="G715">
            <v>45202</v>
          </cell>
          <cell r="H715">
            <v>0.58333333333333337</v>
          </cell>
          <cell r="I715">
            <v>0.12083333333333333</v>
          </cell>
          <cell r="J715">
            <v>0</v>
          </cell>
          <cell r="K715" t="str">
            <v>FCB-PROTOCOL-01</v>
          </cell>
          <cell r="L715" t="str">
            <v>VYD/206</v>
          </cell>
          <cell r="M715" t="str">
            <v>Y</v>
          </cell>
          <cell r="N715" t="str">
            <v>Biopsy Cabr-BSS (1W)</v>
          </cell>
          <cell r="O715" t="str">
            <v>Internal R&amp;D</v>
          </cell>
          <cell r="P715" t="str">
            <v>Q1 Passed</v>
          </cell>
          <cell r="Q715" t="str">
            <v>Q1 Passed</v>
          </cell>
          <cell r="R715" t="str">
            <v>Q1.5 Passed</v>
          </cell>
          <cell r="S715" t="str">
            <v>Q1.5 Rejected</v>
          </cell>
          <cell r="V715" t="str">
            <v>No tumor</v>
          </cell>
          <cell r="W715" t="str">
            <v>Private Hospital</v>
          </cell>
          <cell r="X715" t="str">
            <v>Vydehi Hospital, Bangalore</v>
          </cell>
          <cell r="Y715" t="str">
            <v>Vydehi Hospital, Bangalore</v>
          </cell>
          <cell r="Z715" t="str">
            <v>Dr Amritha Prabha, Bangalore</v>
          </cell>
          <cell r="AA715" t="str">
            <v>Ca Breast</v>
          </cell>
          <cell r="AC715" t="str">
            <v>Breast</v>
          </cell>
          <cell r="AD715" t="str">
            <v>Left Breast</v>
          </cell>
          <cell r="AE715" t="str">
            <v>Female</v>
          </cell>
          <cell r="AF715">
            <v>33</v>
          </cell>
          <cell r="AG715" t="str">
            <v>N</v>
          </cell>
          <cell r="AH715">
            <v>5.5</v>
          </cell>
          <cell r="AI715" t="str">
            <v>Kalappa</v>
          </cell>
          <cell r="AJ715" t="str">
            <v>Biopsy</v>
          </cell>
          <cell r="AK715" t="str">
            <v>Primary</v>
          </cell>
          <cell r="AV715">
            <v>45202</v>
          </cell>
          <cell r="AW715">
            <v>0.59722222222222221</v>
          </cell>
          <cell r="AX715">
            <v>0.6430555555555556</v>
          </cell>
          <cell r="AY715">
            <v>4.583333333333333E-2</v>
          </cell>
          <cell r="AZ715">
            <v>5.9722222222222225E-2</v>
          </cell>
          <cell r="BA715">
            <v>0.18055555555555555</v>
          </cell>
          <cell r="BB715" t="str">
            <v>10mm to 18mm</v>
          </cell>
          <cell r="BD715" t="str">
            <v>Manual</v>
          </cell>
          <cell r="BE715">
            <v>15</v>
          </cell>
          <cell r="BF715" t="str">
            <v>kuberan</v>
          </cell>
          <cell r="BG715" t="str">
            <v>Y</v>
          </cell>
        </row>
        <row r="716">
          <cell r="A716" t="str">
            <v>FBR2I230293</v>
          </cell>
          <cell r="B716">
            <v>230293</v>
          </cell>
          <cell r="C716" t="str">
            <v>R&amp;D</v>
          </cell>
          <cell r="D716">
            <v>45203</v>
          </cell>
          <cell r="E716">
            <v>0.39930555555555558</v>
          </cell>
          <cell r="F716">
            <v>45200</v>
          </cell>
          <cell r="G716">
            <v>45203</v>
          </cell>
          <cell r="H716">
            <v>0.62152777777777779</v>
          </cell>
          <cell r="I716">
            <v>0.22222222222222221</v>
          </cell>
          <cell r="J716">
            <v>5</v>
          </cell>
          <cell r="K716" t="str">
            <v>FCB-PROTOCOL-02</v>
          </cell>
          <cell r="L716" t="str">
            <v>JSS-002</v>
          </cell>
          <cell r="M716" t="str">
            <v>Y</v>
          </cell>
          <cell r="P716" t="str">
            <v>Q1 Passed</v>
          </cell>
          <cell r="Q716" t="str">
            <v>Q1 Passed</v>
          </cell>
          <cell r="R716" t="str">
            <v>Q1.5 Passed</v>
          </cell>
          <cell r="S716" t="str">
            <v>Q1.5 Passed</v>
          </cell>
          <cell r="V716" t="str">
            <v>Tumor content 3-25%</v>
          </cell>
          <cell r="W716" t="str">
            <v>Clinic'les</v>
          </cell>
          <cell r="X716" t="str">
            <v>Clinic'les- Dr Ravi Krishnappa, Mysore</v>
          </cell>
          <cell r="Y716" t="str">
            <v>JSS Hospital, Mysore</v>
          </cell>
          <cell r="Z716" t="str">
            <v>Dr Ravi Krishnappa, Mysore</v>
          </cell>
          <cell r="AA716" t="str">
            <v>Lung</v>
          </cell>
          <cell r="AC716" t="str">
            <v>Lung</v>
          </cell>
          <cell r="AD716" t="str">
            <v>Scapular Lesion</v>
          </cell>
          <cell r="AE716" t="str">
            <v>Female</v>
          </cell>
          <cell r="AF716">
            <v>57</v>
          </cell>
          <cell r="AG716" t="str">
            <v>N</v>
          </cell>
          <cell r="AH716">
            <v>5.6</v>
          </cell>
          <cell r="AI716" t="str">
            <v>Maruthi</v>
          </cell>
          <cell r="AJ716" t="str">
            <v>Biopsy</v>
          </cell>
          <cell r="AK716" t="str">
            <v>Metastatic</v>
          </cell>
          <cell r="AL716" t="str">
            <v>Chemotherapy+Radiotherapy</v>
          </cell>
          <cell r="AQ716">
            <v>6</v>
          </cell>
          <cell r="AR716" t="str">
            <v>Cisplatin</v>
          </cell>
          <cell r="AV716">
            <v>45203</v>
          </cell>
          <cell r="AW716">
            <v>0.64027777777777772</v>
          </cell>
          <cell r="AX716">
            <v>0.67847222222222225</v>
          </cell>
          <cell r="AY716">
            <v>3.8194444444444448E-2</v>
          </cell>
          <cell r="AZ716">
            <v>5.6944444444444443E-2</v>
          </cell>
          <cell r="BA716">
            <v>0.27916666666666667</v>
          </cell>
          <cell r="BB716" t="str">
            <v>0.2*0.4</v>
          </cell>
          <cell r="BD716" t="str">
            <v>Manual</v>
          </cell>
          <cell r="BE716">
            <v>15</v>
          </cell>
          <cell r="BF716" t="str">
            <v>Kokila</v>
          </cell>
          <cell r="BG716" t="str">
            <v>Y</v>
          </cell>
        </row>
        <row r="717">
          <cell r="A717" t="str">
            <v>FBR1Y230294</v>
          </cell>
          <cell r="B717">
            <v>230294</v>
          </cell>
          <cell r="C717" t="str">
            <v>R&amp;D</v>
          </cell>
          <cell r="D717">
            <v>45204</v>
          </cell>
          <cell r="E717">
            <v>0.62222222222222223</v>
          </cell>
          <cell r="F717">
            <v>45200</v>
          </cell>
          <cell r="G717">
            <v>45204</v>
          </cell>
          <cell r="H717">
            <v>0.68958333333333333</v>
          </cell>
          <cell r="I717">
            <v>6.7361111111111108E-2</v>
          </cell>
          <cell r="J717">
            <v>12</v>
          </cell>
          <cell r="K717" t="str">
            <v>FCB-PROTOCOL-02</v>
          </cell>
          <cell r="L717" t="str">
            <v>HN087</v>
          </cell>
          <cell r="M717" t="str">
            <v>Y</v>
          </cell>
          <cell r="N717" t="str">
            <v>CCS Study (1Y)</v>
          </cell>
          <cell r="O717" t="str">
            <v>Internal R&amp;D</v>
          </cell>
          <cell r="P717" t="str">
            <v>Q1 Passed</v>
          </cell>
          <cell r="Q717" t="str">
            <v>Q1 Passed</v>
          </cell>
          <cell r="R717" t="str">
            <v>Compromised</v>
          </cell>
          <cell r="S717" t="str">
            <v>Q1.5 Passed</v>
          </cell>
          <cell r="V717" t="str">
            <v>?Sarcamatoid tumor     Tumor content 60-95%</v>
          </cell>
          <cell r="W717" t="str">
            <v>Private Hospital</v>
          </cell>
          <cell r="X717" t="str">
            <v>Mazumdar Shaw Medical Centre, Bangalore</v>
          </cell>
          <cell r="Y717" t="str">
            <v>Mazumdar Shaw Medical Centre, Bangalore</v>
          </cell>
          <cell r="Z717" t="str">
            <v>Dr Vijay Pillai, Bangalore</v>
          </cell>
          <cell r="AA717" t="str">
            <v>HNSCC</v>
          </cell>
          <cell r="AC717" t="str">
            <v>RMT</v>
          </cell>
          <cell r="AD717" t="str">
            <v>Right RMT</v>
          </cell>
          <cell r="AE717" t="str">
            <v>Male</v>
          </cell>
          <cell r="AF717">
            <v>50</v>
          </cell>
          <cell r="AG717" t="str">
            <v>N</v>
          </cell>
          <cell r="AH717">
            <v>4.8</v>
          </cell>
          <cell r="AI717" t="str">
            <v>Partha</v>
          </cell>
          <cell r="AJ717" t="str">
            <v>Surgery</v>
          </cell>
          <cell r="AK717" t="str">
            <v>Primary</v>
          </cell>
          <cell r="AN717" t="str">
            <v>III</v>
          </cell>
          <cell r="AO717">
            <v>2</v>
          </cell>
          <cell r="AP717" t="str">
            <v>pT3</v>
          </cell>
          <cell r="AS717" t="str">
            <v>Moderately differentiated Keratinizing squamous cell carcinoma</v>
          </cell>
          <cell r="AV717">
            <v>45204</v>
          </cell>
          <cell r="AW717">
            <v>0.70486111111111116</v>
          </cell>
          <cell r="AX717">
            <v>0.77916666666666667</v>
          </cell>
          <cell r="AY717">
            <v>7.4305555555555555E-2</v>
          </cell>
          <cell r="AZ717">
            <v>8.9583333333333334E-2</v>
          </cell>
          <cell r="BA717">
            <v>0.15694444444444444</v>
          </cell>
          <cell r="BB717" t="str">
            <v>0.2/0.4*0.7*1.1</v>
          </cell>
          <cell r="BC717" t="str">
            <v>0.2/0.3*0.2*1.1</v>
          </cell>
          <cell r="BD717" t="str">
            <v>Manual</v>
          </cell>
          <cell r="BE717">
            <v>15</v>
          </cell>
          <cell r="BF717" t="str">
            <v>Mouniss</v>
          </cell>
          <cell r="BG717" t="str">
            <v>Y</v>
          </cell>
        </row>
        <row r="718">
          <cell r="A718" t="str">
            <v>FBR2D230294</v>
          </cell>
          <cell r="B718">
            <v>230294</v>
          </cell>
          <cell r="C718" t="str">
            <v>R&amp;D</v>
          </cell>
          <cell r="D718">
            <v>45204</v>
          </cell>
          <cell r="E718">
            <v>0.62222222222222223</v>
          </cell>
          <cell r="F718">
            <v>45200</v>
          </cell>
          <cell r="G718">
            <v>45204</v>
          </cell>
          <cell r="H718">
            <v>0.68958333333333333</v>
          </cell>
          <cell r="I718">
            <v>6.7361111111111108E-2</v>
          </cell>
          <cell r="J718">
            <v>12</v>
          </cell>
          <cell r="K718" t="str">
            <v>FCB-PROTOCOL-02</v>
          </cell>
          <cell r="L718" t="str">
            <v>HN087</v>
          </cell>
          <cell r="M718" t="str">
            <v>Y</v>
          </cell>
          <cell r="N718" t="str">
            <v>BSS V2 (2D)</v>
          </cell>
          <cell r="O718" t="str">
            <v>Internal R&amp;D</v>
          </cell>
          <cell r="P718" t="str">
            <v>Q1 Passed</v>
          </cell>
          <cell r="Q718" t="str">
            <v>Q1 Passed</v>
          </cell>
          <cell r="R718" t="str">
            <v>Compromised</v>
          </cell>
          <cell r="S718" t="str">
            <v>Q1.5 Passed</v>
          </cell>
          <cell r="V718" t="str">
            <v>?Sarcamatoid tumor     Tumor content 60-95%</v>
          </cell>
          <cell r="W718" t="str">
            <v>Private Hospital</v>
          </cell>
          <cell r="X718" t="str">
            <v>Mazumdar Shaw Medical Centre, Bangalore</v>
          </cell>
          <cell r="Y718" t="str">
            <v>Mazumdar Shaw Medical Centre, Bangalore</v>
          </cell>
          <cell r="Z718" t="str">
            <v>Dr Vijay Pillai, Bangalore</v>
          </cell>
          <cell r="AA718" t="str">
            <v>HNSCC</v>
          </cell>
          <cell r="AC718" t="str">
            <v>RMT</v>
          </cell>
          <cell r="AD718" t="str">
            <v>Right RMT</v>
          </cell>
          <cell r="AE718" t="str">
            <v>Male</v>
          </cell>
          <cell r="AF718">
            <v>50</v>
          </cell>
          <cell r="AG718" t="str">
            <v>N</v>
          </cell>
          <cell r="AH718">
            <v>4.8</v>
          </cell>
          <cell r="AI718" t="str">
            <v>Partha</v>
          </cell>
          <cell r="AJ718" t="str">
            <v>Surgery</v>
          </cell>
          <cell r="AK718" t="str">
            <v>Primary</v>
          </cell>
          <cell r="AN718" t="str">
            <v>III</v>
          </cell>
          <cell r="AO718">
            <v>2</v>
          </cell>
          <cell r="AP718" t="str">
            <v>pT3</v>
          </cell>
          <cell r="AS718" t="str">
            <v>Moderately differentiated Keratinizing squamous cell carcinoma</v>
          </cell>
          <cell r="AV718">
            <v>45204</v>
          </cell>
          <cell r="AW718">
            <v>0.70486111111111116</v>
          </cell>
          <cell r="AX718">
            <v>0.77916666666666667</v>
          </cell>
          <cell r="AY718">
            <v>7.4305555555555555E-2</v>
          </cell>
          <cell r="AZ718">
            <v>8.9583333333333334E-2</v>
          </cell>
          <cell r="BA718">
            <v>0.15694444444444444</v>
          </cell>
          <cell r="BB718" t="str">
            <v>0.2/0.4*0.7*1.1</v>
          </cell>
          <cell r="BC718" t="str">
            <v>0.2/0.3*0.2*1.1</v>
          </cell>
          <cell r="BD718" t="str">
            <v>Manual</v>
          </cell>
          <cell r="BE718">
            <v>15</v>
          </cell>
          <cell r="BF718" t="str">
            <v>Mouniss</v>
          </cell>
          <cell r="BG718" t="str">
            <v>Y</v>
          </cell>
        </row>
        <row r="719">
          <cell r="A719" t="str">
            <v>FBB1J230295</v>
          </cell>
          <cell r="B719">
            <v>230295</v>
          </cell>
          <cell r="C719" t="str">
            <v>Biopharma</v>
          </cell>
          <cell r="D719">
            <v>45205</v>
          </cell>
          <cell r="E719">
            <v>0.49236111111111114</v>
          </cell>
          <cell r="F719">
            <v>45200</v>
          </cell>
          <cell r="G719">
            <v>45205</v>
          </cell>
          <cell r="H719">
            <v>0.57430555555555551</v>
          </cell>
          <cell r="I719">
            <v>8.1944444444444445E-2</v>
          </cell>
          <cell r="J719">
            <v>21</v>
          </cell>
          <cell r="K719" t="str">
            <v>FCB-PROTOCOL-02</v>
          </cell>
          <cell r="L719" t="str">
            <v>HN088</v>
          </cell>
          <cell r="M719" t="str">
            <v>Y</v>
          </cell>
          <cell r="N719" t="str">
            <v>BP008 (1J)</v>
          </cell>
          <cell r="O719" t="str">
            <v>Biopharma</v>
          </cell>
          <cell r="P719" t="str">
            <v>Q1 Passed</v>
          </cell>
          <cell r="Q719" t="str">
            <v>Q1 Passed</v>
          </cell>
          <cell r="R719" t="str">
            <v>Q1.5 Passed</v>
          </cell>
          <cell r="S719" t="str">
            <v>Q1.5 Passed</v>
          </cell>
          <cell r="V719" t="str">
            <v>Tumor content 60-80%</v>
          </cell>
          <cell r="W719" t="str">
            <v>Private Hospital</v>
          </cell>
          <cell r="X719" t="str">
            <v>Mazumdar Shaw Medical Centre, Bangalore</v>
          </cell>
          <cell r="Y719" t="str">
            <v>Mazumdar Shaw Medical Centre, Bangalore</v>
          </cell>
          <cell r="Z719" t="str">
            <v>Dr Vijay Pillai, Bangalore</v>
          </cell>
          <cell r="AA719" t="str">
            <v>HNSCC</v>
          </cell>
          <cell r="AC719" t="str">
            <v>RMT</v>
          </cell>
          <cell r="AD719" t="str">
            <v>Right RMT</v>
          </cell>
          <cell r="AE719" t="str">
            <v>Male</v>
          </cell>
          <cell r="AF719">
            <v>37</v>
          </cell>
          <cell r="AG719" t="str">
            <v>N</v>
          </cell>
          <cell r="AH719">
            <v>4.3</v>
          </cell>
          <cell r="AI719" t="str">
            <v>Maruthi</v>
          </cell>
          <cell r="AJ719" t="str">
            <v>Surgery</v>
          </cell>
          <cell r="AK719" t="str">
            <v>Primary</v>
          </cell>
          <cell r="AN719" t="str">
            <v>IV</v>
          </cell>
          <cell r="AO719">
            <v>2</v>
          </cell>
          <cell r="AP719" t="str">
            <v>p4apN2a</v>
          </cell>
          <cell r="AS719" t="str">
            <v>Moderately differentiated squamous cell carcinoma</v>
          </cell>
          <cell r="AV719">
            <v>45205</v>
          </cell>
          <cell r="AW719">
            <v>0.59652777777777777</v>
          </cell>
          <cell r="AX719">
            <v>0.6875</v>
          </cell>
          <cell r="AY719">
            <v>9.0972222222222218E-2</v>
          </cell>
          <cell r="AZ719">
            <v>0.11319444444444444</v>
          </cell>
          <cell r="BA719">
            <v>0.19513888888888889</v>
          </cell>
          <cell r="BB719" t="str">
            <v>0.4/0.6*1.4/15-16*0.6/0.9</v>
          </cell>
          <cell r="BD719" t="str">
            <v>Vibratome</v>
          </cell>
          <cell r="BE719">
            <v>15</v>
          </cell>
          <cell r="BF719" t="str">
            <v>Mouniss</v>
          </cell>
          <cell r="BG719" t="str">
            <v>Y</v>
          </cell>
        </row>
        <row r="720">
          <cell r="A720" t="str">
            <v>FBR1W230296</v>
          </cell>
          <cell r="B720">
            <v>230296</v>
          </cell>
          <cell r="C720" t="str">
            <v>R&amp;D</v>
          </cell>
          <cell r="D720">
            <v>45206</v>
          </cell>
          <cell r="E720">
            <v>0.52430555555555558</v>
          </cell>
          <cell r="F720">
            <v>45200</v>
          </cell>
          <cell r="G720">
            <v>45206</v>
          </cell>
          <cell r="H720">
            <v>0.59583333333333333</v>
          </cell>
          <cell r="I720">
            <v>7.1527777777777773E-2</v>
          </cell>
          <cell r="J720">
            <v>1</v>
          </cell>
          <cell r="K720" t="str">
            <v>FCB-PROTOCOL-01</v>
          </cell>
          <cell r="L720" t="str">
            <v>VYD/208</v>
          </cell>
          <cell r="M720" t="str">
            <v>Y</v>
          </cell>
          <cell r="N720" t="str">
            <v>Biopsy Cabr-BSS (1W)</v>
          </cell>
          <cell r="O720" t="str">
            <v>Internal R&amp;D</v>
          </cell>
          <cell r="P720" t="str">
            <v>Q1 Passed</v>
          </cell>
          <cell r="Q720" t="str">
            <v>Q1 Passed</v>
          </cell>
          <cell r="R720" t="str">
            <v>Q1.5 Passed</v>
          </cell>
          <cell r="S720" t="str">
            <v>Q1.5 Passed</v>
          </cell>
          <cell r="V720" t="str">
            <v>Tumor in 2/6 explants. Tumor content 8-45%. Others no tumor</v>
          </cell>
          <cell r="W720" t="str">
            <v>Private Hospital</v>
          </cell>
          <cell r="X720" t="str">
            <v>Vydehi Hospital, Bangalore</v>
          </cell>
          <cell r="Y720" t="str">
            <v>Vydehi Hospital, Bangalore</v>
          </cell>
          <cell r="Z720" t="str">
            <v>Dr Amritha Prabha, Bangalore</v>
          </cell>
          <cell r="AA720" t="str">
            <v>Ca Breast</v>
          </cell>
          <cell r="AB720" t="str">
            <v>Er (+)
Pr(+)
Her2 (-)</v>
          </cell>
          <cell r="AC720" t="str">
            <v>Breast</v>
          </cell>
          <cell r="AD720" t="str">
            <v>Right  Breast</v>
          </cell>
          <cell r="AE720" t="str">
            <v>Female</v>
          </cell>
          <cell r="AF720">
            <v>72</v>
          </cell>
          <cell r="AG720" t="str">
            <v>N</v>
          </cell>
          <cell r="AH720">
            <v>4.5</v>
          </cell>
          <cell r="AI720" t="str">
            <v>Partha</v>
          </cell>
          <cell r="AJ720" t="str">
            <v>Surgery</v>
          </cell>
          <cell r="AK720" t="str">
            <v>Primary</v>
          </cell>
          <cell r="AN720" t="str">
            <v>II B</v>
          </cell>
          <cell r="AO720">
            <v>2</v>
          </cell>
          <cell r="AP720" t="str">
            <v>T3N0</v>
          </cell>
          <cell r="AV720">
            <v>45206</v>
          </cell>
          <cell r="AW720">
            <v>0.62152777777777779</v>
          </cell>
          <cell r="AX720">
            <v>0.71875</v>
          </cell>
          <cell r="AY720">
            <v>9.7222222222222224E-2</v>
          </cell>
          <cell r="AZ720">
            <v>0.12291666666666666</v>
          </cell>
          <cell r="BA720">
            <v>0.19444444444444445</v>
          </cell>
          <cell r="BB720" t="str">
            <v>0.8*2.0/1.4/0.8*4.6</v>
          </cell>
          <cell r="BC720" t="str">
            <v>0.7/0.6*1.4/1.0*2.8
0.8/0.6*1.4/0.7*1.6</v>
          </cell>
          <cell r="BD720" t="str">
            <v>Manual</v>
          </cell>
          <cell r="BE720">
            <v>15</v>
          </cell>
          <cell r="BF720" t="str">
            <v>Mouniss</v>
          </cell>
          <cell r="BG720" t="str">
            <v>Y</v>
          </cell>
        </row>
        <row r="721">
          <cell r="A721" t="str">
            <v>FBR1W230297</v>
          </cell>
          <cell r="B721">
            <v>230297</v>
          </cell>
          <cell r="C721" t="str">
            <v>R&amp;D</v>
          </cell>
          <cell r="D721">
            <v>45206</v>
          </cell>
          <cell r="E721">
            <v>0.58819444444444446</v>
          </cell>
          <cell r="F721">
            <v>45200</v>
          </cell>
          <cell r="G721">
            <v>45206</v>
          </cell>
          <cell r="H721">
            <v>0.65694444444444444</v>
          </cell>
          <cell r="I721">
            <v>6.8750000000000006E-2</v>
          </cell>
          <cell r="J721">
            <v>1</v>
          </cell>
          <cell r="K721" t="str">
            <v>FCB-PROTOCOL-01</v>
          </cell>
          <cell r="L721" t="str">
            <v>VYD/209</v>
          </cell>
          <cell r="M721" t="str">
            <v>Y</v>
          </cell>
          <cell r="N721" t="str">
            <v>Biopsy Cabr-BSS (1W)</v>
          </cell>
          <cell r="O721" t="str">
            <v>Internal R&amp;D</v>
          </cell>
          <cell r="P721" t="str">
            <v>Q1 Passed</v>
          </cell>
          <cell r="Q721" t="str">
            <v>Q1 Passed</v>
          </cell>
          <cell r="R721" t="str">
            <v>Q1.5 Passed</v>
          </cell>
          <cell r="S721" t="str">
            <v>Q1.5 Passed</v>
          </cell>
          <cell r="V721" t="str">
            <v>Tumor content 0-85%</v>
          </cell>
          <cell r="W721" t="str">
            <v>Private Hospital</v>
          </cell>
          <cell r="X721" t="str">
            <v>Vydehi Hospital, Bangalore</v>
          </cell>
          <cell r="Y721" t="str">
            <v>Vydehi Hospital, Bangalore</v>
          </cell>
          <cell r="Z721" t="str">
            <v>Dr Amritha Prabha, Bangalore</v>
          </cell>
          <cell r="AA721" t="str">
            <v>Ca Breast</v>
          </cell>
          <cell r="AB721" t="str">
            <v>TNBC</v>
          </cell>
          <cell r="AC721" t="str">
            <v>Breast</v>
          </cell>
          <cell r="AD721" t="str">
            <v>Right  Breast</v>
          </cell>
          <cell r="AE721" t="str">
            <v>Female</v>
          </cell>
          <cell r="AF721">
            <v>50</v>
          </cell>
          <cell r="AG721" t="str">
            <v>N</v>
          </cell>
          <cell r="AH721">
            <v>4.8</v>
          </cell>
          <cell r="AI721" t="str">
            <v>Shashi</v>
          </cell>
          <cell r="AJ721" t="str">
            <v>Surgery</v>
          </cell>
          <cell r="AK721" t="str">
            <v>Primary</v>
          </cell>
          <cell r="AL721" t="str">
            <v>Chemotherapy</v>
          </cell>
          <cell r="AN721" t="str">
            <v>II B</v>
          </cell>
          <cell r="AO721">
            <v>2</v>
          </cell>
          <cell r="AP721" t="str">
            <v>yp T3N0</v>
          </cell>
          <cell r="AQ721">
            <v>4</v>
          </cell>
          <cell r="AR721" t="str">
            <v>Adriyamycin/Cyclophosphamide</v>
          </cell>
          <cell r="AT721" t="str">
            <v>CTRT</v>
          </cell>
          <cell r="AU721" t="str">
            <v>Capacitabine</v>
          </cell>
          <cell r="AV721">
            <v>45206</v>
          </cell>
          <cell r="AW721">
            <v>0.66736111111111107</v>
          </cell>
          <cell r="AX721">
            <v>0.72361111111111109</v>
          </cell>
          <cell r="AY721">
            <v>5.6250000000000001E-2</v>
          </cell>
          <cell r="AZ721">
            <v>6.6666666666666666E-2</v>
          </cell>
          <cell r="BA721">
            <v>0.13541666666666666</v>
          </cell>
          <cell r="BB721" t="str">
            <v>0.9*1.2*1.8</v>
          </cell>
          <cell r="BD721" t="str">
            <v>Manual</v>
          </cell>
          <cell r="BE721">
            <v>15</v>
          </cell>
          <cell r="BF721" t="str">
            <v>Dharani</v>
          </cell>
          <cell r="BG721" t="str">
            <v>Y</v>
          </cell>
        </row>
        <row r="722">
          <cell r="A722" t="str">
            <v>FBR1Y230298</v>
          </cell>
          <cell r="B722">
            <v>230298</v>
          </cell>
          <cell r="C722" t="str">
            <v>R&amp;D</v>
          </cell>
          <cell r="D722">
            <v>45208</v>
          </cell>
          <cell r="E722">
            <v>0.61805555555555558</v>
          </cell>
          <cell r="F722">
            <v>45200</v>
          </cell>
          <cell r="G722">
            <v>45208</v>
          </cell>
          <cell r="H722">
            <v>0.68125000000000002</v>
          </cell>
          <cell r="I722">
            <v>6.3194444444444442E-2</v>
          </cell>
          <cell r="J722">
            <v>7</v>
          </cell>
          <cell r="K722" t="str">
            <v>FCB-PROTOCOL-02</v>
          </cell>
          <cell r="L722" t="str">
            <v>HN089</v>
          </cell>
          <cell r="M722" t="str">
            <v>Y</v>
          </cell>
          <cell r="N722" t="str">
            <v>CCS Study (1Y)</v>
          </cell>
          <cell r="O722" t="str">
            <v>Internal R&amp;D</v>
          </cell>
          <cell r="P722" t="str">
            <v>Q1 Passed</v>
          </cell>
          <cell r="Q722" t="str">
            <v>Q1 Passed</v>
          </cell>
          <cell r="R722" t="str">
            <v>Compromised</v>
          </cell>
          <cell r="S722" t="str">
            <v>Q1.5 Passed</v>
          </cell>
          <cell r="V722" t="str">
            <v>Tumor content 0-90%    Necrosis seen in some explants</v>
          </cell>
          <cell r="W722" t="str">
            <v>Private Hospital</v>
          </cell>
          <cell r="X722" t="str">
            <v>Mazumdar Shaw Medical Centre, Bangalore</v>
          </cell>
          <cell r="Y722" t="str">
            <v>Mazumdar Shaw Medical Centre, Bangalore</v>
          </cell>
          <cell r="Z722" t="str">
            <v>Dr Vijay Pillai, Bangalore</v>
          </cell>
          <cell r="AA722" t="str">
            <v>HNSCC</v>
          </cell>
          <cell r="AC722" t="str">
            <v>RMT</v>
          </cell>
          <cell r="AD722" t="str">
            <v>Left RMT</v>
          </cell>
          <cell r="AE722" t="str">
            <v>Male</v>
          </cell>
          <cell r="AF722">
            <v>40</v>
          </cell>
          <cell r="AG722" t="str">
            <v>N</v>
          </cell>
          <cell r="AH722">
            <v>3.5</v>
          </cell>
          <cell r="AI722" t="str">
            <v>Kalappa</v>
          </cell>
          <cell r="AJ722" t="str">
            <v>Surgery</v>
          </cell>
          <cell r="AK722" t="str">
            <v>Primary</v>
          </cell>
          <cell r="AN722" t="str">
            <v>IV</v>
          </cell>
          <cell r="AO722">
            <v>2</v>
          </cell>
          <cell r="AP722" t="str">
            <v>pT4b pN3b</v>
          </cell>
          <cell r="AS722" t="str">
            <v>Moderately differentiated squamous cell carcinoma</v>
          </cell>
          <cell r="AV722">
            <v>45208</v>
          </cell>
          <cell r="AW722">
            <v>0.6958333333333333</v>
          </cell>
          <cell r="AX722">
            <v>0.74652777777777779</v>
          </cell>
          <cell r="AY722">
            <v>5.0694444444444445E-2</v>
          </cell>
          <cell r="AZ722">
            <v>6.5277777777777782E-2</v>
          </cell>
          <cell r="BA722">
            <v>0.12847222222222221</v>
          </cell>
          <cell r="BB722" t="str">
            <v>0.6/0.8*0.4/0.6*0.2/0.4</v>
          </cell>
          <cell r="BD722" t="str">
            <v>Manual</v>
          </cell>
          <cell r="BE722">
            <v>15</v>
          </cell>
          <cell r="BF722" t="str">
            <v xml:space="preserve">sai </v>
          </cell>
          <cell r="BG722" t="str">
            <v>Y</v>
          </cell>
        </row>
        <row r="723">
          <cell r="A723" t="str">
            <v>FBR2A230299</v>
          </cell>
          <cell r="B723">
            <v>230299</v>
          </cell>
          <cell r="C723" t="str">
            <v>R&amp;D</v>
          </cell>
          <cell r="D723">
            <v>45211</v>
          </cell>
          <cell r="E723">
            <v>0.625</v>
          </cell>
          <cell r="F723">
            <v>45200</v>
          </cell>
          <cell r="G723">
            <v>45211</v>
          </cell>
          <cell r="H723">
            <v>0.74791666666666667</v>
          </cell>
          <cell r="I723">
            <v>0.12291666666666666</v>
          </cell>
          <cell r="J723">
            <v>2</v>
          </cell>
          <cell r="K723" t="str">
            <v>FCB-PROTOCOL-02</v>
          </cell>
          <cell r="L723" t="str">
            <v>OC013(S)</v>
          </cell>
          <cell r="M723" t="str">
            <v>Y</v>
          </cell>
          <cell r="N723" t="str">
            <v>Ovary CC (R2A)</v>
          </cell>
          <cell r="O723" t="str">
            <v>Internal R&amp;D</v>
          </cell>
          <cell r="P723" t="str">
            <v>Q1 Passed</v>
          </cell>
          <cell r="Q723" t="str">
            <v>Q1 Rejected</v>
          </cell>
          <cell r="R723" t="str">
            <v>Compromised</v>
          </cell>
          <cell r="S723" t="str">
            <v>Q1.5 Passed</v>
          </cell>
          <cell r="V723" t="str">
            <v>Tumor content 2-45%</v>
          </cell>
          <cell r="W723" t="str">
            <v>Private Hospital</v>
          </cell>
          <cell r="X723" t="str">
            <v>Mazumdar Shaw Medical Centre, Bangalore</v>
          </cell>
          <cell r="Y723" t="str">
            <v>Mazumdar Shaw Medical Centre, Bangalore</v>
          </cell>
          <cell r="Z723" t="str">
            <v>Dr Rohit Ranade, Bangalore</v>
          </cell>
          <cell r="AA723" t="str">
            <v>Ca Ovary</v>
          </cell>
          <cell r="AC723" t="str">
            <v>Ovary</v>
          </cell>
          <cell r="AD723" t="str">
            <v>Omentum</v>
          </cell>
          <cell r="AE723" t="str">
            <v>Female</v>
          </cell>
          <cell r="AF723">
            <v>60</v>
          </cell>
          <cell r="AG723" t="str">
            <v>N</v>
          </cell>
          <cell r="AH723">
            <v>4.8</v>
          </cell>
          <cell r="AI723" t="str">
            <v>Partha</v>
          </cell>
          <cell r="AJ723" t="str">
            <v>Surgery</v>
          </cell>
          <cell r="AK723" t="str">
            <v>Primary</v>
          </cell>
          <cell r="AL723" t="str">
            <v>Chemotherapy</v>
          </cell>
          <cell r="AN723" t="str">
            <v>III</v>
          </cell>
          <cell r="AO723" t="str">
            <v>High grade</v>
          </cell>
          <cell r="AP723" t="str">
            <v>pT3c</v>
          </cell>
          <cell r="AQ723">
            <v>3</v>
          </cell>
          <cell r="AR723" t="str">
            <v>Paclitaxel+Carboplatin</v>
          </cell>
          <cell r="AS723" t="str">
            <v>Residual viable serous carcinoma</v>
          </cell>
          <cell r="AV723">
            <v>45211</v>
          </cell>
          <cell r="AW723">
            <v>0.77152777777777781</v>
          </cell>
          <cell r="AX723">
            <v>0.83472222222222225</v>
          </cell>
          <cell r="AY723">
            <v>6.3194444444444442E-2</v>
          </cell>
          <cell r="AZ723">
            <v>8.6805555555555552E-2</v>
          </cell>
          <cell r="BA723">
            <v>0.20972222222222223</v>
          </cell>
          <cell r="BB723" t="str">
            <v>1.4*0.8/1.2*1.8/2.2</v>
          </cell>
          <cell r="BD723" t="str">
            <v>Manual</v>
          </cell>
          <cell r="BE723">
            <v>15</v>
          </cell>
          <cell r="BF723" t="str">
            <v>Syam</v>
          </cell>
          <cell r="BG723" t="str">
            <v>N</v>
          </cell>
        </row>
        <row r="724">
          <cell r="A724" t="str">
            <v>FBR2B230300</v>
          </cell>
          <cell r="B724">
            <v>230300</v>
          </cell>
          <cell r="C724" t="str">
            <v>R&amp;D</v>
          </cell>
          <cell r="D724">
            <v>45212</v>
          </cell>
          <cell r="E724">
            <v>0.57638888888888884</v>
          </cell>
          <cell r="F724">
            <v>45200</v>
          </cell>
          <cell r="G724">
            <v>45212</v>
          </cell>
          <cell r="H724">
            <v>0.83333333333333337</v>
          </cell>
          <cell r="I724">
            <v>0.25694444444444442</v>
          </cell>
          <cell r="J724">
            <v>5</v>
          </cell>
          <cell r="K724" t="str">
            <v>FCB-PROTOCOL-02</v>
          </cell>
          <cell r="L724" t="str">
            <v>JSS-003</v>
          </cell>
          <cell r="M724" t="str">
            <v>Y</v>
          </cell>
          <cell r="N724" t="str">
            <v>ovary Biopsy (2B)</v>
          </cell>
          <cell r="O724" t="str">
            <v>Internal R&amp;D</v>
          </cell>
          <cell r="P724" t="str">
            <v>Q1 Passed</v>
          </cell>
          <cell r="Q724" t="str">
            <v>Q1 Passed</v>
          </cell>
          <cell r="R724" t="str">
            <v>Q1.5 Passed</v>
          </cell>
          <cell r="S724" t="str">
            <v>Q1.5 Passed</v>
          </cell>
          <cell r="V724" t="str">
            <v>Tumor content 30-35%</v>
          </cell>
          <cell r="W724" t="str">
            <v>Clinic'les</v>
          </cell>
          <cell r="X724" t="str">
            <v>Clinic'les- Dr Ravi Krishnappa, Mysore</v>
          </cell>
          <cell r="Y724" t="str">
            <v>JSS Hospital, Mysore</v>
          </cell>
          <cell r="Z724" t="str">
            <v>Dr Ravi Krishnappa, Mysore</v>
          </cell>
          <cell r="AA724" t="str">
            <v>Ca Ovary</v>
          </cell>
          <cell r="AC724" t="str">
            <v>Ovary</v>
          </cell>
          <cell r="AD724" t="str">
            <v>Left Adrenal Mass</v>
          </cell>
          <cell r="AE724" t="str">
            <v>Female</v>
          </cell>
          <cell r="AF724">
            <v>57</v>
          </cell>
          <cell r="AG724" t="str">
            <v>N</v>
          </cell>
          <cell r="AH724">
            <v>5.2</v>
          </cell>
          <cell r="AI724" t="str">
            <v>Kalappa</v>
          </cell>
          <cell r="AJ724" t="str">
            <v>Biopsy</v>
          </cell>
          <cell r="AK724" t="str">
            <v>Primary</v>
          </cell>
          <cell r="AV724">
            <v>45212</v>
          </cell>
          <cell r="AW724">
            <v>0.84930555555555554</v>
          </cell>
          <cell r="AX724">
            <v>0.875</v>
          </cell>
          <cell r="AY724">
            <v>2.5694444444444443E-2</v>
          </cell>
          <cell r="AZ724">
            <v>4.1666666666666664E-2</v>
          </cell>
          <cell r="BA724">
            <v>0.2986111111111111</v>
          </cell>
          <cell r="BB724" t="str">
            <v>0.2*0.1*0.1
0.1*0.1*0.1
0.4*0.1*0.1</v>
          </cell>
          <cell r="BD724" t="str">
            <v>Manual</v>
          </cell>
          <cell r="BE724">
            <v>15</v>
          </cell>
          <cell r="BF724" t="str">
            <v>Syam</v>
          </cell>
          <cell r="BG724" t="str">
            <v>Y</v>
          </cell>
        </row>
        <row r="725">
          <cell r="A725" t="str">
            <v>FBR1Y230301</v>
          </cell>
          <cell r="B725">
            <v>230301</v>
          </cell>
          <cell r="C725" t="str">
            <v>R&amp;D</v>
          </cell>
          <cell r="D725">
            <v>45215</v>
          </cell>
          <cell r="E725">
            <v>0.51388888888888884</v>
          </cell>
          <cell r="F725">
            <v>45200</v>
          </cell>
          <cell r="G725">
            <v>45215</v>
          </cell>
          <cell r="H725">
            <v>0.5805555555555556</v>
          </cell>
          <cell r="I725">
            <v>6.6666666666666666E-2</v>
          </cell>
          <cell r="J725">
            <v>10</v>
          </cell>
          <cell r="K725" t="str">
            <v>FCB-PROTOCOL-02</v>
          </cell>
          <cell r="L725" t="str">
            <v>HN090</v>
          </cell>
          <cell r="M725" t="str">
            <v>Y</v>
          </cell>
          <cell r="N725" t="str">
            <v>CCS Study (1Y)</v>
          </cell>
          <cell r="O725" t="str">
            <v>Internal R&amp;D</v>
          </cell>
          <cell r="P725" t="str">
            <v>Q1 Passed</v>
          </cell>
          <cell r="Q725" t="str">
            <v>Q1 Rejected</v>
          </cell>
          <cell r="R725" t="str">
            <v>Q1.5 Passed</v>
          </cell>
          <cell r="S725" t="str">
            <v>Q1.5 Rejected</v>
          </cell>
          <cell r="T725" t="str">
            <v>Blood Clotted</v>
          </cell>
          <cell r="U725" t="str">
            <v>Yes</v>
          </cell>
          <cell r="V725" t="str">
            <v>Tissue necrosed</v>
          </cell>
          <cell r="W725" t="str">
            <v>Private Hospital</v>
          </cell>
          <cell r="X725" t="str">
            <v>Mazumdar Shaw Medical Centre, Bangalore</v>
          </cell>
          <cell r="Y725" t="str">
            <v>Mazumdar Shaw Medical Centre, Bangalore</v>
          </cell>
          <cell r="Z725" t="str">
            <v>Dr Vijay Pillai, Bangalore</v>
          </cell>
          <cell r="AA725" t="str">
            <v>HNSCC</v>
          </cell>
          <cell r="AC725" t="str">
            <v>Alveolus</v>
          </cell>
          <cell r="AD725" t="str">
            <v>Left lower Alveolus</v>
          </cell>
          <cell r="AE725" t="str">
            <v>Female</v>
          </cell>
          <cell r="AF725">
            <v>36</v>
          </cell>
          <cell r="AG725" t="str">
            <v>N</v>
          </cell>
          <cell r="AH725">
            <v>5.6</v>
          </cell>
          <cell r="AI725" t="str">
            <v>Kalappa</v>
          </cell>
          <cell r="AJ725" t="str">
            <v>Surgery</v>
          </cell>
          <cell r="AK725" t="str">
            <v>Primary</v>
          </cell>
          <cell r="AV725">
            <v>45215</v>
          </cell>
          <cell r="AW725">
            <v>0.60138888888888886</v>
          </cell>
          <cell r="AX725">
            <v>0.68125000000000002</v>
          </cell>
          <cell r="AY725">
            <v>7.9861111111111105E-2</v>
          </cell>
          <cell r="AZ725">
            <v>0.10069444444444445</v>
          </cell>
          <cell r="BA725">
            <v>0.1673611111111111</v>
          </cell>
          <cell r="BB725" t="str">
            <v>0.8/0.4*1.2/0.4*1.7</v>
          </cell>
          <cell r="BD725" t="str">
            <v>Manual</v>
          </cell>
          <cell r="BE725">
            <v>15</v>
          </cell>
          <cell r="BF725" t="str">
            <v>Dharani</v>
          </cell>
          <cell r="BG725" t="str">
            <v>N</v>
          </cell>
        </row>
        <row r="726">
          <cell r="A726" t="str">
            <v>FBR2F230301</v>
          </cell>
          <cell r="B726">
            <v>230301</v>
          </cell>
          <cell r="C726" t="str">
            <v>R&amp;D</v>
          </cell>
          <cell r="D726">
            <v>45215</v>
          </cell>
          <cell r="E726">
            <v>0.51388888888888884</v>
          </cell>
          <cell r="F726">
            <v>45200</v>
          </cell>
          <cell r="G726">
            <v>45215</v>
          </cell>
          <cell r="H726">
            <v>0.5805555555555556</v>
          </cell>
          <cell r="I726">
            <v>6.6666666666666666E-2</v>
          </cell>
          <cell r="J726">
            <v>10</v>
          </cell>
          <cell r="K726" t="str">
            <v>FCB-PROTOCOL-02</v>
          </cell>
          <cell r="L726" t="str">
            <v>HN090</v>
          </cell>
          <cell r="M726" t="str">
            <v>Y</v>
          </cell>
          <cell r="N726" t="str">
            <v>CCS Study (1Y)</v>
          </cell>
          <cell r="O726" t="str">
            <v>Internal R&amp;D</v>
          </cell>
          <cell r="P726" t="str">
            <v>Q1 Passed</v>
          </cell>
          <cell r="Q726" t="str">
            <v>Q1 Rejected</v>
          </cell>
          <cell r="R726" t="str">
            <v>Q1.5 Passed</v>
          </cell>
          <cell r="S726" t="str">
            <v>Q1.5 Rejected</v>
          </cell>
          <cell r="T726" t="str">
            <v>Blood Clotted</v>
          </cell>
          <cell r="U726" t="str">
            <v>Yes</v>
          </cell>
          <cell r="V726" t="str">
            <v>Tissue necrosed</v>
          </cell>
          <cell r="W726" t="str">
            <v>Private Hospital</v>
          </cell>
          <cell r="X726" t="str">
            <v>Mazumdar Shaw Medical Centre, Bangalore</v>
          </cell>
          <cell r="Y726" t="str">
            <v>Mazumdar Shaw Medical Centre, Bangalore</v>
          </cell>
          <cell r="Z726" t="str">
            <v>Dr Vijay Pillai, Bangalore</v>
          </cell>
          <cell r="AA726" t="str">
            <v>HNSCC</v>
          </cell>
          <cell r="AC726" t="str">
            <v>Alveolus</v>
          </cell>
          <cell r="AD726" t="str">
            <v>Left lower Alveolus</v>
          </cell>
          <cell r="AE726" t="str">
            <v>Female</v>
          </cell>
          <cell r="AF726">
            <v>36</v>
          </cell>
          <cell r="AG726" t="str">
            <v>N</v>
          </cell>
          <cell r="AH726">
            <v>5.6</v>
          </cell>
          <cell r="AI726" t="str">
            <v>Kalappa</v>
          </cell>
          <cell r="AJ726" t="str">
            <v>Surgery</v>
          </cell>
          <cell r="AK726" t="str">
            <v>Primary</v>
          </cell>
          <cell r="AV726">
            <v>45215</v>
          </cell>
          <cell r="AW726">
            <v>0.60138888888888886</v>
          </cell>
          <cell r="AX726">
            <v>0.68125000000000002</v>
          </cell>
          <cell r="AY726">
            <v>7.9861111111111105E-2</v>
          </cell>
          <cell r="AZ726">
            <v>0.10069444444444445</v>
          </cell>
          <cell r="BA726">
            <v>0.1673611111111111</v>
          </cell>
          <cell r="BB726" t="str">
            <v>0.8/0.4*1.2/0.4*1.7</v>
          </cell>
          <cell r="BD726" t="str">
            <v>Manual</v>
          </cell>
          <cell r="BE726">
            <v>15</v>
          </cell>
          <cell r="BF726" t="str">
            <v>Dharani</v>
          </cell>
          <cell r="BG726" t="str">
            <v>N</v>
          </cell>
        </row>
        <row r="727">
          <cell r="A727" t="str">
            <v>FBR2C230302</v>
          </cell>
          <cell r="B727">
            <v>230302</v>
          </cell>
          <cell r="C727" t="str">
            <v>R&amp;D</v>
          </cell>
          <cell r="D727">
            <v>45215</v>
          </cell>
          <cell r="E727">
            <v>0.5</v>
          </cell>
          <cell r="F727">
            <v>45200</v>
          </cell>
          <cell r="G727">
            <v>45215</v>
          </cell>
          <cell r="H727">
            <v>0.5805555555555556</v>
          </cell>
          <cell r="I727">
            <v>8.0555555555555561E-2</v>
          </cell>
          <cell r="J727">
            <v>5</v>
          </cell>
          <cell r="K727" t="str">
            <v>FCB-PROTOCOL-02</v>
          </cell>
          <cell r="L727" t="str">
            <v>RC038</v>
          </cell>
          <cell r="M727" t="str">
            <v>Y</v>
          </cell>
          <cell r="N727" t="str">
            <v>RCC DPT (2C)</v>
          </cell>
          <cell r="O727" t="str">
            <v>Internal R&amp;D</v>
          </cell>
          <cell r="P727" t="str">
            <v>Q1 Passed</v>
          </cell>
          <cell r="Q727" t="str">
            <v>Q1 Passed</v>
          </cell>
          <cell r="R727" t="str">
            <v>Q1.5 Passed</v>
          </cell>
          <cell r="S727" t="str">
            <v>Q1.5 Rejected</v>
          </cell>
          <cell r="T727" t="str">
            <v>No Tumor</v>
          </cell>
          <cell r="U727" t="str">
            <v>Yes</v>
          </cell>
          <cell r="V727" t="str">
            <v>No tumor</v>
          </cell>
          <cell r="W727" t="str">
            <v>Private Hospital</v>
          </cell>
          <cell r="X727" t="str">
            <v>Mazumdar Shaw Medical Centre, Bangalore</v>
          </cell>
          <cell r="Y727" t="str">
            <v>Mazumdar Shaw Medical Centre, Bangalore</v>
          </cell>
          <cell r="Z727" t="str">
            <v>Dr Saurabh Bhargav, Bangalore</v>
          </cell>
          <cell r="AA727" t="str">
            <v>RCC</v>
          </cell>
          <cell r="AC727" t="str">
            <v>Renal</v>
          </cell>
          <cell r="AD727" t="str">
            <v>Right Renal Mass</v>
          </cell>
          <cell r="AE727" t="str">
            <v>Male</v>
          </cell>
          <cell r="AF727">
            <v>74</v>
          </cell>
          <cell r="AG727" t="str">
            <v>N</v>
          </cell>
          <cell r="AH727">
            <v>5.6</v>
          </cell>
          <cell r="AI727" t="str">
            <v>Kalappa</v>
          </cell>
          <cell r="AJ727" t="str">
            <v>Surgery</v>
          </cell>
          <cell r="AK727" t="str">
            <v>Primary</v>
          </cell>
          <cell r="AV727">
            <v>45215</v>
          </cell>
          <cell r="AW727">
            <v>0.60347222222222219</v>
          </cell>
          <cell r="AX727">
            <v>0.71666666666666667</v>
          </cell>
          <cell r="AY727">
            <v>0.11319444444444444</v>
          </cell>
          <cell r="AZ727">
            <v>0.1361111111111111</v>
          </cell>
          <cell r="BA727">
            <v>0.21666666666666667</v>
          </cell>
          <cell r="BB727" t="str">
            <v>0.4/0.6*1.4/1.2*2.2</v>
          </cell>
          <cell r="BC727" t="str">
            <v>0.4*1.4/1.2*2.2</v>
          </cell>
          <cell r="BD727" t="str">
            <v>Manual</v>
          </cell>
          <cell r="BE727">
            <v>15</v>
          </cell>
          <cell r="BF727" t="str">
            <v>Kokila</v>
          </cell>
          <cell r="BG727" t="str">
            <v>Y</v>
          </cell>
        </row>
        <row r="728">
          <cell r="A728" t="str">
            <v>FBR2D230303</v>
          </cell>
          <cell r="B728">
            <v>230303</v>
          </cell>
          <cell r="C728" t="str">
            <v>R&amp;D</v>
          </cell>
          <cell r="D728">
            <v>45215</v>
          </cell>
          <cell r="E728">
            <v>0.75694444444444442</v>
          </cell>
          <cell r="F728">
            <v>45200</v>
          </cell>
          <cell r="G728">
            <v>45215</v>
          </cell>
          <cell r="H728">
            <v>0.85138888888888886</v>
          </cell>
          <cell r="I728">
            <v>9.4444444444444442E-2</v>
          </cell>
          <cell r="J728">
            <v>0</v>
          </cell>
          <cell r="K728" t="str">
            <v>FCB-PROTOCOL-02</v>
          </cell>
          <cell r="L728" t="str">
            <v>HN091</v>
          </cell>
          <cell r="M728" t="str">
            <v>Y</v>
          </cell>
          <cell r="N728" t="str">
            <v>BSS V2 (2D)</v>
          </cell>
          <cell r="O728" t="str">
            <v>Internal R&amp;D</v>
          </cell>
          <cell r="P728" t="str">
            <v>Q1 Passed</v>
          </cell>
          <cell r="Q728" t="str">
            <v>Q1 Passed</v>
          </cell>
          <cell r="R728" t="str">
            <v>Q1.5 Passed</v>
          </cell>
          <cell r="S728" t="str">
            <v>Q1.5 Rejected</v>
          </cell>
          <cell r="T728" t="str">
            <v>No Tumor</v>
          </cell>
          <cell r="U728" t="str">
            <v>Yes</v>
          </cell>
          <cell r="V728" t="str">
            <v>Tumor content 22% in only 1 fragment. Others necrosed</v>
          </cell>
          <cell r="W728" t="str">
            <v>Private Hospital</v>
          </cell>
          <cell r="X728" t="str">
            <v>Mazumdar Shaw Medical Centre, Bangalore</v>
          </cell>
          <cell r="Y728" t="str">
            <v>Mazumdar Shaw Medical Centre, Bangalore</v>
          </cell>
          <cell r="Z728" t="str">
            <v>Dr Vijay Pillai, Bangalore</v>
          </cell>
          <cell r="AA728" t="str">
            <v>HNSCC</v>
          </cell>
          <cell r="AC728" t="str">
            <v>Tongue</v>
          </cell>
          <cell r="AD728" t="str">
            <v>Left Lateral Border of Tongue</v>
          </cell>
          <cell r="AE728" t="str">
            <v>Male</v>
          </cell>
          <cell r="AF728">
            <v>66</v>
          </cell>
          <cell r="AG728" t="str">
            <v>N</v>
          </cell>
          <cell r="AH728">
            <v>4.3</v>
          </cell>
          <cell r="AI728" t="str">
            <v>Maruthi</v>
          </cell>
          <cell r="AJ728" t="str">
            <v>Biopsy</v>
          </cell>
          <cell r="AK728" t="str">
            <v>Primary</v>
          </cell>
          <cell r="AV728">
            <v>45216</v>
          </cell>
          <cell r="AW728">
            <v>0.3576388888888889</v>
          </cell>
          <cell r="AX728">
            <v>0.45277777777777778</v>
          </cell>
          <cell r="AY728">
            <v>9.5138888888888884E-2</v>
          </cell>
          <cell r="AZ72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2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28" t="str">
            <v>0.2-1.1  
(12 punch biopsies)</v>
          </cell>
          <cell r="BD728" t="str">
            <v>Manual</v>
          </cell>
          <cell r="BE728">
            <v>15</v>
          </cell>
          <cell r="BF728" t="str">
            <v>Mouniss</v>
          </cell>
          <cell r="BG728" t="str">
            <v>Y</v>
          </cell>
        </row>
        <row r="729">
          <cell r="A729" t="str">
            <v>FBR2H230303(CRYO)</v>
          </cell>
          <cell r="B729">
            <v>230303</v>
          </cell>
          <cell r="C729" t="str">
            <v>R&amp;D</v>
          </cell>
          <cell r="D729">
            <v>45215</v>
          </cell>
          <cell r="E729">
            <v>0.75694444444444442</v>
          </cell>
          <cell r="F729">
            <v>45200</v>
          </cell>
          <cell r="G729">
            <v>45215</v>
          </cell>
          <cell r="H729">
            <v>0.85138888888888886</v>
          </cell>
          <cell r="I729">
            <v>9.4444444444444442E-2</v>
          </cell>
          <cell r="J729">
            <v>0</v>
          </cell>
          <cell r="K729" t="str">
            <v>FCB-PROTOCOL-02</v>
          </cell>
          <cell r="L729" t="str">
            <v>HN091</v>
          </cell>
          <cell r="M729" t="str">
            <v>Y</v>
          </cell>
          <cell r="N729" t="str">
            <v>BSS V2 (2D)</v>
          </cell>
          <cell r="O729" t="str">
            <v>Internal R&amp;D</v>
          </cell>
          <cell r="P729" t="str">
            <v>Q1 Passed</v>
          </cell>
          <cell r="Q729" t="str">
            <v>Q1 Passed</v>
          </cell>
          <cell r="R729" t="str">
            <v>Q1.5 Passed</v>
          </cell>
          <cell r="S729" t="str">
            <v>Q1.5 Rejected</v>
          </cell>
          <cell r="T729" t="str">
            <v>No Tumor</v>
          </cell>
          <cell r="U729" t="str">
            <v>Yes</v>
          </cell>
          <cell r="V729" t="str">
            <v>Tumor content 22% in only 1 fragment. Others necrosed</v>
          </cell>
          <cell r="W729" t="str">
            <v>Private Hospital</v>
          </cell>
          <cell r="X729" t="str">
            <v>Mazumdar Shaw Medical Centre, Bangalore</v>
          </cell>
          <cell r="Y729" t="str">
            <v>Mazumdar Shaw Medical Centre, Bangalore</v>
          </cell>
          <cell r="Z729" t="str">
            <v>Dr Vijay Pillai, Bangalore</v>
          </cell>
          <cell r="AA729" t="str">
            <v>HNSCC</v>
          </cell>
          <cell r="AC729" t="str">
            <v>Tongue</v>
          </cell>
          <cell r="AD729" t="str">
            <v>Left Lateral Border of Tongue</v>
          </cell>
          <cell r="AE729" t="str">
            <v>Male</v>
          </cell>
          <cell r="AF729">
            <v>66</v>
          </cell>
          <cell r="AG729" t="str">
            <v>N</v>
          </cell>
          <cell r="AH729">
            <v>4.3</v>
          </cell>
          <cell r="AI729" t="str">
            <v>Maruthi</v>
          </cell>
          <cell r="AJ729" t="str">
            <v>Biopsy</v>
          </cell>
          <cell r="AK729" t="str">
            <v>Primary</v>
          </cell>
          <cell r="AV729">
            <v>45216</v>
          </cell>
          <cell r="AW729">
            <v>0.3576388888888889</v>
          </cell>
          <cell r="AX729">
            <v>0.45277777777777778</v>
          </cell>
          <cell r="AY729">
            <v>9.5138888888888884E-2</v>
          </cell>
          <cell r="AZ72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2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29" t="str">
            <v>0.2-1.1  
(12 punch biopsies)</v>
          </cell>
          <cell r="BD729" t="str">
            <v>Manual</v>
          </cell>
          <cell r="BE729">
            <v>15</v>
          </cell>
          <cell r="BF729" t="str">
            <v>Mouniss</v>
          </cell>
          <cell r="BG729" t="str">
            <v>Y</v>
          </cell>
        </row>
        <row r="730">
          <cell r="A730" t="str">
            <v>FBR2H230303(FRESH)</v>
          </cell>
          <cell r="B730">
            <v>230303</v>
          </cell>
          <cell r="C730" t="str">
            <v>R&amp;D</v>
          </cell>
          <cell r="D730">
            <v>45215</v>
          </cell>
          <cell r="E730">
            <v>0.75694444444444442</v>
          </cell>
          <cell r="F730">
            <v>45200</v>
          </cell>
          <cell r="G730">
            <v>45215</v>
          </cell>
          <cell r="H730">
            <v>0.85138888888888886</v>
          </cell>
          <cell r="I730">
            <v>9.4444444444444442E-2</v>
          </cell>
          <cell r="J730">
            <v>0</v>
          </cell>
          <cell r="K730" t="str">
            <v>FCB-PROTOCOL-02</v>
          </cell>
          <cell r="L730" t="str">
            <v>HN091</v>
          </cell>
          <cell r="M730" t="str">
            <v>Y</v>
          </cell>
          <cell r="N730" t="str">
            <v>BSS V2 (2D)</v>
          </cell>
          <cell r="O730" t="str">
            <v>Internal R&amp;D</v>
          </cell>
          <cell r="P730" t="str">
            <v>Q1 Passed</v>
          </cell>
          <cell r="Q730" t="str">
            <v>Q1 Passed</v>
          </cell>
          <cell r="R730" t="str">
            <v>Q1.5 Passed</v>
          </cell>
          <cell r="S730" t="str">
            <v>Q1.5 Rejected</v>
          </cell>
          <cell r="T730" t="str">
            <v>No Tumor</v>
          </cell>
          <cell r="U730" t="str">
            <v>Yes</v>
          </cell>
          <cell r="V730" t="str">
            <v>Tumor content 22% in only 1 fragment. Others necrosed</v>
          </cell>
          <cell r="W730" t="str">
            <v>Private Hospital</v>
          </cell>
          <cell r="X730" t="str">
            <v>Mazumdar Shaw Medical Centre, Bangalore</v>
          </cell>
          <cell r="Y730" t="str">
            <v>Mazumdar Shaw Medical Centre, Bangalore</v>
          </cell>
          <cell r="Z730" t="str">
            <v>Dr Vijay Pillai, Bangalore</v>
          </cell>
          <cell r="AA730" t="str">
            <v>HNSCC</v>
          </cell>
          <cell r="AC730" t="str">
            <v>Tongue</v>
          </cell>
          <cell r="AD730" t="str">
            <v>Left Lateral Border of Tongue</v>
          </cell>
          <cell r="AE730" t="str">
            <v>Male</v>
          </cell>
          <cell r="AF730">
            <v>66</v>
          </cell>
          <cell r="AG730" t="str">
            <v>N</v>
          </cell>
          <cell r="AH730">
            <v>4.3</v>
          </cell>
          <cell r="AI730" t="str">
            <v>Maruthi</v>
          </cell>
          <cell r="AJ730" t="str">
            <v>Biopsy</v>
          </cell>
          <cell r="AK730" t="str">
            <v>Primary</v>
          </cell>
          <cell r="AV730">
            <v>45216</v>
          </cell>
          <cell r="AW730">
            <v>0.3576388888888889</v>
          </cell>
          <cell r="AX730">
            <v>0.45277777777777778</v>
          </cell>
          <cell r="AY730">
            <v>9.5138888888888884E-2</v>
          </cell>
          <cell r="AZ73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3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30" t="str">
            <v>0.2-1.1  
(12 punch biopsies)</v>
          </cell>
          <cell r="BD730" t="str">
            <v>Manual</v>
          </cell>
          <cell r="BE730">
            <v>15</v>
          </cell>
          <cell r="BF730" t="str">
            <v>Mouniss</v>
          </cell>
          <cell r="BG730" t="str">
            <v>Y</v>
          </cell>
        </row>
        <row r="731">
          <cell r="A731" t="str">
            <v>FBR2A230304</v>
          </cell>
          <cell r="B731">
            <v>230304</v>
          </cell>
          <cell r="C731" t="str">
            <v>R&amp;D</v>
          </cell>
          <cell r="D731">
            <v>45218</v>
          </cell>
          <cell r="E731">
            <v>0.43402777777777779</v>
          </cell>
          <cell r="F731">
            <v>45200</v>
          </cell>
          <cell r="G731">
            <v>45218</v>
          </cell>
          <cell r="H731">
            <v>0.54861111111111116</v>
          </cell>
          <cell r="I731">
            <v>0.11458333333333333</v>
          </cell>
          <cell r="J731">
            <v>32</v>
          </cell>
          <cell r="K731" t="str">
            <v>FCB-PROTOCOL-02</v>
          </cell>
          <cell r="L731" t="str">
            <v>OC021</v>
          </cell>
          <cell r="M731" t="str">
            <v>Y</v>
          </cell>
          <cell r="N731" t="str">
            <v>Ovary CC (R2A)</v>
          </cell>
          <cell r="O731" t="str">
            <v>Internal R&amp;D</v>
          </cell>
          <cell r="P731" t="str">
            <v>Q1 Passed</v>
          </cell>
          <cell r="Q731" t="str">
            <v>Q1 Passed</v>
          </cell>
          <cell r="R731" t="str">
            <v>Compromised</v>
          </cell>
          <cell r="S731" t="str">
            <v>Q1.5 Passed</v>
          </cell>
          <cell r="V731" t="str">
            <v>Tumor content 5-80%</v>
          </cell>
          <cell r="W731" t="str">
            <v>Private Hospital</v>
          </cell>
          <cell r="X731" t="str">
            <v>Mazumdar Shaw Medical Centre, Bangalore</v>
          </cell>
          <cell r="Y731" t="str">
            <v>Mazumdar Shaw Medical Centre, Bangalore</v>
          </cell>
          <cell r="Z731" t="str">
            <v>Dr Rohit Ranade, Bangalore</v>
          </cell>
          <cell r="AA731" t="str">
            <v>Ca Ovary</v>
          </cell>
          <cell r="AC731" t="str">
            <v>Ovary</v>
          </cell>
          <cell r="AD731" t="str">
            <v>Left Ovary</v>
          </cell>
          <cell r="AE731" t="str">
            <v>Female</v>
          </cell>
          <cell r="AF731">
            <v>51</v>
          </cell>
          <cell r="AG731" t="str">
            <v>N</v>
          </cell>
          <cell r="AH731">
            <v>5.0999999999999996</v>
          </cell>
          <cell r="AI731" t="str">
            <v>Shashi</v>
          </cell>
          <cell r="AJ731" t="str">
            <v>Surgery</v>
          </cell>
          <cell r="AK731" t="str">
            <v>Primary</v>
          </cell>
          <cell r="AN731">
            <v>1</v>
          </cell>
          <cell r="AO731">
            <v>1</v>
          </cell>
          <cell r="AP731" t="str">
            <v>pT1c2</v>
          </cell>
          <cell r="AS731" t="str">
            <v>Malignant Surface epithelial Neoplasm favours endometrioid carcinoma-Well differentiated</v>
          </cell>
          <cell r="AV731">
            <v>45218</v>
          </cell>
          <cell r="AW731">
            <v>0.56944444444444442</v>
          </cell>
          <cell r="AX731">
            <v>0.64375000000000004</v>
          </cell>
          <cell r="AY731">
            <v>7.4305555555555555E-2</v>
          </cell>
          <cell r="AZ731">
            <v>9.5138888888888884E-2</v>
          </cell>
          <cell r="BA731">
            <v>0.20972222222222223</v>
          </cell>
          <cell r="BB731" t="str">
            <v>0.3*1.2*1.8</v>
          </cell>
          <cell r="BD731" t="str">
            <v>Manual</v>
          </cell>
          <cell r="BE731">
            <v>15</v>
          </cell>
          <cell r="BF731" t="str">
            <v>Pallavi</v>
          </cell>
          <cell r="BG731" t="str">
            <v>Y</v>
          </cell>
        </row>
        <row r="732">
          <cell r="A732" t="str">
            <v>FBB1L230305</v>
          </cell>
          <cell r="B732">
            <v>230305</v>
          </cell>
          <cell r="C732" t="str">
            <v>Biopharma</v>
          </cell>
          <cell r="D732">
            <v>45218</v>
          </cell>
          <cell r="E732">
            <v>0.48958333333333331</v>
          </cell>
          <cell r="F732">
            <v>45200</v>
          </cell>
          <cell r="G732">
            <v>45218</v>
          </cell>
          <cell r="H732">
            <v>0.54861111111111116</v>
          </cell>
          <cell r="I732">
            <v>5.9027777777777776E-2</v>
          </cell>
          <cell r="J732">
            <v>15</v>
          </cell>
          <cell r="K732" t="str">
            <v>FCB-PROTOCOL-02</v>
          </cell>
          <cell r="L732" t="str">
            <v>RC039</v>
          </cell>
          <cell r="M732" t="str">
            <v>Y</v>
          </cell>
          <cell r="N732" t="str">
            <v>BP010 (1L)</v>
          </cell>
          <cell r="O732" t="str">
            <v>Biopharma</v>
          </cell>
          <cell r="P732" t="str">
            <v>Q1 Passed</v>
          </cell>
          <cell r="Q732" t="str">
            <v>Q1 Passed</v>
          </cell>
          <cell r="R732" t="str">
            <v>Q1.5 Passed</v>
          </cell>
          <cell r="S732" t="str">
            <v>Q1.5 Passed</v>
          </cell>
          <cell r="V732" t="str">
            <v>Tumor content 45-95%</v>
          </cell>
          <cell r="W732" t="str">
            <v>Private Hospital</v>
          </cell>
          <cell r="X732" t="str">
            <v>Mazumdar Shaw Medical Centre, Bangalore</v>
          </cell>
          <cell r="Y732" t="str">
            <v>Mazumdar Shaw Medical Centre, Bangalore</v>
          </cell>
          <cell r="Z732" t="str">
            <v>Dr Saurabh Bhargav, Bangalore</v>
          </cell>
          <cell r="AA732" t="str">
            <v>RCC</v>
          </cell>
          <cell r="AC732" t="str">
            <v>Renal</v>
          </cell>
          <cell r="AD732" t="str">
            <v>Right Renal Mass</v>
          </cell>
          <cell r="AE732" t="str">
            <v>Male</v>
          </cell>
          <cell r="AF732">
            <v>51</v>
          </cell>
          <cell r="AG732" t="str">
            <v>N</v>
          </cell>
          <cell r="AH732">
            <v>5.0999999999999996</v>
          </cell>
          <cell r="AI732" t="str">
            <v>Shashi</v>
          </cell>
          <cell r="AJ732" t="str">
            <v>Surgery</v>
          </cell>
          <cell r="AK732" t="str">
            <v>Primary</v>
          </cell>
          <cell r="AN732" t="str">
            <v>III</v>
          </cell>
          <cell r="AO732">
            <v>4</v>
          </cell>
          <cell r="AP732" t="str">
            <v>pT3aN0</v>
          </cell>
          <cell r="AS732" t="str">
            <v>Clear cell carcinoma</v>
          </cell>
          <cell r="AV732">
            <v>45218</v>
          </cell>
          <cell r="AW732">
            <v>0.56944444444444442</v>
          </cell>
          <cell r="AX732">
            <v>0.68194444444444446</v>
          </cell>
          <cell r="AY732">
            <v>0.1125</v>
          </cell>
          <cell r="AZ732">
            <v>0.13333333333333333</v>
          </cell>
          <cell r="BA732">
            <v>0.19236111111111112</v>
          </cell>
          <cell r="BB732" t="str">
            <v>0.6/0.8*1.4*2.0</v>
          </cell>
          <cell r="BD732" t="str">
            <v>Vibratome</v>
          </cell>
          <cell r="BE732">
            <v>15</v>
          </cell>
          <cell r="BF732" t="str">
            <v>Dharani</v>
          </cell>
          <cell r="BG732" t="str">
            <v>Y</v>
          </cell>
        </row>
        <row r="733">
          <cell r="A733" t="str">
            <v>FBB1I230306</v>
          </cell>
          <cell r="B733">
            <v>230306</v>
          </cell>
          <cell r="C733" t="str">
            <v>Biopharma</v>
          </cell>
          <cell r="D733">
            <v>45219</v>
          </cell>
          <cell r="E733">
            <v>0.49861111111111112</v>
          </cell>
          <cell r="F733">
            <v>45200</v>
          </cell>
          <cell r="G733">
            <v>45219</v>
          </cell>
          <cell r="H733">
            <v>0.5395833333333333</v>
          </cell>
          <cell r="I733">
            <v>4.0972222222222222E-2</v>
          </cell>
          <cell r="J733">
            <v>12</v>
          </cell>
          <cell r="K733" t="str">
            <v>FCB-PROTOCOL-02</v>
          </cell>
          <cell r="L733" t="str">
            <v>CLN/PRA/233</v>
          </cell>
          <cell r="M733" t="str">
            <v>Y</v>
          </cell>
          <cell r="N733" t="str">
            <v>BP008 (1I)</v>
          </cell>
          <cell r="O733" t="str">
            <v>Biopharma</v>
          </cell>
          <cell r="P733" t="str">
            <v>Q1 Passed</v>
          </cell>
          <cell r="Q733" t="str">
            <v>Q1 Passed</v>
          </cell>
          <cell r="R733" t="str">
            <v>Q1.5 Passed</v>
          </cell>
          <cell r="S733" t="str">
            <v>Q1.5 Passed</v>
          </cell>
          <cell r="V733" t="str">
            <v>Tumor content 3-60%. Immune content high, areas of necrosis +</v>
          </cell>
          <cell r="W733" t="str">
            <v>Private Hospital</v>
          </cell>
          <cell r="X733" t="str">
            <v>Dr Prakash BV, Bangalore</v>
          </cell>
          <cell r="Y733" t="str">
            <v>Sri Lakshmi Hospital, Bangalore</v>
          </cell>
          <cell r="Z733" t="str">
            <v>Dr Prakash BV, Bangalore</v>
          </cell>
          <cell r="AA733" t="str">
            <v>HNSCC</v>
          </cell>
          <cell r="AC733" t="str">
            <v>Buccal Mucosa</v>
          </cell>
          <cell r="AD733" t="str">
            <v>Right Buccal Mucosa</v>
          </cell>
          <cell r="AE733" t="str">
            <v>Female</v>
          </cell>
          <cell r="AF733">
            <v>55</v>
          </cell>
          <cell r="AG733" t="str">
            <v>N</v>
          </cell>
          <cell r="AH733">
            <v>6.8</v>
          </cell>
          <cell r="AI733" t="str">
            <v>Partha</v>
          </cell>
          <cell r="AJ733" t="str">
            <v>Surgery</v>
          </cell>
          <cell r="AK733" t="str">
            <v>Primary</v>
          </cell>
          <cell r="AV733">
            <v>45219</v>
          </cell>
          <cell r="AW733">
            <v>0.56736111111111109</v>
          </cell>
          <cell r="AX733">
            <v>0.64236111111111116</v>
          </cell>
          <cell r="AY733">
            <v>7.4999999999999997E-2</v>
          </cell>
          <cell r="AZ733">
            <v>0.10277777777777777</v>
          </cell>
          <cell r="BA733">
            <v>0.14374999999999999</v>
          </cell>
          <cell r="BB733" t="str">
            <v>0.6*0.8*1.4</v>
          </cell>
          <cell r="BD733" t="str">
            <v>Vibratome</v>
          </cell>
          <cell r="BE733">
            <v>15</v>
          </cell>
          <cell r="BF733" t="str">
            <v>Biswajit</v>
          </cell>
          <cell r="BG733" t="str">
            <v>Y</v>
          </cell>
        </row>
        <row r="734">
          <cell r="A734" t="str">
            <v>FBR1W230307</v>
          </cell>
          <cell r="B734">
            <v>230307</v>
          </cell>
          <cell r="C734" t="str">
            <v>R&amp;D</v>
          </cell>
          <cell r="D734">
            <v>45219</v>
          </cell>
          <cell r="E734">
            <v>0.51249999999999996</v>
          </cell>
          <cell r="F734">
            <v>45200</v>
          </cell>
          <cell r="G734">
            <v>45219</v>
          </cell>
          <cell r="H734">
            <v>0.60555555555555551</v>
          </cell>
          <cell r="I734">
            <v>9.3055555555555558E-2</v>
          </cell>
          <cell r="J734">
            <v>4</v>
          </cell>
          <cell r="K734" t="str">
            <v>FCB-PROTOCOL-01</v>
          </cell>
          <cell r="L734" t="str">
            <v>VYD/210</v>
          </cell>
          <cell r="M734" t="str">
            <v>Y</v>
          </cell>
          <cell r="N734" t="str">
            <v>Biopsy Cabr-BSS (1W)</v>
          </cell>
          <cell r="O734" t="str">
            <v>Internal R&amp;D</v>
          </cell>
          <cell r="P734" t="str">
            <v>Q1 Passed</v>
          </cell>
          <cell r="Q734" t="str">
            <v>Q1 Passed</v>
          </cell>
          <cell r="R734" t="str">
            <v>Q1.5 Passed</v>
          </cell>
          <cell r="S734" t="str">
            <v>Q1.5 Passed</v>
          </cell>
          <cell r="V734" t="str">
            <v>Tumor content 4-60%</v>
          </cell>
          <cell r="W734" t="str">
            <v>Private Hospital</v>
          </cell>
          <cell r="X734" t="str">
            <v>Vydehi Hospital, Bangalore</v>
          </cell>
          <cell r="Y734" t="str">
            <v>Vydehi Hospital, Bangalore</v>
          </cell>
          <cell r="Z734" t="str">
            <v>Dr Amritha Prabha, Bangalore</v>
          </cell>
          <cell r="AA734" t="str">
            <v>Ca Breast</v>
          </cell>
          <cell r="AB734" t="str">
            <v>Er (+)
Pr(+)
Her2 (-)</v>
          </cell>
          <cell r="AC734" t="str">
            <v>Breast</v>
          </cell>
          <cell r="AD734" t="str">
            <v>Right  Breast</v>
          </cell>
          <cell r="AE734" t="str">
            <v>Female</v>
          </cell>
          <cell r="AF734">
            <v>37</v>
          </cell>
          <cell r="AG734" t="str">
            <v>N</v>
          </cell>
          <cell r="AH734">
            <v>5.0999999999999996</v>
          </cell>
          <cell r="AI734" t="str">
            <v>Shashi</v>
          </cell>
          <cell r="AJ734" t="str">
            <v>Surgery</v>
          </cell>
          <cell r="AK734" t="str">
            <v>Primary</v>
          </cell>
          <cell r="AN734" t="str">
            <v>IIIc</v>
          </cell>
          <cell r="AO734">
            <v>2</v>
          </cell>
          <cell r="AP734" t="str">
            <v>T3N3a</v>
          </cell>
          <cell r="AT734" t="str">
            <v>CTRT&amp;Hormonal therapy</v>
          </cell>
          <cell r="AV734">
            <v>45219</v>
          </cell>
          <cell r="AW734">
            <v>0.62430555555555556</v>
          </cell>
          <cell r="AX734">
            <v>0.72569444444444442</v>
          </cell>
          <cell r="AY734">
            <v>0.10138888888888889</v>
          </cell>
          <cell r="AZ734">
            <v>0.12013888888888889</v>
          </cell>
          <cell r="BA734">
            <v>0.21319444444444444</v>
          </cell>
          <cell r="BB734" t="str">
            <v>0.4*1.0*1.5
0.3*0.6*1.0</v>
          </cell>
          <cell r="BC734" t="str">
            <v>0.4*1.0*1.2
0.3*0.6*1.0</v>
          </cell>
          <cell r="BD734" t="str">
            <v>Manual</v>
          </cell>
          <cell r="BE734">
            <v>15</v>
          </cell>
          <cell r="BF734" t="str">
            <v>Moumita</v>
          </cell>
          <cell r="BG734" t="str">
            <v>Y</v>
          </cell>
        </row>
        <row r="735">
          <cell r="A735" t="str">
            <v>FBR1Y230308</v>
          </cell>
          <cell r="B735">
            <v>230308</v>
          </cell>
          <cell r="C735" t="str">
            <v>R&amp;D</v>
          </cell>
          <cell r="D735">
            <v>45219</v>
          </cell>
          <cell r="E735">
            <v>0.52916666666666667</v>
          </cell>
          <cell r="F735">
            <v>45200</v>
          </cell>
          <cell r="G735">
            <v>45219</v>
          </cell>
          <cell r="H735">
            <v>0.60555555555555551</v>
          </cell>
          <cell r="I735">
            <v>7.6388888888888895E-2</v>
          </cell>
          <cell r="J735">
            <v>6</v>
          </cell>
          <cell r="K735" t="str">
            <v>FCB-PROTOCOL-01</v>
          </cell>
          <cell r="L735" t="str">
            <v>VYD/211</v>
          </cell>
          <cell r="M735" t="str">
            <v>Y</v>
          </cell>
          <cell r="N735" t="str">
            <v>CCS Study (1Y)</v>
          </cell>
          <cell r="O735" t="str">
            <v>Internal R&amp;D</v>
          </cell>
          <cell r="P735" t="str">
            <v>Q1 Passed</v>
          </cell>
          <cell r="Q735" t="str">
            <v>Q1 Passed</v>
          </cell>
          <cell r="R735" t="str">
            <v>Q1.5 Passed</v>
          </cell>
          <cell r="S735" t="str">
            <v>Q1.5 Passed</v>
          </cell>
          <cell r="V735" t="str">
            <v>Tumor content 65-90%</v>
          </cell>
          <cell r="W735" t="str">
            <v>Private Hospital</v>
          </cell>
          <cell r="X735" t="str">
            <v>Vydehi Hospital, Bangalore</v>
          </cell>
          <cell r="Y735" t="str">
            <v>Vydehi Hospital, Bangalore</v>
          </cell>
          <cell r="Z735" t="str">
            <v>Dr Amritha Prabha, Bangalore</v>
          </cell>
          <cell r="AA735" t="str">
            <v>HNSCC</v>
          </cell>
          <cell r="AC735" t="str">
            <v>Buccal Mucosa</v>
          </cell>
          <cell r="AD735" t="str">
            <v>Right Buccal Mucosa</v>
          </cell>
          <cell r="AE735" t="str">
            <v>Male</v>
          </cell>
          <cell r="AF735">
            <v>34</v>
          </cell>
          <cell r="AG735" t="str">
            <v>N</v>
          </cell>
          <cell r="AH735">
            <v>5.0999999999999996</v>
          </cell>
          <cell r="AI735" t="str">
            <v>Shashi</v>
          </cell>
          <cell r="AJ735" t="str">
            <v>Surgery</v>
          </cell>
          <cell r="AK735" t="str">
            <v>Primary</v>
          </cell>
          <cell r="AN735" t="str">
            <v>IVa</v>
          </cell>
          <cell r="AO735">
            <v>1</v>
          </cell>
          <cell r="AP735" t="str">
            <v>TaN0</v>
          </cell>
          <cell r="AT735" t="str">
            <v>RT</v>
          </cell>
          <cell r="AV735">
            <v>45219</v>
          </cell>
          <cell r="AW735" t="str">
            <v xml:space="preserve"> 14:57:00</v>
          </cell>
          <cell r="AX735">
            <v>0.70833333333333337</v>
          </cell>
          <cell r="AY735" t="e">
            <v>#VALUE!</v>
          </cell>
          <cell r="AZ735">
            <v>0.10277777777777777</v>
          </cell>
          <cell r="BA735">
            <v>0.17916666666666667</v>
          </cell>
          <cell r="BB735" t="str">
            <v>0.8/1.0*1.2*2.0
0.8*1.5*1.6
0.4*0.8*1.8</v>
          </cell>
          <cell r="BD735" t="str">
            <v>Vibratome</v>
          </cell>
          <cell r="BE735">
            <v>15</v>
          </cell>
          <cell r="BF735" t="str">
            <v>chandan</v>
          </cell>
          <cell r="BG735" t="str">
            <v>N</v>
          </cell>
        </row>
        <row r="736">
          <cell r="A736" t="str">
            <v>FBR2F230308</v>
          </cell>
          <cell r="B736">
            <v>230308</v>
          </cell>
          <cell r="C736" t="str">
            <v>R&amp;D</v>
          </cell>
          <cell r="D736">
            <v>45219</v>
          </cell>
          <cell r="E736">
            <v>0.52916666666666667</v>
          </cell>
          <cell r="F736">
            <v>45200</v>
          </cell>
          <cell r="G736">
            <v>45219</v>
          </cell>
          <cell r="H736">
            <v>0.60555555555555551</v>
          </cell>
          <cell r="I736">
            <v>7.6388888888888895E-2</v>
          </cell>
          <cell r="J736">
            <v>6</v>
          </cell>
          <cell r="K736" t="str">
            <v>FCB-PROTOCOL-01</v>
          </cell>
          <cell r="L736" t="str">
            <v>VYD/211</v>
          </cell>
          <cell r="M736" t="str">
            <v>Y</v>
          </cell>
          <cell r="N736" t="str">
            <v>ECR (2F)</v>
          </cell>
          <cell r="O736" t="str">
            <v>Internal R&amp;D</v>
          </cell>
          <cell r="P736" t="str">
            <v>Q1 Passed</v>
          </cell>
          <cell r="Q736" t="str">
            <v>Q1 Passed</v>
          </cell>
          <cell r="R736" t="str">
            <v>Q1.5 Passed</v>
          </cell>
          <cell r="S736" t="str">
            <v>Q1.5 Passed</v>
          </cell>
          <cell r="V736" t="str">
            <v>Tumor content 25-85%</v>
          </cell>
          <cell r="W736" t="str">
            <v>Private Hospital</v>
          </cell>
          <cell r="X736" t="str">
            <v>Vydehi Hospital, Bangalore</v>
          </cell>
          <cell r="Y736" t="str">
            <v>Vydehi Hospital, Bangalore</v>
          </cell>
          <cell r="Z736" t="str">
            <v>Dr Amritha Prabha, Bangalore</v>
          </cell>
          <cell r="AA736" t="str">
            <v>HNSCC</v>
          </cell>
          <cell r="AC736" t="str">
            <v>Buccal Mucosa</v>
          </cell>
          <cell r="AD736" t="str">
            <v>Right Buccal Mucosa</v>
          </cell>
          <cell r="AE736" t="str">
            <v>Male</v>
          </cell>
          <cell r="AF736">
            <v>34</v>
          </cell>
          <cell r="AG736" t="str">
            <v>N</v>
          </cell>
          <cell r="AH736">
            <v>5.0999999999999996</v>
          </cell>
          <cell r="AI736" t="str">
            <v>Shashi</v>
          </cell>
          <cell r="AJ736" t="str">
            <v>Surgery</v>
          </cell>
          <cell r="AK736" t="str">
            <v>Primary</v>
          </cell>
          <cell r="AN736" t="str">
            <v>IVa</v>
          </cell>
          <cell r="AO736">
            <v>1</v>
          </cell>
          <cell r="AP736" t="str">
            <v>TaN0</v>
          </cell>
          <cell r="AT736" t="str">
            <v>RT</v>
          </cell>
          <cell r="AV736">
            <v>45219</v>
          </cell>
          <cell r="BB736" t="str">
            <v>0.8/1.0*1.2*2.0
0.8*1.5*1.6
0.4*0.8*1.8</v>
          </cell>
          <cell r="BD736" t="str">
            <v>Vibratome</v>
          </cell>
        </row>
        <row r="737">
          <cell r="A737" t="str">
            <v>FBR1W230309</v>
          </cell>
          <cell r="B737">
            <v>230309</v>
          </cell>
          <cell r="C737" t="str">
            <v>R&amp;D</v>
          </cell>
          <cell r="D737">
            <v>45219</v>
          </cell>
          <cell r="E737">
            <v>0.65</v>
          </cell>
          <cell r="F737">
            <v>45200</v>
          </cell>
          <cell r="G737">
            <v>45219</v>
          </cell>
          <cell r="H737">
            <v>0.69166666666666665</v>
          </cell>
          <cell r="I737">
            <v>4.1666666666666664E-2</v>
          </cell>
          <cell r="J737">
            <v>0</v>
          </cell>
          <cell r="K737" t="str">
            <v>FCB-PROTOCOL-02</v>
          </cell>
          <cell r="L737" t="str">
            <v>BC027</v>
          </cell>
          <cell r="M737" t="str">
            <v>Y</v>
          </cell>
          <cell r="N737" t="str">
            <v>Biopsy Cabr-BSS (1W)</v>
          </cell>
          <cell r="O737" t="str">
            <v>Internal R&amp;D</v>
          </cell>
          <cell r="P737" t="str">
            <v>Q1 Passed</v>
          </cell>
          <cell r="Q737" t="str">
            <v>Q1 Passed</v>
          </cell>
          <cell r="R737" t="str">
            <v>Q1.5 Passed</v>
          </cell>
          <cell r="S737" t="str">
            <v>Q1.5 Passed</v>
          </cell>
          <cell r="V737" t="str">
            <v>Tumor content 1-20%</v>
          </cell>
          <cell r="W737" t="str">
            <v>Private Hospital</v>
          </cell>
          <cell r="X737" t="str">
            <v>Mazumdar Shaw Medical Centre, Bangalore</v>
          </cell>
          <cell r="Y737" t="str">
            <v>Mazumdar Shaw Medical Centre, Bangalore</v>
          </cell>
          <cell r="Z737" t="str">
            <v>Dr Akshita Singh</v>
          </cell>
          <cell r="AA737" t="str">
            <v>Ca Breast</v>
          </cell>
          <cell r="AB737" t="str">
            <v>ER +
PR +
Her2 Waiting for fisher report</v>
          </cell>
          <cell r="AC737" t="str">
            <v>Breast</v>
          </cell>
          <cell r="AD737" t="str">
            <v>Right Breast</v>
          </cell>
          <cell r="AE737" t="str">
            <v>Female</v>
          </cell>
          <cell r="AF737">
            <v>51</v>
          </cell>
          <cell r="AG737" t="str">
            <v>N</v>
          </cell>
          <cell r="AH737">
            <v>4.8</v>
          </cell>
          <cell r="AI737" t="str">
            <v>Shashi</v>
          </cell>
          <cell r="AJ737" t="str">
            <v>Biopsy</v>
          </cell>
          <cell r="AK737" t="str">
            <v>Primary</v>
          </cell>
          <cell r="AV737">
            <v>45219</v>
          </cell>
          <cell r="AW737">
            <v>0.7055555555555556</v>
          </cell>
          <cell r="AX737">
            <v>0.77361111111111114</v>
          </cell>
          <cell r="AY737">
            <v>6.805555555555555E-2</v>
          </cell>
          <cell r="AZ737">
            <v>8.1944444444444445E-2</v>
          </cell>
          <cell r="BA737">
            <v>0.12361111111111112</v>
          </cell>
          <cell r="BB737">
            <v>0.1</v>
          </cell>
          <cell r="BD737" t="str">
            <v>Manual</v>
          </cell>
          <cell r="BE737">
            <v>15</v>
          </cell>
          <cell r="BF737" t="str">
            <v>Pallavi</v>
          </cell>
          <cell r="BG737" t="str">
            <v>Y</v>
          </cell>
        </row>
        <row r="738">
          <cell r="A738" t="str">
            <v>FBR2A230310</v>
          </cell>
          <cell r="B738">
            <v>230310</v>
          </cell>
          <cell r="C738" t="str">
            <v>R&amp;D</v>
          </cell>
          <cell r="D738">
            <v>45219</v>
          </cell>
          <cell r="E738">
            <v>0.4375</v>
          </cell>
          <cell r="F738">
            <v>45200</v>
          </cell>
          <cell r="G738">
            <v>45219</v>
          </cell>
          <cell r="H738">
            <v>0.70138888888888884</v>
          </cell>
          <cell r="I738">
            <v>0.2638888888888889</v>
          </cell>
          <cell r="J738">
            <v>10</v>
          </cell>
          <cell r="K738" t="str">
            <v>FCB-PROTOCOL-02</v>
          </cell>
          <cell r="L738" t="str">
            <v>JSS-004</v>
          </cell>
          <cell r="M738" t="str">
            <v>Y</v>
          </cell>
          <cell r="N738" t="str">
            <v>Ovary CC (R2A)</v>
          </cell>
          <cell r="O738" t="str">
            <v>Internal R&amp;D</v>
          </cell>
          <cell r="P738" t="str">
            <v>Q1 Passed</v>
          </cell>
          <cell r="Q738" t="str">
            <v>Q1 Passed</v>
          </cell>
          <cell r="R738" t="str">
            <v>Q1.5 Passed</v>
          </cell>
          <cell r="S738" t="str">
            <v>Q1.5 Rejected</v>
          </cell>
          <cell r="T738" t="str">
            <v>No Tumor</v>
          </cell>
          <cell r="V738" t="str">
            <v>No tumor</v>
          </cell>
          <cell r="W738" t="str">
            <v>Clinic'les</v>
          </cell>
          <cell r="X738" t="str">
            <v>Clinic'les- Dr Ravi Krishnappa, Mysore</v>
          </cell>
          <cell r="Y738" t="str">
            <v>JSS Hospital, Mysore</v>
          </cell>
          <cell r="Z738" t="str">
            <v>Dr Ravi Krishnappa, Mysore</v>
          </cell>
          <cell r="AA738" t="str">
            <v>Ca Ovary</v>
          </cell>
          <cell r="AB738" t="str">
            <v>adenocarcinoma</v>
          </cell>
          <cell r="AC738" t="str">
            <v>Ovary</v>
          </cell>
          <cell r="AD738" t="str">
            <v>Right Ovary</v>
          </cell>
          <cell r="AE738" t="str">
            <v>Female</v>
          </cell>
          <cell r="AF738">
            <v>56</v>
          </cell>
          <cell r="AG738" t="str">
            <v>N</v>
          </cell>
          <cell r="AH738">
            <v>4.5</v>
          </cell>
          <cell r="AI738" t="str">
            <v>Maruthi</v>
          </cell>
          <cell r="AJ738" t="str">
            <v>Surgery</v>
          </cell>
          <cell r="AK738" t="str">
            <v>Primary</v>
          </cell>
          <cell r="AL738" t="str">
            <v>Chemotherapy</v>
          </cell>
          <cell r="AQ738">
            <v>3</v>
          </cell>
          <cell r="AR738" t="str">
            <v>Pacliaxel+Carboplatin</v>
          </cell>
          <cell r="AV738">
            <v>45219</v>
          </cell>
          <cell r="AW738">
            <v>0.72847222222222219</v>
          </cell>
          <cell r="AX738">
            <v>0.79861111111111116</v>
          </cell>
          <cell r="AY738">
            <v>7.013888888888889E-2</v>
          </cell>
          <cell r="AZ738">
            <v>9.7222222222222224E-2</v>
          </cell>
          <cell r="BA738">
            <v>0.3611111111111111</v>
          </cell>
          <cell r="BB738" t="str">
            <v>0.4/0.6*1.4*2.4</v>
          </cell>
          <cell r="BD738" t="str">
            <v>Manual</v>
          </cell>
          <cell r="BE738">
            <v>15</v>
          </cell>
          <cell r="BF738" t="str">
            <v>chandan</v>
          </cell>
          <cell r="BG738" t="str">
            <v>N</v>
          </cell>
        </row>
        <row r="739">
          <cell r="A739" t="str">
            <v>FBR1W230311</v>
          </cell>
          <cell r="B739">
            <v>230311</v>
          </cell>
          <cell r="C739" t="str">
            <v>R&amp;D</v>
          </cell>
          <cell r="D739">
            <v>45219</v>
          </cell>
          <cell r="E739">
            <v>0.5</v>
          </cell>
          <cell r="F739">
            <v>45200</v>
          </cell>
          <cell r="G739">
            <v>45219</v>
          </cell>
          <cell r="H739">
            <v>0.86319444444444449</v>
          </cell>
          <cell r="I739">
            <v>0.36319444444444443</v>
          </cell>
          <cell r="J739">
            <v>10</v>
          </cell>
          <cell r="K739" t="str">
            <v>FCB-PROTOCOL-01</v>
          </cell>
          <cell r="L739" t="str">
            <v>CLN/DBR/159</v>
          </cell>
          <cell r="M739" t="str">
            <v>Y</v>
          </cell>
          <cell r="N739" t="str">
            <v>Biopsy Cabr-BSS (1W)</v>
          </cell>
          <cell r="O739" t="str">
            <v>Internal R&amp;D</v>
          </cell>
          <cell r="P739" t="str">
            <v>Q1 Passed</v>
          </cell>
          <cell r="Q739" t="str">
            <v>Q1 Passed</v>
          </cell>
          <cell r="R739" t="str">
            <v>Q1.5 Passed</v>
          </cell>
          <cell r="S739" t="str">
            <v>Q1.5 Passed</v>
          </cell>
          <cell r="V739" t="str">
            <v>Tumor content 0-2%.</v>
          </cell>
          <cell r="W739" t="str">
            <v>Clinic'les</v>
          </cell>
          <cell r="X739" t="str">
            <v>Clinic'les- DBR &amp; SK Hospital, Tirupati</v>
          </cell>
          <cell r="Y739" t="str">
            <v>DBR &amp; SK Hospital, Tirupati</v>
          </cell>
          <cell r="Z739" t="str">
            <v>Dr C Jayaprakash, Tirupati</v>
          </cell>
          <cell r="AA739" t="str">
            <v>Ca Breast</v>
          </cell>
          <cell r="AC739" t="str">
            <v>Breast</v>
          </cell>
          <cell r="AD739" t="str">
            <v>Left Breast</v>
          </cell>
          <cell r="AE739" t="str">
            <v>Female</v>
          </cell>
          <cell r="AF739">
            <v>80</v>
          </cell>
          <cell r="AG739" t="str">
            <v>N</v>
          </cell>
          <cell r="AH739">
            <v>5.2</v>
          </cell>
          <cell r="AI739" t="str">
            <v>Partha</v>
          </cell>
          <cell r="AJ739" t="str">
            <v>Surgery</v>
          </cell>
          <cell r="AK739" t="str">
            <v>Primary</v>
          </cell>
          <cell r="AN739" t="str">
            <v>IIIA</v>
          </cell>
          <cell r="AO739">
            <v>3</v>
          </cell>
          <cell r="AP739" t="str">
            <v xml:space="preserve">T3 N1 MX </v>
          </cell>
          <cell r="AV739">
            <v>45219</v>
          </cell>
          <cell r="AW739">
            <v>0.36041666666666666</v>
          </cell>
          <cell r="AX739">
            <v>0.48749999999999999</v>
          </cell>
          <cell r="AY739">
            <v>0.12708333333333333</v>
          </cell>
          <cell r="AZ73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3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39" t="str">
            <v>1.2/0.8*1.6*2.2/1.4</v>
          </cell>
          <cell r="BC739" t="str">
            <v>0.8/0.6*1.5*2.1/1.4</v>
          </cell>
          <cell r="BD739" t="str">
            <v>Manual</v>
          </cell>
          <cell r="BE739">
            <v>15</v>
          </cell>
          <cell r="BF739" t="str">
            <v>Mouniss</v>
          </cell>
          <cell r="BG739" t="str">
            <v>Y</v>
          </cell>
        </row>
        <row r="740">
          <cell r="A740" t="str">
            <v>FBB1L230312</v>
          </cell>
          <cell r="B740">
            <v>230312</v>
          </cell>
          <cell r="C740" t="str">
            <v>Biopharma</v>
          </cell>
          <cell r="D740">
            <v>45222</v>
          </cell>
          <cell r="E740">
            <v>0.54166666666666663</v>
          </cell>
          <cell r="F740">
            <v>45200</v>
          </cell>
          <cell r="G740">
            <v>45222</v>
          </cell>
          <cell r="H740">
            <v>0.68125000000000002</v>
          </cell>
          <cell r="I740">
            <v>0.13958333333333334</v>
          </cell>
          <cell r="J740">
            <v>10</v>
          </cell>
          <cell r="K740" t="str">
            <v>FCB-PROTOCOL-02</v>
          </cell>
          <cell r="L740" t="str">
            <v>RC040</v>
          </cell>
          <cell r="M740" t="str">
            <v>Y</v>
          </cell>
          <cell r="N740" t="str">
            <v>BP010 (1L)</v>
          </cell>
          <cell r="O740" t="str">
            <v>Biopharma</v>
          </cell>
          <cell r="P740" t="str">
            <v>Q1 Passed</v>
          </cell>
          <cell r="Q740" t="str">
            <v>Q1 Passed</v>
          </cell>
          <cell r="R740" t="str">
            <v>Compromised</v>
          </cell>
          <cell r="S740" t="str">
            <v>Q1.5 Passed</v>
          </cell>
          <cell r="V740" t="str">
            <v>Favouring Oncocytoma /?Chromophobe RCC                 Tumor content 5-90%</v>
          </cell>
          <cell r="W740" t="str">
            <v>Private Hospital</v>
          </cell>
          <cell r="X740" t="str">
            <v>Mazumdar Shaw Medical Centre, Bangalore</v>
          </cell>
          <cell r="Y740" t="str">
            <v>Mazumdar Shaw Medical Centre, Bangalore</v>
          </cell>
          <cell r="Z740" t="str">
            <v>Dr Saurabh Bhargav, Bangalore</v>
          </cell>
          <cell r="AA740" t="str">
            <v>RCC</v>
          </cell>
          <cell r="AC740" t="str">
            <v>Renal</v>
          </cell>
          <cell r="AD740" t="str">
            <v>Left Renal Mass</v>
          </cell>
          <cell r="AE740" t="str">
            <v>Female</v>
          </cell>
          <cell r="AF740">
            <v>62</v>
          </cell>
          <cell r="AG740" t="str">
            <v>N</v>
          </cell>
          <cell r="AH740">
            <v>4.7</v>
          </cell>
          <cell r="AI740" t="str">
            <v>Shashi</v>
          </cell>
          <cell r="AJ740" t="str">
            <v>Surgery</v>
          </cell>
          <cell r="AK740" t="str">
            <v>Primary</v>
          </cell>
          <cell r="AN740" t="str">
            <v>Not Availabel</v>
          </cell>
          <cell r="AO740" t="str">
            <v>Not Availabel</v>
          </cell>
          <cell r="AP740" t="str">
            <v>Not Availabel</v>
          </cell>
          <cell r="AS740" t="str">
            <v>Low grade neoplasm</v>
          </cell>
          <cell r="AV740">
            <v>45222</v>
          </cell>
          <cell r="AW740">
            <v>0.69930555555555551</v>
          </cell>
          <cell r="AX740">
            <v>0.78333333333333333</v>
          </cell>
          <cell r="AY740">
            <v>8.4027777777777785E-2</v>
          </cell>
          <cell r="AZ740">
            <v>0.10208333333333333</v>
          </cell>
          <cell r="BA740">
            <v>0.24166666666666667</v>
          </cell>
          <cell r="BB740" t="str">
            <v>0.2/0.4*1.4*3.0</v>
          </cell>
          <cell r="BD740" t="str">
            <v>Manual</v>
          </cell>
          <cell r="BE740">
            <v>15</v>
          </cell>
          <cell r="BF740" t="str">
            <v>Syam</v>
          </cell>
          <cell r="BG740" t="str">
            <v>Y</v>
          </cell>
        </row>
        <row r="741">
          <cell r="A741" t="str">
            <v>FBR2C230313</v>
          </cell>
          <cell r="B741">
            <v>230313</v>
          </cell>
          <cell r="C741" t="str">
            <v>R&amp;D</v>
          </cell>
          <cell r="D741">
            <v>45222</v>
          </cell>
          <cell r="E741">
            <v>0.59722222222222221</v>
          </cell>
          <cell r="F741">
            <v>45200</v>
          </cell>
          <cell r="G741">
            <v>45222</v>
          </cell>
          <cell r="H741">
            <v>0.68125000000000002</v>
          </cell>
          <cell r="I741">
            <v>8.4027777777777785E-2</v>
          </cell>
          <cell r="J741">
            <v>15</v>
          </cell>
          <cell r="K741" t="str">
            <v>FCB-PROTOCOL-02</v>
          </cell>
          <cell r="L741" t="str">
            <v>RC041</v>
          </cell>
          <cell r="M741" t="str">
            <v>Y</v>
          </cell>
          <cell r="N741" t="str">
            <v>RCC DPT (2C)</v>
          </cell>
          <cell r="O741" t="str">
            <v>Internal R&amp;D</v>
          </cell>
          <cell r="P741" t="str">
            <v>Q1 Passed</v>
          </cell>
          <cell r="Q741" t="str">
            <v>Not Received</v>
          </cell>
          <cell r="R741" t="str">
            <v>Q1.5 Passed</v>
          </cell>
          <cell r="S741" t="str">
            <v>Q1.5 Rejected</v>
          </cell>
          <cell r="T741" t="str">
            <v>No Tumor</v>
          </cell>
          <cell r="V741" t="str">
            <v>No tumor</v>
          </cell>
          <cell r="W741" t="str">
            <v>Private Hospital</v>
          </cell>
          <cell r="X741" t="str">
            <v>Mazumdar Shaw Medical Centre, Bangalore</v>
          </cell>
          <cell r="Y741" t="str">
            <v>Mazumdar Shaw Medical Centre, Bangalore</v>
          </cell>
          <cell r="Z741" t="str">
            <v>Dr Saurabh Bhargav, Bangalore</v>
          </cell>
          <cell r="AA741" t="str">
            <v>RCC</v>
          </cell>
          <cell r="AC741" t="str">
            <v>Renal</v>
          </cell>
          <cell r="AD741" t="str">
            <v>Right Renal Mass</v>
          </cell>
          <cell r="AE741" t="str">
            <v>Male</v>
          </cell>
          <cell r="AF741">
            <v>55</v>
          </cell>
          <cell r="AG741" t="str">
            <v>N</v>
          </cell>
          <cell r="AH741">
            <v>4.7</v>
          </cell>
          <cell r="AI741" t="str">
            <v>Shashi</v>
          </cell>
          <cell r="AJ741" t="str">
            <v>Surgery</v>
          </cell>
          <cell r="AK741" t="str">
            <v>Primary</v>
          </cell>
          <cell r="AN741" t="str">
            <v>I</v>
          </cell>
          <cell r="AO741">
            <v>2</v>
          </cell>
          <cell r="AP741" t="str">
            <v>pT1b</v>
          </cell>
          <cell r="AS741" t="str">
            <v>Clear cell renal carcinoma</v>
          </cell>
          <cell r="AV741">
            <v>45222</v>
          </cell>
          <cell r="AW741">
            <v>0.69930555555555551</v>
          </cell>
          <cell r="AX741">
            <v>0.7895833333333333</v>
          </cell>
          <cell r="AY741">
            <v>9.0277777777777776E-2</v>
          </cell>
          <cell r="AZ741">
            <v>0.10833333333333334</v>
          </cell>
          <cell r="BA741">
            <v>0.19236111111111112</v>
          </cell>
          <cell r="BB741" t="str">
            <v>0.4/0.6*0.9*1.2</v>
          </cell>
          <cell r="BD741" t="str">
            <v>Manual</v>
          </cell>
          <cell r="BE741">
            <v>15</v>
          </cell>
          <cell r="BF741" t="str">
            <v>Dharani</v>
          </cell>
          <cell r="BG741" t="str">
            <v>N</v>
          </cell>
        </row>
        <row r="742">
          <cell r="A742" t="str">
            <v>FBR1Y230314</v>
          </cell>
          <cell r="B742">
            <v>230314</v>
          </cell>
          <cell r="C742" t="str">
            <v>R&amp;D</v>
          </cell>
          <cell r="D742">
            <v>45224</v>
          </cell>
          <cell r="E742">
            <v>0.50555555555555554</v>
          </cell>
          <cell r="F742">
            <v>45200</v>
          </cell>
          <cell r="G742">
            <v>45224</v>
          </cell>
          <cell r="H742">
            <v>0.60972222222222228</v>
          </cell>
          <cell r="I742">
            <v>0.10416666666666667</v>
          </cell>
          <cell r="J742">
            <v>4</v>
          </cell>
          <cell r="K742" t="str">
            <v>FCB-PROTOCOL-01</v>
          </cell>
          <cell r="L742" t="str">
            <v>VYD/212</v>
          </cell>
          <cell r="M742" t="str">
            <v>Y</v>
          </cell>
          <cell r="N742" t="str">
            <v>CCS Study (1Y)</v>
          </cell>
          <cell r="O742" t="str">
            <v>Internal R&amp;D</v>
          </cell>
          <cell r="P742" t="str">
            <v>Q1 Passed</v>
          </cell>
          <cell r="Q742" t="str">
            <v>Q1 Rejected</v>
          </cell>
          <cell r="R742" t="str">
            <v>Compromised</v>
          </cell>
          <cell r="S742" t="str">
            <v>Q1.5 Passed</v>
          </cell>
          <cell r="T742" t="str">
            <v>hb value - 1.32</v>
          </cell>
          <cell r="V742" t="str">
            <v>Tumor content 20-90%</v>
          </cell>
          <cell r="W742" t="str">
            <v>Private Hospital</v>
          </cell>
          <cell r="X742" t="str">
            <v>Vydehi Hospital, Bangalore</v>
          </cell>
          <cell r="Y742" t="str">
            <v>Vydehi Hospital, Bangalore</v>
          </cell>
          <cell r="Z742" t="str">
            <v>Dr Amritha Prabha, Bangalore</v>
          </cell>
          <cell r="AA742" t="str">
            <v>HNSCC</v>
          </cell>
          <cell r="AC742" t="str">
            <v>Alveolus</v>
          </cell>
          <cell r="AD742" t="str">
            <v>Left Lower Alveolus</v>
          </cell>
          <cell r="AE742" t="str">
            <v>Male</v>
          </cell>
          <cell r="AF742">
            <v>44</v>
          </cell>
          <cell r="AG742" t="str">
            <v>N</v>
          </cell>
          <cell r="AH742">
            <v>5.2</v>
          </cell>
          <cell r="AI742" t="str">
            <v>Shashi</v>
          </cell>
          <cell r="AJ742" t="str">
            <v>Surgery</v>
          </cell>
          <cell r="AK742" t="str">
            <v>Primary</v>
          </cell>
          <cell r="AN742" t="str">
            <v>III</v>
          </cell>
          <cell r="AO742">
            <v>2</v>
          </cell>
          <cell r="AP742" t="str">
            <v>T3N0</v>
          </cell>
          <cell r="AT742" t="str">
            <v>RT</v>
          </cell>
          <cell r="AV742">
            <v>45224</v>
          </cell>
          <cell r="AW742">
            <v>0.63402777777777775</v>
          </cell>
          <cell r="AX742">
            <v>0.72916666666666663</v>
          </cell>
          <cell r="AY742">
            <v>9.5138888888888884E-2</v>
          </cell>
          <cell r="AZ742">
            <v>0.11944444444444445</v>
          </cell>
          <cell r="BA742">
            <v>0.22361111111111112</v>
          </cell>
          <cell r="BB742" t="str">
            <v>0.6/0.8*1.6/1.2*2.0</v>
          </cell>
          <cell r="BD742" t="str">
            <v>Vibratome</v>
          </cell>
          <cell r="BE742">
            <v>15</v>
          </cell>
          <cell r="BF742" t="str">
            <v>Syam</v>
          </cell>
          <cell r="BG742" t="str">
            <v>N</v>
          </cell>
        </row>
        <row r="743">
          <cell r="A743" t="str">
            <v>FBR1W230315</v>
          </cell>
          <cell r="B743">
            <v>230315</v>
          </cell>
          <cell r="C743" t="str">
            <v>R&amp;D</v>
          </cell>
          <cell r="D743">
            <v>45224</v>
          </cell>
          <cell r="E743">
            <v>0.65069444444444446</v>
          </cell>
          <cell r="F743">
            <v>45200</v>
          </cell>
          <cell r="G743">
            <v>45224</v>
          </cell>
          <cell r="H743">
            <v>0.69791666666666663</v>
          </cell>
          <cell r="I743">
            <v>4.7222222222222221E-2</v>
          </cell>
          <cell r="J743">
            <v>2</v>
          </cell>
          <cell r="K743" t="str">
            <v>FCB-PROTOCOL-01</v>
          </cell>
          <cell r="L743" t="str">
            <v>VYD/213</v>
          </cell>
          <cell r="M743" t="str">
            <v>Y</v>
          </cell>
          <cell r="N743" t="str">
            <v>Biopsy Cabr-BSS (1W)</v>
          </cell>
          <cell r="O743" t="str">
            <v>Internal R&amp;D</v>
          </cell>
          <cell r="P743" t="str">
            <v>Q1 Passed</v>
          </cell>
          <cell r="Q743" t="str">
            <v>Q1 Passed</v>
          </cell>
          <cell r="R743" t="str">
            <v>Q1.5 Passed</v>
          </cell>
          <cell r="S743" t="str">
            <v>Q1.5 Passed</v>
          </cell>
          <cell r="V743" t="str">
            <v>Tumor content 0-55%</v>
          </cell>
          <cell r="W743" t="str">
            <v>Private Hospital</v>
          </cell>
          <cell r="X743" t="str">
            <v>Vydehi Hospital, Bangalore</v>
          </cell>
          <cell r="Y743" t="str">
            <v>Vydehi Hospital, Bangalore</v>
          </cell>
          <cell r="Z743" t="str">
            <v>Dr Amritha Prabha, Bangalore</v>
          </cell>
          <cell r="AA743" t="str">
            <v>Ca Breast</v>
          </cell>
          <cell r="AB743" t="str">
            <v>TPBC</v>
          </cell>
          <cell r="AC743" t="str">
            <v>Breast</v>
          </cell>
          <cell r="AD743" t="str">
            <v>Right Breast</v>
          </cell>
          <cell r="AE743" t="str">
            <v>Female</v>
          </cell>
          <cell r="AF743">
            <v>55</v>
          </cell>
          <cell r="AG743" t="str">
            <v>N</v>
          </cell>
          <cell r="AH743">
            <v>5.3</v>
          </cell>
          <cell r="AI743" t="str">
            <v>Partha</v>
          </cell>
          <cell r="AJ743" t="str">
            <v>Surgery</v>
          </cell>
          <cell r="AK743" t="str">
            <v>Primary</v>
          </cell>
          <cell r="AN743" t="str">
            <v>IIIc</v>
          </cell>
          <cell r="AO743">
            <v>3</v>
          </cell>
          <cell r="AP743" t="str">
            <v>T2N3a</v>
          </cell>
          <cell r="AT743" t="str">
            <v>CTRT</v>
          </cell>
          <cell r="AV743">
            <v>45224</v>
          </cell>
          <cell r="AW743">
            <v>0.70486111111111116</v>
          </cell>
          <cell r="AX743">
            <v>0.77500000000000002</v>
          </cell>
          <cell r="AY743">
            <v>7.013888888888889E-2</v>
          </cell>
          <cell r="AZ743">
            <v>7.7083333333333337E-2</v>
          </cell>
          <cell r="BA743">
            <v>0.12430555555555556</v>
          </cell>
          <cell r="BB743" t="str">
            <v xml:space="preserve">1.4-1.6*2.2*3.0
</v>
          </cell>
          <cell r="BC743" t="str">
            <v>1.4*2.2*2.6</v>
          </cell>
          <cell r="BD743" t="str">
            <v>Manual</v>
          </cell>
          <cell r="BE743">
            <v>15</v>
          </cell>
          <cell r="BF743" t="str">
            <v>kuberan</v>
          </cell>
          <cell r="BG743" t="str">
            <v>Y</v>
          </cell>
        </row>
        <row r="744">
          <cell r="A744" t="str">
            <v>FBR1Z230316</v>
          </cell>
          <cell r="B744">
            <v>230316</v>
          </cell>
          <cell r="C744" t="str">
            <v>R&amp;D</v>
          </cell>
          <cell r="D744">
            <v>45224</v>
          </cell>
          <cell r="E744">
            <v>0.46875</v>
          </cell>
          <cell r="F744">
            <v>45200</v>
          </cell>
          <cell r="G744">
            <v>45224</v>
          </cell>
          <cell r="H744">
            <v>0.47916666666666669</v>
          </cell>
          <cell r="I744">
            <v>1.0416666666666666E-2</v>
          </cell>
          <cell r="J744">
            <v>15</v>
          </cell>
          <cell r="K744" t="str">
            <v>FCB-PROTOCOL-01</v>
          </cell>
          <cell r="L744" t="str">
            <v>CLN/DBR/160</v>
          </cell>
          <cell r="M744" t="str">
            <v>Y</v>
          </cell>
          <cell r="N744" t="str">
            <v>CT+LD Nivo -NLD study (1Z)</v>
          </cell>
          <cell r="O744" t="str">
            <v>Internal R&amp;D</v>
          </cell>
          <cell r="P744" t="str">
            <v>Q1 Passed</v>
          </cell>
          <cell r="Q744" t="str">
            <v>Q1 Passed</v>
          </cell>
          <cell r="R744" t="str">
            <v>Compromised</v>
          </cell>
          <cell r="S744" t="str">
            <v>Q1.5 Passed</v>
          </cell>
          <cell r="T744" t="str">
            <v>tissue size was small</v>
          </cell>
          <cell r="V744" t="str">
            <v>Tumor content 3-90%      Features of peudoepithelial hyperplasia and dense inflammation present</v>
          </cell>
          <cell r="W744" t="str">
            <v>Clinic'les</v>
          </cell>
          <cell r="X744" t="str">
            <v>Clinic'les- DBR &amp; SK Hospital, Tirupati</v>
          </cell>
          <cell r="Y744" t="str">
            <v>DBR &amp; SK Hospital, Tirupati</v>
          </cell>
          <cell r="Z744" t="str">
            <v>Dr C Jayaprakash, Tirupati</v>
          </cell>
          <cell r="AA744" t="str">
            <v>HNSCC</v>
          </cell>
          <cell r="AC744" t="str">
            <v>Buccal Mucosa</v>
          </cell>
          <cell r="AD744" t="str">
            <v>Left Biuccal Mucosa</v>
          </cell>
          <cell r="AE744" t="str">
            <v>Male</v>
          </cell>
          <cell r="AF744">
            <v>53</v>
          </cell>
          <cell r="AG744" t="str">
            <v>N</v>
          </cell>
          <cell r="AH744">
            <v>5.6</v>
          </cell>
          <cell r="AI744" t="str">
            <v>Maruthi</v>
          </cell>
          <cell r="AJ744" t="str">
            <v>Surgery</v>
          </cell>
          <cell r="AK744" t="str">
            <v>Primary</v>
          </cell>
          <cell r="AN744" t="str">
            <v>Ivb</v>
          </cell>
          <cell r="AP744" t="str">
            <v xml:space="preserve">T4b N0 MX </v>
          </cell>
          <cell r="AV744">
            <v>45224</v>
          </cell>
          <cell r="AW744">
            <v>0.82638888888888884</v>
          </cell>
          <cell r="AX744">
            <v>0.90069444444444446</v>
          </cell>
          <cell r="AY744">
            <v>7.4305555555555555E-2</v>
          </cell>
          <cell r="AZ744">
            <v>0.42152777777777778</v>
          </cell>
          <cell r="BA744">
            <v>0.43194444444444446</v>
          </cell>
          <cell r="BB744" t="str">
            <v>0.2*0.6*1.2
0.2*0.6/1.0*1.8
0.2*0.2/0.8</v>
          </cell>
          <cell r="BD744" t="str">
            <v>Manual</v>
          </cell>
          <cell r="BE744">
            <v>15</v>
          </cell>
          <cell r="BF744" t="str">
            <v>Dharani</v>
          </cell>
          <cell r="BG744" t="str">
            <v>Y</v>
          </cell>
        </row>
        <row r="745">
          <cell r="A745" t="str">
            <v>FBR2D230317</v>
          </cell>
          <cell r="B745">
            <v>230317</v>
          </cell>
          <cell r="C745" t="str">
            <v>R&amp;D</v>
          </cell>
          <cell r="D745">
            <v>45225</v>
          </cell>
          <cell r="E745">
            <v>0.46527777777777779</v>
          </cell>
          <cell r="F745">
            <v>45200</v>
          </cell>
          <cell r="G745">
            <v>45225</v>
          </cell>
          <cell r="H745">
            <v>0.55625000000000002</v>
          </cell>
          <cell r="I745">
            <v>9.0972222222222218E-2</v>
          </cell>
          <cell r="J745">
            <v>10</v>
          </cell>
          <cell r="K745" t="str">
            <v>FCB-PROTOCOL-02</v>
          </cell>
          <cell r="L745" t="str">
            <v>HN092</v>
          </cell>
          <cell r="M745" t="str">
            <v>Y</v>
          </cell>
          <cell r="N745" t="str">
            <v>BSS V2 (2D)</v>
          </cell>
          <cell r="O745" t="str">
            <v>Internal R&amp;D</v>
          </cell>
          <cell r="P745" t="str">
            <v>Q1 Passed</v>
          </cell>
          <cell r="Q745" t="str">
            <v>Q1 Passed</v>
          </cell>
          <cell r="R745" t="str">
            <v>Compromised</v>
          </cell>
          <cell r="S745" t="str">
            <v>Q1.5 Passed</v>
          </cell>
          <cell r="V745" t="str">
            <v>Tumor content 80-98%</v>
          </cell>
          <cell r="W745" t="str">
            <v>Private Hospital</v>
          </cell>
          <cell r="X745" t="str">
            <v>Mazumdar Shaw Medical Centre, Bangalore</v>
          </cell>
          <cell r="Y745" t="str">
            <v>Mazumdar Shaw Medical Centre, Bangalore</v>
          </cell>
          <cell r="Z745" t="str">
            <v>Dr Vijay Pillai, Bangalore</v>
          </cell>
          <cell r="AA745" t="str">
            <v>HNSCC</v>
          </cell>
          <cell r="AC745" t="str">
            <v>Alveolus</v>
          </cell>
          <cell r="AD745" t="str">
            <v>Lower Alveolus</v>
          </cell>
          <cell r="AE745" t="str">
            <v>Male</v>
          </cell>
          <cell r="AF745">
            <v>74</v>
          </cell>
          <cell r="AG745" t="str">
            <v>N</v>
          </cell>
          <cell r="AH745">
            <v>4.2</v>
          </cell>
          <cell r="AI745" t="str">
            <v>Kalappa</v>
          </cell>
          <cell r="AJ745" t="str">
            <v>Surgery</v>
          </cell>
          <cell r="AK745" t="str">
            <v>Primary</v>
          </cell>
          <cell r="AN745" t="str">
            <v>IV</v>
          </cell>
          <cell r="AO745">
            <v>1</v>
          </cell>
          <cell r="AP745" t="str">
            <v>pT4apN0</v>
          </cell>
          <cell r="AS745" t="str">
            <v>Well differentiated squamous cell carcinoma</v>
          </cell>
          <cell r="AV745">
            <v>45225</v>
          </cell>
          <cell r="AW745">
            <v>0.58750000000000002</v>
          </cell>
          <cell r="AX745">
            <v>0.69791666666666663</v>
          </cell>
          <cell r="AY745">
            <v>0.11041666666666666</v>
          </cell>
          <cell r="AZ745">
            <v>0.14166666666666666</v>
          </cell>
          <cell r="BA745">
            <v>0.2326388888888889</v>
          </cell>
          <cell r="BB745" t="str">
            <v>0.6/0.2*0.8/0.2*1.2/1.0
0.4/0.2*0.6*0.8/0.6
0.2*0.4*0.2
0.2*0.2*0.4</v>
          </cell>
          <cell r="BC745" t="str">
            <v>0.4/0.2*0.7/0.2*1.2
0.4/0.2*0.6*0.8/0.6
0.2*0.4*0.2
0.2*0.2*0.4</v>
          </cell>
          <cell r="BD745" t="str">
            <v>Manual</v>
          </cell>
          <cell r="BE745">
            <v>15</v>
          </cell>
          <cell r="BF745" t="str">
            <v>Mouniss</v>
          </cell>
          <cell r="BG745" t="str">
            <v>Y</v>
          </cell>
        </row>
        <row r="746">
          <cell r="A746" t="str">
            <v>FBR1Y230317</v>
          </cell>
          <cell r="B746">
            <v>230317</v>
          </cell>
          <cell r="C746" t="str">
            <v>R&amp;D</v>
          </cell>
          <cell r="D746">
            <v>45225</v>
          </cell>
          <cell r="E746">
            <v>0.46527777777777779</v>
          </cell>
          <cell r="F746">
            <v>45200</v>
          </cell>
          <cell r="G746">
            <v>45225</v>
          </cell>
          <cell r="H746">
            <v>0.55625000000000002</v>
          </cell>
          <cell r="I746">
            <v>9.0972222222222218E-2</v>
          </cell>
          <cell r="J746">
            <v>10</v>
          </cell>
          <cell r="K746" t="str">
            <v>FCB-PROTOCOL-02</v>
          </cell>
          <cell r="L746" t="str">
            <v>HN092</v>
          </cell>
          <cell r="M746" t="str">
            <v>Y</v>
          </cell>
          <cell r="N746" t="str">
            <v>CCS Study (1Y)</v>
          </cell>
          <cell r="O746" t="str">
            <v>Internal R&amp;D</v>
          </cell>
          <cell r="P746" t="str">
            <v>Q1 Passed</v>
          </cell>
          <cell r="Q746" t="str">
            <v>Q1 Passed</v>
          </cell>
          <cell r="R746" t="str">
            <v>Compromised</v>
          </cell>
          <cell r="S746" t="str">
            <v>Q1.5 Passed</v>
          </cell>
          <cell r="V746" t="str">
            <v>Tumor content 80-98%</v>
          </cell>
          <cell r="W746" t="str">
            <v>Private Hospital</v>
          </cell>
          <cell r="X746" t="str">
            <v>Mazumdar Shaw Medical Centre, Bangalore</v>
          </cell>
          <cell r="Y746" t="str">
            <v>Mazumdar Shaw Medical Centre, Bangalore</v>
          </cell>
          <cell r="Z746" t="str">
            <v>Dr Vijay Pillai, Bangalore</v>
          </cell>
          <cell r="AA746" t="str">
            <v>HNSCC</v>
          </cell>
          <cell r="AC746" t="str">
            <v>Alveolus</v>
          </cell>
          <cell r="AD746" t="str">
            <v>Lower Alveolus</v>
          </cell>
          <cell r="AE746" t="str">
            <v>Male</v>
          </cell>
          <cell r="AF746">
            <v>74</v>
          </cell>
          <cell r="AG746" t="str">
            <v>N</v>
          </cell>
          <cell r="AH746">
            <v>4.2</v>
          </cell>
          <cell r="AI746" t="str">
            <v>Kalappa</v>
          </cell>
          <cell r="AJ746" t="str">
            <v>Surgery</v>
          </cell>
          <cell r="AK746" t="str">
            <v>Primary</v>
          </cell>
          <cell r="AN746" t="str">
            <v>IV</v>
          </cell>
          <cell r="AO746">
            <v>1</v>
          </cell>
          <cell r="AP746" t="str">
            <v>pT4apN0</v>
          </cell>
          <cell r="AS746" t="str">
            <v>Well differentiated squamous cell carcinoma</v>
          </cell>
          <cell r="AV746">
            <v>45225</v>
          </cell>
          <cell r="AW746">
            <v>0.58750000000000002</v>
          </cell>
          <cell r="AX746">
            <v>0.69791666666666663</v>
          </cell>
          <cell r="AY746">
            <v>0.11041666666666666</v>
          </cell>
          <cell r="AZ746">
            <v>0.14166666666666666</v>
          </cell>
          <cell r="BA746">
            <v>0.2326388888888889</v>
          </cell>
          <cell r="BB746" t="str">
            <v>0.6/.2*0.8/0.4*1.2/1.0
0.4/0.2*0.6*0.8/0.6
0.2*0.4*0.2
0.2*0.2*0.4</v>
          </cell>
          <cell r="BC746" t="str">
            <v>0.4/.2*0.7/0.4*1.2
0.4/0.2*0.6*0.8/0.6
0.2*0.4*0.2
0.2*0.2*0.4</v>
          </cell>
          <cell r="BD746" t="str">
            <v>Manual</v>
          </cell>
          <cell r="BE746">
            <v>15</v>
          </cell>
          <cell r="BF746" t="str">
            <v>Mouniss</v>
          </cell>
          <cell r="BG746" t="str">
            <v>Y</v>
          </cell>
        </row>
        <row r="747">
          <cell r="A747" t="str">
            <v>FBB1L230318</v>
          </cell>
          <cell r="B747">
            <v>230318</v>
          </cell>
          <cell r="C747" t="str">
            <v>Biopharma</v>
          </cell>
          <cell r="D747">
            <v>45225</v>
          </cell>
          <cell r="E747">
            <v>0.48958333333333331</v>
          </cell>
          <cell r="F747">
            <v>45200</v>
          </cell>
          <cell r="G747">
            <v>45225</v>
          </cell>
          <cell r="H747">
            <v>0.55625000000000002</v>
          </cell>
          <cell r="I747">
            <v>6.6666666666666666E-2</v>
          </cell>
          <cell r="J747">
            <v>15</v>
          </cell>
          <cell r="K747" t="str">
            <v>FCB-PROTOCOL-02</v>
          </cell>
          <cell r="L747" t="str">
            <v>RC042</v>
          </cell>
          <cell r="M747" t="str">
            <v>Y</v>
          </cell>
          <cell r="N747" t="str">
            <v>BP010 (1L)</v>
          </cell>
          <cell r="O747" t="str">
            <v>Biopharma</v>
          </cell>
          <cell r="P747" t="str">
            <v>Q1 Passed</v>
          </cell>
          <cell r="Q747" t="str">
            <v>Q1 Passed</v>
          </cell>
          <cell r="R747" t="str">
            <v>Compromised</v>
          </cell>
          <cell r="S747" t="str">
            <v>Q1.5 Passed</v>
          </cell>
          <cell r="V747" t="str">
            <v>Tumor content 60-95%</v>
          </cell>
          <cell r="W747" t="str">
            <v>Private Hospital</v>
          </cell>
          <cell r="X747" t="str">
            <v>Mazumdar Shaw Medical Centre, Bangalore</v>
          </cell>
          <cell r="Y747" t="str">
            <v>Mazumdar Shaw Medical Centre, Bangalore</v>
          </cell>
          <cell r="Z747" t="str">
            <v>Dr Saurabh Bhargav, Bangalore</v>
          </cell>
          <cell r="AA747" t="str">
            <v>RCC</v>
          </cell>
          <cell r="AC747" t="str">
            <v>Renal</v>
          </cell>
          <cell r="AD747" t="str">
            <v>Left Renal Mass</v>
          </cell>
          <cell r="AE747" t="str">
            <v>Female</v>
          </cell>
          <cell r="AF747">
            <v>48</v>
          </cell>
          <cell r="AG747" t="str">
            <v>N</v>
          </cell>
          <cell r="AH747">
            <v>4.2</v>
          </cell>
          <cell r="AI747" t="str">
            <v>Kalappa</v>
          </cell>
          <cell r="AJ747" t="str">
            <v>Surgery</v>
          </cell>
          <cell r="AK747" t="str">
            <v>Primary</v>
          </cell>
          <cell r="AN747" t="str">
            <v>I</v>
          </cell>
          <cell r="AO747">
            <v>2</v>
          </cell>
          <cell r="AP747" t="str">
            <v>pT1b</v>
          </cell>
          <cell r="AS747" t="str">
            <v>Clear cell renal carcinoma</v>
          </cell>
          <cell r="AV747">
            <v>45225</v>
          </cell>
          <cell r="AW747">
            <v>0.60486111111111107</v>
          </cell>
          <cell r="AX747">
            <v>0.71875</v>
          </cell>
          <cell r="AY747">
            <v>0.11388888888888889</v>
          </cell>
          <cell r="AZ747">
            <v>0.16250000000000001</v>
          </cell>
          <cell r="BA747">
            <v>0.22916666666666666</v>
          </cell>
          <cell r="BB747" t="str">
            <v>0.4/0.6*2.5*2.1</v>
          </cell>
          <cell r="BD747" t="str">
            <v>Vibratome</v>
          </cell>
          <cell r="BE747">
            <v>15</v>
          </cell>
          <cell r="BF747" t="str">
            <v>Syam</v>
          </cell>
          <cell r="BG747" t="str">
            <v>Y</v>
          </cell>
        </row>
        <row r="748">
          <cell r="A748" t="str">
            <v>FBB1K230319</v>
          </cell>
          <cell r="B748">
            <v>230319</v>
          </cell>
          <cell r="C748" t="str">
            <v>Biopharma</v>
          </cell>
          <cell r="D748">
            <v>45225</v>
          </cell>
          <cell r="E748">
            <v>0.48958333333333331</v>
          </cell>
          <cell r="F748">
            <v>45200</v>
          </cell>
          <cell r="G748">
            <v>45225</v>
          </cell>
          <cell r="H748">
            <v>0.84097222222222223</v>
          </cell>
          <cell r="I748">
            <v>0.35138888888888886</v>
          </cell>
          <cell r="J748">
            <v>10</v>
          </cell>
          <cell r="K748" t="str">
            <v>FCB-PROTOCOL-01</v>
          </cell>
          <cell r="L748" t="str">
            <v>CLN/DBR/161</v>
          </cell>
          <cell r="M748" t="str">
            <v>Y</v>
          </cell>
          <cell r="N748" t="str">
            <v>BP010 (1K)</v>
          </cell>
          <cell r="O748" t="str">
            <v>Biopharma</v>
          </cell>
          <cell r="P748" t="str">
            <v>Q1 Passed</v>
          </cell>
          <cell r="Q748" t="str">
            <v>Q1 Passed</v>
          </cell>
          <cell r="R748" t="str">
            <v>Q1.5 Passed</v>
          </cell>
          <cell r="S748" t="str">
            <v>Q1.5 Passed</v>
          </cell>
          <cell r="V748" t="str">
            <v>Tumor content 90-95%</v>
          </cell>
          <cell r="W748" t="str">
            <v>Clinic'les</v>
          </cell>
          <cell r="X748" t="str">
            <v>Clinic'les- DBR &amp; SK Hospital, Tirupati</v>
          </cell>
          <cell r="Y748" t="str">
            <v>DBR &amp; SK Hospital, Tirupati</v>
          </cell>
          <cell r="Z748" t="str">
            <v>Dr C Jayaprakash, Tirupati</v>
          </cell>
          <cell r="AA748" t="str">
            <v>HNSCC</v>
          </cell>
          <cell r="AC748" t="str">
            <v>GBS</v>
          </cell>
          <cell r="AD748" t="str">
            <v>Left GBS</v>
          </cell>
          <cell r="AE748" t="str">
            <v>Female</v>
          </cell>
          <cell r="AF748">
            <v>73</v>
          </cell>
          <cell r="AG748" t="str">
            <v>N</v>
          </cell>
          <cell r="AH748">
            <v>4.9000000000000004</v>
          </cell>
          <cell r="AI748" t="str">
            <v>Shashi</v>
          </cell>
          <cell r="AJ748" t="str">
            <v>Surgery</v>
          </cell>
          <cell r="AK748" t="str">
            <v>Primary</v>
          </cell>
          <cell r="AN748" t="str">
            <v>III</v>
          </cell>
          <cell r="AP748" t="str">
            <v>T3 N0 MX</v>
          </cell>
          <cell r="AV748">
            <v>45225</v>
          </cell>
          <cell r="AW748">
            <v>0.84722222222222221</v>
          </cell>
          <cell r="AX748">
            <v>0.90902777777777777</v>
          </cell>
          <cell r="AY748">
            <v>6.1805555555555558E-2</v>
          </cell>
          <cell r="AZ748">
            <v>6.805555555555555E-2</v>
          </cell>
          <cell r="BA748">
            <v>0.41944444444444445</v>
          </cell>
          <cell r="BB748" t="str">
            <v>0.4*1.2/1.3*1.6/1.8</v>
          </cell>
          <cell r="BD748" t="str">
            <v>Vibratome</v>
          </cell>
          <cell r="BE748">
            <v>15</v>
          </cell>
          <cell r="BF748" t="str">
            <v>Kowshik</v>
          </cell>
          <cell r="BG748" t="str">
            <v>Y</v>
          </cell>
        </row>
        <row r="749">
          <cell r="A749" t="str">
            <v>FBR1Z230320</v>
          </cell>
          <cell r="B749">
            <v>230320</v>
          </cell>
          <cell r="C749" t="str">
            <v>R&amp;D</v>
          </cell>
          <cell r="D749">
            <v>45226</v>
          </cell>
          <cell r="E749">
            <v>0.6333333333333333</v>
          </cell>
          <cell r="F749">
            <v>45200</v>
          </cell>
          <cell r="G749">
            <v>45226</v>
          </cell>
          <cell r="H749">
            <v>0.6958333333333333</v>
          </cell>
          <cell r="I749">
            <v>6.25E-2</v>
          </cell>
          <cell r="J749">
            <v>3</v>
          </cell>
          <cell r="K749" t="str">
            <v>FCB-PROTOCOL-02</v>
          </cell>
          <cell r="L749" t="str">
            <v>CLN/PRA/234</v>
          </cell>
          <cell r="M749" t="str">
            <v>Y</v>
          </cell>
          <cell r="N749" t="str">
            <v>CT+LD Nivo -NLD study (1Z)</v>
          </cell>
          <cell r="O749" t="str">
            <v>Internal R&amp;D</v>
          </cell>
          <cell r="P749" t="str">
            <v>Q1 Passed</v>
          </cell>
          <cell r="Q749" t="str">
            <v>Q1 Passed</v>
          </cell>
          <cell r="R749" t="str">
            <v>Q1.5 Passed</v>
          </cell>
          <cell r="S749" t="str">
            <v>Q1.5 Passed</v>
          </cell>
          <cell r="V749" t="str">
            <v>Tumor content 6-80%</v>
          </cell>
          <cell r="W749" t="str">
            <v>Private Hospital</v>
          </cell>
          <cell r="X749" t="str">
            <v>Dr Prakash BV, Bangalore</v>
          </cell>
          <cell r="Y749" t="str">
            <v>Sri Lakshmi Hospital, Bangalore</v>
          </cell>
          <cell r="Z749" t="str">
            <v>Dr Prakash BV, Bangalore</v>
          </cell>
          <cell r="AA749" t="str">
            <v>HNSCC</v>
          </cell>
          <cell r="AC749" t="str">
            <v>Palate</v>
          </cell>
          <cell r="AD749" t="str">
            <v>Soft Palate</v>
          </cell>
          <cell r="AE749" t="str">
            <v>Male</v>
          </cell>
          <cell r="AF749">
            <v>55</v>
          </cell>
          <cell r="AG749" t="str">
            <v>N</v>
          </cell>
          <cell r="AH749">
            <v>4.5999999999999996</v>
          </cell>
          <cell r="AI749" t="str">
            <v>Kalappa</v>
          </cell>
          <cell r="AJ749" t="str">
            <v>Surgery</v>
          </cell>
          <cell r="AK749" t="str">
            <v>Primary</v>
          </cell>
          <cell r="AN749" t="str">
            <v>III</v>
          </cell>
          <cell r="AO749">
            <v>2</v>
          </cell>
          <cell r="AP749" t="str">
            <v>pT3N1M0</v>
          </cell>
          <cell r="AV749">
            <v>45226</v>
          </cell>
          <cell r="AW749">
            <v>0.70763888888888893</v>
          </cell>
          <cell r="AX749">
            <v>0.80902777777777779</v>
          </cell>
          <cell r="AY749">
            <v>0.10138888888888889</v>
          </cell>
          <cell r="AZ749">
            <v>0.11319444444444444</v>
          </cell>
          <cell r="BA749">
            <v>0.17569444444444443</v>
          </cell>
          <cell r="BB749" t="str">
            <v>0.4/0.6*1.4/0.4*2.4/2.0</v>
          </cell>
          <cell r="BD749" t="str">
            <v>Vibratome</v>
          </cell>
          <cell r="BE749">
            <v>15</v>
          </cell>
          <cell r="BF749" t="str">
            <v>chandan</v>
          </cell>
          <cell r="BG749" t="str">
            <v>Y</v>
          </cell>
        </row>
        <row r="750">
          <cell r="A750" t="str">
            <v>FBR1W230321</v>
          </cell>
          <cell r="B750">
            <v>230321</v>
          </cell>
          <cell r="C750" t="str">
            <v>R&amp;D</v>
          </cell>
          <cell r="D750">
            <v>45226</v>
          </cell>
          <cell r="E750">
            <v>0.48958333333333331</v>
          </cell>
          <cell r="F750">
            <v>45200</v>
          </cell>
          <cell r="G750">
            <v>45226</v>
          </cell>
          <cell r="H750">
            <v>0.83333333333333337</v>
          </cell>
          <cell r="I750">
            <v>0.34375</v>
          </cell>
          <cell r="J750">
            <v>10</v>
          </cell>
          <cell r="K750" t="str">
            <v>FCB-PROTOCOL-01</v>
          </cell>
          <cell r="L750" t="str">
            <v>CLN/DBR/162</v>
          </cell>
          <cell r="M750" t="str">
            <v>Y</v>
          </cell>
          <cell r="N750" t="str">
            <v>Biopsy Cabr-BSS (1W)</v>
          </cell>
          <cell r="O750" t="str">
            <v>Internal R&amp;D</v>
          </cell>
          <cell r="P750" t="str">
            <v>Q1 Passed</v>
          </cell>
          <cell r="Q750" t="str">
            <v>Q1 Passed</v>
          </cell>
          <cell r="R750" t="str">
            <v>Q1.5 Passed</v>
          </cell>
          <cell r="S750" t="str">
            <v>Q1.5 Passed</v>
          </cell>
          <cell r="V750" t="str">
            <v>Tumor content 5-35%, with areas of DCIS</v>
          </cell>
          <cell r="W750" t="str">
            <v>Clinic'les</v>
          </cell>
          <cell r="X750" t="str">
            <v>Clinic'les- DBR &amp; SK Hospital, Tirupati</v>
          </cell>
          <cell r="Y750" t="str">
            <v>DBR &amp; SK Hospital, Tirupati</v>
          </cell>
          <cell r="Z750" t="str">
            <v>Dr C Jayaprakash, Tirupati</v>
          </cell>
          <cell r="AA750" t="str">
            <v>Ca Breast</v>
          </cell>
          <cell r="AC750" t="str">
            <v>Breast</v>
          </cell>
          <cell r="AD750" t="str">
            <v>Right Breast</v>
          </cell>
          <cell r="AE750" t="str">
            <v>Female</v>
          </cell>
          <cell r="AF750">
            <v>57</v>
          </cell>
          <cell r="AG750" t="str">
            <v>N</v>
          </cell>
          <cell r="AH750">
            <v>4.5999999999999996</v>
          </cell>
          <cell r="AI750" t="str">
            <v>Maruthi</v>
          </cell>
          <cell r="AJ750" t="str">
            <v>Surgery</v>
          </cell>
          <cell r="AK750" t="str">
            <v>Primary</v>
          </cell>
          <cell r="AN750" t="str">
            <v>IIIc</v>
          </cell>
          <cell r="AO750">
            <v>1</v>
          </cell>
          <cell r="AP750" t="str">
            <v>T2 N3 MX</v>
          </cell>
          <cell r="AV750">
            <v>45226</v>
          </cell>
          <cell r="AW750">
            <v>0.84444444444444444</v>
          </cell>
          <cell r="AX750">
            <v>0.90833333333333333</v>
          </cell>
          <cell r="AY750">
            <v>6.3888888888888884E-2</v>
          </cell>
          <cell r="AZ750">
            <v>7.4999999999999997E-2</v>
          </cell>
          <cell r="BA750">
            <v>0.41875000000000001</v>
          </cell>
          <cell r="BB750" t="str">
            <v>0.6/0.8*2.0*3.0</v>
          </cell>
          <cell r="BD750" t="str">
            <v>Manual</v>
          </cell>
          <cell r="BE750">
            <v>15</v>
          </cell>
          <cell r="BF750" t="str">
            <v>kuberan</v>
          </cell>
          <cell r="BG750" t="str">
            <v>Y</v>
          </cell>
        </row>
        <row r="751">
          <cell r="A751" t="str">
            <v>FBR1Y230322</v>
          </cell>
          <cell r="B751">
            <v>230322</v>
          </cell>
          <cell r="C751" t="str">
            <v>R&amp;D</v>
          </cell>
          <cell r="D751">
            <v>45229</v>
          </cell>
          <cell r="E751">
            <v>0.55555555555555558</v>
          </cell>
          <cell r="F751">
            <v>45200</v>
          </cell>
          <cell r="G751">
            <v>45229</v>
          </cell>
          <cell r="H751">
            <v>0.6479166666666667</v>
          </cell>
          <cell r="I751">
            <v>9.2361111111111116E-2</v>
          </cell>
          <cell r="J751">
            <v>9</v>
          </cell>
          <cell r="K751" t="str">
            <v>FCB-PROTOCOL-02</v>
          </cell>
          <cell r="L751" t="str">
            <v>HN093</v>
          </cell>
          <cell r="M751" t="str">
            <v>Y</v>
          </cell>
          <cell r="N751" t="str">
            <v>CCS Study (1Y)</v>
          </cell>
          <cell r="O751" t="str">
            <v>Internal R&amp;D</v>
          </cell>
          <cell r="P751" t="str">
            <v>Q1 Passed</v>
          </cell>
          <cell r="Q751" t="str">
            <v>Q1 Passed</v>
          </cell>
          <cell r="R751" t="str">
            <v>Compromised</v>
          </cell>
          <cell r="S751" t="str">
            <v>Q1.5 Passed</v>
          </cell>
          <cell r="V751" t="str">
            <v>Tumor content 15-96%</v>
          </cell>
          <cell r="W751" t="str">
            <v>Private Hospital</v>
          </cell>
          <cell r="X751" t="str">
            <v>Mazumdar Shaw Medical Centre, Bangalore</v>
          </cell>
          <cell r="Y751" t="str">
            <v>Mazumdar Shaw Medical Centre, Bangalore</v>
          </cell>
          <cell r="Z751" t="str">
            <v>Dr Vijay Pillai, Bangalore</v>
          </cell>
          <cell r="AA751" t="str">
            <v>HNSCC</v>
          </cell>
          <cell r="AC751" t="str">
            <v>Alveolus</v>
          </cell>
          <cell r="AD751" t="str">
            <v>Left Lower Alveolus</v>
          </cell>
          <cell r="AE751" t="str">
            <v>Male</v>
          </cell>
          <cell r="AF751">
            <v>47</v>
          </cell>
          <cell r="AG751" t="str">
            <v>N</v>
          </cell>
          <cell r="AH751">
            <v>3.7</v>
          </cell>
          <cell r="AI751" t="str">
            <v>Kalappa</v>
          </cell>
          <cell r="AJ751" t="str">
            <v>Surgery</v>
          </cell>
          <cell r="AK751" t="str">
            <v>Primary</v>
          </cell>
          <cell r="AN751" t="str">
            <v>IV</v>
          </cell>
          <cell r="AO751">
            <v>2</v>
          </cell>
          <cell r="AP751" t="str">
            <v>pT4apN1</v>
          </cell>
          <cell r="AS751" t="str">
            <v>Moderately differentiated squamous cell carcinoma</v>
          </cell>
          <cell r="AV751">
            <v>45229</v>
          </cell>
          <cell r="AW751">
            <v>0.66319444444444442</v>
          </cell>
          <cell r="AX751">
            <v>0.73611111111111116</v>
          </cell>
          <cell r="AY751">
            <v>7.2916666666666671E-2</v>
          </cell>
          <cell r="AZ751">
            <v>8.819444444444445E-2</v>
          </cell>
          <cell r="BA751">
            <v>0.18055555555555555</v>
          </cell>
          <cell r="BB751" t="str">
            <v>0.4*0.6/0.9*1.2</v>
          </cell>
          <cell r="BD751" t="str">
            <v>Manual</v>
          </cell>
          <cell r="BE751">
            <v>15</v>
          </cell>
          <cell r="BF751" t="str">
            <v>Syam</v>
          </cell>
          <cell r="BG751" t="str">
            <v>Y</v>
          </cell>
        </row>
        <row r="752">
          <cell r="A752" t="str">
            <v>FBB1K230323</v>
          </cell>
          <cell r="B752">
            <v>230323</v>
          </cell>
          <cell r="C752" t="str">
            <v>Biopharma</v>
          </cell>
          <cell r="D752">
            <v>45229</v>
          </cell>
          <cell r="E752">
            <v>0.61944444444444446</v>
          </cell>
          <cell r="F752">
            <v>45200</v>
          </cell>
          <cell r="G752">
            <v>45229</v>
          </cell>
          <cell r="H752">
            <v>0.6479166666666667</v>
          </cell>
          <cell r="I752">
            <v>2.8472222222222222E-2</v>
          </cell>
          <cell r="J752">
            <v>7</v>
          </cell>
          <cell r="K752" t="str">
            <v>FCB-PROTOCOL-02</v>
          </cell>
          <cell r="L752" t="str">
            <v>HN094</v>
          </cell>
          <cell r="M752" t="str">
            <v>Y</v>
          </cell>
          <cell r="N752" t="str">
            <v>BP010 (1K)</v>
          </cell>
          <cell r="O752" t="str">
            <v>Biopharma</v>
          </cell>
          <cell r="P752" t="str">
            <v>Q1 Passed</v>
          </cell>
          <cell r="Q752" t="str">
            <v>Q1 Passed</v>
          </cell>
          <cell r="R752" t="str">
            <v>Compromised</v>
          </cell>
          <cell r="S752" t="str">
            <v>Q1.5 Passed</v>
          </cell>
          <cell r="V752" t="str">
            <v>Tumor content 40-90%</v>
          </cell>
          <cell r="W752" t="str">
            <v>Private Hospital</v>
          </cell>
          <cell r="X752" t="str">
            <v>Mazumdar Shaw Medical Centre, Bangalore</v>
          </cell>
          <cell r="Y752" t="str">
            <v>Mazumdar Shaw Medical Centre, Bangalore</v>
          </cell>
          <cell r="Z752" t="str">
            <v>Dr Vijay Pillai, Bangalore</v>
          </cell>
          <cell r="AA752" t="str">
            <v>HNSCC</v>
          </cell>
          <cell r="AC752" t="str">
            <v>Buccal mucosa</v>
          </cell>
          <cell r="AD752" t="str">
            <v>Left Buccl Mucosa</v>
          </cell>
          <cell r="AE752" t="str">
            <v>Male</v>
          </cell>
          <cell r="AF752">
            <v>67</v>
          </cell>
          <cell r="AG752" t="str">
            <v>N</v>
          </cell>
          <cell r="AH752">
            <v>3.7</v>
          </cell>
          <cell r="AI752" t="str">
            <v>Kalappa</v>
          </cell>
          <cell r="AJ752" t="str">
            <v>Surgery</v>
          </cell>
          <cell r="AK752" t="str">
            <v>Primary</v>
          </cell>
          <cell r="AN752" t="str">
            <v>IV</v>
          </cell>
          <cell r="AO752">
            <v>2</v>
          </cell>
          <cell r="AP752" t="str">
            <v>pT4a</v>
          </cell>
          <cell r="AS752" t="str">
            <v>Moderately differentiated squamous cell carcinoma</v>
          </cell>
          <cell r="AV752">
            <v>45229</v>
          </cell>
          <cell r="AW752">
            <v>0.66319444444444442</v>
          </cell>
          <cell r="AX752">
            <v>0.74305555555555558</v>
          </cell>
          <cell r="AY752">
            <v>7.9861111111111105E-2</v>
          </cell>
          <cell r="AZ752">
            <v>9.5138888888888884E-2</v>
          </cell>
          <cell r="BA752">
            <v>0.12361111111111112</v>
          </cell>
          <cell r="BB752" t="str">
            <v>0.5/0.6*1.0*1.0</v>
          </cell>
          <cell r="BD752" t="str">
            <v>Vibratome</v>
          </cell>
          <cell r="BE752">
            <v>15</v>
          </cell>
          <cell r="BF752" t="str">
            <v>Kowshik</v>
          </cell>
          <cell r="BG752" t="str">
            <v>Y</v>
          </cell>
        </row>
        <row r="753">
          <cell r="A753" t="str">
            <v>FBR1X230324</v>
          </cell>
          <cell r="B753">
            <v>230324</v>
          </cell>
          <cell r="C753" t="str">
            <v>R&amp;D</v>
          </cell>
          <cell r="D753">
            <v>45229</v>
          </cell>
          <cell r="E753">
            <v>0.66666666666666663</v>
          </cell>
          <cell r="F753">
            <v>45200</v>
          </cell>
          <cell r="G753">
            <v>45229</v>
          </cell>
          <cell r="H753">
            <v>0.73333333333333328</v>
          </cell>
          <cell r="I753">
            <v>6.6666666666666666E-2</v>
          </cell>
          <cell r="J753">
            <v>0</v>
          </cell>
          <cell r="K753" t="str">
            <v>FCB-PROTOCOL-02</v>
          </cell>
          <cell r="L753" t="str">
            <v>HN095</v>
          </cell>
          <cell r="M753" t="str">
            <v>Y</v>
          </cell>
          <cell r="N753" t="str">
            <v>Biopsy HNSCC (1X)</v>
          </cell>
          <cell r="O753" t="str">
            <v>Internal R&amp;D</v>
          </cell>
          <cell r="P753" t="str">
            <v>Q1 Passed</v>
          </cell>
          <cell r="Q753" t="str">
            <v>Q1 Passed</v>
          </cell>
          <cell r="R753" t="str">
            <v>Q1.5 Passed</v>
          </cell>
          <cell r="S753" t="str">
            <v>Q1.5 Passed</v>
          </cell>
          <cell r="V753" t="str">
            <v>Tumor content 0-75%. Necrosis high</v>
          </cell>
          <cell r="W753" t="str">
            <v>Private Hospital</v>
          </cell>
          <cell r="X753" t="str">
            <v>Mazumdar Shaw Medical Centre, Bangalore</v>
          </cell>
          <cell r="Y753" t="str">
            <v>Mazumdar Shaw Medical Centre, Bangalore</v>
          </cell>
          <cell r="Z753" t="str">
            <v>Dr Vijay Pillai, Bangalore</v>
          </cell>
          <cell r="AA753" t="str">
            <v>HNSCC</v>
          </cell>
          <cell r="AC753" t="str">
            <v>Larynx</v>
          </cell>
          <cell r="AD753" t="str">
            <v>Larynx</v>
          </cell>
          <cell r="AE753" t="str">
            <v>Male</v>
          </cell>
          <cell r="AF753">
            <v>68</v>
          </cell>
          <cell r="AG753" t="str">
            <v>N</v>
          </cell>
          <cell r="AH753">
            <v>4.8</v>
          </cell>
          <cell r="AI753" t="str">
            <v>Partha</v>
          </cell>
          <cell r="AJ753" t="str">
            <v>Biopsy</v>
          </cell>
          <cell r="AK753" t="str">
            <v>Primary</v>
          </cell>
          <cell r="AN753" t="str">
            <v>NA</v>
          </cell>
          <cell r="AO753" t="str">
            <v>NA</v>
          </cell>
          <cell r="AP753" t="str">
            <v>NA</v>
          </cell>
          <cell r="AS753" t="str">
            <v>papillary squamous cell carcinoma</v>
          </cell>
          <cell r="AV753">
            <v>45229</v>
          </cell>
          <cell r="AW753">
            <v>0.78819444444444442</v>
          </cell>
          <cell r="AX753">
            <v>0.8208333333333333</v>
          </cell>
          <cell r="AY753">
            <v>3.2638888888888891E-2</v>
          </cell>
          <cell r="AZ753">
            <v>8.7499999999999994E-2</v>
          </cell>
          <cell r="BA753">
            <v>0.15416666666666667</v>
          </cell>
          <cell r="BB753" t="str">
            <v>0.2*0.8*0.8</v>
          </cell>
          <cell r="BD753" t="str">
            <v>Manual</v>
          </cell>
          <cell r="BE753">
            <v>15</v>
          </cell>
          <cell r="BF753" t="str">
            <v>Syam</v>
          </cell>
          <cell r="BG753" t="str">
            <v>Y</v>
          </cell>
        </row>
        <row r="754">
          <cell r="A754" t="str">
            <v>FBR1Y230325</v>
          </cell>
          <cell r="B754">
            <v>230325</v>
          </cell>
          <cell r="C754" t="str">
            <v>R&amp;D</v>
          </cell>
          <cell r="D754">
            <v>45232</v>
          </cell>
          <cell r="E754">
            <v>0.44513888888888886</v>
          </cell>
          <cell r="F754">
            <v>45231</v>
          </cell>
          <cell r="G754">
            <v>45232</v>
          </cell>
          <cell r="H754">
            <v>0.55763888888888891</v>
          </cell>
          <cell r="I754">
            <v>0.1125</v>
          </cell>
          <cell r="J754">
            <v>1</v>
          </cell>
          <cell r="K754" t="str">
            <v>FCB-PROTOCOL-01</v>
          </cell>
          <cell r="L754" t="str">
            <v>VYD/214</v>
          </cell>
          <cell r="M754" t="str">
            <v>Y</v>
          </cell>
          <cell r="N754" t="str">
            <v>CCS Study (1Y)</v>
          </cell>
          <cell r="O754" t="str">
            <v>Internal R&amp;D</v>
          </cell>
          <cell r="P754" t="str">
            <v>Q1 Passed</v>
          </cell>
          <cell r="Q754" t="str">
            <v>Q1 Passed</v>
          </cell>
          <cell r="R754" t="str">
            <v>Q1.5 Passed</v>
          </cell>
          <cell r="S754" t="str">
            <v>Q1.5 Passed</v>
          </cell>
          <cell r="V754" t="str">
            <v>Tumor content 0-65%</v>
          </cell>
          <cell r="W754" t="str">
            <v>Private Hospital</v>
          </cell>
          <cell r="X754" t="str">
            <v>Vydehi Hospital, Bangalore</v>
          </cell>
          <cell r="Y754" t="str">
            <v>Vydehi Hospital, Bangalore</v>
          </cell>
          <cell r="Z754" t="str">
            <v>Dr Amritha Prabha, Bangalore</v>
          </cell>
          <cell r="AA754" t="str">
            <v>HNSCC</v>
          </cell>
          <cell r="AC754" t="str">
            <v>Buccal mucosa</v>
          </cell>
          <cell r="AD754" t="str">
            <v>Left Buccal Mucosa</v>
          </cell>
          <cell r="AE754" t="str">
            <v>Female</v>
          </cell>
          <cell r="AF754">
            <v>47</v>
          </cell>
          <cell r="AG754" t="str">
            <v>N</v>
          </cell>
          <cell r="AH754">
            <v>3.5</v>
          </cell>
          <cell r="AI754" t="str">
            <v>Kalappa</v>
          </cell>
          <cell r="AJ754" t="str">
            <v>Surgery</v>
          </cell>
          <cell r="AK754" t="str">
            <v>Primary</v>
          </cell>
          <cell r="AN754" t="str">
            <v>IVa</v>
          </cell>
          <cell r="AO754">
            <v>2</v>
          </cell>
          <cell r="AP754" t="str">
            <v>T4aN0</v>
          </cell>
          <cell r="AS754" t="str">
            <v>SCC</v>
          </cell>
          <cell r="AT754" t="str">
            <v>RT</v>
          </cell>
          <cell r="AV754">
            <v>45232</v>
          </cell>
          <cell r="AW754">
            <v>0.5708333333333333</v>
          </cell>
          <cell r="AX754">
            <v>0.70277777777777772</v>
          </cell>
          <cell r="AY754">
            <v>0.13194444444444445</v>
          </cell>
          <cell r="AZ754">
            <v>0.1451388888888889</v>
          </cell>
          <cell r="BA754">
            <v>0.25763888888888886</v>
          </cell>
          <cell r="BB754" t="str">
            <v>0.4*1.6/1.4*1.8</v>
          </cell>
          <cell r="BD754" t="str">
            <v>Manual</v>
          </cell>
          <cell r="BE754">
            <v>14</v>
          </cell>
          <cell r="BF754" t="str">
            <v>Dharani</v>
          </cell>
          <cell r="BG754" t="str">
            <v>Y</v>
          </cell>
        </row>
        <row r="755">
          <cell r="A755" t="str">
            <v>FBR2D230325</v>
          </cell>
          <cell r="B755">
            <v>230325</v>
          </cell>
          <cell r="C755" t="str">
            <v>R&amp;D</v>
          </cell>
          <cell r="D755">
            <v>45232</v>
          </cell>
          <cell r="E755">
            <v>0.44513888888888886</v>
          </cell>
          <cell r="F755">
            <v>45231</v>
          </cell>
          <cell r="G755">
            <v>45232</v>
          </cell>
          <cell r="H755">
            <v>0.55763888888888891</v>
          </cell>
          <cell r="I755">
            <v>0.1125</v>
          </cell>
          <cell r="J755">
            <v>1</v>
          </cell>
          <cell r="K755" t="str">
            <v>FCB-PROTOCOL-01</v>
          </cell>
          <cell r="L755" t="str">
            <v>VYD/214</v>
          </cell>
          <cell r="M755" t="str">
            <v>Y</v>
          </cell>
          <cell r="N755" t="str">
            <v>BSS V2 (2D)</v>
          </cell>
          <cell r="O755" t="str">
            <v>Internal R&amp;D</v>
          </cell>
          <cell r="P755" t="str">
            <v>Q1 Passed</v>
          </cell>
          <cell r="Q755" t="str">
            <v>Q1 Passed</v>
          </cell>
          <cell r="R755" t="str">
            <v>Q1.5 Passed</v>
          </cell>
          <cell r="S755" t="str">
            <v>Q1.5 Passed</v>
          </cell>
          <cell r="V755" t="str">
            <v>Tumor content 0-65%</v>
          </cell>
          <cell r="W755" t="str">
            <v>Private Hospital</v>
          </cell>
          <cell r="X755" t="str">
            <v>Vydehi Hospital, Bangalore</v>
          </cell>
          <cell r="Y755" t="str">
            <v>Vydehi Hospital, Bangalore</v>
          </cell>
          <cell r="Z755" t="str">
            <v>Dr Amritha Prabha, Bangalore</v>
          </cell>
          <cell r="AA755" t="str">
            <v>HNSCC</v>
          </cell>
          <cell r="AC755" t="str">
            <v>Buccal mucosa</v>
          </cell>
          <cell r="AD755" t="str">
            <v>Left Buccal Mucosa</v>
          </cell>
          <cell r="AE755" t="str">
            <v>Female</v>
          </cell>
          <cell r="AF755">
            <v>47</v>
          </cell>
          <cell r="AG755" t="str">
            <v>N</v>
          </cell>
          <cell r="AH755">
            <v>3.5</v>
          </cell>
          <cell r="AI755" t="str">
            <v>Kalappa</v>
          </cell>
          <cell r="AJ755" t="str">
            <v>Surgery</v>
          </cell>
          <cell r="AK755" t="str">
            <v>Primary</v>
          </cell>
          <cell r="AN755" t="str">
            <v>IVa</v>
          </cell>
          <cell r="AO755">
            <v>2</v>
          </cell>
          <cell r="AP755" t="str">
            <v>T4aN0</v>
          </cell>
          <cell r="AS755" t="str">
            <v>SCC</v>
          </cell>
          <cell r="AT755" t="str">
            <v>RT</v>
          </cell>
          <cell r="AV755">
            <v>45232</v>
          </cell>
          <cell r="AW755">
            <v>0.5708333333333333</v>
          </cell>
          <cell r="AX755">
            <v>0.70277777777777772</v>
          </cell>
          <cell r="AY755">
            <v>0.13194444444444445</v>
          </cell>
          <cell r="AZ755">
            <v>0.1451388888888889</v>
          </cell>
          <cell r="BA755">
            <v>0.25763888888888886</v>
          </cell>
          <cell r="BB755" t="str">
            <v>0.4*1.6/1.4*1.8</v>
          </cell>
          <cell r="BD755" t="str">
            <v>Manual</v>
          </cell>
          <cell r="BE755">
            <v>14</v>
          </cell>
          <cell r="BF755" t="str">
            <v>Dharani</v>
          </cell>
          <cell r="BG755" t="str">
            <v>Y</v>
          </cell>
        </row>
        <row r="756">
          <cell r="A756" t="str">
            <v>FBR1Y230326</v>
          </cell>
          <cell r="B756">
            <v>230326</v>
          </cell>
          <cell r="C756" t="str">
            <v>R&amp;D</v>
          </cell>
          <cell r="D756">
            <v>45232</v>
          </cell>
          <cell r="E756">
            <v>0.56944444444444442</v>
          </cell>
          <cell r="F756">
            <v>45231</v>
          </cell>
          <cell r="G756">
            <v>45232</v>
          </cell>
          <cell r="H756">
            <v>0.63124999999999998</v>
          </cell>
          <cell r="I756">
            <v>6.1805555555555558E-2</v>
          </cell>
          <cell r="J756">
            <v>15</v>
          </cell>
          <cell r="K756" t="str">
            <v>FCB-PROTOCOL-02</v>
          </cell>
          <cell r="L756" t="str">
            <v>HN096</v>
          </cell>
          <cell r="M756" t="str">
            <v>Y</v>
          </cell>
          <cell r="N756" t="str">
            <v>CCS Study (1Y)</v>
          </cell>
          <cell r="O756" t="str">
            <v>Internal R&amp;D</v>
          </cell>
          <cell r="P756" t="str">
            <v>Q1 Passed</v>
          </cell>
          <cell r="Q756" t="str">
            <v>Q1 Passed</v>
          </cell>
          <cell r="R756" t="str">
            <v>Compromised</v>
          </cell>
          <cell r="S756" t="str">
            <v>Q1.5 Passed</v>
          </cell>
          <cell r="V756" t="str">
            <v>Tumor content 8-65%</v>
          </cell>
          <cell r="W756" t="str">
            <v>Private Hospital</v>
          </cell>
          <cell r="X756" t="str">
            <v>Mazumdar Shaw Medical Centre, Bangalore</v>
          </cell>
          <cell r="Y756" t="str">
            <v>Mazumdar Shaw Medical Centre, Bangalore</v>
          </cell>
          <cell r="Z756" t="str">
            <v>Dr Vijay Pillai, Bangalore</v>
          </cell>
          <cell r="AA756" t="str">
            <v>HNSCC</v>
          </cell>
          <cell r="AC756" t="str">
            <v>Buccal mucosa</v>
          </cell>
          <cell r="AD756" t="str">
            <v>Left Buccal Mucosa</v>
          </cell>
          <cell r="AE756" t="str">
            <v>Male</v>
          </cell>
          <cell r="AF756">
            <v>39</v>
          </cell>
          <cell r="AG756" t="str">
            <v>N</v>
          </cell>
          <cell r="AH756">
            <v>3.1</v>
          </cell>
          <cell r="AI756" t="str">
            <v>Partha</v>
          </cell>
          <cell r="AJ756" t="str">
            <v>Surgery</v>
          </cell>
          <cell r="AK756" t="str">
            <v>Primary</v>
          </cell>
          <cell r="AN756" t="str">
            <v>IV</v>
          </cell>
          <cell r="AO756">
            <v>3</v>
          </cell>
          <cell r="AP756" t="str">
            <v>pT4b pN3b</v>
          </cell>
          <cell r="AS756" t="str">
            <v xml:space="preserve">Poorly differentiated squamous cell carcinoma.
</v>
          </cell>
          <cell r="AV756">
            <v>45232</v>
          </cell>
          <cell r="AW756">
            <v>0.64375000000000004</v>
          </cell>
          <cell r="AX756">
            <v>0.70277777777777772</v>
          </cell>
          <cell r="AY756">
            <v>5.9027777777777776E-2</v>
          </cell>
          <cell r="AZ756">
            <v>7.1527777777777773E-2</v>
          </cell>
          <cell r="BA756">
            <v>0.13333333333333333</v>
          </cell>
          <cell r="BB756" t="str">
            <v>0.3/0.4*0.4/0.6*0.6/0.7</v>
          </cell>
          <cell r="BD756" t="str">
            <v>Manual</v>
          </cell>
          <cell r="BE756">
            <v>14</v>
          </cell>
          <cell r="BF756" t="str">
            <v xml:space="preserve">sai </v>
          </cell>
          <cell r="BG756" t="str">
            <v>Y</v>
          </cell>
        </row>
        <row r="757">
          <cell r="A757" t="str">
            <v>FBR1Z230327</v>
          </cell>
          <cell r="B757">
            <v>230327</v>
          </cell>
          <cell r="C757" t="str">
            <v>R&amp;D</v>
          </cell>
          <cell r="D757">
            <v>45232</v>
          </cell>
          <cell r="E757">
            <v>0.52777777777777779</v>
          </cell>
          <cell r="F757">
            <v>45231</v>
          </cell>
          <cell r="G757">
            <v>45232</v>
          </cell>
          <cell r="H757">
            <v>0.8833333333333333</v>
          </cell>
          <cell r="I757">
            <v>0.35555555555555557</v>
          </cell>
          <cell r="J757">
            <v>20</v>
          </cell>
          <cell r="K757" t="str">
            <v>FCB-PROTOCOL-01</v>
          </cell>
          <cell r="L757" t="str">
            <v>CLN/DBR/163</v>
          </cell>
          <cell r="M757" t="str">
            <v>Y</v>
          </cell>
          <cell r="N757" t="str">
            <v>CT+LD Nivo -NLD study (1Z)</v>
          </cell>
          <cell r="O757" t="str">
            <v>Internal R&amp;D</v>
          </cell>
          <cell r="P757" t="str">
            <v>Q1 Passed</v>
          </cell>
          <cell r="Q757" t="str">
            <v>Q1 Passed</v>
          </cell>
          <cell r="R757" t="str">
            <v>Q1.5 Passed</v>
          </cell>
          <cell r="S757" t="str">
            <v>Q1.5 Passed</v>
          </cell>
          <cell r="V757" t="str">
            <v>Tumor content 55-98%</v>
          </cell>
          <cell r="W757" t="str">
            <v>Clinic'les</v>
          </cell>
          <cell r="X757" t="str">
            <v>Clinic'les- DBR &amp; SK Hospital, Tirupati</v>
          </cell>
          <cell r="Y757" t="str">
            <v>DBR &amp; SK Hospital, Tirupati</v>
          </cell>
          <cell r="Z757" t="str">
            <v>Dr C Jayaprakash, Tirupati</v>
          </cell>
          <cell r="AA757" t="str">
            <v>HNSCC</v>
          </cell>
          <cell r="AC757" t="str">
            <v>Buccal mucosa</v>
          </cell>
          <cell r="AD757" t="str">
            <v>Left Buccal Mucosa</v>
          </cell>
          <cell r="AE757" t="str">
            <v>Male</v>
          </cell>
          <cell r="AF757">
            <v>37</v>
          </cell>
          <cell r="AG757" t="str">
            <v>N</v>
          </cell>
          <cell r="AH757">
            <v>4.9000000000000004</v>
          </cell>
          <cell r="AI757" t="str">
            <v>Shashi</v>
          </cell>
          <cell r="AJ757" t="str">
            <v>Surgery</v>
          </cell>
          <cell r="AK757" t="str">
            <v>Primary</v>
          </cell>
          <cell r="AN757" t="str">
            <v>III</v>
          </cell>
          <cell r="AP757" t="str">
            <v>T3 N1 MX</v>
          </cell>
          <cell r="AV757">
            <v>45232</v>
          </cell>
          <cell r="AW757">
            <v>0.3298611111111111</v>
          </cell>
          <cell r="AX757">
            <v>0.3923611111111111</v>
          </cell>
          <cell r="AY757">
            <v>6.25E-2</v>
          </cell>
          <cell r="AZ75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5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57" t="str">
            <v>0.6/0.4*2.6*2.4</v>
          </cell>
          <cell r="BD757" t="str">
            <v>Manual</v>
          </cell>
          <cell r="BE757">
            <v>15</v>
          </cell>
          <cell r="BF757" t="str">
            <v>Mouniss</v>
          </cell>
          <cell r="BG757" t="str">
            <v>Y</v>
          </cell>
        </row>
        <row r="758">
          <cell r="A758" t="str">
            <v>FBB1J230328</v>
          </cell>
          <cell r="B758">
            <v>230328</v>
          </cell>
          <cell r="C758" t="str">
            <v>Biopharma</v>
          </cell>
          <cell r="D758">
            <v>45236</v>
          </cell>
          <cell r="E758">
            <v>0.5708333333333333</v>
          </cell>
          <cell r="F758">
            <v>45231</v>
          </cell>
          <cell r="G758">
            <v>45236</v>
          </cell>
          <cell r="H758">
            <v>0.67847222222222225</v>
          </cell>
          <cell r="I758">
            <v>0.1076388888888889</v>
          </cell>
          <cell r="J758">
            <v>3</v>
          </cell>
          <cell r="K758" t="str">
            <v>FCB-PROTOCOL-01</v>
          </cell>
          <cell r="L758" t="str">
            <v>VYD/215</v>
          </cell>
          <cell r="M758" t="str">
            <v>Y</v>
          </cell>
          <cell r="N758" t="str">
            <v>BP008 (1J)</v>
          </cell>
          <cell r="O758" t="str">
            <v>Biopharma</v>
          </cell>
          <cell r="P758" t="str">
            <v>Q1 Passed</v>
          </cell>
          <cell r="Q758" t="str">
            <v>Q1 Passed</v>
          </cell>
          <cell r="R758" t="str">
            <v>Q1.5 Passed</v>
          </cell>
          <cell r="S758" t="str">
            <v>Q1.5 Passed</v>
          </cell>
          <cell r="V758" t="str">
            <v>Tumor content 35-96%</v>
          </cell>
          <cell r="W758" t="str">
            <v>Private Hospital</v>
          </cell>
          <cell r="X758" t="str">
            <v>Vydehi Hospital, Bangalore</v>
          </cell>
          <cell r="Y758" t="str">
            <v>Vydehi Hospital, Bangalore</v>
          </cell>
          <cell r="Z758" t="str">
            <v>Dr Amritha Prabha, Bangalore</v>
          </cell>
          <cell r="AA758" t="str">
            <v>HNSCC</v>
          </cell>
          <cell r="AC758" t="str">
            <v>Buccal mucosa</v>
          </cell>
          <cell r="AD758" t="str">
            <v>Left Buccal Mucosa</v>
          </cell>
          <cell r="AE758" t="str">
            <v>Female</v>
          </cell>
          <cell r="AF758">
            <v>59</v>
          </cell>
          <cell r="AG758" t="str">
            <v>N</v>
          </cell>
          <cell r="AH758">
            <v>5.5</v>
          </cell>
          <cell r="AI758" t="str">
            <v>Kalappa</v>
          </cell>
          <cell r="AJ758" t="str">
            <v>Surgery</v>
          </cell>
          <cell r="AK758" t="str">
            <v>Primary</v>
          </cell>
          <cell r="AN758" t="str">
            <v>II</v>
          </cell>
          <cell r="AO758">
            <v>1</v>
          </cell>
          <cell r="AP758" t="str">
            <v>T2N0</v>
          </cell>
          <cell r="AS758" t="str">
            <v>verrucous carcinoma</v>
          </cell>
          <cell r="AV758">
            <v>45236</v>
          </cell>
          <cell r="AW758">
            <v>0.69236111111111109</v>
          </cell>
          <cell r="AX758">
            <v>0.77430555555555558</v>
          </cell>
          <cell r="AY758">
            <v>8.1944444444444445E-2</v>
          </cell>
          <cell r="AZ758">
            <v>9.583333333333334E-2</v>
          </cell>
          <cell r="BA758">
            <v>0.20347222222222222</v>
          </cell>
          <cell r="BB758" t="str">
            <v>0.6*1.2/0.8*1.6/1.0</v>
          </cell>
          <cell r="BD758" t="str">
            <v>Vibratome</v>
          </cell>
          <cell r="BE758">
            <v>14</v>
          </cell>
          <cell r="BF758" t="str">
            <v>Biswajit</v>
          </cell>
          <cell r="BG758" t="str">
            <v>Y</v>
          </cell>
        </row>
        <row r="759">
          <cell r="A759" t="str">
            <v>FBB1K230329</v>
          </cell>
          <cell r="B759">
            <v>230329</v>
          </cell>
          <cell r="C759" t="str">
            <v>Biopharma</v>
          </cell>
          <cell r="D759">
            <v>45237</v>
          </cell>
          <cell r="E759">
            <v>0.58125000000000004</v>
          </cell>
          <cell r="F759">
            <v>45231</v>
          </cell>
          <cell r="G759">
            <v>45237</v>
          </cell>
          <cell r="H759">
            <v>0.69374999999999998</v>
          </cell>
          <cell r="I759">
            <v>0.1125</v>
          </cell>
          <cell r="J759">
            <v>1</v>
          </cell>
          <cell r="K759" t="str">
            <v>FCB-PROTOCOL-01</v>
          </cell>
          <cell r="L759" t="str">
            <v>VYD/216</v>
          </cell>
          <cell r="M759" t="str">
            <v>Y</v>
          </cell>
          <cell r="N759" t="str">
            <v>BP010 (1K)</v>
          </cell>
          <cell r="O759" t="str">
            <v>Biopharma</v>
          </cell>
          <cell r="P759" t="str">
            <v>Q1 Passed</v>
          </cell>
          <cell r="Q759" t="str">
            <v>Q1 Passed</v>
          </cell>
          <cell r="R759" t="str">
            <v>Q1.5 Passed</v>
          </cell>
          <cell r="S759" t="str">
            <v>Q1.5 Passed</v>
          </cell>
          <cell r="V759" t="str">
            <v>Tumor content 4-45%    3 fragments &lt;10% tumor</v>
          </cell>
          <cell r="W759" t="str">
            <v>Private Hospital</v>
          </cell>
          <cell r="X759" t="str">
            <v>Vydehi Hospital, Bangalore</v>
          </cell>
          <cell r="Y759" t="str">
            <v>Vydehi Hospital, Bangalore</v>
          </cell>
          <cell r="Z759" t="str">
            <v>Dr Amritha Prabha, Bangalore</v>
          </cell>
          <cell r="AA759" t="str">
            <v>HNSCC</v>
          </cell>
          <cell r="AC759" t="str">
            <v>Buccal mucosa</v>
          </cell>
          <cell r="AD759" t="str">
            <v>Right Buccal Mucosa</v>
          </cell>
          <cell r="AE759" t="str">
            <v>Female</v>
          </cell>
          <cell r="AF759">
            <v>53</v>
          </cell>
          <cell r="AG759" t="str">
            <v>N</v>
          </cell>
          <cell r="AH759" t="str">
            <v>5,6</v>
          </cell>
          <cell r="AI759" t="str">
            <v>Kalappa</v>
          </cell>
          <cell r="AJ759" t="str">
            <v>Surgery</v>
          </cell>
          <cell r="AK759" t="str">
            <v>Primary</v>
          </cell>
          <cell r="AN759" t="str">
            <v>IVa</v>
          </cell>
          <cell r="AO759">
            <v>3</v>
          </cell>
          <cell r="AP759" t="str">
            <v>T2aN2b</v>
          </cell>
          <cell r="AS759" t="str">
            <v>SCC</v>
          </cell>
          <cell r="AT759" t="str">
            <v>RT</v>
          </cell>
          <cell r="AV759">
            <v>45237</v>
          </cell>
          <cell r="AW759">
            <v>0.70416666666666672</v>
          </cell>
          <cell r="AX759">
            <v>0.78680555555555554</v>
          </cell>
          <cell r="AY759">
            <v>8.2638888888888887E-2</v>
          </cell>
          <cell r="AZ759">
            <v>9.3055555555555558E-2</v>
          </cell>
          <cell r="BA759">
            <v>0.20555555555555555</v>
          </cell>
          <cell r="BB759" t="str">
            <v>0.4/0.8*1.0/1.1*1.2/1.4</v>
          </cell>
          <cell r="BD759" t="str">
            <v>Vibratome</v>
          </cell>
          <cell r="BE759">
            <v>14</v>
          </cell>
          <cell r="BF759" t="str">
            <v>Dharani</v>
          </cell>
          <cell r="BG759" t="str">
            <v>Y</v>
          </cell>
        </row>
        <row r="760">
          <cell r="A760" t="str">
            <v>FBB1I230330</v>
          </cell>
          <cell r="B760">
            <v>230330</v>
          </cell>
          <cell r="C760" t="str">
            <v>Biopharma</v>
          </cell>
          <cell r="D760">
            <v>45237</v>
          </cell>
          <cell r="E760">
            <v>0.78541666666666665</v>
          </cell>
          <cell r="F760">
            <v>45231</v>
          </cell>
          <cell r="G760">
            <v>45237</v>
          </cell>
          <cell r="H760">
            <v>0.83333333333333337</v>
          </cell>
          <cell r="I760">
            <v>4.791666666666667E-2</v>
          </cell>
          <cell r="J760">
            <v>9</v>
          </cell>
          <cell r="K760" t="str">
            <v>FCB-PROTOCOL-02</v>
          </cell>
          <cell r="L760" t="str">
            <v>HN097</v>
          </cell>
          <cell r="M760" t="str">
            <v>Y</v>
          </cell>
          <cell r="N760" t="str">
            <v>BP008 (1I)</v>
          </cell>
          <cell r="O760" t="str">
            <v>Biopharma</v>
          </cell>
          <cell r="P760" t="str">
            <v>Q1 Passed</v>
          </cell>
          <cell r="Q760" t="str">
            <v>Q1 Passed</v>
          </cell>
          <cell r="R760" t="str">
            <v>Q1.5 Passed</v>
          </cell>
          <cell r="S760" t="str">
            <v>Q1.5 Passed</v>
          </cell>
          <cell r="V760" t="str">
            <v>Tumor content 55-90%</v>
          </cell>
          <cell r="W760" t="str">
            <v>Private Hospital</v>
          </cell>
          <cell r="X760" t="str">
            <v>Mazumdar Shaw Medical Centre, Bangalore</v>
          </cell>
          <cell r="Y760" t="str">
            <v>Mazumdar Shaw Medical Centre, Bangalore</v>
          </cell>
          <cell r="Z760" t="str">
            <v>Dr Vijay Pillai, Bangalore</v>
          </cell>
          <cell r="AA760" t="str">
            <v>HNSCC</v>
          </cell>
          <cell r="AC760" t="str">
            <v>Mouth</v>
          </cell>
          <cell r="AD760" t="str">
            <v>Floor of Mouth</v>
          </cell>
          <cell r="AE760" t="str">
            <v>Male</v>
          </cell>
          <cell r="AF760">
            <v>70</v>
          </cell>
          <cell r="AG760" t="str">
            <v>N</v>
          </cell>
          <cell r="AH760">
            <v>3.5</v>
          </cell>
          <cell r="AI760" t="str">
            <v>Maruthi</v>
          </cell>
          <cell r="AJ760" t="str">
            <v>Surgery</v>
          </cell>
          <cell r="AK760" t="str">
            <v>Primary</v>
          </cell>
          <cell r="AN760" t="str">
            <v>IV</v>
          </cell>
          <cell r="AO760">
            <v>2</v>
          </cell>
          <cell r="AP760" t="str">
            <v>pT4a pN0</v>
          </cell>
          <cell r="AS760" t="str">
            <v>MDSCC(Moderately Differentiated Squamous cell carcinoma)</v>
          </cell>
          <cell r="AV760">
            <v>45238</v>
          </cell>
          <cell r="AW760">
            <v>0.27430555555555558</v>
          </cell>
          <cell r="AX760">
            <v>0.85069444444444442</v>
          </cell>
          <cell r="AY760">
            <v>0.57638888888888884</v>
          </cell>
          <cell r="AZ760">
            <v>1.7361111111111112E-2</v>
          </cell>
          <cell r="BA760">
            <v>6.5277777777777782E-2</v>
          </cell>
          <cell r="BB760" t="str">
            <v>0.8*1.2*1.8</v>
          </cell>
          <cell r="BD760" t="str">
            <v>Vibratome</v>
          </cell>
          <cell r="BE760">
            <v>14</v>
          </cell>
          <cell r="BF760" t="str">
            <v>Kowshik</v>
          </cell>
          <cell r="BG760" t="str">
            <v>Y</v>
          </cell>
        </row>
        <row r="761">
          <cell r="A761" t="str">
            <v>FBR1Y230330</v>
          </cell>
          <cell r="B761">
            <v>230330</v>
          </cell>
          <cell r="C761" t="str">
            <v>R&amp;D</v>
          </cell>
          <cell r="D761">
            <v>45237</v>
          </cell>
          <cell r="E761">
            <v>0.78541666666666665</v>
          </cell>
          <cell r="F761">
            <v>45231</v>
          </cell>
          <cell r="G761">
            <v>45237</v>
          </cell>
          <cell r="H761">
            <v>0.83333333333333337</v>
          </cell>
          <cell r="I761">
            <v>4.791666666666667E-2</v>
          </cell>
          <cell r="J761">
            <v>9</v>
          </cell>
          <cell r="K761" t="str">
            <v>FCB-PROTOCOL-02</v>
          </cell>
          <cell r="L761" t="str">
            <v>HN097</v>
          </cell>
          <cell r="M761" t="str">
            <v>Y</v>
          </cell>
          <cell r="N761" t="str">
            <v>CCS Study (1Y)</v>
          </cell>
          <cell r="O761" t="str">
            <v>Internal R&amp;D</v>
          </cell>
          <cell r="P761" t="str">
            <v>Q1 Passed</v>
          </cell>
          <cell r="Q761" t="str">
            <v>Q1 Passed</v>
          </cell>
          <cell r="R761" t="str">
            <v>Q1.5 Passed</v>
          </cell>
          <cell r="S761" t="str">
            <v>Q1.5 Passed</v>
          </cell>
          <cell r="V761" t="str">
            <v>Tumor content 55-90%</v>
          </cell>
          <cell r="W761" t="str">
            <v>Private Hospital</v>
          </cell>
          <cell r="X761" t="str">
            <v>Mazumdar Shaw Medical Centre, Bangalore</v>
          </cell>
          <cell r="Y761" t="str">
            <v>Mazumdar Shaw Medical Centre, Bangalore</v>
          </cell>
          <cell r="Z761" t="str">
            <v>Dr Vijay Pillai, Bangalore</v>
          </cell>
          <cell r="AA761" t="str">
            <v>HNSCC</v>
          </cell>
          <cell r="AC761" t="str">
            <v>Mouth</v>
          </cell>
          <cell r="AD761" t="str">
            <v>Floor of Mouth</v>
          </cell>
          <cell r="AE761" t="str">
            <v>Male</v>
          </cell>
          <cell r="AF761">
            <v>70</v>
          </cell>
          <cell r="AG761" t="str">
            <v>N</v>
          </cell>
          <cell r="AH761">
            <v>3.5</v>
          </cell>
          <cell r="AI761" t="str">
            <v>Maruthi</v>
          </cell>
          <cell r="AJ761" t="str">
            <v>Surgery</v>
          </cell>
          <cell r="AK761" t="str">
            <v>Primary</v>
          </cell>
          <cell r="AN761" t="str">
            <v>IV</v>
          </cell>
          <cell r="AO761">
            <v>2</v>
          </cell>
          <cell r="AP761" t="str">
            <v>pT4a pN0</v>
          </cell>
          <cell r="AS761" t="str">
            <v>MDSCC(Moderately Differentiated Squamous cell carcinoma)</v>
          </cell>
          <cell r="AV761">
            <v>45238</v>
          </cell>
          <cell r="AW761">
            <v>0.27430555555555558</v>
          </cell>
          <cell r="AX761">
            <v>0.35069444444444442</v>
          </cell>
          <cell r="AY761">
            <v>7.6388888888888895E-2</v>
          </cell>
          <cell r="AZ76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6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61" t="str">
            <v>0.8*1.2*1.8</v>
          </cell>
          <cell r="BD761" t="str">
            <v>Vibratome</v>
          </cell>
          <cell r="BE761">
            <v>14</v>
          </cell>
          <cell r="BF761" t="str">
            <v>Kowshik</v>
          </cell>
          <cell r="BG761" t="str">
            <v>Y</v>
          </cell>
        </row>
        <row r="762">
          <cell r="A762" t="str">
            <v>FBR1W230331</v>
          </cell>
          <cell r="B762">
            <v>230331</v>
          </cell>
          <cell r="C762" t="str">
            <v>R&amp;D</v>
          </cell>
          <cell r="D762">
            <v>45238</v>
          </cell>
          <cell r="E762">
            <v>0.49305555555555558</v>
          </cell>
          <cell r="F762">
            <v>45231</v>
          </cell>
          <cell r="G762">
            <v>45238</v>
          </cell>
          <cell r="H762">
            <v>0.60555555555555551</v>
          </cell>
          <cell r="I762">
            <v>0.1125</v>
          </cell>
          <cell r="J762">
            <v>0</v>
          </cell>
          <cell r="K762" t="str">
            <v>FCB-PROTOCOL-01</v>
          </cell>
          <cell r="L762" t="str">
            <v>VYD/217</v>
          </cell>
          <cell r="M762" t="str">
            <v>Y</v>
          </cell>
          <cell r="N762" t="str">
            <v>Biopsy Cabr-BSS (1W)</v>
          </cell>
          <cell r="O762" t="str">
            <v>Internal R&amp;D</v>
          </cell>
          <cell r="P762" t="str">
            <v>Q1 Passed</v>
          </cell>
          <cell r="Q762" t="str">
            <v>Q1 Passed</v>
          </cell>
          <cell r="R762" t="str">
            <v>Q1.5 Passed</v>
          </cell>
          <cell r="S762" t="str">
            <v>Q1.5 Passed</v>
          </cell>
          <cell r="V762" t="str">
            <v>Tumor content 2-35%</v>
          </cell>
          <cell r="W762" t="str">
            <v>Private Hospital</v>
          </cell>
          <cell r="X762" t="str">
            <v>Vydehi Hospital, Bangalore</v>
          </cell>
          <cell r="Y762" t="str">
            <v>Vydehi Hospital, Bangalore</v>
          </cell>
          <cell r="Z762" t="str">
            <v>Dr Amritha Prabha, Bangalore</v>
          </cell>
          <cell r="AA762" t="str">
            <v>Ca Breast</v>
          </cell>
          <cell r="AB762" t="str">
            <v>Er (+)
Pr(+)
Her2 (-)</v>
          </cell>
          <cell r="AC762" t="str">
            <v>Breast</v>
          </cell>
          <cell r="AD762" t="str">
            <v>Right Breast</v>
          </cell>
          <cell r="AE762" t="str">
            <v>Female</v>
          </cell>
          <cell r="AF762">
            <v>71</v>
          </cell>
          <cell r="AG762" t="str">
            <v>N</v>
          </cell>
          <cell r="AH762">
            <v>4.5</v>
          </cell>
          <cell r="AI762" t="str">
            <v>Shashi</v>
          </cell>
          <cell r="AJ762" t="str">
            <v>Biopsy</v>
          </cell>
          <cell r="AK762" t="str">
            <v>Primary</v>
          </cell>
          <cell r="AO762">
            <v>2</v>
          </cell>
          <cell r="AS762" t="str">
            <v>IDC</v>
          </cell>
          <cell r="AV762">
            <v>45238</v>
          </cell>
          <cell r="AW762">
            <v>0.625</v>
          </cell>
          <cell r="AX762">
            <v>0.67013888888888884</v>
          </cell>
          <cell r="AY762">
            <v>4.5138888888888888E-2</v>
          </cell>
          <cell r="AZ762">
            <v>6.458333333333334E-2</v>
          </cell>
          <cell r="BA762">
            <v>0.17708333333333334</v>
          </cell>
          <cell r="BB762" t="str">
            <v>4 core
7mm to 13mm</v>
          </cell>
          <cell r="BD762" t="str">
            <v>Manual</v>
          </cell>
          <cell r="BE762">
            <v>15</v>
          </cell>
          <cell r="BF762" t="str">
            <v>kuberan</v>
          </cell>
          <cell r="BG762" t="str">
            <v>N</v>
          </cell>
        </row>
        <row r="763">
          <cell r="A763" t="str">
            <v>FBR1Y230332</v>
          </cell>
          <cell r="B763">
            <v>230332</v>
          </cell>
          <cell r="C763" t="str">
            <v>R&amp;D</v>
          </cell>
          <cell r="D763">
            <v>45238</v>
          </cell>
          <cell r="E763">
            <v>0.5625</v>
          </cell>
          <cell r="F763">
            <v>45231</v>
          </cell>
          <cell r="G763">
            <v>45238</v>
          </cell>
          <cell r="H763">
            <v>0.66527777777777775</v>
          </cell>
          <cell r="I763">
            <v>0.10277777777777777</v>
          </cell>
          <cell r="J763">
            <v>15</v>
          </cell>
          <cell r="K763" t="str">
            <v>FCB-PROTOCOL-02</v>
          </cell>
          <cell r="L763" t="str">
            <v>HN098</v>
          </cell>
          <cell r="M763" t="str">
            <v>Y</v>
          </cell>
          <cell r="N763" t="str">
            <v>CCS Study (1Y)</v>
          </cell>
          <cell r="O763" t="str">
            <v>Internal R&amp;D</v>
          </cell>
          <cell r="P763" t="str">
            <v>Q1 Passed</v>
          </cell>
          <cell r="Q763" t="str">
            <v>Q1 Passed</v>
          </cell>
          <cell r="R763" t="str">
            <v>Compromised</v>
          </cell>
          <cell r="S763" t="str">
            <v>Q1.5 Passed</v>
          </cell>
          <cell r="V763" t="str">
            <v>Tumor content 15-85%</v>
          </cell>
          <cell r="W763" t="str">
            <v>Private Hospital</v>
          </cell>
          <cell r="X763" t="str">
            <v>Mazumdar Shaw Medical Centre, Bangalore</v>
          </cell>
          <cell r="Y763" t="str">
            <v>Mazumdar Shaw Medical Centre, Bangalore</v>
          </cell>
          <cell r="Z763" t="str">
            <v>Dr Vijay Pillai, Bangalore</v>
          </cell>
          <cell r="AA763" t="str">
            <v>HNSCC</v>
          </cell>
          <cell r="AC763" t="str">
            <v>Tongue</v>
          </cell>
          <cell r="AD763" t="str">
            <v xml:space="preserve">Right Lateral Tongue </v>
          </cell>
          <cell r="AE763" t="str">
            <v>Male</v>
          </cell>
          <cell r="AF763">
            <v>52</v>
          </cell>
          <cell r="AG763" t="str">
            <v>N</v>
          </cell>
          <cell r="AH763">
            <v>5.3</v>
          </cell>
          <cell r="AI763" t="str">
            <v>Maruthi</v>
          </cell>
          <cell r="AJ763" t="str">
            <v>Surgery</v>
          </cell>
          <cell r="AK763" t="str">
            <v>Primary</v>
          </cell>
          <cell r="AN763" t="str">
            <v>IV</v>
          </cell>
          <cell r="AO763">
            <v>2</v>
          </cell>
          <cell r="AP763" t="str">
            <v>pT4a pN0</v>
          </cell>
          <cell r="AS763" t="str">
            <v>MDSCC(Moderately Differentiated Squamous cell carcinoma)</v>
          </cell>
          <cell r="AV763">
            <v>45238</v>
          </cell>
          <cell r="AW763">
            <v>0.68055555555555558</v>
          </cell>
          <cell r="AX763">
            <v>0.72916666666666663</v>
          </cell>
          <cell r="AY763">
            <v>4.8611111111111112E-2</v>
          </cell>
          <cell r="AZ763">
            <v>6.3888888888888884E-2</v>
          </cell>
          <cell r="BA763">
            <v>0.16666666666666666</v>
          </cell>
          <cell r="BB763" t="str">
            <v>0.2/0.4*0.6/0.9*0.8/0.9</v>
          </cell>
          <cell r="BD763" t="str">
            <v>Manual</v>
          </cell>
          <cell r="BE763">
            <v>14</v>
          </cell>
          <cell r="BF763" t="str">
            <v>kuberan</v>
          </cell>
          <cell r="BG763" t="str">
            <v>Y</v>
          </cell>
        </row>
        <row r="764">
          <cell r="A764" t="str">
            <v>FBBI1L230333</v>
          </cell>
          <cell r="B764">
            <v>230333</v>
          </cell>
          <cell r="C764" t="str">
            <v>Biopharma</v>
          </cell>
          <cell r="D764">
            <v>45238</v>
          </cell>
          <cell r="E764">
            <v>0.71666666666666667</v>
          </cell>
          <cell r="F764">
            <v>45231</v>
          </cell>
          <cell r="G764">
            <v>45238</v>
          </cell>
          <cell r="H764">
            <v>0.82986111111111116</v>
          </cell>
          <cell r="I764">
            <v>0.11319444444444444</v>
          </cell>
          <cell r="J764">
            <v>3</v>
          </cell>
          <cell r="K764" t="str">
            <v>FCB-PROTOCOL-02</v>
          </cell>
          <cell r="L764" t="str">
            <v>CLN/PRA/235</v>
          </cell>
          <cell r="M764" t="str">
            <v>Y</v>
          </cell>
          <cell r="N764" t="str">
            <v>BP010 (1L)</v>
          </cell>
          <cell r="O764" t="str">
            <v>Biopharma</v>
          </cell>
          <cell r="P764" t="str">
            <v>Q1 Passed</v>
          </cell>
          <cell r="Q764" t="str">
            <v>Q1 Passed</v>
          </cell>
          <cell r="R764" t="str">
            <v>Q1.5 Passed</v>
          </cell>
          <cell r="S764" t="str">
            <v>Q1.5 Passed</v>
          </cell>
          <cell r="V764" t="str">
            <v>Tumor content 45-85%</v>
          </cell>
          <cell r="W764" t="str">
            <v>Private Hospital</v>
          </cell>
          <cell r="X764" t="str">
            <v>Dr Prakash BV, Bangalore</v>
          </cell>
          <cell r="Y764" t="str">
            <v>Sri Lakshmi Hospital, Bangalore</v>
          </cell>
          <cell r="Z764" t="str">
            <v>Dr Prakash BV, Bangalore</v>
          </cell>
          <cell r="AA764" t="str">
            <v>RCC</v>
          </cell>
          <cell r="AC764" t="str">
            <v>Kidney</v>
          </cell>
          <cell r="AD764" t="str">
            <v>Left Kidney</v>
          </cell>
          <cell r="AE764" t="str">
            <v>Male</v>
          </cell>
          <cell r="AF764">
            <v>60</v>
          </cell>
          <cell r="AG764" t="str">
            <v>N</v>
          </cell>
          <cell r="AH764">
            <v>4.5999999999999996</v>
          </cell>
          <cell r="AI764" t="str">
            <v>Partha</v>
          </cell>
          <cell r="AJ764" t="str">
            <v>Surgery</v>
          </cell>
          <cell r="AK764" t="str">
            <v>Primary</v>
          </cell>
          <cell r="AN764" t="str">
            <v>II</v>
          </cell>
          <cell r="AO764">
            <v>2</v>
          </cell>
          <cell r="AP764" t="str">
            <v>pT2N0M0</v>
          </cell>
          <cell r="AV764">
            <v>45238</v>
          </cell>
          <cell r="AW764">
            <v>0.80555555555555558</v>
          </cell>
          <cell r="AX764">
            <v>0.8666666666666667</v>
          </cell>
          <cell r="AY764">
            <v>6.1111111111111109E-2</v>
          </cell>
          <cell r="AZ764">
            <v>3.6805555555555557E-2</v>
          </cell>
          <cell r="BA764">
            <v>0.15</v>
          </cell>
          <cell r="BB764" t="str">
            <v>0.6*2.0/1.8*1.4/2.4
0.4*0.8/1.6*1.8</v>
          </cell>
          <cell r="BD764" t="str">
            <v>Vibratome</v>
          </cell>
          <cell r="BE764">
            <v>14</v>
          </cell>
          <cell r="BF764" t="str">
            <v>Biswajit</v>
          </cell>
          <cell r="BG764" t="str">
            <v>Y</v>
          </cell>
        </row>
        <row r="765">
          <cell r="A765" t="str">
            <v>FBR2C230333</v>
          </cell>
          <cell r="B765">
            <v>230333</v>
          </cell>
          <cell r="C765" t="str">
            <v>R&amp;D</v>
          </cell>
          <cell r="D765">
            <v>45238</v>
          </cell>
          <cell r="E765">
            <v>0.71666666666666667</v>
          </cell>
          <cell r="F765">
            <v>45231</v>
          </cell>
          <cell r="G765">
            <v>45238</v>
          </cell>
          <cell r="H765">
            <v>0.82986111111111116</v>
          </cell>
          <cell r="I765">
            <v>0.11319444444444444</v>
          </cell>
          <cell r="J765">
            <v>3</v>
          </cell>
          <cell r="K765" t="str">
            <v>FCB-PROTOCOL-02</v>
          </cell>
          <cell r="L765" t="str">
            <v>CLN/PRA/235</v>
          </cell>
          <cell r="M765" t="str">
            <v>Y</v>
          </cell>
          <cell r="N765" t="str">
            <v>RCC DPT (2C)</v>
          </cell>
          <cell r="O765" t="str">
            <v>Internal R&amp;D</v>
          </cell>
          <cell r="P765" t="str">
            <v>Q1 Passed</v>
          </cell>
          <cell r="Q765" t="str">
            <v>Q1 Passed</v>
          </cell>
          <cell r="R765" t="str">
            <v>Q1.5 Passed</v>
          </cell>
          <cell r="S765" t="str">
            <v>Q1.5 Passed</v>
          </cell>
          <cell r="V765" t="str">
            <v>Tumorcontent 55-85%</v>
          </cell>
          <cell r="W765" t="str">
            <v>Private Hospital</v>
          </cell>
          <cell r="X765" t="str">
            <v>Dr Prakash BV, Bangalore</v>
          </cell>
          <cell r="Y765" t="str">
            <v>Sri Lakshmi Hospital, Bangalore</v>
          </cell>
          <cell r="Z765" t="str">
            <v>Dr Prakash BV, Bangalore</v>
          </cell>
          <cell r="AA765" t="str">
            <v>RCC</v>
          </cell>
          <cell r="AC765" t="str">
            <v>Kidney</v>
          </cell>
          <cell r="AD765" t="str">
            <v>Left Kidney</v>
          </cell>
          <cell r="AE765" t="str">
            <v>Male</v>
          </cell>
          <cell r="AF765">
            <v>60</v>
          </cell>
          <cell r="AG765" t="str">
            <v>N</v>
          </cell>
          <cell r="AH765">
            <v>4.5999999999999996</v>
          </cell>
          <cell r="AI765" t="str">
            <v>Partha</v>
          </cell>
          <cell r="AJ765" t="str">
            <v>Surgery</v>
          </cell>
          <cell r="AK765" t="str">
            <v>Primary</v>
          </cell>
          <cell r="AN765" t="str">
            <v>II</v>
          </cell>
          <cell r="AO765">
            <v>2</v>
          </cell>
          <cell r="AP765" t="str">
            <v>pT2N0M0</v>
          </cell>
          <cell r="AV765">
            <v>45238</v>
          </cell>
          <cell r="AW765">
            <v>0.80555555555555558</v>
          </cell>
          <cell r="AX765">
            <v>0.87430555555555556</v>
          </cell>
          <cell r="AY765">
            <v>6.8750000000000006E-2</v>
          </cell>
          <cell r="AZ765">
            <v>4.4444444444444446E-2</v>
          </cell>
          <cell r="BA765">
            <v>0.15763888888888888</v>
          </cell>
          <cell r="BB765" t="str">
            <v>0.6*2.0/1.8*1.4/2.4
0.4*0.8/1.6*1.8</v>
          </cell>
          <cell r="BD765" t="str">
            <v>Vibratome</v>
          </cell>
          <cell r="BE765">
            <v>14</v>
          </cell>
          <cell r="BF765" t="str">
            <v>Biswajit</v>
          </cell>
          <cell r="BG765" t="str">
            <v>Y</v>
          </cell>
        </row>
        <row r="766">
          <cell r="A766" t="str">
            <v>FBB1K230334</v>
          </cell>
          <cell r="B766">
            <v>230334</v>
          </cell>
          <cell r="C766" t="str">
            <v>Biopharma</v>
          </cell>
          <cell r="D766">
            <v>45239</v>
          </cell>
          <cell r="E766">
            <v>0.42291666666666666</v>
          </cell>
          <cell r="F766">
            <v>45231</v>
          </cell>
          <cell r="G766">
            <v>45239</v>
          </cell>
          <cell r="H766">
            <v>0.58472222222222225</v>
          </cell>
          <cell r="I766">
            <v>0.16180555555555556</v>
          </cell>
          <cell r="J766">
            <v>2</v>
          </cell>
          <cell r="K766" t="str">
            <v>FCB-PROTOCOL-01</v>
          </cell>
          <cell r="L766" t="str">
            <v>VYD/218</v>
          </cell>
          <cell r="M766" t="str">
            <v>Y</v>
          </cell>
          <cell r="N766" t="str">
            <v>BP010 (1K)</v>
          </cell>
          <cell r="O766" t="str">
            <v>Biopharma</v>
          </cell>
          <cell r="P766" t="str">
            <v>Q1 Passed</v>
          </cell>
          <cell r="Q766" t="str">
            <v>Q1 Passed</v>
          </cell>
          <cell r="R766" t="str">
            <v>Q1.5 Passed</v>
          </cell>
          <cell r="S766" t="str">
            <v>Q1.5 Passed</v>
          </cell>
          <cell r="V766" t="str">
            <v>Tumor content 40-65%</v>
          </cell>
          <cell r="W766" t="str">
            <v>Private Hospital</v>
          </cell>
          <cell r="X766" t="str">
            <v>Vydehi Hospital, Bangalore</v>
          </cell>
          <cell r="Y766" t="str">
            <v>Vydehi Hospital, Bangalore</v>
          </cell>
          <cell r="Z766" t="str">
            <v>Dr Amritha Prabha, Bangalore</v>
          </cell>
          <cell r="AA766" t="str">
            <v>HNSCC</v>
          </cell>
          <cell r="AC766" t="str">
            <v>Tongue</v>
          </cell>
          <cell r="AD766" t="str">
            <v>Righ Lateral Border of Tongue</v>
          </cell>
          <cell r="AE766" t="str">
            <v>Male</v>
          </cell>
          <cell r="AF766">
            <v>44</v>
          </cell>
          <cell r="AG766" t="str">
            <v>N</v>
          </cell>
          <cell r="AH766">
            <v>3.5</v>
          </cell>
          <cell r="AI766" t="str">
            <v>Kalappa</v>
          </cell>
          <cell r="AJ766" t="str">
            <v>Surgery</v>
          </cell>
          <cell r="AK766" t="str">
            <v>Primary</v>
          </cell>
          <cell r="AN766" t="str">
            <v>III</v>
          </cell>
          <cell r="AO766">
            <v>1</v>
          </cell>
          <cell r="AP766" t="str">
            <v>T3N0</v>
          </cell>
          <cell r="AS766" t="str">
            <v>SCC</v>
          </cell>
          <cell r="AT766" t="str">
            <v>RT</v>
          </cell>
          <cell r="AV766">
            <v>45239</v>
          </cell>
          <cell r="AW766">
            <v>0.6</v>
          </cell>
          <cell r="AX766">
            <v>0.66666666666666663</v>
          </cell>
          <cell r="AY766">
            <v>6.6666666666666666E-2</v>
          </cell>
          <cell r="AZ766">
            <v>8.1944444444444445E-2</v>
          </cell>
          <cell r="BA766">
            <v>0.24374999999999999</v>
          </cell>
          <cell r="BB766" t="str">
            <v>0.7/0.8*1.2*1.3</v>
          </cell>
          <cell r="BD766" t="str">
            <v>Vibratome</v>
          </cell>
          <cell r="BE766">
            <v>14</v>
          </cell>
          <cell r="BF766" t="str">
            <v>Kowshik</v>
          </cell>
          <cell r="BG766" t="str">
            <v>Y</v>
          </cell>
        </row>
        <row r="767">
          <cell r="A767" t="str">
            <v>FBR1W230335</v>
          </cell>
          <cell r="B767">
            <v>230335</v>
          </cell>
          <cell r="C767" t="str">
            <v>R&amp;D</v>
          </cell>
          <cell r="D767">
            <v>45239</v>
          </cell>
          <cell r="E767">
            <v>0.49652777777777779</v>
          </cell>
          <cell r="F767">
            <v>45231</v>
          </cell>
          <cell r="G767">
            <v>45239</v>
          </cell>
          <cell r="H767">
            <v>0.58472222222222225</v>
          </cell>
          <cell r="I767">
            <v>8.819444444444445E-2</v>
          </cell>
          <cell r="J767">
            <v>14</v>
          </cell>
          <cell r="K767" t="str">
            <v>FCB-PROTOCOL-01</v>
          </cell>
          <cell r="L767" t="str">
            <v>VYD/219</v>
          </cell>
          <cell r="M767" t="str">
            <v>Y</v>
          </cell>
          <cell r="N767" t="str">
            <v>Biopsy Cabr-BSS (1W)</v>
          </cell>
          <cell r="O767" t="str">
            <v>Internal R&amp;D</v>
          </cell>
          <cell r="P767" t="str">
            <v>Q1 Passed</v>
          </cell>
          <cell r="Q767" t="str">
            <v>Q1 Passed</v>
          </cell>
          <cell r="R767" t="str">
            <v>Q1.5 Passed</v>
          </cell>
          <cell r="S767" t="str">
            <v>Q1.5 Passed</v>
          </cell>
          <cell r="V767" t="str">
            <v>Tumor content 0-45%</v>
          </cell>
          <cell r="W767" t="str">
            <v>Private Hospital</v>
          </cell>
          <cell r="X767" t="str">
            <v>Vydehi Hospital, Bangalore</v>
          </cell>
          <cell r="Y767" t="str">
            <v>Vydehi Hospital, Bangalore</v>
          </cell>
          <cell r="Z767" t="str">
            <v>Dr Amritha Prabha, Bangalore</v>
          </cell>
          <cell r="AA767" t="str">
            <v>Ca Breast</v>
          </cell>
          <cell r="AB767" t="str">
            <v>Er (+)
Pr(+)
Her2 (-)</v>
          </cell>
          <cell r="AC767" t="str">
            <v>Breast</v>
          </cell>
          <cell r="AD767" t="str">
            <v>Left Breast</v>
          </cell>
          <cell r="AE767" t="str">
            <v>Female</v>
          </cell>
          <cell r="AF767">
            <v>55</v>
          </cell>
          <cell r="AG767" t="str">
            <v>N</v>
          </cell>
          <cell r="AH767">
            <v>3.5</v>
          </cell>
          <cell r="AI767" t="str">
            <v>Kalappa</v>
          </cell>
          <cell r="AJ767" t="str">
            <v>Surgery</v>
          </cell>
          <cell r="AK767" t="str">
            <v>Primary</v>
          </cell>
          <cell r="AN767" t="str">
            <v>IIa</v>
          </cell>
          <cell r="AO767">
            <v>3</v>
          </cell>
          <cell r="AP767" t="str">
            <v>T2N0</v>
          </cell>
          <cell r="AS767" t="str">
            <v>ILC</v>
          </cell>
          <cell r="AT767" t="str">
            <v>CTRT&amp;Hormonal therapy</v>
          </cell>
          <cell r="AV767">
            <v>45239</v>
          </cell>
          <cell r="AW767">
            <v>0.60277777777777775</v>
          </cell>
          <cell r="AX767">
            <v>0.64375000000000004</v>
          </cell>
          <cell r="AY767">
            <v>4.0972222222222222E-2</v>
          </cell>
          <cell r="AZ767">
            <v>5.9027777777777776E-2</v>
          </cell>
          <cell r="BA767">
            <v>0.14722222222222223</v>
          </cell>
          <cell r="BB767" t="str">
            <v>0.4*1.6*0.8/1.2</v>
          </cell>
          <cell r="BD767" t="str">
            <v>Manual</v>
          </cell>
          <cell r="BE767">
            <v>14</v>
          </cell>
          <cell r="BF767" t="str">
            <v>Dharani</v>
          </cell>
          <cell r="BG767" t="str">
            <v>Y</v>
          </cell>
        </row>
        <row r="768">
          <cell r="A768" t="str">
            <v>FBR2C230336</v>
          </cell>
          <cell r="B768">
            <v>230336</v>
          </cell>
          <cell r="C768" t="str">
            <v>R&amp;D</v>
          </cell>
          <cell r="D768">
            <v>45239</v>
          </cell>
          <cell r="E768">
            <v>0.54166666666666663</v>
          </cell>
          <cell r="F768">
            <v>45231</v>
          </cell>
          <cell r="G768">
            <v>45239</v>
          </cell>
          <cell r="H768">
            <v>0.76388888888888884</v>
          </cell>
          <cell r="I768">
            <v>0.22222222222222221</v>
          </cell>
          <cell r="J768">
            <v>15</v>
          </cell>
          <cell r="K768" t="str">
            <v>FCB-PROTOCOL-01</v>
          </cell>
          <cell r="L768" t="str">
            <v>JSS-005</v>
          </cell>
          <cell r="M768" t="str">
            <v>Y</v>
          </cell>
          <cell r="N768" t="str">
            <v>RCC DPT (2C)</v>
          </cell>
          <cell r="O768" t="str">
            <v>Internal R&amp;D</v>
          </cell>
          <cell r="P768" t="str">
            <v>Q1 Passed</v>
          </cell>
          <cell r="Q768" t="str">
            <v>Q1 Passed</v>
          </cell>
          <cell r="R768" t="str">
            <v>Q1.5 Passed</v>
          </cell>
          <cell r="S768" t="str">
            <v>Q1.5 Passed</v>
          </cell>
          <cell r="V768" t="str">
            <v>Tumor comntent 0-90%</v>
          </cell>
          <cell r="W768" t="str">
            <v>Clinic'les</v>
          </cell>
          <cell r="X768" t="str">
            <v>Clinic'les- Dr Ravi Krishnappa, Mysore</v>
          </cell>
          <cell r="Y768" t="str">
            <v>JSS Hospital, Mysore</v>
          </cell>
          <cell r="Z768" t="str">
            <v>Dr Manjunath</v>
          </cell>
          <cell r="AA768" t="str">
            <v>RCC</v>
          </cell>
          <cell r="AC768" t="str">
            <v>Kidney</v>
          </cell>
          <cell r="AD768" t="str">
            <v>Right Kidney</v>
          </cell>
          <cell r="AE768" t="str">
            <v>Female</v>
          </cell>
          <cell r="AF768">
            <v>73</v>
          </cell>
          <cell r="AG768" t="str">
            <v>N</v>
          </cell>
          <cell r="AH768">
            <v>5.8</v>
          </cell>
          <cell r="AI768" t="str">
            <v>Maruthi</v>
          </cell>
          <cell r="AJ768" t="str">
            <v>Surgery</v>
          </cell>
          <cell r="AK768" t="str">
            <v>Primary</v>
          </cell>
          <cell r="AV768">
            <v>45239</v>
          </cell>
          <cell r="AW768">
            <v>0.79027777777777775</v>
          </cell>
          <cell r="AX768">
            <v>0.84375</v>
          </cell>
          <cell r="AY768">
            <v>5.347222222222222E-2</v>
          </cell>
          <cell r="AZ768">
            <v>7.9861111111111105E-2</v>
          </cell>
          <cell r="BA768">
            <v>0.30208333333333331</v>
          </cell>
          <cell r="BB768" t="str">
            <v>0.4/0.6*0.8/0.6*1.0</v>
          </cell>
          <cell r="BD768" t="str">
            <v>Manual</v>
          </cell>
          <cell r="BE768">
            <v>14</v>
          </cell>
          <cell r="BF768" t="str">
            <v>chandan</v>
          </cell>
          <cell r="BG768" t="str">
            <v>Y</v>
          </cell>
        </row>
        <row r="769">
          <cell r="A769" t="str">
            <v>FBR1Y230337</v>
          </cell>
          <cell r="B769">
            <v>230337</v>
          </cell>
          <cell r="C769" t="str">
            <v>R&amp;D</v>
          </cell>
          <cell r="D769">
            <v>45240</v>
          </cell>
          <cell r="E769">
            <v>0.55555555555555558</v>
          </cell>
          <cell r="F769">
            <v>45231</v>
          </cell>
          <cell r="G769">
            <v>45240</v>
          </cell>
          <cell r="H769">
            <v>0.63541666666666663</v>
          </cell>
          <cell r="I769">
            <v>7.9861111111111105E-2</v>
          </cell>
          <cell r="J769">
            <v>10</v>
          </cell>
          <cell r="K769" t="str">
            <v>FCB-PROTOCOL-02</v>
          </cell>
          <cell r="L769" t="str">
            <v>HN099</v>
          </cell>
          <cell r="M769" t="str">
            <v>Y</v>
          </cell>
          <cell r="N769" t="str">
            <v>CCS Study (1Y)</v>
          </cell>
          <cell r="O769" t="str">
            <v>Internal R&amp;D</v>
          </cell>
          <cell r="P769" t="str">
            <v>Q1 Passed</v>
          </cell>
          <cell r="Q769" t="str">
            <v>Q1 Passed</v>
          </cell>
          <cell r="R769" t="str">
            <v>Q1.5 Passed</v>
          </cell>
          <cell r="S769" t="str">
            <v>Q1.5 Passed</v>
          </cell>
          <cell r="V769" t="str">
            <v>Tumor content 0-20%      3 fragments without tumor</v>
          </cell>
          <cell r="W769" t="str">
            <v>Private Hospital</v>
          </cell>
          <cell r="X769" t="str">
            <v>Mazumdar Shaw Medical Centre, Bangalore</v>
          </cell>
          <cell r="Y769" t="str">
            <v>Mazumdar Shaw Medical Centre, Bangalore</v>
          </cell>
          <cell r="Z769" t="str">
            <v>Dr Vijay Pillai, Bangalore</v>
          </cell>
          <cell r="AA769" t="str">
            <v>HNSCC</v>
          </cell>
          <cell r="AC769" t="str">
            <v>Buccal mucosa</v>
          </cell>
          <cell r="AD769" t="str">
            <v>Buccal Mucosa</v>
          </cell>
          <cell r="AE769" t="str">
            <v>Male</v>
          </cell>
          <cell r="AF769">
            <v>37</v>
          </cell>
          <cell r="AG769" t="str">
            <v>N</v>
          </cell>
          <cell r="AH769">
            <v>4.5</v>
          </cell>
          <cell r="AI769" t="str">
            <v>Kalappa</v>
          </cell>
          <cell r="AJ769" t="str">
            <v>Surgery</v>
          </cell>
          <cell r="AK769" t="str">
            <v>Primary</v>
          </cell>
          <cell r="AN769" t="str">
            <v>IV</v>
          </cell>
          <cell r="AO769">
            <v>2</v>
          </cell>
          <cell r="AP769" t="str">
            <v>pT4bpN2B</v>
          </cell>
          <cell r="AS769" t="str">
            <v>MDSCC(Moderately Differentiated Squamous cell carcinoma)</v>
          </cell>
          <cell r="AV769">
            <v>45240</v>
          </cell>
          <cell r="AW769">
            <v>0.65208333333333335</v>
          </cell>
          <cell r="AX769">
            <v>0.74861111111111112</v>
          </cell>
          <cell r="AY769">
            <v>9.6527777777777782E-2</v>
          </cell>
          <cell r="AZ769">
            <v>0.11319444444444444</v>
          </cell>
          <cell r="BA769">
            <v>0.19305555555555556</v>
          </cell>
          <cell r="BB769" t="str">
            <v>0.6*1.0/1.2*1.0/1.2</v>
          </cell>
          <cell r="BD769" t="str">
            <v>Manual+Vibratome</v>
          </cell>
          <cell r="BE769">
            <v>14</v>
          </cell>
          <cell r="BF769" t="str">
            <v>Kowshik</v>
          </cell>
          <cell r="BG769" t="str">
            <v>Y</v>
          </cell>
        </row>
        <row r="770">
          <cell r="A770" t="str">
            <v>FBR1W230338</v>
          </cell>
          <cell r="B770">
            <v>230338</v>
          </cell>
          <cell r="C770" t="str">
            <v>R&amp;D</v>
          </cell>
          <cell r="D770">
            <v>45245</v>
          </cell>
          <cell r="E770">
            <v>0.52569444444444446</v>
          </cell>
          <cell r="F770">
            <v>45231</v>
          </cell>
          <cell r="G770">
            <v>45245</v>
          </cell>
          <cell r="H770">
            <v>0.63263888888888886</v>
          </cell>
          <cell r="I770">
            <v>0.10694444444444444</v>
          </cell>
          <cell r="J770">
            <v>2</v>
          </cell>
          <cell r="K770" t="str">
            <v>FCB-PROTOCOL-01</v>
          </cell>
          <cell r="L770" t="str">
            <v>VYD/220</v>
          </cell>
          <cell r="M770" t="str">
            <v>Y</v>
          </cell>
          <cell r="N770" t="str">
            <v>Biopsy Cabr-BSS (1W)</v>
          </cell>
          <cell r="O770" t="str">
            <v>Internal R&amp;D</v>
          </cell>
          <cell r="P770" t="str">
            <v>Q1 Passed</v>
          </cell>
          <cell r="Q770" t="str">
            <v>Q1 Passed</v>
          </cell>
          <cell r="R770" t="str">
            <v>Q1.5 Passed</v>
          </cell>
          <cell r="S770" t="str">
            <v>Q1.5 Passed</v>
          </cell>
          <cell r="V770" t="str">
            <v>Tumor content 0-30%</v>
          </cell>
          <cell r="W770" t="str">
            <v>Private Hospital</v>
          </cell>
          <cell r="X770" t="str">
            <v>Vydehi Hospital, Bangalore</v>
          </cell>
          <cell r="Y770" t="str">
            <v>Vydehi Hospital, Bangalore</v>
          </cell>
          <cell r="Z770" t="str">
            <v>Dr Amritha Prabha, Bangalore</v>
          </cell>
          <cell r="AA770" t="str">
            <v>Ca Breast</v>
          </cell>
          <cell r="AB770" t="str">
            <v>Er (+)
Pr(-)
Her2 (-)</v>
          </cell>
          <cell r="AC770" t="str">
            <v>Breast</v>
          </cell>
          <cell r="AD770" t="str">
            <v>Right Breast</v>
          </cell>
          <cell r="AE770" t="str">
            <v>Female</v>
          </cell>
          <cell r="AF770">
            <v>69</v>
          </cell>
          <cell r="AG770" t="str">
            <v>N</v>
          </cell>
          <cell r="AH770">
            <v>5.2</v>
          </cell>
          <cell r="AI770" t="str">
            <v>Kalappa</v>
          </cell>
          <cell r="AJ770" t="str">
            <v>Surgery</v>
          </cell>
          <cell r="AK770" t="str">
            <v>Primary</v>
          </cell>
          <cell r="AN770" t="str">
            <v>IIa</v>
          </cell>
          <cell r="AO770">
            <v>2</v>
          </cell>
          <cell r="AP770" t="str">
            <v>T2N1a</v>
          </cell>
          <cell r="AS770" t="str">
            <v>IDC</v>
          </cell>
          <cell r="AT770" t="str">
            <v>CTRT&amp; Endocrine therapy</v>
          </cell>
          <cell r="AV770">
            <v>45245</v>
          </cell>
          <cell r="AW770">
            <v>0.64652777777777781</v>
          </cell>
          <cell r="AX770">
            <v>0.73888888888888893</v>
          </cell>
          <cell r="AY770">
            <v>9.2361111111111116E-2</v>
          </cell>
          <cell r="AZ770">
            <v>0.10625</v>
          </cell>
          <cell r="BA770">
            <v>0.21319444444444444</v>
          </cell>
          <cell r="BB770" t="str">
            <v>1.2/0.4*2.2*3.4</v>
          </cell>
          <cell r="BC770" t="str">
            <v>1.0*2.0*3.2</v>
          </cell>
          <cell r="BD770" t="str">
            <v>Manual</v>
          </cell>
          <cell r="BE770">
            <v>14</v>
          </cell>
          <cell r="BF770" t="str">
            <v>Kokila</v>
          </cell>
          <cell r="BG770" t="str">
            <v>N</v>
          </cell>
        </row>
        <row r="771">
          <cell r="A771" t="str">
            <v>FBR1W230339</v>
          </cell>
          <cell r="B771">
            <v>230339</v>
          </cell>
          <cell r="C771" t="str">
            <v>R&amp;D</v>
          </cell>
          <cell r="D771">
            <v>45248</v>
          </cell>
          <cell r="E771">
            <v>0.49791666666666667</v>
          </cell>
          <cell r="F771">
            <v>45231</v>
          </cell>
          <cell r="G771">
            <v>45248</v>
          </cell>
          <cell r="H771">
            <v>0.59444444444444444</v>
          </cell>
          <cell r="I771">
            <v>9.6527777777777782E-2</v>
          </cell>
          <cell r="J771">
            <v>3</v>
          </cell>
          <cell r="K771" t="str">
            <v>FCB-PROTOCOL-01</v>
          </cell>
          <cell r="L771" t="str">
            <v>VYD/221</v>
          </cell>
          <cell r="M771" t="str">
            <v>Y</v>
          </cell>
          <cell r="N771" t="str">
            <v>Biopsy Cabr-BSS (1W)</v>
          </cell>
          <cell r="O771" t="str">
            <v>Internal R&amp;D</v>
          </cell>
          <cell r="P771" t="str">
            <v>Q1 Passed</v>
          </cell>
          <cell r="Q771" t="str">
            <v>Q1 Passed</v>
          </cell>
          <cell r="R771" t="str">
            <v>Q1.5 Passed</v>
          </cell>
          <cell r="S771" t="str">
            <v>Q1.5 Passed</v>
          </cell>
          <cell r="V771" t="str">
            <v>Tumor content 1-40%</v>
          </cell>
          <cell r="W771" t="str">
            <v>Private Hospital</v>
          </cell>
          <cell r="X771" t="str">
            <v>Vydehi Hospital, Bangalore</v>
          </cell>
          <cell r="Y771" t="str">
            <v>Vydehi Hospital, Bangalore</v>
          </cell>
          <cell r="Z771" t="str">
            <v>Dr Amritha Prabha, Bangalore</v>
          </cell>
          <cell r="AA771" t="str">
            <v>Ca Breast</v>
          </cell>
          <cell r="AB771" t="str">
            <v>Er (+)
Pr(+)
Her2 (-)</v>
          </cell>
          <cell r="AC771" t="str">
            <v>Breast</v>
          </cell>
          <cell r="AD771" t="str">
            <v>Left Breast</v>
          </cell>
          <cell r="AE771" t="str">
            <v>Female</v>
          </cell>
          <cell r="AF771">
            <v>57</v>
          </cell>
          <cell r="AG771" t="str">
            <v>N</v>
          </cell>
          <cell r="AH771">
            <v>4.8</v>
          </cell>
          <cell r="AI771" t="str">
            <v>Partha</v>
          </cell>
          <cell r="AJ771" t="str">
            <v>Surgery</v>
          </cell>
          <cell r="AK771" t="str">
            <v>Primary</v>
          </cell>
          <cell r="AN771" t="str">
            <v>Ib</v>
          </cell>
          <cell r="AO771">
            <v>2</v>
          </cell>
          <cell r="AP771" t="str">
            <v>T2N0</v>
          </cell>
          <cell r="AS771" t="str">
            <v>IDC</v>
          </cell>
          <cell r="AT771" t="str">
            <v>CTRT&amp; Endocrine therapy</v>
          </cell>
          <cell r="AU771" t="str">
            <v>Letrozole</v>
          </cell>
          <cell r="AV771">
            <v>45248</v>
          </cell>
          <cell r="AW771">
            <v>0.61805555555555558</v>
          </cell>
          <cell r="AX771">
            <v>0.68402777777777779</v>
          </cell>
          <cell r="AY771">
            <v>6.5972222222222224E-2</v>
          </cell>
          <cell r="AZ771">
            <v>8.9583333333333334E-2</v>
          </cell>
          <cell r="BA771">
            <v>0.18611111111111112</v>
          </cell>
          <cell r="BB771" t="str">
            <v>1.0/0.2*1.2*1.8</v>
          </cell>
          <cell r="BD771" t="str">
            <v>Manual</v>
          </cell>
          <cell r="BE771">
            <v>14</v>
          </cell>
          <cell r="BF771" t="str">
            <v>Syam</v>
          </cell>
          <cell r="BG771" t="str">
            <v>Y</v>
          </cell>
        </row>
        <row r="772">
          <cell r="A772" t="str">
            <v>FBB1I230340</v>
          </cell>
          <cell r="B772">
            <v>230340</v>
          </cell>
          <cell r="C772" t="str">
            <v>Biopharma</v>
          </cell>
          <cell r="D772">
            <v>45250</v>
          </cell>
          <cell r="E772">
            <v>0.4861111111111111</v>
          </cell>
          <cell r="F772">
            <v>45231</v>
          </cell>
          <cell r="G772">
            <v>45250</v>
          </cell>
          <cell r="H772">
            <v>0.82013888888888886</v>
          </cell>
          <cell r="I772">
            <v>0.33402777777777776</v>
          </cell>
          <cell r="J772">
            <v>15</v>
          </cell>
          <cell r="K772" t="str">
            <v>FCB-PROTOCOL-01</v>
          </cell>
          <cell r="L772" t="str">
            <v>CLN/DBR/164</v>
          </cell>
          <cell r="M772" t="str">
            <v>Y</v>
          </cell>
          <cell r="N772" t="str">
            <v>BP008 (1I)</v>
          </cell>
          <cell r="O772" t="str">
            <v>Biopharma</v>
          </cell>
          <cell r="P772" t="str">
            <v>Q1 Passed</v>
          </cell>
          <cell r="Q772" t="str">
            <v>Q1 Passed</v>
          </cell>
          <cell r="R772" t="str">
            <v>Q1.5 Passed</v>
          </cell>
          <cell r="S772" t="str">
            <v>Q1.5 Passed</v>
          </cell>
          <cell r="V772" t="str">
            <v>Tumor content 5-90%</v>
          </cell>
          <cell r="W772" t="str">
            <v>Clinic'les</v>
          </cell>
          <cell r="X772" t="str">
            <v>Clinic'les- DBR &amp; SK Hospital, Tirupati</v>
          </cell>
          <cell r="Y772" t="str">
            <v>DBR &amp; SK Hospital, Tirupati</v>
          </cell>
          <cell r="Z772" t="str">
            <v>Dr C Jayaprakash, Tirupati</v>
          </cell>
          <cell r="AA772" t="str">
            <v>HNSCC</v>
          </cell>
          <cell r="AC772" t="str">
            <v>Buccal mucosa</v>
          </cell>
          <cell r="AD772" t="str">
            <v>Right Buccal Mucosa</v>
          </cell>
          <cell r="AE772" t="str">
            <v>Male</v>
          </cell>
          <cell r="AF772">
            <v>57</v>
          </cell>
          <cell r="AG772" t="str">
            <v>N</v>
          </cell>
          <cell r="AH772">
            <v>5.0999999999999996</v>
          </cell>
          <cell r="AI772" t="str">
            <v>Shashi</v>
          </cell>
          <cell r="AJ772" t="str">
            <v>Surgery</v>
          </cell>
          <cell r="AK772" t="str">
            <v>Primary</v>
          </cell>
          <cell r="AN772" t="str">
            <v>II</v>
          </cell>
          <cell r="AP772" t="str">
            <v xml:space="preserve">T2 N0 MX </v>
          </cell>
          <cell r="AV772">
            <v>45250</v>
          </cell>
          <cell r="AW772">
            <v>0.8354166666666667</v>
          </cell>
          <cell r="AX772">
            <v>0.92361111111111116</v>
          </cell>
          <cell r="AY772">
            <v>8.819444444444445E-2</v>
          </cell>
          <cell r="AZ772">
            <v>0.10347222222222222</v>
          </cell>
          <cell r="BA772">
            <v>0.4375</v>
          </cell>
          <cell r="BB772" t="str">
            <v>0.4/0.8*0.9/0.4*1.4
0.8/1.0*0.9/1.0*0.6/1.2</v>
          </cell>
          <cell r="BD772" t="str">
            <v>Vibratome</v>
          </cell>
          <cell r="BE772">
            <v>14</v>
          </cell>
          <cell r="BF772" t="str">
            <v>Mouniss</v>
          </cell>
          <cell r="BG772" t="str">
            <v>Y</v>
          </cell>
        </row>
        <row r="773">
          <cell r="A773" t="str">
            <v>FBR1W230341</v>
          </cell>
          <cell r="B773">
            <v>230341</v>
          </cell>
          <cell r="C773" t="str">
            <v>R&amp;D</v>
          </cell>
          <cell r="D773">
            <v>45251</v>
          </cell>
          <cell r="E773">
            <v>0.47916666666666669</v>
          </cell>
          <cell r="F773">
            <v>45231</v>
          </cell>
          <cell r="G773">
            <v>45251</v>
          </cell>
          <cell r="H773">
            <v>0.59236111111111112</v>
          </cell>
          <cell r="I773">
            <v>0.11319444444444444</v>
          </cell>
          <cell r="J773">
            <v>0</v>
          </cell>
          <cell r="K773" t="str">
            <v>FCB-PROTOCOL-01</v>
          </cell>
          <cell r="L773" t="str">
            <v>VYD/223</v>
          </cell>
          <cell r="M773" t="str">
            <v>Y</v>
          </cell>
          <cell r="N773" t="str">
            <v>Biopsy Cabr-BSS (1W)</v>
          </cell>
          <cell r="O773" t="str">
            <v>Internal R&amp;D</v>
          </cell>
          <cell r="P773" t="str">
            <v>Q1 Passed</v>
          </cell>
          <cell r="Q773" t="str">
            <v>Q1 Passed</v>
          </cell>
          <cell r="R773" t="str">
            <v>Q1.5 Passed</v>
          </cell>
          <cell r="S773" t="str">
            <v>Q1.5 Passed</v>
          </cell>
          <cell r="V773" t="str">
            <v>Tumor content 0-40%</v>
          </cell>
          <cell r="W773" t="str">
            <v>Private Hospital</v>
          </cell>
          <cell r="X773" t="str">
            <v>Vydehi Hospital, Bangalore</v>
          </cell>
          <cell r="Y773" t="str">
            <v>Vydehi Hospital, Bangalore</v>
          </cell>
          <cell r="Z773" t="str">
            <v>Dr Amritha Prabha, Bangalore</v>
          </cell>
          <cell r="AA773" t="str">
            <v>Ca Breast</v>
          </cell>
          <cell r="AB773" t="str">
            <v>Er (+)
Pr(-)
Her2 (Equivocal)</v>
          </cell>
          <cell r="AC773" t="str">
            <v>Breast</v>
          </cell>
          <cell r="AD773" t="str">
            <v>Left Breast</v>
          </cell>
          <cell r="AE773" t="str">
            <v>Female</v>
          </cell>
          <cell r="AF773">
            <v>52</v>
          </cell>
          <cell r="AG773" t="str">
            <v>N</v>
          </cell>
          <cell r="AH773">
            <v>5.3</v>
          </cell>
          <cell r="AI773" t="str">
            <v>Kalappa</v>
          </cell>
          <cell r="AJ773" t="str">
            <v>Biopsy</v>
          </cell>
          <cell r="AK773" t="str">
            <v>Primary</v>
          </cell>
          <cell r="AO773">
            <v>2</v>
          </cell>
          <cell r="AS773" t="str">
            <v>IDC</v>
          </cell>
          <cell r="AT773" t="str">
            <v>CTRT</v>
          </cell>
          <cell r="AU773" t="str">
            <v>Cyclophosphamide, Paclitaxel</v>
          </cell>
          <cell r="AV773">
            <v>45251</v>
          </cell>
          <cell r="AW773">
            <v>0.61111111111111116</v>
          </cell>
          <cell r="AX773">
            <v>0.66805555555555551</v>
          </cell>
          <cell r="AY773">
            <v>5.6944444444444443E-2</v>
          </cell>
          <cell r="AZ773">
            <v>7.5694444444444439E-2</v>
          </cell>
          <cell r="BA773">
            <v>0.18888888888888888</v>
          </cell>
          <cell r="BB773" t="str">
            <v>6 Core
12-17mm</v>
          </cell>
          <cell r="BD773" t="str">
            <v>Manual</v>
          </cell>
          <cell r="BE773">
            <v>14</v>
          </cell>
          <cell r="BF773" t="str">
            <v>Pallavi</v>
          </cell>
          <cell r="BG773" t="str">
            <v>Y</v>
          </cell>
        </row>
        <row r="774">
          <cell r="A774" t="str">
            <v>FBR1W230342</v>
          </cell>
          <cell r="B774">
            <v>230342</v>
          </cell>
          <cell r="C774" t="str">
            <v>R&amp;D</v>
          </cell>
          <cell r="D774">
            <v>45251</v>
          </cell>
          <cell r="E774">
            <v>0.53611111111111109</v>
          </cell>
          <cell r="F774">
            <v>45231</v>
          </cell>
          <cell r="G774">
            <v>45251</v>
          </cell>
          <cell r="H774">
            <v>0.59236111111111112</v>
          </cell>
          <cell r="I774">
            <v>5.6250000000000001E-2</v>
          </cell>
          <cell r="J774">
            <v>4</v>
          </cell>
          <cell r="K774" t="str">
            <v>FCB-PROTOCOL-01</v>
          </cell>
          <cell r="L774" t="str">
            <v>VYD/222</v>
          </cell>
          <cell r="M774" t="str">
            <v>Y</v>
          </cell>
          <cell r="N774" t="str">
            <v>Biopsy Cabr-BSS (1W)</v>
          </cell>
          <cell r="O774" t="str">
            <v>Internal R&amp;D</v>
          </cell>
          <cell r="P774" t="str">
            <v>Q1 Passed</v>
          </cell>
          <cell r="Q774" t="str">
            <v>Q1 Passed</v>
          </cell>
          <cell r="R774" t="str">
            <v>Q1.5 Passed</v>
          </cell>
          <cell r="S774" t="str">
            <v>Q1.5 Passed</v>
          </cell>
          <cell r="V774" t="str">
            <v>Tumor content 3-35%</v>
          </cell>
          <cell r="W774" t="str">
            <v>Private Hospital</v>
          </cell>
          <cell r="X774" t="str">
            <v>Vydehi Hospital, Bangalore</v>
          </cell>
          <cell r="Y774" t="str">
            <v>Vydehi Hospital, Bangalore</v>
          </cell>
          <cell r="Z774" t="str">
            <v>Dr Amritha Prabha, Bangalore</v>
          </cell>
          <cell r="AA774" t="str">
            <v>Ca Breast</v>
          </cell>
          <cell r="AB774" t="str">
            <v>Er (+)
Pr(+)
Her2 (-)</v>
          </cell>
          <cell r="AC774" t="str">
            <v>Breast</v>
          </cell>
          <cell r="AD774" t="str">
            <v>Left Breast</v>
          </cell>
          <cell r="AE774" t="str">
            <v>Female</v>
          </cell>
          <cell r="AF774">
            <v>45</v>
          </cell>
          <cell r="AG774" t="str">
            <v>N</v>
          </cell>
          <cell r="AH774">
            <v>5.3</v>
          </cell>
          <cell r="AI774" t="str">
            <v>Kalappa</v>
          </cell>
          <cell r="AJ774" t="str">
            <v>Surgery</v>
          </cell>
          <cell r="AK774" t="str">
            <v>Primary</v>
          </cell>
          <cell r="AN774" t="str">
            <v>IIb</v>
          </cell>
          <cell r="AO774">
            <v>2</v>
          </cell>
          <cell r="AP774" t="str">
            <v>T3N0</v>
          </cell>
          <cell r="AS774" t="str">
            <v>IDC</v>
          </cell>
          <cell r="AT774" t="str">
            <v>CTRT&amp; Endocrine therapy</v>
          </cell>
          <cell r="AV774">
            <v>45251</v>
          </cell>
          <cell r="AW774">
            <v>0.60902777777777772</v>
          </cell>
          <cell r="AX774">
            <v>0.69722222222222219</v>
          </cell>
          <cell r="AY774">
            <v>8.819444444444445E-2</v>
          </cell>
          <cell r="AZ774">
            <v>0.10486111111111111</v>
          </cell>
          <cell r="BA774">
            <v>0.16111111111111112</v>
          </cell>
          <cell r="BB774" t="str">
            <v>1.6*2.0/2.2*2.4</v>
          </cell>
          <cell r="BD774" t="str">
            <v>Manual</v>
          </cell>
          <cell r="BE774">
            <v>14</v>
          </cell>
          <cell r="BF774" t="str">
            <v>Dharani</v>
          </cell>
          <cell r="BG774" t="str">
            <v>Y</v>
          </cell>
        </row>
        <row r="775">
          <cell r="A775" t="str">
            <v>FBR1Y230343</v>
          </cell>
          <cell r="B775">
            <v>230343</v>
          </cell>
          <cell r="C775" t="str">
            <v>R&amp;D</v>
          </cell>
          <cell r="D775">
            <v>45252</v>
          </cell>
          <cell r="E775">
            <v>0.4375</v>
          </cell>
          <cell r="F775">
            <v>45231</v>
          </cell>
          <cell r="G775">
            <v>45252</v>
          </cell>
          <cell r="H775">
            <v>0.52916666666666667</v>
          </cell>
          <cell r="I775">
            <v>9.166666666666666E-2</v>
          </cell>
          <cell r="J775">
            <v>2</v>
          </cell>
          <cell r="K775" t="str">
            <v>FCB-PROTOCOL-02</v>
          </cell>
          <cell r="L775" t="str">
            <v>HN100</v>
          </cell>
          <cell r="M775" t="str">
            <v>Y</v>
          </cell>
          <cell r="N775" t="str">
            <v>CCS Study (1Y)</v>
          </cell>
          <cell r="O775" t="str">
            <v>Internal R&amp;D</v>
          </cell>
          <cell r="P775" t="str">
            <v>Q1 Passed</v>
          </cell>
          <cell r="Q775" t="str">
            <v>Q1 Passed</v>
          </cell>
          <cell r="R775" t="str">
            <v>Compromised</v>
          </cell>
          <cell r="S775" t="str">
            <v>Q1.5 Passed</v>
          </cell>
          <cell r="V775" t="str">
            <v>Tumor content 5-95%</v>
          </cell>
          <cell r="W775" t="str">
            <v>Private Hospital</v>
          </cell>
          <cell r="X775" t="str">
            <v>Mazumdar Shaw Medical Centre, Bangalore</v>
          </cell>
          <cell r="Y775" t="str">
            <v>Mazumdar Shaw Medical Centre, Bangalore</v>
          </cell>
          <cell r="Z775" t="str">
            <v>Dr Vijay Pillai, Bangalore</v>
          </cell>
          <cell r="AA775" t="str">
            <v>HNSCC</v>
          </cell>
          <cell r="AC775" t="str">
            <v>Tongue</v>
          </cell>
          <cell r="AD775" t="str">
            <v>Tongue</v>
          </cell>
          <cell r="AE775" t="str">
            <v>Male</v>
          </cell>
          <cell r="AF775">
            <v>57</v>
          </cell>
          <cell r="AG775" t="str">
            <v>N</v>
          </cell>
          <cell r="AH775">
            <v>5.2</v>
          </cell>
          <cell r="AI775" t="str">
            <v>Kalappa</v>
          </cell>
          <cell r="AJ775" t="str">
            <v>Surgery</v>
          </cell>
          <cell r="AK775" t="str">
            <v>Primary</v>
          </cell>
          <cell r="AN775" t="str">
            <v>III</v>
          </cell>
          <cell r="AO775">
            <v>2</v>
          </cell>
          <cell r="AP775" t="str">
            <v>pT3pN2a</v>
          </cell>
          <cell r="AS775" t="str">
            <v>MDSCC(Moderately Differentiated Squamous cell carcinoma)</v>
          </cell>
          <cell r="AV775">
            <v>45252</v>
          </cell>
          <cell r="AW775">
            <v>0.55625000000000002</v>
          </cell>
          <cell r="AX775">
            <v>0.59791666666666665</v>
          </cell>
          <cell r="AY775">
            <v>4.1666666666666664E-2</v>
          </cell>
          <cell r="AZ775">
            <v>6.8750000000000006E-2</v>
          </cell>
          <cell r="BA775">
            <v>0.16041666666666668</v>
          </cell>
          <cell r="BB775" t="str">
            <v>0.4/0.2*0.6*1.0</v>
          </cell>
          <cell r="BD775" t="str">
            <v>Manual</v>
          </cell>
          <cell r="BE775">
            <v>14</v>
          </cell>
          <cell r="BF775" t="str">
            <v>Syam</v>
          </cell>
          <cell r="BG775" t="str">
            <v>Y</v>
          </cell>
        </row>
        <row r="776">
          <cell r="A776" t="str">
            <v>FBR1W230344</v>
          </cell>
          <cell r="B776">
            <v>230344</v>
          </cell>
          <cell r="C776" t="str">
            <v>R&amp;D</v>
          </cell>
          <cell r="D776">
            <v>45254</v>
          </cell>
          <cell r="E776">
            <v>0.57777777777777772</v>
          </cell>
          <cell r="F776">
            <v>45231</v>
          </cell>
          <cell r="G776">
            <v>45254</v>
          </cell>
          <cell r="H776">
            <v>0.66597222222222219</v>
          </cell>
          <cell r="I776">
            <v>8.819444444444445E-2</v>
          </cell>
          <cell r="J776">
            <v>0</v>
          </cell>
          <cell r="K776" t="str">
            <v>FCB-PROTOCOL-01</v>
          </cell>
          <cell r="L776" t="str">
            <v>VYD/224</v>
          </cell>
          <cell r="M776" t="str">
            <v>Y</v>
          </cell>
          <cell r="N776" t="str">
            <v>Biopsy Cabr-BSS (1W)</v>
          </cell>
          <cell r="O776" t="str">
            <v>Internal R&amp;D</v>
          </cell>
          <cell r="P776" t="str">
            <v>Q1 Passed</v>
          </cell>
          <cell r="Q776" t="str">
            <v>Q1 Passed</v>
          </cell>
          <cell r="R776" t="str">
            <v>Q1.5 Passed</v>
          </cell>
          <cell r="S776" t="str">
            <v>Q1.5 Passed</v>
          </cell>
          <cell r="V776" t="str">
            <v>Tumor content 0-4%</v>
          </cell>
          <cell r="W776" t="str">
            <v>Private Hospital</v>
          </cell>
          <cell r="X776" t="str">
            <v>Vydehi Hospital, Bangalore</v>
          </cell>
          <cell r="Y776" t="str">
            <v>Vydehi Hospital, Bangalore</v>
          </cell>
          <cell r="Z776" t="str">
            <v>Dr Amritha Prabha, Bangalore</v>
          </cell>
          <cell r="AA776" t="str">
            <v>Ca Breast</v>
          </cell>
          <cell r="AB776" t="str">
            <v>Er (-)
Pr(-)
Her2 (Equivocal)</v>
          </cell>
          <cell r="AC776" t="str">
            <v>Breast</v>
          </cell>
          <cell r="AD776" t="str">
            <v>Right Breast</v>
          </cell>
          <cell r="AE776" t="str">
            <v>Female</v>
          </cell>
          <cell r="AF776">
            <v>58</v>
          </cell>
          <cell r="AG776" t="str">
            <v>N</v>
          </cell>
          <cell r="AH776">
            <v>4.5999999999999996</v>
          </cell>
          <cell r="AI776" t="str">
            <v>Maruthi</v>
          </cell>
          <cell r="AJ776" t="str">
            <v>Biopsy</v>
          </cell>
          <cell r="AK776" t="str">
            <v>Primary</v>
          </cell>
          <cell r="AO776">
            <v>3</v>
          </cell>
          <cell r="AT776" t="str">
            <v>CT</v>
          </cell>
          <cell r="AU776" t="str">
            <v>Cyclophosphamide, Paclitaxel</v>
          </cell>
          <cell r="AV776">
            <v>45254</v>
          </cell>
          <cell r="AW776">
            <v>0.68194444444444446</v>
          </cell>
          <cell r="AX776">
            <v>0.73611111111111116</v>
          </cell>
          <cell r="AY776">
            <v>5.4166666666666669E-2</v>
          </cell>
          <cell r="AZ776">
            <v>7.013888888888889E-2</v>
          </cell>
          <cell r="BA776">
            <v>0.15833333333333333</v>
          </cell>
          <cell r="BB776" t="str">
            <v>0.1*0.1*0.1</v>
          </cell>
          <cell r="BD776" t="str">
            <v>Manual</v>
          </cell>
          <cell r="BE776">
            <v>14</v>
          </cell>
          <cell r="BF776" t="str">
            <v xml:space="preserve">sai </v>
          </cell>
          <cell r="BG776" t="str">
            <v>Y</v>
          </cell>
        </row>
        <row r="777">
          <cell r="A777" t="str">
            <v>FBR1W230345</v>
          </cell>
          <cell r="B777">
            <v>230345</v>
          </cell>
          <cell r="C777" t="str">
            <v>R&amp;D</v>
          </cell>
          <cell r="D777">
            <v>45255</v>
          </cell>
          <cell r="E777">
            <v>0.50277777777777777</v>
          </cell>
          <cell r="F777">
            <v>45231</v>
          </cell>
          <cell r="G777">
            <v>45255</v>
          </cell>
          <cell r="H777">
            <v>0.68194444444444446</v>
          </cell>
          <cell r="I777">
            <v>0.17916666666666667</v>
          </cell>
          <cell r="J777">
            <v>4</v>
          </cell>
          <cell r="K777" t="str">
            <v>FCB-PROTOCOL-01</v>
          </cell>
          <cell r="L777" t="str">
            <v>VYD/225</v>
          </cell>
          <cell r="M777" t="str">
            <v>Y</v>
          </cell>
          <cell r="N777" t="str">
            <v>Biopsy Cabr-BSS (1W)</v>
          </cell>
          <cell r="O777" t="str">
            <v>Internal R&amp;D</v>
          </cell>
          <cell r="P777" t="str">
            <v>Q1 Passed</v>
          </cell>
          <cell r="Q777" t="str">
            <v>Q1 Passed</v>
          </cell>
          <cell r="R777" t="str">
            <v>Q1.5 Passed</v>
          </cell>
          <cell r="S777" t="str">
            <v>Q1.5 Passed</v>
          </cell>
          <cell r="V777" t="str">
            <v>Tumor content 0-8%</v>
          </cell>
          <cell r="W777" t="str">
            <v>Private Hospital</v>
          </cell>
          <cell r="X777" t="str">
            <v>Vydehi Hospital, Bangalore</v>
          </cell>
          <cell r="Y777" t="str">
            <v>Vydehi Hospital, Bangalore</v>
          </cell>
          <cell r="Z777" t="str">
            <v>Dr Amritha Prabha, Bangalore</v>
          </cell>
          <cell r="AA777" t="str">
            <v>Ca Breast</v>
          </cell>
          <cell r="AB777" t="str">
            <v>Er (-)
Pr(-)
Her2 (+)</v>
          </cell>
          <cell r="AC777" t="str">
            <v>Breast</v>
          </cell>
          <cell r="AD777" t="str">
            <v>Left Breast</v>
          </cell>
          <cell r="AE777" t="str">
            <v>Female</v>
          </cell>
          <cell r="AF777">
            <v>67</v>
          </cell>
          <cell r="AG777" t="str">
            <v>N</v>
          </cell>
          <cell r="AH777">
            <v>3.6</v>
          </cell>
          <cell r="AI777" t="str">
            <v>Maruthi</v>
          </cell>
          <cell r="AJ777" t="str">
            <v>Surgery</v>
          </cell>
          <cell r="AK777" t="str">
            <v>Primary</v>
          </cell>
          <cell r="AN777" t="str">
            <v>IIa</v>
          </cell>
          <cell r="AO777">
            <v>3</v>
          </cell>
          <cell r="AP777" t="str">
            <v>rT1aN1a</v>
          </cell>
          <cell r="AS777" t="str">
            <v>IDC</v>
          </cell>
          <cell r="AT777" t="str">
            <v>CTRT</v>
          </cell>
          <cell r="AU777" t="str">
            <v>Docetaxel, Carboplatin</v>
          </cell>
          <cell r="AV777">
            <v>45255</v>
          </cell>
          <cell r="AW777">
            <v>0.61736111111111114</v>
          </cell>
          <cell r="AX777">
            <v>0.76527777777777772</v>
          </cell>
          <cell r="AY777">
            <v>0.14791666666666667</v>
          </cell>
          <cell r="AZ777">
            <v>8.3333333333333329E-2</v>
          </cell>
          <cell r="BA777">
            <v>0.26250000000000001</v>
          </cell>
          <cell r="BB777" t="str">
            <v>0.4/0.6*0.6/0.9*1.0/1.1</v>
          </cell>
          <cell r="BD777" t="str">
            <v>Manual</v>
          </cell>
          <cell r="BE777">
            <v>14</v>
          </cell>
          <cell r="BF777" t="str">
            <v>Dharani</v>
          </cell>
          <cell r="BG777" t="str">
            <v>Y</v>
          </cell>
        </row>
        <row r="778">
          <cell r="A778" t="str">
            <v>FBB1K230346</v>
          </cell>
          <cell r="B778">
            <v>230346</v>
          </cell>
          <cell r="C778" t="str">
            <v>Biopharma</v>
          </cell>
          <cell r="D778">
            <v>45257</v>
          </cell>
          <cell r="E778">
            <v>0.54236111111111107</v>
          </cell>
          <cell r="F778">
            <v>45231</v>
          </cell>
          <cell r="G778">
            <v>45257</v>
          </cell>
          <cell r="H778">
            <v>0.60069444444444442</v>
          </cell>
          <cell r="I778">
            <v>5.8333333333333334E-2</v>
          </cell>
          <cell r="J778">
            <v>4</v>
          </cell>
          <cell r="K778" t="str">
            <v>FCB-PROTOCOL-01</v>
          </cell>
          <cell r="L778" t="str">
            <v>VYD/226</v>
          </cell>
          <cell r="M778" t="str">
            <v>Y</v>
          </cell>
          <cell r="N778" t="str">
            <v>BP010 (1K)</v>
          </cell>
          <cell r="O778" t="str">
            <v>Biopharma</v>
          </cell>
          <cell r="P778" t="str">
            <v>Q1 Passed</v>
          </cell>
          <cell r="Q778" t="str">
            <v>Q1 Passed</v>
          </cell>
          <cell r="R778" t="str">
            <v>Q1.5 Passed</v>
          </cell>
          <cell r="S778" t="str">
            <v>Q1.5 Passed</v>
          </cell>
          <cell r="V778" t="str">
            <v>Tumor content 55-85%</v>
          </cell>
          <cell r="W778" t="str">
            <v>Private Hospital</v>
          </cell>
          <cell r="X778" t="str">
            <v>Vydehi Hospital, Bangalore</v>
          </cell>
          <cell r="Y778" t="str">
            <v>Vydehi Hospital, Bangalore</v>
          </cell>
          <cell r="Z778" t="str">
            <v>Dr Amritha Prabha, Bangalore</v>
          </cell>
          <cell r="AA778" t="str">
            <v>HNSCC</v>
          </cell>
          <cell r="AC778" t="str">
            <v>Larynx</v>
          </cell>
          <cell r="AD778" t="str">
            <v>Right Superglotis</v>
          </cell>
          <cell r="AE778" t="str">
            <v>Male</v>
          </cell>
          <cell r="AF778">
            <v>77</v>
          </cell>
          <cell r="AG778" t="str">
            <v>N</v>
          </cell>
          <cell r="AH778">
            <v>4.5</v>
          </cell>
          <cell r="AI778" t="str">
            <v>Kalappa</v>
          </cell>
          <cell r="AJ778" t="str">
            <v>Surgery</v>
          </cell>
          <cell r="AK778" t="str">
            <v>Primary</v>
          </cell>
          <cell r="AN778" t="str">
            <v>III</v>
          </cell>
          <cell r="AO778">
            <v>3</v>
          </cell>
          <cell r="AP778" t="str">
            <v>T3N0</v>
          </cell>
          <cell r="AS778" t="str">
            <v>basaloid scc</v>
          </cell>
          <cell r="AT778" t="str">
            <v>RT</v>
          </cell>
          <cell r="AV778">
            <v>45257</v>
          </cell>
          <cell r="AW778">
            <v>0.62291666666666667</v>
          </cell>
          <cell r="AX778">
            <v>0.70833333333333337</v>
          </cell>
          <cell r="AY778">
            <v>8.5416666666666669E-2</v>
          </cell>
          <cell r="AZ778">
            <v>0.1076388888888889</v>
          </cell>
          <cell r="BA778">
            <v>0.16597222222222222</v>
          </cell>
          <cell r="BB778" t="str">
            <v>0.6/1.1*1.4/0.8*1.4</v>
          </cell>
          <cell r="BD778" t="str">
            <v>Vibratome</v>
          </cell>
          <cell r="BE778">
            <v>14</v>
          </cell>
          <cell r="BF778" t="str">
            <v>Mouniss</v>
          </cell>
          <cell r="BG778" t="str">
            <v>Y</v>
          </cell>
        </row>
        <row r="779">
          <cell r="A779" t="str">
            <v>FBR1Y230347</v>
          </cell>
          <cell r="B779">
            <v>230347</v>
          </cell>
          <cell r="C779" t="str">
            <v>R&amp;D</v>
          </cell>
          <cell r="D779">
            <v>45257</v>
          </cell>
          <cell r="E779">
            <v>0.54861111111111116</v>
          </cell>
          <cell r="F779">
            <v>45231</v>
          </cell>
          <cell r="G779">
            <v>45257</v>
          </cell>
          <cell r="H779">
            <v>0.64444444444444449</v>
          </cell>
          <cell r="I779">
            <v>9.583333333333334E-2</v>
          </cell>
          <cell r="J779">
            <v>15</v>
          </cell>
          <cell r="K779" t="str">
            <v>FCB-PROTOCOL-02</v>
          </cell>
          <cell r="L779" t="str">
            <v>HN101</v>
          </cell>
          <cell r="M779" t="str">
            <v>Y</v>
          </cell>
          <cell r="N779" t="str">
            <v>CCS Study (1Y)</v>
          </cell>
          <cell r="O779" t="str">
            <v>Internal R&amp;D</v>
          </cell>
          <cell r="P779" t="str">
            <v>Q1 Passed</v>
          </cell>
          <cell r="Q779" t="str">
            <v>Q1 Passed</v>
          </cell>
          <cell r="R779" t="str">
            <v>Compromised</v>
          </cell>
          <cell r="S779" t="str">
            <v>Q1.5 Passed</v>
          </cell>
          <cell r="V779" t="str">
            <v>Tumor content 20-96%</v>
          </cell>
          <cell r="W779" t="str">
            <v>Private Hospital</v>
          </cell>
          <cell r="X779" t="str">
            <v>Mazumdar Shaw Medical Centre, Bangalore</v>
          </cell>
          <cell r="Y779" t="str">
            <v>Mazumdar Shaw Medical Centre, Bangalore</v>
          </cell>
          <cell r="Z779" t="str">
            <v>Dr Vijay Pillai, Bangalore</v>
          </cell>
          <cell r="AA779" t="str">
            <v>HNSCC</v>
          </cell>
          <cell r="AC779" t="str">
            <v>Tongue</v>
          </cell>
          <cell r="AD779" t="str">
            <v>Lateral Tongue</v>
          </cell>
          <cell r="AE779" t="str">
            <v>Female</v>
          </cell>
          <cell r="AF779">
            <v>76</v>
          </cell>
          <cell r="AG779" t="str">
            <v>N</v>
          </cell>
          <cell r="AH779">
            <v>4.8</v>
          </cell>
          <cell r="AI779" t="str">
            <v>Shashi</v>
          </cell>
          <cell r="AJ779" t="str">
            <v>Surgery</v>
          </cell>
          <cell r="AK779" t="str">
            <v>Primary</v>
          </cell>
          <cell r="AN779" t="str">
            <v>II</v>
          </cell>
          <cell r="AO779">
            <v>2</v>
          </cell>
          <cell r="AP779" t="str">
            <v>pT2pN0</v>
          </cell>
          <cell r="AS779" t="str">
            <v>MDSCC(Moderately Differentiated Squamous cell carcinoma)</v>
          </cell>
          <cell r="AV779">
            <v>45257</v>
          </cell>
          <cell r="AW779">
            <v>0.65625</v>
          </cell>
          <cell r="AX779">
            <v>0.69791666666666663</v>
          </cell>
          <cell r="AY779">
            <v>4.1666666666666664E-2</v>
          </cell>
          <cell r="AZ779">
            <v>5.347222222222222E-2</v>
          </cell>
          <cell r="BA779">
            <v>0.14930555555555555</v>
          </cell>
          <cell r="BB779" t="str">
            <v>0.3*0.6*0.6</v>
          </cell>
          <cell r="BD779" t="str">
            <v>Manual</v>
          </cell>
          <cell r="BE779">
            <v>14</v>
          </cell>
          <cell r="BF779" t="str">
            <v>chandan</v>
          </cell>
          <cell r="BG779" t="str">
            <v>Y</v>
          </cell>
        </row>
        <row r="780">
          <cell r="A780" t="str">
            <v>FBR1W230348</v>
          </cell>
          <cell r="B780">
            <v>230348</v>
          </cell>
          <cell r="C780" t="str">
            <v>R&amp;D</v>
          </cell>
          <cell r="D780">
            <v>45258</v>
          </cell>
          <cell r="E780">
            <v>0.57638888888888884</v>
          </cell>
          <cell r="F780">
            <v>45231</v>
          </cell>
          <cell r="G780">
            <v>45258</v>
          </cell>
          <cell r="H780">
            <v>0.63263888888888886</v>
          </cell>
          <cell r="I780">
            <v>5.6250000000000001E-2</v>
          </cell>
          <cell r="J780">
            <v>2</v>
          </cell>
          <cell r="K780" t="str">
            <v>FCB-PROTOCOL-01</v>
          </cell>
          <cell r="L780" t="str">
            <v>VYD/227</v>
          </cell>
          <cell r="M780" t="str">
            <v>Y</v>
          </cell>
          <cell r="N780" t="str">
            <v>Biopsy Cabr-BSS (1W)</v>
          </cell>
          <cell r="O780" t="str">
            <v>Internal R&amp;D</v>
          </cell>
          <cell r="P780" t="str">
            <v>Q1 Passed</v>
          </cell>
          <cell r="Q780" t="str">
            <v>Q1 Passed</v>
          </cell>
          <cell r="R780" t="str">
            <v>Q1.5 Passed</v>
          </cell>
          <cell r="S780" t="str">
            <v>Q1.5 Passed</v>
          </cell>
          <cell r="V780" t="str">
            <v>Tumor content 4-35%</v>
          </cell>
          <cell r="W780" t="str">
            <v>Private Hospital</v>
          </cell>
          <cell r="X780" t="str">
            <v>Vydehi Hospital, Bangalore</v>
          </cell>
          <cell r="Y780" t="str">
            <v>Vydehi Hospital, Bangalore</v>
          </cell>
          <cell r="Z780" t="str">
            <v>Dr Amritha Prabha, Bangalore</v>
          </cell>
          <cell r="AA780" t="str">
            <v>Ca Breast</v>
          </cell>
          <cell r="AB780" t="str">
            <v>Er (+)
Pr(+)
Her2 (-)</v>
          </cell>
          <cell r="AC780" t="str">
            <v>Breast</v>
          </cell>
          <cell r="AD780" t="str">
            <v>Left Breast</v>
          </cell>
          <cell r="AE780" t="str">
            <v>Female</v>
          </cell>
          <cell r="AF780">
            <v>35</v>
          </cell>
          <cell r="AG780" t="str">
            <v>N</v>
          </cell>
          <cell r="AH780">
            <v>4.5999999999999996</v>
          </cell>
          <cell r="AI780" t="str">
            <v>Partha</v>
          </cell>
          <cell r="AJ780" t="str">
            <v>Surgery</v>
          </cell>
          <cell r="AK780" t="str">
            <v>Primary</v>
          </cell>
          <cell r="AN780" t="str">
            <v>I</v>
          </cell>
          <cell r="AO780">
            <v>1</v>
          </cell>
          <cell r="AP780" t="str">
            <v>T1N0</v>
          </cell>
          <cell r="AT780" t="str">
            <v>CT</v>
          </cell>
          <cell r="AU780" t="str">
            <v>Docetaxel, Carboplatin</v>
          </cell>
          <cell r="AV780">
            <v>45258</v>
          </cell>
          <cell r="AW780">
            <v>0.65208333333333335</v>
          </cell>
          <cell r="AX780">
            <v>0.76388888888888884</v>
          </cell>
          <cell r="AY780">
            <v>0.11180555555555556</v>
          </cell>
          <cell r="AZ780">
            <v>0.13125000000000001</v>
          </cell>
          <cell r="BA780">
            <v>0.1875</v>
          </cell>
          <cell r="BB780" t="str">
            <v>0.5/0.6*1.6/0.8*2.4</v>
          </cell>
          <cell r="BC780" t="str">
            <v>0.4/0.5*0.9/0.7*2.0</v>
          </cell>
          <cell r="BD780" t="str">
            <v>Manual</v>
          </cell>
          <cell r="BE780">
            <v>14</v>
          </cell>
          <cell r="BF780" t="str">
            <v xml:space="preserve">sai </v>
          </cell>
          <cell r="BG780" t="str">
            <v>Y</v>
          </cell>
        </row>
        <row r="781">
          <cell r="A781" t="str">
            <v>FBB1L230349</v>
          </cell>
          <cell r="B781">
            <v>230349</v>
          </cell>
          <cell r="C781" t="str">
            <v>Biopharma</v>
          </cell>
          <cell r="D781">
            <v>45258</v>
          </cell>
          <cell r="E781">
            <v>0.46875</v>
          </cell>
          <cell r="F781">
            <v>45231</v>
          </cell>
          <cell r="G781">
            <v>45258</v>
          </cell>
          <cell r="H781">
            <v>0.65416666666666667</v>
          </cell>
          <cell r="I781">
            <v>0.18541666666666667</v>
          </cell>
          <cell r="J781">
            <v>2</v>
          </cell>
          <cell r="K781" t="str">
            <v>FCB-PROTOCOL-01</v>
          </cell>
          <cell r="L781" t="str">
            <v>JSS-006</v>
          </cell>
          <cell r="M781" t="str">
            <v>Y</v>
          </cell>
          <cell r="N781" t="str">
            <v>BP010 (1L)</v>
          </cell>
          <cell r="O781" t="str">
            <v>Biopharma</v>
          </cell>
          <cell r="P781" t="str">
            <v>Q1 Passed</v>
          </cell>
          <cell r="Q781" t="str">
            <v>Q1 Passed</v>
          </cell>
          <cell r="R781" t="str">
            <v>Q1.5 Passed</v>
          </cell>
          <cell r="S781" t="str">
            <v>Q1.5 Rejected</v>
          </cell>
          <cell r="T781" t="str">
            <v>No Tumor</v>
          </cell>
          <cell r="V781" t="str">
            <v>Tumor in 2/6 fragments, others no tumor. Necrosis high. Tumor content 0-45% Immune content 1-25%</v>
          </cell>
          <cell r="W781" t="str">
            <v>Clinic'les</v>
          </cell>
          <cell r="X781" t="str">
            <v>Clinic'les- Dr Ravi Krishnappa, Mysore</v>
          </cell>
          <cell r="Y781" t="str">
            <v>JSS Hospital, Mysore</v>
          </cell>
          <cell r="Z781" t="str">
            <v>Dr Manjunath</v>
          </cell>
          <cell r="AA781" t="str">
            <v>RCC</v>
          </cell>
          <cell r="AC781" t="str">
            <v>Kidney</v>
          </cell>
          <cell r="AD781" t="str">
            <v>Right Kidney</v>
          </cell>
          <cell r="AE781" t="str">
            <v>Male</v>
          </cell>
          <cell r="AF781">
            <v>50</v>
          </cell>
          <cell r="AG781" t="str">
            <v>N</v>
          </cell>
          <cell r="AH781">
            <v>5.2</v>
          </cell>
          <cell r="AI781" t="str">
            <v>Kalappa</v>
          </cell>
          <cell r="AJ781" t="str">
            <v>Surgery</v>
          </cell>
          <cell r="AK781" t="str">
            <v>Primary</v>
          </cell>
          <cell r="AL781" t="str">
            <v>Chemotherapy</v>
          </cell>
          <cell r="AN781" t="str">
            <v>II</v>
          </cell>
          <cell r="AP781" t="str">
            <v>pT2N1M1</v>
          </cell>
          <cell r="AQ781">
            <v>13</v>
          </cell>
          <cell r="AR781" t="str">
            <v>Pembro+Axitinib</v>
          </cell>
          <cell r="AV781">
            <v>45258</v>
          </cell>
          <cell r="AW781">
            <v>0.67986111111111114</v>
          </cell>
          <cell r="AX781">
            <v>0.78819444444444442</v>
          </cell>
          <cell r="AY781">
            <v>0.10833333333333334</v>
          </cell>
          <cell r="AZ781">
            <v>0.13402777777777777</v>
          </cell>
          <cell r="BA781">
            <v>0.31944444444444442</v>
          </cell>
          <cell r="BB781" t="str">
            <v>1.4*1.8*2.1</v>
          </cell>
          <cell r="BD781" t="str">
            <v>Vibratome</v>
          </cell>
          <cell r="BE781">
            <v>14</v>
          </cell>
          <cell r="BF781" t="str">
            <v>Syam</v>
          </cell>
          <cell r="BG781" t="str">
            <v>Y</v>
          </cell>
        </row>
        <row r="782">
          <cell r="A782" t="str">
            <v>FBR1W230350</v>
          </cell>
          <cell r="B782">
            <v>230350</v>
          </cell>
          <cell r="C782" t="str">
            <v>R&amp;D</v>
          </cell>
          <cell r="D782">
            <v>45259</v>
          </cell>
          <cell r="E782">
            <v>0.51527777777777772</v>
          </cell>
          <cell r="F782">
            <v>45231</v>
          </cell>
          <cell r="G782">
            <v>45259</v>
          </cell>
          <cell r="H782">
            <v>0.60138888888888886</v>
          </cell>
          <cell r="I782">
            <v>8.611111111111111E-2</v>
          </cell>
          <cell r="J782">
            <v>1</v>
          </cell>
          <cell r="K782" t="str">
            <v>FCB-PROTOCOL-01</v>
          </cell>
          <cell r="L782" t="str">
            <v>VYD/228</v>
          </cell>
          <cell r="M782" t="str">
            <v>Y</v>
          </cell>
          <cell r="N782" t="str">
            <v>Biopsy Cabr-BSS (1W)</v>
          </cell>
          <cell r="O782" t="str">
            <v>Internal R&amp;D</v>
          </cell>
          <cell r="P782" t="str">
            <v>Q1 Passed</v>
          </cell>
          <cell r="Q782" t="str">
            <v>Q1 Passed</v>
          </cell>
          <cell r="R782" t="str">
            <v>Q1.5 Passed</v>
          </cell>
          <cell r="S782" t="str">
            <v>Q1.5 Rejected</v>
          </cell>
          <cell r="T782" t="str">
            <v>No Tumor</v>
          </cell>
          <cell r="V782" t="str">
            <v>No tumor</v>
          </cell>
          <cell r="W782" t="str">
            <v>Private Hospital</v>
          </cell>
          <cell r="X782" t="str">
            <v>Vydehi Hospital, Bangalore</v>
          </cell>
          <cell r="Y782" t="str">
            <v>Vydehi Hospital, Bangalore</v>
          </cell>
          <cell r="Z782" t="str">
            <v>Dr Amritha Prabha, Bangalore</v>
          </cell>
          <cell r="AA782" t="str">
            <v>Ca Breast</v>
          </cell>
          <cell r="AB782" t="str">
            <v>TNBC</v>
          </cell>
          <cell r="AC782" t="str">
            <v>Breast</v>
          </cell>
          <cell r="AD782" t="str">
            <v>Breast</v>
          </cell>
          <cell r="AE782" t="str">
            <v>Female</v>
          </cell>
          <cell r="AF782">
            <v>35</v>
          </cell>
          <cell r="AG782" t="str">
            <v>N</v>
          </cell>
          <cell r="AH782">
            <v>4.5</v>
          </cell>
          <cell r="AI782" t="str">
            <v>Maruthi</v>
          </cell>
          <cell r="AJ782" t="str">
            <v>Surgery</v>
          </cell>
          <cell r="AK782" t="str">
            <v>Primary</v>
          </cell>
          <cell r="AL782" t="str">
            <v>Chemotherapy</v>
          </cell>
          <cell r="AQ782">
            <v>8</v>
          </cell>
          <cell r="AR782" t="str">
            <v>4 AC +4 Pacli</v>
          </cell>
          <cell r="AV782">
            <v>45259</v>
          </cell>
          <cell r="AW782">
            <v>0.625</v>
          </cell>
          <cell r="AX782">
            <v>0.72569444444444442</v>
          </cell>
          <cell r="AY782">
            <v>0.10069444444444445</v>
          </cell>
          <cell r="AZ782">
            <v>0.12430555555555556</v>
          </cell>
          <cell r="BA782">
            <v>0.21041666666666667</v>
          </cell>
          <cell r="BB782" t="str">
            <v>0.2/0.4*0.8/1.2*1.6/2.2</v>
          </cell>
          <cell r="BC782" t="str">
            <v>0.2/0.4*0.6/1.2*1.2/1.4</v>
          </cell>
          <cell r="BD782" t="str">
            <v>Manual</v>
          </cell>
          <cell r="BE782">
            <v>14</v>
          </cell>
          <cell r="BF782" t="str">
            <v xml:space="preserve">sai </v>
          </cell>
          <cell r="BG782" t="str">
            <v>Y</v>
          </cell>
        </row>
        <row r="783">
          <cell r="A783" t="str">
            <v>FBR1Y230351</v>
          </cell>
          <cell r="B783">
            <v>230351</v>
          </cell>
          <cell r="C783" t="str">
            <v>R&amp;D</v>
          </cell>
          <cell r="D783">
            <v>45259</v>
          </cell>
          <cell r="E783">
            <v>0.58750000000000002</v>
          </cell>
          <cell r="F783">
            <v>45231</v>
          </cell>
          <cell r="G783">
            <v>45259</v>
          </cell>
          <cell r="H783">
            <v>0.65833333333333333</v>
          </cell>
          <cell r="I783">
            <v>7.0833333333333331E-2</v>
          </cell>
          <cell r="J783">
            <v>9</v>
          </cell>
          <cell r="K783" t="str">
            <v>FCB-PROTOCOL-02</v>
          </cell>
          <cell r="L783" t="str">
            <v>HN102</v>
          </cell>
          <cell r="M783" t="str">
            <v>Y</v>
          </cell>
          <cell r="N783" t="str">
            <v>CCS Study (1Y)</v>
          </cell>
          <cell r="O783" t="str">
            <v>Internal R&amp;D</v>
          </cell>
          <cell r="P783" t="str">
            <v>Q1 Passed</v>
          </cell>
          <cell r="Q783" t="str">
            <v>Q1 Passed</v>
          </cell>
          <cell r="R783" t="str">
            <v>Compromised</v>
          </cell>
          <cell r="S783" t="str">
            <v>Q1.5 Passed</v>
          </cell>
          <cell r="V783" t="str">
            <v>Tumor content 35-96%</v>
          </cell>
          <cell r="W783" t="str">
            <v>Private Hospital</v>
          </cell>
          <cell r="X783" t="str">
            <v>Mazumdar Shaw Medical Centre, Bangalore</v>
          </cell>
          <cell r="Y783" t="str">
            <v>Mazumdar Shaw Medical Centre, Bangalore</v>
          </cell>
          <cell r="Z783" t="str">
            <v>Dr Vijay Pillai, Bangalore</v>
          </cell>
          <cell r="AA783" t="str">
            <v>HNSCC</v>
          </cell>
          <cell r="AC783" t="str">
            <v>Buccal mucosa</v>
          </cell>
          <cell r="AD783" t="str">
            <v>Right Buccal Mucosa</v>
          </cell>
          <cell r="AE783" t="str">
            <v>Male</v>
          </cell>
          <cell r="AF783">
            <v>48</v>
          </cell>
          <cell r="AG783" t="str">
            <v>N</v>
          </cell>
          <cell r="AH783">
            <v>4.9000000000000004</v>
          </cell>
          <cell r="AI783" t="str">
            <v>Shashi</v>
          </cell>
          <cell r="AJ783" t="str">
            <v>Surgery</v>
          </cell>
          <cell r="AK783" t="str">
            <v>Primary</v>
          </cell>
          <cell r="AN783" t="str">
            <v>IV</v>
          </cell>
          <cell r="AO783">
            <v>3</v>
          </cell>
          <cell r="AP783" t="str">
            <v>pT4apN3b</v>
          </cell>
          <cell r="AS783" t="str">
            <v xml:space="preserve">Poorly differentiated squamous cell carcinoma.
</v>
          </cell>
          <cell r="AV783">
            <v>45259</v>
          </cell>
          <cell r="AW783">
            <v>0.68055555555555558</v>
          </cell>
          <cell r="AX783">
            <v>0.72916666666666663</v>
          </cell>
          <cell r="AY783">
            <v>4.8611111111111112E-2</v>
          </cell>
          <cell r="AZ783">
            <v>7.0833333333333331E-2</v>
          </cell>
          <cell r="BA783">
            <v>0.14166666666666666</v>
          </cell>
          <cell r="BB783" t="str">
            <v>0.3*0.6/0.8*0.8
0.2*0.3*0.6</v>
          </cell>
          <cell r="BD783" t="str">
            <v>Manual</v>
          </cell>
          <cell r="BE783">
            <v>14</v>
          </cell>
          <cell r="BF783" t="str">
            <v>Syam</v>
          </cell>
          <cell r="BG783" t="str">
            <v>Y</v>
          </cell>
        </row>
        <row r="784">
          <cell r="A784" t="str">
            <v>FBR1W230352</v>
          </cell>
          <cell r="B784">
            <v>230352</v>
          </cell>
          <cell r="C784" t="str">
            <v>R&amp;D</v>
          </cell>
          <cell r="D784">
            <v>45259</v>
          </cell>
          <cell r="E784">
            <v>0.44513888888888886</v>
          </cell>
          <cell r="F784">
            <v>45231</v>
          </cell>
          <cell r="G784">
            <v>45259</v>
          </cell>
          <cell r="H784">
            <v>0.67222222222222228</v>
          </cell>
          <cell r="I784">
            <v>0.22708333333333333</v>
          </cell>
          <cell r="J784">
            <v>2</v>
          </cell>
          <cell r="K784" t="str">
            <v>FCB-PROTOCOL-01</v>
          </cell>
          <cell r="L784" t="str">
            <v>JSS-007</v>
          </cell>
          <cell r="M784" t="str">
            <v>Y</v>
          </cell>
          <cell r="N784" t="str">
            <v>CCS Study (1Y)</v>
          </cell>
          <cell r="O784" t="str">
            <v>Internal R&amp;D</v>
          </cell>
          <cell r="P784" t="str">
            <v>Q1 Passed</v>
          </cell>
          <cell r="Q784" t="str">
            <v>Q1 Passed</v>
          </cell>
          <cell r="R784" t="str">
            <v>Q1.5 Passed</v>
          </cell>
          <cell r="S784" t="str">
            <v>Q1.5 Rejected</v>
          </cell>
          <cell r="T784" t="str">
            <v>No Tumor</v>
          </cell>
          <cell r="V784" t="str">
            <v>No tumor</v>
          </cell>
          <cell r="W784" t="str">
            <v>Private Hospital</v>
          </cell>
          <cell r="X784" t="str">
            <v>Clinic'les- Dr Ravi Krishnappa, Mysore</v>
          </cell>
          <cell r="Y784" t="str">
            <v>JSS Hospital, Mysore</v>
          </cell>
          <cell r="Z784" t="str">
            <v>Dr Kiran</v>
          </cell>
          <cell r="AA784" t="str">
            <v>Ca Breast</v>
          </cell>
          <cell r="AC784" t="str">
            <v>Breast</v>
          </cell>
          <cell r="AD784" t="str">
            <v>Left Breast</v>
          </cell>
          <cell r="AE784" t="str">
            <v>Female</v>
          </cell>
          <cell r="AF784">
            <v>58</v>
          </cell>
          <cell r="AG784" t="str">
            <v>N</v>
          </cell>
          <cell r="AH784">
            <v>5.8</v>
          </cell>
          <cell r="AI784" t="str">
            <v>Kalappa</v>
          </cell>
          <cell r="AJ784" t="str">
            <v>Biopsy</v>
          </cell>
          <cell r="AK784" t="str">
            <v>Primary</v>
          </cell>
          <cell r="AV784">
            <v>45259</v>
          </cell>
          <cell r="AW784">
            <v>0.68819444444444444</v>
          </cell>
          <cell r="AX784">
            <v>0.71597222222222223</v>
          </cell>
          <cell r="AY784">
            <v>2.7777777777777776E-2</v>
          </cell>
          <cell r="AZ784">
            <v>4.3749999999999997E-2</v>
          </cell>
          <cell r="BA784">
            <v>0.27083333333333331</v>
          </cell>
          <cell r="BB784" t="str">
            <v>2 Cores
0.1*0.1*0.1</v>
          </cell>
          <cell r="BD784" t="str">
            <v>Manual</v>
          </cell>
          <cell r="BE784">
            <v>14</v>
          </cell>
          <cell r="BF784" t="str">
            <v>kuberan</v>
          </cell>
          <cell r="BG784" t="str">
            <v>Y</v>
          </cell>
        </row>
        <row r="785">
          <cell r="A785" t="str">
            <v>FBB1K230353</v>
          </cell>
          <cell r="B785">
            <v>230353</v>
          </cell>
          <cell r="C785" t="str">
            <v>Biopharma</v>
          </cell>
          <cell r="D785">
            <v>45260</v>
          </cell>
          <cell r="E785">
            <v>0.31388888888888888</v>
          </cell>
          <cell r="F785">
            <v>45231</v>
          </cell>
          <cell r="G785">
            <v>45260</v>
          </cell>
          <cell r="H785">
            <v>0.52916666666666667</v>
          </cell>
          <cell r="I785">
            <v>0.21527777777777779</v>
          </cell>
          <cell r="J785">
            <v>3</v>
          </cell>
          <cell r="K785" t="str">
            <v>FCB-PROTOCOL-01</v>
          </cell>
          <cell r="L785" t="str">
            <v>CLN/PRA/236</v>
          </cell>
          <cell r="M785" t="str">
            <v>Y</v>
          </cell>
          <cell r="P785" t="str">
            <v>Q1 Passed</v>
          </cell>
          <cell r="Q785" t="str">
            <v>Q1 Passed</v>
          </cell>
          <cell r="R785" t="str">
            <v>Q1.5 Passed</v>
          </cell>
          <cell r="S785" t="str">
            <v>Q1.5 Rejected</v>
          </cell>
          <cell r="T785" t="str">
            <v>No Tumor</v>
          </cell>
          <cell r="V785" t="str">
            <v>Only 1 explant has 4% tumor, others no tumor. Inflammation present with high immune content</v>
          </cell>
          <cell r="W785" t="str">
            <v>Private Hospital</v>
          </cell>
          <cell r="X785" t="str">
            <v>Dr Prakash BV, Bangalore</v>
          </cell>
          <cell r="Y785" t="str">
            <v>Sri Lakshmi Hospital, Bangalore</v>
          </cell>
          <cell r="Z785" t="str">
            <v>Dr Prakash BV, Bangalore</v>
          </cell>
          <cell r="AA785" t="str">
            <v>HNSCC</v>
          </cell>
          <cell r="AC785" t="str">
            <v>Buccal mucosa</v>
          </cell>
          <cell r="AD785" t="str">
            <v>Left Buccal Mucosa</v>
          </cell>
          <cell r="AE785" t="str">
            <v>Female</v>
          </cell>
          <cell r="AF785">
            <v>70</v>
          </cell>
          <cell r="AG785" t="str">
            <v>N</v>
          </cell>
          <cell r="AH785">
            <v>4.5999999999999996</v>
          </cell>
          <cell r="AI785" t="str">
            <v>Partha</v>
          </cell>
          <cell r="AJ785" t="str">
            <v>Surgery</v>
          </cell>
          <cell r="AK785" t="str">
            <v>Primary</v>
          </cell>
          <cell r="AN785" t="str">
            <v>II</v>
          </cell>
          <cell r="AO785">
            <v>2</v>
          </cell>
          <cell r="AP785" t="str">
            <v>pT2N0M0</v>
          </cell>
          <cell r="AV785">
            <v>45260</v>
          </cell>
          <cell r="AW785">
            <v>0.54861111111111116</v>
          </cell>
          <cell r="AX785">
            <v>0.65416666666666667</v>
          </cell>
          <cell r="AY785">
            <v>0.10555555555555556</v>
          </cell>
          <cell r="AZ785">
            <v>0.125</v>
          </cell>
          <cell r="BA785">
            <v>0.34027777777777779</v>
          </cell>
          <cell r="BB785" t="str">
            <v>0.6/0.4*0.6*0.8/0.9
0.2*0.7/0.8*1.7</v>
          </cell>
          <cell r="BD785" t="str">
            <v>Vibratome</v>
          </cell>
          <cell r="BE785">
            <v>14</v>
          </cell>
          <cell r="BF785" t="str">
            <v>Syam</v>
          </cell>
          <cell r="BG785" t="str">
            <v>Y</v>
          </cell>
        </row>
        <row r="786">
          <cell r="A786" t="str">
            <v>FBB1K230354</v>
          </cell>
          <cell r="B786">
            <v>230354</v>
          </cell>
          <cell r="C786" t="str">
            <v>Biopharma</v>
          </cell>
          <cell r="D786">
            <v>45260</v>
          </cell>
          <cell r="E786">
            <v>0.46319444444444446</v>
          </cell>
          <cell r="F786">
            <v>45231</v>
          </cell>
          <cell r="G786">
            <v>45260</v>
          </cell>
          <cell r="H786">
            <v>0.52916666666666667</v>
          </cell>
          <cell r="I786">
            <v>6.5972222222222224E-2</v>
          </cell>
          <cell r="J786">
            <v>1</v>
          </cell>
          <cell r="K786" t="str">
            <v>FCB-PROTOCOL-01</v>
          </cell>
          <cell r="L786" t="str">
            <v>CLN/PRA/237</v>
          </cell>
          <cell r="M786" t="str">
            <v>Y</v>
          </cell>
          <cell r="P786" t="str">
            <v>Q1 Passed</v>
          </cell>
          <cell r="Q786" t="str">
            <v>Q1 Passed</v>
          </cell>
          <cell r="R786" t="str">
            <v>Q1.5 Passed</v>
          </cell>
          <cell r="S786" t="str">
            <v>Q1.5 Rejected</v>
          </cell>
          <cell r="T786" t="str">
            <v>tumor content less then 15%, So Not fit for biopharma study</v>
          </cell>
          <cell r="V786" t="str">
            <v>Tumor content 3-25%</v>
          </cell>
          <cell r="W786" t="str">
            <v>Private Hospital</v>
          </cell>
          <cell r="X786" t="str">
            <v>Dr Prakash BV, Bangalore</v>
          </cell>
          <cell r="Y786" t="str">
            <v>Sri Lakshmi Hospital, Bangalore</v>
          </cell>
          <cell r="Z786" t="str">
            <v>Dr Prakash BV, Bangalore</v>
          </cell>
          <cell r="AA786" t="str">
            <v>HNSCC</v>
          </cell>
          <cell r="AC786" t="str">
            <v>Larynx</v>
          </cell>
          <cell r="AD786" t="str">
            <v>Larynx</v>
          </cell>
          <cell r="AE786" t="str">
            <v>Male</v>
          </cell>
          <cell r="AF786">
            <v>65</v>
          </cell>
          <cell r="AG786" t="str">
            <v>N</v>
          </cell>
          <cell r="AH786">
            <v>4.5999999999999996</v>
          </cell>
          <cell r="AI786" t="str">
            <v>Partha</v>
          </cell>
          <cell r="AJ786" t="str">
            <v>Surgery</v>
          </cell>
          <cell r="AK786" t="str">
            <v>Primary</v>
          </cell>
          <cell r="AN786" t="str">
            <v>II</v>
          </cell>
          <cell r="AO786">
            <v>2</v>
          </cell>
          <cell r="AP786" t="str">
            <v>pT3N1M0</v>
          </cell>
          <cell r="AV786">
            <v>45260</v>
          </cell>
          <cell r="AW786">
            <v>0.54513888888888884</v>
          </cell>
          <cell r="AX786">
            <v>0.62847222222222221</v>
          </cell>
          <cell r="AY786">
            <v>8.3333333333333329E-2</v>
          </cell>
          <cell r="AZ786">
            <v>9.930555555555555E-2</v>
          </cell>
          <cell r="BA786">
            <v>0.16527777777777777</v>
          </cell>
          <cell r="BB786" t="str">
            <v>0.6*1.0/0.7*2.3
0.2*0.6*2.3</v>
          </cell>
          <cell r="BD786" t="str">
            <v>Vibratome</v>
          </cell>
          <cell r="BE786">
            <v>14</v>
          </cell>
          <cell r="BF786" t="str">
            <v>Dharani</v>
          </cell>
          <cell r="BG786" t="str">
            <v>Y</v>
          </cell>
        </row>
        <row r="787">
          <cell r="A787" t="str">
            <v>FBR1Y230355</v>
          </cell>
          <cell r="B787">
            <v>230355</v>
          </cell>
          <cell r="C787" t="str">
            <v>R&amp;D</v>
          </cell>
          <cell r="D787">
            <v>45261</v>
          </cell>
          <cell r="E787">
            <v>0.55555555555555558</v>
          </cell>
          <cell r="F787">
            <v>45261</v>
          </cell>
          <cell r="G787">
            <v>45261</v>
          </cell>
          <cell r="H787">
            <v>0.625</v>
          </cell>
          <cell r="I787">
            <v>6.9444444444444448E-2</v>
          </cell>
          <cell r="J787">
            <v>10</v>
          </cell>
          <cell r="K787" t="str">
            <v>FCB-PROTOCOL-02</v>
          </cell>
          <cell r="L787" t="str">
            <v>HN103</v>
          </cell>
          <cell r="M787" t="str">
            <v>Y</v>
          </cell>
          <cell r="P787" t="str">
            <v>Q1 Passed</v>
          </cell>
          <cell r="Q787" t="str">
            <v>Q1 Passed</v>
          </cell>
          <cell r="R787" t="str">
            <v>Compromised</v>
          </cell>
          <cell r="S787" t="str">
            <v>Q1.5 Passed</v>
          </cell>
          <cell r="V787" t="str">
            <v>Tumor content 15-80%</v>
          </cell>
          <cell r="W787" t="str">
            <v>Private Hospital</v>
          </cell>
          <cell r="X787" t="str">
            <v>Mazumdar Shaw Medical Centre, Bangalore</v>
          </cell>
          <cell r="Y787" t="str">
            <v>Mazumdar Shaw Medical Centre, Bangalore</v>
          </cell>
          <cell r="Z787" t="str">
            <v>Dr Vijay Pillai, Bangalore</v>
          </cell>
          <cell r="AA787" t="str">
            <v>HNSCC</v>
          </cell>
          <cell r="AC787" t="str">
            <v>Tongue</v>
          </cell>
          <cell r="AD787" t="str">
            <v>Tongue</v>
          </cell>
          <cell r="AE787" t="str">
            <v>Male</v>
          </cell>
          <cell r="AF787">
            <v>40</v>
          </cell>
          <cell r="AG787" t="str">
            <v>N</v>
          </cell>
          <cell r="AH787">
            <v>3.8</v>
          </cell>
          <cell r="AI787" t="str">
            <v>Partha</v>
          </cell>
          <cell r="AJ787" t="str">
            <v>Surgery</v>
          </cell>
          <cell r="AK787" t="str">
            <v>Primary</v>
          </cell>
          <cell r="AN787" t="str">
            <v>IV</v>
          </cell>
          <cell r="AO787">
            <v>2</v>
          </cell>
          <cell r="AP787" t="str">
            <v>ypT4aypN0</v>
          </cell>
          <cell r="AS787" t="str">
            <v>MDSCC(Moderately Differentiated Squamous cell carcinoma) with sarcomatoid</v>
          </cell>
          <cell r="AV787">
            <v>45261</v>
          </cell>
          <cell r="AW787">
            <v>0.64375000000000004</v>
          </cell>
          <cell r="AX787">
            <v>0.69444444444444442</v>
          </cell>
          <cell r="AY787">
            <v>5.0694444444444445E-2</v>
          </cell>
          <cell r="AZ787">
            <v>6.9444444444444448E-2</v>
          </cell>
          <cell r="BA787">
            <v>0.1388888888888889</v>
          </cell>
          <cell r="BB787" t="str">
            <v>0.1/0.2*0.8*1.0</v>
          </cell>
          <cell r="BD787" t="str">
            <v>Manual</v>
          </cell>
          <cell r="BE787">
            <v>15</v>
          </cell>
          <cell r="BF787" t="str">
            <v>Dharani</v>
          </cell>
          <cell r="BG787" t="str">
            <v>Y</v>
          </cell>
        </row>
        <row r="788">
          <cell r="A788" t="str">
            <v>FBR2A230356</v>
          </cell>
          <cell r="B788">
            <v>230356</v>
          </cell>
          <cell r="C788" t="str">
            <v>R&amp;D</v>
          </cell>
          <cell r="D788">
            <v>45261</v>
          </cell>
          <cell r="E788">
            <v>0.58333333333333337</v>
          </cell>
          <cell r="F788">
            <v>45261</v>
          </cell>
          <cell r="G788">
            <v>45261</v>
          </cell>
          <cell r="H788">
            <v>0.72152777777777777</v>
          </cell>
          <cell r="I788">
            <v>0.13819444444444445</v>
          </cell>
          <cell r="J788">
            <v>5</v>
          </cell>
          <cell r="K788" t="str">
            <v>FCB-PROTOCOL-01</v>
          </cell>
          <cell r="L788" t="str">
            <v>JSS-008</v>
          </cell>
          <cell r="M788" t="str">
            <v>Y</v>
          </cell>
          <cell r="P788" t="str">
            <v>Q1 Passed</v>
          </cell>
          <cell r="Q788" t="str">
            <v>Q1 Rejected</v>
          </cell>
          <cell r="R788" t="str">
            <v>Compromised</v>
          </cell>
          <cell r="S788" t="str">
            <v>Q1.5 Passed</v>
          </cell>
          <cell r="T788" t="str">
            <v>Blood Clotted</v>
          </cell>
          <cell r="V788" t="str">
            <v>Tumor content 0-85%</v>
          </cell>
          <cell r="W788" t="str">
            <v>Clinic'les</v>
          </cell>
          <cell r="X788" t="str">
            <v>Clinic'les- Dr Ravi Krishnappa, Mysore</v>
          </cell>
          <cell r="Y788" t="str">
            <v>JSS Hospital, Mysore</v>
          </cell>
          <cell r="Z788" t="str">
            <v>Dr Ravi Krishnappa, Mysore</v>
          </cell>
          <cell r="AA788" t="str">
            <v>Ca Ovary</v>
          </cell>
          <cell r="AC788" t="str">
            <v>Peritoneal</v>
          </cell>
          <cell r="AD788" t="str">
            <v>Peritineal</v>
          </cell>
          <cell r="AE788" t="str">
            <v>Female</v>
          </cell>
          <cell r="AF788">
            <v>50</v>
          </cell>
          <cell r="AG788" t="str">
            <v>N</v>
          </cell>
          <cell r="AH788">
            <v>4.5</v>
          </cell>
          <cell r="AI788" t="str">
            <v>Kalappa</v>
          </cell>
          <cell r="AJ788" t="str">
            <v>Surgery</v>
          </cell>
          <cell r="AK788" t="str">
            <v>Metastatic</v>
          </cell>
          <cell r="AV788">
            <v>45261</v>
          </cell>
          <cell r="AW788">
            <v>0.73819444444444449</v>
          </cell>
          <cell r="AX788">
            <v>0.78333333333333333</v>
          </cell>
          <cell r="AY788">
            <v>4.5138888888888888E-2</v>
          </cell>
          <cell r="AZ788">
            <v>6.1805555555555558E-2</v>
          </cell>
          <cell r="BA788">
            <v>0.2</v>
          </cell>
          <cell r="BB788" t="str">
            <v>0.2*0.4*0.6
0.2*0.4*0.6
0.2*0.4*0.6
0.2*0.4*0.4</v>
          </cell>
          <cell r="BD788" t="str">
            <v>Manual</v>
          </cell>
          <cell r="BE788">
            <v>14</v>
          </cell>
          <cell r="BF788" t="str">
            <v>Syam</v>
          </cell>
          <cell r="BG788" t="str">
            <v>N</v>
          </cell>
        </row>
        <row r="789">
          <cell r="A789" t="str">
            <v>FBR1Y230357</v>
          </cell>
          <cell r="B789">
            <v>230357</v>
          </cell>
          <cell r="C789" t="str">
            <v>R&amp;D</v>
          </cell>
          <cell r="D789">
            <v>45261</v>
          </cell>
          <cell r="E789">
            <v>0.8208333333333333</v>
          </cell>
          <cell r="F789">
            <v>45261</v>
          </cell>
          <cell r="G789">
            <v>45261</v>
          </cell>
          <cell r="H789">
            <v>0.88124999999999998</v>
          </cell>
          <cell r="I789">
            <v>6.0416666666666667E-2</v>
          </cell>
          <cell r="J789">
            <v>5</v>
          </cell>
          <cell r="K789" t="str">
            <v>FCB-PROTOCOL-01</v>
          </cell>
          <cell r="L789" t="str">
            <v>CLN/PRA/238</v>
          </cell>
          <cell r="M789" t="str">
            <v>Y</v>
          </cell>
          <cell r="P789" t="str">
            <v>Q1 Passed</v>
          </cell>
          <cell r="Q789" t="str">
            <v>Q1 Passed</v>
          </cell>
          <cell r="R789" t="str">
            <v>Q1.5 Passed</v>
          </cell>
          <cell r="S789" t="str">
            <v>Q1.5 Passed</v>
          </cell>
          <cell r="V789" t="str">
            <v>Tumor content 30-80%</v>
          </cell>
          <cell r="W789" t="str">
            <v>Private Hospital</v>
          </cell>
          <cell r="X789" t="str">
            <v>Dr Prakash BV, Bangalore</v>
          </cell>
          <cell r="Y789" t="str">
            <v>Sri Lakshmi Hospital, Bangalore</v>
          </cell>
          <cell r="Z789" t="str">
            <v>Dr Prakash BV, Bangalore</v>
          </cell>
          <cell r="AA789" t="str">
            <v>HNSCC</v>
          </cell>
          <cell r="AC789" t="str">
            <v>RMT</v>
          </cell>
          <cell r="AD789" t="str">
            <v>Left RMT</v>
          </cell>
          <cell r="AE789" t="str">
            <v>Female</v>
          </cell>
          <cell r="AF789">
            <v>70</v>
          </cell>
          <cell r="AG789" t="str">
            <v>N</v>
          </cell>
          <cell r="AH789">
            <v>4.5999999999999996</v>
          </cell>
          <cell r="AI789" t="str">
            <v>Partha</v>
          </cell>
          <cell r="AJ789" t="str">
            <v>Surgery</v>
          </cell>
          <cell r="AK789" t="str">
            <v>Primary</v>
          </cell>
          <cell r="AN789" t="str">
            <v>II</v>
          </cell>
          <cell r="AO789">
            <v>2</v>
          </cell>
          <cell r="AP789" t="str">
            <v>pT3N1M0</v>
          </cell>
          <cell r="AV789">
            <v>45262</v>
          </cell>
          <cell r="AW789">
            <v>0.2986111111111111</v>
          </cell>
          <cell r="AX789">
            <v>0.37013888888888891</v>
          </cell>
          <cell r="AY789">
            <v>7.1527777777777773E-2</v>
          </cell>
          <cell r="AZ7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89" t="str">
            <v>0.6*0.8/1.3*1.9</v>
          </cell>
          <cell r="BD789" t="str">
            <v>Vibratome</v>
          </cell>
          <cell r="BE789">
            <v>15</v>
          </cell>
          <cell r="BF789" t="str">
            <v>Kowshik</v>
          </cell>
          <cell r="BG789" t="str">
            <v>Y</v>
          </cell>
        </row>
        <row r="790">
          <cell r="A790" t="str">
            <v>FBR1Z230357</v>
          </cell>
          <cell r="B790">
            <v>230357</v>
          </cell>
          <cell r="C790" t="str">
            <v>R&amp;D</v>
          </cell>
          <cell r="D790">
            <v>45261</v>
          </cell>
          <cell r="E790">
            <v>0.8208333333333333</v>
          </cell>
          <cell r="F790">
            <v>45261</v>
          </cell>
          <cell r="G790">
            <v>45261</v>
          </cell>
          <cell r="H790">
            <v>0.88124999999999998</v>
          </cell>
          <cell r="I790">
            <v>6.0416666666666667E-2</v>
          </cell>
          <cell r="J790">
            <v>5</v>
          </cell>
          <cell r="K790" t="str">
            <v>FCB-PROTOCOL-01</v>
          </cell>
          <cell r="L790" t="str">
            <v>CLN/PRA/238</v>
          </cell>
          <cell r="M790" t="str">
            <v>Y</v>
          </cell>
          <cell r="P790" t="str">
            <v>Q1 Passed</v>
          </cell>
          <cell r="Q790" t="str">
            <v>Q1 Passed</v>
          </cell>
          <cell r="R790" t="str">
            <v>Q1.5 Passed</v>
          </cell>
          <cell r="S790" t="str">
            <v>Q1.5 Passed</v>
          </cell>
          <cell r="V790" t="str">
            <v>Tumor content 30-80%</v>
          </cell>
          <cell r="W790" t="str">
            <v>Private Hospital</v>
          </cell>
          <cell r="X790" t="str">
            <v>Dr Prakash BV, Bangalore</v>
          </cell>
          <cell r="Y790" t="str">
            <v>Sri Lakshmi Hospital, Bangalore</v>
          </cell>
          <cell r="Z790" t="str">
            <v>Dr Prakash BV, Bangalore</v>
          </cell>
          <cell r="AA790" t="str">
            <v>HNSCC</v>
          </cell>
          <cell r="AC790" t="str">
            <v>RMT</v>
          </cell>
          <cell r="AD790" t="str">
            <v>Left RMT</v>
          </cell>
          <cell r="AE790" t="str">
            <v>Female</v>
          </cell>
          <cell r="AF790">
            <v>70</v>
          </cell>
          <cell r="AG790" t="str">
            <v>N</v>
          </cell>
          <cell r="AH790">
            <v>4.5999999999999996</v>
          </cell>
          <cell r="AI790" t="str">
            <v>Partha</v>
          </cell>
          <cell r="AJ790" t="str">
            <v>Surgery</v>
          </cell>
          <cell r="AK790" t="str">
            <v>Primary</v>
          </cell>
          <cell r="AN790" t="str">
            <v>II</v>
          </cell>
          <cell r="AO790">
            <v>2</v>
          </cell>
          <cell r="AP790" t="str">
            <v>pT3N1M0</v>
          </cell>
          <cell r="AV790">
            <v>45261</v>
          </cell>
          <cell r="AW790">
            <v>0.2986111111111111</v>
          </cell>
          <cell r="AX790">
            <v>0.3576388888888889</v>
          </cell>
          <cell r="AY790">
            <v>5.9027777777777776E-2</v>
          </cell>
          <cell r="AZ79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79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790" t="str">
            <v>0.6*0.8/1.3*1.9</v>
          </cell>
          <cell r="BD790" t="str">
            <v>Vibratome</v>
          </cell>
          <cell r="BE790">
            <v>14</v>
          </cell>
          <cell r="BF790" t="str">
            <v>Kowshik</v>
          </cell>
          <cell r="BG790" t="str">
            <v>Y</v>
          </cell>
        </row>
        <row r="791">
          <cell r="A791" t="str">
            <v>FBR1Y230358</v>
          </cell>
          <cell r="B791">
            <v>230358</v>
          </cell>
          <cell r="C791" t="str">
            <v>R&amp;D</v>
          </cell>
          <cell r="D791">
            <v>45264</v>
          </cell>
          <cell r="E791">
            <v>0.49375000000000002</v>
          </cell>
          <cell r="F791">
            <v>45261</v>
          </cell>
          <cell r="G791">
            <v>45264</v>
          </cell>
          <cell r="H791">
            <v>0.58819444444444446</v>
          </cell>
          <cell r="I791">
            <v>9.4444444444444442E-2</v>
          </cell>
          <cell r="J791">
            <v>2</v>
          </cell>
          <cell r="K791" t="str">
            <v>FCB-PROTOCOL-01</v>
          </cell>
          <cell r="L791" t="str">
            <v>VYD/229</v>
          </cell>
          <cell r="M791" t="str">
            <v>Y</v>
          </cell>
          <cell r="P791" t="str">
            <v>Q1 Passed</v>
          </cell>
          <cell r="Q791" t="str">
            <v>Q1 Passed</v>
          </cell>
          <cell r="R791" t="str">
            <v>Compromised</v>
          </cell>
          <cell r="S791" t="str">
            <v>Q1.5 Passed</v>
          </cell>
          <cell r="T791" t="str">
            <v>Small size sample</v>
          </cell>
          <cell r="V791" t="str">
            <v>Tumor content 90-96%, SSE in some explants</v>
          </cell>
          <cell r="W791" t="str">
            <v>Private Hospital</v>
          </cell>
          <cell r="X791" t="str">
            <v>Vydehi Hospital, Bangalore</v>
          </cell>
          <cell r="Y791" t="str">
            <v>Vydehi Hospital, Bangalore</v>
          </cell>
          <cell r="Z791" t="str">
            <v>Dr Amritha Prabha, Bangalore</v>
          </cell>
          <cell r="AA791" t="str">
            <v>HNSCC</v>
          </cell>
          <cell r="AC791" t="str">
            <v>Buccal mucosa</v>
          </cell>
          <cell r="AD791" t="str">
            <v>Right Buccal Mucosa</v>
          </cell>
          <cell r="AE791" t="str">
            <v>Female</v>
          </cell>
          <cell r="AF791">
            <v>70</v>
          </cell>
          <cell r="AG791" t="str">
            <v>N</v>
          </cell>
          <cell r="AH791">
            <v>5.6</v>
          </cell>
          <cell r="AI791" t="str">
            <v>Kalappa</v>
          </cell>
          <cell r="AJ791" t="str">
            <v>Surgery</v>
          </cell>
          <cell r="AK791" t="str">
            <v>Primary</v>
          </cell>
          <cell r="AN791" t="str">
            <v>II</v>
          </cell>
          <cell r="AO791">
            <v>2</v>
          </cell>
          <cell r="AP791" t="str">
            <v>T2N0</v>
          </cell>
          <cell r="AS791" t="str">
            <v>SCC</v>
          </cell>
          <cell r="AV791">
            <v>45264</v>
          </cell>
          <cell r="AW791">
            <v>0.62152777777777779</v>
          </cell>
          <cell r="AX791">
            <v>0.66666666666666663</v>
          </cell>
          <cell r="AY791">
            <v>4.5138888888888888E-2</v>
          </cell>
          <cell r="AZ791">
            <v>7.8472222222222221E-2</v>
          </cell>
          <cell r="BA791">
            <v>0.17291666666666666</v>
          </cell>
          <cell r="BB791" t="str">
            <v>0.4*0,7*1.0/0.8
0.3*0.4*0.6
0.3*0.4*0.6</v>
          </cell>
          <cell r="BD791" t="str">
            <v>Manual</v>
          </cell>
          <cell r="BE791">
            <v>15</v>
          </cell>
          <cell r="BF791" t="str">
            <v>chandan</v>
          </cell>
          <cell r="BG791" t="str">
            <v>Y</v>
          </cell>
        </row>
        <row r="792">
          <cell r="A792" t="str">
            <v>FBR1Y230359</v>
          </cell>
          <cell r="B792">
            <v>230359</v>
          </cell>
          <cell r="C792" t="str">
            <v>R&amp;D</v>
          </cell>
          <cell r="D792">
            <v>45265</v>
          </cell>
          <cell r="E792">
            <v>0.4375</v>
          </cell>
          <cell r="F792">
            <v>45261</v>
          </cell>
          <cell r="G792">
            <v>45265</v>
          </cell>
          <cell r="H792">
            <v>0.52569444444444446</v>
          </cell>
          <cell r="I792">
            <v>8.819444444444445E-2</v>
          </cell>
          <cell r="J792">
            <v>11</v>
          </cell>
          <cell r="K792" t="str">
            <v>FCB-PROTOCOL-02</v>
          </cell>
          <cell r="L792" t="str">
            <v>HN104</v>
          </cell>
          <cell r="M792" t="str">
            <v>Y</v>
          </cell>
          <cell r="P792" t="str">
            <v>Q1 Passed</v>
          </cell>
          <cell r="Q792" t="str">
            <v>Q1 Rejected</v>
          </cell>
          <cell r="R792" t="str">
            <v>Compromised</v>
          </cell>
          <cell r="S792" t="str">
            <v>Q1.5 Passed</v>
          </cell>
          <cell r="T792" t="str">
            <v>Blood they collected without anticoagulant tube &amp; Small size sample</v>
          </cell>
          <cell r="V792" t="str">
            <v>Tumor content 1-90% Necrosis is some explants</v>
          </cell>
          <cell r="W792" t="str">
            <v>Private Hospital</v>
          </cell>
          <cell r="X792" t="str">
            <v>Mazumdar Shaw Medical Centre, Bangalore</v>
          </cell>
          <cell r="Y792" t="str">
            <v>Mazumdar Shaw Medical Centre, Bangalore</v>
          </cell>
          <cell r="Z792" t="str">
            <v>Dr Vijay Pillai, Bangalore</v>
          </cell>
          <cell r="AA792" t="str">
            <v>HNSCC</v>
          </cell>
          <cell r="AC792" t="str">
            <v>Buccal mucosa</v>
          </cell>
          <cell r="AD792" t="str">
            <v>Right Buccal Mucosa</v>
          </cell>
          <cell r="AE792" t="str">
            <v>Female</v>
          </cell>
          <cell r="AF792">
            <v>59</v>
          </cell>
          <cell r="AG792" t="str">
            <v>N</v>
          </cell>
          <cell r="AH792">
            <v>4.8</v>
          </cell>
          <cell r="AI792" t="str">
            <v>Partha</v>
          </cell>
          <cell r="AJ792" t="str">
            <v>Surgery</v>
          </cell>
          <cell r="AK792" t="str">
            <v>Local Recurrent</v>
          </cell>
          <cell r="AL792" t="str">
            <v>Chemotherapy+Radiotherapy</v>
          </cell>
          <cell r="AN792" t="str">
            <v>IV</v>
          </cell>
          <cell r="AO792">
            <v>2</v>
          </cell>
          <cell r="AP792" t="str">
            <v>ypT4a</v>
          </cell>
          <cell r="AQ792">
            <v>6</v>
          </cell>
          <cell r="AR792" t="str">
            <v>CDDP</v>
          </cell>
          <cell r="AS792" t="str">
            <v>Moderately advanced local disease, conventional (keratinizing)</v>
          </cell>
          <cell r="AV792">
            <v>45265</v>
          </cell>
          <cell r="AW792">
            <v>0.58888888888888891</v>
          </cell>
          <cell r="AX792">
            <v>0.63888888888888884</v>
          </cell>
          <cell r="AY792">
            <v>0.05</v>
          </cell>
          <cell r="AZ792">
            <v>0.11319444444444444</v>
          </cell>
          <cell r="BA792">
            <v>0.2013888888888889</v>
          </cell>
          <cell r="BB792" t="str">
            <v>0.2*0.8*1.2
0.2*1.0*1.6</v>
          </cell>
          <cell r="BD792" t="str">
            <v>Manual</v>
          </cell>
          <cell r="BE792">
            <v>15</v>
          </cell>
          <cell r="BF792" t="str">
            <v>Syam</v>
          </cell>
          <cell r="BG792" t="str">
            <v>N</v>
          </cell>
        </row>
        <row r="793">
          <cell r="A793" t="str">
            <v>FBR1Y230360</v>
          </cell>
          <cell r="B793">
            <v>230360</v>
          </cell>
          <cell r="C793" t="str">
            <v>R&amp;D</v>
          </cell>
          <cell r="D793">
            <v>45267</v>
          </cell>
          <cell r="E793">
            <v>0.60069444444444442</v>
          </cell>
          <cell r="F793">
            <v>45261</v>
          </cell>
          <cell r="G793">
            <v>45267</v>
          </cell>
          <cell r="H793">
            <v>0.67152777777777772</v>
          </cell>
          <cell r="I793">
            <v>7.0833333333333331E-2</v>
          </cell>
          <cell r="J793">
            <v>11</v>
          </cell>
          <cell r="K793" t="str">
            <v>FCB-PROTOCOL-02</v>
          </cell>
          <cell r="L793" t="str">
            <v>HN105</v>
          </cell>
          <cell r="M793" t="str">
            <v>Y</v>
          </cell>
          <cell r="P793" t="str">
            <v>Q1 Passed</v>
          </cell>
          <cell r="Q793" t="str">
            <v>Q1 Passed</v>
          </cell>
          <cell r="R793" t="str">
            <v>Compromised</v>
          </cell>
          <cell r="S793" t="str">
            <v>Q1.5 Passed</v>
          </cell>
          <cell r="T793" t="str">
            <v>Small size sample</v>
          </cell>
          <cell r="V793" t="str">
            <v>Tumor content 15-75%</v>
          </cell>
          <cell r="W793" t="str">
            <v>Private Hospital</v>
          </cell>
          <cell r="X793" t="str">
            <v>Mazumdar Shaw Medical Centre, Bangalore</v>
          </cell>
          <cell r="Y793" t="str">
            <v>Mazumdar Shaw Medical Centre, Bangalore</v>
          </cell>
          <cell r="Z793" t="str">
            <v>Dr Vijay Pillai, Bangalore</v>
          </cell>
          <cell r="AA793" t="str">
            <v>HNSCC</v>
          </cell>
          <cell r="AC793" t="str">
            <v>Tongue</v>
          </cell>
          <cell r="AD793" t="str">
            <v>Right Tongue</v>
          </cell>
          <cell r="AE793" t="str">
            <v>Male</v>
          </cell>
          <cell r="AF793">
            <v>51</v>
          </cell>
          <cell r="AG793" t="str">
            <v>N</v>
          </cell>
          <cell r="AH793">
            <v>4.5</v>
          </cell>
          <cell r="AI793" t="str">
            <v>Partha</v>
          </cell>
          <cell r="AJ793" t="str">
            <v>Surgery</v>
          </cell>
          <cell r="AK793" t="str">
            <v>Primary</v>
          </cell>
          <cell r="AN793" t="str">
            <v>III</v>
          </cell>
          <cell r="AO793">
            <v>2</v>
          </cell>
          <cell r="AP793" t="str">
            <v>pT3pN2b</v>
          </cell>
          <cell r="AS793" t="str">
            <v>MDSCC(Moderately Differentiated Squamous cell carcinoma)</v>
          </cell>
          <cell r="AV793">
            <v>45267</v>
          </cell>
          <cell r="AW793">
            <v>0.69166666666666665</v>
          </cell>
          <cell r="AX793">
            <v>0.73541666666666672</v>
          </cell>
          <cell r="AY793">
            <v>4.3749999999999997E-2</v>
          </cell>
          <cell r="AZ793">
            <v>6.3888888888888884E-2</v>
          </cell>
          <cell r="BA793">
            <v>0.13472222222222222</v>
          </cell>
          <cell r="BB793" t="str">
            <v>0.2*0.8*0.9</v>
          </cell>
          <cell r="BD793" t="str">
            <v>Manual</v>
          </cell>
          <cell r="BE793">
            <v>15</v>
          </cell>
          <cell r="BF793" t="str">
            <v>kuberan</v>
          </cell>
          <cell r="BG793" t="str">
            <v>Y</v>
          </cell>
        </row>
        <row r="794">
          <cell r="A794" t="str">
            <v>FBR2F230360</v>
          </cell>
          <cell r="B794">
            <v>230360</v>
          </cell>
          <cell r="C794" t="str">
            <v>R&amp;D</v>
          </cell>
          <cell r="D794">
            <v>45267</v>
          </cell>
          <cell r="E794">
            <v>0.60069444444444442</v>
          </cell>
          <cell r="F794">
            <v>45261</v>
          </cell>
          <cell r="G794">
            <v>45267</v>
          </cell>
          <cell r="H794">
            <v>0.67152777777777772</v>
          </cell>
          <cell r="I794">
            <v>7.0833333333333331E-2</v>
          </cell>
          <cell r="J794">
            <v>11</v>
          </cell>
          <cell r="K794" t="str">
            <v>FCB-PROTOCOL-02</v>
          </cell>
          <cell r="L794" t="str">
            <v>HN105</v>
          </cell>
          <cell r="M794" t="str">
            <v>Y</v>
          </cell>
          <cell r="P794" t="str">
            <v>Q1 Passed</v>
          </cell>
          <cell r="Q794" t="str">
            <v>Q1 Passed</v>
          </cell>
          <cell r="R794" t="str">
            <v>Compromised</v>
          </cell>
          <cell r="S794" t="str">
            <v>Q1.5 Passed</v>
          </cell>
          <cell r="T794" t="str">
            <v>Small size sample</v>
          </cell>
          <cell r="V794" t="str">
            <v>Tumor content 15-75%</v>
          </cell>
          <cell r="W794" t="str">
            <v>Private Hospital</v>
          </cell>
          <cell r="X794" t="str">
            <v>Mazumdar Shaw Medical Centre, Bangalore</v>
          </cell>
          <cell r="Y794" t="str">
            <v>Mazumdar Shaw Medical Centre, Bangalore</v>
          </cell>
          <cell r="Z794" t="str">
            <v>Dr Vijay Pillai, Bangalore</v>
          </cell>
          <cell r="AA794" t="str">
            <v>HNSCC</v>
          </cell>
          <cell r="AC794" t="str">
            <v>Tongue</v>
          </cell>
          <cell r="AD794" t="str">
            <v>Right Tongue</v>
          </cell>
          <cell r="AE794" t="str">
            <v>Male</v>
          </cell>
          <cell r="AF794">
            <v>51</v>
          </cell>
          <cell r="AG794" t="str">
            <v>N</v>
          </cell>
          <cell r="AH794">
            <v>4.5</v>
          </cell>
          <cell r="AI794" t="str">
            <v>Partha</v>
          </cell>
          <cell r="AJ794" t="str">
            <v>Surgery</v>
          </cell>
          <cell r="AK794" t="str">
            <v>Primary</v>
          </cell>
          <cell r="AN794" t="str">
            <v>III</v>
          </cell>
          <cell r="AO794">
            <v>2</v>
          </cell>
          <cell r="AP794" t="str">
            <v>pT3pN2b</v>
          </cell>
          <cell r="AS794" t="str">
            <v>MDSCC(Moderately Differentiated Squamous cell carcinoma)</v>
          </cell>
          <cell r="AV794">
            <v>45267</v>
          </cell>
          <cell r="AW794">
            <v>0.69166666666666665</v>
          </cell>
          <cell r="AX794">
            <v>0.73541666666666672</v>
          </cell>
          <cell r="AY794">
            <v>4.3749999999999997E-2</v>
          </cell>
          <cell r="AZ794">
            <v>6.3888888888888884E-2</v>
          </cell>
          <cell r="BA794">
            <v>0.13472222222222222</v>
          </cell>
          <cell r="BB794" t="str">
            <v>0.2*0.8*0.9</v>
          </cell>
          <cell r="BD794" t="str">
            <v>Manual</v>
          </cell>
          <cell r="BE794">
            <v>15</v>
          </cell>
          <cell r="BF794" t="str">
            <v>kuberan</v>
          </cell>
          <cell r="BG794" t="str">
            <v>Y</v>
          </cell>
        </row>
        <row r="795">
          <cell r="A795" t="str">
            <v>FBR1X230361</v>
          </cell>
          <cell r="B795">
            <v>230361</v>
          </cell>
          <cell r="C795" t="str">
            <v>R&amp;D</v>
          </cell>
          <cell r="D795">
            <v>45267</v>
          </cell>
          <cell r="E795">
            <v>0.58333333333333337</v>
          </cell>
          <cell r="F795">
            <v>45261</v>
          </cell>
          <cell r="G795">
            <v>45267</v>
          </cell>
          <cell r="H795">
            <v>0.67152777777777772</v>
          </cell>
          <cell r="I795">
            <v>8.819444444444445E-2</v>
          </cell>
          <cell r="J795">
            <v>0</v>
          </cell>
          <cell r="K795" t="str">
            <v>FCB-PROTOCOL-02</v>
          </cell>
          <cell r="L795" t="str">
            <v>HN106</v>
          </cell>
          <cell r="M795" t="str">
            <v>Y</v>
          </cell>
          <cell r="P795" t="str">
            <v>Q1 Passed</v>
          </cell>
          <cell r="Q795" t="str">
            <v>Q1 Passed</v>
          </cell>
          <cell r="R795" t="str">
            <v>Q1.5 Passed</v>
          </cell>
          <cell r="S795" t="str">
            <v>Q1.5 Passed</v>
          </cell>
          <cell r="V795" t="str">
            <v>Tumor content 20-55%</v>
          </cell>
          <cell r="W795" t="str">
            <v>Private Hospital</v>
          </cell>
          <cell r="X795" t="str">
            <v>Mazumdar Shaw Medical Centre, Bangalore</v>
          </cell>
          <cell r="Y795" t="str">
            <v>Mazumdar Shaw Medical Centre, Bangalore</v>
          </cell>
          <cell r="Z795" t="str">
            <v>Dr Vijay Pillai, Bangalore</v>
          </cell>
          <cell r="AA795" t="str">
            <v>HNSCC</v>
          </cell>
          <cell r="AC795" t="str">
            <v>Larynx</v>
          </cell>
          <cell r="AD795" t="str">
            <v>Larynx</v>
          </cell>
          <cell r="AE795" t="str">
            <v>Male</v>
          </cell>
          <cell r="AF795">
            <v>71</v>
          </cell>
          <cell r="AG795" t="str">
            <v>N</v>
          </cell>
          <cell r="AH795">
            <v>4.5</v>
          </cell>
          <cell r="AI795" t="str">
            <v>Partha</v>
          </cell>
          <cell r="AJ795" t="str">
            <v>Biopsy</v>
          </cell>
          <cell r="AK795" t="str">
            <v>Primary</v>
          </cell>
          <cell r="AN795" t="str">
            <v>NA</v>
          </cell>
          <cell r="AO795" t="str">
            <v>NA</v>
          </cell>
          <cell r="AP795" t="str">
            <v>NA</v>
          </cell>
          <cell r="AS795" t="str">
            <v>Dysplastic Squamous proliferation</v>
          </cell>
          <cell r="AV795">
            <v>45267</v>
          </cell>
          <cell r="AW795">
            <v>0.69166666666666665</v>
          </cell>
          <cell r="AX795">
            <v>0.73819444444444449</v>
          </cell>
          <cell r="AY795">
            <v>4.6527777777777779E-2</v>
          </cell>
          <cell r="AZ795">
            <v>6.6666666666666666E-2</v>
          </cell>
          <cell r="BA795">
            <v>0.15486111111111112</v>
          </cell>
          <cell r="BB795" t="str">
            <v>4Fragments
0.2*0.2*0.2-0.5</v>
          </cell>
          <cell r="BD795" t="str">
            <v>Manual</v>
          </cell>
          <cell r="BE795">
            <v>15</v>
          </cell>
          <cell r="BF795" t="str">
            <v>Kokila</v>
          </cell>
          <cell r="BG795" t="str">
            <v>Y</v>
          </cell>
        </row>
        <row r="796">
          <cell r="A796" t="str">
            <v>FBR1Z230362</v>
          </cell>
          <cell r="B796">
            <v>230362</v>
          </cell>
          <cell r="C796" t="str">
            <v>R&amp;D</v>
          </cell>
          <cell r="D796">
            <v>45267</v>
          </cell>
          <cell r="E796">
            <v>0.72638888888888886</v>
          </cell>
          <cell r="F796">
            <v>45261</v>
          </cell>
          <cell r="G796">
            <v>45267</v>
          </cell>
          <cell r="H796">
            <v>0.79791666666666672</v>
          </cell>
          <cell r="I796">
            <v>7.1527777777777773E-2</v>
          </cell>
          <cell r="J796">
            <v>2</v>
          </cell>
          <cell r="K796" t="str">
            <v>FCB-PROTOCOL-01</v>
          </cell>
          <cell r="L796" t="str">
            <v>CLN/PRA/240</v>
          </cell>
          <cell r="M796" t="str">
            <v>Y</v>
          </cell>
          <cell r="P796" t="str">
            <v>Q1 Passed</v>
          </cell>
          <cell r="Q796" t="str">
            <v>Q1 Passed</v>
          </cell>
          <cell r="R796" t="str">
            <v>Compromised</v>
          </cell>
          <cell r="S796" t="str">
            <v>Q1.5 Passed</v>
          </cell>
          <cell r="V796" t="str">
            <v>Tumor content 15-80%</v>
          </cell>
          <cell r="W796" t="str">
            <v>Private Hospital</v>
          </cell>
          <cell r="X796" t="str">
            <v>Dr Prakash BV, Bangalore</v>
          </cell>
          <cell r="Y796" t="str">
            <v>Sri Lakshmi Hospital, Bangalore</v>
          </cell>
          <cell r="Z796" t="str">
            <v>Dr Prakash BV, Bangalore</v>
          </cell>
          <cell r="AA796" t="str">
            <v>HNSCC</v>
          </cell>
          <cell r="AC796" t="str">
            <v>Buccal mucosa</v>
          </cell>
          <cell r="AD796" t="str">
            <v>Left Buccal Mucosa</v>
          </cell>
          <cell r="AE796" t="str">
            <v>Female</v>
          </cell>
          <cell r="AF796">
            <v>60</v>
          </cell>
          <cell r="AG796" t="str">
            <v>N</v>
          </cell>
          <cell r="AH796">
            <v>5.6</v>
          </cell>
          <cell r="AI796" t="str">
            <v>Partha</v>
          </cell>
          <cell r="AJ796" t="str">
            <v>Surgery</v>
          </cell>
          <cell r="AK796" t="str">
            <v>Primary</v>
          </cell>
          <cell r="AN796" t="str">
            <v>II</v>
          </cell>
          <cell r="AO796">
            <v>2</v>
          </cell>
          <cell r="AP796" t="str">
            <v>pT1N0M0</v>
          </cell>
          <cell r="AV796">
            <v>45267</v>
          </cell>
          <cell r="AW796">
            <v>0.8125</v>
          </cell>
          <cell r="AX796">
            <v>0.85833333333333328</v>
          </cell>
          <cell r="AY796">
            <v>4.583333333333333E-2</v>
          </cell>
          <cell r="AZ796">
            <v>6.0416666666666667E-2</v>
          </cell>
          <cell r="BA796">
            <v>0.13194444444444445</v>
          </cell>
          <cell r="BB796" t="str">
            <v>0.4/0.5*0.6/0.4*1.4</v>
          </cell>
          <cell r="BD796" t="str">
            <v>Vibratome</v>
          </cell>
          <cell r="BE796">
            <v>14</v>
          </cell>
          <cell r="BF796" t="str">
            <v>Kowshik</v>
          </cell>
          <cell r="BG796" t="str">
            <v>Y</v>
          </cell>
        </row>
        <row r="797">
          <cell r="A797" t="str">
            <v>FBR1Y230363</v>
          </cell>
          <cell r="B797">
            <v>230363</v>
          </cell>
          <cell r="C797" t="str">
            <v>R&amp;D</v>
          </cell>
          <cell r="D797">
            <v>45268</v>
          </cell>
          <cell r="E797">
            <v>0.34861111111111109</v>
          </cell>
          <cell r="F797">
            <v>45261</v>
          </cell>
          <cell r="G797">
            <v>45268</v>
          </cell>
          <cell r="H797">
            <v>0.41944444444444445</v>
          </cell>
          <cell r="I797">
            <v>7.0833333333333331E-2</v>
          </cell>
          <cell r="J797">
            <v>2</v>
          </cell>
          <cell r="K797" t="str">
            <v>FCB-PROTOCOL-01</v>
          </cell>
          <cell r="L797" t="str">
            <v>CLN/PRA/239</v>
          </cell>
          <cell r="M797" t="str">
            <v>Y</v>
          </cell>
          <cell r="P797" t="str">
            <v>Q1 Passed</v>
          </cell>
          <cell r="Q797" t="str">
            <v>Q1 Passed</v>
          </cell>
          <cell r="R797" t="str">
            <v>Compromised</v>
          </cell>
          <cell r="S797" t="str">
            <v>Q1.5 Passed</v>
          </cell>
          <cell r="V797" t="str">
            <v>Tumor content 0-40%</v>
          </cell>
          <cell r="W797" t="str">
            <v>Private Hospital</v>
          </cell>
          <cell r="X797" t="str">
            <v>Dr Prakash BV, Bangalore</v>
          </cell>
          <cell r="Y797" t="str">
            <v>Sri Lakshmi Hospital, Bangalore</v>
          </cell>
          <cell r="Z797" t="str">
            <v>Dr Prakash BV, Bangalore</v>
          </cell>
          <cell r="AA797" t="str">
            <v>HNSCC</v>
          </cell>
          <cell r="AC797" t="str">
            <v>Buccal mucosa</v>
          </cell>
          <cell r="AD797" t="str">
            <v>Right Buccal Mucosa</v>
          </cell>
          <cell r="AE797" t="str">
            <v>Female</v>
          </cell>
          <cell r="AF797">
            <v>50</v>
          </cell>
          <cell r="AG797" t="str">
            <v>N</v>
          </cell>
          <cell r="AH797">
            <v>3.6</v>
          </cell>
          <cell r="AI797" t="str">
            <v>Partha</v>
          </cell>
          <cell r="AJ797" t="str">
            <v>Surgery</v>
          </cell>
          <cell r="AK797" t="str">
            <v>Primary</v>
          </cell>
          <cell r="AN797" t="str">
            <v>II</v>
          </cell>
          <cell r="AO797">
            <v>2</v>
          </cell>
          <cell r="AP797" t="str">
            <v>pT2N0M0</v>
          </cell>
          <cell r="AV797">
            <v>45268</v>
          </cell>
          <cell r="AW797">
            <v>0.4861111111111111</v>
          </cell>
          <cell r="AX797">
            <v>0.63124999999999998</v>
          </cell>
          <cell r="AY797">
            <v>0.1451388888888889</v>
          </cell>
          <cell r="AZ797">
            <v>0.21180555555555555</v>
          </cell>
          <cell r="BA797">
            <v>0.28263888888888888</v>
          </cell>
          <cell r="BB797" t="str">
            <v>0.4*1.0*2.0</v>
          </cell>
          <cell r="BD797" t="str">
            <v>Manual</v>
          </cell>
          <cell r="BE797">
            <v>15</v>
          </cell>
          <cell r="BF797" t="str">
            <v>Syam</v>
          </cell>
          <cell r="BG797" t="str">
            <v>N</v>
          </cell>
        </row>
        <row r="798">
          <cell r="A798" t="str">
            <v>FBR2F230363</v>
          </cell>
          <cell r="B798">
            <v>230363</v>
          </cell>
          <cell r="C798" t="str">
            <v>R&amp;D</v>
          </cell>
          <cell r="D798">
            <v>45268</v>
          </cell>
          <cell r="E798">
            <v>0.34861111111111109</v>
          </cell>
          <cell r="F798">
            <v>45261</v>
          </cell>
          <cell r="G798">
            <v>45268</v>
          </cell>
          <cell r="H798">
            <v>0.41944444444444445</v>
          </cell>
          <cell r="I798">
            <v>7.0833333333333331E-2</v>
          </cell>
          <cell r="J798">
            <v>2</v>
          </cell>
          <cell r="K798" t="str">
            <v>FCB-PROTOCOL-01</v>
          </cell>
          <cell r="L798" t="str">
            <v>CLN/PRA/239</v>
          </cell>
          <cell r="M798" t="str">
            <v>Y</v>
          </cell>
          <cell r="P798" t="str">
            <v>Q1 Passed</v>
          </cell>
          <cell r="Q798" t="str">
            <v>Q1 Passed</v>
          </cell>
          <cell r="R798" t="str">
            <v>Compromised</v>
          </cell>
          <cell r="S798" t="str">
            <v>Q1.5 Passed</v>
          </cell>
          <cell r="V798" t="str">
            <v>Tumor content 0-40%</v>
          </cell>
          <cell r="W798" t="str">
            <v>Private Hospital</v>
          </cell>
          <cell r="X798" t="str">
            <v>Dr Prakash BV, Bangalore</v>
          </cell>
          <cell r="Y798" t="str">
            <v>Sri Lakshmi Hospital, Bangalore</v>
          </cell>
          <cell r="Z798" t="str">
            <v>Dr Prakash BV, Bangalore</v>
          </cell>
          <cell r="AA798" t="str">
            <v>HNSCC</v>
          </cell>
          <cell r="AC798" t="str">
            <v>Buccal mucosa</v>
          </cell>
          <cell r="AD798" t="str">
            <v>Right Buccal Mucosa</v>
          </cell>
          <cell r="AE798" t="str">
            <v>Female</v>
          </cell>
          <cell r="AF798">
            <v>50</v>
          </cell>
          <cell r="AG798" t="str">
            <v>N</v>
          </cell>
          <cell r="AH798">
            <v>3.6</v>
          </cell>
          <cell r="AI798" t="str">
            <v>Partha</v>
          </cell>
          <cell r="AJ798" t="str">
            <v>Surgery</v>
          </cell>
          <cell r="AK798" t="str">
            <v>Primary</v>
          </cell>
          <cell r="AN798" t="str">
            <v>II</v>
          </cell>
          <cell r="AO798">
            <v>2</v>
          </cell>
          <cell r="AP798" t="str">
            <v>pT2N0M0</v>
          </cell>
          <cell r="AV798">
            <v>45268</v>
          </cell>
          <cell r="AW798">
            <v>0.4861111111111111</v>
          </cell>
          <cell r="AX798">
            <v>0.63124999999999998</v>
          </cell>
          <cell r="AY798">
            <v>0.1451388888888889</v>
          </cell>
          <cell r="AZ798">
            <v>0.21180555555555555</v>
          </cell>
          <cell r="BA798">
            <v>0.28263888888888888</v>
          </cell>
          <cell r="BB798" t="str">
            <v>0.4*1.0*2.0</v>
          </cell>
          <cell r="BD798" t="str">
            <v>Manual</v>
          </cell>
          <cell r="BE798">
            <v>15</v>
          </cell>
          <cell r="BF798" t="str">
            <v>Syam</v>
          </cell>
          <cell r="BG798" t="str">
            <v>N</v>
          </cell>
        </row>
        <row r="799">
          <cell r="A799" t="str">
            <v>FBR2A230364</v>
          </cell>
          <cell r="B799">
            <v>230364</v>
          </cell>
          <cell r="C799" t="str">
            <v>R&amp;D</v>
          </cell>
          <cell r="D799">
            <v>45268</v>
          </cell>
          <cell r="E799">
            <v>0.54374999999999996</v>
          </cell>
          <cell r="F799">
            <v>45261</v>
          </cell>
          <cell r="G799">
            <v>45268</v>
          </cell>
          <cell r="H799">
            <v>0.61111111111111116</v>
          </cell>
          <cell r="I799">
            <v>6.7361111111111108E-2</v>
          </cell>
          <cell r="J799">
            <v>0</v>
          </cell>
          <cell r="K799" t="str">
            <v>FCB-PROTOCOL-02</v>
          </cell>
          <cell r="L799" t="str">
            <v>OC022</v>
          </cell>
          <cell r="M799" t="str">
            <v>Y</v>
          </cell>
          <cell r="P799" t="str">
            <v>Q1 Passed</v>
          </cell>
          <cell r="Q799" t="str">
            <v>Not Received</v>
          </cell>
          <cell r="R799" t="str">
            <v>Q1.5 Passed</v>
          </cell>
          <cell r="S799" t="str">
            <v>Q1.5 Rejected</v>
          </cell>
          <cell r="T799" t="str">
            <v>No Tumor</v>
          </cell>
          <cell r="V799" t="str">
            <v>No Tumor</v>
          </cell>
          <cell r="W799" t="str">
            <v>Private Hospital</v>
          </cell>
          <cell r="X799" t="str">
            <v>Mazumdar Shaw Medical Centre, Bangalore</v>
          </cell>
          <cell r="Y799" t="str">
            <v>Mazumdar Shaw Medical Centre, Bangalore</v>
          </cell>
          <cell r="Z799" t="str">
            <v>Dr Rohit Ranade, Bangalore</v>
          </cell>
          <cell r="AA799" t="str">
            <v>Ca Ovary</v>
          </cell>
          <cell r="AC799" t="str">
            <v>Omentum</v>
          </cell>
          <cell r="AD799" t="str">
            <v>Omentum</v>
          </cell>
          <cell r="AE799" t="str">
            <v>Female</v>
          </cell>
          <cell r="AF799">
            <v>54</v>
          </cell>
          <cell r="AG799" t="str">
            <v>N</v>
          </cell>
          <cell r="AH799">
            <v>4.8</v>
          </cell>
          <cell r="AI799" t="str">
            <v>Partha</v>
          </cell>
          <cell r="AJ799" t="str">
            <v>Surgery</v>
          </cell>
          <cell r="AK799" t="str">
            <v>Primary</v>
          </cell>
          <cell r="AV799">
            <v>45268</v>
          </cell>
          <cell r="AW799">
            <v>0.62291666666666667</v>
          </cell>
          <cell r="AX799">
            <v>0.68680555555555556</v>
          </cell>
          <cell r="AY799">
            <v>6.3888888888888884E-2</v>
          </cell>
          <cell r="AZ799">
            <v>7.5694444444444439E-2</v>
          </cell>
          <cell r="BA799">
            <v>0.14305555555555555</v>
          </cell>
          <cell r="BB799" t="str">
            <v>0.4*0.9/1.9*2.2/1.2</v>
          </cell>
          <cell r="BD799" t="str">
            <v>Manual</v>
          </cell>
          <cell r="BE799">
            <v>14</v>
          </cell>
          <cell r="BF799" t="str">
            <v>Kokila</v>
          </cell>
          <cell r="BG799" t="str">
            <v>N</v>
          </cell>
        </row>
        <row r="800">
          <cell r="A800" t="str">
            <v>FBR1Y230365</v>
          </cell>
          <cell r="B800">
            <v>230365</v>
          </cell>
          <cell r="C800" t="str">
            <v>R&amp;D</v>
          </cell>
          <cell r="D800">
            <v>45268</v>
          </cell>
          <cell r="E800">
            <v>0.65972222222222221</v>
          </cell>
          <cell r="F800">
            <v>45261</v>
          </cell>
          <cell r="G800">
            <v>45268</v>
          </cell>
          <cell r="H800">
            <v>0.72083333333333333</v>
          </cell>
          <cell r="I800">
            <v>6.1111111111111109E-2</v>
          </cell>
          <cell r="J800">
            <v>15</v>
          </cell>
          <cell r="K800" t="str">
            <v>FCB-PROTOCOL-02</v>
          </cell>
          <cell r="L800" t="str">
            <v>HN108</v>
          </cell>
          <cell r="M800" t="str">
            <v>Y</v>
          </cell>
          <cell r="P800" t="str">
            <v>Q1 Passed</v>
          </cell>
          <cell r="Q800" t="str">
            <v>Q1 Passed</v>
          </cell>
          <cell r="R800" t="str">
            <v>Compromised</v>
          </cell>
          <cell r="S800" t="str">
            <v>Q1.5 Passed</v>
          </cell>
          <cell r="V800" t="str">
            <v>Tumor content 75-95%</v>
          </cell>
          <cell r="W800" t="str">
            <v>Private Hospital</v>
          </cell>
          <cell r="X800" t="str">
            <v>Mazumdar Shaw Medical Centre, Bangalore</v>
          </cell>
          <cell r="Y800" t="str">
            <v>Mazumdar Shaw Medical Centre, Bangalore</v>
          </cell>
          <cell r="Z800" t="str">
            <v>Dr Vijay Pillai, Bangalore</v>
          </cell>
          <cell r="AA800" t="str">
            <v>HNSCC</v>
          </cell>
          <cell r="AC800" t="str">
            <v>Buccal mucosa</v>
          </cell>
          <cell r="AD800" t="str">
            <v>Right Buccal Mucosa</v>
          </cell>
          <cell r="AE800" t="str">
            <v>Male</v>
          </cell>
          <cell r="AF800">
            <v>29</v>
          </cell>
          <cell r="AG800" t="str">
            <v>N</v>
          </cell>
          <cell r="AH800">
            <v>4.5999999999999996</v>
          </cell>
          <cell r="AI800" t="str">
            <v>Kalappa</v>
          </cell>
          <cell r="AJ800" t="str">
            <v>Surgery</v>
          </cell>
          <cell r="AK800" t="str">
            <v>Primary</v>
          </cell>
          <cell r="AN800" t="str">
            <v>NA</v>
          </cell>
          <cell r="AO800" t="str">
            <v>NA</v>
          </cell>
          <cell r="AP800" t="str">
            <v>NA</v>
          </cell>
          <cell r="AS800" t="str">
            <v>Keratinizing Squamous proliferation</v>
          </cell>
          <cell r="AV800">
            <v>45268</v>
          </cell>
          <cell r="AW800">
            <v>0.74027777777777781</v>
          </cell>
          <cell r="AX800">
            <v>0.81666666666666665</v>
          </cell>
          <cell r="AY800">
            <v>7.6388888888888895E-2</v>
          </cell>
          <cell r="AZ800">
            <v>9.583333333333334E-2</v>
          </cell>
          <cell r="BA800">
            <v>0.15694444444444444</v>
          </cell>
          <cell r="BB800" t="str">
            <v>0.2*0.6*1.6
0.2*0.4*0.8
0.2*0.4*0.4/0.2
0.3*1.0/0.8*1.6</v>
          </cell>
          <cell r="BD800" t="str">
            <v>Manual</v>
          </cell>
          <cell r="BE800">
            <v>15</v>
          </cell>
          <cell r="BF800" t="str">
            <v>Mouniss</v>
          </cell>
          <cell r="BG800" t="str">
            <v>Y</v>
          </cell>
        </row>
        <row r="801">
          <cell r="A801" t="str">
            <v>FBR1X230366</v>
          </cell>
          <cell r="B801">
            <v>230366</v>
          </cell>
          <cell r="C801" t="str">
            <v>R&amp;D</v>
          </cell>
          <cell r="D801">
            <v>45268</v>
          </cell>
          <cell r="E801">
            <v>0.58333333333333337</v>
          </cell>
          <cell r="F801">
            <v>45261</v>
          </cell>
          <cell r="G801">
            <v>45268</v>
          </cell>
          <cell r="H801">
            <v>0.72083333333333333</v>
          </cell>
          <cell r="I801">
            <v>0.13750000000000001</v>
          </cell>
          <cell r="J801">
            <v>0</v>
          </cell>
          <cell r="K801" t="str">
            <v>FCB-PROTOCOL-02</v>
          </cell>
          <cell r="L801" t="str">
            <v>HN107</v>
          </cell>
          <cell r="M801" t="str">
            <v>Y</v>
          </cell>
          <cell r="P801" t="str">
            <v>Q1 Passed</v>
          </cell>
          <cell r="Q801" t="str">
            <v>Q1 Passed</v>
          </cell>
          <cell r="R801" t="str">
            <v>Q1.5 Passed</v>
          </cell>
          <cell r="S801" t="str">
            <v>Q1.5 Passed</v>
          </cell>
          <cell r="V801" t="str">
            <v>Tumor content 2-70%        Average tumor content 12-13%</v>
          </cell>
          <cell r="W801" t="str">
            <v>Private Hospital</v>
          </cell>
          <cell r="X801" t="str">
            <v>Mazumdar Shaw Medical Centre, Bangalore</v>
          </cell>
          <cell r="Y801" t="str">
            <v>Mazumdar Shaw Medical Centre, Bangalore</v>
          </cell>
          <cell r="Z801" t="str">
            <v>Dr Vijay Pillai, Bangalore</v>
          </cell>
          <cell r="AA801" t="str">
            <v>HNSCC</v>
          </cell>
          <cell r="AC801" t="str">
            <v>Vocal Cord</v>
          </cell>
          <cell r="AD801" t="str">
            <v>Vocal Cord</v>
          </cell>
          <cell r="AE801" t="str">
            <v>Male</v>
          </cell>
          <cell r="AF801">
            <v>25</v>
          </cell>
          <cell r="AG801" t="str">
            <v>N</v>
          </cell>
          <cell r="AH801">
            <v>4.5999999999999996</v>
          </cell>
          <cell r="AI801" t="str">
            <v>Kalappa</v>
          </cell>
          <cell r="AJ801" t="str">
            <v>Biopsy</v>
          </cell>
          <cell r="AK801" t="str">
            <v>Primary</v>
          </cell>
          <cell r="AN801" t="str">
            <v>IV</v>
          </cell>
          <cell r="AO801">
            <v>2</v>
          </cell>
          <cell r="AP801" t="str">
            <v>pT4apN3b.</v>
          </cell>
          <cell r="AS801" t="str">
            <v>MDSCC(Moderately Differentiated Squamous cell carcinoma)</v>
          </cell>
          <cell r="AV801">
            <v>45268</v>
          </cell>
          <cell r="AW801">
            <v>0.74097222222222225</v>
          </cell>
          <cell r="AX801">
            <v>0.79027777777777775</v>
          </cell>
          <cell r="AY801">
            <v>4.9305555555555554E-2</v>
          </cell>
          <cell r="AZ801">
            <v>6.9444444444444448E-2</v>
          </cell>
          <cell r="BA801">
            <v>0.20694444444444443</v>
          </cell>
          <cell r="BB801" t="str">
            <v>0.1*0.1*0.1</v>
          </cell>
          <cell r="BD801" t="str">
            <v>Manual</v>
          </cell>
          <cell r="BE801">
            <v>15</v>
          </cell>
          <cell r="BF801" t="str">
            <v xml:space="preserve">sai </v>
          </cell>
          <cell r="BG801" t="str">
            <v>Y</v>
          </cell>
        </row>
        <row r="802">
          <cell r="A802" t="str">
            <v>FBR1Q230367</v>
          </cell>
          <cell r="B802">
            <v>230367</v>
          </cell>
          <cell r="C802" t="str">
            <v>R&amp;D</v>
          </cell>
          <cell r="D802">
            <v>45268</v>
          </cell>
          <cell r="E802">
            <v>0.4861111111111111</v>
          </cell>
          <cell r="F802">
            <v>45261</v>
          </cell>
          <cell r="G802">
            <v>45268</v>
          </cell>
          <cell r="H802">
            <v>0.82222222222222219</v>
          </cell>
          <cell r="I802">
            <v>0.33611111111111114</v>
          </cell>
          <cell r="J802">
            <v>25</v>
          </cell>
          <cell r="K802" t="str">
            <v>FCB-PROTOCOL-01</v>
          </cell>
          <cell r="L802" t="str">
            <v>CLN/DBR/165</v>
          </cell>
          <cell r="M802" t="str">
            <v>Y</v>
          </cell>
          <cell r="P802" t="str">
            <v>Q1 Passed</v>
          </cell>
          <cell r="Q802" t="str">
            <v>Q1 Passed</v>
          </cell>
          <cell r="R802" t="str">
            <v>Compromised</v>
          </cell>
          <cell r="S802" t="str">
            <v>Q1.5 Passed</v>
          </cell>
          <cell r="T802" t="str">
            <v>Blood Heamolysed</v>
          </cell>
          <cell r="V802" t="str">
            <v>Tumor content 4-35%</v>
          </cell>
          <cell r="W802" t="str">
            <v>Clinic'les</v>
          </cell>
          <cell r="X802" t="str">
            <v>Clinic'les- DBR &amp; SK Hospital, Tirupati</v>
          </cell>
          <cell r="Y802" t="str">
            <v>DBR &amp; SK Hospital, Tirupati</v>
          </cell>
          <cell r="Z802" t="str">
            <v>Dr C Jayaprakash, Tirupati</v>
          </cell>
          <cell r="AA802" t="str">
            <v>Ca Breast</v>
          </cell>
          <cell r="AC802" t="str">
            <v>Breast</v>
          </cell>
          <cell r="AD802" t="str">
            <v>Right Breast</v>
          </cell>
          <cell r="AE802" t="str">
            <v>Female</v>
          </cell>
          <cell r="AF802">
            <v>48</v>
          </cell>
          <cell r="AG802" t="str">
            <v>N</v>
          </cell>
          <cell r="AH802">
            <v>5.8</v>
          </cell>
          <cell r="AI802" t="str">
            <v>Maruthi</v>
          </cell>
          <cell r="AJ802" t="str">
            <v>Surgery</v>
          </cell>
          <cell r="AK802" t="str">
            <v>Primary</v>
          </cell>
          <cell r="AN802" t="str">
            <v>IIIc</v>
          </cell>
          <cell r="AO802">
            <v>2</v>
          </cell>
          <cell r="AP802" t="str">
            <v>T2 N3 MX</v>
          </cell>
          <cell r="AV802">
            <v>45268</v>
          </cell>
          <cell r="AW802">
            <v>0.85416666666666663</v>
          </cell>
          <cell r="AX802">
            <v>0.9770833333333333</v>
          </cell>
          <cell r="AY802">
            <v>0.12291666666666666</v>
          </cell>
          <cell r="AZ802">
            <v>0.15486111111111112</v>
          </cell>
          <cell r="BA802">
            <v>0.4909722222222222</v>
          </cell>
          <cell r="BB802" t="str">
            <v>0.4/0.6*1.4/1.6*2.6</v>
          </cell>
          <cell r="BD802" t="str">
            <v>Manual</v>
          </cell>
          <cell r="BE802">
            <v>15</v>
          </cell>
          <cell r="BF802" t="str">
            <v>Mouniss</v>
          </cell>
          <cell r="BG802" t="str">
            <v>N</v>
          </cell>
        </row>
        <row r="803">
          <cell r="A803">
            <v>230368</v>
          </cell>
          <cell r="B803">
            <v>230368</v>
          </cell>
          <cell r="C803" t="str">
            <v>R&amp;D</v>
          </cell>
          <cell r="D803">
            <v>45268</v>
          </cell>
          <cell r="E803">
            <v>0.45</v>
          </cell>
          <cell r="F803">
            <v>45261</v>
          </cell>
          <cell r="G803">
            <v>45268</v>
          </cell>
          <cell r="H803">
            <v>0.82499999999999996</v>
          </cell>
          <cell r="I803">
            <v>0.375</v>
          </cell>
          <cell r="J803">
            <v>2</v>
          </cell>
          <cell r="K803" t="str">
            <v>FCB-PROTOCOL-01</v>
          </cell>
          <cell r="L803" t="str">
            <v>JSS-009</v>
          </cell>
          <cell r="M803" t="str">
            <v>Y</v>
          </cell>
          <cell r="N803" t="str">
            <v>No Study</v>
          </cell>
          <cell r="O803" t="str">
            <v>1st level attrition</v>
          </cell>
          <cell r="P803" t="str">
            <v>Q1 Rejected</v>
          </cell>
          <cell r="Q803" t="str">
            <v>Q1 Passed</v>
          </cell>
          <cell r="R803" t="str">
            <v>Q1.5 Rejected</v>
          </cell>
          <cell r="S803" t="str">
            <v>Q1.5 Rejected</v>
          </cell>
          <cell r="T803" t="str">
            <v>Fatty Tissue</v>
          </cell>
          <cell r="V803" t="str">
            <v>-</v>
          </cell>
          <cell r="W803" t="str">
            <v>Private Hospital</v>
          </cell>
          <cell r="X803" t="str">
            <v>Clinic'les- Dr Ravi Krishnappa, Mysore</v>
          </cell>
          <cell r="Y803" t="str">
            <v>JSS Hospital, Mysore</v>
          </cell>
          <cell r="Z803" t="str">
            <v>Dr Ravi Krishnappa, Mysore</v>
          </cell>
          <cell r="AA803" t="str">
            <v>Ca Breast</v>
          </cell>
          <cell r="AB803" t="str">
            <v>TNBC</v>
          </cell>
          <cell r="AC803" t="str">
            <v>Breast</v>
          </cell>
          <cell r="AD803" t="str">
            <v>Left Breast</v>
          </cell>
          <cell r="AE803" t="str">
            <v>Female</v>
          </cell>
          <cell r="AF803">
            <v>45</v>
          </cell>
          <cell r="AG803" t="str">
            <v>N</v>
          </cell>
          <cell r="AH803">
            <v>6.1</v>
          </cell>
          <cell r="AI803" t="str">
            <v>Maruthi</v>
          </cell>
          <cell r="AJ803" t="str">
            <v>Surgery</v>
          </cell>
          <cell r="AK803" t="str">
            <v>Primary</v>
          </cell>
          <cell r="AL803" t="str">
            <v>Chemotherapy</v>
          </cell>
          <cell r="AQ803">
            <v>8</v>
          </cell>
          <cell r="AR803" t="str">
            <v>Paclitaxel</v>
          </cell>
          <cell r="AV803">
            <v>45268</v>
          </cell>
        </row>
        <row r="804">
          <cell r="A804" t="str">
            <v>FBR1Q230369</v>
          </cell>
          <cell r="B804">
            <v>230369</v>
          </cell>
          <cell r="C804" t="str">
            <v>R&amp;D</v>
          </cell>
          <cell r="D804">
            <v>45268</v>
          </cell>
          <cell r="E804">
            <v>0.54166666666666663</v>
          </cell>
          <cell r="F804">
            <v>45261</v>
          </cell>
          <cell r="G804">
            <v>45268</v>
          </cell>
          <cell r="H804">
            <v>0.82499999999999996</v>
          </cell>
          <cell r="I804">
            <v>0.28333333333333333</v>
          </cell>
          <cell r="J804">
            <v>2</v>
          </cell>
          <cell r="K804" t="str">
            <v>FCB-PROTOCOL-01</v>
          </cell>
          <cell r="L804" t="str">
            <v>JSS-010</v>
          </cell>
          <cell r="M804" t="str">
            <v>Y</v>
          </cell>
          <cell r="P804" t="str">
            <v>Q1 Passed</v>
          </cell>
          <cell r="Q804" t="str">
            <v>Q1 Passed</v>
          </cell>
          <cell r="R804" t="str">
            <v>Q1.5 Passed</v>
          </cell>
          <cell r="S804" t="str">
            <v>Q1.5 Passed</v>
          </cell>
          <cell r="V804" t="str">
            <v>Tumor content 0-20%      Average tumor content 8%</v>
          </cell>
          <cell r="W804" t="str">
            <v>Private Hospital</v>
          </cell>
          <cell r="X804" t="str">
            <v>Clinic'les- Dr Ravi Krishnappa, Mysore</v>
          </cell>
          <cell r="Y804" t="str">
            <v>JSS Hospital, Mysore</v>
          </cell>
          <cell r="Z804" t="str">
            <v>Dr Ravi Krishnappa, Mysore</v>
          </cell>
          <cell r="AA804" t="str">
            <v>Ca Breast</v>
          </cell>
          <cell r="AB804" t="str">
            <v>Er (+)
Pr (-)
Her2 (-)</v>
          </cell>
          <cell r="AC804" t="str">
            <v>Breast</v>
          </cell>
          <cell r="AD804" t="str">
            <v>Right Breast</v>
          </cell>
          <cell r="AE804" t="str">
            <v>Female</v>
          </cell>
          <cell r="AF804">
            <v>48</v>
          </cell>
          <cell r="AG804" t="str">
            <v>N</v>
          </cell>
          <cell r="AH804">
            <v>6.1</v>
          </cell>
          <cell r="AI804" t="str">
            <v>Maruthi</v>
          </cell>
          <cell r="AJ804" t="str">
            <v>Surgery</v>
          </cell>
          <cell r="AK804" t="str">
            <v>Primary</v>
          </cell>
          <cell r="AL804" t="str">
            <v>Chemotherapy</v>
          </cell>
          <cell r="AQ804">
            <v>12</v>
          </cell>
          <cell r="AR804" t="str">
            <v>Paclitaxel</v>
          </cell>
          <cell r="AV804">
            <v>45268</v>
          </cell>
          <cell r="AW804">
            <v>0.85416666666666663</v>
          </cell>
          <cell r="AX804">
            <v>0.9375</v>
          </cell>
          <cell r="AY804">
            <v>8.3333333333333329E-2</v>
          </cell>
          <cell r="AZ804">
            <v>0.1125</v>
          </cell>
          <cell r="BA804">
            <v>0.39583333333333331</v>
          </cell>
          <cell r="BB804" t="str">
            <v>0.6/0.7*1.6*2.0
0.6/0.8*2.6*2.0
0.3*1.2*2.6</v>
          </cell>
          <cell r="BC804" t="str">
            <v>0.6*1.2*0.8
0.4/0.6*0.6*0.8
0.4*0.4*1.0
0.4*0.6*1.0</v>
          </cell>
          <cell r="BD804" t="str">
            <v>Manual</v>
          </cell>
          <cell r="BE804">
            <v>15</v>
          </cell>
          <cell r="BF804" t="str">
            <v>Kowshik</v>
          </cell>
          <cell r="BG804" t="str">
            <v>Y</v>
          </cell>
        </row>
        <row r="805">
          <cell r="A805" t="str">
            <v>FBR1W230370</v>
          </cell>
          <cell r="B805">
            <v>230370</v>
          </cell>
          <cell r="C805" t="str">
            <v>R&amp;D</v>
          </cell>
          <cell r="D805">
            <v>45269</v>
          </cell>
          <cell r="E805">
            <v>0.59722222222222221</v>
          </cell>
          <cell r="F805">
            <v>45261</v>
          </cell>
          <cell r="G805">
            <v>45269</v>
          </cell>
          <cell r="H805">
            <v>0.67777777777777781</v>
          </cell>
          <cell r="I805">
            <v>8.0555555555555561E-2</v>
          </cell>
          <cell r="J805">
            <v>0</v>
          </cell>
          <cell r="K805" t="str">
            <v>FCB-PROTOCOL-02</v>
          </cell>
          <cell r="L805" t="str">
            <v>BC028</v>
          </cell>
          <cell r="M805" t="str">
            <v>Y</v>
          </cell>
          <cell r="N805" t="str">
            <v>Biopsy Cabr-BSS (1W)</v>
          </cell>
          <cell r="O805" t="str">
            <v>Internal R&amp;D</v>
          </cell>
          <cell r="P805" t="str">
            <v>Q1 Passed</v>
          </cell>
          <cell r="Q805" t="str">
            <v>Q1 Rejected</v>
          </cell>
          <cell r="R805" t="str">
            <v>Compromised</v>
          </cell>
          <cell r="S805" t="str">
            <v>Q1.5 Passed</v>
          </cell>
          <cell r="T805" t="str">
            <v>Blood Heamolysed</v>
          </cell>
          <cell r="V805" t="str">
            <v>Only 1 fragment shows few cells suspicious for malignancy. (1%) Others no tumor</v>
          </cell>
          <cell r="W805" t="str">
            <v>Private Hospital</v>
          </cell>
          <cell r="X805" t="str">
            <v>Mazumdar Shaw Medical Centre, Bangalore</v>
          </cell>
          <cell r="Y805" t="str">
            <v>Mazumdar Shaw Medical Centre, Bangalore</v>
          </cell>
          <cell r="Z805" t="str">
            <v>Dr Akshita Singh</v>
          </cell>
          <cell r="AA805" t="str">
            <v>Ca Breast</v>
          </cell>
          <cell r="AC805" t="str">
            <v>Breast</v>
          </cell>
          <cell r="AD805" t="str">
            <v>Right Breast</v>
          </cell>
          <cell r="AE805" t="str">
            <v>Female</v>
          </cell>
          <cell r="AF805">
            <v>35</v>
          </cell>
          <cell r="AG805" t="str">
            <v>N</v>
          </cell>
          <cell r="AH805">
            <v>4.8</v>
          </cell>
          <cell r="AI805" t="str">
            <v>Partha</v>
          </cell>
          <cell r="AJ805" t="str">
            <v>Biopsy</v>
          </cell>
          <cell r="AK805" t="str">
            <v>Primary</v>
          </cell>
          <cell r="AV805">
            <v>45269</v>
          </cell>
          <cell r="AW805">
            <v>0.68402777777777779</v>
          </cell>
          <cell r="AX805">
            <v>0.73263888888888884</v>
          </cell>
          <cell r="AY805">
            <v>4.8611111111111112E-2</v>
          </cell>
          <cell r="AZ805">
            <v>5.486111111111111E-2</v>
          </cell>
          <cell r="BA805">
            <v>0.13541666666666666</v>
          </cell>
          <cell r="BB805" t="str">
            <v>4 cores
0.4 to 1.8</v>
          </cell>
          <cell r="BD805" t="str">
            <v>Manual</v>
          </cell>
          <cell r="BE805">
            <v>15</v>
          </cell>
          <cell r="BF805" t="str">
            <v>Syam</v>
          </cell>
          <cell r="BG805" t="str">
            <v>N</v>
          </cell>
        </row>
        <row r="806">
          <cell r="A806" t="str">
            <v>FBR2C230371</v>
          </cell>
          <cell r="B806">
            <v>230371</v>
          </cell>
          <cell r="C806" t="str">
            <v>R&amp;D</v>
          </cell>
          <cell r="D806">
            <v>45271</v>
          </cell>
          <cell r="E806">
            <v>0.64583333333333337</v>
          </cell>
          <cell r="F806">
            <v>45261</v>
          </cell>
          <cell r="G806">
            <v>45271</v>
          </cell>
          <cell r="H806">
            <v>0.70902777777777781</v>
          </cell>
          <cell r="I806">
            <v>6.3194444444444442E-2</v>
          </cell>
          <cell r="J806">
            <v>13</v>
          </cell>
          <cell r="K806" t="str">
            <v>FCB-PROTOCOL-02</v>
          </cell>
          <cell r="L806" t="str">
            <v>RC043</v>
          </cell>
          <cell r="M806" t="str">
            <v>Y</v>
          </cell>
          <cell r="P806" t="str">
            <v>Q1 Passed</v>
          </cell>
          <cell r="Q806" t="str">
            <v>Q1 Passed</v>
          </cell>
          <cell r="R806" t="str">
            <v>Q1.5 Passed</v>
          </cell>
          <cell r="S806" t="str">
            <v>Q1.5 Passed</v>
          </cell>
          <cell r="V806" t="str">
            <v>Tumor content 85-95%</v>
          </cell>
          <cell r="W806" t="str">
            <v>Private Hospital</v>
          </cell>
          <cell r="X806" t="str">
            <v>Mazumdar Shaw Medical Centre, Bangalore</v>
          </cell>
          <cell r="Y806" t="str">
            <v>Mazumdar Shaw Medical Centre, Bangalore</v>
          </cell>
          <cell r="Z806" t="str">
            <v>Dr Saurabh Bhargav, Bangalore</v>
          </cell>
          <cell r="AA806" t="str">
            <v>RCC</v>
          </cell>
          <cell r="AC806" t="str">
            <v>Renal</v>
          </cell>
          <cell r="AD806" t="str">
            <v>Left Renal Mass</v>
          </cell>
          <cell r="AE806" t="str">
            <v>Male</v>
          </cell>
          <cell r="AF806">
            <v>50</v>
          </cell>
          <cell r="AG806" t="str">
            <v>N</v>
          </cell>
          <cell r="AH806">
            <v>5.2</v>
          </cell>
          <cell r="AI806" t="str">
            <v>Partha</v>
          </cell>
          <cell r="AJ806" t="str">
            <v>Surgery</v>
          </cell>
          <cell r="AK806" t="str">
            <v>Primary</v>
          </cell>
          <cell r="AN806" t="str">
            <v>I</v>
          </cell>
          <cell r="AO806">
            <v>2</v>
          </cell>
          <cell r="AP806" t="str">
            <v>pT1b</v>
          </cell>
          <cell r="AS806" t="str">
            <v>Clear cell renal carcinoma</v>
          </cell>
          <cell r="AV806">
            <v>45271</v>
          </cell>
          <cell r="AW806">
            <v>0.72083333333333333</v>
          </cell>
          <cell r="AX806">
            <v>0.75972222222222219</v>
          </cell>
          <cell r="AY806">
            <v>3.888888888888889E-2</v>
          </cell>
          <cell r="AZ806">
            <v>5.0694444444444445E-2</v>
          </cell>
          <cell r="BA806">
            <v>0.11388888888888889</v>
          </cell>
          <cell r="BD806" t="str">
            <v>Manual</v>
          </cell>
          <cell r="BE806">
            <v>15</v>
          </cell>
          <cell r="BF806" t="str">
            <v>Dharani</v>
          </cell>
          <cell r="BG806" t="str">
            <v>Y</v>
          </cell>
        </row>
        <row r="807">
          <cell r="A807" t="str">
            <v>FBB1K23072</v>
          </cell>
          <cell r="B807">
            <v>230372</v>
          </cell>
          <cell r="C807" t="str">
            <v>Biopharma</v>
          </cell>
          <cell r="D807">
            <v>45272</v>
          </cell>
          <cell r="E807">
            <v>0.49236111111111114</v>
          </cell>
          <cell r="F807">
            <v>45261</v>
          </cell>
          <cell r="G807">
            <v>45272</v>
          </cell>
          <cell r="H807">
            <v>0.56458333333333333</v>
          </cell>
          <cell r="I807">
            <v>7.2222222222222215E-2</v>
          </cell>
          <cell r="J807">
            <v>11</v>
          </cell>
          <cell r="K807" t="str">
            <v>FCB-PROTOCOL-02</v>
          </cell>
          <cell r="L807" t="str">
            <v>HN109</v>
          </cell>
          <cell r="M807" t="str">
            <v>Y</v>
          </cell>
          <cell r="P807" t="str">
            <v>Q1 Passed</v>
          </cell>
          <cell r="Q807" t="str">
            <v>Q1 Passed</v>
          </cell>
          <cell r="R807" t="str">
            <v>Q1.5 Passed</v>
          </cell>
          <cell r="S807" t="str">
            <v>Q1.5 Rejected</v>
          </cell>
          <cell r="T807" t="str">
            <v>T48 plate contaminated</v>
          </cell>
          <cell r="V807" t="str">
            <v>Tumor content 45-85%</v>
          </cell>
          <cell r="W807" t="str">
            <v>Private Hospital</v>
          </cell>
          <cell r="X807" t="str">
            <v>Mazumdar Shaw Medical Centre, Bangalore</v>
          </cell>
          <cell r="Y807" t="str">
            <v>Mazumdar Shaw Medical Centre, Bangalore</v>
          </cell>
          <cell r="Z807" t="str">
            <v>Dr Vijay Pillai, Bangalore</v>
          </cell>
          <cell r="AA807" t="str">
            <v>HNSCC</v>
          </cell>
          <cell r="AC807" t="str">
            <v>GBS</v>
          </cell>
          <cell r="AD807" t="str">
            <v>Right upper GBS</v>
          </cell>
          <cell r="AE807" t="str">
            <v>Male</v>
          </cell>
          <cell r="AF807">
            <v>39</v>
          </cell>
          <cell r="AG807" t="str">
            <v>N</v>
          </cell>
          <cell r="AH807">
            <v>4.5999999999999996</v>
          </cell>
          <cell r="AI807" t="str">
            <v>Partha</v>
          </cell>
          <cell r="AJ807" t="str">
            <v>Surgery</v>
          </cell>
          <cell r="AK807" t="str">
            <v>Primary</v>
          </cell>
          <cell r="AN807" t="str">
            <v>IV</v>
          </cell>
          <cell r="AO807">
            <v>2</v>
          </cell>
          <cell r="AP807" t="str">
            <v>pT4aN0</v>
          </cell>
          <cell r="AS807" t="str">
            <v>MDSCC(Moderately Differentiated Squamous cell carcinoma)</v>
          </cell>
          <cell r="AV807">
            <v>45272</v>
          </cell>
          <cell r="AW807">
            <v>0.62361111111111112</v>
          </cell>
          <cell r="AX807">
            <v>0.70833333333333337</v>
          </cell>
          <cell r="AY807">
            <v>8.4722222222222227E-2</v>
          </cell>
          <cell r="AZ807">
            <v>0.14374999999999999</v>
          </cell>
          <cell r="BA807">
            <v>0.21597222222222223</v>
          </cell>
          <cell r="BB807" t="str">
            <v>0.2/0.4*1.1*1.4
0.3*1.5*1.8</v>
          </cell>
          <cell r="BD807" t="str">
            <v>Vibratome</v>
          </cell>
          <cell r="BE807">
            <v>15</v>
          </cell>
          <cell r="BF807" t="str">
            <v>Dharani</v>
          </cell>
          <cell r="BG807" t="str">
            <v>Y</v>
          </cell>
        </row>
        <row r="808">
          <cell r="A808" t="str">
            <v>FBB1K230373</v>
          </cell>
          <cell r="B808">
            <v>230373</v>
          </cell>
          <cell r="C808" t="str">
            <v>Biopharma</v>
          </cell>
          <cell r="D808">
            <v>45272</v>
          </cell>
          <cell r="E808">
            <v>0.48958333333333331</v>
          </cell>
          <cell r="F808">
            <v>45261</v>
          </cell>
          <cell r="G808">
            <v>45272</v>
          </cell>
          <cell r="H808">
            <v>0.83125000000000004</v>
          </cell>
          <cell r="I808">
            <v>0.34166666666666667</v>
          </cell>
          <cell r="J808">
            <v>15</v>
          </cell>
          <cell r="K808" t="str">
            <v>FCB-PROTOCOL-01</v>
          </cell>
          <cell r="L808" t="str">
            <v>CLN/DBR/166</v>
          </cell>
          <cell r="M808" t="str">
            <v>Y</v>
          </cell>
          <cell r="P808" t="str">
            <v>Q1 Passed</v>
          </cell>
          <cell r="Q808" t="str">
            <v>Q1 Passed</v>
          </cell>
          <cell r="R808" t="str">
            <v>Q1.5 Passed</v>
          </cell>
          <cell r="S808" t="str">
            <v>Q1.5 Passed</v>
          </cell>
          <cell r="V808" t="str">
            <v>Tumor content 70-85%</v>
          </cell>
          <cell r="W808" t="str">
            <v>Clinic'les</v>
          </cell>
          <cell r="X808" t="str">
            <v>Clinic'les- DBR &amp; SK Hospital, Tirupati</v>
          </cell>
          <cell r="Y808" t="str">
            <v>DBR &amp; SK Hospital, Tirupati</v>
          </cell>
          <cell r="Z808" t="str">
            <v>Dr C Jayaprakash, Tirupati</v>
          </cell>
          <cell r="AA808" t="str">
            <v>HNSCC</v>
          </cell>
          <cell r="AC808" t="str">
            <v>Buccal Mucosa</v>
          </cell>
          <cell r="AD808" t="str">
            <v>Left Buccal Mucosa</v>
          </cell>
          <cell r="AE808" t="str">
            <v>Female</v>
          </cell>
          <cell r="AF808">
            <v>57</v>
          </cell>
          <cell r="AG808" t="str">
            <v>N</v>
          </cell>
          <cell r="AH808">
            <v>5.6</v>
          </cell>
          <cell r="AI808" t="str">
            <v>Maruthi</v>
          </cell>
          <cell r="AJ808" t="str">
            <v>Surgery</v>
          </cell>
          <cell r="AK808" t="str">
            <v>Primary</v>
          </cell>
          <cell r="AN808" t="str">
            <v>III</v>
          </cell>
          <cell r="AP808" t="str">
            <v>T3 N0 MX</v>
          </cell>
          <cell r="AV808">
            <v>45272</v>
          </cell>
          <cell r="AW808">
            <v>0.84583333333333333</v>
          </cell>
          <cell r="AX808">
            <v>0.94652777777777775</v>
          </cell>
          <cell r="AY808">
            <v>0.10069444444444445</v>
          </cell>
          <cell r="AZ808">
            <v>0.11527777777777778</v>
          </cell>
          <cell r="BA808">
            <v>0.45694444444444443</v>
          </cell>
          <cell r="BB808" t="str">
            <v>1.3*2.0/1.2*2.4/2.0</v>
          </cell>
          <cell r="BD808" t="str">
            <v>Vibratome</v>
          </cell>
          <cell r="BE808">
            <v>15</v>
          </cell>
          <cell r="BF808" t="str">
            <v>Mouniss</v>
          </cell>
          <cell r="BG808" t="str">
            <v>Y</v>
          </cell>
        </row>
        <row r="809">
          <cell r="A809" t="str">
            <v>FBR1Z230373</v>
          </cell>
          <cell r="B809">
            <v>230373</v>
          </cell>
          <cell r="C809" t="str">
            <v>R&amp;D</v>
          </cell>
          <cell r="D809">
            <v>45272</v>
          </cell>
          <cell r="E809">
            <v>0.48958333333333331</v>
          </cell>
          <cell r="F809">
            <v>45261</v>
          </cell>
          <cell r="G809">
            <v>45272</v>
          </cell>
          <cell r="H809">
            <v>0.83125000000000004</v>
          </cell>
          <cell r="I809">
            <v>0.34166666666666667</v>
          </cell>
          <cell r="J809">
            <v>15</v>
          </cell>
          <cell r="K809" t="str">
            <v>FCB-PROTOCOL-01</v>
          </cell>
          <cell r="L809" t="str">
            <v>CLN/DBR/166</v>
          </cell>
          <cell r="M809" t="str">
            <v>Y</v>
          </cell>
          <cell r="P809" t="str">
            <v>Q1 Passed</v>
          </cell>
          <cell r="Q809" t="str">
            <v>Q1 Passed</v>
          </cell>
          <cell r="R809" t="str">
            <v>Q1.5 Passed</v>
          </cell>
          <cell r="S809" t="str">
            <v>Q1.5 Passed</v>
          </cell>
          <cell r="V809" t="str">
            <v>Tumor content 70-85%</v>
          </cell>
          <cell r="W809" t="str">
            <v>Clinic'les</v>
          </cell>
          <cell r="X809" t="str">
            <v>Clinic'les- DBR &amp; SK Hospital, Tirupati</v>
          </cell>
          <cell r="Y809" t="str">
            <v>DBR &amp; SK Hospital, Tirupati</v>
          </cell>
          <cell r="Z809" t="str">
            <v>Dr C Jayaprakash, Tirupati</v>
          </cell>
          <cell r="AA809" t="str">
            <v>HNSCC</v>
          </cell>
          <cell r="AC809" t="str">
            <v>Buccal Mucosa</v>
          </cell>
          <cell r="AD809" t="str">
            <v>Left Buccal Mucosa</v>
          </cell>
          <cell r="AE809" t="str">
            <v>Female</v>
          </cell>
          <cell r="AF809">
            <v>57</v>
          </cell>
          <cell r="AG809" t="str">
            <v>N</v>
          </cell>
          <cell r="AH809">
            <v>5.6</v>
          </cell>
          <cell r="AI809" t="str">
            <v>Maruthi</v>
          </cell>
          <cell r="AJ809" t="str">
            <v>Surgery</v>
          </cell>
          <cell r="AK809" t="str">
            <v>Primary</v>
          </cell>
          <cell r="AN809" t="str">
            <v>III</v>
          </cell>
          <cell r="AP809" t="str">
            <v>T3 N0 MX</v>
          </cell>
          <cell r="AV809">
            <v>45272</v>
          </cell>
          <cell r="AW809">
            <v>0.84583333333333333</v>
          </cell>
          <cell r="AX809">
            <v>1.0458333333333334</v>
          </cell>
          <cell r="AY809">
            <v>0.2</v>
          </cell>
          <cell r="AZ809">
            <v>0.21458333333333332</v>
          </cell>
          <cell r="BA809">
            <v>0.55625000000000002</v>
          </cell>
          <cell r="BB809" t="str">
            <v>1.3*2.0/1.2*2.4/2.0</v>
          </cell>
          <cell r="BD809" t="str">
            <v>Vibratome</v>
          </cell>
          <cell r="BE809">
            <v>15</v>
          </cell>
          <cell r="BF809" t="str">
            <v>Mouniss</v>
          </cell>
          <cell r="BG809" t="str">
            <v>Y</v>
          </cell>
        </row>
        <row r="810">
          <cell r="A810" t="str">
            <v>FBR1Y230374</v>
          </cell>
          <cell r="B810">
            <v>230374</v>
          </cell>
          <cell r="C810" t="str">
            <v>R&amp;D</v>
          </cell>
          <cell r="D810">
            <v>45273</v>
          </cell>
          <cell r="E810">
            <v>0.45763888888888887</v>
          </cell>
          <cell r="F810">
            <v>45261</v>
          </cell>
          <cell r="G810">
            <v>45273</v>
          </cell>
          <cell r="H810">
            <v>0.52500000000000002</v>
          </cell>
          <cell r="I810">
            <v>6.7361111111111108E-2</v>
          </cell>
          <cell r="J810">
            <v>1</v>
          </cell>
          <cell r="K810" t="str">
            <v>FCB-PROTOCOL-01</v>
          </cell>
          <cell r="L810" t="str">
            <v>VYD/230</v>
          </cell>
          <cell r="M810" t="str">
            <v>Y</v>
          </cell>
          <cell r="P810" t="str">
            <v>Q1 Passed</v>
          </cell>
          <cell r="Q810" t="str">
            <v>Q1 Passed</v>
          </cell>
          <cell r="R810" t="str">
            <v>Q1.5 Passed</v>
          </cell>
          <cell r="S810" t="str">
            <v>Q1.5 Passed</v>
          </cell>
          <cell r="V810" t="str">
            <v>Tumor content 45-70%</v>
          </cell>
          <cell r="W810" t="str">
            <v>Private Hospital</v>
          </cell>
          <cell r="X810" t="str">
            <v>Vydehi Hospital, Bangalore</v>
          </cell>
          <cell r="Y810" t="str">
            <v>Vydehi Hospital, Bangalore</v>
          </cell>
          <cell r="Z810" t="str">
            <v>Dr Amritha Prabha, Bangalore</v>
          </cell>
          <cell r="AA810" t="str">
            <v>HNSCC</v>
          </cell>
          <cell r="AC810" t="str">
            <v>Tongue</v>
          </cell>
          <cell r="AD810" t="str">
            <v>Left Lateral Border of Tongue</v>
          </cell>
          <cell r="AE810" t="str">
            <v>Male</v>
          </cell>
          <cell r="AF810">
            <v>73</v>
          </cell>
          <cell r="AG810" t="str">
            <v>N</v>
          </cell>
          <cell r="AH810">
            <v>4.5999999999999996</v>
          </cell>
          <cell r="AI810" t="str">
            <v>Kalappa</v>
          </cell>
          <cell r="AJ810" t="str">
            <v>Surgery</v>
          </cell>
          <cell r="AK810" t="str">
            <v>Primary</v>
          </cell>
          <cell r="AN810" t="str">
            <v>III</v>
          </cell>
          <cell r="AO810">
            <v>2</v>
          </cell>
          <cell r="AP810" t="str">
            <v>T3N1</v>
          </cell>
          <cell r="AS810" t="str">
            <v>SCC</v>
          </cell>
          <cell r="AT810" t="str">
            <v>RT</v>
          </cell>
          <cell r="AV810">
            <v>45273</v>
          </cell>
          <cell r="AW810">
            <v>0.5625</v>
          </cell>
          <cell r="AX810">
            <v>0.68055555555555558</v>
          </cell>
          <cell r="AY810">
            <v>0.11805555555555555</v>
          </cell>
          <cell r="AZ810">
            <v>0.15555555555555556</v>
          </cell>
          <cell r="BA810">
            <v>0.22291666666666668</v>
          </cell>
          <cell r="BB810" t="str">
            <v>0.8*1.3*1.4
0.8*0.3/1.0*1.5</v>
          </cell>
          <cell r="BD810" t="str">
            <v>Vibratome</v>
          </cell>
          <cell r="BE810">
            <v>15</v>
          </cell>
          <cell r="BF810" t="str">
            <v>Syam</v>
          </cell>
          <cell r="BG810" t="str">
            <v>Y</v>
          </cell>
        </row>
        <row r="811">
          <cell r="A811" t="str">
            <v>FBR1Y230375</v>
          </cell>
          <cell r="B811">
            <v>230375</v>
          </cell>
          <cell r="C811" t="str">
            <v>R&amp;D</v>
          </cell>
          <cell r="D811">
            <v>45274</v>
          </cell>
          <cell r="E811">
            <v>0.65486111111111112</v>
          </cell>
          <cell r="F811">
            <v>45261</v>
          </cell>
          <cell r="G811">
            <v>45274</v>
          </cell>
          <cell r="H811">
            <v>0.7055555555555556</v>
          </cell>
          <cell r="I811">
            <v>5.0694444444444445E-2</v>
          </cell>
          <cell r="J811">
            <v>12</v>
          </cell>
          <cell r="K811" t="str">
            <v>FCB-PROTOCOL-02</v>
          </cell>
          <cell r="L811" t="str">
            <v>HN110</v>
          </cell>
          <cell r="M811" t="str">
            <v>Y</v>
          </cell>
          <cell r="P811" t="str">
            <v>Q1 Passed</v>
          </cell>
          <cell r="Q811" t="str">
            <v>Q1 Passed</v>
          </cell>
          <cell r="R811" t="str">
            <v>Compromised</v>
          </cell>
          <cell r="S811" t="str">
            <v>Q1.5 Passed</v>
          </cell>
          <cell r="V811" t="str">
            <v>Tumor content 55-95%</v>
          </cell>
          <cell r="W811" t="str">
            <v>Private Hospital</v>
          </cell>
          <cell r="X811" t="str">
            <v>Mazumdar Shaw Medical Centre, Bangalore</v>
          </cell>
          <cell r="Y811" t="str">
            <v>Mazumdar Shaw Medical Centre, Bangalore</v>
          </cell>
          <cell r="Z811" t="str">
            <v>Dr Vijay Pillai, Bangalore</v>
          </cell>
          <cell r="AA811" t="str">
            <v>HNSCC</v>
          </cell>
          <cell r="AC811" t="str">
            <v>Buccal Mucosa</v>
          </cell>
          <cell r="AD811" t="str">
            <v>Left Buccal Mucosa</v>
          </cell>
          <cell r="AE811" t="str">
            <v>Male</v>
          </cell>
          <cell r="AF811">
            <v>40</v>
          </cell>
          <cell r="AG811" t="str">
            <v>N</v>
          </cell>
          <cell r="AH811">
            <v>4.2</v>
          </cell>
          <cell r="AI811" t="str">
            <v>Kalappa</v>
          </cell>
          <cell r="AJ811" t="str">
            <v>Surgery</v>
          </cell>
          <cell r="AK811" t="str">
            <v>Primary</v>
          </cell>
          <cell r="AN811" t="str">
            <v>IV</v>
          </cell>
          <cell r="AO811">
            <v>3</v>
          </cell>
          <cell r="AP811" t="str">
            <v>pT4bpN3b</v>
          </cell>
          <cell r="AQ811" t="str">
            <v>NA</v>
          </cell>
          <cell r="AS811" t="str">
            <v>Poorly differentiated squamous cell carcinoma</v>
          </cell>
          <cell r="AV811">
            <v>45274</v>
          </cell>
          <cell r="AW811">
            <v>0.72222222222222221</v>
          </cell>
          <cell r="AX811">
            <v>0.76388888888888884</v>
          </cell>
          <cell r="AY811">
            <v>4.1666666666666664E-2</v>
          </cell>
          <cell r="AZ811">
            <v>5.8333333333333334E-2</v>
          </cell>
          <cell r="BA811">
            <v>0.10902777777777778</v>
          </cell>
          <cell r="BB811" t="str">
            <v>0.1/0.4*1.05*1.8</v>
          </cell>
          <cell r="BD811" t="str">
            <v>Manual</v>
          </cell>
          <cell r="BE811">
            <v>15</v>
          </cell>
          <cell r="BF811" t="str">
            <v xml:space="preserve">sai </v>
          </cell>
          <cell r="BG811" t="str">
            <v>Y</v>
          </cell>
        </row>
        <row r="812">
          <cell r="A812" t="str">
            <v>FBR1Q230376</v>
          </cell>
          <cell r="B812">
            <v>230376</v>
          </cell>
          <cell r="C812" t="str">
            <v>R&amp;D</v>
          </cell>
          <cell r="D812">
            <v>45274</v>
          </cell>
          <cell r="E812">
            <v>0.48958333333333331</v>
          </cell>
          <cell r="F812">
            <v>45261</v>
          </cell>
          <cell r="G812">
            <v>45274</v>
          </cell>
          <cell r="H812">
            <v>0.84444444444444444</v>
          </cell>
          <cell r="I812">
            <v>0.35486111111111113</v>
          </cell>
          <cell r="J812">
            <v>20</v>
          </cell>
          <cell r="K812" t="str">
            <v>FCB-PROTOCOL-01</v>
          </cell>
          <cell r="L812" t="str">
            <v>CLN/DBR/167</v>
          </cell>
          <cell r="M812" t="str">
            <v>Y</v>
          </cell>
          <cell r="P812" t="str">
            <v>Q1 Passed</v>
          </cell>
          <cell r="Q812" t="str">
            <v>Q1 Passed</v>
          </cell>
          <cell r="R812" t="str">
            <v>Q1.5 Passed</v>
          </cell>
          <cell r="S812" t="str">
            <v>Q1.5 Passed</v>
          </cell>
          <cell r="V812" t="str">
            <v>Tumor content 1-35%</v>
          </cell>
          <cell r="W812" t="str">
            <v>Clinic'les</v>
          </cell>
          <cell r="X812" t="str">
            <v>Clinic'les- DBR &amp; SK Hospital, Tirupati</v>
          </cell>
          <cell r="Y812" t="str">
            <v>DBR &amp; SK Hospital, Tirupati</v>
          </cell>
          <cell r="Z812" t="str">
            <v>Dr C Jayaprakash, Tirupati</v>
          </cell>
          <cell r="AA812" t="str">
            <v>Ca Breast</v>
          </cell>
          <cell r="AC812" t="str">
            <v>Breast</v>
          </cell>
          <cell r="AD812" t="str">
            <v>Right Breast</v>
          </cell>
          <cell r="AE812" t="str">
            <v>Female</v>
          </cell>
          <cell r="AF812">
            <v>41</v>
          </cell>
          <cell r="AG812" t="str">
            <v>N</v>
          </cell>
          <cell r="AH812">
            <v>6.2</v>
          </cell>
          <cell r="AI812" t="str">
            <v>Maruthi</v>
          </cell>
          <cell r="AJ812" t="str">
            <v>Surgery</v>
          </cell>
          <cell r="AK812" t="str">
            <v>Primary</v>
          </cell>
          <cell r="AN812" t="str">
            <v>IIIa</v>
          </cell>
          <cell r="AO812">
            <v>2</v>
          </cell>
          <cell r="AP812" t="str">
            <v>T3 N1 MX</v>
          </cell>
          <cell r="AV812">
            <v>45274</v>
          </cell>
          <cell r="AW812">
            <v>0.8930555555555556</v>
          </cell>
          <cell r="AX812">
            <v>0.94236111111111109</v>
          </cell>
          <cell r="AY812">
            <v>4.9305555555555554E-2</v>
          </cell>
          <cell r="AZ812">
            <v>9.7916666666666666E-2</v>
          </cell>
          <cell r="BA812">
            <v>0.45277777777777778</v>
          </cell>
          <cell r="BB812" t="str">
            <v>1.0/0.8*2.6*3.0/3.2</v>
          </cell>
          <cell r="BC812" t="str">
            <v>0.8/0.8*2.0*2.8</v>
          </cell>
          <cell r="BD812" t="str">
            <v>Manual</v>
          </cell>
          <cell r="BE812">
            <v>15</v>
          </cell>
          <cell r="BF812" t="str">
            <v>Dharani</v>
          </cell>
          <cell r="BG812" t="str">
            <v>Y</v>
          </cell>
        </row>
        <row r="813">
          <cell r="A813" t="str">
            <v>FBR1Z230377</v>
          </cell>
          <cell r="B813">
            <v>230377</v>
          </cell>
          <cell r="C813" t="str">
            <v>R&amp;D</v>
          </cell>
          <cell r="D813">
            <v>45275</v>
          </cell>
          <cell r="E813">
            <v>0.68333333333333335</v>
          </cell>
          <cell r="F813">
            <v>45261</v>
          </cell>
          <cell r="G813">
            <v>45275</v>
          </cell>
          <cell r="H813">
            <v>0.7729166666666667</v>
          </cell>
          <cell r="I813">
            <v>8.9583333333333334E-2</v>
          </cell>
          <cell r="J813">
            <v>1</v>
          </cell>
          <cell r="K813" t="str">
            <v>FCB-PROTOCOL-01</v>
          </cell>
          <cell r="L813" t="str">
            <v>CLN/PRA/241</v>
          </cell>
          <cell r="M813" t="str">
            <v>Y</v>
          </cell>
          <cell r="P813" t="str">
            <v>Q1 Passed</v>
          </cell>
          <cell r="Q813" t="str">
            <v>Q1 Passed</v>
          </cell>
          <cell r="R813" t="str">
            <v>Q1.5 Passed</v>
          </cell>
          <cell r="S813" t="str">
            <v>Q1.5 Passed</v>
          </cell>
          <cell r="V813" t="str">
            <v>Tumor content 15-94%</v>
          </cell>
          <cell r="W813" t="str">
            <v>Private Hospital</v>
          </cell>
          <cell r="X813" t="str">
            <v>Dr Prakash BV, Bangalore</v>
          </cell>
          <cell r="Y813" t="str">
            <v>Sri Lakshmi Hospital, Bangalore</v>
          </cell>
          <cell r="Z813" t="str">
            <v>Dr Prakash BV, Bangalore</v>
          </cell>
          <cell r="AA813" t="str">
            <v>HNSCC</v>
          </cell>
          <cell r="AC813" t="str">
            <v>GBS</v>
          </cell>
          <cell r="AD813" t="str">
            <v>Left Lower GBS</v>
          </cell>
          <cell r="AE813" t="str">
            <v>Female</v>
          </cell>
          <cell r="AF813">
            <v>54</v>
          </cell>
          <cell r="AG813" t="str">
            <v>N</v>
          </cell>
          <cell r="AH813">
            <v>4.8</v>
          </cell>
          <cell r="AI813" t="str">
            <v>Kalappa</v>
          </cell>
          <cell r="AJ813" t="str">
            <v>Surgery</v>
          </cell>
          <cell r="AK813" t="str">
            <v>Primary</v>
          </cell>
          <cell r="AN813" t="str">
            <v>III</v>
          </cell>
          <cell r="AO813">
            <v>2</v>
          </cell>
          <cell r="AP813" t="str">
            <v>pT4N0M0</v>
          </cell>
          <cell r="AV813">
            <v>45275</v>
          </cell>
          <cell r="AW813">
            <v>0.78680555555555554</v>
          </cell>
          <cell r="AX813">
            <v>0.81388888888888888</v>
          </cell>
          <cell r="AY813">
            <v>2.7083333333333334E-2</v>
          </cell>
          <cell r="AZ813">
            <v>4.0972222222222222E-2</v>
          </cell>
          <cell r="BA813">
            <v>0.13055555555555556</v>
          </cell>
          <cell r="BB813" t="str">
            <v>0.15*0.6/1.0*1.6/2.4</v>
          </cell>
          <cell r="BD813" t="str">
            <v>Manual</v>
          </cell>
          <cell r="BE813">
            <v>15</v>
          </cell>
          <cell r="BF813" t="str">
            <v>Dharani</v>
          </cell>
          <cell r="BG813" t="str">
            <v>Y</v>
          </cell>
        </row>
        <row r="814">
          <cell r="A814" t="str">
            <v>FBR2B230378</v>
          </cell>
          <cell r="B814">
            <v>230378</v>
          </cell>
          <cell r="C814" t="str">
            <v>R&amp;D</v>
          </cell>
          <cell r="D814">
            <v>45275</v>
          </cell>
          <cell r="E814">
            <v>0.64583333333333337</v>
          </cell>
          <cell r="F814">
            <v>45261</v>
          </cell>
          <cell r="G814">
            <v>45275</v>
          </cell>
          <cell r="H814">
            <v>0.8</v>
          </cell>
          <cell r="I814">
            <v>0.15416666666666667</v>
          </cell>
          <cell r="J814">
            <v>5</v>
          </cell>
          <cell r="K814" t="str">
            <v>FCB-PROTOCOL-01</v>
          </cell>
          <cell r="L814" t="str">
            <v>JSS-011</v>
          </cell>
          <cell r="M814" t="str">
            <v>Y</v>
          </cell>
          <cell r="P814" t="str">
            <v>Q1 Passed</v>
          </cell>
          <cell r="Q814" t="str">
            <v>Q1 Rejected</v>
          </cell>
          <cell r="R814" t="str">
            <v>Compromised</v>
          </cell>
          <cell r="S814" t="str">
            <v>Q1.5 Passed</v>
          </cell>
          <cell r="T814" t="str">
            <v>blood not collected</v>
          </cell>
          <cell r="V814" t="str">
            <v>Tumor content 0-45%</v>
          </cell>
          <cell r="W814" t="str">
            <v>Private Hospital</v>
          </cell>
          <cell r="X814" t="str">
            <v>Clinic'les- Dr Ravi Krishnappa, Mysore</v>
          </cell>
          <cell r="Y814" t="str">
            <v>JSS Hospital, Mysore</v>
          </cell>
          <cell r="Z814" t="str">
            <v>Dr Ravi Krishnappa, Mysore</v>
          </cell>
          <cell r="AA814" t="str">
            <v>Ca Ovary</v>
          </cell>
          <cell r="AC814" t="str">
            <v>Ovary</v>
          </cell>
          <cell r="AD814" t="str">
            <v>Ovary</v>
          </cell>
          <cell r="AE814" t="str">
            <v>Female</v>
          </cell>
          <cell r="AF814">
            <v>48</v>
          </cell>
          <cell r="AG814" t="str">
            <v>N</v>
          </cell>
          <cell r="AH814">
            <v>6.7</v>
          </cell>
          <cell r="AI814" t="str">
            <v>Maruthi</v>
          </cell>
          <cell r="AJ814" t="str">
            <v>Biopsy</v>
          </cell>
          <cell r="AK814" t="str">
            <v>Primary</v>
          </cell>
          <cell r="AV814">
            <v>45275</v>
          </cell>
          <cell r="AW814">
            <v>0.8305555555555556</v>
          </cell>
          <cell r="AX814">
            <v>0.84652777777777777</v>
          </cell>
          <cell r="AY814">
            <v>1.5972222222222221E-2</v>
          </cell>
          <cell r="AZ814">
            <v>4.6527777777777779E-2</v>
          </cell>
          <cell r="BA814">
            <v>0.20069444444444445</v>
          </cell>
          <cell r="BB814" t="str">
            <v>0.1*0.1*0.1</v>
          </cell>
          <cell r="BD814" t="str">
            <v>Manual</v>
          </cell>
          <cell r="BE814">
            <v>15</v>
          </cell>
          <cell r="BF814" t="str">
            <v>Dharani</v>
          </cell>
          <cell r="BG814" t="str">
            <v>N</v>
          </cell>
        </row>
        <row r="815">
          <cell r="A815" t="str">
            <v>FBB1K230379</v>
          </cell>
          <cell r="B815">
            <v>230379</v>
          </cell>
          <cell r="C815" t="str">
            <v>Biopharma</v>
          </cell>
          <cell r="D815">
            <v>45278</v>
          </cell>
          <cell r="E815">
            <v>0.87222222222222223</v>
          </cell>
          <cell r="F815">
            <v>45261</v>
          </cell>
          <cell r="G815">
            <v>45278</v>
          </cell>
          <cell r="H815">
            <v>0.91180555555555554</v>
          </cell>
          <cell r="I815">
            <v>3.9583333333333331E-2</v>
          </cell>
          <cell r="J815">
            <v>1</v>
          </cell>
          <cell r="K815" t="str">
            <v>FCB-PROTOCOL-01</v>
          </cell>
          <cell r="L815" t="str">
            <v>CLN/PRA/242</v>
          </cell>
          <cell r="M815" t="str">
            <v>Y</v>
          </cell>
          <cell r="P815" t="str">
            <v>Q1 Passed</v>
          </cell>
          <cell r="Q815" t="str">
            <v>Q1 Passed</v>
          </cell>
          <cell r="R815" t="str">
            <v>Q1.5 Passed</v>
          </cell>
          <cell r="S815" t="str">
            <v>Q1.5 Passed</v>
          </cell>
          <cell r="V815" t="str">
            <v>Tumor content 45-80%</v>
          </cell>
          <cell r="W815" t="str">
            <v>Private Hospital</v>
          </cell>
          <cell r="X815" t="str">
            <v>Dr Prakash BV, Bangalore</v>
          </cell>
          <cell r="Y815" t="str">
            <v>Sri Lakshmi Hospital, Bangalore</v>
          </cell>
          <cell r="Z815" t="str">
            <v>Dr Prakash BV, Bangalore</v>
          </cell>
          <cell r="AA815" t="str">
            <v>HNSCC</v>
          </cell>
          <cell r="AC815" t="str">
            <v>Buccal Mucosa</v>
          </cell>
          <cell r="AD815" t="str">
            <v>Left Buccal Mucosa</v>
          </cell>
          <cell r="AE815" t="str">
            <v>Female</v>
          </cell>
          <cell r="AF815">
            <v>70</v>
          </cell>
          <cell r="AG815" t="str">
            <v>N</v>
          </cell>
          <cell r="AH815">
            <v>4.5999999999999996</v>
          </cell>
          <cell r="AI815" t="str">
            <v>Maruthi</v>
          </cell>
          <cell r="AJ815" t="str">
            <v>Surgery</v>
          </cell>
          <cell r="AK815" t="str">
            <v>Primary</v>
          </cell>
          <cell r="AN815" t="str">
            <v>II</v>
          </cell>
          <cell r="AO815">
            <v>2</v>
          </cell>
          <cell r="AP815" t="str">
            <v>pT2N0M0</v>
          </cell>
          <cell r="AV815">
            <v>45278</v>
          </cell>
          <cell r="AW815">
            <v>0.30763888888888891</v>
          </cell>
          <cell r="AX815">
            <v>0.375</v>
          </cell>
          <cell r="AY815">
            <v>6.7361111111111108E-2</v>
          </cell>
          <cell r="AZ81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81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815" t="str">
            <v>0.2/0.6*1.4*2.2</v>
          </cell>
          <cell r="BD815" t="str">
            <v>Vibratome</v>
          </cell>
          <cell r="BE815">
            <v>15</v>
          </cell>
          <cell r="BF815" t="str">
            <v>Biswajit</v>
          </cell>
          <cell r="BG815" t="str">
            <v>Y</v>
          </cell>
        </row>
        <row r="816">
          <cell r="A816" t="str">
            <v>FBR2G230379</v>
          </cell>
          <cell r="B816">
            <v>230379</v>
          </cell>
          <cell r="C816" t="str">
            <v>R&amp;D</v>
          </cell>
          <cell r="D816">
            <v>45278</v>
          </cell>
          <cell r="E816">
            <v>0.87222222222222223</v>
          </cell>
          <cell r="F816">
            <v>45261</v>
          </cell>
          <cell r="G816">
            <v>45278</v>
          </cell>
          <cell r="H816">
            <v>0.91180555555555554</v>
          </cell>
          <cell r="I816">
            <v>3.9583333333333331E-2</v>
          </cell>
          <cell r="J816">
            <v>1</v>
          </cell>
          <cell r="K816" t="str">
            <v>FCB-PROTOCOL-01</v>
          </cell>
          <cell r="L816" t="str">
            <v>CLN/PRA/242</v>
          </cell>
          <cell r="M816" t="str">
            <v>Y</v>
          </cell>
          <cell r="P816" t="str">
            <v>Q1 Passed</v>
          </cell>
          <cell r="Q816" t="str">
            <v>Q1 Passed</v>
          </cell>
          <cell r="R816" t="str">
            <v>Q1.5 Passed</v>
          </cell>
          <cell r="S816" t="str">
            <v>Q1.5 Passed</v>
          </cell>
          <cell r="V816" t="str">
            <v>Tumor content 45-80%</v>
          </cell>
          <cell r="W816" t="str">
            <v>Private Hospital</v>
          </cell>
          <cell r="X816" t="str">
            <v>Dr Prakash BV, Bangalore</v>
          </cell>
          <cell r="Y816" t="str">
            <v>Sri Lakshmi Hospital, Bangalore</v>
          </cell>
          <cell r="Z816" t="str">
            <v>Dr Prakash BV, Bangalore</v>
          </cell>
          <cell r="AA816" t="str">
            <v>HNSCC</v>
          </cell>
          <cell r="AC816" t="str">
            <v>Buccal Mucosa</v>
          </cell>
          <cell r="AD816" t="str">
            <v>Left Buccal Mucosa</v>
          </cell>
          <cell r="AE816" t="str">
            <v>Female</v>
          </cell>
          <cell r="AF816">
            <v>70</v>
          </cell>
          <cell r="AG816" t="str">
            <v>N</v>
          </cell>
          <cell r="AH816">
            <v>4.5999999999999996</v>
          </cell>
          <cell r="AI816" t="str">
            <v>Maruthi</v>
          </cell>
          <cell r="AJ816" t="str">
            <v>Surgery</v>
          </cell>
          <cell r="AK816" t="str">
            <v>Primary</v>
          </cell>
          <cell r="AN816" t="str">
            <v>II</v>
          </cell>
          <cell r="AO816">
            <v>2</v>
          </cell>
          <cell r="AP816" t="str">
            <v>pT2N0M0</v>
          </cell>
          <cell r="AV816">
            <v>45278</v>
          </cell>
          <cell r="AW816">
            <v>0.30763888888888891</v>
          </cell>
          <cell r="AX816">
            <v>0.63541666666666663</v>
          </cell>
          <cell r="AY816">
            <v>0.32777777777777778</v>
          </cell>
          <cell r="AZ816">
            <v>0.72361111111111109</v>
          </cell>
          <cell r="BA816">
            <v>0.7631944444444444</v>
          </cell>
          <cell r="BB816" t="str">
            <v>0.4/0.2*0.6*1.6</v>
          </cell>
          <cell r="BD816" t="str">
            <v>Manual</v>
          </cell>
          <cell r="BE816">
            <v>15</v>
          </cell>
          <cell r="BF816" t="str">
            <v>Kokila</v>
          </cell>
          <cell r="BG816" t="str">
            <v>Y</v>
          </cell>
        </row>
        <row r="817">
          <cell r="A817" t="str">
            <v>FBR2D230379</v>
          </cell>
          <cell r="B817">
            <v>230379</v>
          </cell>
          <cell r="C817" t="str">
            <v>R&amp;D</v>
          </cell>
          <cell r="D817">
            <v>45278</v>
          </cell>
          <cell r="E817">
            <v>0.87222222222222223</v>
          </cell>
          <cell r="F817">
            <v>45261</v>
          </cell>
          <cell r="G817">
            <v>45278</v>
          </cell>
          <cell r="H817">
            <v>0.91180555555555554</v>
          </cell>
          <cell r="I817">
            <v>3.9583333333333331E-2</v>
          </cell>
          <cell r="J817">
            <v>1</v>
          </cell>
          <cell r="K817" t="str">
            <v>FCB-PROTOCOL-01</v>
          </cell>
          <cell r="L817" t="str">
            <v>CLN/PRA/242</v>
          </cell>
          <cell r="M817" t="str">
            <v>Y</v>
          </cell>
          <cell r="P817" t="str">
            <v>Q1 Passed</v>
          </cell>
          <cell r="Q817" t="str">
            <v>Q1 Passed</v>
          </cell>
          <cell r="R817" t="str">
            <v>Q1.5 Passed</v>
          </cell>
          <cell r="S817" t="str">
            <v>Q1.5 Passed</v>
          </cell>
          <cell r="V817" t="str">
            <v>Tumor content 45-80%</v>
          </cell>
          <cell r="W817" t="str">
            <v>Private Hospital</v>
          </cell>
          <cell r="X817" t="str">
            <v>Dr Prakash BV, Bangalore</v>
          </cell>
          <cell r="Y817" t="str">
            <v>Sri Lakshmi Hospital, Bangalore</v>
          </cell>
          <cell r="Z817" t="str">
            <v>Dr Prakash BV, Bangalore</v>
          </cell>
          <cell r="AA817" t="str">
            <v>HNSCC</v>
          </cell>
          <cell r="AC817" t="str">
            <v>Buccal Mucosa</v>
          </cell>
          <cell r="AD817" t="str">
            <v>Left Buccal Mucosa</v>
          </cell>
          <cell r="AE817" t="str">
            <v>Female</v>
          </cell>
          <cell r="AF817">
            <v>70</v>
          </cell>
          <cell r="AG817" t="str">
            <v>N</v>
          </cell>
          <cell r="AH817">
            <v>4.5999999999999996</v>
          </cell>
          <cell r="AI817" t="str">
            <v>Maruthi</v>
          </cell>
          <cell r="AJ817" t="str">
            <v>Surgery</v>
          </cell>
          <cell r="AK817" t="str">
            <v>Primary</v>
          </cell>
          <cell r="AN817" t="str">
            <v>II</v>
          </cell>
          <cell r="AO817">
            <v>2</v>
          </cell>
          <cell r="AP817" t="str">
            <v>pT2N0M0</v>
          </cell>
          <cell r="AV817">
            <v>45278</v>
          </cell>
          <cell r="AW817">
            <v>0.375</v>
          </cell>
          <cell r="AX817">
            <v>0.40972222222222221</v>
          </cell>
          <cell r="AY817">
            <v>3.4722222222222224E-2</v>
          </cell>
          <cell r="AZ81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81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817" t="str">
            <v>0.4/0.2*0.6*1.6</v>
          </cell>
          <cell r="BD817" t="str">
            <v>Manual</v>
          </cell>
          <cell r="BE817">
            <v>15</v>
          </cell>
          <cell r="BF817" t="str">
            <v>Kokila</v>
          </cell>
          <cell r="BG817" t="str">
            <v>Y</v>
          </cell>
        </row>
        <row r="818">
          <cell r="A818" t="str">
            <v>FBB1K230380</v>
          </cell>
          <cell r="B818">
            <v>230380</v>
          </cell>
          <cell r="C818" t="str">
            <v>Biopharma</v>
          </cell>
          <cell r="D818">
            <v>45285</v>
          </cell>
          <cell r="E818">
            <v>0.55694444444444446</v>
          </cell>
          <cell r="F818">
            <v>45261</v>
          </cell>
          <cell r="G818">
            <v>45285</v>
          </cell>
          <cell r="H818">
            <v>0.60763888888888884</v>
          </cell>
          <cell r="I818">
            <v>5.0694444444444445E-2</v>
          </cell>
          <cell r="J818">
            <v>1</v>
          </cell>
          <cell r="K818" t="str">
            <v>FCB-PROTOCOL-01</v>
          </cell>
          <cell r="L818" t="str">
            <v>CLN/PRA/243</v>
          </cell>
          <cell r="M818" t="str">
            <v>Y</v>
          </cell>
          <cell r="P818" t="str">
            <v>Q1 Passed</v>
          </cell>
          <cell r="Q818" t="str">
            <v>Q1 Passed</v>
          </cell>
          <cell r="R818" t="str">
            <v>Q1.5 Passed</v>
          </cell>
          <cell r="S818" t="str">
            <v>Q1.5 Passed</v>
          </cell>
          <cell r="V818" t="str">
            <v>Tumor content 70-90% with good immune presence</v>
          </cell>
          <cell r="W818" t="str">
            <v>Private Hospital</v>
          </cell>
          <cell r="X818" t="str">
            <v>Dr Prakash BV, Bangalore</v>
          </cell>
          <cell r="Y818" t="str">
            <v>Sri Lakshmi Hospital, Bangalore</v>
          </cell>
          <cell r="Z818" t="str">
            <v>Dr Prakash BV, Bangalore</v>
          </cell>
          <cell r="AA818" t="str">
            <v>HNSCC</v>
          </cell>
          <cell r="AC818" t="str">
            <v>Pharynx</v>
          </cell>
          <cell r="AD818" t="str">
            <v>Hypopharynx</v>
          </cell>
          <cell r="AE818" t="str">
            <v>Male</v>
          </cell>
          <cell r="AF818">
            <v>60</v>
          </cell>
          <cell r="AG818" t="str">
            <v>N</v>
          </cell>
          <cell r="AH818">
            <v>5.0999999999999996</v>
          </cell>
          <cell r="AI818" t="str">
            <v>Shashi</v>
          </cell>
          <cell r="AJ818" t="str">
            <v>Surgery</v>
          </cell>
          <cell r="AK818" t="str">
            <v>Primary</v>
          </cell>
          <cell r="AN818" t="str">
            <v>IVa</v>
          </cell>
          <cell r="AP818" t="str">
            <v>T2N2b</v>
          </cell>
          <cell r="AV818">
            <v>45285</v>
          </cell>
          <cell r="AW818">
            <v>0.64583333333333337</v>
          </cell>
          <cell r="AX818">
            <v>0.71944444444444444</v>
          </cell>
          <cell r="AY818">
            <v>7.3611111111111113E-2</v>
          </cell>
          <cell r="AZ818">
            <v>0.11180555555555556</v>
          </cell>
          <cell r="BA818">
            <v>0.16250000000000001</v>
          </cell>
          <cell r="BB818" t="str">
            <v>0.5/0.6*1.6*2.0
0.6/0.7*1.6*2.4</v>
          </cell>
          <cell r="BD818" t="str">
            <v>Vibratome</v>
          </cell>
          <cell r="BE818">
            <v>15</v>
          </cell>
          <cell r="BF818" t="str">
            <v>kuberan</v>
          </cell>
          <cell r="BG818" t="str">
            <v>Y</v>
          </cell>
        </row>
        <row r="819">
          <cell r="A819" t="str">
            <v>FBR2D230381</v>
          </cell>
          <cell r="B819">
            <v>230381</v>
          </cell>
          <cell r="C819" t="str">
            <v>R&amp;D</v>
          </cell>
          <cell r="D819">
            <v>45285</v>
          </cell>
          <cell r="E819">
            <v>0.67708333333333337</v>
          </cell>
          <cell r="F819">
            <v>45261</v>
          </cell>
          <cell r="G819">
            <v>45285</v>
          </cell>
          <cell r="H819">
            <v>0.79166666666666663</v>
          </cell>
          <cell r="I819">
            <v>0.11458333333333333</v>
          </cell>
          <cell r="J819">
            <v>15</v>
          </cell>
          <cell r="K819" t="str">
            <v>FCB-PROTOCOL-01</v>
          </cell>
          <cell r="L819" t="str">
            <v>CLN/PRA/244</v>
          </cell>
          <cell r="M819" t="str">
            <v>Y</v>
          </cell>
          <cell r="P819" t="str">
            <v>Q1 Passed</v>
          </cell>
          <cell r="Q819" t="str">
            <v>Q1 Passed</v>
          </cell>
          <cell r="R819" t="str">
            <v>Q1.5 Passed</v>
          </cell>
          <cell r="S819" t="str">
            <v>Q1.5 Passed</v>
          </cell>
          <cell r="V819" t="str">
            <v>Tumor content 0-20%</v>
          </cell>
          <cell r="W819" t="str">
            <v>Private Hospital</v>
          </cell>
          <cell r="X819" t="str">
            <v>Dr Prakash BV, Bangalore</v>
          </cell>
          <cell r="Y819" t="str">
            <v>Sri Lakshmi Hospital, Bangalore</v>
          </cell>
          <cell r="Z819" t="str">
            <v>Dr Prakash BV, Bangalore</v>
          </cell>
          <cell r="AA819" t="str">
            <v>HNSCC</v>
          </cell>
          <cell r="AC819" t="str">
            <v>Tongue</v>
          </cell>
          <cell r="AD819" t="str">
            <v>Tongue</v>
          </cell>
          <cell r="AE819" t="str">
            <v>Male</v>
          </cell>
          <cell r="AF819">
            <v>54</v>
          </cell>
          <cell r="AG819" t="str">
            <v>N</v>
          </cell>
          <cell r="AH819">
            <v>4.5</v>
          </cell>
          <cell r="AI819" t="str">
            <v>Shashi</v>
          </cell>
          <cell r="AJ819" t="str">
            <v>Surgery</v>
          </cell>
          <cell r="AK819" t="str">
            <v>Primary</v>
          </cell>
          <cell r="AN819" t="str">
            <v>II</v>
          </cell>
          <cell r="AO819">
            <v>2</v>
          </cell>
          <cell r="AP819" t="str">
            <v>pT2N0M0</v>
          </cell>
          <cell r="AV819">
            <v>45285</v>
          </cell>
          <cell r="AW819">
            <v>0.8125</v>
          </cell>
          <cell r="AX819">
            <v>0.88194444444444442</v>
          </cell>
          <cell r="AY819">
            <v>6.9444444444444448E-2</v>
          </cell>
          <cell r="AZ819">
            <v>9.0277777777777776E-2</v>
          </cell>
          <cell r="BA819">
            <v>0.2048611111111111</v>
          </cell>
          <cell r="BB819" t="str">
            <v>0.4/0.6*1.4*1.6</v>
          </cell>
          <cell r="BD819" t="str">
            <v>Manual</v>
          </cell>
          <cell r="BE819">
            <v>15</v>
          </cell>
          <cell r="BF819" t="str">
            <v>chandan</v>
          </cell>
          <cell r="BG819" t="str">
            <v>Y</v>
          </cell>
        </row>
        <row r="820">
          <cell r="A820" t="str">
            <v>FBR2F230382</v>
          </cell>
          <cell r="B820">
            <v>230382</v>
          </cell>
          <cell r="C820" t="str">
            <v>R&amp;D</v>
          </cell>
          <cell r="D820">
            <v>45286</v>
          </cell>
          <cell r="E820">
            <v>0.55000000000000004</v>
          </cell>
          <cell r="F820">
            <v>45261</v>
          </cell>
          <cell r="G820">
            <v>45286</v>
          </cell>
          <cell r="H820">
            <v>0.64236111111111116</v>
          </cell>
          <cell r="I820">
            <v>9.2361111111111116E-2</v>
          </cell>
          <cell r="J820">
            <v>2</v>
          </cell>
          <cell r="K820" t="str">
            <v>FCB-PROTOCOL-01</v>
          </cell>
          <cell r="L820" t="str">
            <v>VYD/231</v>
          </cell>
          <cell r="M820" t="str">
            <v>Y</v>
          </cell>
          <cell r="P820" t="str">
            <v>Q1 Passed</v>
          </cell>
          <cell r="Q820" t="str">
            <v>Q1 Passed</v>
          </cell>
          <cell r="R820" t="str">
            <v>Q1.5 Passed</v>
          </cell>
          <cell r="S820" t="str">
            <v>Q1.5 Passed</v>
          </cell>
          <cell r="V820" t="str">
            <v>Tumor content 75-95%</v>
          </cell>
          <cell r="W820" t="str">
            <v>Private Hospital</v>
          </cell>
          <cell r="X820" t="str">
            <v>Vydehi Hospital, Bangalore</v>
          </cell>
          <cell r="Y820" t="str">
            <v>Vydehi Hospital, Bangalore</v>
          </cell>
          <cell r="Z820" t="str">
            <v>Dr Amritha Prabha, Bangalore</v>
          </cell>
          <cell r="AA820" t="str">
            <v>HNSCC</v>
          </cell>
          <cell r="AC820" t="str">
            <v>Buccal Mucosa</v>
          </cell>
          <cell r="AD820" t="str">
            <v>Right Buccal Mucosa</v>
          </cell>
          <cell r="AE820" t="str">
            <v>Male</v>
          </cell>
          <cell r="AF820">
            <v>42</v>
          </cell>
          <cell r="AG820" t="str">
            <v>N</v>
          </cell>
          <cell r="AH820">
            <v>5.6</v>
          </cell>
          <cell r="AI820" t="str">
            <v>Maruthi</v>
          </cell>
          <cell r="AJ820" t="str">
            <v>Surgery</v>
          </cell>
          <cell r="AK820" t="str">
            <v>Primary</v>
          </cell>
          <cell r="AN820" t="str">
            <v>IVb</v>
          </cell>
          <cell r="AO820">
            <v>2</v>
          </cell>
          <cell r="AP820" t="str">
            <v>T3N3</v>
          </cell>
          <cell r="AS820" t="str">
            <v>SCC</v>
          </cell>
          <cell r="AT820" t="str">
            <v>CTRT</v>
          </cell>
          <cell r="AV820">
            <v>45286</v>
          </cell>
          <cell r="AW820">
            <v>0.67013888888888884</v>
          </cell>
          <cell r="AX820">
            <v>0.74305555555555558</v>
          </cell>
          <cell r="AY820">
            <v>7.2916666666666671E-2</v>
          </cell>
          <cell r="AZ820">
            <v>0.10069444444444445</v>
          </cell>
          <cell r="BA820">
            <v>0.19305555555555556</v>
          </cell>
          <cell r="BB820" t="str">
            <v>0.8/1.2*1.9*2.2</v>
          </cell>
          <cell r="BC820" t="str">
            <v>0.8/1.2*1.7*2.3</v>
          </cell>
          <cell r="BD820" t="str">
            <v>Manual</v>
          </cell>
          <cell r="BE820">
            <v>15</v>
          </cell>
          <cell r="BF820" t="str">
            <v>Kokila</v>
          </cell>
          <cell r="BG820" t="str">
            <v>Y</v>
          </cell>
        </row>
        <row r="821">
          <cell r="A821" t="str">
            <v>FBR1Y230382</v>
          </cell>
          <cell r="B821">
            <v>230382</v>
          </cell>
          <cell r="C821" t="str">
            <v>R&amp;D</v>
          </cell>
          <cell r="D821">
            <v>45286</v>
          </cell>
          <cell r="E821">
            <v>0.55000000000000004</v>
          </cell>
          <cell r="F821">
            <v>45261</v>
          </cell>
          <cell r="G821">
            <v>45286</v>
          </cell>
          <cell r="H821">
            <v>0.64236111111111116</v>
          </cell>
          <cell r="I821">
            <v>9.2361111111111116E-2</v>
          </cell>
          <cell r="J821">
            <v>2</v>
          </cell>
          <cell r="K821" t="str">
            <v>FCB-PROTOCOL-01</v>
          </cell>
          <cell r="L821" t="str">
            <v>VYD/231</v>
          </cell>
          <cell r="M821" t="str">
            <v>Y</v>
          </cell>
          <cell r="P821" t="str">
            <v>Q1 Passed</v>
          </cell>
          <cell r="Q821" t="str">
            <v>Q1 Passed</v>
          </cell>
          <cell r="R821" t="str">
            <v>Q1.5 Passed</v>
          </cell>
          <cell r="S821" t="str">
            <v>Q1.5 Passed</v>
          </cell>
          <cell r="V821" t="str">
            <v>Tumor content 75-95%</v>
          </cell>
          <cell r="W821" t="str">
            <v>Private Hospital</v>
          </cell>
          <cell r="X821" t="str">
            <v>Vydehi Hospital, Bangalore</v>
          </cell>
          <cell r="Y821" t="str">
            <v>Vydehi Hospital, Bangalore</v>
          </cell>
          <cell r="Z821" t="str">
            <v>Dr Amritha Prabha, Bangalore</v>
          </cell>
          <cell r="AA821" t="str">
            <v>HNSCC</v>
          </cell>
          <cell r="AC821" t="str">
            <v>Buccal Mucosa</v>
          </cell>
          <cell r="AD821" t="str">
            <v>Right Buccal Mucosa</v>
          </cell>
          <cell r="AE821" t="str">
            <v>Male</v>
          </cell>
          <cell r="AF821">
            <v>42</v>
          </cell>
          <cell r="AG821" t="str">
            <v>N</v>
          </cell>
          <cell r="AH821">
            <v>5.6</v>
          </cell>
          <cell r="AI821" t="str">
            <v>Maruthi</v>
          </cell>
          <cell r="AJ821" t="str">
            <v>Surgery</v>
          </cell>
          <cell r="AK821" t="str">
            <v>Primary</v>
          </cell>
          <cell r="AN821" t="str">
            <v>IVb</v>
          </cell>
          <cell r="AO821">
            <v>2</v>
          </cell>
          <cell r="AP821" t="str">
            <v>T3N3</v>
          </cell>
          <cell r="AS821" t="str">
            <v>SCC</v>
          </cell>
          <cell r="AT821" t="str">
            <v>CTRT</v>
          </cell>
          <cell r="AV821">
            <v>45286</v>
          </cell>
          <cell r="AW821">
            <v>0.67013888888888884</v>
          </cell>
          <cell r="AX821">
            <v>0.74305555555555558</v>
          </cell>
          <cell r="AY821">
            <v>7.2916666666666671E-2</v>
          </cell>
          <cell r="AZ821">
            <v>0.10069444444444445</v>
          </cell>
          <cell r="BA821">
            <v>0.19305555555555556</v>
          </cell>
          <cell r="BB821" t="str">
            <v>0.8/1.2*1.9*2.2</v>
          </cell>
          <cell r="BC821" t="str">
            <v>0.8/1.2*1.7*2.3</v>
          </cell>
          <cell r="BD821" t="str">
            <v>Manual</v>
          </cell>
          <cell r="BE821">
            <v>15</v>
          </cell>
          <cell r="BF821" t="str">
            <v>Kokila</v>
          </cell>
          <cell r="BG821" t="str">
            <v>Y</v>
          </cell>
        </row>
        <row r="822">
          <cell r="A822" t="str">
            <v>FBR1Y230383</v>
          </cell>
          <cell r="B822">
            <v>230383</v>
          </cell>
          <cell r="C822" t="str">
            <v>R&amp;D</v>
          </cell>
          <cell r="D822">
            <v>45286</v>
          </cell>
          <cell r="E822">
            <v>0.52083333333333337</v>
          </cell>
          <cell r="F822">
            <v>45261</v>
          </cell>
          <cell r="G822">
            <v>45286</v>
          </cell>
          <cell r="H822">
            <v>0.65</v>
          </cell>
          <cell r="I822">
            <v>0.12916666666666668</v>
          </cell>
          <cell r="J822">
            <v>15</v>
          </cell>
          <cell r="K822" t="str">
            <v>FCB-PROTOCOL-02</v>
          </cell>
          <cell r="L822" t="str">
            <v>HN111</v>
          </cell>
          <cell r="M822" t="str">
            <v>Y</v>
          </cell>
          <cell r="P822" t="str">
            <v>Q1 Passed</v>
          </cell>
          <cell r="Q822" t="str">
            <v>Q1 Passed</v>
          </cell>
          <cell r="R822" t="str">
            <v>Q1.5 Passed</v>
          </cell>
          <cell r="S822" t="str">
            <v>Q1.5 Rejected</v>
          </cell>
          <cell r="T822" t="str">
            <v>No Tumor</v>
          </cell>
          <cell r="V822" t="str">
            <v>No Tumor-it is used for 1Y&amp;2F study</v>
          </cell>
          <cell r="W822" t="str">
            <v>Private Hospital</v>
          </cell>
          <cell r="X822" t="str">
            <v>Mazumdar Shaw Medical Centre, Bangalore</v>
          </cell>
          <cell r="Y822" t="str">
            <v>Mazumdar Shaw Medical Centre, Bangalore</v>
          </cell>
          <cell r="Z822" t="str">
            <v>Dr Vijay Pillai, Bangalore</v>
          </cell>
          <cell r="AA822" t="str">
            <v>HNSCC</v>
          </cell>
          <cell r="AC822" t="str">
            <v>Tongue</v>
          </cell>
          <cell r="AD822" t="str">
            <v>Right Lateral Border of Tongue</v>
          </cell>
          <cell r="AE822" t="str">
            <v>Male</v>
          </cell>
          <cell r="AF822">
            <v>36</v>
          </cell>
          <cell r="AG822" t="str">
            <v>N</v>
          </cell>
          <cell r="AH822">
            <v>4.8</v>
          </cell>
          <cell r="AI822" t="str">
            <v>Partha</v>
          </cell>
          <cell r="AJ822" t="str">
            <v>Surgery</v>
          </cell>
          <cell r="AK822" t="str">
            <v>Primary</v>
          </cell>
          <cell r="AV822">
            <v>45286</v>
          </cell>
          <cell r="AW822">
            <v>0.67361111111111116</v>
          </cell>
          <cell r="AX822">
            <v>0.73124999999999996</v>
          </cell>
          <cell r="AY822">
            <v>5.7638888888888892E-2</v>
          </cell>
          <cell r="AZ822">
            <v>8.1250000000000003E-2</v>
          </cell>
          <cell r="BA822">
            <v>0.21041666666666667</v>
          </cell>
          <cell r="BB822" t="str">
            <v>0.2/0.4*0.8/1.0*1.4/1.5</v>
          </cell>
          <cell r="BD822" t="str">
            <v>Manual</v>
          </cell>
          <cell r="BE822">
            <v>15</v>
          </cell>
          <cell r="BF822" t="str">
            <v xml:space="preserve">sai </v>
          </cell>
          <cell r="BG822" t="str">
            <v>Y</v>
          </cell>
        </row>
        <row r="823">
          <cell r="A823" t="str">
            <v>FBR2F230384</v>
          </cell>
          <cell r="B823">
            <v>230384</v>
          </cell>
          <cell r="C823" t="str">
            <v>R&amp;D</v>
          </cell>
          <cell r="D823">
            <v>45288</v>
          </cell>
          <cell r="E823">
            <v>0.57291666666666663</v>
          </cell>
          <cell r="F823">
            <v>45261</v>
          </cell>
          <cell r="G823">
            <v>45288</v>
          </cell>
          <cell r="H823">
            <v>0.65833333333333333</v>
          </cell>
          <cell r="I823">
            <v>8.5416666666666669E-2</v>
          </cell>
          <cell r="J823">
            <v>12</v>
          </cell>
          <cell r="K823" t="str">
            <v>FCB-PROTOCOL-02</v>
          </cell>
          <cell r="L823" t="str">
            <v>HN112</v>
          </cell>
          <cell r="M823" t="str">
            <v>Y</v>
          </cell>
          <cell r="P823" t="str">
            <v>Q1 Passed</v>
          </cell>
          <cell r="Q823" t="str">
            <v>Q1 Passed</v>
          </cell>
          <cell r="R823" t="str">
            <v>Q1.5 Passed</v>
          </cell>
          <cell r="S823" t="str">
            <v>Q1.5 Passed</v>
          </cell>
          <cell r="V823" t="str">
            <v>Tumor content 0-95%</v>
          </cell>
          <cell r="W823" t="str">
            <v>Private Hospital</v>
          </cell>
          <cell r="X823" t="str">
            <v>Mazumdar Shaw Medical Centre, Bangalore</v>
          </cell>
          <cell r="Y823" t="str">
            <v>Mazumdar Shaw Medical Centre, Bangalore</v>
          </cell>
          <cell r="Z823" t="str">
            <v>Dr Vijay Pillai, Bangalore</v>
          </cell>
          <cell r="AA823" t="str">
            <v>HNSCC</v>
          </cell>
          <cell r="AC823" t="str">
            <v>Tongue</v>
          </cell>
          <cell r="AD823" t="str">
            <v>Tongue</v>
          </cell>
          <cell r="AE823" t="str">
            <v>Male</v>
          </cell>
          <cell r="AF823">
            <v>42</v>
          </cell>
          <cell r="AG823" t="str">
            <v>N</v>
          </cell>
          <cell r="AH823">
            <v>4.5</v>
          </cell>
          <cell r="AI823" t="str">
            <v>Maruthi</v>
          </cell>
          <cell r="AJ823" t="str">
            <v>Surgery</v>
          </cell>
          <cell r="AK823" t="str">
            <v>Primary</v>
          </cell>
          <cell r="AN823" t="str">
            <v>IV</v>
          </cell>
          <cell r="AO823">
            <v>2</v>
          </cell>
          <cell r="AP823" t="str">
            <v>pT4apN2b</v>
          </cell>
          <cell r="AS823" t="str">
            <v xml:space="preserve">MDSCC(Moderately Differentiated Squamous cell carcinoma) </v>
          </cell>
          <cell r="AV823">
            <v>45288</v>
          </cell>
          <cell r="AW823">
            <v>0.67500000000000004</v>
          </cell>
          <cell r="AX823">
            <v>0.76875000000000004</v>
          </cell>
          <cell r="AY823">
            <v>9.375E-2</v>
          </cell>
          <cell r="AZ823">
            <v>0.11041666666666666</v>
          </cell>
          <cell r="BA823">
            <v>0.19583333333333333</v>
          </cell>
          <cell r="BB823" t="str">
            <v>1.0*1.6*2.0</v>
          </cell>
          <cell r="BD823" t="str">
            <v>Vibratome</v>
          </cell>
          <cell r="BE823">
            <v>15</v>
          </cell>
          <cell r="BF823" t="str">
            <v>Kokila</v>
          </cell>
          <cell r="BG823" t="str">
            <v>Y</v>
          </cell>
        </row>
        <row r="824">
          <cell r="A824" t="str">
            <v>FBR1Y230384</v>
          </cell>
          <cell r="B824">
            <v>230384</v>
          </cell>
          <cell r="C824" t="str">
            <v>R&amp;D</v>
          </cell>
          <cell r="D824">
            <v>45288</v>
          </cell>
          <cell r="E824">
            <v>0.57291666666666663</v>
          </cell>
          <cell r="F824">
            <v>45261</v>
          </cell>
          <cell r="G824">
            <v>45288</v>
          </cell>
          <cell r="H824">
            <v>0.65833333333333333</v>
          </cell>
          <cell r="I824">
            <v>8.5416666666666669E-2</v>
          </cell>
          <cell r="J824">
            <v>12</v>
          </cell>
          <cell r="K824" t="str">
            <v>FCB-PROTOCOL-02</v>
          </cell>
          <cell r="L824" t="str">
            <v>HN112</v>
          </cell>
          <cell r="M824" t="str">
            <v>Y</v>
          </cell>
          <cell r="P824" t="str">
            <v>Q1 Passed</v>
          </cell>
          <cell r="Q824" t="str">
            <v>Q1 Passed</v>
          </cell>
          <cell r="R824" t="str">
            <v>Q1.5 Passed</v>
          </cell>
          <cell r="S824" t="str">
            <v>Q1.5 Passed</v>
          </cell>
          <cell r="V824" t="str">
            <v>Tumor content 0-95%</v>
          </cell>
          <cell r="W824" t="str">
            <v>Private Hospital</v>
          </cell>
          <cell r="X824" t="str">
            <v>Mazumdar Shaw Medical Centre, Bangalore</v>
          </cell>
          <cell r="Y824" t="str">
            <v>Mazumdar Shaw Medical Centre, Bangalore</v>
          </cell>
          <cell r="Z824" t="str">
            <v>Dr Vijay Pillai, Bangalore</v>
          </cell>
          <cell r="AA824" t="str">
            <v>HNSCC</v>
          </cell>
          <cell r="AC824" t="str">
            <v>Tongue</v>
          </cell>
          <cell r="AD824" t="str">
            <v>Tongue</v>
          </cell>
          <cell r="AE824" t="str">
            <v>Male</v>
          </cell>
          <cell r="AF824">
            <v>42</v>
          </cell>
          <cell r="AG824" t="str">
            <v>N</v>
          </cell>
          <cell r="AH824">
            <v>4.5</v>
          </cell>
          <cell r="AI824" t="str">
            <v>Maruthi</v>
          </cell>
          <cell r="AJ824" t="str">
            <v>Surgery</v>
          </cell>
          <cell r="AK824" t="str">
            <v>Primary</v>
          </cell>
          <cell r="AN824" t="str">
            <v>IV</v>
          </cell>
          <cell r="AO824">
            <v>2</v>
          </cell>
          <cell r="AP824" t="str">
            <v>pT4apN2b</v>
          </cell>
          <cell r="AS824" t="str">
            <v xml:space="preserve">MDSCC(Moderately Differentiated Squamous cell carcinoma) </v>
          </cell>
          <cell r="AV824">
            <v>45288</v>
          </cell>
          <cell r="AW824">
            <v>0.67500000000000004</v>
          </cell>
          <cell r="AX824">
            <v>0.76875000000000004</v>
          </cell>
          <cell r="AY824">
            <v>9.375E-2</v>
          </cell>
          <cell r="AZ824">
            <v>0.11041666666666666</v>
          </cell>
          <cell r="BA824">
            <v>0.19583333333333333</v>
          </cell>
          <cell r="BB824" t="str">
            <v>1.0*1.6*2.0</v>
          </cell>
          <cell r="BD824" t="str">
            <v>Vibratome</v>
          </cell>
          <cell r="BE824">
            <v>15</v>
          </cell>
          <cell r="BF824" t="str">
            <v>Kokila</v>
          </cell>
          <cell r="BG824" t="str">
            <v>Y</v>
          </cell>
        </row>
        <row r="825">
          <cell r="A825" t="str">
            <v>FBR2A230385</v>
          </cell>
          <cell r="B825">
            <v>230385</v>
          </cell>
          <cell r="C825" t="str">
            <v>R&amp;D</v>
          </cell>
          <cell r="D825">
            <v>45288</v>
          </cell>
          <cell r="E825">
            <v>0.68472222222222223</v>
          </cell>
          <cell r="F825">
            <v>45261</v>
          </cell>
          <cell r="G825">
            <v>45288</v>
          </cell>
          <cell r="H825">
            <v>0.74097222222222225</v>
          </cell>
          <cell r="I825">
            <v>5.6250000000000001E-2</v>
          </cell>
          <cell r="J825">
            <v>4</v>
          </cell>
          <cell r="K825" t="str">
            <v>FCB-PROTOCOL-02</v>
          </cell>
          <cell r="L825" t="str">
            <v>OC023</v>
          </cell>
          <cell r="M825" t="str">
            <v>Y</v>
          </cell>
          <cell r="P825" t="str">
            <v>Q1 Passed</v>
          </cell>
          <cell r="Q825" t="str">
            <v>Q1 Passed</v>
          </cell>
          <cell r="R825" t="str">
            <v>Q1.5 Passed</v>
          </cell>
          <cell r="S825" t="str">
            <v>Q1.5 Passed</v>
          </cell>
          <cell r="V825" t="str">
            <v>A:Tumor content 1-15%</v>
          </cell>
          <cell r="W825" t="str">
            <v>Private Hospital</v>
          </cell>
          <cell r="X825" t="str">
            <v>Mazumdar Shaw Medical Centre, Bangalore</v>
          </cell>
          <cell r="Y825" t="str">
            <v>Mazumdar Shaw Medical Centre, Bangalore</v>
          </cell>
          <cell r="Z825" t="str">
            <v>Dr Rohit Ranade, Bangalore</v>
          </cell>
          <cell r="AA825" t="str">
            <v>Ca Ovary</v>
          </cell>
          <cell r="AC825" t="str">
            <v>Omentum</v>
          </cell>
          <cell r="AD825" t="str">
            <v>Omentum</v>
          </cell>
          <cell r="AE825" t="str">
            <v>Female</v>
          </cell>
          <cell r="AF825">
            <v>60</v>
          </cell>
          <cell r="AG825" t="str">
            <v>N</v>
          </cell>
          <cell r="AH825">
            <v>4.7</v>
          </cell>
          <cell r="AI825" t="str">
            <v>Kalappa</v>
          </cell>
          <cell r="AJ825" t="str">
            <v>Surgery</v>
          </cell>
          <cell r="AK825" t="str">
            <v>Primary</v>
          </cell>
          <cell r="AL825" t="str">
            <v>Chemotherapy</v>
          </cell>
          <cell r="AN825" t="str">
            <v>III</v>
          </cell>
          <cell r="AO825" t="str">
            <v xml:space="preserve"> High grade</v>
          </cell>
          <cell r="AP825" t="str">
            <v>ypT3c</v>
          </cell>
          <cell r="AQ825">
            <v>6</v>
          </cell>
          <cell r="AR825" t="str">
            <v>NACT Paclitaxel+Carboplatin</v>
          </cell>
          <cell r="AS825" t="str">
            <v>Residual viable high grade serous papillary carcinoma</v>
          </cell>
          <cell r="AV825">
            <v>45288</v>
          </cell>
          <cell r="AW825">
            <v>0.76388888888888884</v>
          </cell>
          <cell r="AX825">
            <v>0.82986111111111116</v>
          </cell>
          <cell r="AY825">
            <v>6.5972222222222224E-2</v>
          </cell>
          <cell r="AZ825">
            <v>8.8888888888888892E-2</v>
          </cell>
          <cell r="BA825">
            <v>0.1451388888888889</v>
          </cell>
          <cell r="BB825" t="str">
            <v>2.0*1.4*4.2</v>
          </cell>
          <cell r="BC825" t="str">
            <v>1.2*1.0*0.8
1.2*1.0*1.0
1.4*2.0*1.0
1.6*1.2*1.0</v>
          </cell>
          <cell r="BD825" t="str">
            <v>Manual</v>
          </cell>
          <cell r="BE825">
            <v>15</v>
          </cell>
          <cell r="BF825" t="str">
            <v>Pallavi</v>
          </cell>
          <cell r="BG825" t="str">
            <v>Y</v>
          </cell>
        </row>
        <row r="826">
          <cell r="A826" t="str">
            <v>FBR1Y230386</v>
          </cell>
          <cell r="B826">
            <v>230386</v>
          </cell>
          <cell r="C826" t="str">
            <v>R&amp;D</v>
          </cell>
          <cell r="D826">
            <v>45289</v>
          </cell>
          <cell r="E826">
            <v>0.4548611111111111</v>
          </cell>
          <cell r="F826">
            <v>45261</v>
          </cell>
          <cell r="G826">
            <v>45289</v>
          </cell>
          <cell r="H826">
            <v>0.57638888888888884</v>
          </cell>
          <cell r="I826">
            <v>0.12152777777777778</v>
          </cell>
          <cell r="J826">
            <v>0</v>
          </cell>
          <cell r="K826" t="str">
            <v>FCB-PROTOCOL-01</v>
          </cell>
          <cell r="L826" t="str">
            <v>VYD/232</v>
          </cell>
          <cell r="M826" t="str">
            <v>Y</v>
          </cell>
          <cell r="P826" t="str">
            <v>Q1 Passed</v>
          </cell>
          <cell r="Q826" t="str">
            <v>Q1 Passed</v>
          </cell>
          <cell r="R826" t="str">
            <v>Q1.5 Passed</v>
          </cell>
          <cell r="S826" t="str">
            <v>Q1.5 Passed</v>
          </cell>
          <cell r="V826" t="str">
            <v>Tumor content 0-96%</v>
          </cell>
          <cell r="W826" t="str">
            <v>Private Hospital</v>
          </cell>
          <cell r="X826" t="str">
            <v>Vydehi Hospital, Bangalore</v>
          </cell>
          <cell r="Y826" t="str">
            <v>Vydehi Hospital, Bangalore</v>
          </cell>
          <cell r="Z826" t="str">
            <v>Dr Amritha Prabha, Bangalore</v>
          </cell>
          <cell r="AA826" t="str">
            <v>HNSCC</v>
          </cell>
          <cell r="AC826" t="str">
            <v>Buccal Mucosa</v>
          </cell>
          <cell r="AD826" t="str">
            <v>Left Buccal Mucosa</v>
          </cell>
          <cell r="AE826" t="str">
            <v>Female</v>
          </cell>
          <cell r="AF826">
            <v>39</v>
          </cell>
          <cell r="AG826" t="str">
            <v>N</v>
          </cell>
          <cell r="AH826">
            <v>4.5</v>
          </cell>
          <cell r="AI826" t="str">
            <v>Maruthi</v>
          </cell>
          <cell r="AJ826" t="str">
            <v>Surgery</v>
          </cell>
          <cell r="AK826" t="str">
            <v>Primary</v>
          </cell>
          <cell r="AN826" t="str">
            <v>III</v>
          </cell>
          <cell r="AO826">
            <v>2</v>
          </cell>
          <cell r="AP826" t="str">
            <v>T2N1</v>
          </cell>
          <cell r="AS826" t="str">
            <v>SCC</v>
          </cell>
          <cell r="AT826" t="str">
            <v>RT</v>
          </cell>
          <cell r="AV826">
            <v>45289</v>
          </cell>
          <cell r="AW826">
            <v>0.58888888888888891</v>
          </cell>
          <cell r="AX826">
            <v>0.66597222222222219</v>
          </cell>
          <cell r="AY826">
            <v>7.7083333333333337E-2</v>
          </cell>
          <cell r="AZ826">
            <v>8.9583333333333334E-2</v>
          </cell>
          <cell r="BA826">
            <v>0.21111111111111111</v>
          </cell>
          <cell r="BB826" t="str">
            <v>0.8*1.2*1.1</v>
          </cell>
          <cell r="BD826" t="str">
            <v>Vibratome</v>
          </cell>
          <cell r="BE826">
            <v>15</v>
          </cell>
          <cell r="BF826" t="str">
            <v>Kokila</v>
          </cell>
          <cell r="BG826" t="str">
            <v>Y</v>
          </cell>
        </row>
        <row r="827">
          <cell r="A827">
            <v>230387</v>
          </cell>
          <cell r="B827">
            <v>230387</v>
          </cell>
          <cell r="C827" t="str">
            <v>R&amp;D</v>
          </cell>
          <cell r="D827">
            <v>45289</v>
          </cell>
          <cell r="E827">
            <v>0.64930555555555558</v>
          </cell>
          <cell r="F827">
            <v>45261</v>
          </cell>
          <cell r="G827">
            <v>45289</v>
          </cell>
          <cell r="H827">
            <v>0.79027777777777775</v>
          </cell>
          <cell r="I827">
            <v>0.14097222222222222</v>
          </cell>
          <cell r="J827">
            <v>0</v>
          </cell>
          <cell r="K827" t="str">
            <v>FCB-PROTOCOL-02</v>
          </cell>
          <cell r="L827" t="str">
            <v>BC029</v>
          </cell>
          <cell r="M827" t="str">
            <v>Y</v>
          </cell>
          <cell r="N827" t="str">
            <v>Biopsy Cabr-BSS (1W)</v>
          </cell>
          <cell r="O827" t="str">
            <v>Internal R&amp;D</v>
          </cell>
          <cell r="P827" t="str">
            <v>Q1 Passed</v>
          </cell>
          <cell r="Q827" t="str">
            <v>Q1 Passed</v>
          </cell>
          <cell r="R827" t="str">
            <v>Q1.5 Passed</v>
          </cell>
          <cell r="S827" t="str">
            <v>Q1.5 Rejected</v>
          </cell>
          <cell r="T827" t="str">
            <v>No Tumor</v>
          </cell>
          <cell r="V827" t="str">
            <v>No tumor. Occasional cell suspicious of mailgnancy</v>
          </cell>
          <cell r="W827" t="str">
            <v>Private Hospital</v>
          </cell>
          <cell r="X827" t="str">
            <v>Mazumdar Shaw Medical Centre, Bangalore</v>
          </cell>
          <cell r="Y827" t="str">
            <v>Mazumdar Shaw Medical Centre, Bangalore</v>
          </cell>
          <cell r="Z827" t="str">
            <v>Dr Akshita Singh</v>
          </cell>
          <cell r="AA827" t="str">
            <v>Ca Breast</v>
          </cell>
          <cell r="AC827" t="str">
            <v>Breast</v>
          </cell>
          <cell r="AD827" t="str">
            <v>Left Breast</v>
          </cell>
          <cell r="AE827" t="str">
            <v>Female</v>
          </cell>
          <cell r="AF827">
            <v>43</v>
          </cell>
          <cell r="AG827" t="str">
            <v>N</v>
          </cell>
          <cell r="AH827">
            <v>5.0999999999999996</v>
          </cell>
          <cell r="AI827" t="str">
            <v>Shashi</v>
          </cell>
          <cell r="AJ827" t="str">
            <v>Biopsy</v>
          </cell>
          <cell r="AK827" t="str">
            <v>Primary</v>
          </cell>
          <cell r="AV827">
            <v>45289</v>
          </cell>
        </row>
        <row r="828">
          <cell r="A828" t="str">
            <v>FBR1W230388</v>
          </cell>
          <cell r="B828">
            <v>230388</v>
          </cell>
          <cell r="C828" t="str">
            <v>R&amp;D</v>
          </cell>
          <cell r="D828">
            <v>45289</v>
          </cell>
          <cell r="E828">
            <v>0.69444444444444442</v>
          </cell>
          <cell r="F828">
            <v>45261</v>
          </cell>
          <cell r="G828">
            <v>45289</v>
          </cell>
          <cell r="H828">
            <v>0.79027777777777775</v>
          </cell>
          <cell r="I828">
            <v>9.583333333333334E-2</v>
          </cell>
          <cell r="J828">
            <v>0</v>
          </cell>
          <cell r="K828" t="str">
            <v>FCB-PROTOCOL-02</v>
          </cell>
          <cell r="L828" t="str">
            <v>BC030</v>
          </cell>
          <cell r="M828" t="str">
            <v>Y</v>
          </cell>
          <cell r="N828" t="str">
            <v>Biopsy Cabr-BSS (1W)</v>
          </cell>
          <cell r="O828" t="str">
            <v>Internal R&amp;D</v>
          </cell>
          <cell r="P828" t="str">
            <v>Q1 Passed</v>
          </cell>
          <cell r="Q828" t="str">
            <v>Q1 Passed</v>
          </cell>
          <cell r="R828" t="str">
            <v>Q1.5 Passed</v>
          </cell>
          <cell r="S828" t="str">
            <v>Q1.5 Rejected</v>
          </cell>
          <cell r="T828" t="str">
            <v>No Tumor</v>
          </cell>
          <cell r="V828" t="str">
            <v>No tumor</v>
          </cell>
          <cell r="W828" t="str">
            <v>Private Hospital</v>
          </cell>
          <cell r="X828" t="str">
            <v>Mazumdar Shaw Medical Centre, Bangalore</v>
          </cell>
          <cell r="Y828" t="str">
            <v>Mazumdar Shaw Medical Centre, Bangalore</v>
          </cell>
          <cell r="Z828" t="str">
            <v>Dr Akshita Singh</v>
          </cell>
          <cell r="AA828" t="str">
            <v>Ca Breast</v>
          </cell>
          <cell r="AC828" t="str">
            <v>Breast</v>
          </cell>
          <cell r="AD828" t="str">
            <v>Right Breast</v>
          </cell>
          <cell r="AE828" t="str">
            <v>Female</v>
          </cell>
          <cell r="AF828">
            <v>53</v>
          </cell>
          <cell r="AG828" t="str">
            <v>N</v>
          </cell>
          <cell r="AH828">
            <v>5.0999999999999996</v>
          </cell>
          <cell r="AI828" t="str">
            <v>Shashi</v>
          </cell>
          <cell r="AJ828" t="str">
            <v>Biopsy</v>
          </cell>
          <cell r="AK828" t="str">
            <v>Primary</v>
          </cell>
          <cell r="AV828">
            <v>45289</v>
          </cell>
        </row>
        <row r="829">
          <cell r="A829" t="str">
            <v>FBR1Y230389</v>
          </cell>
          <cell r="B829">
            <v>230389</v>
          </cell>
          <cell r="C829" t="str">
            <v>R&amp;D</v>
          </cell>
          <cell r="D829">
            <v>45290</v>
          </cell>
          <cell r="E829">
            <v>0.43402777777777779</v>
          </cell>
          <cell r="F829">
            <v>45261</v>
          </cell>
          <cell r="G829">
            <v>45290</v>
          </cell>
          <cell r="H829">
            <v>0.54583333333333328</v>
          </cell>
          <cell r="I829">
            <v>0.11180555555555556</v>
          </cell>
          <cell r="J829">
            <v>1</v>
          </cell>
          <cell r="K829" t="str">
            <v>FCB-PROTOCOL-01</v>
          </cell>
          <cell r="L829" t="str">
            <v>VYD/233</v>
          </cell>
          <cell r="M829" t="str">
            <v>Y</v>
          </cell>
          <cell r="P829" t="str">
            <v>Q1 Passed</v>
          </cell>
          <cell r="Q829" t="str">
            <v>Q1 Passed</v>
          </cell>
          <cell r="R829" t="str">
            <v>Q1.5 Passed</v>
          </cell>
          <cell r="S829" t="str">
            <v>Q1.5 Passed</v>
          </cell>
          <cell r="V829" t="str">
            <v>Tumor content 30-85% with good immune presence</v>
          </cell>
          <cell r="W829" t="str">
            <v>Private Hospital</v>
          </cell>
          <cell r="X829" t="str">
            <v>Vydehi Hospital, Bangalore</v>
          </cell>
          <cell r="Y829" t="str">
            <v>Vydehi Hospital, Bangalore</v>
          </cell>
          <cell r="Z829" t="str">
            <v>Dr Amritha Prabha, Bangalore</v>
          </cell>
          <cell r="AA829" t="str">
            <v>HNSCC</v>
          </cell>
          <cell r="AC829" t="str">
            <v>Buccal Mucosa</v>
          </cell>
          <cell r="AD829" t="str">
            <v>Right Buccal Mucosa</v>
          </cell>
          <cell r="AE829" t="str">
            <v>Female</v>
          </cell>
          <cell r="AF829">
            <v>76</v>
          </cell>
          <cell r="AG829" t="str">
            <v>N</v>
          </cell>
          <cell r="AH829">
            <v>4.7</v>
          </cell>
          <cell r="AI829" t="str">
            <v>Shashi</v>
          </cell>
          <cell r="AJ829" t="str">
            <v>Surgery</v>
          </cell>
          <cell r="AK829" t="str">
            <v>Primary</v>
          </cell>
          <cell r="AN829" t="str">
            <v>II</v>
          </cell>
          <cell r="AO829">
            <v>1</v>
          </cell>
          <cell r="AP829" t="str">
            <v>T2N0</v>
          </cell>
          <cell r="AS829" t="str">
            <v>SCC</v>
          </cell>
          <cell r="AT829" t="str">
            <v>RT</v>
          </cell>
          <cell r="AV829">
            <v>45290</v>
          </cell>
          <cell r="AW829">
            <v>0.56597222222222221</v>
          </cell>
          <cell r="AX829">
            <v>0.63888888888888884</v>
          </cell>
          <cell r="AY829">
            <v>7.2916666666666671E-2</v>
          </cell>
          <cell r="AZ829">
            <v>9.3055555555555558E-2</v>
          </cell>
          <cell r="BA829">
            <v>0.2048611111111111</v>
          </cell>
          <cell r="BB829" t="str">
            <v>0.8/1.0*0.8*1.2</v>
          </cell>
          <cell r="BC829" t="str">
            <v>0.6/0.8*0.8*1.2</v>
          </cell>
          <cell r="BD829" t="str">
            <v>Vibratome</v>
          </cell>
          <cell r="BE829">
            <v>15</v>
          </cell>
          <cell r="BF829" t="str">
            <v>chandan</v>
          </cell>
          <cell r="BG829" t="str">
            <v>Y</v>
          </cell>
        </row>
        <row r="830">
          <cell r="A830" t="str">
            <v>FBR1Y240001</v>
          </cell>
          <cell r="B830">
            <v>240001</v>
          </cell>
          <cell r="C830" t="str">
            <v>R&amp;D</v>
          </cell>
          <cell r="D830">
            <v>45292</v>
          </cell>
          <cell r="E830">
            <v>0.5180555555555556</v>
          </cell>
          <cell r="F830">
            <v>45292</v>
          </cell>
          <cell r="G830">
            <v>45292</v>
          </cell>
          <cell r="H830">
            <v>0.57013888888888886</v>
          </cell>
          <cell r="I830">
            <v>5.2083333333333336E-2</v>
          </cell>
          <cell r="J830">
            <v>4</v>
          </cell>
          <cell r="K830" t="str">
            <v>FCB-PROTOCOL-01</v>
          </cell>
          <cell r="L830" t="str">
            <v>VYD/234</v>
          </cell>
          <cell r="M830" t="str">
            <v>Y</v>
          </cell>
          <cell r="N830" t="str">
            <v>CCS Study (1Y)</v>
          </cell>
          <cell r="O830" t="str">
            <v>Internal R&amp;D</v>
          </cell>
          <cell r="P830" t="str">
            <v>Q1 Passed</v>
          </cell>
          <cell r="Q830" t="str">
            <v>Q1 Passed</v>
          </cell>
          <cell r="R830" t="str">
            <v>Q1.5 Passed</v>
          </cell>
          <cell r="S830" t="str">
            <v>Q1.5 Passed</v>
          </cell>
          <cell r="V830" t="str">
            <v>Tumor content 25-95%</v>
          </cell>
          <cell r="W830" t="str">
            <v>Private Hospital</v>
          </cell>
          <cell r="X830" t="str">
            <v>Vydehi Hospital, Bangalore</v>
          </cell>
          <cell r="Y830" t="str">
            <v>Vydehi Hospital, Bangalore</v>
          </cell>
          <cell r="Z830" t="str">
            <v>Dr Amritha Prabha, Bangalore</v>
          </cell>
          <cell r="AA830" t="str">
            <v>HNSCC</v>
          </cell>
          <cell r="AC830" t="str">
            <v>Tongue</v>
          </cell>
          <cell r="AD830" t="str">
            <v>Right Lateral Border of Tongue</v>
          </cell>
          <cell r="AE830" t="str">
            <v>Male</v>
          </cell>
          <cell r="AF830">
            <v>52</v>
          </cell>
          <cell r="AG830" t="str">
            <v>N</v>
          </cell>
          <cell r="AH830">
            <v>4.3</v>
          </cell>
          <cell r="AI830" t="str">
            <v>Kalappa</v>
          </cell>
          <cell r="AJ830" t="str">
            <v>Surgery</v>
          </cell>
          <cell r="AK830" t="str">
            <v>Primary</v>
          </cell>
          <cell r="AN830" t="str">
            <v>III</v>
          </cell>
          <cell r="AO830">
            <v>2</v>
          </cell>
          <cell r="AP830" t="str">
            <v>T3N1</v>
          </cell>
          <cell r="AS830" t="str">
            <v>SCC</v>
          </cell>
          <cell r="AT830" t="str">
            <v>RT</v>
          </cell>
          <cell r="AV830">
            <v>45292</v>
          </cell>
          <cell r="AW830">
            <v>0.6</v>
          </cell>
          <cell r="AX830">
            <v>0.69305555555555554</v>
          </cell>
          <cell r="AY830">
            <v>9.3055555555555558E-2</v>
          </cell>
          <cell r="AZ830">
            <v>0.64097222222222228</v>
          </cell>
          <cell r="BA830">
            <v>0.17499999999999999</v>
          </cell>
          <cell r="BB830" t="str">
            <v>0.8*1.2*2.0</v>
          </cell>
          <cell r="BD830" t="str">
            <v>Manual+Vibratome</v>
          </cell>
          <cell r="BE830">
            <v>15</v>
          </cell>
          <cell r="BF830" t="str">
            <v>Pallavi</v>
          </cell>
          <cell r="BG830" t="str">
            <v>Y</v>
          </cell>
        </row>
        <row r="831">
          <cell r="A831" t="str">
            <v>FBR1Y240002</v>
          </cell>
          <cell r="B831">
            <v>240002</v>
          </cell>
          <cell r="C831" t="str">
            <v>R&amp;D</v>
          </cell>
          <cell r="D831">
            <v>45293</v>
          </cell>
          <cell r="E831">
            <v>0.57499999999999996</v>
          </cell>
          <cell r="F831">
            <v>45292</v>
          </cell>
          <cell r="G831">
            <v>45293</v>
          </cell>
          <cell r="H831">
            <v>0.67777777777777781</v>
          </cell>
          <cell r="I831">
            <v>0.10277777777777777</v>
          </cell>
          <cell r="J831">
            <v>13</v>
          </cell>
          <cell r="K831" t="str">
            <v>FCB-PROTOCOL-02</v>
          </cell>
          <cell r="L831" t="str">
            <v>HN113</v>
          </cell>
          <cell r="M831" t="str">
            <v>Y</v>
          </cell>
          <cell r="N831" t="str">
            <v>CCS Study (1Y)</v>
          </cell>
          <cell r="O831" t="str">
            <v>Internal R&amp;D</v>
          </cell>
          <cell r="P831" t="str">
            <v>Q1 Passed</v>
          </cell>
          <cell r="Q831" t="str">
            <v>Q1 Passed</v>
          </cell>
          <cell r="R831" t="str">
            <v>Q1.5 Passed</v>
          </cell>
          <cell r="S831" t="str">
            <v>Q1.5 Passed</v>
          </cell>
          <cell r="V831" t="str">
            <v>Tumor content 88-95%</v>
          </cell>
          <cell r="W831" t="str">
            <v>Private Hospital</v>
          </cell>
          <cell r="X831" t="str">
            <v>Mazumdar Shaw Medical Centre, Bangalore</v>
          </cell>
          <cell r="Y831" t="str">
            <v>Mazumdar Shaw Medical Centre, Bangalore</v>
          </cell>
          <cell r="Z831" t="str">
            <v>Dr Vijay Pillai, Bangalore</v>
          </cell>
          <cell r="AA831" t="str">
            <v>HNSCC</v>
          </cell>
          <cell r="AC831" t="str">
            <v>Buccal Mucosa</v>
          </cell>
          <cell r="AD831" t="str">
            <v>Buccal Mucosa</v>
          </cell>
          <cell r="AE831" t="str">
            <v>Male</v>
          </cell>
          <cell r="AF831">
            <v>49</v>
          </cell>
          <cell r="AG831" t="str">
            <v>N</v>
          </cell>
          <cell r="AH831">
            <v>4.8</v>
          </cell>
          <cell r="AI831" t="str">
            <v>Partha</v>
          </cell>
          <cell r="AJ831" t="str">
            <v>Surgery</v>
          </cell>
          <cell r="AK831" t="str">
            <v>Primary</v>
          </cell>
          <cell r="AN831">
            <v>4</v>
          </cell>
          <cell r="AO831">
            <v>2</v>
          </cell>
          <cell r="AP831" t="str">
            <v>pT4apN0</v>
          </cell>
          <cell r="AS831" t="str">
            <v>Moderately Advanced local disease</v>
          </cell>
          <cell r="AV831">
            <v>45293</v>
          </cell>
          <cell r="AW831">
            <v>0.69861111111111107</v>
          </cell>
          <cell r="AX831">
            <v>0.74305555555555558</v>
          </cell>
          <cell r="AY831">
            <v>4.4444444444444446E-2</v>
          </cell>
          <cell r="AZ831">
            <v>0.64027777777777772</v>
          </cell>
          <cell r="BA831">
            <v>0.16805555555555557</v>
          </cell>
          <cell r="BB831" t="str">
            <v>0.2/0.3*0.6/1.0*1,4/1.6</v>
          </cell>
          <cell r="BD831" t="str">
            <v>Manual</v>
          </cell>
          <cell r="BE831">
            <v>14</v>
          </cell>
          <cell r="BF831" t="str">
            <v xml:space="preserve">sai </v>
          </cell>
          <cell r="BG831" t="str">
            <v>Y</v>
          </cell>
        </row>
        <row r="832">
          <cell r="A832" t="str">
            <v>FBR1Y240003</v>
          </cell>
          <cell r="B832">
            <v>240003</v>
          </cell>
          <cell r="C832" t="str">
            <v>R&amp;D</v>
          </cell>
          <cell r="D832">
            <v>45293</v>
          </cell>
          <cell r="E832">
            <v>0.53472222222222221</v>
          </cell>
          <cell r="F832">
            <v>45292</v>
          </cell>
          <cell r="G832">
            <v>45293</v>
          </cell>
          <cell r="H832">
            <v>0.69652777777777775</v>
          </cell>
          <cell r="I832">
            <v>0.16180555555555556</v>
          </cell>
          <cell r="J832">
            <v>2</v>
          </cell>
          <cell r="K832" t="str">
            <v>FCB-PROTOCOL-01</v>
          </cell>
          <cell r="L832" t="str">
            <v>VYD/235</v>
          </cell>
          <cell r="M832" t="str">
            <v>Y</v>
          </cell>
          <cell r="N832" t="str">
            <v>CCS Study (1Y)</v>
          </cell>
          <cell r="O832" t="str">
            <v>Internal R&amp;D</v>
          </cell>
          <cell r="P832" t="str">
            <v>Q1 Passed</v>
          </cell>
          <cell r="Q832" t="str">
            <v>Q1 Passed</v>
          </cell>
          <cell r="R832" t="str">
            <v>Q1.5 Passed</v>
          </cell>
          <cell r="S832" t="str">
            <v>Q1.5 Passed</v>
          </cell>
          <cell r="V832" t="str">
            <v>Tumor content 60-90%</v>
          </cell>
          <cell r="W832" t="str">
            <v>Private Hospital</v>
          </cell>
          <cell r="X832" t="str">
            <v>Vydehi Hospital, Bangalore</v>
          </cell>
          <cell r="Y832" t="str">
            <v>Vydehi Hospital, Bangalore</v>
          </cell>
          <cell r="Z832" t="str">
            <v>Dr Amritha Prabha, Bangalore</v>
          </cell>
          <cell r="AA832" t="str">
            <v>HNSCC</v>
          </cell>
          <cell r="AC832" t="str">
            <v>Buccal Mucosa</v>
          </cell>
          <cell r="AD832" t="str">
            <v>Right Buccal Mucosa</v>
          </cell>
          <cell r="AE832" t="str">
            <v>Female</v>
          </cell>
          <cell r="AF832">
            <v>45</v>
          </cell>
          <cell r="AG832" t="str">
            <v>N</v>
          </cell>
          <cell r="AH832">
            <v>4.5</v>
          </cell>
          <cell r="AI832" t="str">
            <v>Maruthi</v>
          </cell>
          <cell r="AJ832" t="str">
            <v>Surgery</v>
          </cell>
          <cell r="AK832" t="str">
            <v>Primary</v>
          </cell>
          <cell r="AN832" t="str">
            <v>IV</v>
          </cell>
          <cell r="AO832">
            <v>1</v>
          </cell>
          <cell r="AP832" t="str">
            <v>T4aN1</v>
          </cell>
          <cell r="AS832" t="str">
            <v>SCC</v>
          </cell>
          <cell r="AT832" t="str">
            <v>RT</v>
          </cell>
          <cell r="AV832">
            <v>45293</v>
          </cell>
          <cell r="AW832">
            <v>0.71180555555555558</v>
          </cell>
          <cell r="AX832">
            <v>0.73958333333333337</v>
          </cell>
          <cell r="AY832">
            <v>2.7777777777777776E-2</v>
          </cell>
          <cell r="AZ832">
            <v>0.57777777777777772</v>
          </cell>
          <cell r="BA832">
            <v>0.2048611111111111</v>
          </cell>
          <cell r="BB832" t="str">
            <v>0.6*1.8*2.1</v>
          </cell>
          <cell r="BD832" t="str">
            <v>Vibratome</v>
          </cell>
          <cell r="BE832">
            <v>15</v>
          </cell>
          <cell r="BF832" t="str">
            <v>Pallavi</v>
          </cell>
          <cell r="BG832" t="str">
            <v>Y</v>
          </cell>
        </row>
        <row r="833">
          <cell r="A833" t="str">
            <v>FBR1W240004</v>
          </cell>
          <cell r="B833">
            <v>240004</v>
          </cell>
          <cell r="C833" t="str">
            <v>R&amp;D</v>
          </cell>
          <cell r="D833">
            <v>45293</v>
          </cell>
          <cell r="E833">
            <v>0.63194444444444442</v>
          </cell>
          <cell r="F833">
            <v>45292</v>
          </cell>
          <cell r="G833">
            <v>45293</v>
          </cell>
          <cell r="H833">
            <v>0.76388888888888884</v>
          </cell>
          <cell r="I833">
            <v>0.13194444444444445</v>
          </cell>
          <cell r="J833">
            <v>0</v>
          </cell>
          <cell r="K833" t="str">
            <v>FCB-PROTOCOL-02</v>
          </cell>
          <cell r="L833" t="str">
            <v>BC031</v>
          </cell>
          <cell r="M833" t="str">
            <v>Y</v>
          </cell>
          <cell r="N833" t="str">
            <v>Biopsy Cabr-BSS (1W)</v>
          </cell>
          <cell r="O833" t="str">
            <v>Internal R&amp;D</v>
          </cell>
          <cell r="P833" t="str">
            <v>Q1 Passed</v>
          </cell>
          <cell r="Q833" t="str">
            <v>Q1 Passed</v>
          </cell>
          <cell r="R833" t="str">
            <v>Q1.5 Passed</v>
          </cell>
          <cell r="S833" t="str">
            <v>Q1.5 Rejected</v>
          </cell>
          <cell r="V833" t="str">
            <v>1% tumor in only 1 fragment, others no tumor</v>
          </cell>
          <cell r="W833" t="str">
            <v>Private Hospital</v>
          </cell>
          <cell r="X833" t="str">
            <v>Mazumdar Shaw Medical Centre, Bangalore</v>
          </cell>
          <cell r="Y833" t="str">
            <v>Mazumdar Shaw Medical Centre, Bangalore</v>
          </cell>
          <cell r="Z833" t="str">
            <v>Dr Akshita Singh</v>
          </cell>
          <cell r="AA833" t="str">
            <v>Ca Breast</v>
          </cell>
          <cell r="AC833" t="str">
            <v>Breast</v>
          </cell>
          <cell r="AD833" t="str">
            <v>Right Breast</v>
          </cell>
          <cell r="AE833" t="str">
            <v>Female</v>
          </cell>
          <cell r="AF833">
            <v>57</v>
          </cell>
          <cell r="AG833" t="str">
            <v>N</v>
          </cell>
          <cell r="AH833">
            <v>4.7</v>
          </cell>
          <cell r="AI833" t="str">
            <v>Shashi</v>
          </cell>
          <cell r="AJ833" t="str">
            <v>Biopsy</v>
          </cell>
          <cell r="AK833" t="str">
            <v>Primary</v>
          </cell>
          <cell r="AV833">
            <v>45293</v>
          </cell>
          <cell r="AW833">
            <v>0.77916666666666667</v>
          </cell>
          <cell r="AX833">
            <v>0.81805555555555554</v>
          </cell>
          <cell r="AY833">
            <v>3.888888888888889E-2</v>
          </cell>
          <cell r="AZ833">
            <v>0.68611111111111112</v>
          </cell>
          <cell r="BA833">
            <v>0.18611111111111112</v>
          </cell>
          <cell r="BB833" t="str">
            <v>3 Cores
0.1*0.1*0.1</v>
          </cell>
          <cell r="BD833" t="str">
            <v>Manual</v>
          </cell>
          <cell r="BE833">
            <v>14</v>
          </cell>
          <cell r="BF833" t="str">
            <v>kuberan</v>
          </cell>
          <cell r="BG833" t="str">
            <v>Y</v>
          </cell>
        </row>
        <row r="834">
          <cell r="A834" t="str">
            <v>FBR1Y240005</v>
          </cell>
          <cell r="B834">
            <v>240005</v>
          </cell>
          <cell r="C834" t="str">
            <v>R&amp;D</v>
          </cell>
          <cell r="D834">
            <v>45294</v>
          </cell>
          <cell r="E834">
            <v>0.53333333333333333</v>
          </cell>
          <cell r="F834">
            <v>45292</v>
          </cell>
          <cell r="G834">
            <v>45294</v>
          </cell>
          <cell r="H834">
            <v>0.61458333333333337</v>
          </cell>
          <cell r="I834">
            <v>8.1250000000000003E-2</v>
          </cell>
          <cell r="J834">
            <v>4</v>
          </cell>
          <cell r="K834" t="str">
            <v>FCB-PROTOCOL-01</v>
          </cell>
          <cell r="L834" t="str">
            <v>VYD/236</v>
          </cell>
          <cell r="M834" t="str">
            <v>Y</v>
          </cell>
          <cell r="N834" t="str">
            <v>CCS Study (1Y)</v>
          </cell>
          <cell r="O834" t="str">
            <v>Internal R&amp;D</v>
          </cell>
          <cell r="P834" t="str">
            <v>Q1 Passed</v>
          </cell>
          <cell r="Q834" t="str">
            <v>Q1 Passed</v>
          </cell>
          <cell r="R834" t="str">
            <v>Q1.5 Passed</v>
          </cell>
          <cell r="S834" t="str">
            <v>Q1.5 Passed</v>
          </cell>
          <cell r="V834" t="str">
            <v>Tumor content 0-55%</v>
          </cell>
          <cell r="W834" t="str">
            <v>Private Hospital</v>
          </cell>
          <cell r="X834" t="str">
            <v>Vydehi Hospital, Bangalore</v>
          </cell>
          <cell r="Y834" t="str">
            <v>Vydehi Hospital, Bangalore</v>
          </cell>
          <cell r="Z834" t="str">
            <v>Dr Amritha Prabha, Bangalore</v>
          </cell>
          <cell r="AA834" t="str">
            <v>HNSCC</v>
          </cell>
          <cell r="AC834" t="str">
            <v>Buccal Mucosa</v>
          </cell>
          <cell r="AD834" t="str">
            <v>Right Buccal Mucosa</v>
          </cell>
          <cell r="AE834" t="str">
            <v>Male</v>
          </cell>
          <cell r="AF834">
            <v>75</v>
          </cell>
          <cell r="AG834" t="str">
            <v>N</v>
          </cell>
          <cell r="AH834">
            <v>4.8</v>
          </cell>
          <cell r="AI834" t="str">
            <v>Partha</v>
          </cell>
          <cell r="AJ834" t="str">
            <v>Surgery</v>
          </cell>
          <cell r="AK834" t="str">
            <v>Primary</v>
          </cell>
          <cell r="AN834" t="str">
            <v>II</v>
          </cell>
          <cell r="AO834">
            <v>1</v>
          </cell>
          <cell r="AP834" t="str">
            <v>T2N0</v>
          </cell>
          <cell r="AS834" t="str">
            <v>SCC</v>
          </cell>
          <cell r="AT834" t="str">
            <v>RT</v>
          </cell>
          <cell r="AV834">
            <v>45294</v>
          </cell>
          <cell r="AW834">
            <v>0.63402777777777775</v>
          </cell>
          <cell r="AX834">
            <v>0.69791666666666663</v>
          </cell>
          <cell r="AY834">
            <v>6.3888888888888884E-2</v>
          </cell>
          <cell r="AZ834">
            <v>0.6166666666666667</v>
          </cell>
          <cell r="BA834">
            <v>0.16458333333333333</v>
          </cell>
          <cell r="BB834" t="str">
            <v>0.4*1.2*0.8</v>
          </cell>
          <cell r="BD834" t="str">
            <v>Manual</v>
          </cell>
          <cell r="BE834">
            <v>14</v>
          </cell>
          <cell r="BF834" t="str">
            <v>Pallavi</v>
          </cell>
          <cell r="BG834" t="str">
            <v>Y</v>
          </cell>
        </row>
        <row r="835">
          <cell r="A835" t="str">
            <v>FBR1X240006</v>
          </cell>
          <cell r="B835">
            <v>240006</v>
          </cell>
          <cell r="C835" t="str">
            <v>R&amp;D</v>
          </cell>
          <cell r="D835">
            <v>45295</v>
          </cell>
          <cell r="E835">
            <v>0.42708333333333331</v>
          </cell>
          <cell r="F835">
            <v>45292</v>
          </cell>
          <cell r="G835">
            <v>45295</v>
          </cell>
          <cell r="H835">
            <v>0.5083333333333333</v>
          </cell>
          <cell r="I835">
            <v>8.1250000000000003E-2</v>
          </cell>
          <cell r="J835">
            <v>0</v>
          </cell>
          <cell r="K835" t="str">
            <v>FCB-PROTOCOL-02</v>
          </cell>
          <cell r="L835" t="str">
            <v>HN114</v>
          </cell>
          <cell r="M835" t="str">
            <v>Y</v>
          </cell>
          <cell r="N835" t="str">
            <v>Biopsy HNSCC (1X)</v>
          </cell>
          <cell r="O835" t="str">
            <v>Internal R&amp;D</v>
          </cell>
          <cell r="P835" t="str">
            <v>Q1 Passed</v>
          </cell>
          <cell r="Q835" t="str">
            <v>Q1 Passed</v>
          </cell>
          <cell r="R835" t="str">
            <v>Q1.5 Passed</v>
          </cell>
          <cell r="S835" t="str">
            <v>Q1.5 Passed</v>
          </cell>
          <cell r="V835" t="str">
            <v>Tumor content 0-60% ? Sarcamatoid variant</v>
          </cell>
          <cell r="W835" t="str">
            <v>Private Hospital</v>
          </cell>
          <cell r="X835" t="str">
            <v>Mazumdar Shaw Medical Centre, Bangalore</v>
          </cell>
          <cell r="Y835" t="str">
            <v>Mazumdar Shaw Medical Centre, Bangalore</v>
          </cell>
          <cell r="Z835" t="str">
            <v>Dr Vijay Pillai, Bangalore</v>
          </cell>
          <cell r="AA835" t="str">
            <v>HNSCC</v>
          </cell>
          <cell r="AC835" t="str">
            <v>Epiglotis</v>
          </cell>
          <cell r="AD835" t="str">
            <v>Epiglotis</v>
          </cell>
          <cell r="AE835" t="str">
            <v>Male</v>
          </cell>
          <cell r="AF835">
            <v>51</v>
          </cell>
          <cell r="AG835" t="str">
            <v>N</v>
          </cell>
          <cell r="AH835">
            <v>5.0999999999999996</v>
          </cell>
          <cell r="AI835" t="str">
            <v>Shashi</v>
          </cell>
          <cell r="AJ835" t="str">
            <v>Biopsy</v>
          </cell>
          <cell r="AK835" t="str">
            <v>Primary</v>
          </cell>
          <cell r="AL835" t="str">
            <v>Chemotherapy + Radiotherapy</v>
          </cell>
          <cell r="AN835" t="str">
            <v>NA</v>
          </cell>
          <cell r="AO835" t="str">
            <v>NA</v>
          </cell>
          <cell r="AP835" t="str">
            <v>NA</v>
          </cell>
          <cell r="AQ835">
            <v>3</v>
          </cell>
          <cell r="AR835" t="str">
            <v>Docetaxel, Cisplatin, 5FU</v>
          </cell>
          <cell r="AS835" t="str">
            <v>Spindle cell variant of squamous cell cacinoma</v>
          </cell>
          <cell r="AV835">
            <v>45295</v>
          </cell>
          <cell r="AW835">
            <v>0.52083333333333337</v>
          </cell>
          <cell r="AX835">
            <v>0.55555555555555558</v>
          </cell>
          <cell r="AY835">
            <v>3.4722222222222224E-2</v>
          </cell>
          <cell r="AZ835">
            <v>0.47430555555555554</v>
          </cell>
          <cell r="BA835">
            <v>0.12847222222222221</v>
          </cell>
          <cell r="BB835" t="str">
            <v>0.1/0.2*0.4*0.6</v>
          </cell>
          <cell r="BD835" t="str">
            <v>Manual</v>
          </cell>
          <cell r="BE835">
            <v>14</v>
          </cell>
          <cell r="BF835" t="str">
            <v>Kokila</v>
          </cell>
          <cell r="BG835" t="str">
            <v>Y</v>
          </cell>
        </row>
        <row r="836">
          <cell r="A836" t="str">
            <v>FBR2J240007</v>
          </cell>
          <cell r="B836">
            <v>240007</v>
          </cell>
          <cell r="C836" t="str">
            <v>R&amp;D</v>
          </cell>
          <cell r="D836">
            <v>45295</v>
          </cell>
          <cell r="E836">
            <v>0.53611111111111109</v>
          </cell>
          <cell r="F836">
            <v>45292</v>
          </cell>
          <cell r="G836">
            <v>45295</v>
          </cell>
          <cell r="H836">
            <v>0.60486111111111107</v>
          </cell>
          <cell r="I836">
            <v>6.8750000000000006E-2</v>
          </cell>
          <cell r="J836">
            <v>1</v>
          </cell>
          <cell r="K836" t="str">
            <v>FCB-PROTOCOL-01</v>
          </cell>
          <cell r="L836" t="str">
            <v>CLN/PRA/245</v>
          </cell>
          <cell r="M836" t="str">
            <v>Y</v>
          </cell>
          <cell r="N836" t="str">
            <v>Lung (2I &amp; 2J)</v>
          </cell>
          <cell r="O836" t="str">
            <v>Internal R&amp;D</v>
          </cell>
          <cell r="P836" t="str">
            <v>Q1 Passed</v>
          </cell>
          <cell r="Q836" t="str">
            <v>Q1 Passed</v>
          </cell>
          <cell r="R836" t="str">
            <v>Q1.5 Passed</v>
          </cell>
          <cell r="S836" t="str">
            <v>Q1.5 Rejected</v>
          </cell>
          <cell r="V836" t="str">
            <v>No tumor, only necrotic tissue</v>
          </cell>
          <cell r="W836" t="str">
            <v>Private Hospital</v>
          </cell>
          <cell r="X836" t="str">
            <v>Dr Prakash BV, Bangalore</v>
          </cell>
          <cell r="Y836" t="str">
            <v>Sri Lakshmi Hospital, Bangalore</v>
          </cell>
          <cell r="Z836" t="str">
            <v>Dr Prakash BV, Bangalore</v>
          </cell>
          <cell r="AA836" t="str">
            <v>Lung</v>
          </cell>
          <cell r="AC836" t="str">
            <v>Lower Lobe</v>
          </cell>
          <cell r="AD836" t="str">
            <v>Left Lower Lobe</v>
          </cell>
          <cell r="AE836" t="str">
            <v>Female</v>
          </cell>
          <cell r="AF836">
            <v>64</v>
          </cell>
          <cell r="AG836" t="str">
            <v>N</v>
          </cell>
          <cell r="AH836">
            <v>4.5999999999999996</v>
          </cell>
          <cell r="AI836" t="str">
            <v>Kalappa</v>
          </cell>
          <cell r="AJ836" t="str">
            <v>Surgery</v>
          </cell>
          <cell r="AK836" t="str">
            <v>Primary</v>
          </cell>
          <cell r="AV836">
            <v>45295</v>
          </cell>
          <cell r="AW836">
            <v>0.64097222222222228</v>
          </cell>
          <cell r="AX836">
            <v>0.68541666666666667</v>
          </cell>
          <cell r="AY836">
            <v>4.4444444444444446E-2</v>
          </cell>
          <cell r="AZ836">
            <v>0.6166666666666667</v>
          </cell>
          <cell r="BA836">
            <v>0.14930555555555555</v>
          </cell>
          <cell r="BB836" t="str">
            <v>0.4*0.6*1.8</v>
          </cell>
          <cell r="BD836" t="str">
            <v>Manual</v>
          </cell>
          <cell r="BE836">
            <v>14</v>
          </cell>
          <cell r="BF836" t="str">
            <v>Syam</v>
          </cell>
          <cell r="BG836" t="str">
            <v>Y</v>
          </cell>
        </row>
        <row r="837">
          <cell r="A837" t="str">
            <v>FBR1Y240008</v>
          </cell>
          <cell r="B837">
            <v>240008</v>
          </cell>
          <cell r="C837" t="str">
            <v>R&amp;D</v>
          </cell>
          <cell r="D837">
            <v>45295</v>
          </cell>
          <cell r="E837">
            <v>0.54722222222222228</v>
          </cell>
          <cell r="F837">
            <v>45292</v>
          </cell>
          <cell r="G837">
            <v>45295</v>
          </cell>
          <cell r="H837">
            <v>0.65625</v>
          </cell>
          <cell r="I837">
            <v>0.10902777777777778</v>
          </cell>
          <cell r="J837">
            <v>4</v>
          </cell>
          <cell r="K837" t="str">
            <v>FCB-PROTOCOL-01</v>
          </cell>
          <cell r="L837" t="str">
            <v>VYD/237</v>
          </cell>
          <cell r="M837" t="str">
            <v>Y</v>
          </cell>
          <cell r="N837" t="str">
            <v>CCS Study (1Y)</v>
          </cell>
          <cell r="O837" t="str">
            <v>Internal R&amp;D</v>
          </cell>
          <cell r="P837" t="str">
            <v>Q1 Passed</v>
          </cell>
          <cell r="Q837" t="str">
            <v>Q1 Passed</v>
          </cell>
          <cell r="R837" t="str">
            <v>Q1.5 Passed</v>
          </cell>
          <cell r="S837" t="str">
            <v>Q1.5 Passed</v>
          </cell>
          <cell r="V837" t="str">
            <v>Tumor content 40-90%</v>
          </cell>
          <cell r="W837" t="str">
            <v>Private Hospital</v>
          </cell>
          <cell r="X837" t="str">
            <v>Vydehi Hospital, Bangalore</v>
          </cell>
          <cell r="Y837" t="str">
            <v>Vydehi Hospital, Bangalore</v>
          </cell>
          <cell r="Z837" t="str">
            <v>Dr Amritha Prabha, Bangalore</v>
          </cell>
          <cell r="AA837" t="str">
            <v>HNSCC</v>
          </cell>
          <cell r="AC837" t="str">
            <v>Buccal Mucosa</v>
          </cell>
          <cell r="AD837" t="str">
            <v>Left Buccal Mucosa</v>
          </cell>
          <cell r="AE837" t="str">
            <v>Female</v>
          </cell>
          <cell r="AF837">
            <v>65</v>
          </cell>
          <cell r="AG837" t="str">
            <v>N</v>
          </cell>
          <cell r="AH837">
            <v>4.5</v>
          </cell>
          <cell r="AI837" t="str">
            <v>Partha</v>
          </cell>
          <cell r="AJ837" t="str">
            <v>Surgery</v>
          </cell>
          <cell r="AK837" t="str">
            <v>Primary</v>
          </cell>
          <cell r="AN837" t="str">
            <v>IV</v>
          </cell>
          <cell r="AO837">
            <v>1</v>
          </cell>
          <cell r="AP837" t="str">
            <v>T4aN3b</v>
          </cell>
          <cell r="AS837" t="str">
            <v>SCC</v>
          </cell>
          <cell r="AT837" t="str">
            <v>CT</v>
          </cell>
          <cell r="AV837">
            <v>45295</v>
          </cell>
          <cell r="AW837">
            <v>0.66805555555555551</v>
          </cell>
          <cell r="AX837">
            <v>0.76249999999999996</v>
          </cell>
          <cell r="AY837">
            <v>9.4444444444444442E-2</v>
          </cell>
          <cell r="AZ837">
            <v>0.65347222222222223</v>
          </cell>
          <cell r="BA837">
            <v>0.21527777777777779</v>
          </cell>
          <cell r="BB837" t="str">
            <v>1.2*0.8/1.4*2.4</v>
          </cell>
          <cell r="BD837" t="str">
            <v>Vibratome</v>
          </cell>
          <cell r="BE837">
            <v>14</v>
          </cell>
          <cell r="BF837" t="str">
            <v>Pallavi</v>
          </cell>
          <cell r="BG837" t="str">
            <v>Y</v>
          </cell>
        </row>
        <row r="838">
          <cell r="A838" t="str">
            <v>FBR1Y240009</v>
          </cell>
          <cell r="B838">
            <v>240009</v>
          </cell>
          <cell r="C838" t="str">
            <v>R&amp;D</v>
          </cell>
          <cell r="D838">
            <v>45296</v>
          </cell>
          <cell r="E838">
            <v>0.48958333333333331</v>
          </cell>
          <cell r="F838">
            <v>45292</v>
          </cell>
          <cell r="G838">
            <v>45296</v>
          </cell>
          <cell r="H838">
            <v>0.65277777777777779</v>
          </cell>
          <cell r="I838">
            <v>0.16319444444444445</v>
          </cell>
          <cell r="J838">
            <v>3</v>
          </cell>
          <cell r="K838" t="str">
            <v>FCB-PROTOCOL-02</v>
          </cell>
          <cell r="L838" t="str">
            <v>HN115</v>
          </cell>
          <cell r="M838" t="str">
            <v>Y</v>
          </cell>
          <cell r="N838" t="str">
            <v>CCS Study (1Y)</v>
          </cell>
          <cell r="O838" t="str">
            <v>Internal R&amp;D</v>
          </cell>
          <cell r="P838" t="str">
            <v>Q1 Passed</v>
          </cell>
          <cell r="Q838" t="str">
            <v>Not Received</v>
          </cell>
          <cell r="R838" t="str">
            <v>Compromised</v>
          </cell>
          <cell r="S838" t="str">
            <v>Q1.5 Passed</v>
          </cell>
          <cell r="T838" t="str">
            <v>Blood not collected</v>
          </cell>
          <cell r="V838" t="str">
            <v>Tumor content 0-90%</v>
          </cell>
          <cell r="W838" t="str">
            <v>Private Hospital</v>
          </cell>
          <cell r="X838" t="str">
            <v>Mazumdar Shaw Medical Centre, Bangalore</v>
          </cell>
          <cell r="Y838" t="str">
            <v>Mazumdar Shaw Medical Centre, Bangalore</v>
          </cell>
          <cell r="Z838" t="str">
            <v>Dr Vijay Pillai, Bangalore</v>
          </cell>
          <cell r="AA838" t="str">
            <v>HNSCC</v>
          </cell>
          <cell r="AC838" t="str">
            <v>Buccal Mucosa</v>
          </cell>
          <cell r="AD838" t="str">
            <v>Buccal Mucosa</v>
          </cell>
          <cell r="AE838" t="str">
            <v>Female</v>
          </cell>
          <cell r="AF838">
            <v>60</v>
          </cell>
          <cell r="AG838" t="str">
            <v>N</v>
          </cell>
          <cell r="AH838">
            <v>3.8</v>
          </cell>
          <cell r="AI838" t="str">
            <v>Maruthi</v>
          </cell>
          <cell r="AJ838" t="str">
            <v>Surgery</v>
          </cell>
          <cell r="AK838" t="str">
            <v>Primary</v>
          </cell>
          <cell r="AN838">
            <v>3</v>
          </cell>
          <cell r="AO838">
            <v>2</v>
          </cell>
          <cell r="AP838" t="str">
            <v>pT3N0</v>
          </cell>
          <cell r="AS838" t="str">
            <v>MDSCC(Moderately Differentiated Squamous cell carcinoma)</v>
          </cell>
          <cell r="AV838">
            <v>45296</v>
          </cell>
          <cell r="AW838">
            <v>0.67013888888888884</v>
          </cell>
          <cell r="AX838">
            <v>0.71527777777777779</v>
          </cell>
          <cell r="AY838">
            <v>4.5138888888888888E-2</v>
          </cell>
          <cell r="AZ838">
            <v>0.55208333333333337</v>
          </cell>
          <cell r="BA838">
            <v>0.22569444444444445</v>
          </cell>
          <cell r="BB838" t="str">
            <v>0.2*0.6*0.8</v>
          </cell>
          <cell r="BD838" t="str">
            <v>Manual</v>
          </cell>
          <cell r="BE838">
            <v>14</v>
          </cell>
          <cell r="BF838" t="str">
            <v>Kokila</v>
          </cell>
          <cell r="BG838" t="str">
            <v>N</v>
          </cell>
        </row>
        <row r="839">
          <cell r="A839" t="str">
            <v>FBB1L240010</v>
          </cell>
          <cell r="B839">
            <v>240010</v>
          </cell>
          <cell r="C839" t="str">
            <v>Biopharma</v>
          </cell>
          <cell r="D839">
            <v>45296</v>
          </cell>
          <cell r="E839">
            <v>0.55902777777777779</v>
          </cell>
          <cell r="F839">
            <v>45292</v>
          </cell>
          <cell r="G839">
            <v>45296</v>
          </cell>
          <cell r="H839">
            <v>0.65277777777777779</v>
          </cell>
          <cell r="I839">
            <v>9.375E-2</v>
          </cell>
          <cell r="J839">
            <v>3</v>
          </cell>
          <cell r="K839" t="str">
            <v>FCB-PROTOCOL-02</v>
          </cell>
          <cell r="L839" t="str">
            <v>RC044</v>
          </cell>
          <cell r="M839" t="str">
            <v>Y</v>
          </cell>
          <cell r="N839" t="str">
            <v>BP010 (1L)</v>
          </cell>
          <cell r="O839" t="str">
            <v>Biopharma</v>
          </cell>
          <cell r="P839" t="str">
            <v>Q1 Passed</v>
          </cell>
          <cell r="Q839" t="str">
            <v>Q1.5 Passed</v>
          </cell>
          <cell r="R839" t="str">
            <v>Q1.5 Passed</v>
          </cell>
          <cell r="S839" t="str">
            <v>Q1.5 Rejected</v>
          </cell>
          <cell r="V839" t="str">
            <v>Tumor content 0-80%   Necrosis  in many fragments</v>
          </cell>
          <cell r="W839" t="str">
            <v>Private Hospital</v>
          </cell>
          <cell r="X839" t="str">
            <v>Mazumdar Shaw Medical Centre, Bangalore</v>
          </cell>
          <cell r="Y839" t="str">
            <v>Mazumdar Shaw Medical Centre, Bangalore</v>
          </cell>
          <cell r="Z839" t="str">
            <v>Dr Saurabh Bhargav, Bangalore</v>
          </cell>
          <cell r="AA839" t="str">
            <v>RCC</v>
          </cell>
          <cell r="AC839" t="str">
            <v>Renal Mass</v>
          </cell>
          <cell r="AD839" t="str">
            <v>Left Renal Mass</v>
          </cell>
          <cell r="AE839" t="str">
            <v>Male</v>
          </cell>
          <cell r="AF839">
            <v>60</v>
          </cell>
          <cell r="AG839" t="str">
            <v>N</v>
          </cell>
          <cell r="AH839">
            <v>3.8</v>
          </cell>
          <cell r="AI839" t="str">
            <v>Maruthi</v>
          </cell>
          <cell r="AJ839" t="str">
            <v>Surgery</v>
          </cell>
          <cell r="AK839" t="str">
            <v>Primary</v>
          </cell>
          <cell r="AV839">
            <v>45296</v>
          </cell>
          <cell r="AW839">
            <v>0.67013888888888884</v>
          </cell>
          <cell r="AX839">
            <v>0.76249999999999996</v>
          </cell>
          <cell r="AY839">
            <v>9.2361111111111116E-2</v>
          </cell>
          <cell r="AZ839">
            <v>0.66874999999999996</v>
          </cell>
          <cell r="BA839">
            <v>0.20347222222222222</v>
          </cell>
          <cell r="BB839" t="str">
            <v>1.0*1.6*2.5
0.8*0.6/1.4*2.2/2.8</v>
          </cell>
          <cell r="BD839" t="str">
            <v>Vibratome</v>
          </cell>
          <cell r="BE839">
            <v>14</v>
          </cell>
          <cell r="BF839" t="str">
            <v>chandan</v>
          </cell>
          <cell r="BG839" t="str">
            <v>Y</v>
          </cell>
        </row>
        <row r="840">
          <cell r="A840" t="str">
            <v>FBR1Z240011</v>
          </cell>
          <cell r="B840">
            <v>240011</v>
          </cell>
          <cell r="C840" t="str">
            <v>R&amp;D</v>
          </cell>
          <cell r="D840">
            <v>45297</v>
          </cell>
          <cell r="E840">
            <v>0.3972222222222222</v>
          </cell>
          <cell r="F840">
            <v>45292</v>
          </cell>
          <cell r="G840">
            <v>45297</v>
          </cell>
          <cell r="H840">
            <v>0.50069444444444444</v>
          </cell>
          <cell r="I840">
            <v>0.10347222222222222</v>
          </cell>
          <cell r="J840">
            <v>0</v>
          </cell>
          <cell r="K840" t="str">
            <v>FCB-PROTOCOL-01</v>
          </cell>
          <cell r="L840" t="str">
            <v>VYD/BPY/08</v>
          </cell>
          <cell r="M840" t="str">
            <v>Y</v>
          </cell>
          <cell r="N840" t="str">
            <v>CT+LD Nivo -NLD study (1Z)</v>
          </cell>
          <cell r="O840" t="str">
            <v>Internal R&amp;D</v>
          </cell>
          <cell r="P840" t="str">
            <v>Q1 Passed</v>
          </cell>
          <cell r="Q840" t="str">
            <v>Q1 Passed</v>
          </cell>
          <cell r="R840" t="str">
            <v>Q1.5 Passed</v>
          </cell>
          <cell r="S840" t="str">
            <v>Q1.5 Passed</v>
          </cell>
          <cell r="V840" t="str">
            <v>Tumor content 0-98%</v>
          </cell>
          <cell r="W840" t="str">
            <v>Private Hospital</v>
          </cell>
          <cell r="X840" t="str">
            <v>Vydehi Hospital, Bangalore</v>
          </cell>
          <cell r="Y840" t="str">
            <v>Vydehi Hospital, Bangalore</v>
          </cell>
          <cell r="Z840" t="str">
            <v>Dr Amritha Prabha, Bangalore</v>
          </cell>
          <cell r="AA840" t="str">
            <v>HNSCC</v>
          </cell>
          <cell r="AC840" t="str">
            <v>Buccal Mucosa</v>
          </cell>
          <cell r="AD840" t="str">
            <v>Left Buccal Mucosa</v>
          </cell>
          <cell r="AE840" t="str">
            <v>Female</v>
          </cell>
          <cell r="AF840">
            <v>46</v>
          </cell>
          <cell r="AG840" t="str">
            <v>N</v>
          </cell>
          <cell r="AH840">
            <v>4.5</v>
          </cell>
          <cell r="AI840" t="str">
            <v>Maruthi</v>
          </cell>
          <cell r="AJ840" t="str">
            <v>Biopsy</v>
          </cell>
          <cell r="AK840" t="str">
            <v>Primary</v>
          </cell>
          <cell r="AL840" t="str">
            <v>Surgery</v>
          </cell>
          <cell r="AN840" t="str">
            <v>IVA</v>
          </cell>
          <cell r="AV840">
            <v>45297</v>
          </cell>
          <cell r="AW840">
            <v>0.60347222222222219</v>
          </cell>
          <cell r="AX840">
            <v>0.69097222222222221</v>
          </cell>
          <cell r="AY840">
            <v>8.7499999999999994E-2</v>
          </cell>
          <cell r="AZ840">
            <v>0.58750000000000002</v>
          </cell>
          <cell r="BA840">
            <v>0.29375000000000001</v>
          </cell>
          <cell r="BB840" t="str">
            <v>5 Punch Biopsy
0.4*0.4/0.6*0.8
0.3*0.4*0.4
0.6*0.4/0.6*1.0/0.6
0.4*0.4*0.8
0.4*0.5*0.8</v>
          </cell>
          <cell r="BD840" t="str">
            <v>Manual</v>
          </cell>
          <cell r="BE840">
            <v>14</v>
          </cell>
          <cell r="BF840" t="str">
            <v>Mouniss</v>
          </cell>
          <cell r="BG840" t="str">
            <v>Y</v>
          </cell>
        </row>
        <row r="841">
          <cell r="A841" t="str">
            <v>FBB1L240012</v>
          </cell>
          <cell r="B841">
            <v>240012</v>
          </cell>
          <cell r="C841" t="str">
            <v>Biopharma</v>
          </cell>
          <cell r="D841">
            <v>45299</v>
          </cell>
          <cell r="E841">
            <v>0.59444444444444444</v>
          </cell>
          <cell r="F841">
            <v>45292</v>
          </cell>
          <cell r="G841">
            <v>45299</v>
          </cell>
          <cell r="H841">
            <v>0.625</v>
          </cell>
          <cell r="I841">
            <v>3.0555555555555555E-2</v>
          </cell>
          <cell r="J841">
            <v>2</v>
          </cell>
          <cell r="K841" t="str">
            <v>FCB-PROTOCOL-01</v>
          </cell>
          <cell r="L841" t="str">
            <v>CLN/PRA/246</v>
          </cell>
          <cell r="M841" t="str">
            <v>Y</v>
          </cell>
          <cell r="N841" t="str">
            <v>BP010 (1L)</v>
          </cell>
          <cell r="O841" t="str">
            <v>Biopharma</v>
          </cell>
          <cell r="P841" t="str">
            <v>Q1 Passed</v>
          </cell>
          <cell r="Q841" t="str">
            <v>Q1 Passed</v>
          </cell>
          <cell r="R841" t="str">
            <v>Q1.5 Passed</v>
          </cell>
          <cell r="S841" t="str">
            <v>Q1.5 Passed</v>
          </cell>
          <cell r="V841" t="str">
            <v>Tumor content 40-80% ? Eosinophilic variant of Clear cell? Chromophobe</v>
          </cell>
          <cell r="W841" t="str">
            <v>Private Hospital</v>
          </cell>
          <cell r="X841" t="str">
            <v>Dr Prakash BV, Bangalore</v>
          </cell>
          <cell r="Y841" t="str">
            <v>Sri Lakshmi Hospital, Bangalore</v>
          </cell>
          <cell r="Z841" t="str">
            <v>Dr Prakash BV, Bangalore</v>
          </cell>
          <cell r="AA841" t="str">
            <v>RCC</v>
          </cell>
          <cell r="AC841" t="str">
            <v>Kidney</v>
          </cell>
          <cell r="AD841" t="str">
            <v>Right Kidney</v>
          </cell>
          <cell r="AE841" t="str">
            <v>Female</v>
          </cell>
          <cell r="AF841">
            <v>39</v>
          </cell>
          <cell r="AG841" t="str">
            <v>N</v>
          </cell>
          <cell r="AH841">
            <v>4.5999999999999996</v>
          </cell>
          <cell r="AI841" t="str">
            <v>Partha</v>
          </cell>
          <cell r="AJ841" t="str">
            <v>Surgery</v>
          </cell>
          <cell r="AK841" t="str">
            <v>Primary</v>
          </cell>
          <cell r="AN841" t="str">
            <v>II</v>
          </cell>
          <cell r="AP841" t="str">
            <v>pT2N0M0</v>
          </cell>
          <cell r="AV841">
            <v>45299</v>
          </cell>
          <cell r="AW841">
            <v>0.6430555555555556</v>
          </cell>
          <cell r="AX841">
            <v>0.73263888888888884</v>
          </cell>
          <cell r="AY841">
            <v>8.9583333333333334E-2</v>
          </cell>
          <cell r="AZ841">
            <v>0.70208333333333328</v>
          </cell>
          <cell r="BA841">
            <v>0.13819444444444445</v>
          </cell>
          <cell r="BB841" t="str">
            <v>0.8/0.6*1.4*2.4</v>
          </cell>
          <cell r="BD841" t="str">
            <v>Vibratome</v>
          </cell>
          <cell r="BE841">
            <v>14</v>
          </cell>
          <cell r="BF841" t="str">
            <v>Syam</v>
          </cell>
          <cell r="BG841" t="str">
            <v>Y</v>
          </cell>
        </row>
        <row r="842">
          <cell r="A842" t="str">
            <v>FBR1Y240013</v>
          </cell>
          <cell r="B842">
            <v>240013</v>
          </cell>
          <cell r="C842" t="str">
            <v>R&amp;D</v>
          </cell>
          <cell r="D842">
            <v>45299</v>
          </cell>
          <cell r="E842">
            <v>0.52500000000000002</v>
          </cell>
          <cell r="F842">
            <v>45292</v>
          </cell>
          <cell r="G842">
            <v>45299</v>
          </cell>
          <cell r="H842">
            <v>0.66041666666666665</v>
          </cell>
          <cell r="I842">
            <v>0.13541666666666666</v>
          </cell>
          <cell r="J842">
            <v>5</v>
          </cell>
          <cell r="K842" t="str">
            <v>FCB-PROTOCOL-01</v>
          </cell>
          <cell r="L842" t="str">
            <v>VYD/238</v>
          </cell>
          <cell r="M842" t="str">
            <v>Y</v>
          </cell>
          <cell r="N842" t="str">
            <v>CCS Study (1Y)</v>
          </cell>
          <cell r="O842" t="str">
            <v>Internal R&amp;D</v>
          </cell>
          <cell r="P842" t="str">
            <v>Q1 Passed</v>
          </cell>
          <cell r="Q842" t="str">
            <v>Q1 Passed</v>
          </cell>
          <cell r="R842" t="str">
            <v>Q1.5 Passed</v>
          </cell>
          <cell r="S842" t="str">
            <v>Q1.5 Passed</v>
          </cell>
          <cell r="V842" t="str">
            <v>Tumor content 40-90%</v>
          </cell>
          <cell r="W842" t="str">
            <v>Private Hospital</v>
          </cell>
          <cell r="X842" t="str">
            <v>Vydehi Hospital, Bangalore</v>
          </cell>
          <cell r="Y842" t="str">
            <v>Vydehi Hospital, Bangalore</v>
          </cell>
          <cell r="Z842" t="str">
            <v>Dr Amritha Prabha, Bangalore</v>
          </cell>
          <cell r="AA842" t="str">
            <v>HNSCC</v>
          </cell>
          <cell r="AC842" t="str">
            <v>RMT</v>
          </cell>
          <cell r="AD842" t="str">
            <v>Right RMT</v>
          </cell>
          <cell r="AE842" t="str">
            <v>Male</v>
          </cell>
          <cell r="AF842">
            <v>49</v>
          </cell>
          <cell r="AG842" t="str">
            <v>N</v>
          </cell>
          <cell r="AH842">
            <v>5.0999999999999996</v>
          </cell>
          <cell r="AI842" t="str">
            <v>Shashi</v>
          </cell>
          <cell r="AJ842" t="str">
            <v>Surgery</v>
          </cell>
          <cell r="AK842" t="str">
            <v>Primary</v>
          </cell>
          <cell r="AN842" t="str">
            <v>III</v>
          </cell>
          <cell r="AO842">
            <v>2</v>
          </cell>
          <cell r="AP842" t="str">
            <v>T2N1</v>
          </cell>
          <cell r="AS842" t="str">
            <v>SCC</v>
          </cell>
          <cell r="AT842" t="str">
            <v>RT</v>
          </cell>
          <cell r="AV842">
            <v>45299</v>
          </cell>
          <cell r="AW842">
            <v>0.7</v>
          </cell>
          <cell r="AX842">
            <v>0.72777777777777775</v>
          </cell>
          <cell r="AY842">
            <v>2.7777777777777776E-2</v>
          </cell>
          <cell r="AZ842">
            <v>0.59236111111111112</v>
          </cell>
          <cell r="BA842">
            <v>0.20277777777777778</v>
          </cell>
          <cell r="BB842" t="str">
            <v>0.2/0.4*0.6*0.6/0.8
0.2/0.4*0.8/1.0*0.6/0.8
0.2/0.4*0.4/0.6*1.4
0.2/0.4*0.4*0.4/0.6</v>
          </cell>
          <cell r="BD842" t="str">
            <v>Manual</v>
          </cell>
          <cell r="BE842">
            <v>14</v>
          </cell>
          <cell r="BF842" t="str">
            <v xml:space="preserve">sai </v>
          </cell>
          <cell r="BG842" t="str">
            <v>Y</v>
          </cell>
        </row>
        <row r="843">
          <cell r="A843" t="str">
            <v>FBR2F240013</v>
          </cell>
          <cell r="B843">
            <v>240013</v>
          </cell>
          <cell r="C843" t="str">
            <v>R&amp;D</v>
          </cell>
          <cell r="D843">
            <v>45299</v>
          </cell>
          <cell r="E843">
            <v>0.52500000000000002</v>
          </cell>
          <cell r="F843">
            <v>45292</v>
          </cell>
          <cell r="G843">
            <v>45299</v>
          </cell>
          <cell r="H843">
            <v>0.66041666666666665</v>
          </cell>
          <cell r="I843">
            <v>0.13541666666666666</v>
          </cell>
          <cell r="J843">
            <v>5</v>
          </cell>
          <cell r="K843" t="str">
            <v>FCB-PROTOCOL-01</v>
          </cell>
          <cell r="L843" t="str">
            <v>VYD/238</v>
          </cell>
          <cell r="M843" t="str">
            <v>Y</v>
          </cell>
          <cell r="N843" t="str">
            <v>ECR (2F)</v>
          </cell>
          <cell r="O843" t="str">
            <v>Internal R&amp;D</v>
          </cell>
          <cell r="P843" t="str">
            <v>Q1 Passed</v>
          </cell>
          <cell r="Q843" t="str">
            <v>Q1 Passed</v>
          </cell>
          <cell r="R843" t="str">
            <v>Q1.5 Passed</v>
          </cell>
          <cell r="S843" t="str">
            <v>Q1.5 Passed</v>
          </cell>
          <cell r="V843" t="str">
            <v>Tumor content 40-90%</v>
          </cell>
          <cell r="W843" t="str">
            <v>Private Hospital</v>
          </cell>
          <cell r="X843" t="str">
            <v>Vydehi Hospital, Bangalore</v>
          </cell>
          <cell r="Y843" t="str">
            <v>Vydehi Hospital, Bangalore</v>
          </cell>
          <cell r="Z843" t="str">
            <v>Dr Amritha Prabha, Bangalore</v>
          </cell>
          <cell r="AA843" t="str">
            <v>HNSCC</v>
          </cell>
          <cell r="AC843" t="str">
            <v>RMT</v>
          </cell>
          <cell r="AD843" t="str">
            <v>Right RMT</v>
          </cell>
          <cell r="AE843" t="str">
            <v>Male</v>
          </cell>
          <cell r="AF843">
            <v>49</v>
          </cell>
          <cell r="AG843" t="str">
            <v>N</v>
          </cell>
          <cell r="AH843">
            <v>5.0999999999999996</v>
          </cell>
          <cell r="AI843" t="str">
            <v>Shashi</v>
          </cell>
          <cell r="AJ843" t="str">
            <v>Surgery</v>
          </cell>
          <cell r="AK843" t="str">
            <v>Primary</v>
          </cell>
          <cell r="AN843" t="str">
            <v>III</v>
          </cell>
          <cell r="AO843">
            <v>2</v>
          </cell>
          <cell r="AP843" t="str">
            <v>T2N1</v>
          </cell>
          <cell r="AS843" t="str">
            <v>SCC</v>
          </cell>
          <cell r="AT843" t="str">
            <v>RT</v>
          </cell>
          <cell r="AV843">
            <v>45309</v>
          </cell>
          <cell r="AW843">
            <v>0.7</v>
          </cell>
          <cell r="AX843">
            <v>0.72777777777777775</v>
          </cell>
          <cell r="AY843">
            <v>2.7777777777777776E-2</v>
          </cell>
          <cell r="AZ843">
            <v>0.59236111111111112</v>
          </cell>
          <cell r="BA843">
            <v>0.20277777777777778</v>
          </cell>
          <cell r="BB843" t="str">
            <v>0.2/0.4*0.6*0.6/0.8
0.2/0.4*0.8/1.0*0.6/0.8
0.2/0.4*0.4/0.6*1.4
0.2/0.4*0.4*0.4/0.6</v>
          </cell>
          <cell r="BD843" t="str">
            <v>Manual</v>
          </cell>
          <cell r="BE843">
            <v>14</v>
          </cell>
          <cell r="BF843" t="str">
            <v xml:space="preserve">sai </v>
          </cell>
          <cell r="BG843" t="str">
            <v>Y</v>
          </cell>
        </row>
        <row r="844">
          <cell r="A844" t="str">
            <v>FBR2A240014</v>
          </cell>
          <cell r="B844">
            <v>240014</v>
          </cell>
          <cell r="C844" t="str">
            <v>R&amp;D</v>
          </cell>
          <cell r="D844">
            <v>45300</v>
          </cell>
          <cell r="E844">
            <v>0.44861111111111113</v>
          </cell>
          <cell r="F844">
            <v>45292</v>
          </cell>
          <cell r="G844">
            <v>45300</v>
          </cell>
          <cell r="H844">
            <v>0.52430555555555558</v>
          </cell>
          <cell r="I844">
            <v>7.5694444444444439E-2</v>
          </cell>
          <cell r="J844">
            <v>2</v>
          </cell>
          <cell r="K844" t="str">
            <v>FCB-PROTOCOL-02</v>
          </cell>
          <cell r="L844" t="str">
            <v>OC024</v>
          </cell>
          <cell r="M844" t="str">
            <v>Y</v>
          </cell>
          <cell r="N844" t="str">
            <v>Ovary CC (R2A)</v>
          </cell>
          <cell r="O844" t="str">
            <v>Internal R&amp;D</v>
          </cell>
          <cell r="P844" t="str">
            <v>Q1 Passed</v>
          </cell>
          <cell r="Q844" t="str">
            <v>Q1 Passed</v>
          </cell>
          <cell r="R844" t="str">
            <v>Q1.5 Passed</v>
          </cell>
          <cell r="S844" t="str">
            <v>Q1.5 Rejected</v>
          </cell>
          <cell r="V844" t="str">
            <v>No  Tumor</v>
          </cell>
          <cell r="W844" t="str">
            <v>Private Hospital</v>
          </cell>
          <cell r="X844" t="str">
            <v>Mazumdar Shaw Medical Centre, Bangalore</v>
          </cell>
          <cell r="Y844" t="str">
            <v>Mazumdar Shaw Medical Centre, Bangalore</v>
          </cell>
          <cell r="Z844" t="str">
            <v>Dr Rohit Ranade, Bangalore</v>
          </cell>
          <cell r="AA844" t="str">
            <v>Ca Ovary</v>
          </cell>
          <cell r="AC844" t="str">
            <v>Omentum</v>
          </cell>
          <cell r="AD844" t="str">
            <v>Omentum</v>
          </cell>
          <cell r="AE844" t="str">
            <v>Female</v>
          </cell>
          <cell r="AF844">
            <v>55</v>
          </cell>
          <cell r="AG844" t="str">
            <v>N</v>
          </cell>
          <cell r="AH844">
            <v>4.5999999999999996</v>
          </cell>
          <cell r="AI844" t="str">
            <v>Partha</v>
          </cell>
          <cell r="AJ844" t="str">
            <v>Surgery</v>
          </cell>
          <cell r="AK844" t="str">
            <v>Primary</v>
          </cell>
          <cell r="AL844" t="str">
            <v xml:space="preserve">Chemotherapy </v>
          </cell>
          <cell r="AQ844">
            <v>6</v>
          </cell>
          <cell r="AR844" t="str">
            <v>Carboplatin+Paclitaxel</v>
          </cell>
          <cell r="AV844">
            <v>45300</v>
          </cell>
          <cell r="AW844">
            <v>0.54791666666666672</v>
          </cell>
          <cell r="AX844">
            <v>0.63541666666666663</v>
          </cell>
          <cell r="AY844">
            <v>8.7499999999999994E-2</v>
          </cell>
          <cell r="AZ844">
            <v>0.55972222222222223</v>
          </cell>
          <cell r="BA844">
            <v>0.18680555555555556</v>
          </cell>
          <cell r="BB844" t="str">
            <v>1.2*1.4/1.8*2.4/2.8</v>
          </cell>
          <cell r="BD844" t="str">
            <v>Manual</v>
          </cell>
          <cell r="BE844">
            <v>14</v>
          </cell>
          <cell r="BF844" t="str">
            <v>kuberan</v>
          </cell>
          <cell r="BG844" t="str">
            <v>Y</v>
          </cell>
        </row>
        <row r="845">
          <cell r="A845" t="str">
            <v>FBR2K240015</v>
          </cell>
          <cell r="B845">
            <v>240015</v>
          </cell>
          <cell r="C845" t="str">
            <v>R&amp;D</v>
          </cell>
          <cell r="D845">
            <v>45301</v>
          </cell>
          <cell r="E845">
            <v>0.44097222222222221</v>
          </cell>
          <cell r="F845">
            <v>45292</v>
          </cell>
          <cell r="G845">
            <v>45301</v>
          </cell>
          <cell r="H845">
            <v>0.57152777777777775</v>
          </cell>
          <cell r="I845">
            <v>0.13055555555555556</v>
          </cell>
          <cell r="J845">
            <v>3</v>
          </cell>
          <cell r="K845" t="str">
            <v>FCB-PROTOCOL-01</v>
          </cell>
          <cell r="L845" t="str">
            <v>VYD/239</v>
          </cell>
          <cell r="M845" t="str">
            <v>Y</v>
          </cell>
          <cell r="N845" t="str">
            <v>PRS (2K)</v>
          </cell>
          <cell r="O845" t="str">
            <v>Internal R&amp;D</v>
          </cell>
          <cell r="P845" t="str">
            <v>Q1 Passed</v>
          </cell>
          <cell r="Q845" t="str">
            <v>Q1 Passed</v>
          </cell>
          <cell r="R845" t="str">
            <v>Q1.5 Passed</v>
          </cell>
          <cell r="S845" t="str">
            <v>Q1.5 Passed</v>
          </cell>
          <cell r="V845" t="str">
            <v>Tumor content 30-90%</v>
          </cell>
          <cell r="W845" t="str">
            <v>Private Hospital</v>
          </cell>
          <cell r="X845" t="str">
            <v>Vydehi Hospital, Bangalore</v>
          </cell>
          <cell r="Y845" t="str">
            <v>Vydehi Hospital, Bangalore</v>
          </cell>
          <cell r="Z845" t="str">
            <v>Dr Amritha Prabha, Bangalore</v>
          </cell>
          <cell r="AA845" t="str">
            <v>HNSCC</v>
          </cell>
          <cell r="AC845" t="str">
            <v>Buccal Mucosa</v>
          </cell>
          <cell r="AD845" t="str">
            <v>Right Buccal Mucosa &amp; Lower Alveolus</v>
          </cell>
          <cell r="AE845" t="str">
            <v>Female</v>
          </cell>
          <cell r="AF845">
            <v>64</v>
          </cell>
          <cell r="AG845" t="str">
            <v>N</v>
          </cell>
          <cell r="AH845">
            <v>4.2</v>
          </cell>
          <cell r="AI845" t="str">
            <v>Partha</v>
          </cell>
          <cell r="AJ845" t="str">
            <v>Surgery</v>
          </cell>
          <cell r="AK845" t="str">
            <v>Primary</v>
          </cell>
          <cell r="AN845" t="str">
            <v>IVa</v>
          </cell>
          <cell r="AO845">
            <v>2</v>
          </cell>
          <cell r="AP845" t="str">
            <v>T4aN0</v>
          </cell>
          <cell r="AS845" t="str">
            <v>SCC</v>
          </cell>
          <cell r="AT845" t="str">
            <v>RT</v>
          </cell>
          <cell r="AV845">
            <v>45301</v>
          </cell>
          <cell r="AW845">
            <v>0.59583333333333333</v>
          </cell>
          <cell r="AX845">
            <v>0.69444444444444442</v>
          </cell>
          <cell r="AY845">
            <v>9.8611111111111108E-2</v>
          </cell>
          <cell r="AZ845">
            <v>0.56388888888888888</v>
          </cell>
          <cell r="BA845">
            <v>0.25347222222222221</v>
          </cell>
          <cell r="BB845" t="str">
            <v>0.6*1.4/1.6*1.6/2.0</v>
          </cell>
          <cell r="BD845" t="str">
            <v>Vibratome</v>
          </cell>
          <cell r="BE845">
            <v>14</v>
          </cell>
          <cell r="BF845" t="str">
            <v>Kokila</v>
          </cell>
          <cell r="BG845" t="str">
            <v>Y</v>
          </cell>
        </row>
        <row r="846">
          <cell r="A846" t="str">
            <v>FBR1Y240015</v>
          </cell>
          <cell r="B846">
            <v>240015</v>
          </cell>
          <cell r="C846" t="str">
            <v>R&amp;D</v>
          </cell>
          <cell r="D846">
            <v>45301</v>
          </cell>
          <cell r="E846">
            <v>0.44097222222222221</v>
          </cell>
          <cell r="F846">
            <v>45292</v>
          </cell>
          <cell r="G846">
            <v>45301</v>
          </cell>
          <cell r="H846">
            <v>0.57152777777777775</v>
          </cell>
          <cell r="I846">
            <v>0.13055555555555556</v>
          </cell>
          <cell r="J846">
            <v>3</v>
          </cell>
          <cell r="K846" t="str">
            <v>FCB-PROTOCOL-01</v>
          </cell>
          <cell r="L846" t="str">
            <v>VYD/239</v>
          </cell>
          <cell r="M846" t="str">
            <v>Y</v>
          </cell>
          <cell r="N846" t="str">
            <v>CCS Study (1Y)</v>
          </cell>
          <cell r="O846" t="str">
            <v>Internal R&amp;D</v>
          </cell>
          <cell r="P846" t="str">
            <v>Q1 Passed</v>
          </cell>
          <cell r="Q846" t="str">
            <v>Q1 Passed</v>
          </cell>
          <cell r="R846" t="str">
            <v>Q1.5 Passed</v>
          </cell>
          <cell r="S846" t="str">
            <v>Q1.5 Passed</v>
          </cell>
          <cell r="V846" t="str">
            <v>Tumor content 30-90%</v>
          </cell>
          <cell r="W846" t="str">
            <v>Private Hospital</v>
          </cell>
          <cell r="X846" t="str">
            <v>Vydehi Hospital, Bangalore</v>
          </cell>
          <cell r="Y846" t="str">
            <v>Vydehi Hospital, Bangalore</v>
          </cell>
          <cell r="Z846" t="str">
            <v>Dr Amritha Prabha, Bangalore</v>
          </cell>
          <cell r="AA846" t="str">
            <v>HNSCC</v>
          </cell>
          <cell r="AC846" t="str">
            <v>Buccal Mucosa</v>
          </cell>
          <cell r="AD846" t="str">
            <v>Right Buccal Mucosa &amp; Lower Alveolus</v>
          </cell>
          <cell r="AE846" t="str">
            <v>Female</v>
          </cell>
          <cell r="AF846">
            <v>64</v>
          </cell>
          <cell r="AG846" t="str">
            <v>N</v>
          </cell>
          <cell r="AH846">
            <v>4.2</v>
          </cell>
          <cell r="AI846" t="str">
            <v>Partha</v>
          </cell>
          <cell r="AJ846" t="str">
            <v>Surgery</v>
          </cell>
          <cell r="AK846" t="str">
            <v>Primary</v>
          </cell>
          <cell r="AN846" t="str">
            <v>IVa</v>
          </cell>
          <cell r="AO846">
            <v>2</v>
          </cell>
          <cell r="AP846" t="str">
            <v>T4aN0</v>
          </cell>
          <cell r="AS846" t="str">
            <v>SCC</v>
          </cell>
          <cell r="AT846" t="str">
            <v>RT</v>
          </cell>
          <cell r="AV846">
            <v>45301</v>
          </cell>
          <cell r="AW846">
            <v>0.59583333333333333</v>
          </cell>
          <cell r="AX846">
            <v>0.72777777777777775</v>
          </cell>
          <cell r="AY846">
            <v>0.13194444444444445</v>
          </cell>
          <cell r="AZ846">
            <v>0.59722222222222221</v>
          </cell>
          <cell r="BA846">
            <v>0.28680555555555554</v>
          </cell>
          <cell r="BB846" t="str">
            <v>0.6*1.4/1.6*1.6/2.0</v>
          </cell>
          <cell r="BD846" t="str">
            <v>Vibratome</v>
          </cell>
          <cell r="BE846">
            <v>14</v>
          </cell>
          <cell r="BF846" t="str">
            <v>Kokila</v>
          </cell>
          <cell r="BG846" t="str">
            <v>Y</v>
          </cell>
        </row>
        <row r="847">
          <cell r="A847" t="str">
            <v>FBR1Y240016</v>
          </cell>
          <cell r="B847">
            <v>240016</v>
          </cell>
          <cell r="C847" t="str">
            <v>R&amp;D</v>
          </cell>
          <cell r="D847">
            <v>45303</v>
          </cell>
          <cell r="E847">
            <v>0.60347222222222219</v>
          </cell>
          <cell r="F847">
            <v>45292</v>
          </cell>
          <cell r="G847">
            <v>45303</v>
          </cell>
          <cell r="H847">
            <v>0.70277777777777772</v>
          </cell>
          <cell r="I847">
            <v>9.930555555555555E-2</v>
          </cell>
          <cell r="J847">
            <v>10</v>
          </cell>
          <cell r="K847" t="str">
            <v>FCB-PROTOCOL-02</v>
          </cell>
          <cell r="L847" t="str">
            <v>HN116</v>
          </cell>
          <cell r="M847" t="str">
            <v>Y</v>
          </cell>
          <cell r="N847" t="str">
            <v>CCS Study (1Y)</v>
          </cell>
          <cell r="O847" t="str">
            <v>Internal R&amp;D</v>
          </cell>
          <cell r="P847" t="str">
            <v>Q1 Passed</v>
          </cell>
          <cell r="Q847" t="str">
            <v>Q1 Passed</v>
          </cell>
          <cell r="R847" t="str">
            <v>Q1.5 Passed</v>
          </cell>
          <cell r="S847" t="str">
            <v>Q1.5 Passed</v>
          </cell>
          <cell r="V847" t="str">
            <v>Tumor content 0-70%</v>
          </cell>
          <cell r="W847" t="str">
            <v>Private Hospital</v>
          </cell>
          <cell r="X847" t="str">
            <v>Mazumdar Shaw Medical Centre, Bangalore</v>
          </cell>
          <cell r="Y847" t="str">
            <v>Mazumdar Shaw Medical Centre, Bangalore</v>
          </cell>
          <cell r="Z847" t="str">
            <v>Dr Vijay Pillai, Bangalore</v>
          </cell>
          <cell r="AA847" t="str">
            <v>HNSCC</v>
          </cell>
          <cell r="AC847" t="str">
            <v>RMT</v>
          </cell>
          <cell r="AD847" t="str">
            <v>RMT</v>
          </cell>
          <cell r="AE847" t="str">
            <v>Male</v>
          </cell>
          <cell r="AF847">
            <v>42</v>
          </cell>
          <cell r="AG847" t="str">
            <v>N</v>
          </cell>
          <cell r="AH847">
            <v>4.5999999999999996</v>
          </cell>
          <cell r="AI847" t="str">
            <v>Maruthi</v>
          </cell>
          <cell r="AJ847" t="str">
            <v>Surgery</v>
          </cell>
          <cell r="AK847" t="str">
            <v>Primary</v>
          </cell>
          <cell r="AN847" t="str">
            <v>IV</v>
          </cell>
          <cell r="AO847">
            <v>2</v>
          </cell>
          <cell r="AP847" t="str">
            <v>pT4bpN2b</v>
          </cell>
          <cell r="AS847" t="str">
            <v>MDSCC(Moderately Differentiated Squamous cell carcinoma)</v>
          </cell>
          <cell r="AV847">
            <v>45303</v>
          </cell>
          <cell r="AW847">
            <v>0.72222222222222221</v>
          </cell>
          <cell r="AX847">
            <v>0.7583333333333333</v>
          </cell>
          <cell r="AY847">
            <v>3.6111111111111108E-2</v>
          </cell>
          <cell r="AZ847">
            <v>0.65902777777777777</v>
          </cell>
          <cell r="BA847">
            <v>0.15486111111111112</v>
          </cell>
          <cell r="BB847" t="str">
            <v>0.2*0.7*0.8</v>
          </cell>
          <cell r="BD847" t="str">
            <v>Manual</v>
          </cell>
          <cell r="BE847">
            <v>14</v>
          </cell>
          <cell r="BF847" t="str">
            <v>Dharani</v>
          </cell>
          <cell r="BG847" t="str">
            <v>Y</v>
          </cell>
        </row>
        <row r="848">
          <cell r="A848" t="str">
            <v>FBR2C240017</v>
          </cell>
          <cell r="B848">
            <v>240017</v>
          </cell>
          <cell r="C848" t="str">
            <v>R&amp;D</v>
          </cell>
          <cell r="D848">
            <v>45306</v>
          </cell>
          <cell r="E848">
            <v>0.5229166666666667</v>
          </cell>
          <cell r="F848">
            <v>45292</v>
          </cell>
          <cell r="G848">
            <v>45306</v>
          </cell>
          <cell r="H848">
            <v>0.61319444444444449</v>
          </cell>
          <cell r="I848">
            <v>9.0277777777777776E-2</v>
          </cell>
          <cell r="J848">
            <v>59</v>
          </cell>
          <cell r="K848" t="str">
            <v>FCB-PROTOCOL-02</v>
          </cell>
          <cell r="L848" t="str">
            <v>RC045</v>
          </cell>
          <cell r="M848" t="str">
            <v>Y</v>
          </cell>
          <cell r="N848" t="str">
            <v>RCC DPT (2C)</v>
          </cell>
          <cell r="O848" t="str">
            <v>Internal R&amp;D</v>
          </cell>
          <cell r="P848" t="str">
            <v>Q1 Passed</v>
          </cell>
          <cell r="Q848" t="str">
            <v>Q1.5 Passed</v>
          </cell>
          <cell r="R848" t="str">
            <v>Compromised</v>
          </cell>
          <cell r="S848" t="str">
            <v>Q1.5 Rejected</v>
          </cell>
          <cell r="V848" t="str">
            <v>No tumor, ?occasional clear cell</v>
          </cell>
          <cell r="W848" t="str">
            <v>Private Hospital</v>
          </cell>
          <cell r="X848" t="str">
            <v>Mazumdar Shaw Medical Centre, Bangalore</v>
          </cell>
          <cell r="Y848" t="str">
            <v>Mazumdar Shaw Medical Centre, Bangalore</v>
          </cell>
          <cell r="Z848" t="str">
            <v>Dr Saurabh Bhargav, Bangalore</v>
          </cell>
          <cell r="AA848" t="str">
            <v>RCC</v>
          </cell>
          <cell r="AC848" t="str">
            <v>Renal Mass</v>
          </cell>
          <cell r="AD848" t="str">
            <v>Right Renal Mass</v>
          </cell>
          <cell r="AE848" t="str">
            <v>Male</v>
          </cell>
          <cell r="AF848">
            <v>55</v>
          </cell>
          <cell r="AG848" t="str">
            <v>N</v>
          </cell>
          <cell r="AH848">
            <v>4.5</v>
          </cell>
          <cell r="AI848" t="str">
            <v>Shashi</v>
          </cell>
          <cell r="AJ848" t="str">
            <v>Surgery</v>
          </cell>
          <cell r="AK848" t="str">
            <v>Primary</v>
          </cell>
          <cell r="AV848">
            <v>45306</v>
          </cell>
          <cell r="AW848">
            <v>0.625</v>
          </cell>
          <cell r="AX848">
            <v>0.69930555555555551</v>
          </cell>
          <cell r="AY848">
            <v>7.4305555555555555E-2</v>
          </cell>
          <cell r="AZ848">
            <v>0.60902777777777772</v>
          </cell>
          <cell r="BA848">
            <v>0.1763888888888889</v>
          </cell>
          <cell r="BB848" t="str">
            <v>0.5/0.6*1.0/1.2*1.0/1.7</v>
          </cell>
          <cell r="BC848" t="str">
            <v>0.2*0.4/0.5*0.6
0.2*0.6/0.7*0.6/0.8
0.2*0.8/1.0*1.2/1.4</v>
          </cell>
          <cell r="BD848" t="str">
            <v>Manual</v>
          </cell>
          <cell r="BE848">
            <v>14</v>
          </cell>
          <cell r="BF848" t="str">
            <v xml:space="preserve">sai </v>
          </cell>
          <cell r="BG848" t="str">
            <v>Y</v>
          </cell>
        </row>
        <row r="849">
          <cell r="A849" t="str">
            <v>FBB1L240018</v>
          </cell>
          <cell r="B849">
            <v>240018</v>
          </cell>
          <cell r="C849" t="str">
            <v>Biopharma</v>
          </cell>
          <cell r="D849">
            <v>45307</v>
          </cell>
          <cell r="E849">
            <v>0.56041666666666667</v>
          </cell>
          <cell r="F849">
            <v>45292</v>
          </cell>
          <cell r="G849">
            <v>45307</v>
          </cell>
          <cell r="H849">
            <v>0.61388888888888893</v>
          </cell>
          <cell r="I849">
            <v>5.347222222222222E-2</v>
          </cell>
          <cell r="J849">
            <v>6</v>
          </cell>
          <cell r="K849" t="str">
            <v>FCB-PROTOCOL-01</v>
          </cell>
          <cell r="L849" t="str">
            <v>CLN/PRA/247</v>
          </cell>
          <cell r="M849" t="str">
            <v>Y</v>
          </cell>
          <cell r="N849" t="str">
            <v>BP010 (1L)</v>
          </cell>
          <cell r="O849" t="str">
            <v>Biopharma</v>
          </cell>
          <cell r="P849" t="str">
            <v>Q1 Passed</v>
          </cell>
          <cell r="Q849" t="str">
            <v>Q1 Passed</v>
          </cell>
          <cell r="R849" t="str">
            <v>Q1.5 Passed</v>
          </cell>
          <cell r="S849" t="str">
            <v>Q1.5 Rejected</v>
          </cell>
          <cell r="V849" t="str">
            <v>No tumor, only necrotic tissue</v>
          </cell>
          <cell r="W849" t="str">
            <v>Private Hospital</v>
          </cell>
          <cell r="X849" t="str">
            <v>Dr Prakash BV, Bangalore</v>
          </cell>
          <cell r="Y849" t="str">
            <v>Sri Lakshmi Hospital, Bangalore</v>
          </cell>
          <cell r="Z849" t="str">
            <v>Dr Prakash BV, Bangalore</v>
          </cell>
          <cell r="AA849" t="str">
            <v>RCC</v>
          </cell>
          <cell r="AC849" t="str">
            <v>Kidney</v>
          </cell>
          <cell r="AD849" t="str">
            <v>Left Kidney</v>
          </cell>
          <cell r="AE849" t="str">
            <v>Male</v>
          </cell>
          <cell r="AF849">
            <v>39</v>
          </cell>
          <cell r="AG849" t="str">
            <v>N</v>
          </cell>
          <cell r="AH849">
            <v>4.5</v>
          </cell>
          <cell r="AI849" t="str">
            <v>Kalappa</v>
          </cell>
          <cell r="AJ849" t="str">
            <v>Surgery</v>
          </cell>
          <cell r="AK849" t="str">
            <v>Primary</v>
          </cell>
          <cell r="AN849" t="str">
            <v>II</v>
          </cell>
          <cell r="AO849" t="str">
            <v>II</v>
          </cell>
          <cell r="AP849" t="str">
            <v>pT3N0M0</v>
          </cell>
          <cell r="AV849">
            <v>45307</v>
          </cell>
          <cell r="AW849">
            <v>0.64027777777777772</v>
          </cell>
          <cell r="AX849">
            <v>0.74305555555555558</v>
          </cell>
          <cell r="AY849">
            <v>0.10277777777777777</v>
          </cell>
          <cell r="AZ849">
            <v>0.68958333333333333</v>
          </cell>
          <cell r="BA849">
            <v>0.18263888888888888</v>
          </cell>
          <cell r="BB849" t="str">
            <v>2.0/1.8*2.8*2.8</v>
          </cell>
          <cell r="BD849" t="str">
            <v>Vibratome</v>
          </cell>
          <cell r="BE849">
            <v>14</v>
          </cell>
          <cell r="BF849" t="str">
            <v>Syam</v>
          </cell>
          <cell r="BG849" t="str">
            <v>Y</v>
          </cell>
        </row>
        <row r="850">
          <cell r="A850" t="str">
            <v>FBR2C240018</v>
          </cell>
          <cell r="B850">
            <v>240018</v>
          </cell>
          <cell r="C850" t="str">
            <v>R&amp;D</v>
          </cell>
          <cell r="D850">
            <v>45307</v>
          </cell>
          <cell r="E850">
            <v>0.56041666666666667</v>
          </cell>
          <cell r="F850">
            <v>45292</v>
          </cell>
          <cell r="G850">
            <v>45307</v>
          </cell>
          <cell r="H850">
            <v>0.61388888888888893</v>
          </cell>
          <cell r="I850">
            <v>5.347222222222222E-2</v>
          </cell>
          <cell r="J850">
            <v>6</v>
          </cell>
          <cell r="K850" t="str">
            <v>FCB-PROTOCOL-01</v>
          </cell>
          <cell r="L850" t="str">
            <v>CLN/PRA/247</v>
          </cell>
          <cell r="M850" t="str">
            <v>Y</v>
          </cell>
          <cell r="N850" t="str">
            <v>RCC DPT (2C)</v>
          </cell>
          <cell r="O850" t="str">
            <v>Internal R&amp;D</v>
          </cell>
          <cell r="P850" t="str">
            <v>Q1 Passed</v>
          </cell>
          <cell r="Q850" t="str">
            <v>Q1 Passed</v>
          </cell>
          <cell r="R850" t="str">
            <v>Q1.5 Passed</v>
          </cell>
          <cell r="S850" t="str">
            <v>Q1.5 Rejected</v>
          </cell>
          <cell r="V850" t="str">
            <v>No tumor, only necrotic tissue</v>
          </cell>
          <cell r="W850" t="str">
            <v>Private Hospital</v>
          </cell>
          <cell r="X850" t="str">
            <v>Dr Prakash BV, Bangalore</v>
          </cell>
          <cell r="Y850" t="str">
            <v>Sri Lakshmi Hospital, Bangalore</v>
          </cell>
          <cell r="Z850" t="str">
            <v>Dr Prakash BV, Bangalore</v>
          </cell>
          <cell r="AA850" t="str">
            <v>RCC</v>
          </cell>
          <cell r="AC850" t="str">
            <v>Kidney</v>
          </cell>
          <cell r="AD850" t="str">
            <v>Left Kidney</v>
          </cell>
          <cell r="AE850" t="str">
            <v>Male</v>
          </cell>
          <cell r="AF850">
            <v>39</v>
          </cell>
          <cell r="AG850" t="str">
            <v>N</v>
          </cell>
          <cell r="AH850">
            <v>4.5</v>
          </cell>
          <cell r="AI850" t="str">
            <v>Kalappa</v>
          </cell>
          <cell r="AJ850" t="str">
            <v>Surgery</v>
          </cell>
          <cell r="AK850" t="str">
            <v>Primary</v>
          </cell>
          <cell r="AN850" t="str">
            <v>II</v>
          </cell>
          <cell r="AO850" t="str">
            <v>II</v>
          </cell>
          <cell r="AP850" t="str">
            <v>pT3N0M0</v>
          </cell>
          <cell r="AV850">
            <v>45307</v>
          </cell>
          <cell r="AW850">
            <v>0.64027777777777772</v>
          </cell>
          <cell r="AX850">
            <v>0.75</v>
          </cell>
          <cell r="AY850">
            <v>0.10972222222222222</v>
          </cell>
          <cell r="AZ850">
            <v>0.69652777777777775</v>
          </cell>
          <cell r="BA850">
            <v>0.18958333333333333</v>
          </cell>
          <cell r="BB850" t="str">
            <v>2.0/1.8*2.8*2.8</v>
          </cell>
          <cell r="BD850" t="str">
            <v>Vibratome</v>
          </cell>
          <cell r="BE850">
            <v>14</v>
          </cell>
          <cell r="BF850" t="str">
            <v>Syam</v>
          </cell>
          <cell r="BG850" t="str">
            <v>Y</v>
          </cell>
        </row>
        <row r="851">
          <cell r="A851" t="str">
            <v>FBR2B240019</v>
          </cell>
          <cell r="B851">
            <v>240019</v>
          </cell>
          <cell r="C851" t="str">
            <v>R&amp;D</v>
          </cell>
          <cell r="D851">
            <v>45307</v>
          </cell>
          <cell r="E851">
            <v>0.61111111111111116</v>
          </cell>
          <cell r="F851">
            <v>45292</v>
          </cell>
          <cell r="G851">
            <v>45307</v>
          </cell>
          <cell r="H851">
            <v>0.67152777777777772</v>
          </cell>
          <cell r="I851">
            <v>6.0416666666666667E-2</v>
          </cell>
          <cell r="J851">
            <v>0</v>
          </cell>
          <cell r="K851" t="str">
            <v>FCB-PROTOCOL-02</v>
          </cell>
          <cell r="L851" t="str">
            <v>OC025</v>
          </cell>
          <cell r="M851" t="str">
            <v>Y</v>
          </cell>
          <cell r="N851" t="str">
            <v>Ovary CC (R2A)</v>
          </cell>
          <cell r="O851" t="str">
            <v>Internal R&amp;D</v>
          </cell>
          <cell r="P851" t="str">
            <v>Q1 Passed</v>
          </cell>
          <cell r="Q851" t="str">
            <v>Q1 Passed</v>
          </cell>
          <cell r="R851" t="str">
            <v>Q1.5 Passed</v>
          </cell>
          <cell r="S851" t="str">
            <v>Q1.5 Passed</v>
          </cell>
          <cell r="V851" t="str">
            <v>Only 2 fragments have tumor 2% and 12%. Others no tumor</v>
          </cell>
          <cell r="W851" t="str">
            <v>Private Hospital</v>
          </cell>
          <cell r="X851" t="str">
            <v>Mazumdar Shaw Medical Centre, Bangalore</v>
          </cell>
          <cell r="Y851" t="str">
            <v>Mazumdar Shaw Medical Centre, Bangalore</v>
          </cell>
          <cell r="Z851" t="str">
            <v>Dr Rohit Ranade, Bangalore</v>
          </cell>
          <cell r="AA851" t="str">
            <v>Ca Ovary</v>
          </cell>
          <cell r="AC851" t="str">
            <v>Peritoneal</v>
          </cell>
          <cell r="AD851" t="str">
            <v>Peritoneal</v>
          </cell>
          <cell r="AE851" t="str">
            <v>Female</v>
          </cell>
          <cell r="AF851">
            <v>45</v>
          </cell>
          <cell r="AG851" t="str">
            <v>N</v>
          </cell>
          <cell r="AH851">
            <v>4.5999999999999996</v>
          </cell>
          <cell r="AI851" t="str">
            <v>Partha</v>
          </cell>
          <cell r="AJ851" t="str">
            <v>Biopsy</v>
          </cell>
          <cell r="AK851" t="str">
            <v>Primary</v>
          </cell>
          <cell r="AN851" t="str">
            <v>NA</v>
          </cell>
          <cell r="AO851" t="str">
            <v xml:space="preserve"> High grade</v>
          </cell>
          <cell r="AP851" t="str">
            <v>NA</v>
          </cell>
          <cell r="AS851" t="str">
            <v>Positive high grade adenocarcinoma</v>
          </cell>
          <cell r="AV851">
            <v>45307</v>
          </cell>
          <cell r="AW851">
            <v>0.69374999999999998</v>
          </cell>
          <cell r="AX851">
            <v>0.73611111111111116</v>
          </cell>
          <cell r="AY851">
            <v>4.2361111111111113E-2</v>
          </cell>
          <cell r="AZ851">
            <v>0.67569444444444449</v>
          </cell>
          <cell r="BA851">
            <v>0.125</v>
          </cell>
          <cell r="BB851" t="str">
            <v>0.2*0.4*0.6</v>
          </cell>
          <cell r="BD851" t="str">
            <v>Manual</v>
          </cell>
          <cell r="BE851">
            <v>14</v>
          </cell>
          <cell r="BF851" t="str">
            <v>Kokila</v>
          </cell>
          <cell r="BG851" t="str">
            <v>Y</v>
          </cell>
        </row>
        <row r="852">
          <cell r="A852" t="str">
            <v>FBR2A240020</v>
          </cell>
          <cell r="B852">
            <v>240020</v>
          </cell>
          <cell r="C852" t="str">
            <v>R&amp;D</v>
          </cell>
          <cell r="D852">
            <v>45308</v>
          </cell>
          <cell r="E852">
            <v>0.48055555555555557</v>
          </cell>
          <cell r="F852">
            <v>45292</v>
          </cell>
          <cell r="G852">
            <v>45308</v>
          </cell>
          <cell r="H852">
            <v>0.52500000000000002</v>
          </cell>
          <cell r="I852">
            <v>4.4444444444444446E-2</v>
          </cell>
          <cell r="J852">
            <v>3</v>
          </cell>
          <cell r="K852" t="str">
            <v>FCB-PROTOCOL-01</v>
          </cell>
          <cell r="L852" t="str">
            <v>CLN/PRA/248</v>
          </cell>
          <cell r="M852" t="str">
            <v>Y</v>
          </cell>
          <cell r="N852" t="str">
            <v>Ovary CC (R2A)</v>
          </cell>
          <cell r="O852" t="str">
            <v>Internal R&amp;D</v>
          </cell>
          <cell r="P852" t="str">
            <v>Q1 Passed</v>
          </cell>
          <cell r="Q852" t="str">
            <v>Q1 Passed</v>
          </cell>
          <cell r="R852" t="str">
            <v>Q1.5 Passed</v>
          </cell>
          <cell r="S852" t="str">
            <v>Q1.5 Rejected</v>
          </cell>
          <cell r="V852" t="str">
            <v>No tumor</v>
          </cell>
          <cell r="W852" t="str">
            <v>Private Hospital</v>
          </cell>
          <cell r="X852" t="str">
            <v>Dr Prakash BV, Bangalore</v>
          </cell>
          <cell r="Y852" t="str">
            <v>Sri Lakshmi Hospital, Bangalore</v>
          </cell>
          <cell r="Z852" t="str">
            <v>Dr Prakash BV, Bangalore</v>
          </cell>
          <cell r="AA852" t="str">
            <v>Ca Ovary</v>
          </cell>
          <cell r="AC852" t="str">
            <v>Ovary</v>
          </cell>
          <cell r="AD852" t="str">
            <v>Bilateral Ovary</v>
          </cell>
          <cell r="AE852" t="str">
            <v>Female</v>
          </cell>
          <cell r="AF852">
            <v>50</v>
          </cell>
          <cell r="AG852" t="str">
            <v>N</v>
          </cell>
          <cell r="AH852">
            <v>4.9000000000000004</v>
          </cell>
          <cell r="AI852" t="str">
            <v>Shashi</v>
          </cell>
          <cell r="AJ852" t="str">
            <v>Surgery</v>
          </cell>
          <cell r="AK852" t="str">
            <v>Primary</v>
          </cell>
          <cell r="AN852" t="str">
            <v>II</v>
          </cell>
          <cell r="AO852">
            <v>3</v>
          </cell>
          <cell r="AP852" t="str">
            <v>pT3N0M0</v>
          </cell>
          <cell r="AV852">
            <v>45308</v>
          </cell>
          <cell r="AW852">
            <v>0.56111111111111112</v>
          </cell>
          <cell r="AX852">
            <v>0.70625000000000004</v>
          </cell>
          <cell r="AY852">
            <v>0.1451388888888889</v>
          </cell>
          <cell r="AZ852">
            <v>0.66180555555555554</v>
          </cell>
          <cell r="BA852">
            <v>0.22569444444444445</v>
          </cell>
          <cell r="BB852" t="str">
            <v>1.6*1.6*2.9
1.6*1.6*3.2</v>
          </cell>
          <cell r="BD852" t="str">
            <v>Manual</v>
          </cell>
          <cell r="BE852">
            <v>14</v>
          </cell>
          <cell r="BF852" t="str">
            <v>chandan</v>
          </cell>
          <cell r="BG852" t="str">
            <v>Y</v>
          </cell>
        </row>
        <row r="853">
          <cell r="A853" t="str">
            <v>FBR2F240021</v>
          </cell>
          <cell r="B853">
            <v>240021</v>
          </cell>
          <cell r="C853" t="str">
            <v>R&amp;D</v>
          </cell>
          <cell r="D853">
            <v>45308</v>
          </cell>
          <cell r="E853">
            <v>5.2083333333333336E-2</v>
          </cell>
          <cell r="F853">
            <v>45292</v>
          </cell>
          <cell r="G853">
            <v>45308</v>
          </cell>
          <cell r="H853">
            <v>0.16597222222222222</v>
          </cell>
          <cell r="I853">
            <v>0.11388888888888889</v>
          </cell>
          <cell r="J853">
            <v>15</v>
          </cell>
          <cell r="K853" t="str">
            <v>FCB-PROTOCOL-02</v>
          </cell>
          <cell r="L853" t="str">
            <v>HN117</v>
          </cell>
          <cell r="M853" t="str">
            <v>Y</v>
          </cell>
          <cell r="N853" t="str">
            <v>ECR (2F)</v>
          </cell>
          <cell r="O853" t="str">
            <v>Internal R&amp;D</v>
          </cell>
          <cell r="P853" t="str">
            <v>Q1 Passed</v>
          </cell>
          <cell r="Q853" t="str">
            <v>Q1 Passed</v>
          </cell>
          <cell r="R853" t="str">
            <v>Q1.5 Passed</v>
          </cell>
          <cell r="S853" t="str">
            <v>Q1.5 Passed</v>
          </cell>
          <cell r="V853" t="str">
            <v>Tumor content: 1-90%</v>
          </cell>
          <cell r="W853" t="str">
            <v>Private Hospital</v>
          </cell>
          <cell r="X853" t="str">
            <v>Mazumdar Shaw Medical Centre, Bangalore</v>
          </cell>
          <cell r="Y853" t="str">
            <v>Mazumdar Shaw Medical Centre, Bangalore</v>
          </cell>
          <cell r="Z853" t="str">
            <v>Dr Vijay Pillai, Bangalore</v>
          </cell>
          <cell r="AA853" t="str">
            <v>HNSCC</v>
          </cell>
          <cell r="AC853" t="str">
            <v>Tongue</v>
          </cell>
          <cell r="AD853" t="str">
            <v>Tongue</v>
          </cell>
          <cell r="AE853" t="str">
            <v>Male</v>
          </cell>
          <cell r="AF853">
            <v>56</v>
          </cell>
          <cell r="AG853" t="str">
            <v>N</v>
          </cell>
          <cell r="AH853">
            <v>4.2</v>
          </cell>
          <cell r="AI853" t="str">
            <v>Partha</v>
          </cell>
          <cell r="AJ853" t="str">
            <v>Surgery</v>
          </cell>
          <cell r="AK853" t="str">
            <v>Primary</v>
          </cell>
          <cell r="AN853" t="str">
            <v>III</v>
          </cell>
          <cell r="AO853">
            <v>2</v>
          </cell>
          <cell r="AP853" t="str">
            <v>pT3pN3b</v>
          </cell>
          <cell r="AS853" t="str">
            <v>MDSCC(Moderately Differentiated Squamous cell carcinoma)</v>
          </cell>
          <cell r="AV853">
            <v>45308</v>
          </cell>
          <cell r="AW853">
            <v>0.68680555555555556</v>
          </cell>
          <cell r="AX853">
            <v>0.75</v>
          </cell>
          <cell r="AY853">
            <v>6.3194444444444442E-2</v>
          </cell>
          <cell r="AZ853">
            <v>0.63611111111111107</v>
          </cell>
          <cell r="BA853">
            <v>0.69791666666666663</v>
          </cell>
          <cell r="BB853" t="str">
            <v>0.4*0.9*1.1</v>
          </cell>
          <cell r="BD853" t="str">
            <v>Manual</v>
          </cell>
          <cell r="BE853">
            <v>15</v>
          </cell>
          <cell r="BF853" t="str">
            <v>Pallavi</v>
          </cell>
          <cell r="BG853" t="str">
            <v>Y</v>
          </cell>
        </row>
        <row r="854">
          <cell r="A854" t="str">
            <v>FBR1Q240022</v>
          </cell>
          <cell r="B854">
            <v>240022</v>
          </cell>
          <cell r="C854" t="str">
            <v>R&amp;D</v>
          </cell>
          <cell r="D854">
            <v>45308</v>
          </cell>
          <cell r="E854">
            <v>0.65694444444444444</v>
          </cell>
          <cell r="F854">
            <v>45292</v>
          </cell>
          <cell r="G854">
            <v>45308</v>
          </cell>
          <cell r="H854">
            <v>0.7319444444444444</v>
          </cell>
          <cell r="I854">
            <v>7.4999999999999997E-2</v>
          </cell>
          <cell r="J854">
            <v>2</v>
          </cell>
          <cell r="K854" t="str">
            <v>FCB-PROTOCOL-01</v>
          </cell>
          <cell r="L854" t="str">
            <v>VYD/240</v>
          </cell>
          <cell r="M854" t="str">
            <v>Y</v>
          </cell>
          <cell r="N854" t="str">
            <v>COSv4.1_CaBR(1Q-Known)</v>
          </cell>
          <cell r="O854" t="str">
            <v>Internal R&amp;D</v>
          </cell>
          <cell r="P854" t="str">
            <v>Q1 Passed</v>
          </cell>
          <cell r="Q854" t="str">
            <v>Q1 Passed</v>
          </cell>
          <cell r="R854" t="str">
            <v>Q1.5 Passed</v>
          </cell>
          <cell r="S854" t="str">
            <v>Q1.5 Passed</v>
          </cell>
          <cell r="V854" t="str">
            <v>Tumor content 5-60%</v>
          </cell>
          <cell r="W854" t="str">
            <v>Private Hospital</v>
          </cell>
          <cell r="X854" t="str">
            <v>Vydehi Hospital, Bangalore</v>
          </cell>
          <cell r="Y854" t="str">
            <v>Vydehi Hospital, Bangalore</v>
          </cell>
          <cell r="Z854" t="str">
            <v>Dr Amritha Prabha, Bangalore</v>
          </cell>
          <cell r="AA854" t="str">
            <v>Ca Breast</v>
          </cell>
          <cell r="AB854" t="str">
            <v>ER +
PR +
Her 2 Equivocal</v>
          </cell>
          <cell r="AC854" t="str">
            <v>Breast</v>
          </cell>
          <cell r="AD854" t="str">
            <v>Right Breast</v>
          </cell>
          <cell r="AE854" t="str">
            <v>Female</v>
          </cell>
          <cell r="AF854">
            <v>55</v>
          </cell>
          <cell r="AG854" t="str">
            <v>N</v>
          </cell>
          <cell r="AH854">
            <v>4.5999999999999996</v>
          </cell>
          <cell r="AI854" t="str">
            <v>Maruthi</v>
          </cell>
          <cell r="AJ854" t="str">
            <v>Surgery</v>
          </cell>
          <cell r="AK854" t="str">
            <v>Primary</v>
          </cell>
          <cell r="AL854" t="str">
            <v>Chemotherapy</v>
          </cell>
          <cell r="AN854" t="str">
            <v>III</v>
          </cell>
          <cell r="AO854">
            <v>2</v>
          </cell>
          <cell r="AP854" t="str">
            <v>ypT2N2a</v>
          </cell>
          <cell r="AQ854">
            <v>4</v>
          </cell>
          <cell r="AR854" t="str">
            <v>Epirubicin &amp; Cyclophosphamide</v>
          </cell>
          <cell r="AS854" t="str">
            <v>IDC</v>
          </cell>
          <cell r="AT854" t="str">
            <v>CTRT</v>
          </cell>
          <cell r="AU854" t="str">
            <v>Paclitaxel</v>
          </cell>
          <cell r="AV854">
            <v>45308</v>
          </cell>
          <cell r="AW854">
            <v>0.75486111111111109</v>
          </cell>
          <cell r="AX854">
            <v>0.81180555555555556</v>
          </cell>
          <cell r="AY854">
            <v>5.6944444444444443E-2</v>
          </cell>
          <cell r="AZ854">
            <v>0.7368055555555556</v>
          </cell>
          <cell r="BA854">
            <v>0.15486111111111112</v>
          </cell>
          <cell r="BB854" t="str">
            <v>0.4*0.6*1.0
0.6/0.2*1.0/0.5*1.2
0.2*0.6/0.2*1.0</v>
          </cell>
          <cell r="BC854" t="str">
            <v>0.4*0.6*1.0
0.6/0.2*1.0/0.5*1.2
0.2*0.6/0.2*1.0</v>
          </cell>
          <cell r="BD854" t="str">
            <v>Manual</v>
          </cell>
          <cell r="BE854">
            <v>14</v>
          </cell>
          <cell r="BF854" t="str">
            <v>Dharani</v>
          </cell>
          <cell r="BG854" t="str">
            <v>Y</v>
          </cell>
        </row>
        <row r="855">
          <cell r="A855" t="str">
            <v>FBR1W240023</v>
          </cell>
          <cell r="B855">
            <v>240023</v>
          </cell>
          <cell r="C855" t="str">
            <v>R&amp;D</v>
          </cell>
          <cell r="D855">
            <v>45308</v>
          </cell>
          <cell r="E855">
            <v>0.62986111111111109</v>
          </cell>
          <cell r="F855">
            <v>45292</v>
          </cell>
          <cell r="G855">
            <v>45308</v>
          </cell>
          <cell r="H855">
            <v>0.7319444444444444</v>
          </cell>
          <cell r="I855">
            <v>0.10208333333333333</v>
          </cell>
          <cell r="J855">
            <v>0</v>
          </cell>
          <cell r="K855" t="str">
            <v>FCB-PROTOCOL-01</v>
          </cell>
          <cell r="L855" t="str">
            <v>VYD/241</v>
          </cell>
          <cell r="M855" t="str">
            <v>Y</v>
          </cell>
          <cell r="N855" t="str">
            <v>Biopsy Cabr-BSS (1W)</v>
          </cell>
          <cell r="O855" t="str">
            <v>Internal R&amp;D</v>
          </cell>
          <cell r="P855" t="str">
            <v>Q1 Passed</v>
          </cell>
          <cell r="Q855" t="str">
            <v>Q1 Passed</v>
          </cell>
          <cell r="R855" t="str">
            <v>Q1.5 Passed</v>
          </cell>
          <cell r="S855" t="str">
            <v>Q1.5 Rejected</v>
          </cell>
          <cell r="V855" t="str">
            <v>No tumor</v>
          </cell>
          <cell r="W855" t="str">
            <v>Private Hospital</v>
          </cell>
          <cell r="X855" t="str">
            <v>Vydehi Hospital, Bangalore</v>
          </cell>
          <cell r="Y855" t="str">
            <v>Vydehi Hospital, Bangalore</v>
          </cell>
          <cell r="Z855" t="str">
            <v>Dr Amritha Prabha, Bangalore</v>
          </cell>
          <cell r="AA855" t="str">
            <v>Ca Breast</v>
          </cell>
          <cell r="AC855" t="str">
            <v>Breast</v>
          </cell>
          <cell r="AD855" t="str">
            <v>Left Breast</v>
          </cell>
          <cell r="AE855" t="str">
            <v>Female</v>
          </cell>
          <cell r="AF855">
            <v>62</v>
          </cell>
          <cell r="AG855" t="str">
            <v>N</v>
          </cell>
          <cell r="AH855">
            <v>4.5999999999999996</v>
          </cell>
          <cell r="AI855" t="str">
            <v>Maruthi</v>
          </cell>
          <cell r="AJ855" t="str">
            <v>Biopsy</v>
          </cell>
          <cell r="AK855" t="str">
            <v>Primary</v>
          </cell>
          <cell r="AV855">
            <v>45308</v>
          </cell>
          <cell r="AW855">
            <v>0.75624999999999998</v>
          </cell>
          <cell r="AX855">
            <v>0.79166666666666663</v>
          </cell>
          <cell r="AY855">
            <v>3.5416666666666666E-2</v>
          </cell>
          <cell r="AZ855">
            <v>0.68958333333333333</v>
          </cell>
          <cell r="BA855">
            <v>0.16180555555555556</v>
          </cell>
          <cell r="BB855" t="str">
            <v>6 Cores
0.1 -1.3</v>
          </cell>
          <cell r="BD855" t="str">
            <v>Manual</v>
          </cell>
          <cell r="BE855">
            <v>14</v>
          </cell>
          <cell r="BF855" t="str">
            <v>Syam</v>
          </cell>
          <cell r="BG855" t="str">
            <v>Y</v>
          </cell>
        </row>
        <row r="856">
          <cell r="A856" t="str">
            <v>FBR1Y240024</v>
          </cell>
          <cell r="B856">
            <v>240024</v>
          </cell>
          <cell r="C856" t="str">
            <v>R&amp;D</v>
          </cell>
          <cell r="D856">
            <v>45309</v>
          </cell>
          <cell r="E856">
            <v>0.56944444444444442</v>
          </cell>
          <cell r="F856">
            <v>45292</v>
          </cell>
          <cell r="G856">
            <v>45309</v>
          </cell>
          <cell r="H856">
            <v>0.64583333333333337</v>
          </cell>
          <cell r="I856">
            <v>7.6388888888888895E-2</v>
          </cell>
          <cell r="J856">
            <v>4</v>
          </cell>
          <cell r="K856" t="str">
            <v>FCB-PROTOCOL-01</v>
          </cell>
          <cell r="L856" t="str">
            <v>VYD/242</v>
          </cell>
          <cell r="M856" t="str">
            <v>Y</v>
          </cell>
          <cell r="N856" t="str">
            <v>CCS Study (1Y)</v>
          </cell>
          <cell r="O856" t="str">
            <v>Internal R&amp;D</v>
          </cell>
          <cell r="P856" t="str">
            <v>Q1 Passed</v>
          </cell>
          <cell r="Q856" t="str">
            <v>Q1 Passed</v>
          </cell>
          <cell r="R856" t="str">
            <v>Q1.5 Passed</v>
          </cell>
          <cell r="S856" t="str">
            <v>Q1.5 Passed</v>
          </cell>
          <cell r="V856" t="str">
            <v>Tumor content 0-96%. 2 fragments without tumor</v>
          </cell>
          <cell r="W856" t="str">
            <v>Private Hospital</v>
          </cell>
          <cell r="X856" t="str">
            <v>Vydehi Hospital, Bangalore</v>
          </cell>
          <cell r="Y856" t="str">
            <v>Vydehi Hospital, Bangalore</v>
          </cell>
          <cell r="Z856" t="str">
            <v>Dr Amritha Prabha, Bangalore</v>
          </cell>
          <cell r="AA856" t="str">
            <v>HNSCC</v>
          </cell>
          <cell r="AC856" t="str">
            <v>Buccal Mucosa &amp; Alveolus</v>
          </cell>
          <cell r="AD856" t="str">
            <v>Left Buccal Mucosa and upper alveolus</v>
          </cell>
          <cell r="AE856" t="str">
            <v>Male</v>
          </cell>
          <cell r="AF856">
            <v>56</v>
          </cell>
          <cell r="AG856" t="str">
            <v>N</v>
          </cell>
          <cell r="AH856">
            <v>4.5</v>
          </cell>
          <cell r="AI856" t="str">
            <v>Kalappa</v>
          </cell>
          <cell r="AJ856" t="str">
            <v>Surgery</v>
          </cell>
          <cell r="AK856" t="str">
            <v>Primary</v>
          </cell>
          <cell r="AN856" t="str">
            <v>I</v>
          </cell>
          <cell r="AO856">
            <v>1</v>
          </cell>
          <cell r="AP856" t="str">
            <v>T1N0</v>
          </cell>
          <cell r="AS856" t="str">
            <v>SCC</v>
          </cell>
          <cell r="AV856">
            <v>45309</v>
          </cell>
          <cell r="AW856">
            <v>0.66805555555555551</v>
          </cell>
          <cell r="AX856">
            <v>0.75</v>
          </cell>
          <cell r="AY856">
            <v>8.1944444444444445E-2</v>
          </cell>
          <cell r="AZ856">
            <v>0.67361111111111116</v>
          </cell>
          <cell r="BA856">
            <v>0.18055555555555555</v>
          </cell>
          <cell r="BB856" t="str">
            <v>0.5/0.6*1.0/1.4*1.6</v>
          </cell>
          <cell r="BD856" t="str">
            <v>Manual+Vibratome</v>
          </cell>
          <cell r="BE856">
            <v>14</v>
          </cell>
          <cell r="BF856" t="str">
            <v xml:space="preserve">sai </v>
          </cell>
          <cell r="BG856" t="str">
            <v>Y</v>
          </cell>
        </row>
        <row r="857">
          <cell r="A857" t="str">
            <v>FBR1W240025</v>
          </cell>
          <cell r="B857">
            <v>240025</v>
          </cell>
          <cell r="C857" t="str">
            <v>R&amp;D</v>
          </cell>
          <cell r="D857">
            <v>45309</v>
          </cell>
          <cell r="E857">
            <v>0.51111111111111107</v>
          </cell>
          <cell r="F857">
            <v>45292</v>
          </cell>
          <cell r="G857">
            <v>45309</v>
          </cell>
          <cell r="H857">
            <v>0.64583333333333337</v>
          </cell>
          <cell r="I857">
            <v>0.13472222222222222</v>
          </cell>
          <cell r="J857">
            <v>0</v>
          </cell>
          <cell r="K857" t="str">
            <v>FCB-PROTOCOL-01</v>
          </cell>
          <cell r="L857" t="str">
            <v>VYD/243</v>
          </cell>
          <cell r="M857" t="str">
            <v>Y</v>
          </cell>
          <cell r="N857" t="str">
            <v>Biopsy Cabr-BSS (1W)</v>
          </cell>
          <cell r="O857" t="str">
            <v>Internal R&amp;D</v>
          </cell>
          <cell r="P857" t="str">
            <v>Q1 Passed</v>
          </cell>
          <cell r="Q857" t="str">
            <v>Q1 Passed</v>
          </cell>
          <cell r="R857" t="str">
            <v>Q1.5 Passed</v>
          </cell>
          <cell r="S857" t="str">
            <v>Q1.5 Rejected</v>
          </cell>
          <cell r="V857" t="str">
            <v>Tumor content with 0-6%  tumor cells in only 3 fragments. Others no tumor</v>
          </cell>
          <cell r="W857" t="str">
            <v>Private Hospital</v>
          </cell>
          <cell r="X857" t="str">
            <v>Vydehi Hospital, Bangalore</v>
          </cell>
          <cell r="Y857" t="str">
            <v>Vydehi Hospital, Bangalore</v>
          </cell>
          <cell r="Z857" t="str">
            <v>Dr Amritha Prabha, Bangalore</v>
          </cell>
          <cell r="AA857" t="str">
            <v>Ca Breast</v>
          </cell>
          <cell r="AC857" t="str">
            <v>Breast</v>
          </cell>
          <cell r="AD857" t="str">
            <v>Left Breast</v>
          </cell>
          <cell r="AE857" t="str">
            <v>Female</v>
          </cell>
          <cell r="AF857">
            <v>58</v>
          </cell>
          <cell r="AG857" t="str">
            <v>N</v>
          </cell>
          <cell r="AH857">
            <v>4.5</v>
          </cell>
          <cell r="AI857" t="str">
            <v>Kalappa</v>
          </cell>
          <cell r="AJ857" t="str">
            <v>Biopsy</v>
          </cell>
          <cell r="AK857" t="str">
            <v>Primary</v>
          </cell>
          <cell r="AO857">
            <v>2</v>
          </cell>
          <cell r="AP857" t="str">
            <v>T2N1</v>
          </cell>
          <cell r="AT857" t="str">
            <v>CTRT&amp;Hormonal therapy</v>
          </cell>
          <cell r="AU857" t="str">
            <v xml:space="preserve">Adriyamycin, Cyclophophamide, Paclitaxel, Trastuzumab </v>
          </cell>
          <cell r="AV857">
            <v>45309</v>
          </cell>
          <cell r="AW857">
            <v>0.66805555555555551</v>
          </cell>
          <cell r="AX857">
            <v>0.70833333333333337</v>
          </cell>
          <cell r="AY857">
            <v>4.027777777777778E-2</v>
          </cell>
          <cell r="AZ857">
            <v>0.57361111111111107</v>
          </cell>
          <cell r="BA857">
            <v>0.19722222222222222</v>
          </cell>
          <cell r="BB857" t="str">
            <v>3 Cores 
1.0</v>
          </cell>
          <cell r="BD857" t="str">
            <v>Manual</v>
          </cell>
          <cell r="BE857">
            <v>14</v>
          </cell>
          <cell r="BF857" t="str">
            <v>Pallavi</v>
          </cell>
          <cell r="BG857" t="str">
            <v>Y</v>
          </cell>
        </row>
        <row r="858">
          <cell r="A858" t="str">
            <v>FBR2K240026</v>
          </cell>
          <cell r="B858">
            <v>240026</v>
          </cell>
          <cell r="C858" t="str">
            <v>R&amp;D</v>
          </cell>
          <cell r="D858">
            <v>45310</v>
          </cell>
          <cell r="E858">
            <v>0.36944444444444446</v>
          </cell>
          <cell r="F858">
            <v>45292</v>
          </cell>
          <cell r="G858">
            <v>45310</v>
          </cell>
          <cell r="H858">
            <v>0.43125000000000002</v>
          </cell>
          <cell r="I858">
            <v>6.1805555555555558E-2</v>
          </cell>
          <cell r="J858">
            <v>3</v>
          </cell>
          <cell r="K858" t="str">
            <v>FCB-PROTOCOL-01</v>
          </cell>
          <cell r="L858" t="str">
            <v>CLN/PRA/249</v>
          </cell>
          <cell r="M858" t="str">
            <v>Y</v>
          </cell>
          <cell r="N858" t="str">
            <v>PRS (2K)</v>
          </cell>
          <cell r="O858" t="str">
            <v>Internal R&amp;D</v>
          </cell>
          <cell r="P858" t="str">
            <v>Q1 Passed</v>
          </cell>
          <cell r="Q858" t="str">
            <v>Q1 Passed</v>
          </cell>
          <cell r="R858" t="str">
            <v>Q1.5 Passed</v>
          </cell>
          <cell r="S858" t="str">
            <v>Q1.5 Passed</v>
          </cell>
          <cell r="V858" t="str">
            <v>Tumor content 8-80%</v>
          </cell>
          <cell r="W858" t="str">
            <v>Private Hospital</v>
          </cell>
          <cell r="X858" t="str">
            <v>Dr Prakash BV, Bangalore</v>
          </cell>
          <cell r="Y858" t="str">
            <v>Sri Lakshmi Hospital, Bangalore</v>
          </cell>
          <cell r="Z858" t="str">
            <v>Dr Prakash BV, Bangalore</v>
          </cell>
          <cell r="AA858" t="str">
            <v>HNSCC</v>
          </cell>
          <cell r="AC858" t="str">
            <v>Tongue</v>
          </cell>
          <cell r="AD858" t="str">
            <v>Left Lateral Tongue</v>
          </cell>
          <cell r="AE858" t="str">
            <v>Female</v>
          </cell>
          <cell r="AF858">
            <v>50</v>
          </cell>
          <cell r="AG858" t="str">
            <v>N</v>
          </cell>
          <cell r="AH858">
            <v>4.9000000000000004</v>
          </cell>
          <cell r="AI858" t="str">
            <v>Shashi</v>
          </cell>
          <cell r="AJ858" t="str">
            <v>Surgery</v>
          </cell>
          <cell r="AK858" t="str">
            <v>Primary</v>
          </cell>
          <cell r="AN858" t="str">
            <v>II</v>
          </cell>
          <cell r="AO858">
            <v>2</v>
          </cell>
          <cell r="AP858" t="str">
            <v>pT2N1M0</v>
          </cell>
          <cell r="AV858">
            <v>45310</v>
          </cell>
          <cell r="AW858">
            <v>0.45069444444444445</v>
          </cell>
          <cell r="AX858">
            <v>0.52500000000000002</v>
          </cell>
          <cell r="AY858">
            <v>7.4305555555555555E-2</v>
          </cell>
          <cell r="AZ858">
            <v>0.46319444444444446</v>
          </cell>
          <cell r="BA858">
            <v>0.15555555555555556</v>
          </cell>
          <cell r="BB858" t="str">
            <v>0.6*1.0* 3.2</v>
          </cell>
          <cell r="BD858" t="str">
            <v>Vibratome</v>
          </cell>
          <cell r="BE858">
            <v>14</v>
          </cell>
          <cell r="BF858" t="str">
            <v>Kokila</v>
          </cell>
          <cell r="BG858" t="str">
            <v>Y</v>
          </cell>
        </row>
        <row r="859">
          <cell r="A859" t="str">
            <v>FBR2K240027</v>
          </cell>
          <cell r="B859">
            <v>240027</v>
          </cell>
          <cell r="C859" t="str">
            <v>R&amp;D</v>
          </cell>
          <cell r="D859">
            <v>45310</v>
          </cell>
          <cell r="E859">
            <v>0.49930555555555556</v>
          </cell>
          <cell r="F859">
            <v>45292</v>
          </cell>
          <cell r="G859">
            <v>45310</v>
          </cell>
          <cell r="H859">
            <v>0.56180555555555556</v>
          </cell>
          <cell r="I859">
            <v>6.25E-2</v>
          </cell>
          <cell r="J859">
            <v>4</v>
          </cell>
          <cell r="K859" t="str">
            <v>FCB-PROTOCOL-01</v>
          </cell>
          <cell r="L859" t="str">
            <v>VYD/244</v>
          </cell>
          <cell r="M859" t="str">
            <v>Y</v>
          </cell>
          <cell r="N859" t="str">
            <v>PRS (2K)</v>
          </cell>
          <cell r="O859" t="str">
            <v>Internal R&amp;D</v>
          </cell>
          <cell r="P859" t="str">
            <v>Q1 Passed</v>
          </cell>
          <cell r="Q859" t="str">
            <v>Q1 Passed</v>
          </cell>
          <cell r="R859" t="str">
            <v>Q1.5 Passed</v>
          </cell>
          <cell r="S859" t="str">
            <v>Q1.5 Passed</v>
          </cell>
          <cell r="V859" t="str">
            <v>Tumor content 15-85%</v>
          </cell>
          <cell r="W859" t="str">
            <v>Private Hospital</v>
          </cell>
          <cell r="X859" t="str">
            <v>Vydehi Hospital, Bangalore</v>
          </cell>
          <cell r="Y859" t="str">
            <v>Vydehi Hospital, Bangalore</v>
          </cell>
          <cell r="Z859" t="str">
            <v>Dr Amritha Prabha, Bangalore</v>
          </cell>
          <cell r="AA859" t="str">
            <v>HNSCC</v>
          </cell>
          <cell r="AC859" t="str">
            <v>Buccal Mucosa</v>
          </cell>
          <cell r="AD859" t="str">
            <v>Right Buccal Mucosa</v>
          </cell>
          <cell r="AE859" t="str">
            <v>Male</v>
          </cell>
          <cell r="AF859">
            <v>43</v>
          </cell>
          <cell r="AG859" t="str">
            <v>N</v>
          </cell>
          <cell r="AH859">
            <v>3.7</v>
          </cell>
          <cell r="AI859" t="str">
            <v>Kalappa</v>
          </cell>
          <cell r="AJ859" t="str">
            <v>Surgery</v>
          </cell>
          <cell r="AK859" t="str">
            <v>Primary</v>
          </cell>
          <cell r="AN859" t="str">
            <v>IV</v>
          </cell>
          <cell r="AO859">
            <v>2</v>
          </cell>
          <cell r="AP859" t="str">
            <v>T4aN1</v>
          </cell>
          <cell r="AS859" t="str">
            <v>SCC</v>
          </cell>
          <cell r="AT859" t="str">
            <v>RT</v>
          </cell>
          <cell r="AV859">
            <v>45310</v>
          </cell>
          <cell r="AW859">
            <v>0.58888888888888891</v>
          </cell>
          <cell r="AX859">
            <v>0.70138888888888884</v>
          </cell>
          <cell r="AY859">
            <v>0.1125</v>
          </cell>
          <cell r="AZ859">
            <v>0.63888888888888884</v>
          </cell>
          <cell r="BA859">
            <v>0.20208333333333334</v>
          </cell>
          <cell r="BB859" t="str">
            <v>0.5/0.6*0.7/1.0*1.4</v>
          </cell>
          <cell r="BD859" t="str">
            <v>Vibratome</v>
          </cell>
          <cell r="BE859">
            <v>14</v>
          </cell>
          <cell r="BF859" t="str">
            <v>kuberan</v>
          </cell>
          <cell r="BG859" t="str">
            <v>Y</v>
          </cell>
        </row>
        <row r="860">
          <cell r="A860" t="str">
            <v>FBR1X240028</v>
          </cell>
          <cell r="B860">
            <v>240028</v>
          </cell>
          <cell r="C860" t="str">
            <v>R&amp;D</v>
          </cell>
          <cell r="D860">
            <v>45310</v>
          </cell>
          <cell r="E860">
            <v>0.55902777777777779</v>
          </cell>
          <cell r="F860">
            <v>45292</v>
          </cell>
          <cell r="G860">
            <v>45310</v>
          </cell>
          <cell r="H860">
            <v>0.63749999999999996</v>
          </cell>
          <cell r="I860">
            <v>7.8472222222222221E-2</v>
          </cell>
          <cell r="J860">
            <v>0</v>
          </cell>
          <cell r="K860" t="str">
            <v>FCB-PROTOCOL-02</v>
          </cell>
          <cell r="L860" t="str">
            <v>HN118</v>
          </cell>
          <cell r="M860" t="str">
            <v>Y</v>
          </cell>
          <cell r="N860" t="str">
            <v>Biopsy HNSCC (1X)</v>
          </cell>
          <cell r="O860" t="str">
            <v>Internal R&amp;D</v>
          </cell>
          <cell r="P860" t="str">
            <v>Q1 Passed</v>
          </cell>
          <cell r="Q860" t="str">
            <v>Not Received</v>
          </cell>
          <cell r="R860" t="str">
            <v>Compromised</v>
          </cell>
          <cell r="S860" t="str">
            <v>Q1.5 Passed</v>
          </cell>
          <cell r="T860" t="str">
            <v>Blood not collected</v>
          </cell>
          <cell r="V860" t="str">
            <v>Tumor content 3-95%</v>
          </cell>
          <cell r="W860" t="str">
            <v>Private Hospital</v>
          </cell>
          <cell r="X860" t="str">
            <v>Mazumdar Shaw Medical Centre, Bangalore</v>
          </cell>
          <cell r="Y860" t="str">
            <v>Mazumdar Shaw Medical Centre, Bangalore</v>
          </cell>
          <cell r="Z860" t="str">
            <v>Dr Vijay Pillai, Bangalore</v>
          </cell>
          <cell r="AA860" t="str">
            <v>HNSCC</v>
          </cell>
          <cell r="AC860" t="str">
            <v>Glottis</v>
          </cell>
          <cell r="AD860" t="str">
            <v>Glottis-Vocal Cord</v>
          </cell>
          <cell r="AE860" t="str">
            <v>Male</v>
          </cell>
          <cell r="AF860">
            <v>48</v>
          </cell>
          <cell r="AG860" t="str">
            <v>N</v>
          </cell>
          <cell r="AH860">
            <v>4.3</v>
          </cell>
          <cell r="AI860" t="str">
            <v>Maruthi</v>
          </cell>
          <cell r="AJ860" t="str">
            <v>Biopsy</v>
          </cell>
          <cell r="AK860" t="str">
            <v>Primary</v>
          </cell>
          <cell r="AN860" t="str">
            <v>NA</v>
          </cell>
          <cell r="AO860" t="str">
            <v>NA</v>
          </cell>
          <cell r="AP860" t="str">
            <v>NA</v>
          </cell>
          <cell r="AS860" t="str">
            <v>Invasive Squamous cell carcinom</v>
          </cell>
          <cell r="AV860">
            <v>45310</v>
          </cell>
          <cell r="AW860">
            <v>0.65833333333333333</v>
          </cell>
          <cell r="AX860">
            <v>0.70833333333333337</v>
          </cell>
          <cell r="AY860">
            <v>0.05</v>
          </cell>
          <cell r="AZ860">
            <v>0.62986111111111109</v>
          </cell>
          <cell r="BA860">
            <v>0.14930555555555555</v>
          </cell>
          <cell r="BB860" t="str">
            <v>0.1*0.3*0.4
0.2*0.3*0.4
0.2*0.2/0.5*0.8</v>
          </cell>
          <cell r="BD860" t="str">
            <v>Manual</v>
          </cell>
          <cell r="BE860">
            <v>14</v>
          </cell>
          <cell r="BF860" t="str">
            <v>Pallavi</v>
          </cell>
          <cell r="BG860" t="str">
            <v>N</v>
          </cell>
        </row>
        <row r="861">
          <cell r="A861" t="str">
            <v>FBR2K240029</v>
          </cell>
          <cell r="B861">
            <v>240029</v>
          </cell>
          <cell r="C861" t="str">
            <v>R&amp;D</v>
          </cell>
          <cell r="D861">
            <v>45310</v>
          </cell>
          <cell r="E861">
            <v>0.47569444444444442</v>
          </cell>
          <cell r="F861">
            <v>45292</v>
          </cell>
          <cell r="G861">
            <v>45310</v>
          </cell>
          <cell r="H861">
            <v>0.87638888888888888</v>
          </cell>
          <cell r="I861">
            <v>0.40069444444444446</v>
          </cell>
          <cell r="J861">
            <v>20</v>
          </cell>
          <cell r="K861" t="str">
            <v>FCB-PROTOCOL-01</v>
          </cell>
          <cell r="L861" t="str">
            <v>CLN/DBR/168</v>
          </cell>
          <cell r="M861" t="str">
            <v>Y</v>
          </cell>
          <cell r="N861" t="str">
            <v>PRS (2K)</v>
          </cell>
          <cell r="O861" t="str">
            <v>Internal R&amp;D</v>
          </cell>
          <cell r="P861" t="str">
            <v>Q1 Passed</v>
          </cell>
          <cell r="Q861" t="str">
            <v>Q1 Passed</v>
          </cell>
          <cell r="R861" t="str">
            <v>Q1.5 Passed</v>
          </cell>
          <cell r="S861" t="str">
            <v>Q1.5 Passed</v>
          </cell>
          <cell r="V861" t="str">
            <v>Tumor content 15-85%</v>
          </cell>
          <cell r="W861" t="str">
            <v>Private Hospital</v>
          </cell>
          <cell r="X861" t="str">
            <v>Clinic'les- DBR &amp; SK Hospital, Tirupati</v>
          </cell>
          <cell r="Y861" t="str">
            <v>DBR &amp; SK Hospital, Tirupati</v>
          </cell>
          <cell r="Z861" t="str">
            <v>Dr C Jayaprakash, Tirupati</v>
          </cell>
          <cell r="AA861" t="str">
            <v>HNSCC</v>
          </cell>
          <cell r="AC861" t="str">
            <v>Tongue</v>
          </cell>
          <cell r="AD861" t="str">
            <v>Left Tongue</v>
          </cell>
          <cell r="AE861" t="str">
            <v>Female</v>
          </cell>
          <cell r="AF861">
            <v>67</v>
          </cell>
          <cell r="AG861" t="str">
            <v>N</v>
          </cell>
          <cell r="AH861">
            <v>5.0999999999999996</v>
          </cell>
          <cell r="AI861" t="str">
            <v>Shashi</v>
          </cell>
          <cell r="AJ861" t="str">
            <v>Surgery</v>
          </cell>
          <cell r="AK861" t="str">
            <v>Primary</v>
          </cell>
          <cell r="AN861" t="str">
            <v>III</v>
          </cell>
          <cell r="AP861" t="str">
            <v>T3 N0 MX</v>
          </cell>
          <cell r="AV861">
            <v>45310</v>
          </cell>
          <cell r="AW861">
            <v>0.88958333333333328</v>
          </cell>
          <cell r="AX861">
            <v>1</v>
          </cell>
          <cell r="AY861">
            <v>0.11041666666666666</v>
          </cell>
          <cell r="AZ861">
            <v>0.59930555555555554</v>
          </cell>
          <cell r="BA861">
            <v>0.52430555555555558</v>
          </cell>
          <cell r="BB861" t="str">
            <v>0.7/1.0*1.0/1.3*1.6/1.8</v>
          </cell>
          <cell r="BD861" t="str">
            <v>Vibratome</v>
          </cell>
          <cell r="BE861">
            <v>14</v>
          </cell>
          <cell r="BF861" t="str">
            <v>Mouniss</v>
          </cell>
          <cell r="BG861" t="str">
            <v>Y</v>
          </cell>
        </row>
        <row r="862">
          <cell r="A862" t="str">
            <v>FBR2K240030</v>
          </cell>
          <cell r="B862">
            <v>240030</v>
          </cell>
          <cell r="C862" t="str">
            <v>R&amp;D</v>
          </cell>
          <cell r="D862">
            <v>45313</v>
          </cell>
          <cell r="E862">
            <v>0.5541666666666667</v>
          </cell>
          <cell r="F862">
            <v>45292</v>
          </cell>
          <cell r="G862">
            <v>45313</v>
          </cell>
          <cell r="H862">
            <v>0.59861111111111109</v>
          </cell>
          <cell r="I862">
            <v>4.4444444444444446E-2</v>
          </cell>
          <cell r="J862">
            <v>1</v>
          </cell>
          <cell r="K862" t="str">
            <v>FCB-PROTOCOL-01</v>
          </cell>
          <cell r="L862" t="str">
            <v>VYD/245</v>
          </cell>
          <cell r="M862" t="str">
            <v>Y</v>
          </cell>
          <cell r="N862" t="str">
            <v>PRS (2K)</v>
          </cell>
          <cell r="O862" t="str">
            <v>Internal R&amp;D</v>
          </cell>
          <cell r="P862" t="str">
            <v>Q1 Passed</v>
          </cell>
          <cell r="Q862" t="str">
            <v>Q1 Passed</v>
          </cell>
          <cell r="R862" t="str">
            <v>Q1.5 Passed</v>
          </cell>
          <cell r="S862" t="str">
            <v>Q1.5 Passed</v>
          </cell>
          <cell r="V862" t="str">
            <v>Tumor content 70-90%</v>
          </cell>
          <cell r="W862" t="str">
            <v>Private Hospital</v>
          </cell>
          <cell r="X862" t="str">
            <v>Vydehi Hospital, Bangalore</v>
          </cell>
          <cell r="Y862" t="str">
            <v>Vydehi Hospital, Bangalore</v>
          </cell>
          <cell r="Z862" t="str">
            <v>Dr Amritha Prabha, Bangalore</v>
          </cell>
          <cell r="AA862" t="str">
            <v>HNSCC</v>
          </cell>
          <cell r="AC862" t="str">
            <v>Buccal Mucosa</v>
          </cell>
          <cell r="AD862" t="str">
            <v>Left Buccal Mucosa</v>
          </cell>
          <cell r="AE862" t="str">
            <v>Female</v>
          </cell>
          <cell r="AF862">
            <v>73</v>
          </cell>
          <cell r="AG862" t="str">
            <v>N</v>
          </cell>
          <cell r="AH862">
            <v>5.2</v>
          </cell>
          <cell r="AI862" t="str">
            <v>Partha</v>
          </cell>
          <cell r="AJ862" t="str">
            <v>Surgery</v>
          </cell>
          <cell r="AK862" t="str">
            <v>Primary</v>
          </cell>
          <cell r="AN862" t="str">
            <v>IV</v>
          </cell>
          <cell r="AO862">
            <v>2</v>
          </cell>
          <cell r="AP862" t="str">
            <v>T4aN3b</v>
          </cell>
          <cell r="AS862" t="str">
            <v>SCC</v>
          </cell>
          <cell r="AT862" t="str">
            <v>CTRT</v>
          </cell>
          <cell r="AV862">
            <v>45313</v>
          </cell>
          <cell r="AW862">
            <v>0.61736111111111114</v>
          </cell>
          <cell r="AX862">
            <v>0.72291666666666665</v>
          </cell>
          <cell r="AY862">
            <v>0.10555555555555556</v>
          </cell>
          <cell r="AZ862">
            <v>0.67847222222222225</v>
          </cell>
          <cell r="BA862">
            <v>0.16875000000000001</v>
          </cell>
          <cell r="BB862" t="str">
            <v>1.0*1.1*1.4</v>
          </cell>
          <cell r="BD862" t="str">
            <v>Vibratome</v>
          </cell>
          <cell r="BE862">
            <v>14</v>
          </cell>
          <cell r="BF862" t="str">
            <v>Syam</v>
          </cell>
          <cell r="BG862" t="str">
            <v>Y</v>
          </cell>
        </row>
        <row r="863">
          <cell r="A863" t="str">
            <v>FBR2F240030</v>
          </cell>
          <cell r="B863">
            <v>240030</v>
          </cell>
          <cell r="C863" t="str">
            <v>R&amp;D</v>
          </cell>
          <cell r="D863">
            <v>45313</v>
          </cell>
          <cell r="E863">
            <v>0.5541666666666667</v>
          </cell>
          <cell r="F863">
            <v>45292</v>
          </cell>
          <cell r="G863">
            <v>45313</v>
          </cell>
          <cell r="H863">
            <v>0.59861111111111109</v>
          </cell>
          <cell r="I863">
            <v>4.4444444444444446E-2</v>
          </cell>
          <cell r="J863">
            <v>1</v>
          </cell>
          <cell r="K863" t="str">
            <v>FCB-PROTOCOL-01</v>
          </cell>
          <cell r="L863" t="str">
            <v>VYD/245</v>
          </cell>
          <cell r="M863" t="str">
            <v>Y</v>
          </cell>
          <cell r="N863" t="str">
            <v>ECR (2F)</v>
          </cell>
          <cell r="O863" t="str">
            <v>Internal R&amp;D</v>
          </cell>
          <cell r="P863" t="str">
            <v>Q1 Passed</v>
          </cell>
          <cell r="Q863" t="str">
            <v>Q1 Passed</v>
          </cell>
          <cell r="R863" t="str">
            <v>Q1.5 Passed</v>
          </cell>
          <cell r="S863" t="str">
            <v>Q1.5 Passed</v>
          </cell>
          <cell r="V863" t="str">
            <v>Tumor content 70-90%</v>
          </cell>
          <cell r="W863" t="str">
            <v>Private Hospital</v>
          </cell>
          <cell r="X863" t="str">
            <v>Vydehi Hospital, Bangalore</v>
          </cell>
          <cell r="Y863" t="str">
            <v>Vydehi Hospital, Bangalore</v>
          </cell>
          <cell r="Z863" t="str">
            <v>Dr Amritha Prabha, Bangalore</v>
          </cell>
          <cell r="AA863" t="str">
            <v>HNSCC</v>
          </cell>
          <cell r="AC863" t="str">
            <v>Buccal Mucosa</v>
          </cell>
          <cell r="AD863" t="str">
            <v>Left Buccal Mucosa</v>
          </cell>
          <cell r="AE863" t="str">
            <v>Female</v>
          </cell>
          <cell r="AF863">
            <v>73</v>
          </cell>
          <cell r="AG863" t="str">
            <v>N</v>
          </cell>
          <cell r="AH863">
            <v>5.2</v>
          </cell>
          <cell r="AI863" t="str">
            <v>Partha</v>
          </cell>
          <cell r="AJ863" t="str">
            <v>Surgery</v>
          </cell>
          <cell r="AK863" t="str">
            <v>Primary</v>
          </cell>
          <cell r="AN863" t="str">
            <v>IV</v>
          </cell>
          <cell r="AO863">
            <v>2</v>
          </cell>
          <cell r="AP863" t="str">
            <v>T4aN3b</v>
          </cell>
          <cell r="AS863" t="str">
            <v>SCC</v>
          </cell>
          <cell r="AT863" t="str">
            <v>CTRT</v>
          </cell>
          <cell r="AV863">
            <v>45327</v>
          </cell>
          <cell r="AW863">
            <v>0.61736111111111114</v>
          </cell>
          <cell r="AX863">
            <v>0.5180555555555556</v>
          </cell>
          <cell r="AY86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863">
            <v>0.47361111111111109</v>
          </cell>
          <cell r="BA86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863" t="str">
            <v>1.0*1.1*1.4</v>
          </cell>
          <cell r="BD863" t="str">
            <v>Vibratome</v>
          </cell>
          <cell r="BE863">
            <v>14</v>
          </cell>
          <cell r="BF863" t="str">
            <v>Syam</v>
          </cell>
          <cell r="BG863" t="str">
            <v>Y</v>
          </cell>
        </row>
        <row r="864">
          <cell r="A864" t="str">
            <v>FBR1Y240031</v>
          </cell>
          <cell r="B864">
            <v>240031</v>
          </cell>
          <cell r="C864" t="str">
            <v>R&amp;D</v>
          </cell>
          <cell r="D864">
            <v>45313</v>
          </cell>
          <cell r="E864">
            <v>0.5</v>
          </cell>
          <cell r="F864">
            <v>45292</v>
          </cell>
          <cell r="G864">
            <v>45313</v>
          </cell>
          <cell r="H864">
            <v>0.64861111111111114</v>
          </cell>
          <cell r="I864">
            <v>0.14861111111111111</v>
          </cell>
          <cell r="J864">
            <v>5</v>
          </cell>
          <cell r="K864" t="str">
            <v>FCB-PROTOCOL-02</v>
          </cell>
          <cell r="L864" t="str">
            <v>HN119</v>
          </cell>
          <cell r="M864" t="str">
            <v>Y</v>
          </cell>
          <cell r="N864" t="str">
            <v>CCS Study (1Y)</v>
          </cell>
          <cell r="O864" t="str">
            <v>Internal R&amp;D</v>
          </cell>
          <cell r="P864" t="str">
            <v>Q1 Passed</v>
          </cell>
          <cell r="Q864" t="str">
            <v>Q1 Passed</v>
          </cell>
          <cell r="R864" t="str">
            <v>Q1.5 Passed</v>
          </cell>
          <cell r="S864" t="str">
            <v>Q1.5 Passed</v>
          </cell>
          <cell r="V864" t="str">
            <v>Tumor content 0-96%. 3 fragments without tumor. Average tumor content 25%</v>
          </cell>
          <cell r="W864" t="str">
            <v>Private Hospital</v>
          </cell>
          <cell r="X864" t="str">
            <v>Mazumdar Shaw Medical Centre, Bangalore</v>
          </cell>
          <cell r="Y864" t="str">
            <v>Mazumdar Shaw Medical Centre, Bangalore</v>
          </cell>
          <cell r="Z864" t="str">
            <v>Dr Vijay Pillai, Bangalore</v>
          </cell>
          <cell r="AA864" t="str">
            <v>HNSCC</v>
          </cell>
          <cell r="AC864" t="str">
            <v>Buccal Mucosa</v>
          </cell>
          <cell r="AD864" t="str">
            <v>Left Buccal Mucosa</v>
          </cell>
          <cell r="AE864" t="str">
            <v>Male</v>
          </cell>
          <cell r="AF864">
            <v>58</v>
          </cell>
          <cell r="AG864" t="str">
            <v>N</v>
          </cell>
          <cell r="AH864">
            <v>4.8</v>
          </cell>
          <cell r="AI864" t="str">
            <v>Shashi</v>
          </cell>
          <cell r="AJ864" t="str">
            <v>Surgery</v>
          </cell>
          <cell r="AK864" t="str">
            <v>Primary</v>
          </cell>
          <cell r="AN864" t="str">
            <v>III</v>
          </cell>
          <cell r="AO864">
            <v>2</v>
          </cell>
          <cell r="AP864" t="str">
            <v>pT3apN2a</v>
          </cell>
          <cell r="AS864" t="str">
            <v>MDSCC(Moderately Differentiated Squamous cell carcinoma)</v>
          </cell>
          <cell r="AV864">
            <v>45313</v>
          </cell>
          <cell r="AW864">
            <v>0.65972222222222221</v>
          </cell>
          <cell r="AX864">
            <v>0.69444444444444442</v>
          </cell>
          <cell r="AY864">
            <v>3.4722222222222224E-2</v>
          </cell>
          <cell r="AZ864">
            <v>0.54583333333333328</v>
          </cell>
          <cell r="BA864">
            <v>0.19444444444444445</v>
          </cell>
          <cell r="BB864" t="str">
            <v>0.4*0.8*1.0/0.8</v>
          </cell>
          <cell r="BD864" t="str">
            <v>Manual</v>
          </cell>
          <cell r="BE864">
            <v>14</v>
          </cell>
          <cell r="BF864" t="str">
            <v>Kokila</v>
          </cell>
          <cell r="BG864" t="str">
            <v>Y</v>
          </cell>
        </row>
        <row r="865">
          <cell r="A865" t="str">
            <v>FBR1Z240032</v>
          </cell>
          <cell r="B865">
            <v>240032</v>
          </cell>
          <cell r="C865" t="str">
            <v>R&amp;D</v>
          </cell>
          <cell r="D865">
            <v>45314</v>
          </cell>
          <cell r="E865">
            <v>0.51041666666666663</v>
          </cell>
          <cell r="F865">
            <v>45292</v>
          </cell>
          <cell r="G865">
            <v>45314</v>
          </cell>
          <cell r="H865">
            <v>0.59375</v>
          </cell>
          <cell r="I865">
            <v>8.3333333333333329E-2</v>
          </cell>
          <cell r="J865">
            <v>15</v>
          </cell>
          <cell r="K865" t="str">
            <v>FCB-PROTOCOL-01</v>
          </cell>
          <cell r="L865" t="str">
            <v>VYD/246(Vyd/212)</v>
          </cell>
          <cell r="M865" t="str">
            <v>Y</v>
          </cell>
          <cell r="N865" t="str">
            <v>CT+LD Nivo -NLD study (1Z)</v>
          </cell>
          <cell r="O865" t="str">
            <v>Internal R&amp;D</v>
          </cell>
          <cell r="P865" t="str">
            <v>Q1 Passed</v>
          </cell>
          <cell r="Q865" t="str">
            <v>Q1 Passed</v>
          </cell>
          <cell r="R865" t="str">
            <v>Q1.5 Passed</v>
          </cell>
          <cell r="S865" t="str">
            <v>Q1.5 Passed</v>
          </cell>
          <cell r="V865" t="str">
            <v>Tumor content 25-90%</v>
          </cell>
          <cell r="W865" t="str">
            <v>Private Hospital</v>
          </cell>
          <cell r="X865" t="str">
            <v>Vydehi Hospital, Bangalore</v>
          </cell>
          <cell r="Y865" t="str">
            <v>Vydehi Hospital, Bangalore</v>
          </cell>
          <cell r="Z865" t="str">
            <v>Dr Amritha Prabha, Bangalore</v>
          </cell>
          <cell r="AA865" t="str">
            <v>HNSCC</v>
          </cell>
          <cell r="AC865" t="str">
            <v>Buccal Mucosa</v>
          </cell>
          <cell r="AD865" t="str">
            <v>Left Buccal Mucosa &amp; Skin / Subcutaneous lesion</v>
          </cell>
          <cell r="AE865" t="str">
            <v>Male</v>
          </cell>
          <cell r="AF865">
            <v>44</v>
          </cell>
          <cell r="AG865" t="str">
            <v>N</v>
          </cell>
          <cell r="AH865">
            <v>5.2</v>
          </cell>
          <cell r="AI865" t="str">
            <v>Kalappa</v>
          </cell>
          <cell r="AJ865" t="str">
            <v>Surgery</v>
          </cell>
          <cell r="AK865" t="str">
            <v>Local Recurrent</v>
          </cell>
          <cell r="AL865" t="str">
            <v>Surgery+Radiotherapy</v>
          </cell>
          <cell r="AN865" t="str">
            <v>IV</v>
          </cell>
          <cell r="AO865">
            <v>2</v>
          </cell>
          <cell r="AP865" t="str">
            <v>T4aN3b</v>
          </cell>
          <cell r="AS865" t="str">
            <v>SCC</v>
          </cell>
          <cell r="AT865" t="str">
            <v>CTRT</v>
          </cell>
          <cell r="AV865">
            <v>45314</v>
          </cell>
          <cell r="AW865">
            <v>0.61805555555555558</v>
          </cell>
          <cell r="AX865">
            <v>0.65625</v>
          </cell>
          <cell r="AY865">
            <v>3.8194444444444448E-2</v>
          </cell>
          <cell r="AZ865">
            <v>0.57291666666666663</v>
          </cell>
          <cell r="BA865">
            <v>0.14583333333333334</v>
          </cell>
          <cell r="BB865" t="str">
            <v>0.4/0.8*1.3*1.9</v>
          </cell>
          <cell r="BD865" t="str">
            <v>Manual</v>
          </cell>
          <cell r="BE865">
            <v>14</v>
          </cell>
          <cell r="BF865" t="str">
            <v xml:space="preserve">sai </v>
          </cell>
          <cell r="BG865" t="str">
            <v>Y</v>
          </cell>
        </row>
        <row r="866">
          <cell r="A866" t="str">
            <v>FBR2F240032</v>
          </cell>
          <cell r="B866">
            <v>240032</v>
          </cell>
          <cell r="C866" t="str">
            <v>R&amp;D</v>
          </cell>
          <cell r="D866">
            <v>45314</v>
          </cell>
          <cell r="E866">
            <v>0.51041666666666663</v>
          </cell>
          <cell r="F866">
            <v>45292</v>
          </cell>
          <cell r="G866">
            <v>45314</v>
          </cell>
          <cell r="H866">
            <v>0.59375</v>
          </cell>
          <cell r="I866">
            <v>8.3333333333333329E-2</v>
          </cell>
          <cell r="J866">
            <v>15</v>
          </cell>
          <cell r="K866" t="str">
            <v>FCB-PROTOCOL-01</v>
          </cell>
          <cell r="L866" t="str">
            <v>VYD/246(Vyd/212)</v>
          </cell>
          <cell r="M866" t="str">
            <v>Y</v>
          </cell>
          <cell r="N866" t="str">
            <v>ECR (2F)</v>
          </cell>
          <cell r="O866" t="str">
            <v>Internal R&amp;D</v>
          </cell>
          <cell r="P866" t="str">
            <v>Q1 Passed</v>
          </cell>
          <cell r="Q866" t="str">
            <v>Q1 Passed</v>
          </cell>
          <cell r="R866" t="str">
            <v>Q1.5 Passed</v>
          </cell>
          <cell r="S866" t="str">
            <v>Q1.5 Passed</v>
          </cell>
          <cell r="V866" t="str">
            <v>Tumor content 25-90%</v>
          </cell>
          <cell r="W866" t="str">
            <v>Private Hospital</v>
          </cell>
          <cell r="X866" t="str">
            <v>Vydehi Hospital, Bangalore</v>
          </cell>
          <cell r="Y866" t="str">
            <v>Vydehi Hospital, Bangalore</v>
          </cell>
          <cell r="Z866" t="str">
            <v>Dr Amritha Prabha, Bangalore</v>
          </cell>
          <cell r="AA866" t="str">
            <v>HNSCC</v>
          </cell>
          <cell r="AC866" t="str">
            <v>Buccal Mucosa</v>
          </cell>
          <cell r="AD866" t="str">
            <v>Left Buccal Mucosa &amp; Skin / Subcutaneous lesion</v>
          </cell>
          <cell r="AE866" t="str">
            <v>Male</v>
          </cell>
          <cell r="AF866">
            <v>44</v>
          </cell>
          <cell r="AG866" t="str">
            <v>N</v>
          </cell>
          <cell r="AH866">
            <v>5.2</v>
          </cell>
          <cell r="AI866" t="str">
            <v>Kalappa</v>
          </cell>
          <cell r="AJ866" t="str">
            <v>Surgery</v>
          </cell>
          <cell r="AK866" t="str">
            <v>Local Recurrent</v>
          </cell>
          <cell r="AL866" t="str">
            <v>Surgery+Radiotherapy</v>
          </cell>
          <cell r="AN866" t="str">
            <v>IV</v>
          </cell>
          <cell r="AO866">
            <v>2</v>
          </cell>
          <cell r="AP866" t="str">
            <v>T4aN3b</v>
          </cell>
          <cell r="AS866" t="str">
            <v>SCC</v>
          </cell>
          <cell r="AT866" t="str">
            <v>CTRT</v>
          </cell>
          <cell r="AV866">
            <v>45327</v>
          </cell>
          <cell r="AW866">
            <v>0.61805555555555558</v>
          </cell>
          <cell r="AX866">
            <v>0.53402777777777777</v>
          </cell>
          <cell r="AY86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866">
            <v>0.45069444444444445</v>
          </cell>
          <cell r="BA866">
            <v>2.361111111111111E-2</v>
          </cell>
          <cell r="BB866" t="str">
            <v>0.4/0.8*1.3*1.9</v>
          </cell>
          <cell r="BD866" t="str">
            <v>Manual</v>
          </cell>
          <cell r="BE866">
            <v>14</v>
          </cell>
          <cell r="BF866" t="str">
            <v xml:space="preserve">sai </v>
          </cell>
          <cell r="BG866" t="str">
            <v>Y</v>
          </cell>
        </row>
        <row r="867">
          <cell r="A867" t="str">
            <v>FBR2A240033</v>
          </cell>
          <cell r="B867">
            <v>240033</v>
          </cell>
          <cell r="C867" t="str">
            <v>R&amp;D</v>
          </cell>
          <cell r="D867">
            <v>45314</v>
          </cell>
          <cell r="E867">
            <v>0.52777777777777779</v>
          </cell>
          <cell r="F867">
            <v>45292</v>
          </cell>
          <cell r="G867">
            <v>45314</v>
          </cell>
          <cell r="H867">
            <v>0.64166666666666672</v>
          </cell>
          <cell r="I867">
            <v>0.11388888888888889</v>
          </cell>
          <cell r="J867">
            <v>30</v>
          </cell>
          <cell r="K867" t="str">
            <v>FCB-PROTOCOL-02</v>
          </cell>
          <cell r="L867" t="str">
            <v>OC026</v>
          </cell>
          <cell r="M867" t="str">
            <v>Y</v>
          </cell>
          <cell r="N867" t="str">
            <v>Ovary CC (R2A)</v>
          </cell>
          <cell r="O867" t="str">
            <v>Internal R&amp;D</v>
          </cell>
          <cell r="P867" t="str">
            <v>Q1 Passed</v>
          </cell>
          <cell r="Q867" t="str">
            <v>Q1 Passed</v>
          </cell>
          <cell r="R867" t="str">
            <v>Q1.5 Passed</v>
          </cell>
          <cell r="S867" t="str">
            <v>Q1.5 Rejected</v>
          </cell>
          <cell r="V867" t="str">
            <v>No tumor</v>
          </cell>
          <cell r="W867" t="str">
            <v>Private Hospital</v>
          </cell>
          <cell r="X867" t="str">
            <v>Mazumdar Shaw Medical Centre, Bangalore</v>
          </cell>
          <cell r="Y867" t="str">
            <v>Mazumdar Shaw Medical Centre, Bangalore</v>
          </cell>
          <cell r="Z867" t="str">
            <v>Dr Rohit Ranade, Bangalore</v>
          </cell>
          <cell r="AA867" t="str">
            <v>Ca Ovary</v>
          </cell>
          <cell r="AC867" t="str">
            <v>Ovary</v>
          </cell>
          <cell r="AD867" t="str">
            <v>Left Ovary</v>
          </cell>
          <cell r="AE867" t="str">
            <v>Female</v>
          </cell>
          <cell r="AF867">
            <v>42</v>
          </cell>
          <cell r="AG867" t="str">
            <v>N</v>
          </cell>
          <cell r="AH867">
            <v>4.5</v>
          </cell>
          <cell r="AI867" t="str">
            <v>Shashi</v>
          </cell>
          <cell r="AJ867" t="str">
            <v>Surgery</v>
          </cell>
          <cell r="AK867" t="str">
            <v>Primary</v>
          </cell>
          <cell r="AV867">
            <v>45314</v>
          </cell>
          <cell r="AW867">
            <v>0.66736111111111107</v>
          </cell>
          <cell r="AX867">
            <v>0.72152777777777777</v>
          </cell>
          <cell r="AY867">
            <v>5.4166666666666669E-2</v>
          </cell>
          <cell r="AZ867">
            <v>0.60763888888888884</v>
          </cell>
          <cell r="BA867">
            <v>0.19375000000000001</v>
          </cell>
          <cell r="BB867" t="str">
            <v>0.2/0.4*2.2*2.5</v>
          </cell>
          <cell r="BD867" t="str">
            <v>Manual</v>
          </cell>
          <cell r="BE867">
            <v>14</v>
          </cell>
          <cell r="BF867" t="str">
            <v>Syam</v>
          </cell>
          <cell r="BG867" t="str">
            <v>Y</v>
          </cell>
        </row>
        <row r="868">
          <cell r="A868" t="str">
            <v>FBR1Y240034</v>
          </cell>
          <cell r="B868">
            <v>240034</v>
          </cell>
          <cell r="C868" t="str">
            <v>R&amp;D</v>
          </cell>
          <cell r="D868">
            <v>45314</v>
          </cell>
          <cell r="E868">
            <v>0.70486111111111116</v>
          </cell>
          <cell r="F868">
            <v>45292</v>
          </cell>
          <cell r="G868">
            <v>45314</v>
          </cell>
          <cell r="H868">
            <v>0.74930555555555556</v>
          </cell>
          <cell r="I868">
            <v>4.4444444444444446E-2</v>
          </cell>
          <cell r="J868">
            <v>3</v>
          </cell>
          <cell r="K868" t="str">
            <v>FCB-PROTOCOL-02</v>
          </cell>
          <cell r="L868" t="str">
            <v>HN120</v>
          </cell>
          <cell r="M868" t="str">
            <v>Y</v>
          </cell>
          <cell r="N868" t="str">
            <v>CCS Study (1Y)</v>
          </cell>
          <cell r="O868" t="str">
            <v>Internal R&amp;D</v>
          </cell>
          <cell r="P868" t="str">
            <v>Q1 Passed</v>
          </cell>
          <cell r="Q868" t="str">
            <v>Q1 Passed</v>
          </cell>
          <cell r="R868" t="str">
            <v>Q1.5 Passed</v>
          </cell>
          <cell r="S868" t="str">
            <v>Q1.5 Passed</v>
          </cell>
          <cell r="V868" t="str">
            <v>Tumor content 0-90%</v>
          </cell>
          <cell r="W868" t="str">
            <v>Private Hospital</v>
          </cell>
          <cell r="X868" t="str">
            <v>Mazumdar Shaw Medical Centre, Bangalore</v>
          </cell>
          <cell r="Y868" t="str">
            <v>Mazumdar Shaw Medical Centre, Bangalore</v>
          </cell>
          <cell r="Z868" t="str">
            <v>Dr Vijay Pillai, Bangalore</v>
          </cell>
          <cell r="AA868" t="str">
            <v>HNSCC</v>
          </cell>
          <cell r="AC868" t="str">
            <v>Alveolus</v>
          </cell>
          <cell r="AD868" t="str">
            <v>Lower Alveolus</v>
          </cell>
          <cell r="AE868" t="str">
            <v>Male</v>
          </cell>
          <cell r="AF868">
            <v>55</v>
          </cell>
          <cell r="AG868" t="str">
            <v>N</v>
          </cell>
          <cell r="AH868">
            <v>5.0999999999999996</v>
          </cell>
          <cell r="AI868" t="str">
            <v>Shashi</v>
          </cell>
          <cell r="AJ868" t="str">
            <v>Surgery</v>
          </cell>
          <cell r="AK868" t="str">
            <v>Primary</v>
          </cell>
          <cell r="AN868" t="str">
            <v>III</v>
          </cell>
          <cell r="AO868">
            <v>2</v>
          </cell>
          <cell r="AP868" t="str">
            <v>pT3pN3b</v>
          </cell>
          <cell r="AS868" t="str">
            <v>MDSCC(Moderately Differentiated Squamous cell carcinoma)</v>
          </cell>
          <cell r="AV868">
            <v>45314</v>
          </cell>
          <cell r="AW868">
            <v>0.76111111111111107</v>
          </cell>
          <cell r="AX868">
            <v>0.8</v>
          </cell>
          <cell r="AY868">
            <v>3.888888888888889E-2</v>
          </cell>
          <cell r="AZ868">
            <v>0.75555555555555554</v>
          </cell>
          <cell r="BA868">
            <v>9.5138888888888884E-2</v>
          </cell>
          <cell r="BB868" t="str">
            <v>0.2/0.4*0.9/1.2*1.8/2.4</v>
          </cell>
          <cell r="BD868" t="str">
            <v>Manual</v>
          </cell>
          <cell r="BE868">
            <v>14</v>
          </cell>
          <cell r="BF868" t="str">
            <v>Dharani</v>
          </cell>
          <cell r="BG868" t="str">
            <v>Y</v>
          </cell>
        </row>
        <row r="869">
          <cell r="A869" t="str">
            <v>FBR2K240035</v>
          </cell>
          <cell r="B869">
            <v>240035</v>
          </cell>
          <cell r="C869" t="str">
            <v>R&amp;D</v>
          </cell>
          <cell r="D869">
            <v>45314</v>
          </cell>
          <cell r="E869">
            <v>0.4861111111111111</v>
          </cell>
          <cell r="F869">
            <v>45292</v>
          </cell>
          <cell r="G869">
            <v>45314</v>
          </cell>
          <cell r="H869">
            <v>0.88749999999999996</v>
          </cell>
          <cell r="I869">
            <v>0.40138888888888891</v>
          </cell>
          <cell r="J869">
            <v>15</v>
          </cell>
          <cell r="K869" t="str">
            <v>FCB-PROTOCOL-01</v>
          </cell>
          <cell r="L869" t="str">
            <v>CLN/DBR/169</v>
          </cell>
          <cell r="M869" t="str">
            <v>Y</v>
          </cell>
          <cell r="N869" t="str">
            <v>PRS (2K)</v>
          </cell>
          <cell r="O869" t="str">
            <v>Internal R&amp;D</v>
          </cell>
          <cell r="P869" t="str">
            <v>Q1 Passed</v>
          </cell>
          <cell r="Q869" t="str">
            <v>Q1 Passed</v>
          </cell>
          <cell r="R869" t="str">
            <v>Q1.5 Passed</v>
          </cell>
          <cell r="S869" t="str">
            <v>Q1.5 Passed</v>
          </cell>
          <cell r="V869" t="str">
            <v>Tumor content 45-95%</v>
          </cell>
          <cell r="W869" t="str">
            <v>Private Hospital</v>
          </cell>
          <cell r="X869" t="str">
            <v>Clinic'les- DBR &amp; SK Hospital, Tirupati</v>
          </cell>
          <cell r="Y869" t="str">
            <v>DBR &amp; SK Hospital, Tirupati</v>
          </cell>
          <cell r="Z869" t="str">
            <v>Dr C Jayaprakash, Tirupati</v>
          </cell>
          <cell r="AA869" t="str">
            <v>HNSCC</v>
          </cell>
          <cell r="AC869" t="str">
            <v>Buccal Mucosa</v>
          </cell>
          <cell r="AD869" t="str">
            <v>Right Buccal Mucosa</v>
          </cell>
          <cell r="AE869" t="str">
            <v>Female</v>
          </cell>
          <cell r="AF869">
            <v>73</v>
          </cell>
          <cell r="AG869" t="str">
            <v>N</v>
          </cell>
          <cell r="AH869">
            <v>5.8</v>
          </cell>
          <cell r="AI869" t="str">
            <v>Shashi</v>
          </cell>
          <cell r="AJ869" t="str">
            <v>Surgery</v>
          </cell>
          <cell r="AK869" t="str">
            <v>Primary</v>
          </cell>
          <cell r="AN869" t="str">
            <v>III</v>
          </cell>
          <cell r="AP869" t="str">
            <v>T3 N0 MX</v>
          </cell>
          <cell r="AV869">
            <v>45315</v>
          </cell>
          <cell r="AW869">
            <v>0.33263888888888887</v>
          </cell>
          <cell r="AX869">
            <v>0.37986111111111109</v>
          </cell>
          <cell r="AY869">
            <v>4.7222222222222221E-2</v>
          </cell>
          <cell r="AZ869">
            <v>0.97847222222222219</v>
          </cell>
          <cell r="BA869">
            <v>0.89375000000000004</v>
          </cell>
          <cell r="BB869" t="str">
            <v>0.2/0.3*1.2/0.3*1.3
0.2*0.6*1.3</v>
          </cell>
          <cell r="BD869" t="str">
            <v>Manual</v>
          </cell>
          <cell r="BE869">
            <v>14</v>
          </cell>
          <cell r="BF869" t="str">
            <v>Dharani</v>
          </cell>
          <cell r="BG869" t="str">
            <v>Y</v>
          </cell>
        </row>
        <row r="870">
          <cell r="A870" t="str">
            <v>FBB1L240036</v>
          </cell>
          <cell r="B870">
            <v>240036</v>
          </cell>
          <cell r="C870" t="str">
            <v>Biopharma</v>
          </cell>
          <cell r="D870">
            <v>45315</v>
          </cell>
          <cell r="E870">
            <v>0.68611111111111112</v>
          </cell>
          <cell r="F870">
            <v>45292</v>
          </cell>
          <cell r="G870">
            <v>45315</v>
          </cell>
          <cell r="H870">
            <v>0.80208333333333337</v>
          </cell>
          <cell r="I870">
            <v>0.11597222222222223</v>
          </cell>
          <cell r="J870">
            <v>2</v>
          </cell>
          <cell r="K870" t="str">
            <v>FCB-PROTOCOL-01</v>
          </cell>
          <cell r="L870" t="str">
            <v>VYD/247</v>
          </cell>
          <cell r="M870" t="str">
            <v>Y</v>
          </cell>
          <cell r="N870" t="str">
            <v>BP010 (1L)</v>
          </cell>
          <cell r="O870" t="str">
            <v>Biopharma</v>
          </cell>
          <cell r="P870" t="str">
            <v>Q1 Passed</v>
          </cell>
          <cell r="Q870" t="str">
            <v>Q1 Passed</v>
          </cell>
          <cell r="R870" t="str">
            <v>Q1.5 Passed</v>
          </cell>
          <cell r="S870" t="str">
            <v>Q1.5 Rejected</v>
          </cell>
          <cell r="V870" t="str">
            <v>No tumor, only necrotic tissue</v>
          </cell>
          <cell r="W870" t="str">
            <v>Private Hospital</v>
          </cell>
          <cell r="X870" t="str">
            <v>Vydehi Hospital, Bangalore</v>
          </cell>
          <cell r="Y870" t="str">
            <v>Vydehi Hospital, Bangalore</v>
          </cell>
          <cell r="Z870" t="str">
            <v>Dr Amritha Prabha, Bangalore</v>
          </cell>
          <cell r="AA870" t="str">
            <v>RCC</v>
          </cell>
          <cell r="AC870" t="str">
            <v>Renal Mass</v>
          </cell>
          <cell r="AD870" t="str">
            <v>Right Renal Mass</v>
          </cell>
          <cell r="AE870" t="str">
            <v>Female</v>
          </cell>
          <cell r="AF870">
            <v>57</v>
          </cell>
          <cell r="AG870" t="str">
            <v>N</v>
          </cell>
          <cell r="AH870">
            <v>4.8</v>
          </cell>
          <cell r="AI870" t="str">
            <v>Partha</v>
          </cell>
          <cell r="AJ870" t="str">
            <v>Surgery</v>
          </cell>
          <cell r="AK870" t="str">
            <v>Primary</v>
          </cell>
          <cell r="AV870">
            <v>45315</v>
          </cell>
          <cell r="AW870">
            <v>0.81736111111111109</v>
          </cell>
          <cell r="AX870">
            <v>0.87777777777777777</v>
          </cell>
          <cell r="AY870">
            <v>6.0416666666666667E-2</v>
          </cell>
          <cell r="AZ870">
            <v>0.76180555555555551</v>
          </cell>
          <cell r="BA870">
            <v>0.19166666666666668</v>
          </cell>
          <cell r="BB870" t="str">
            <v>0.2/0,4*1.1/0.9*2.1/1.2</v>
          </cell>
          <cell r="BD870" t="str">
            <v>Manual</v>
          </cell>
          <cell r="BE870">
            <v>14</v>
          </cell>
          <cell r="BF870" t="str">
            <v>Syam</v>
          </cell>
          <cell r="BG870" t="str">
            <v>Y</v>
          </cell>
        </row>
        <row r="871">
          <cell r="A871" t="str">
            <v>FBR2A240037</v>
          </cell>
          <cell r="B871">
            <v>240037</v>
          </cell>
          <cell r="C871" t="str">
            <v>R&amp;D</v>
          </cell>
          <cell r="D871">
            <v>45316</v>
          </cell>
          <cell r="E871">
            <v>0.48958333333333331</v>
          </cell>
          <cell r="F871">
            <v>45292</v>
          </cell>
          <cell r="G871">
            <v>45316</v>
          </cell>
          <cell r="H871">
            <v>0.59722222222222221</v>
          </cell>
          <cell r="I871">
            <v>0.1076388888888889</v>
          </cell>
          <cell r="J871">
            <v>20</v>
          </cell>
          <cell r="K871" t="str">
            <v>FCB-PROTOCOL-02</v>
          </cell>
          <cell r="L871" t="str">
            <v>OC027</v>
          </cell>
          <cell r="M871" t="str">
            <v>Y</v>
          </cell>
          <cell r="N871" t="str">
            <v>Ovary CC (R2A)</v>
          </cell>
          <cell r="O871" t="str">
            <v>Internal R&amp;D</v>
          </cell>
          <cell r="P871" t="str">
            <v>Q1 Passed</v>
          </cell>
          <cell r="Q871" t="str">
            <v>Not Received</v>
          </cell>
          <cell r="R871" t="str">
            <v>Compromised</v>
          </cell>
          <cell r="S871" t="str">
            <v>Q1.5 Rejected</v>
          </cell>
          <cell r="T871" t="str">
            <v>Blood not collected</v>
          </cell>
          <cell r="V871" t="str">
            <v>No tumor</v>
          </cell>
          <cell r="W871" t="str">
            <v>Private Hospital</v>
          </cell>
          <cell r="X871" t="str">
            <v>Mazumdar Shaw Medical Centre, Bangalore</v>
          </cell>
          <cell r="Y871" t="str">
            <v>Mazumdar Shaw Medical Centre, Bangalore</v>
          </cell>
          <cell r="Z871" t="str">
            <v>Dr Rohit Ranade, Bangalore</v>
          </cell>
          <cell r="AA871" t="str">
            <v>Ca Ovary</v>
          </cell>
          <cell r="AC871" t="str">
            <v>Ovary</v>
          </cell>
          <cell r="AD871" t="str">
            <v>Right Ovary</v>
          </cell>
          <cell r="AE871" t="str">
            <v>Female</v>
          </cell>
          <cell r="AF871">
            <v>51</v>
          </cell>
          <cell r="AG871" t="str">
            <v>N</v>
          </cell>
          <cell r="AH871">
            <v>4.2</v>
          </cell>
          <cell r="AI871" t="str">
            <v>Kalappa</v>
          </cell>
          <cell r="AJ871" t="str">
            <v>Surgery</v>
          </cell>
          <cell r="AK871" t="str">
            <v>Primary</v>
          </cell>
          <cell r="AV871">
            <v>45316</v>
          </cell>
          <cell r="AW871">
            <v>0.61805555555555558</v>
          </cell>
          <cell r="AX871">
            <v>0.66666666666666663</v>
          </cell>
          <cell r="AY871">
            <v>4.8611111111111112E-2</v>
          </cell>
          <cell r="AZ871">
            <v>0.55902777777777779</v>
          </cell>
          <cell r="BA871">
            <v>0.17708333333333334</v>
          </cell>
          <cell r="BB871" t="str">
            <v>0.6*1.2*1.0/1.2</v>
          </cell>
          <cell r="BD871" t="str">
            <v>Manual</v>
          </cell>
          <cell r="BE871">
            <v>14</v>
          </cell>
          <cell r="BF871" t="str">
            <v>Pallavi</v>
          </cell>
          <cell r="BG871" t="str">
            <v>N</v>
          </cell>
        </row>
        <row r="872">
          <cell r="A872" t="str">
            <v>FBR1Y240038</v>
          </cell>
          <cell r="B872">
            <v>240038</v>
          </cell>
          <cell r="C872" t="str">
            <v>R&amp;D</v>
          </cell>
          <cell r="D872">
            <v>45316</v>
          </cell>
          <cell r="E872">
            <v>0.64930555555555558</v>
          </cell>
          <cell r="F872">
            <v>45292</v>
          </cell>
          <cell r="G872">
            <v>45316</v>
          </cell>
          <cell r="H872">
            <v>0.71527777777777779</v>
          </cell>
          <cell r="I872">
            <v>6.5972222222222224E-2</v>
          </cell>
          <cell r="J872">
            <v>5</v>
          </cell>
          <cell r="K872" t="str">
            <v>FCB-PROTOCOL-01</v>
          </cell>
          <cell r="L872" t="str">
            <v>VYD/248</v>
          </cell>
          <cell r="M872" t="str">
            <v>Y</v>
          </cell>
          <cell r="N872" t="str">
            <v>CCS Study (1Y)</v>
          </cell>
          <cell r="O872" t="str">
            <v>Internal R&amp;D</v>
          </cell>
          <cell r="P872" t="str">
            <v>Q1 Passed</v>
          </cell>
          <cell r="Q872" t="str">
            <v>Q1 Passed</v>
          </cell>
          <cell r="R872" t="str">
            <v>Q1.5 Passed</v>
          </cell>
          <cell r="S872" t="str">
            <v>Q1.5 Passed</v>
          </cell>
          <cell r="V872" t="str">
            <v>Tumor content 65-98%</v>
          </cell>
          <cell r="W872" t="str">
            <v>Private Hospital</v>
          </cell>
          <cell r="X872" t="str">
            <v>Vydehi Hospital, Bangalore</v>
          </cell>
          <cell r="Y872" t="str">
            <v>Vydehi Hospital, Bangalore</v>
          </cell>
          <cell r="Z872" t="str">
            <v>Dr Amritha Prabha, Bangalore</v>
          </cell>
          <cell r="AA872" t="str">
            <v>HNSCC</v>
          </cell>
          <cell r="AC872" t="str">
            <v>Buccal Mucosa</v>
          </cell>
          <cell r="AD872" t="str">
            <v>Left Buccal Mucosa</v>
          </cell>
          <cell r="AE872" t="str">
            <v>Female</v>
          </cell>
          <cell r="AF872">
            <v>59</v>
          </cell>
          <cell r="AG872" t="str">
            <v>N</v>
          </cell>
          <cell r="AH872">
            <v>4.5999999999999996</v>
          </cell>
          <cell r="AI872" t="str">
            <v>Maruthi</v>
          </cell>
          <cell r="AJ872" t="str">
            <v>Surgery</v>
          </cell>
          <cell r="AK872" t="str">
            <v>Primary</v>
          </cell>
          <cell r="AN872" t="str">
            <v>II</v>
          </cell>
          <cell r="AO872">
            <v>1</v>
          </cell>
          <cell r="AP872" t="str">
            <v>T2N0</v>
          </cell>
          <cell r="AS872" t="str">
            <v>SCC</v>
          </cell>
          <cell r="AV872">
            <v>45316</v>
          </cell>
          <cell r="AW872">
            <v>0.72569444444444442</v>
          </cell>
          <cell r="AX872">
            <v>0.77500000000000002</v>
          </cell>
          <cell r="AY872">
            <v>4.9305555555555554E-2</v>
          </cell>
          <cell r="AZ872">
            <v>0.70902777777777781</v>
          </cell>
          <cell r="BA872">
            <v>0.12569444444444444</v>
          </cell>
          <cell r="BB872" t="str">
            <v>0.6*0.7/0.4*1.4
0.6*0.8/1.2*2.2/1.7</v>
          </cell>
          <cell r="BD872" t="str">
            <v>Manual</v>
          </cell>
          <cell r="BE872">
            <v>14</v>
          </cell>
          <cell r="BF872" t="str">
            <v>Syam</v>
          </cell>
          <cell r="BG872" t="str">
            <v>Y</v>
          </cell>
        </row>
        <row r="873">
          <cell r="A873" t="str">
            <v>FBR2B240039</v>
          </cell>
          <cell r="B873">
            <v>240039</v>
          </cell>
          <cell r="C873" t="str">
            <v>R&amp;D</v>
          </cell>
          <cell r="D873">
            <v>45320</v>
          </cell>
          <cell r="E873">
            <v>0.49166666666666664</v>
          </cell>
          <cell r="F873">
            <v>45292</v>
          </cell>
          <cell r="G873">
            <v>45320</v>
          </cell>
          <cell r="H873">
            <v>0.58333333333333337</v>
          </cell>
          <cell r="I873">
            <v>9.166666666666666E-2</v>
          </cell>
          <cell r="J873">
            <v>0</v>
          </cell>
          <cell r="K873" t="str">
            <v>FCB-PROTOCOL-02</v>
          </cell>
          <cell r="L873" t="str">
            <v>OC028</v>
          </cell>
          <cell r="M873" t="str">
            <v>Y</v>
          </cell>
          <cell r="N873" t="str">
            <v>ovary Biopsy (2B)</v>
          </cell>
          <cell r="O873" t="str">
            <v>Internal R&amp;D</v>
          </cell>
          <cell r="P873" t="str">
            <v>Q1 Passed</v>
          </cell>
          <cell r="Q873" t="str">
            <v>Q1 Passed</v>
          </cell>
          <cell r="R873" t="str">
            <v>Q1.5 Passed</v>
          </cell>
          <cell r="S873" t="str">
            <v>Q1.5 Passed</v>
          </cell>
          <cell r="V873" t="str">
            <v>Tumor content 3-45%       Average tumor content 14%</v>
          </cell>
          <cell r="W873" t="str">
            <v>Private Hospital</v>
          </cell>
          <cell r="X873" t="str">
            <v>Mazumdar Shaw Medical Centre, Bangalore</v>
          </cell>
          <cell r="Y873" t="str">
            <v>Mazumdar Shaw Medical Centre, Bangalore</v>
          </cell>
          <cell r="Z873" t="str">
            <v>Dr Rohit Ranade, Bangalore</v>
          </cell>
          <cell r="AA873" t="str">
            <v>Ca Ovary</v>
          </cell>
          <cell r="AC873" t="str">
            <v>Ovary</v>
          </cell>
          <cell r="AD873" t="str">
            <v>Right Ovary</v>
          </cell>
          <cell r="AE873" t="str">
            <v>Female</v>
          </cell>
          <cell r="AF873">
            <v>46</v>
          </cell>
          <cell r="AG873" t="str">
            <v>N</v>
          </cell>
          <cell r="AH873">
            <v>4.8</v>
          </cell>
          <cell r="AI873" t="str">
            <v>Kalappa</v>
          </cell>
          <cell r="AJ873" t="str">
            <v>Biopsy</v>
          </cell>
          <cell r="AK873" t="str">
            <v>Primary</v>
          </cell>
          <cell r="AN873" t="str">
            <v>NA</v>
          </cell>
          <cell r="AO873" t="str">
            <v>NA</v>
          </cell>
          <cell r="AP873" t="str">
            <v>NA</v>
          </cell>
          <cell r="AS873" t="str">
            <v>Malignant epithelioid tumor</v>
          </cell>
          <cell r="AV873">
            <v>45320</v>
          </cell>
          <cell r="AW873">
            <v>0.6118055555555556</v>
          </cell>
          <cell r="AX873">
            <v>0.67013888888888884</v>
          </cell>
          <cell r="AY873">
            <v>5.8333333333333334E-2</v>
          </cell>
          <cell r="AZ873">
            <v>0.57847222222222228</v>
          </cell>
          <cell r="BA873">
            <v>0.17847222222222223</v>
          </cell>
          <cell r="BB873" t="str">
            <v>0.8*0.1*0.6
0.6*0.1*0.4</v>
          </cell>
          <cell r="BD873" t="str">
            <v>Manual</v>
          </cell>
          <cell r="BE873">
            <v>14</v>
          </cell>
          <cell r="BF873" t="str">
            <v>Pallavi</v>
          </cell>
          <cell r="BG873" t="str">
            <v>Y</v>
          </cell>
        </row>
        <row r="874">
          <cell r="A874" t="str">
            <v>FBR2A240040</v>
          </cell>
          <cell r="B874">
            <v>240040</v>
          </cell>
          <cell r="C874" t="str">
            <v>R&amp;D</v>
          </cell>
          <cell r="D874">
            <v>45320</v>
          </cell>
          <cell r="E874">
            <v>0.53819444444444442</v>
          </cell>
          <cell r="F874">
            <v>45292</v>
          </cell>
          <cell r="G874">
            <v>45320</v>
          </cell>
          <cell r="H874">
            <v>0.58333333333333337</v>
          </cell>
          <cell r="I874">
            <v>4.5138888888888888E-2</v>
          </cell>
          <cell r="J874">
            <v>3</v>
          </cell>
          <cell r="K874" t="str">
            <v>FCB-PROTOCOL-02</v>
          </cell>
          <cell r="L874" t="str">
            <v>OC029</v>
          </cell>
          <cell r="M874" t="str">
            <v>Y</v>
          </cell>
          <cell r="N874" t="str">
            <v>Ovary CC (R2A)</v>
          </cell>
          <cell r="O874" t="str">
            <v>Internal R&amp;D</v>
          </cell>
          <cell r="P874" t="str">
            <v>Q1 Passed</v>
          </cell>
          <cell r="Q874" t="str">
            <v>Q1 Passed</v>
          </cell>
          <cell r="R874" t="str">
            <v>Q1.5 Passed</v>
          </cell>
          <cell r="S874" t="str">
            <v>Q1.5 Rejected</v>
          </cell>
          <cell r="V874" t="str">
            <v>No tumor   Necrotic region</v>
          </cell>
          <cell r="W874" t="str">
            <v>Private Hospital</v>
          </cell>
          <cell r="X874" t="str">
            <v>Mazumdar Shaw Medical Centre, Bangalore</v>
          </cell>
          <cell r="Y874" t="str">
            <v>Mazumdar Shaw Medical Centre, Bangalore</v>
          </cell>
          <cell r="Z874" t="str">
            <v>Dr Rohit Ranade, Bangalore</v>
          </cell>
          <cell r="AA874" t="str">
            <v>Ca Ovary</v>
          </cell>
          <cell r="AC874" t="str">
            <v>Ovary</v>
          </cell>
          <cell r="AD874" t="str">
            <v>Left Ovary</v>
          </cell>
          <cell r="AE874" t="str">
            <v>Female</v>
          </cell>
          <cell r="AF874">
            <v>64</v>
          </cell>
          <cell r="AG874" t="str">
            <v>N</v>
          </cell>
          <cell r="AH874">
            <v>4.8</v>
          </cell>
          <cell r="AI874" t="str">
            <v>Kalappa</v>
          </cell>
          <cell r="AJ874" t="str">
            <v>Surgery</v>
          </cell>
          <cell r="AK874" t="str">
            <v>Primary</v>
          </cell>
          <cell r="AL874" t="str">
            <v>Chemotherapy</v>
          </cell>
          <cell r="AQ874">
            <v>3</v>
          </cell>
          <cell r="AR874" t="str">
            <v>Carboplatin+Paclitaxel+Bevacizumab</v>
          </cell>
          <cell r="AV874">
            <v>45320</v>
          </cell>
          <cell r="AW874">
            <v>0.60486111111111107</v>
          </cell>
          <cell r="AX874">
            <v>0.67013888888888884</v>
          </cell>
          <cell r="AY874">
            <v>6.5277777777777782E-2</v>
          </cell>
          <cell r="AZ874">
            <v>0.625</v>
          </cell>
          <cell r="BA874">
            <v>0.13194444444444445</v>
          </cell>
          <cell r="BB874" t="str">
            <v>0.2*0.6*1.6</v>
          </cell>
          <cell r="BD874" t="str">
            <v>Manual</v>
          </cell>
          <cell r="BE874">
            <v>14</v>
          </cell>
          <cell r="BF874" t="str">
            <v>Syam</v>
          </cell>
          <cell r="BG874" t="str">
            <v>Y</v>
          </cell>
        </row>
        <row r="875">
          <cell r="A875" t="str">
            <v>FBR1Y240041</v>
          </cell>
          <cell r="B875">
            <v>240041</v>
          </cell>
          <cell r="C875" t="str">
            <v>R&amp;D</v>
          </cell>
          <cell r="D875">
            <v>45321</v>
          </cell>
          <cell r="E875">
            <v>0.76875000000000004</v>
          </cell>
          <cell r="F875">
            <v>45292</v>
          </cell>
          <cell r="G875">
            <v>45321</v>
          </cell>
          <cell r="H875">
            <v>0.78472222222222221</v>
          </cell>
          <cell r="I875">
            <v>1.5972222222222221E-2</v>
          </cell>
          <cell r="J875">
            <v>1</v>
          </cell>
          <cell r="K875" t="str">
            <v>FCB-PROTOCOL-01</v>
          </cell>
          <cell r="L875" t="str">
            <v>CLN/PRA/250</v>
          </cell>
          <cell r="M875" t="str">
            <v>Y</v>
          </cell>
          <cell r="N875" t="str">
            <v>CCS Study (1Y)</v>
          </cell>
          <cell r="O875" t="str">
            <v>Internal R&amp;D</v>
          </cell>
          <cell r="P875" t="str">
            <v>Q1 Passed</v>
          </cell>
          <cell r="Q875" t="str">
            <v>Q1 Passed</v>
          </cell>
          <cell r="R875" t="str">
            <v>Q1.5 Passed</v>
          </cell>
          <cell r="S875" t="str">
            <v>Q1.5 Passed</v>
          </cell>
          <cell r="V875" t="str">
            <v>Tumor content 0-95%</v>
          </cell>
          <cell r="W875" t="str">
            <v>Private Hospital</v>
          </cell>
          <cell r="X875" t="str">
            <v>Dr Prakash BV, Bangalore</v>
          </cell>
          <cell r="Y875" t="str">
            <v>Sri Lakshmi Hospital, Bangalore</v>
          </cell>
          <cell r="Z875" t="str">
            <v>Dr Prakash BV, Bangalore</v>
          </cell>
          <cell r="AA875" t="str">
            <v>HNSCC</v>
          </cell>
          <cell r="AC875" t="str">
            <v>Lip</v>
          </cell>
          <cell r="AD875" t="str">
            <v>Left Upper Lip</v>
          </cell>
          <cell r="AE875" t="str">
            <v>Female</v>
          </cell>
          <cell r="AF875">
            <v>60</v>
          </cell>
          <cell r="AG875" t="str">
            <v>N</v>
          </cell>
          <cell r="AH875">
            <v>4.5999999999999996</v>
          </cell>
          <cell r="AI875" t="str">
            <v>Partha</v>
          </cell>
          <cell r="AJ875" t="str">
            <v>Surgery</v>
          </cell>
          <cell r="AK875" t="str">
            <v>Primary</v>
          </cell>
          <cell r="AN875" t="str">
            <v>III</v>
          </cell>
          <cell r="AO875" t="str">
            <v>II</v>
          </cell>
          <cell r="AP875" t="str">
            <v>pT2N0</v>
          </cell>
          <cell r="AS875" t="str">
            <v>SCC</v>
          </cell>
          <cell r="AV875">
            <v>45321</v>
          </cell>
          <cell r="AW875">
            <v>0.79513888888888884</v>
          </cell>
          <cell r="AX875">
            <v>0.85416666666666663</v>
          </cell>
          <cell r="AY875">
            <v>5.9027777777777776E-2</v>
          </cell>
          <cell r="AZ875">
            <v>0.83819444444444446</v>
          </cell>
          <cell r="BA875">
            <v>8.5416666666666669E-2</v>
          </cell>
          <cell r="BB875" t="str">
            <v>0.6/0.8*0.8/1.0*2.4</v>
          </cell>
          <cell r="BD875" t="str">
            <v>Manual</v>
          </cell>
          <cell r="BE875">
            <v>14</v>
          </cell>
          <cell r="BF875" t="str">
            <v>Syam</v>
          </cell>
          <cell r="BG875" t="str">
            <v>Y</v>
          </cell>
        </row>
        <row r="876">
          <cell r="A876" t="str">
            <v>FBR2F240041</v>
          </cell>
          <cell r="B876">
            <v>240041</v>
          </cell>
          <cell r="C876" t="str">
            <v>R&amp;D</v>
          </cell>
          <cell r="D876">
            <v>45321</v>
          </cell>
          <cell r="E876">
            <v>0.76875000000000004</v>
          </cell>
          <cell r="F876">
            <v>45292</v>
          </cell>
          <cell r="G876">
            <v>45321</v>
          </cell>
          <cell r="H876">
            <v>0.78472222222222221</v>
          </cell>
          <cell r="I876">
            <v>1.5972222222222221E-2</v>
          </cell>
          <cell r="J876">
            <v>1</v>
          </cell>
          <cell r="K876" t="str">
            <v>FCB-PROTOCOL-01</v>
          </cell>
          <cell r="L876" t="str">
            <v>CLN/PRA/250</v>
          </cell>
          <cell r="M876" t="str">
            <v>Y</v>
          </cell>
          <cell r="N876" t="str">
            <v>ECR (2F)</v>
          </cell>
          <cell r="O876" t="str">
            <v>Internal R&amp;D</v>
          </cell>
          <cell r="P876" t="str">
            <v>Q1 Passed</v>
          </cell>
          <cell r="Q876" t="str">
            <v>Q1 Passed</v>
          </cell>
          <cell r="R876" t="str">
            <v>Q1.5 Passed</v>
          </cell>
          <cell r="S876" t="str">
            <v>Q1.5 Passed</v>
          </cell>
          <cell r="V876" t="str">
            <v>Tumor content 0-95%</v>
          </cell>
          <cell r="W876" t="str">
            <v>Private Hospital</v>
          </cell>
          <cell r="X876" t="str">
            <v>Dr Prakash BV, Bangalore</v>
          </cell>
          <cell r="Y876" t="str">
            <v>Sri Lakshmi Hospital, Bangalore</v>
          </cell>
          <cell r="Z876" t="str">
            <v>Dr Prakash BV, Bangalore</v>
          </cell>
          <cell r="AA876" t="str">
            <v>HNSCC</v>
          </cell>
          <cell r="AC876" t="str">
            <v>Lip</v>
          </cell>
          <cell r="AD876" t="str">
            <v>Left Upper Lip</v>
          </cell>
          <cell r="AE876" t="str">
            <v>Female</v>
          </cell>
          <cell r="AF876">
            <v>60</v>
          </cell>
          <cell r="AG876" t="str">
            <v>N</v>
          </cell>
          <cell r="AH876">
            <v>4.5999999999999996</v>
          </cell>
          <cell r="AI876" t="str">
            <v>Partha</v>
          </cell>
          <cell r="AJ876" t="str">
            <v>Surgery</v>
          </cell>
          <cell r="AK876" t="str">
            <v>Primary</v>
          </cell>
          <cell r="AN876" t="str">
            <v>III</v>
          </cell>
          <cell r="AO876" t="str">
            <v>II</v>
          </cell>
          <cell r="AP876" t="str">
            <v>pT2N0</v>
          </cell>
          <cell r="AS876" t="str">
            <v>SCC</v>
          </cell>
          <cell r="AV876">
            <v>45324</v>
          </cell>
          <cell r="AX876">
            <v>0.68333333333333335</v>
          </cell>
          <cell r="AY876">
            <v>0.68333333333333335</v>
          </cell>
          <cell r="AZ876">
            <v>0.66736111111111107</v>
          </cell>
          <cell r="BB876" t="str">
            <v>0.6/0.8*0.8/1.0*2.4</v>
          </cell>
          <cell r="BD876" t="str">
            <v>Manual</v>
          </cell>
          <cell r="BE876">
            <v>14</v>
          </cell>
          <cell r="BF876" t="str">
            <v>Syam</v>
          </cell>
          <cell r="BG876" t="str">
            <v>Y</v>
          </cell>
        </row>
        <row r="877">
          <cell r="A877" t="str">
            <v>FBR1Q240042</v>
          </cell>
          <cell r="B877">
            <v>240042</v>
          </cell>
          <cell r="C877" t="str">
            <v>R&amp;D</v>
          </cell>
          <cell r="D877">
            <v>45321</v>
          </cell>
          <cell r="E877">
            <v>0.51041666666666663</v>
          </cell>
          <cell r="F877">
            <v>45292</v>
          </cell>
          <cell r="G877">
            <v>45321</v>
          </cell>
          <cell r="H877">
            <v>0.84722222222222221</v>
          </cell>
          <cell r="I877">
            <v>0.33680555555555558</v>
          </cell>
          <cell r="J877">
            <v>15</v>
          </cell>
          <cell r="K877" t="str">
            <v>FCB-PROTOCOL-01</v>
          </cell>
          <cell r="L877" t="str">
            <v>CLN/DBR/170</v>
          </cell>
          <cell r="M877" t="str">
            <v>Y</v>
          </cell>
          <cell r="N877" t="str">
            <v>COSv4.2_CaBR(1Q-Unknown)</v>
          </cell>
          <cell r="O877" t="str">
            <v>Internal R&amp;D</v>
          </cell>
          <cell r="P877" t="str">
            <v>Q1 Passed</v>
          </cell>
          <cell r="Q877" t="str">
            <v>Q1 Passed</v>
          </cell>
          <cell r="R877" t="str">
            <v>Q1.5 Passed</v>
          </cell>
          <cell r="S877" t="str">
            <v>Q1.5 Passed</v>
          </cell>
          <cell r="V877" t="str">
            <v>Tumor content 6-35%</v>
          </cell>
          <cell r="W877" t="str">
            <v>Private Hospital</v>
          </cell>
          <cell r="X877" t="str">
            <v>Clinic'les- DBR &amp; SK Hospital, Tirupati</v>
          </cell>
          <cell r="Y877" t="str">
            <v>DBR &amp; SK Hospital, Tirupati</v>
          </cell>
          <cell r="Z877" t="str">
            <v>Dr C Jayaprakash, Tirupati</v>
          </cell>
          <cell r="AA877" t="str">
            <v>Ca Breast</v>
          </cell>
          <cell r="AC877" t="str">
            <v>Breast</v>
          </cell>
          <cell r="AD877" t="str">
            <v>Right Breast</v>
          </cell>
          <cell r="AE877" t="str">
            <v>Female</v>
          </cell>
          <cell r="AF877">
            <v>48</v>
          </cell>
          <cell r="AG877" t="str">
            <v>N</v>
          </cell>
          <cell r="AH877">
            <v>5.2</v>
          </cell>
          <cell r="AI877" t="str">
            <v>Shashi</v>
          </cell>
          <cell r="AJ877" t="str">
            <v>Surgery</v>
          </cell>
          <cell r="AK877" t="str">
            <v>Primary</v>
          </cell>
          <cell r="AN877" t="str">
            <v>IIIC</v>
          </cell>
          <cell r="AO877">
            <v>2</v>
          </cell>
          <cell r="AP877" t="str">
            <v>T2 N3 MX</v>
          </cell>
          <cell r="AV877">
            <v>45321</v>
          </cell>
          <cell r="AW877">
            <v>0.86111111111111116</v>
          </cell>
          <cell r="AX877">
            <v>0.93055555555555558</v>
          </cell>
          <cell r="AY877">
            <v>6.9444444444444448E-2</v>
          </cell>
          <cell r="AZ877">
            <v>0.59375</v>
          </cell>
          <cell r="BA877">
            <v>0.4201388888888889</v>
          </cell>
          <cell r="BB877" t="str">
            <v>0.2/0.4*1.0/1.5*2.4/2.8</v>
          </cell>
          <cell r="BC877" t="str">
            <v>0.2/0.6*0.8/1.4*2.0/2.4</v>
          </cell>
          <cell r="BD877" t="str">
            <v>Manual</v>
          </cell>
          <cell r="BE877">
            <v>14</v>
          </cell>
          <cell r="BF877" t="str">
            <v xml:space="preserve">sai </v>
          </cell>
          <cell r="BG877" t="str">
            <v>N</v>
          </cell>
        </row>
        <row r="878">
          <cell r="A878" t="str">
            <v>FBR1Y240043</v>
          </cell>
          <cell r="B878">
            <v>240043</v>
          </cell>
          <cell r="C878" t="str">
            <v>R&amp;D</v>
          </cell>
          <cell r="D878">
            <v>45322</v>
          </cell>
          <cell r="E878">
            <v>0.53125</v>
          </cell>
          <cell r="F878">
            <v>45292</v>
          </cell>
          <cell r="G878">
            <v>45322</v>
          </cell>
          <cell r="H878">
            <v>0.62222222222222223</v>
          </cell>
          <cell r="I878">
            <v>9.0972222222222218E-2</v>
          </cell>
          <cell r="J878">
            <v>25</v>
          </cell>
          <cell r="K878" t="str">
            <v>FCB-PROTOCOL-02</v>
          </cell>
          <cell r="L878" t="str">
            <v>HN121</v>
          </cell>
          <cell r="M878" t="str">
            <v>Y</v>
          </cell>
          <cell r="N878" t="str">
            <v>CCS Study (1Y)</v>
          </cell>
          <cell r="O878" t="str">
            <v>Internal R&amp;D</v>
          </cell>
          <cell r="P878" t="str">
            <v>Q1 Passed</v>
          </cell>
          <cell r="Q878" t="str">
            <v>Q1 Passed</v>
          </cell>
          <cell r="R878" t="str">
            <v>Compromised</v>
          </cell>
          <cell r="S878" t="str">
            <v>Q1.5 Passed</v>
          </cell>
          <cell r="V878" t="str">
            <v>Tumor content 95-98%</v>
          </cell>
          <cell r="W878" t="str">
            <v>Private Hospital</v>
          </cell>
          <cell r="X878" t="str">
            <v>Mazumdar Shaw Medical Centre, Bangalore</v>
          </cell>
          <cell r="Y878" t="str">
            <v>Mazumdar Shaw Medical Centre, Bangalore</v>
          </cell>
          <cell r="Z878" t="str">
            <v>Dr Vijay Pillai, Bangalore</v>
          </cell>
          <cell r="AA878" t="str">
            <v>HNSCC</v>
          </cell>
          <cell r="AC878" t="str">
            <v>Buccal Mucosa</v>
          </cell>
          <cell r="AD878" t="str">
            <v>Left Buccal Mucosa</v>
          </cell>
          <cell r="AE878" t="str">
            <v>Female</v>
          </cell>
          <cell r="AF878">
            <v>67</v>
          </cell>
          <cell r="AG878" t="str">
            <v>N</v>
          </cell>
          <cell r="AH878">
            <v>4.8</v>
          </cell>
          <cell r="AI878" t="str">
            <v>Shashi</v>
          </cell>
          <cell r="AJ878" t="str">
            <v>Surgery</v>
          </cell>
          <cell r="AK878" t="str">
            <v>Primary</v>
          </cell>
          <cell r="AN878">
            <v>1</v>
          </cell>
          <cell r="AO878" t="str">
            <v>NA</v>
          </cell>
          <cell r="AP878" t="str">
            <v>pT1N0</v>
          </cell>
          <cell r="AS878" t="str">
            <v>Multifocal coventional scc arising in background of proliferative verrucous leukoplakia with moderate dysplasia</v>
          </cell>
          <cell r="AV878">
            <v>45322</v>
          </cell>
          <cell r="AW878">
            <v>0.63958333333333328</v>
          </cell>
          <cell r="AX878">
            <v>0.68263888888888891</v>
          </cell>
          <cell r="AY878">
            <v>4.3055555555555555E-2</v>
          </cell>
          <cell r="AZ878">
            <v>0.59166666666666667</v>
          </cell>
          <cell r="BA878">
            <v>0.15138888888888888</v>
          </cell>
          <cell r="BB878" t="str">
            <v>0.2/0.4*0.8/0.6*0.8</v>
          </cell>
          <cell r="BD878" t="str">
            <v>Manual</v>
          </cell>
          <cell r="BE878">
            <v>14</v>
          </cell>
          <cell r="BF878" t="str">
            <v>Kokila</v>
          </cell>
          <cell r="BG878" t="str">
            <v>Y</v>
          </cell>
        </row>
        <row r="879">
          <cell r="A879" t="str">
            <v>FBR2F240043</v>
          </cell>
          <cell r="B879">
            <v>240043</v>
          </cell>
          <cell r="C879" t="str">
            <v>R&amp;D</v>
          </cell>
          <cell r="D879">
            <v>45322</v>
          </cell>
          <cell r="E879">
            <v>0.53125</v>
          </cell>
          <cell r="F879">
            <v>45292</v>
          </cell>
          <cell r="G879">
            <v>45322</v>
          </cell>
          <cell r="H879">
            <v>0.62222222222222223</v>
          </cell>
          <cell r="I879">
            <v>9.0972222222222218E-2</v>
          </cell>
          <cell r="J879">
            <v>25</v>
          </cell>
          <cell r="K879" t="str">
            <v>FCB-PROTOCOL-02</v>
          </cell>
          <cell r="L879" t="str">
            <v>HN121</v>
          </cell>
          <cell r="M879" t="str">
            <v>Y</v>
          </cell>
          <cell r="N879" t="str">
            <v>ECR (2F)</v>
          </cell>
          <cell r="O879" t="str">
            <v>Internal R&amp;D</v>
          </cell>
          <cell r="P879" t="str">
            <v>Q1 Passed</v>
          </cell>
          <cell r="Q879" t="str">
            <v>Q1 Passed</v>
          </cell>
          <cell r="R879" t="str">
            <v>Compromised</v>
          </cell>
          <cell r="S879" t="str">
            <v>Q1.5 Passed</v>
          </cell>
          <cell r="V879" t="str">
            <v>Tumor content 95-98%</v>
          </cell>
          <cell r="W879" t="str">
            <v>Private Hospital</v>
          </cell>
          <cell r="X879" t="str">
            <v>Mazumdar Shaw Medical Centre, Bangalore</v>
          </cell>
          <cell r="Y879" t="str">
            <v>Mazumdar Shaw Medical Centre, Bangalore</v>
          </cell>
          <cell r="Z879" t="str">
            <v>Dr Vijay Pillai, Bangalore</v>
          </cell>
          <cell r="AA879" t="str">
            <v>HNSCC</v>
          </cell>
          <cell r="AC879" t="str">
            <v>Buccal Mucosa</v>
          </cell>
          <cell r="AD879" t="str">
            <v>Left Buccal Mucosa</v>
          </cell>
          <cell r="AE879" t="str">
            <v>Female</v>
          </cell>
          <cell r="AF879">
            <v>67</v>
          </cell>
          <cell r="AG879" t="str">
            <v>N</v>
          </cell>
          <cell r="AH879">
            <v>4.8</v>
          </cell>
          <cell r="AI879" t="str">
            <v>Shashi</v>
          </cell>
          <cell r="AJ879" t="str">
            <v>Surgery</v>
          </cell>
          <cell r="AK879" t="str">
            <v>Primary</v>
          </cell>
          <cell r="AN879">
            <v>1</v>
          </cell>
          <cell r="AO879" t="str">
            <v>NA</v>
          </cell>
          <cell r="AP879" t="str">
            <v>pT1N0</v>
          </cell>
          <cell r="AS879" t="str">
            <v>Multifocal coventional scc arising in background of proliferative verrucous leukoplakia with moderate dysplasia</v>
          </cell>
          <cell r="AV879">
            <v>45325</v>
          </cell>
          <cell r="AW879">
            <v>0.63958333333333328</v>
          </cell>
          <cell r="AX879">
            <v>0.67500000000000004</v>
          </cell>
          <cell r="AY879">
            <v>3.5416666666666666E-2</v>
          </cell>
          <cell r="AZ879">
            <v>0.58402777777777781</v>
          </cell>
          <cell r="BA879">
            <v>0.14374999999999999</v>
          </cell>
          <cell r="BB879" t="str">
            <v>0.2/0.4*0.8/0.6*0.8</v>
          </cell>
          <cell r="BD879" t="str">
            <v>Manual</v>
          </cell>
          <cell r="BE879">
            <v>14</v>
          </cell>
          <cell r="BF879" t="str">
            <v>Kokila</v>
          </cell>
          <cell r="BG879" t="str">
            <v>Y</v>
          </cell>
        </row>
        <row r="880">
          <cell r="A880" t="str">
            <v>FBR1Q240044</v>
          </cell>
          <cell r="B880">
            <v>240044</v>
          </cell>
          <cell r="C880" t="str">
            <v>R&amp;D</v>
          </cell>
          <cell r="D880">
            <v>45322</v>
          </cell>
          <cell r="E880">
            <v>0.51180555555555551</v>
          </cell>
          <cell r="F880">
            <v>45292</v>
          </cell>
          <cell r="G880">
            <v>45322</v>
          </cell>
          <cell r="H880">
            <v>0.63055555555555554</v>
          </cell>
          <cell r="I880">
            <v>0.11874999999999999</v>
          </cell>
          <cell r="J880">
            <v>3</v>
          </cell>
          <cell r="K880" t="str">
            <v>FCB-PROTOCOL-01</v>
          </cell>
          <cell r="L880" t="str">
            <v>VYD/249</v>
          </cell>
          <cell r="M880" t="str">
            <v>Y</v>
          </cell>
          <cell r="N880" t="str">
            <v>COSv4.1_CaBR(1Q-Known)</v>
          </cell>
          <cell r="O880" t="str">
            <v>Internal R&amp;D</v>
          </cell>
          <cell r="P880" t="str">
            <v>Q1 Passed</v>
          </cell>
          <cell r="Q880" t="str">
            <v>Q1 Passed</v>
          </cell>
          <cell r="R880" t="str">
            <v>Q1.5 Passed</v>
          </cell>
          <cell r="S880" t="str">
            <v>Q1.5 Passed</v>
          </cell>
          <cell r="V880" t="str">
            <v xml:space="preserve">Tumor content 0-4% </v>
          </cell>
          <cell r="W880" t="str">
            <v>Private Hospital</v>
          </cell>
          <cell r="X880" t="str">
            <v>Vydehi Hospital, Bangalore</v>
          </cell>
          <cell r="Y880" t="str">
            <v>Vydehi Hospital, Bangalore</v>
          </cell>
          <cell r="Z880" t="str">
            <v>Dr Amritha Prabha, Bangalore</v>
          </cell>
          <cell r="AA880" t="str">
            <v>Ca Breast</v>
          </cell>
          <cell r="AB880" t="str">
            <v>TPBC</v>
          </cell>
          <cell r="AC880" t="str">
            <v>Breast</v>
          </cell>
          <cell r="AD880" t="str">
            <v>Left Breast</v>
          </cell>
          <cell r="AE880" t="str">
            <v>Female</v>
          </cell>
          <cell r="AF880">
            <v>68</v>
          </cell>
          <cell r="AG880" t="str">
            <v>N</v>
          </cell>
          <cell r="AH880">
            <v>4.5</v>
          </cell>
          <cell r="AI880" t="str">
            <v>Kalappa</v>
          </cell>
          <cell r="AJ880" t="str">
            <v>Surgery</v>
          </cell>
          <cell r="AK880" t="str">
            <v>Primary</v>
          </cell>
          <cell r="AL880" t="str">
            <v>Chemotherapy</v>
          </cell>
          <cell r="AQ880">
            <v>6</v>
          </cell>
          <cell r="AR880" t="str">
            <v>Docetaxel, Carboplatin and Herceptin</v>
          </cell>
          <cell r="AV880">
            <v>45322</v>
          </cell>
          <cell r="AW880">
            <v>0.64236111111111116</v>
          </cell>
          <cell r="AX880">
            <v>0.6791666666666667</v>
          </cell>
          <cell r="AY880">
            <v>3.6805555555555557E-2</v>
          </cell>
          <cell r="AZ880">
            <v>0.56041666666666667</v>
          </cell>
          <cell r="BA880">
            <v>0.1673611111111111</v>
          </cell>
          <cell r="BB880" t="str">
            <v>0.6*0.4/1.0*1.5</v>
          </cell>
          <cell r="BC880" t="str">
            <v>0.4*1.0*1.2</v>
          </cell>
          <cell r="BD880" t="str">
            <v>Manual</v>
          </cell>
          <cell r="BE880">
            <v>14</v>
          </cell>
          <cell r="BF880" t="str">
            <v>Dharani</v>
          </cell>
          <cell r="BG880" t="str">
            <v>Y</v>
          </cell>
        </row>
        <row r="881">
          <cell r="A881" t="str">
            <v>FBR1Y240045</v>
          </cell>
          <cell r="B881">
            <v>240045</v>
          </cell>
          <cell r="C881" t="str">
            <v>R&amp;D</v>
          </cell>
          <cell r="D881">
            <v>45322</v>
          </cell>
          <cell r="E881">
            <v>0.75902777777777775</v>
          </cell>
          <cell r="F881">
            <v>45292</v>
          </cell>
          <cell r="G881">
            <v>45322</v>
          </cell>
          <cell r="H881">
            <v>0.82361111111111107</v>
          </cell>
          <cell r="I881">
            <v>6.458333333333334E-2</v>
          </cell>
          <cell r="J881">
            <v>2</v>
          </cell>
          <cell r="K881" t="str">
            <v>FCB-PROTOCOL-01</v>
          </cell>
          <cell r="L881" t="str">
            <v>CLN/PRA/251</v>
          </cell>
          <cell r="M881" t="str">
            <v>Y</v>
          </cell>
          <cell r="N881" t="str">
            <v>CCS Study (1Y)</v>
          </cell>
          <cell r="O881" t="str">
            <v>Internal R&amp;D</v>
          </cell>
          <cell r="P881" t="str">
            <v>Q1 Passed</v>
          </cell>
          <cell r="Q881" t="str">
            <v>Q1 Passed</v>
          </cell>
          <cell r="R881" t="str">
            <v>Q1.5 Passed</v>
          </cell>
          <cell r="S881" t="str">
            <v>Q1.5 Passed</v>
          </cell>
          <cell r="V881" t="str">
            <v>Tumor content 12-80%</v>
          </cell>
          <cell r="W881" t="str">
            <v>Private Hospital</v>
          </cell>
          <cell r="X881" t="str">
            <v>Dr Prakash BV, Bangalore</v>
          </cell>
          <cell r="Y881" t="str">
            <v>Sri Lakshmi Hospital, Bangalore</v>
          </cell>
          <cell r="Z881" t="str">
            <v>Dr Prakash BV, Bangalore</v>
          </cell>
          <cell r="AA881" t="str">
            <v>HNSCC</v>
          </cell>
          <cell r="AC881" t="str">
            <v>Lip</v>
          </cell>
          <cell r="AD881" t="str">
            <v>Lower Lip</v>
          </cell>
          <cell r="AE881" t="str">
            <v>Male</v>
          </cell>
          <cell r="AF881">
            <v>65</v>
          </cell>
          <cell r="AG881" t="str">
            <v>N</v>
          </cell>
          <cell r="AH881">
            <v>4.3</v>
          </cell>
          <cell r="AI881" t="str">
            <v>Partha</v>
          </cell>
          <cell r="AJ881" t="str">
            <v>Surgery</v>
          </cell>
          <cell r="AK881" t="str">
            <v>Primary</v>
          </cell>
          <cell r="AN881" t="str">
            <v>III</v>
          </cell>
          <cell r="AO881">
            <v>3</v>
          </cell>
          <cell r="AP881" t="str">
            <v>pT3N0</v>
          </cell>
          <cell r="AV881">
            <v>45322</v>
          </cell>
          <cell r="AW881">
            <v>0.83333333333333337</v>
          </cell>
          <cell r="AX881">
            <v>0.8881944444444444</v>
          </cell>
          <cell r="AY881">
            <v>5.486111111111111E-2</v>
          </cell>
          <cell r="AZ881">
            <v>0.82361111111111107</v>
          </cell>
          <cell r="BA881">
            <v>0.12916666666666668</v>
          </cell>
          <cell r="BB881" t="str">
            <v>0.8*0.6/1.8*2.8</v>
          </cell>
          <cell r="BD881" t="str">
            <v>Manual</v>
          </cell>
          <cell r="BE881">
            <v>14</v>
          </cell>
          <cell r="BF881" t="str">
            <v>Dharani</v>
          </cell>
          <cell r="BG881" t="str">
            <v>Y</v>
          </cell>
        </row>
        <row r="882">
          <cell r="A882" t="str">
            <v>FBR2F240045</v>
          </cell>
          <cell r="B882">
            <v>240045</v>
          </cell>
          <cell r="C882" t="str">
            <v>R&amp;D</v>
          </cell>
          <cell r="D882">
            <v>45322</v>
          </cell>
          <cell r="E882">
            <v>0.75902777777777775</v>
          </cell>
          <cell r="F882">
            <v>45292</v>
          </cell>
          <cell r="G882">
            <v>45322</v>
          </cell>
          <cell r="H882">
            <v>0.82361111111111107</v>
          </cell>
          <cell r="I882">
            <v>6.458333333333334E-2</v>
          </cell>
          <cell r="J882">
            <v>2</v>
          </cell>
          <cell r="K882" t="str">
            <v>FCB-PROTOCOL-01</v>
          </cell>
          <cell r="L882" t="str">
            <v>CLN/PRA/251</v>
          </cell>
          <cell r="M882" t="str">
            <v>Y</v>
          </cell>
          <cell r="N882" t="str">
            <v>ECR (2F)</v>
          </cell>
          <cell r="O882" t="str">
            <v>Internal R&amp;D</v>
          </cell>
          <cell r="P882" t="str">
            <v>Q1 Passed</v>
          </cell>
          <cell r="Q882" t="str">
            <v>Q1 Passed</v>
          </cell>
          <cell r="R882" t="str">
            <v>Q1.5 Passed</v>
          </cell>
          <cell r="S882" t="str">
            <v>Q1.5 Passed</v>
          </cell>
          <cell r="V882" t="str">
            <v>Tumor content 12-80%</v>
          </cell>
          <cell r="W882" t="str">
            <v>Private Hospital</v>
          </cell>
          <cell r="X882" t="str">
            <v>Dr Prakash BV, Bangalore</v>
          </cell>
          <cell r="Y882" t="str">
            <v>Sri Lakshmi Hospital, Bangalore</v>
          </cell>
          <cell r="Z882" t="str">
            <v>Dr Prakash BV, Bangalore</v>
          </cell>
          <cell r="AA882" t="str">
            <v>HNSCC</v>
          </cell>
          <cell r="AC882" t="str">
            <v>Lip</v>
          </cell>
          <cell r="AD882" t="str">
            <v>Lower Lip</v>
          </cell>
          <cell r="AE882" t="str">
            <v>Male</v>
          </cell>
          <cell r="AF882">
            <v>65</v>
          </cell>
          <cell r="AG882" t="str">
            <v>N</v>
          </cell>
          <cell r="AH882">
            <v>4.3</v>
          </cell>
          <cell r="AI882" t="str">
            <v>Partha</v>
          </cell>
          <cell r="AJ882" t="str">
            <v>Surgery</v>
          </cell>
          <cell r="AK882" t="str">
            <v>Primary</v>
          </cell>
          <cell r="AN882" t="str">
            <v>III</v>
          </cell>
          <cell r="AO882">
            <v>3</v>
          </cell>
          <cell r="AP882" t="str">
            <v>pT3N0</v>
          </cell>
          <cell r="AV882">
            <v>45325</v>
          </cell>
          <cell r="AX882">
            <v>0.60138888888888886</v>
          </cell>
          <cell r="AY882">
            <v>0.60138888888888886</v>
          </cell>
          <cell r="AZ882">
            <v>0.53680555555555554</v>
          </cell>
          <cell r="BB882" t="str">
            <v>0.8*0.6/1.8*2.8</v>
          </cell>
          <cell r="BD882" t="str">
            <v>Manual</v>
          </cell>
          <cell r="BE882">
            <v>14</v>
          </cell>
          <cell r="BF882" t="str">
            <v>Dharani</v>
          </cell>
          <cell r="BG882" t="str">
            <v>Y</v>
          </cell>
        </row>
        <row r="883">
          <cell r="A883" t="str">
            <v>FBR2A240046</v>
          </cell>
          <cell r="B883">
            <v>240046</v>
          </cell>
          <cell r="C883" t="str">
            <v>R&amp;D</v>
          </cell>
          <cell r="D883">
            <v>45323</v>
          </cell>
          <cell r="E883">
            <v>0.55000000000000004</v>
          </cell>
          <cell r="F883">
            <v>45323</v>
          </cell>
          <cell r="G883">
            <v>45323</v>
          </cell>
          <cell r="H883">
            <v>0.6430555555555556</v>
          </cell>
          <cell r="I883">
            <v>9.3055555555555558E-2</v>
          </cell>
          <cell r="J883">
            <v>0</v>
          </cell>
          <cell r="K883" t="str">
            <v>FCB-PROTOCOL-02</v>
          </cell>
          <cell r="L883" t="str">
            <v>OC030</v>
          </cell>
          <cell r="M883" t="str">
            <v>Y</v>
          </cell>
          <cell r="N883" t="str">
            <v>Ovary CC (R2A)</v>
          </cell>
          <cell r="O883" t="str">
            <v>Internal R&amp;D</v>
          </cell>
          <cell r="P883" t="str">
            <v>Q1 Passed</v>
          </cell>
          <cell r="Q883" t="str">
            <v>Q1 Passed</v>
          </cell>
          <cell r="R883" t="str">
            <v>Q1.5 Passed</v>
          </cell>
          <cell r="S883" t="str">
            <v>Q1.5 Rejected</v>
          </cell>
          <cell r="V883" t="str">
            <v>Psammoma bodies seen, occassional residual tumor cell?(Less than 2%). No frank tumor</v>
          </cell>
          <cell r="W883" t="str">
            <v>Private Hospital</v>
          </cell>
          <cell r="X883" t="str">
            <v>Mazumdar Shaw Medical Centre, Bangalore</v>
          </cell>
          <cell r="Y883" t="str">
            <v>Mazumdar Shaw Medical Centre, Bangalore</v>
          </cell>
          <cell r="Z883" t="str">
            <v>Dr Rohit Ranade, Bangalore</v>
          </cell>
          <cell r="AA883" t="str">
            <v>Ca Ovary</v>
          </cell>
          <cell r="AC883" t="str">
            <v>Ovary</v>
          </cell>
          <cell r="AD883" t="str">
            <v>Left Ovary</v>
          </cell>
          <cell r="AE883" t="str">
            <v>Female</v>
          </cell>
          <cell r="AF883">
            <v>59</v>
          </cell>
          <cell r="AG883" t="str">
            <v>N</v>
          </cell>
          <cell r="AH883">
            <v>4.5</v>
          </cell>
          <cell r="AI883" t="str">
            <v>Partha</v>
          </cell>
          <cell r="AJ883" t="str">
            <v>Surgery</v>
          </cell>
          <cell r="AK883" t="str">
            <v>Primary</v>
          </cell>
          <cell r="AL883" t="str">
            <v>Chemotherapy</v>
          </cell>
          <cell r="AQ883">
            <v>6</v>
          </cell>
          <cell r="AR883" t="str">
            <v>Paclitaxel + Carboplatin</v>
          </cell>
          <cell r="AV883">
            <v>45323</v>
          </cell>
          <cell r="AW883">
            <v>0.67013888888888884</v>
          </cell>
          <cell r="AX883">
            <v>0.72152777777777777</v>
          </cell>
          <cell r="AY883">
            <v>5.1388888888888887E-2</v>
          </cell>
          <cell r="AZ883">
            <v>0.62847222222222221</v>
          </cell>
          <cell r="BA883">
            <v>0.17152777777777778</v>
          </cell>
          <cell r="BB883" t="str">
            <v>0.2/0.4*0.4*1.2</v>
          </cell>
          <cell r="BD883" t="str">
            <v>Manual</v>
          </cell>
          <cell r="BE883">
            <v>15</v>
          </cell>
          <cell r="BF883" t="str">
            <v>Syam</v>
          </cell>
          <cell r="BG883" t="str">
            <v>Y</v>
          </cell>
        </row>
        <row r="884">
          <cell r="A884" t="str">
            <v>FBB1L240047</v>
          </cell>
          <cell r="B884">
            <v>240047</v>
          </cell>
          <cell r="C884" t="str">
            <v>Biopharma</v>
          </cell>
          <cell r="D884">
            <v>45323</v>
          </cell>
          <cell r="E884">
            <v>0.74097222222222225</v>
          </cell>
          <cell r="F884">
            <v>45323</v>
          </cell>
          <cell r="G884">
            <v>45323</v>
          </cell>
          <cell r="H884">
            <v>0.76597222222222228</v>
          </cell>
          <cell r="I884">
            <v>2.5000000000000001E-2</v>
          </cell>
          <cell r="J884">
            <v>1</v>
          </cell>
          <cell r="K884" t="str">
            <v>FCB-PROTOCOL-01</v>
          </cell>
          <cell r="L884" t="str">
            <v>CLN/PRA/252</v>
          </cell>
          <cell r="M884" t="str">
            <v>Y</v>
          </cell>
          <cell r="N884" t="str">
            <v>BP010 (1L)</v>
          </cell>
          <cell r="O884" t="str">
            <v>Biopharma</v>
          </cell>
          <cell r="P884" t="str">
            <v>Q1 Passed</v>
          </cell>
          <cell r="Q884" t="str">
            <v>Q1 Passed</v>
          </cell>
          <cell r="R884" t="str">
            <v>Q1.5 Passed</v>
          </cell>
          <cell r="S884" t="str">
            <v>Q1.5 Rejected</v>
          </cell>
          <cell r="V884" t="str">
            <v>No tumor .Normal and necrosed renal tissue</v>
          </cell>
          <cell r="W884" t="str">
            <v>Private Hospital</v>
          </cell>
          <cell r="X884" t="str">
            <v>Dr Prakash BV, Bangalore</v>
          </cell>
          <cell r="Y884" t="str">
            <v>Sri Lakshmi Hospital, Bangalore</v>
          </cell>
          <cell r="Z884" t="str">
            <v>Dr Prakash BV, Bangalore</v>
          </cell>
          <cell r="AA884" t="str">
            <v>RCC</v>
          </cell>
          <cell r="AC884" t="str">
            <v>Renal Mass</v>
          </cell>
          <cell r="AD884" t="str">
            <v>Left Renal Mass</v>
          </cell>
          <cell r="AE884" t="str">
            <v>Female</v>
          </cell>
          <cell r="AF884">
            <v>50</v>
          </cell>
          <cell r="AG884" t="str">
            <v>N</v>
          </cell>
          <cell r="AH884">
            <v>4.2</v>
          </cell>
          <cell r="AI884" t="str">
            <v>Kalappa</v>
          </cell>
          <cell r="AJ884" t="str">
            <v>Surgery</v>
          </cell>
          <cell r="AK884" t="str">
            <v>Primary</v>
          </cell>
          <cell r="AN884" t="str">
            <v>II</v>
          </cell>
          <cell r="AP884" t="str">
            <v>pT2 N0 M0</v>
          </cell>
          <cell r="AV884">
            <v>45323</v>
          </cell>
          <cell r="AW884">
            <v>0.77847222222222223</v>
          </cell>
          <cell r="AX884">
            <v>0.8354166666666667</v>
          </cell>
          <cell r="AY884">
            <v>5.6944444444444443E-2</v>
          </cell>
          <cell r="AZ884">
            <v>0.81041666666666667</v>
          </cell>
          <cell r="BA884">
            <v>9.4444444444444442E-2</v>
          </cell>
          <cell r="BB884" t="str">
            <v>0.4*0.8/1.4*3.8</v>
          </cell>
          <cell r="BD884" t="str">
            <v>Manual</v>
          </cell>
          <cell r="BE884">
            <v>15</v>
          </cell>
          <cell r="BF884" t="str">
            <v>Dharani</v>
          </cell>
          <cell r="BG884" t="str">
            <v>Y</v>
          </cell>
        </row>
        <row r="885">
          <cell r="A885" t="str">
            <v>FBR1Q240048</v>
          </cell>
          <cell r="B885">
            <v>240048</v>
          </cell>
          <cell r="C885" t="str">
            <v>R&amp;D</v>
          </cell>
          <cell r="D885">
            <v>45323</v>
          </cell>
          <cell r="E885">
            <v>0.48958333333333331</v>
          </cell>
          <cell r="F885">
            <v>45323</v>
          </cell>
          <cell r="G885">
            <v>45323</v>
          </cell>
          <cell r="H885">
            <v>0.87222222222222223</v>
          </cell>
          <cell r="I885">
            <v>0.38263888888888886</v>
          </cell>
          <cell r="J885">
            <v>25</v>
          </cell>
          <cell r="K885" t="str">
            <v>FCB-PROTOCOL-01</v>
          </cell>
          <cell r="L885" t="str">
            <v>CLN/DBR/171</v>
          </cell>
          <cell r="M885" t="str">
            <v>Y</v>
          </cell>
          <cell r="N885" t="str">
            <v>COSv4.1_CaBR(1Q-Known)</v>
          </cell>
          <cell r="O885" t="str">
            <v>Internal R&amp;D</v>
          </cell>
          <cell r="P885" t="str">
            <v>Q1 Passed</v>
          </cell>
          <cell r="Q885" t="str">
            <v>Q1 Passed</v>
          </cell>
          <cell r="R885" t="str">
            <v>Q1.5 Passed</v>
          </cell>
          <cell r="S885" t="str">
            <v>Q1.5 Passed</v>
          </cell>
          <cell r="V885" t="str">
            <v>Only 2 fragments have tumor1% and 10%. Others no tumor .Average tumor content 2%</v>
          </cell>
          <cell r="W885" t="str">
            <v>Private Hospital</v>
          </cell>
          <cell r="X885" t="str">
            <v>Clinic'les- DBR &amp; SK Hospital, Tirupati</v>
          </cell>
          <cell r="Y885" t="str">
            <v>DBR &amp; SK Hospital, Tirupati</v>
          </cell>
          <cell r="Z885" t="str">
            <v>Dr C Jayaprakash, Tirupati</v>
          </cell>
          <cell r="AA885" t="str">
            <v>Ca Breast</v>
          </cell>
          <cell r="AB885" t="str">
            <v xml:space="preserve">ER  -
PR -
Her 2 + </v>
          </cell>
          <cell r="AC885" t="str">
            <v>Breast</v>
          </cell>
          <cell r="AD885" t="str">
            <v>Right Breast</v>
          </cell>
          <cell r="AE885" t="str">
            <v>Female</v>
          </cell>
          <cell r="AF885">
            <v>65</v>
          </cell>
          <cell r="AG885" t="str">
            <v>N</v>
          </cell>
          <cell r="AH885">
            <v>4.5</v>
          </cell>
          <cell r="AI885" t="str">
            <v>Shashi</v>
          </cell>
          <cell r="AJ885" t="str">
            <v>Surgery</v>
          </cell>
          <cell r="AK885" t="str">
            <v>Local Recurrent</v>
          </cell>
          <cell r="AL885" t="str">
            <v>Surgery</v>
          </cell>
          <cell r="AN885" t="str">
            <v>IIB</v>
          </cell>
          <cell r="AO885">
            <v>2</v>
          </cell>
          <cell r="AP885" t="str">
            <v>T2 N0 MX</v>
          </cell>
          <cell r="AV885">
            <v>45324</v>
          </cell>
          <cell r="AW885">
            <v>0.34097222222222223</v>
          </cell>
          <cell r="AX885">
            <v>0.41319444444444442</v>
          </cell>
          <cell r="AY885">
            <v>7.2222222222222215E-2</v>
          </cell>
          <cell r="AZ885">
            <v>3.0555555555555555E-2</v>
          </cell>
          <cell r="BA885">
            <v>0.92361111111111116</v>
          </cell>
          <cell r="BB885" t="str">
            <v>0.2/0.4*0.6*2.8
0.4/1.0*0.8*2.8</v>
          </cell>
          <cell r="BC885" t="str">
            <v>0.4*0.6*2.8
0.2/1.0*0.6*2.8</v>
          </cell>
          <cell r="BD885" t="str">
            <v>Manual</v>
          </cell>
          <cell r="BE885">
            <v>15</v>
          </cell>
          <cell r="BF885" t="str">
            <v>Kokila</v>
          </cell>
          <cell r="BG885" t="str">
            <v>Y</v>
          </cell>
        </row>
        <row r="886">
          <cell r="A886" t="str">
            <v>FBR1Y240049</v>
          </cell>
          <cell r="B886">
            <v>240049</v>
          </cell>
          <cell r="C886" t="str">
            <v>R&amp;D</v>
          </cell>
          <cell r="D886">
            <v>45324</v>
          </cell>
          <cell r="E886">
            <v>0.34027777777777779</v>
          </cell>
          <cell r="F886">
            <v>45323</v>
          </cell>
          <cell r="G886">
            <v>45324</v>
          </cell>
          <cell r="H886">
            <v>0.36944444444444446</v>
          </cell>
          <cell r="I886">
            <v>2.9166666666666667E-2</v>
          </cell>
          <cell r="J886">
            <v>1</v>
          </cell>
          <cell r="K886" t="str">
            <v>FCB-PROTOCOL-01</v>
          </cell>
          <cell r="L886" t="str">
            <v>CLN/PRA/253</v>
          </cell>
          <cell r="M886" t="str">
            <v>Y</v>
          </cell>
          <cell r="N886" t="str">
            <v>CCS Study (1Y)</v>
          </cell>
          <cell r="O886" t="str">
            <v>Internal R&amp;D</v>
          </cell>
          <cell r="P886" t="str">
            <v>Q1 Passed</v>
          </cell>
          <cell r="Q886" t="str">
            <v>Q1 Passed</v>
          </cell>
          <cell r="R886" t="str">
            <v>Q1.5 Passed</v>
          </cell>
          <cell r="S886" t="str">
            <v>Q1.5 Passed</v>
          </cell>
          <cell r="V886" t="str">
            <v>A: Tumor content 0-80% .Average tumor content:35%</v>
          </cell>
          <cell r="W886" t="str">
            <v>Private Hospital</v>
          </cell>
          <cell r="X886" t="str">
            <v>Dr Prakash BV, Bangalore</v>
          </cell>
          <cell r="Y886" t="str">
            <v>Sri Lakshmi Hospital, Bangalore</v>
          </cell>
          <cell r="Z886" t="str">
            <v>Dr Prakash BV, Bangalore</v>
          </cell>
          <cell r="AA886" t="str">
            <v>HNSCC</v>
          </cell>
          <cell r="AC886" t="str">
            <v>GBS</v>
          </cell>
          <cell r="AD886" t="str">
            <v>Right GBS</v>
          </cell>
          <cell r="AE886" t="str">
            <v>Female</v>
          </cell>
          <cell r="AF886">
            <v>55</v>
          </cell>
          <cell r="AG886" t="str">
            <v>N</v>
          </cell>
          <cell r="AH886">
            <v>4.5</v>
          </cell>
          <cell r="AI886" t="str">
            <v>Kalappa</v>
          </cell>
          <cell r="AJ886" t="str">
            <v>Surgery</v>
          </cell>
          <cell r="AK886" t="str">
            <v>Primary</v>
          </cell>
          <cell r="AN886" t="str">
            <v>II</v>
          </cell>
          <cell r="AO886">
            <v>2</v>
          </cell>
          <cell r="AP886" t="str">
            <v>pT2N0</v>
          </cell>
          <cell r="AV886">
            <v>45324</v>
          </cell>
          <cell r="AW886">
            <v>0.41319444444444442</v>
          </cell>
          <cell r="AX886">
            <v>0.54861111111111116</v>
          </cell>
          <cell r="AY886">
            <v>0.13541666666666666</v>
          </cell>
          <cell r="AZ886">
            <v>0.51944444444444449</v>
          </cell>
          <cell r="BA886">
            <v>0.20833333333333334</v>
          </cell>
          <cell r="BB886" t="str">
            <v>0.4*0.6/0.4*1.6
0.4/1.0*0.8/1.2*1.0/1.2
0.4*0.4/0.7*1.2</v>
          </cell>
          <cell r="BD886" t="str">
            <v>Vibratome</v>
          </cell>
          <cell r="BE886">
            <v>15</v>
          </cell>
          <cell r="BF886" t="str">
            <v>Kowshik</v>
          </cell>
          <cell r="BG886" t="str">
            <v>Y</v>
          </cell>
        </row>
        <row r="887">
          <cell r="A887" t="str">
            <v>FBR1Q240050</v>
          </cell>
          <cell r="B887">
            <v>240050</v>
          </cell>
          <cell r="C887" t="str">
            <v>R&amp;D</v>
          </cell>
          <cell r="D887">
            <v>45324</v>
          </cell>
          <cell r="E887">
            <v>0.50486111111111109</v>
          </cell>
          <cell r="F887">
            <v>45323</v>
          </cell>
          <cell r="G887">
            <v>45324</v>
          </cell>
          <cell r="H887">
            <v>0.59513888888888888</v>
          </cell>
          <cell r="I887">
            <v>9.0277777777777776E-2</v>
          </cell>
          <cell r="J887">
            <v>2</v>
          </cell>
          <cell r="K887" t="str">
            <v>FCB-PROTOCOL-01</v>
          </cell>
          <cell r="L887" t="str">
            <v>VYD/250</v>
          </cell>
          <cell r="M887" t="str">
            <v>Y</v>
          </cell>
          <cell r="N887" t="str">
            <v>COSv4.1_CaBR(1Q-Known)</v>
          </cell>
          <cell r="O887" t="str">
            <v>Internal R&amp;D</v>
          </cell>
          <cell r="P887" t="str">
            <v>Q1 Passed</v>
          </cell>
          <cell r="Q887" t="str">
            <v>Q1 Passed</v>
          </cell>
          <cell r="R887" t="str">
            <v>Q1.5 Passed</v>
          </cell>
          <cell r="S887" t="str">
            <v>Q1.5 Rejected</v>
          </cell>
          <cell r="V887" t="str">
            <v>No tumor</v>
          </cell>
          <cell r="W887" t="str">
            <v>Private Hospital</v>
          </cell>
          <cell r="X887" t="str">
            <v>Vydehi Hospital, Bangalore</v>
          </cell>
          <cell r="Y887" t="str">
            <v>Vydehi Hospital, Bangalore</v>
          </cell>
          <cell r="Z887" t="str">
            <v>Dr Amritha Prabha, Bangalore</v>
          </cell>
          <cell r="AA887" t="str">
            <v>Ca Breast</v>
          </cell>
          <cell r="AB887" t="str">
            <v>TPBC</v>
          </cell>
          <cell r="AC887" t="str">
            <v>Breast</v>
          </cell>
          <cell r="AD887" t="str">
            <v>Left Breast</v>
          </cell>
          <cell r="AE887" t="str">
            <v>Female</v>
          </cell>
          <cell r="AF887">
            <v>53</v>
          </cell>
          <cell r="AG887" t="str">
            <v>N</v>
          </cell>
          <cell r="AH887">
            <v>4.3</v>
          </cell>
          <cell r="AI887" t="str">
            <v>Partha</v>
          </cell>
          <cell r="AJ887" t="str">
            <v>Surgery</v>
          </cell>
          <cell r="AK887" t="str">
            <v>Primary</v>
          </cell>
          <cell r="AL887" t="str">
            <v>Chemotherapy</v>
          </cell>
          <cell r="AQ887">
            <v>6</v>
          </cell>
          <cell r="AR887" t="str">
            <v>Docetaxel, Carboplatin and trastuzumab</v>
          </cell>
          <cell r="AV887">
            <v>45324</v>
          </cell>
          <cell r="AW887">
            <v>0.66249999999999998</v>
          </cell>
          <cell r="AX887">
            <v>0.6875</v>
          </cell>
          <cell r="AY887">
            <v>2.5000000000000001E-2</v>
          </cell>
          <cell r="AZ887">
            <v>0.59722222222222221</v>
          </cell>
          <cell r="BA887">
            <v>0.18263888888888888</v>
          </cell>
          <cell r="BB887" t="str">
            <v>1.0/1.2*1.0/0.7*2.8/3.0</v>
          </cell>
          <cell r="BC887" t="str">
            <v>1.0*2.2/2.4*2.0</v>
          </cell>
          <cell r="BD887" t="str">
            <v>Manual</v>
          </cell>
          <cell r="BE887">
            <v>15</v>
          </cell>
          <cell r="BF887" t="str">
            <v>Pallavi</v>
          </cell>
          <cell r="BG887" t="str">
            <v>N</v>
          </cell>
        </row>
        <row r="888">
          <cell r="A888" t="str">
            <v>FBR2J240051</v>
          </cell>
          <cell r="B888">
            <v>240051</v>
          </cell>
          <cell r="C888" t="str">
            <v>R&amp;D</v>
          </cell>
          <cell r="D888">
            <v>45324</v>
          </cell>
          <cell r="E888">
            <v>0.58819444444444446</v>
          </cell>
          <cell r="F888">
            <v>45323</v>
          </cell>
          <cell r="G888">
            <v>45324</v>
          </cell>
          <cell r="H888">
            <v>0.6381944444444444</v>
          </cell>
          <cell r="I888">
            <v>0.05</v>
          </cell>
          <cell r="J888">
            <v>1</v>
          </cell>
          <cell r="K888" t="str">
            <v>FCB-PROTOCOL-01</v>
          </cell>
          <cell r="L888" t="str">
            <v>CLN/PRA/254</v>
          </cell>
          <cell r="M888" t="str">
            <v>Y</v>
          </cell>
          <cell r="N888" t="str">
            <v>Lung (2I &amp; 2J)</v>
          </cell>
          <cell r="O888" t="str">
            <v>Internal R&amp;D</v>
          </cell>
          <cell r="P888" t="str">
            <v>Q1 Passed</v>
          </cell>
          <cell r="Q888" t="str">
            <v>Q1 Passed</v>
          </cell>
          <cell r="R888" t="str">
            <v>Q1.5 Passed</v>
          </cell>
          <cell r="S888" t="str">
            <v>Q1.5 Passed</v>
          </cell>
          <cell r="V888" t="str">
            <v>Tumor content 3-75%   Average tumor content 16%</v>
          </cell>
          <cell r="W888" t="str">
            <v>Private Hospital</v>
          </cell>
          <cell r="X888" t="str">
            <v>Dr Prakash BV, Bangalore</v>
          </cell>
          <cell r="Y888" t="str">
            <v>Sri Lakshmi Hospital, Bangalore</v>
          </cell>
          <cell r="Z888" t="str">
            <v>Dr Prakash BV, Bangalore</v>
          </cell>
          <cell r="AA888" t="str">
            <v>Lung</v>
          </cell>
          <cell r="AC888" t="str">
            <v>Lobe</v>
          </cell>
          <cell r="AD888" t="str">
            <v>Left Upper Lope</v>
          </cell>
          <cell r="AE888" t="str">
            <v>Male</v>
          </cell>
          <cell r="AF888">
            <v>51</v>
          </cell>
          <cell r="AG888" t="str">
            <v>N</v>
          </cell>
          <cell r="AH888">
            <v>4.5</v>
          </cell>
          <cell r="AI888" t="str">
            <v>Kalappa</v>
          </cell>
          <cell r="AJ888" t="str">
            <v>Surgery</v>
          </cell>
          <cell r="AK888" t="str">
            <v>Primary</v>
          </cell>
          <cell r="AN888" t="str">
            <v>III</v>
          </cell>
          <cell r="AO888">
            <v>3</v>
          </cell>
          <cell r="AP888" t="str">
            <v>pT3N0</v>
          </cell>
          <cell r="AV888">
            <v>45324</v>
          </cell>
          <cell r="AW888">
            <v>0.66249999999999998</v>
          </cell>
          <cell r="AX888">
            <v>0.80208333333333337</v>
          </cell>
          <cell r="AY888">
            <v>0.13958333333333334</v>
          </cell>
          <cell r="AZ888">
            <v>0.75208333333333333</v>
          </cell>
          <cell r="BA888">
            <v>0.21388888888888888</v>
          </cell>
          <cell r="BB888" t="str">
            <v>0.5*2.0*3.6</v>
          </cell>
          <cell r="BD888" t="str">
            <v>Manual</v>
          </cell>
          <cell r="BE888">
            <v>15</v>
          </cell>
          <cell r="BF888" t="str">
            <v>Mouniss</v>
          </cell>
          <cell r="BG888" t="str">
            <v>Y</v>
          </cell>
        </row>
        <row r="889">
          <cell r="A889" t="str">
            <v>FBR1Y240052</v>
          </cell>
          <cell r="B889">
            <v>240052</v>
          </cell>
          <cell r="C889" t="str">
            <v>R&amp;D</v>
          </cell>
          <cell r="D889">
            <v>45324</v>
          </cell>
          <cell r="E889">
            <v>0.61527777777777781</v>
          </cell>
          <cell r="F889">
            <v>45323</v>
          </cell>
          <cell r="G889">
            <v>45324</v>
          </cell>
          <cell r="H889">
            <v>0.7006944444444444</v>
          </cell>
          <cell r="I889">
            <v>8.5416666666666669E-2</v>
          </cell>
          <cell r="J889">
            <v>14</v>
          </cell>
          <cell r="K889" t="str">
            <v>FCB-PROTOCOL-02</v>
          </cell>
          <cell r="L889" t="str">
            <v>HN122</v>
          </cell>
          <cell r="M889" t="str">
            <v>Y</v>
          </cell>
          <cell r="N889" t="str">
            <v>CCS Study (1Y)</v>
          </cell>
          <cell r="O889" t="str">
            <v>Internal R&amp;D</v>
          </cell>
          <cell r="P889" t="str">
            <v>Q1 Passed</v>
          </cell>
          <cell r="Q889" t="str">
            <v>Not Received</v>
          </cell>
          <cell r="R889" t="str">
            <v>Compromised</v>
          </cell>
          <cell r="S889" t="str">
            <v>Q1.5 Passed</v>
          </cell>
          <cell r="T889" t="str">
            <v>Blood not collected</v>
          </cell>
          <cell r="V889" t="str">
            <v>Most tumor fragments with tumor content &gt;80%</v>
          </cell>
          <cell r="W889" t="str">
            <v>Private Hospital</v>
          </cell>
          <cell r="X889" t="str">
            <v>Mazumdar Shaw Medical Centre, Bangalore</v>
          </cell>
          <cell r="Y889" t="str">
            <v>Mazumdar Shaw Medical Centre, Bangalore</v>
          </cell>
          <cell r="Z889" t="str">
            <v>Dr Vijay Pillai, Bangalore</v>
          </cell>
          <cell r="AA889" t="str">
            <v>HNSCC</v>
          </cell>
          <cell r="AC889" t="str">
            <v>Tongue</v>
          </cell>
          <cell r="AD889" t="str">
            <v>Left Lateral Tongue</v>
          </cell>
          <cell r="AE889" t="str">
            <v>Male</v>
          </cell>
          <cell r="AF889">
            <v>35</v>
          </cell>
          <cell r="AG889" t="str">
            <v>N</v>
          </cell>
          <cell r="AH889">
            <v>4.5999999999999996</v>
          </cell>
          <cell r="AI889" t="str">
            <v>Shashi</v>
          </cell>
          <cell r="AJ889" t="str">
            <v>Surgery</v>
          </cell>
          <cell r="AK889" t="str">
            <v>Primary</v>
          </cell>
          <cell r="AN889" t="str">
            <v>IV</v>
          </cell>
          <cell r="AO889">
            <v>2</v>
          </cell>
          <cell r="AP889" t="str">
            <v>pT4apN1</v>
          </cell>
          <cell r="AS889" t="str">
            <v>MDSCC(Moderately Differentiated Squamous cell carcinoma)</v>
          </cell>
          <cell r="AV889">
            <v>45324</v>
          </cell>
          <cell r="AW889">
            <v>0.74652777777777779</v>
          </cell>
          <cell r="AX889">
            <v>0.83680555555555558</v>
          </cell>
          <cell r="AY889">
            <v>9.0277777777777776E-2</v>
          </cell>
          <cell r="AZ889">
            <v>0.75138888888888888</v>
          </cell>
          <cell r="BA889">
            <v>0.22152777777777777</v>
          </cell>
          <cell r="BB889" t="str">
            <v>0.2/0.3*1.1*1.8</v>
          </cell>
          <cell r="BD889" t="str">
            <v>Manual</v>
          </cell>
          <cell r="BE889">
            <v>15</v>
          </cell>
          <cell r="BF889" t="str">
            <v>kuberan</v>
          </cell>
          <cell r="BG889" t="str">
            <v>N</v>
          </cell>
        </row>
        <row r="890">
          <cell r="A890" t="str">
            <v>FBR2A240053</v>
          </cell>
          <cell r="B890">
            <v>240053</v>
          </cell>
          <cell r="C890" t="str">
            <v>R&amp;D</v>
          </cell>
          <cell r="D890">
            <v>45325</v>
          </cell>
          <cell r="E890">
            <v>0.44791666666666669</v>
          </cell>
          <cell r="F890">
            <v>45323</v>
          </cell>
          <cell r="G890">
            <v>45325</v>
          </cell>
          <cell r="H890">
            <v>0.56736111111111109</v>
          </cell>
          <cell r="I890">
            <v>0.11944444444444445</v>
          </cell>
          <cell r="J890">
            <v>21</v>
          </cell>
          <cell r="K890" t="str">
            <v>FCB-PROTOCOL-02</v>
          </cell>
          <cell r="L890" t="str">
            <v>OC031</v>
          </cell>
          <cell r="M890" t="str">
            <v>Y</v>
          </cell>
          <cell r="N890" t="str">
            <v>Ovary CC (R2A)</v>
          </cell>
          <cell r="O890" t="str">
            <v>Internal R&amp;D</v>
          </cell>
          <cell r="P890" t="str">
            <v>Q1 Passed</v>
          </cell>
          <cell r="Q890" t="str">
            <v>Q1 Passed</v>
          </cell>
          <cell r="R890" t="str">
            <v>Q1.5 Passed</v>
          </cell>
          <cell r="S890" t="str">
            <v>Q1.5 Rejected</v>
          </cell>
          <cell r="V890" t="str">
            <v>No tumor</v>
          </cell>
          <cell r="W890" t="str">
            <v>Private Hospital</v>
          </cell>
          <cell r="X890" t="str">
            <v>Mazumdar Shaw Medical Centre, Bangalore</v>
          </cell>
          <cell r="Y890" t="str">
            <v>Mazumdar Shaw Medical Centre, Bangalore</v>
          </cell>
          <cell r="Z890" t="str">
            <v>Dr Rohit Ranade, Bangalore</v>
          </cell>
          <cell r="AA890" t="str">
            <v>Ca Ovary</v>
          </cell>
          <cell r="AC890" t="str">
            <v>Ovary</v>
          </cell>
          <cell r="AD890" t="str">
            <v>Left Ovary</v>
          </cell>
          <cell r="AE890" t="str">
            <v>Female</v>
          </cell>
          <cell r="AF890">
            <v>43</v>
          </cell>
          <cell r="AG890" t="str">
            <v>N</v>
          </cell>
          <cell r="AH890">
            <v>4.4000000000000004</v>
          </cell>
          <cell r="AI890" t="str">
            <v>Shashi</v>
          </cell>
          <cell r="AJ890" t="str">
            <v>Surgery</v>
          </cell>
          <cell r="AK890" t="str">
            <v>Primary</v>
          </cell>
          <cell r="AV890">
            <v>45325</v>
          </cell>
          <cell r="AW890">
            <v>0.61944444444444446</v>
          </cell>
          <cell r="AX890">
            <v>0.67361111111111116</v>
          </cell>
          <cell r="AY890">
            <v>5.4166666666666669E-2</v>
          </cell>
          <cell r="AZ890">
            <v>0.5541666666666667</v>
          </cell>
          <cell r="BA890">
            <v>0.22569444444444445</v>
          </cell>
          <cell r="BB890" t="str">
            <v>0.1/0.2*0.8*0.6/0.8</v>
          </cell>
          <cell r="BD890" t="str">
            <v>Manual</v>
          </cell>
          <cell r="BE890">
            <v>15</v>
          </cell>
          <cell r="BF890" t="str">
            <v>Biswajit</v>
          </cell>
          <cell r="BG890" t="str">
            <v>Y</v>
          </cell>
        </row>
        <row r="891">
          <cell r="A891" t="str">
            <v>FBR1Q240054</v>
          </cell>
          <cell r="B891">
            <v>240054</v>
          </cell>
          <cell r="C891" t="str">
            <v>R&amp;D</v>
          </cell>
          <cell r="D891">
            <v>45325</v>
          </cell>
          <cell r="E891">
            <v>0.52222222222222225</v>
          </cell>
          <cell r="F891">
            <v>45323</v>
          </cell>
          <cell r="G891">
            <v>45325</v>
          </cell>
          <cell r="H891">
            <v>0.58263888888888893</v>
          </cell>
          <cell r="I891">
            <v>6.0416666666666667E-2</v>
          </cell>
          <cell r="J891">
            <v>2</v>
          </cell>
          <cell r="K891" t="str">
            <v>FCB-PROTOCOL-01</v>
          </cell>
          <cell r="L891" t="str">
            <v>VYD/251</v>
          </cell>
          <cell r="M891" t="str">
            <v>Y</v>
          </cell>
          <cell r="N891" t="str">
            <v>COSv4.1_CaBR(1Q-Known)</v>
          </cell>
          <cell r="O891" t="str">
            <v>Internal R&amp;D</v>
          </cell>
          <cell r="P891" t="str">
            <v>Q1 Passed</v>
          </cell>
          <cell r="Q891" t="str">
            <v>Q1 Passed</v>
          </cell>
          <cell r="R891" t="str">
            <v>Q1.5 Passed</v>
          </cell>
          <cell r="S891" t="str">
            <v>Q1.5 Rejected</v>
          </cell>
          <cell r="V891" t="str">
            <v>Tumor content 2-6%. Avaerage tumor content 4%</v>
          </cell>
          <cell r="W891" t="str">
            <v>Private Hospital</v>
          </cell>
          <cell r="X891" t="str">
            <v>Vydehi Hospital, Bangalore</v>
          </cell>
          <cell r="Y891" t="str">
            <v>Vydehi Hospital, Bangalore</v>
          </cell>
          <cell r="Z891" t="str">
            <v>Dr Amritha Prabha, Bangalore</v>
          </cell>
          <cell r="AA891" t="str">
            <v>Ca Breast</v>
          </cell>
          <cell r="AB891" t="str">
            <v>Er +
PR -
Her 2 -</v>
          </cell>
          <cell r="AC891" t="str">
            <v>Breast</v>
          </cell>
          <cell r="AD891" t="str">
            <v>Left Breast</v>
          </cell>
          <cell r="AE891" t="str">
            <v>Female</v>
          </cell>
          <cell r="AF891">
            <v>62</v>
          </cell>
          <cell r="AG891" t="str">
            <v>N</v>
          </cell>
          <cell r="AH891">
            <v>5.6</v>
          </cell>
          <cell r="AI891" t="str">
            <v>Kalappa</v>
          </cell>
          <cell r="AJ891" t="str">
            <v>Surgery</v>
          </cell>
          <cell r="AK891" t="str">
            <v>Primary</v>
          </cell>
          <cell r="AL891" t="str">
            <v>Surgery</v>
          </cell>
          <cell r="AN891" t="str">
            <v>IB</v>
          </cell>
          <cell r="AO891">
            <v>1</v>
          </cell>
          <cell r="AP891" t="str">
            <v>T3N1c</v>
          </cell>
          <cell r="AS891" t="str">
            <v>IDC</v>
          </cell>
          <cell r="AV891">
            <v>45325</v>
          </cell>
          <cell r="AW891">
            <v>0.61805555555555558</v>
          </cell>
          <cell r="AX891">
            <v>0.68055555555555558</v>
          </cell>
          <cell r="AY891">
            <v>6.25E-2</v>
          </cell>
          <cell r="AZ891">
            <v>0.62013888888888891</v>
          </cell>
          <cell r="BA891">
            <v>0.15833333333333333</v>
          </cell>
          <cell r="BB891" t="str">
            <v>0.3/0.4*0.7*0.7</v>
          </cell>
          <cell r="BD891" t="str">
            <v>Manual</v>
          </cell>
          <cell r="BE891">
            <v>15</v>
          </cell>
          <cell r="BF891" t="str">
            <v>kuberan</v>
          </cell>
          <cell r="BG891" t="str">
            <v>Y</v>
          </cell>
        </row>
        <row r="892">
          <cell r="A892" t="str">
            <v>FBR1W240055</v>
          </cell>
          <cell r="B892">
            <v>240055</v>
          </cell>
          <cell r="C892" t="str">
            <v>R&amp;D</v>
          </cell>
          <cell r="D892">
            <v>45325</v>
          </cell>
          <cell r="E892">
            <v>0.70833333333333337</v>
          </cell>
          <cell r="F892">
            <v>45323</v>
          </cell>
          <cell r="G892">
            <v>45325</v>
          </cell>
          <cell r="H892">
            <v>0.77708333333333335</v>
          </cell>
          <cell r="I892">
            <v>6.8750000000000006E-2</v>
          </cell>
          <cell r="J892">
            <v>0</v>
          </cell>
          <cell r="K892" t="str">
            <v>FCB-PROTOCOL-02</v>
          </cell>
          <cell r="L892" t="str">
            <v>BC032</v>
          </cell>
          <cell r="M892" t="str">
            <v>Y</v>
          </cell>
          <cell r="N892" t="str">
            <v>Biopsy Cabr-BSS (1W)</v>
          </cell>
          <cell r="O892" t="str">
            <v>Internal R&amp;D</v>
          </cell>
          <cell r="P892" t="str">
            <v>Q1 Passed</v>
          </cell>
          <cell r="Q892" t="str">
            <v>Q1 Rejected</v>
          </cell>
          <cell r="R892" t="str">
            <v>Q1.5 Passed</v>
          </cell>
          <cell r="S892" t="str">
            <v>Q1.5 Passed</v>
          </cell>
          <cell r="V892" t="str">
            <v>Tumor content 0-35%. Avaerage tumor content 17%</v>
          </cell>
          <cell r="W892" t="str">
            <v>Private Hospital</v>
          </cell>
          <cell r="X892" t="str">
            <v>Mazumdar Shaw Medical Centre, Bangalore</v>
          </cell>
          <cell r="Y892" t="str">
            <v>Mazumdar Shaw Medical Centre, Bangalore</v>
          </cell>
          <cell r="Z892" t="str">
            <v>Dr Akshita Singh</v>
          </cell>
          <cell r="AA892" t="str">
            <v>Ca Breast</v>
          </cell>
          <cell r="AB892" t="str">
            <v>TNBC</v>
          </cell>
          <cell r="AC892" t="str">
            <v>Breast</v>
          </cell>
          <cell r="AD892" t="str">
            <v>Right Breast</v>
          </cell>
          <cell r="AE892" t="str">
            <v>Female</v>
          </cell>
          <cell r="AF892">
            <v>40</v>
          </cell>
          <cell r="AG892" t="str">
            <v>N</v>
          </cell>
          <cell r="AH892">
            <v>5.0999999999999996</v>
          </cell>
          <cell r="AI892" t="str">
            <v>Shashi</v>
          </cell>
          <cell r="AJ892" t="str">
            <v>Biopsy</v>
          </cell>
          <cell r="AK892" t="str">
            <v>Primary</v>
          </cell>
          <cell r="AS892" t="str">
            <v>Invasive carcinoma of special type (ductal)</v>
          </cell>
          <cell r="AV892">
            <v>45325</v>
          </cell>
          <cell r="AW892">
            <v>0.8</v>
          </cell>
          <cell r="AX892">
            <v>0.82777777777777772</v>
          </cell>
          <cell r="AY892">
            <v>2.7777777777777776E-2</v>
          </cell>
          <cell r="AZ892">
            <v>0.75902777777777775</v>
          </cell>
          <cell r="BA892">
            <v>0.11944444444444445</v>
          </cell>
          <cell r="BB892" t="str">
            <v>1 cores
0.7-1.5</v>
          </cell>
          <cell r="BD892" t="str">
            <v>Manual</v>
          </cell>
          <cell r="BE892">
            <v>15</v>
          </cell>
          <cell r="BF892" t="str">
            <v>kuberan</v>
          </cell>
          <cell r="BG892" t="str">
            <v>N</v>
          </cell>
        </row>
        <row r="893">
          <cell r="A893" t="str">
            <v>FBR2A240056</v>
          </cell>
          <cell r="B893">
            <v>240056</v>
          </cell>
          <cell r="C893" t="str">
            <v>R&amp;D</v>
          </cell>
          <cell r="D893">
            <v>45327</v>
          </cell>
          <cell r="E893">
            <v>0.41666666666666669</v>
          </cell>
          <cell r="F893">
            <v>45323</v>
          </cell>
          <cell r="G893">
            <v>45327</v>
          </cell>
          <cell r="H893">
            <v>0.52916666666666667</v>
          </cell>
          <cell r="I893">
            <v>0.1125</v>
          </cell>
          <cell r="J893">
            <v>20</v>
          </cell>
          <cell r="K893" t="str">
            <v>FCB-PROTOCOL-02</v>
          </cell>
          <cell r="L893" t="str">
            <v>OC032</v>
          </cell>
          <cell r="M893" t="str">
            <v>Y</v>
          </cell>
          <cell r="N893" t="str">
            <v>Ovary CC (R2A)</v>
          </cell>
          <cell r="O893" t="str">
            <v>Internal R&amp;D</v>
          </cell>
          <cell r="P893" t="str">
            <v>Q1 Rejected</v>
          </cell>
          <cell r="Q893" t="str">
            <v>Q1 Passed</v>
          </cell>
          <cell r="R893" t="str">
            <v>Q1.5 Passed</v>
          </cell>
          <cell r="S893" t="str">
            <v>Q1.5 Rejected</v>
          </cell>
          <cell r="T893" t="str">
            <v>Fatty Tissue</v>
          </cell>
          <cell r="V893" t="str">
            <v>No tumor</v>
          </cell>
          <cell r="W893" t="str">
            <v>Private Hospital</v>
          </cell>
          <cell r="X893" t="str">
            <v>Mazumdar Shaw Medical Centre, Bangalore</v>
          </cell>
          <cell r="Y893" t="str">
            <v>Mazumdar Shaw Medical Centre, Bangalore</v>
          </cell>
          <cell r="Z893" t="str">
            <v>Dr Rohit Ranade, Bangalore</v>
          </cell>
          <cell r="AA893" t="str">
            <v>Ca Ovary</v>
          </cell>
          <cell r="AC893" t="str">
            <v>Ovary</v>
          </cell>
          <cell r="AD893" t="str">
            <v>Right Ovary</v>
          </cell>
          <cell r="AE893" t="str">
            <v>Female</v>
          </cell>
          <cell r="AF893">
            <v>70</v>
          </cell>
          <cell r="AG893" t="str">
            <v>N</v>
          </cell>
          <cell r="AH893">
            <v>4.5</v>
          </cell>
          <cell r="AI893" t="str">
            <v>Shashi</v>
          </cell>
          <cell r="AJ893" t="str">
            <v>Surgery</v>
          </cell>
          <cell r="AK893" t="str">
            <v>Primary</v>
          </cell>
          <cell r="AV893">
            <v>45327</v>
          </cell>
          <cell r="AW893">
            <v>0.56944444444444442</v>
          </cell>
          <cell r="AX893">
            <v>0.64583333333333337</v>
          </cell>
          <cell r="AY893">
            <v>7.6388888888888895E-2</v>
          </cell>
          <cell r="AZ893">
            <v>0.53333333333333333</v>
          </cell>
          <cell r="BA893">
            <v>0.22916666666666666</v>
          </cell>
          <cell r="BB893" t="str">
            <v>0.4/0.6*0.8/1.2*2.0/2.4</v>
          </cell>
          <cell r="BD893" t="str">
            <v>Manual</v>
          </cell>
          <cell r="BE893">
            <v>15</v>
          </cell>
          <cell r="BF893" t="str">
            <v xml:space="preserve">sai </v>
          </cell>
          <cell r="BG893" t="str">
            <v>Y</v>
          </cell>
        </row>
        <row r="894">
          <cell r="A894" t="str">
            <v>FBR2A240057</v>
          </cell>
          <cell r="B894">
            <v>240057</v>
          </cell>
          <cell r="C894" t="str">
            <v>R&amp;D</v>
          </cell>
          <cell r="D894">
            <v>45327</v>
          </cell>
          <cell r="E894">
            <v>0.44444444444444442</v>
          </cell>
          <cell r="F894">
            <v>45323</v>
          </cell>
          <cell r="G894">
            <v>45327</v>
          </cell>
          <cell r="H894">
            <v>0.52916666666666667</v>
          </cell>
          <cell r="I894">
            <v>8.4722222222222227E-2</v>
          </cell>
          <cell r="J894">
            <v>45</v>
          </cell>
          <cell r="K894" t="str">
            <v>FCB-PROTOCOL-02</v>
          </cell>
          <cell r="L894" t="str">
            <v>OC033</v>
          </cell>
          <cell r="M894" t="str">
            <v>Y</v>
          </cell>
          <cell r="N894" t="str">
            <v>Ovary CC (R2A)</v>
          </cell>
          <cell r="O894" t="str">
            <v>Internal R&amp;D</v>
          </cell>
          <cell r="P894" t="str">
            <v>Q1 Passed</v>
          </cell>
          <cell r="Q894" t="str">
            <v>Q1 Passed</v>
          </cell>
          <cell r="R894" t="str">
            <v>Q1.5 Passed</v>
          </cell>
          <cell r="S894" t="str">
            <v>Q1.5 Rejected</v>
          </cell>
          <cell r="V894" t="str">
            <v>No tumor</v>
          </cell>
          <cell r="W894" t="str">
            <v>Private Hospital</v>
          </cell>
          <cell r="X894" t="str">
            <v>Mazumdar Shaw Medical Centre, Bangalore</v>
          </cell>
          <cell r="Y894" t="str">
            <v>Mazumdar Shaw Medical Centre, Bangalore</v>
          </cell>
          <cell r="Z894" t="str">
            <v>Dr Rohit Ranade, Bangalore</v>
          </cell>
          <cell r="AA894" t="str">
            <v>Ca Ovary</v>
          </cell>
          <cell r="AC894" t="str">
            <v>Ovary</v>
          </cell>
          <cell r="AD894" t="str">
            <v>Right Ovary</v>
          </cell>
          <cell r="AE894" t="str">
            <v>Female</v>
          </cell>
          <cell r="AF894">
            <v>62</v>
          </cell>
          <cell r="AG894" t="str">
            <v>N</v>
          </cell>
          <cell r="AH894">
            <v>4.5</v>
          </cell>
          <cell r="AI894" t="str">
            <v>Shashi</v>
          </cell>
          <cell r="AJ894" t="str">
            <v>Surgery</v>
          </cell>
          <cell r="AK894" t="str">
            <v>Primary</v>
          </cell>
          <cell r="AV894">
            <v>45327</v>
          </cell>
          <cell r="AW894">
            <v>0.56944444444444442</v>
          </cell>
          <cell r="AX894">
            <v>0.64583333333333337</v>
          </cell>
          <cell r="AY894">
            <v>7.6388888888888895E-2</v>
          </cell>
          <cell r="AZ894">
            <v>0.56111111111111112</v>
          </cell>
          <cell r="BA894">
            <v>0.2013888888888889</v>
          </cell>
          <cell r="BB894" t="str">
            <v>0.2*3.2/3.4*2.4</v>
          </cell>
          <cell r="BD894" t="str">
            <v>Manual</v>
          </cell>
          <cell r="BE894">
            <v>15</v>
          </cell>
          <cell r="BF894" t="str">
            <v>Pallavi</v>
          </cell>
          <cell r="BG894" t="str">
            <v>Y</v>
          </cell>
        </row>
        <row r="895">
          <cell r="A895">
            <v>240058</v>
          </cell>
          <cell r="B895">
            <v>240058</v>
          </cell>
          <cell r="C895" t="str">
            <v>R&amp;D</v>
          </cell>
          <cell r="D895">
            <v>45329</v>
          </cell>
          <cell r="E895">
            <v>0.48125000000000001</v>
          </cell>
          <cell r="F895">
            <v>45323</v>
          </cell>
          <cell r="G895">
            <v>45329</v>
          </cell>
          <cell r="H895">
            <v>0.56736111111111109</v>
          </cell>
          <cell r="I895">
            <v>8.611111111111111E-2</v>
          </cell>
          <cell r="J895">
            <v>0</v>
          </cell>
          <cell r="K895" t="str">
            <v>FCB-PROTOCOL-01</v>
          </cell>
          <cell r="L895" t="str">
            <v>VYD/252</v>
          </cell>
          <cell r="M895" t="str">
            <v>Y</v>
          </cell>
          <cell r="N895" t="str">
            <v>BioBank</v>
          </cell>
          <cell r="O895" t="str">
            <v>1st level attrition</v>
          </cell>
          <cell r="P895" t="str">
            <v>Q1 Passed</v>
          </cell>
          <cell r="Q895" t="str">
            <v>Q1 Passed</v>
          </cell>
          <cell r="R895" t="str">
            <v>Q1.5 Rejected</v>
          </cell>
          <cell r="S895" t="str">
            <v>Q1.5 Rejected</v>
          </cell>
          <cell r="V895" t="str">
            <v>FFPE</v>
          </cell>
          <cell r="W895" t="str">
            <v>Private Hospital</v>
          </cell>
          <cell r="X895" t="str">
            <v>Vydehi Hospital, Bangalore</v>
          </cell>
          <cell r="Y895" t="str">
            <v>Vydehi Hospital, Bangalore</v>
          </cell>
          <cell r="Z895" t="str">
            <v>Dr Amritha Prabha, Bangalore</v>
          </cell>
          <cell r="AA895" t="str">
            <v>Ca Breast</v>
          </cell>
          <cell r="AB895" t="str">
            <v>TPBC</v>
          </cell>
          <cell r="AC895" t="str">
            <v>Breast</v>
          </cell>
          <cell r="AD895" t="str">
            <v>Right Breast</v>
          </cell>
          <cell r="AE895" t="str">
            <v>Female</v>
          </cell>
          <cell r="AF895">
            <v>54</v>
          </cell>
          <cell r="AG895" t="str">
            <v>N</v>
          </cell>
          <cell r="AH895">
            <v>5.3</v>
          </cell>
          <cell r="AI895" t="str">
            <v>Kalappa</v>
          </cell>
          <cell r="AJ895" t="str">
            <v>Surgery</v>
          </cell>
          <cell r="AK895" t="str">
            <v>Primary</v>
          </cell>
          <cell r="AL895" t="str">
            <v>Chemotherapy</v>
          </cell>
          <cell r="AQ895">
            <v>8</v>
          </cell>
          <cell r="AR895" t="str">
            <v>4xFEC, 4xPaclitaxel, 5xTrastuzumab</v>
          </cell>
          <cell r="AV895">
            <v>45329</v>
          </cell>
          <cell r="AX895">
            <v>0.58888888888888891</v>
          </cell>
          <cell r="AY895">
            <v>0.58888888888888891</v>
          </cell>
          <cell r="AZ895">
            <v>0.50277777777777777</v>
          </cell>
          <cell r="BA895">
            <v>0.1076388888888889</v>
          </cell>
          <cell r="BB895" t="str">
            <v>0.4*0.8/2.0*2.6
0.3*1.0*1.4
0.5*1.6*1.8</v>
          </cell>
          <cell r="BE895">
            <v>15</v>
          </cell>
          <cell r="BF895" t="str">
            <v>Kokila</v>
          </cell>
          <cell r="BG895" t="str">
            <v>Y</v>
          </cell>
        </row>
        <row r="896">
          <cell r="A896" t="str">
            <v>FBR1W240059</v>
          </cell>
          <cell r="B896">
            <v>240059</v>
          </cell>
          <cell r="C896" t="str">
            <v>R&amp;D</v>
          </cell>
          <cell r="D896">
            <v>45329</v>
          </cell>
          <cell r="E896">
            <v>0.49722222222222223</v>
          </cell>
          <cell r="F896">
            <v>45323</v>
          </cell>
          <cell r="G896">
            <v>45329</v>
          </cell>
          <cell r="H896">
            <v>0.56736111111111109</v>
          </cell>
          <cell r="I896">
            <v>7.013888888888889E-2</v>
          </cell>
          <cell r="J896">
            <v>2</v>
          </cell>
          <cell r="K896" t="str">
            <v>FCB-PROTOCOL-01</v>
          </cell>
          <cell r="L896" t="str">
            <v>VYD/253</v>
          </cell>
          <cell r="M896" t="str">
            <v>Y</v>
          </cell>
          <cell r="N896" t="str">
            <v>Biopsy Cabr-BSS (1W)</v>
          </cell>
          <cell r="O896" t="str">
            <v>Internal R&amp;D</v>
          </cell>
          <cell r="P896" t="str">
            <v>Q1 Passed</v>
          </cell>
          <cell r="Q896" t="str">
            <v>Q1 Passed</v>
          </cell>
          <cell r="R896" t="str">
            <v>Q1.5 Passed</v>
          </cell>
          <cell r="S896" t="str">
            <v>Q1.5 Passed</v>
          </cell>
          <cell r="V896" t="str">
            <v>Tumor content 0-25%. Average tumor content 8%</v>
          </cell>
          <cell r="W896" t="str">
            <v>Private Hospital</v>
          </cell>
          <cell r="X896" t="str">
            <v>Vydehi Hospital, Bangalore</v>
          </cell>
          <cell r="Y896" t="str">
            <v>Vydehi Hospital, Bangalore</v>
          </cell>
          <cell r="Z896" t="str">
            <v>Dr Amritha Prabha, Bangalore</v>
          </cell>
          <cell r="AA896" t="str">
            <v>Ca Breast</v>
          </cell>
          <cell r="AC896" t="str">
            <v>Breast</v>
          </cell>
          <cell r="AD896" t="str">
            <v>Left Breast</v>
          </cell>
          <cell r="AE896" t="str">
            <v>Female</v>
          </cell>
          <cell r="AF896">
            <v>38</v>
          </cell>
          <cell r="AG896" t="str">
            <v>N</v>
          </cell>
          <cell r="AH896">
            <v>5.3</v>
          </cell>
          <cell r="AI896" t="str">
            <v>Kalappa</v>
          </cell>
          <cell r="AJ896" t="str">
            <v>Biopsy</v>
          </cell>
          <cell r="AK896" t="str">
            <v>Primary</v>
          </cell>
          <cell r="AN896" t="str">
            <v>IB</v>
          </cell>
          <cell r="AO896">
            <v>2</v>
          </cell>
          <cell r="AP896" t="str">
            <v>T2N1a</v>
          </cell>
          <cell r="AS896" t="str">
            <v>IDC</v>
          </cell>
          <cell r="AT896" t="str">
            <v>CTRT</v>
          </cell>
          <cell r="AU896" t="str">
            <v>Adriyamycin, Cyclophosphamide, Paclitaxel</v>
          </cell>
          <cell r="AV896">
            <v>45329</v>
          </cell>
          <cell r="AW896">
            <v>0.58888888888888891</v>
          </cell>
          <cell r="AX896">
            <v>0.63194444444444442</v>
          </cell>
          <cell r="AY896">
            <v>4.3055555555555555E-2</v>
          </cell>
          <cell r="AZ896">
            <v>0.56180555555555556</v>
          </cell>
          <cell r="BA896">
            <v>0.13472222222222222</v>
          </cell>
          <cell r="BB896" t="str">
            <v>5 Cores
0.6-1.8</v>
          </cell>
          <cell r="BD896" t="str">
            <v>Manual</v>
          </cell>
          <cell r="BE896">
            <v>15</v>
          </cell>
          <cell r="BF896" t="str">
            <v>Kokila</v>
          </cell>
          <cell r="BG896" t="str">
            <v>Y</v>
          </cell>
        </row>
        <row r="897">
          <cell r="A897" t="str">
            <v>FBR1W240060</v>
          </cell>
          <cell r="B897">
            <v>240060</v>
          </cell>
          <cell r="C897" t="str">
            <v>R&amp;D</v>
          </cell>
          <cell r="D897">
            <v>45329</v>
          </cell>
          <cell r="E897">
            <v>0.74375000000000002</v>
          </cell>
          <cell r="F897">
            <v>45323</v>
          </cell>
          <cell r="G897">
            <v>45329</v>
          </cell>
          <cell r="H897">
            <v>0.82222222222222219</v>
          </cell>
          <cell r="I897">
            <v>7.8472222222222221E-2</v>
          </cell>
          <cell r="J897">
            <v>0</v>
          </cell>
          <cell r="K897" t="str">
            <v>FCB-PROTOCOL-02</v>
          </cell>
          <cell r="L897" t="str">
            <v>BC033</v>
          </cell>
          <cell r="M897" t="str">
            <v>Y</v>
          </cell>
          <cell r="N897" t="str">
            <v>Biopsy Cabr-BSS (1W)</v>
          </cell>
          <cell r="O897" t="str">
            <v>Internal R&amp;D</v>
          </cell>
          <cell r="P897" t="str">
            <v>Q1 Passed</v>
          </cell>
          <cell r="Q897" t="str">
            <v>Q1 Passed</v>
          </cell>
          <cell r="R897" t="str">
            <v>Q1.5 Passed</v>
          </cell>
          <cell r="S897" t="str">
            <v>Q1.5 Rejected</v>
          </cell>
          <cell r="T897" t="str">
            <v>No tumor</v>
          </cell>
          <cell r="V897" t="str">
            <v>No tumor</v>
          </cell>
          <cell r="W897" t="str">
            <v>Private Hospital</v>
          </cell>
          <cell r="X897" t="str">
            <v>Mazumdar Shaw Medical Centre, Bangalore</v>
          </cell>
          <cell r="Y897" t="str">
            <v>Mazumdar Shaw Medical Centre, Bangalore</v>
          </cell>
          <cell r="Z897" t="str">
            <v>Dr Akshita Singh</v>
          </cell>
          <cell r="AA897" t="str">
            <v>Ca Breast</v>
          </cell>
          <cell r="AC897" t="str">
            <v>Breast</v>
          </cell>
          <cell r="AD897" t="str">
            <v>Right Breast</v>
          </cell>
          <cell r="AE897" t="str">
            <v>Female</v>
          </cell>
          <cell r="AF897">
            <v>50</v>
          </cell>
          <cell r="AG897" t="str">
            <v>N</v>
          </cell>
          <cell r="AH897">
            <v>5.6</v>
          </cell>
          <cell r="AI897" t="str">
            <v>Maruthi</v>
          </cell>
          <cell r="AJ897" t="str">
            <v>Biopsy</v>
          </cell>
          <cell r="AK897" t="str">
            <v>Primary</v>
          </cell>
          <cell r="AV897">
            <v>45329</v>
          </cell>
          <cell r="AW897">
            <v>0.83819444444444446</v>
          </cell>
          <cell r="AX897">
            <v>0.86458333333333337</v>
          </cell>
          <cell r="AY897">
            <v>2.6388888888888889E-2</v>
          </cell>
          <cell r="AZ897">
            <v>0.78611111111111109</v>
          </cell>
          <cell r="BA897">
            <v>0.12083333333333333</v>
          </cell>
          <cell r="BB897" t="str">
            <v>3 Cores
0.1*0.1*0.1</v>
          </cell>
          <cell r="BD897" t="str">
            <v>Manual</v>
          </cell>
          <cell r="BE897">
            <v>15</v>
          </cell>
          <cell r="BF897" t="str">
            <v xml:space="preserve">sai </v>
          </cell>
          <cell r="BG897" t="str">
            <v>N</v>
          </cell>
        </row>
        <row r="898">
          <cell r="A898" t="str">
            <v>FBR2A240061</v>
          </cell>
          <cell r="B898">
            <v>240061</v>
          </cell>
          <cell r="C898" t="str">
            <v>R&amp;D</v>
          </cell>
          <cell r="D898">
            <v>45334</v>
          </cell>
          <cell r="E898">
            <v>0.53819444444444442</v>
          </cell>
          <cell r="F898">
            <v>45323</v>
          </cell>
          <cell r="G898">
            <v>45334</v>
          </cell>
          <cell r="H898">
            <v>0.63472222222222219</v>
          </cell>
          <cell r="I898">
            <v>9.6527777777777782E-2</v>
          </cell>
          <cell r="J898">
            <v>5</v>
          </cell>
          <cell r="K898" t="str">
            <v>FCB-PROTOCOL-02</v>
          </cell>
          <cell r="L898" t="str">
            <v>OC034</v>
          </cell>
          <cell r="M898" t="str">
            <v>Y</v>
          </cell>
          <cell r="N898" t="str">
            <v>Ovary CC (R2A)</v>
          </cell>
          <cell r="O898" t="str">
            <v>Internal R&amp;D</v>
          </cell>
          <cell r="P898" t="str">
            <v>Q1 Passed</v>
          </cell>
          <cell r="Q898" t="str">
            <v>Q1 Passed</v>
          </cell>
          <cell r="R898" t="str">
            <v>Q1.5 Passed</v>
          </cell>
          <cell r="S898" t="str">
            <v>Q1.5 Passed</v>
          </cell>
          <cell r="V898" t="str">
            <v>Metastasis of ?  serous adencarcinoma of ovary , tumor content &gt;98%</v>
          </cell>
          <cell r="W898" t="str">
            <v>Private Hospital</v>
          </cell>
          <cell r="X898" t="str">
            <v>Mazumdar Shaw Medical Centre, Bangalore</v>
          </cell>
          <cell r="Y898" t="str">
            <v>Mazumdar Shaw Medical Centre, Bangalore</v>
          </cell>
          <cell r="Z898" t="str">
            <v>Dr Rohit Ranade, Bangalore</v>
          </cell>
          <cell r="AA898" t="str">
            <v>Ca Ovary</v>
          </cell>
          <cell r="AC898" t="str">
            <v>Ovary</v>
          </cell>
          <cell r="AD898" t="str">
            <v>Lymph Node</v>
          </cell>
          <cell r="AE898" t="str">
            <v>Female</v>
          </cell>
          <cell r="AF898">
            <v>64</v>
          </cell>
          <cell r="AG898" t="str">
            <v>N</v>
          </cell>
          <cell r="AH898" t="str">
            <v>5,2</v>
          </cell>
          <cell r="AI898" t="str">
            <v>Kalappa</v>
          </cell>
          <cell r="AJ898" t="str">
            <v>Surgery</v>
          </cell>
          <cell r="AK898" t="str">
            <v>Local Recurrent</v>
          </cell>
          <cell r="AL898" t="str">
            <v>Chemotherapy</v>
          </cell>
          <cell r="AN898" t="str">
            <v>NA</v>
          </cell>
          <cell r="AO898" t="str">
            <v>NA</v>
          </cell>
          <cell r="AP898" t="str">
            <v>NA</v>
          </cell>
          <cell r="AQ898">
            <v>3</v>
          </cell>
          <cell r="AS898" t="str">
            <v>Paclitaxel + Carboplatin</v>
          </cell>
          <cell r="AV898">
            <v>45334</v>
          </cell>
          <cell r="AW898">
            <v>0.66180555555555554</v>
          </cell>
          <cell r="AX898">
            <v>0.71111111111111114</v>
          </cell>
          <cell r="AY898">
            <v>4.9305555555555554E-2</v>
          </cell>
          <cell r="AZ898">
            <v>0.61458333333333337</v>
          </cell>
          <cell r="BA898">
            <v>0.17291666666666666</v>
          </cell>
          <cell r="BB898" t="str">
            <v>0.4*0.4*0.6</v>
          </cell>
          <cell r="BD898" t="str">
            <v>Manual</v>
          </cell>
          <cell r="BE898">
            <v>15</v>
          </cell>
          <cell r="BF898" t="str">
            <v>Kokila</v>
          </cell>
          <cell r="BG898" t="str">
            <v>Y</v>
          </cell>
        </row>
        <row r="899">
          <cell r="A899" t="str">
            <v>FBR1Y240062</v>
          </cell>
          <cell r="B899">
            <v>240062</v>
          </cell>
          <cell r="C899" t="str">
            <v>R&amp;D</v>
          </cell>
          <cell r="D899">
            <v>45334</v>
          </cell>
          <cell r="E899">
            <v>0.55208333333333337</v>
          </cell>
          <cell r="F899">
            <v>45323</v>
          </cell>
          <cell r="G899">
            <v>45334</v>
          </cell>
          <cell r="H899">
            <v>0.63472222222222219</v>
          </cell>
          <cell r="I899">
            <v>8.2638888888888887E-2</v>
          </cell>
          <cell r="J899">
            <v>19</v>
          </cell>
          <cell r="K899" t="str">
            <v>FCB-PROTOCOL-02</v>
          </cell>
          <cell r="L899" t="str">
            <v>HN123</v>
          </cell>
          <cell r="M899" t="str">
            <v>Y</v>
          </cell>
          <cell r="N899" t="str">
            <v>CCS Study (1Y)</v>
          </cell>
          <cell r="O899" t="str">
            <v>Internal R&amp;D</v>
          </cell>
          <cell r="P899" t="str">
            <v>Q1 Passed</v>
          </cell>
          <cell r="Q899" t="str">
            <v>Q1 Passed</v>
          </cell>
          <cell r="R899" t="str">
            <v>Compromised</v>
          </cell>
          <cell r="S899" t="str">
            <v>Q1.5 Passed</v>
          </cell>
          <cell r="V899" t="str">
            <v>Tumor content &gt;90% in all fragments </v>
          </cell>
          <cell r="W899" t="str">
            <v>Private Hospital</v>
          </cell>
          <cell r="X899" t="str">
            <v>Mazumdar Shaw Medical Centre, Bangalore</v>
          </cell>
          <cell r="Y899" t="str">
            <v>Mazumdar Shaw Medical Centre, Bangalore</v>
          </cell>
          <cell r="Z899" t="str">
            <v>Dr Vijay Pillai, Bangalore</v>
          </cell>
          <cell r="AA899" t="str">
            <v>HNSCC</v>
          </cell>
          <cell r="AC899" t="str">
            <v>Buccal Mucosa</v>
          </cell>
          <cell r="AD899" t="str">
            <v>Buccal Mucosa</v>
          </cell>
          <cell r="AE899" t="str">
            <v>Male</v>
          </cell>
          <cell r="AF899">
            <v>49</v>
          </cell>
          <cell r="AG899" t="str">
            <v>N</v>
          </cell>
          <cell r="AH899">
            <v>5.2</v>
          </cell>
          <cell r="AI899" t="str">
            <v>Kalappa</v>
          </cell>
          <cell r="AJ899" t="str">
            <v>Surgery</v>
          </cell>
          <cell r="AK899" t="str">
            <v>Primary</v>
          </cell>
          <cell r="AN899" t="str">
            <v>II</v>
          </cell>
          <cell r="AO899">
            <v>1</v>
          </cell>
          <cell r="AP899" t="str">
            <v>pT2pN0</v>
          </cell>
          <cell r="AV899">
            <v>45334</v>
          </cell>
          <cell r="AW899">
            <v>0.66180555555555554</v>
          </cell>
          <cell r="AX899">
            <v>0.72569444444444442</v>
          </cell>
          <cell r="AY899">
            <v>6.3888888888888884E-2</v>
          </cell>
          <cell r="AZ899">
            <v>0.6430555555555556</v>
          </cell>
          <cell r="BA899">
            <v>0.1736111111111111</v>
          </cell>
          <cell r="BB899" t="str">
            <v>0.2/0.4*0.8*1.0</v>
          </cell>
          <cell r="BD899" t="str">
            <v>Manual</v>
          </cell>
          <cell r="BE899">
            <v>15</v>
          </cell>
          <cell r="BF899" t="str">
            <v>Syam</v>
          </cell>
          <cell r="BG899" t="str">
            <v>Y</v>
          </cell>
        </row>
        <row r="900">
          <cell r="A900" t="str">
            <v>FBR2F240062</v>
          </cell>
          <cell r="B900">
            <v>240062</v>
          </cell>
          <cell r="C900" t="str">
            <v>R&amp;D</v>
          </cell>
          <cell r="D900">
            <v>45334</v>
          </cell>
          <cell r="E900">
            <v>0.55208333333333337</v>
          </cell>
          <cell r="F900">
            <v>45323</v>
          </cell>
          <cell r="G900">
            <v>45334</v>
          </cell>
          <cell r="H900">
            <v>0.63472222222222219</v>
          </cell>
          <cell r="I900">
            <v>8.2638888888888887E-2</v>
          </cell>
          <cell r="J900">
            <v>19</v>
          </cell>
          <cell r="K900" t="str">
            <v>FCB-PROTOCOL-02</v>
          </cell>
          <cell r="L900" t="str">
            <v>HN123</v>
          </cell>
          <cell r="M900" t="str">
            <v>Y</v>
          </cell>
          <cell r="N900" t="str">
            <v>ECR (2F)</v>
          </cell>
          <cell r="O900" t="str">
            <v>Internal R&amp;D</v>
          </cell>
          <cell r="P900" t="str">
            <v>Q1 Passed</v>
          </cell>
          <cell r="Q900" t="str">
            <v>Q1 Passed</v>
          </cell>
          <cell r="R900" t="str">
            <v>Compromised</v>
          </cell>
          <cell r="S900" t="str">
            <v>Q1.5 Passed</v>
          </cell>
          <cell r="V900" t="str">
            <v>Tumor content &gt;90% in all fragments </v>
          </cell>
          <cell r="W900" t="str">
            <v>Private Hospital</v>
          </cell>
          <cell r="X900" t="str">
            <v>Mazumdar Shaw Medical Centre, Bangalore</v>
          </cell>
          <cell r="Y900" t="str">
            <v>Mazumdar Shaw Medical Centre, Bangalore</v>
          </cell>
          <cell r="Z900" t="str">
            <v>Dr Vijay Pillai, Bangalore</v>
          </cell>
          <cell r="AA900" t="str">
            <v>HNSCC</v>
          </cell>
          <cell r="AC900" t="str">
            <v>Buccal Mucosa</v>
          </cell>
          <cell r="AD900" t="str">
            <v>Buccal Mucosa</v>
          </cell>
          <cell r="AE900" t="str">
            <v>Male</v>
          </cell>
          <cell r="AF900">
            <v>49</v>
          </cell>
          <cell r="AG900" t="str">
            <v>N</v>
          </cell>
          <cell r="AH900">
            <v>5.2</v>
          </cell>
          <cell r="AI900" t="str">
            <v>Kalappa</v>
          </cell>
          <cell r="AJ900" t="str">
            <v>Surgery</v>
          </cell>
          <cell r="AK900" t="str">
            <v>Primary</v>
          </cell>
          <cell r="AN900" t="str">
            <v>II</v>
          </cell>
          <cell r="AO900">
            <v>1</v>
          </cell>
          <cell r="AP900" t="str">
            <v>pT2pN0</v>
          </cell>
          <cell r="AV900">
            <v>45337</v>
          </cell>
          <cell r="AX900">
            <v>0.53749999999999998</v>
          </cell>
          <cell r="AY900">
            <v>0.53749999999999998</v>
          </cell>
          <cell r="AZ900">
            <v>0.4548611111111111</v>
          </cell>
          <cell r="BB900" t="str">
            <v>0.2/0.4*0.8*1.0</v>
          </cell>
          <cell r="BD900" t="str">
            <v>Manual</v>
          </cell>
          <cell r="BE900">
            <v>15</v>
          </cell>
          <cell r="BF900" t="str">
            <v>Syam</v>
          </cell>
          <cell r="BG900" t="str">
            <v>Y</v>
          </cell>
        </row>
        <row r="901">
          <cell r="A901" t="str">
            <v>FBR1Y240063</v>
          </cell>
          <cell r="B901">
            <v>240063</v>
          </cell>
          <cell r="C901" t="str">
            <v>R&amp;D</v>
          </cell>
          <cell r="D901">
            <v>45334</v>
          </cell>
          <cell r="E901">
            <v>0.4861111111111111</v>
          </cell>
          <cell r="F901">
            <v>45323</v>
          </cell>
          <cell r="G901">
            <v>45334</v>
          </cell>
          <cell r="H901">
            <v>0.87569444444444444</v>
          </cell>
          <cell r="I901">
            <v>0.38958333333333334</v>
          </cell>
          <cell r="J901">
            <v>15</v>
          </cell>
          <cell r="K901" t="str">
            <v>FCB-PROTOCOL-01</v>
          </cell>
          <cell r="L901" t="str">
            <v>CLN/DBR/172</v>
          </cell>
          <cell r="M901" t="str">
            <v>Y</v>
          </cell>
          <cell r="N901" t="str">
            <v>CCS Study (1Y)</v>
          </cell>
          <cell r="O901" t="str">
            <v>Internal R&amp;D</v>
          </cell>
          <cell r="P901" t="str">
            <v>Q1 Passed</v>
          </cell>
          <cell r="Q901" t="str">
            <v>Q1 Passed</v>
          </cell>
          <cell r="R901" t="str">
            <v>Q1.5 Passed</v>
          </cell>
          <cell r="S901" t="str">
            <v>Q1.5 Passed</v>
          </cell>
          <cell r="V901" t="str">
            <v>Tumor content 0-90%  Average 48%</v>
          </cell>
          <cell r="W901" t="str">
            <v>Private Hospital</v>
          </cell>
          <cell r="X901" t="str">
            <v>Clinic'les- DBR &amp; SK Hospital, Tirupati</v>
          </cell>
          <cell r="Y901" t="str">
            <v>DBR &amp; SK Hospital, Tirupati</v>
          </cell>
          <cell r="Z901" t="str">
            <v>Dr C Jayaprakash, Tirupati</v>
          </cell>
          <cell r="AA901" t="str">
            <v>HNSCC</v>
          </cell>
          <cell r="AC901" t="str">
            <v>Buccal Mucosa</v>
          </cell>
          <cell r="AD901" t="str">
            <v>Left Buccal Mucosa</v>
          </cell>
          <cell r="AE901" t="str">
            <v>Female</v>
          </cell>
          <cell r="AF901">
            <v>53</v>
          </cell>
          <cell r="AG901" t="str">
            <v>N</v>
          </cell>
          <cell r="AH901">
            <v>5.6</v>
          </cell>
          <cell r="AI901" t="str">
            <v>Maruthi</v>
          </cell>
          <cell r="AJ901" t="str">
            <v>Surgery</v>
          </cell>
          <cell r="AK901" t="str">
            <v>Primary</v>
          </cell>
          <cell r="AN901" t="str">
            <v>III</v>
          </cell>
          <cell r="AP901" t="str">
            <v xml:space="preserve">T3 N0 MX </v>
          </cell>
          <cell r="AV901">
            <v>45335</v>
          </cell>
          <cell r="AW901">
            <v>0.2638888888888889</v>
          </cell>
          <cell r="AX901">
            <v>0.34791666666666665</v>
          </cell>
          <cell r="AY901">
            <v>8.4027777777777785E-2</v>
          </cell>
          <cell r="AZ901">
            <v>0.95833333333333337</v>
          </cell>
          <cell r="BA901">
            <v>0.8618055555555556</v>
          </cell>
          <cell r="BB901" t="str">
            <v>0.4/0.5*1.4*2.0</v>
          </cell>
          <cell r="BD901" t="str">
            <v>Manual+Vibratome</v>
          </cell>
          <cell r="BE901">
            <v>15</v>
          </cell>
          <cell r="BF901" t="str">
            <v>Kowshik</v>
          </cell>
          <cell r="BG901" t="str">
            <v>Y</v>
          </cell>
        </row>
        <row r="902">
          <cell r="A902" t="str">
            <v>FBR1Y240064</v>
          </cell>
          <cell r="B902">
            <v>240064</v>
          </cell>
          <cell r="C902" t="str">
            <v>R&amp;D</v>
          </cell>
          <cell r="D902">
            <v>45335</v>
          </cell>
          <cell r="E902">
            <v>0.65277777777777779</v>
          </cell>
          <cell r="F902">
            <v>45323</v>
          </cell>
          <cell r="G902">
            <v>45335</v>
          </cell>
          <cell r="H902">
            <v>0.72083333333333333</v>
          </cell>
          <cell r="I902">
            <v>6.805555555555555E-2</v>
          </cell>
          <cell r="J902">
            <v>8</v>
          </cell>
          <cell r="K902" t="str">
            <v>FCB-PROTOCOL-02</v>
          </cell>
          <cell r="L902" t="str">
            <v>HN124</v>
          </cell>
          <cell r="M902" t="str">
            <v>Y</v>
          </cell>
          <cell r="N902" t="str">
            <v>CCS Study (1Y)</v>
          </cell>
          <cell r="O902" t="str">
            <v>Internal R&amp;D</v>
          </cell>
          <cell r="P902" t="str">
            <v>Q1 Passed</v>
          </cell>
          <cell r="Q902" t="str">
            <v>Q1 Passed</v>
          </cell>
          <cell r="R902" t="str">
            <v>Compromised</v>
          </cell>
          <cell r="S902" t="str">
            <v>Q1.5 Passed</v>
          </cell>
          <cell r="V902" t="str">
            <v>Tumor content 45-98%</v>
          </cell>
          <cell r="W902" t="str">
            <v>Private Hospital</v>
          </cell>
          <cell r="X902" t="str">
            <v>Mazumdar Shaw Medical Centre, Bangalore</v>
          </cell>
          <cell r="Y902" t="str">
            <v>Mazumdar Shaw Medical Centre, Bangalore</v>
          </cell>
          <cell r="Z902" t="str">
            <v>Dr Vijay Pillai, Bangalore</v>
          </cell>
          <cell r="AA902" t="str">
            <v>HNSCC</v>
          </cell>
          <cell r="AC902" t="str">
            <v>Buccal Mucosa</v>
          </cell>
          <cell r="AD902" t="str">
            <v>Buccal Mucosa</v>
          </cell>
          <cell r="AE902" t="str">
            <v>Female</v>
          </cell>
          <cell r="AF902">
            <v>80</v>
          </cell>
          <cell r="AG902" t="str">
            <v>N</v>
          </cell>
          <cell r="AH902">
            <v>5.2</v>
          </cell>
          <cell r="AI902" t="str">
            <v>Maruthi</v>
          </cell>
          <cell r="AJ902" t="str">
            <v>Surgery</v>
          </cell>
          <cell r="AK902" t="str">
            <v>Primary</v>
          </cell>
          <cell r="AN902" t="str">
            <v>IV</v>
          </cell>
          <cell r="AO902">
            <v>2</v>
          </cell>
          <cell r="AP902" t="str">
            <v>pT4apN0</v>
          </cell>
          <cell r="AV902">
            <v>45335</v>
          </cell>
          <cell r="AW902">
            <v>0.73124999999999996</v>
          </cell>
          <cell r="AX902">
            <v>0.80138888888888893</v>
          </cell>
          <cell r="AY902">
            <v>7.013888888888889E-2</v>
          </cell>
          <cell r="AZ902">
            <v>0.73333333333333328</v>
          </cell>
          <cell r="BA902">
            <v>0.14861111111111111</v>
          </cell>
          <cell r="BB902" t="str">
            <v>0.2*0.6/0.2*1.0/0.6
0.2*0.4/0.2*0.6/0.4
0.2*0.4*1.2</v>
          </cell>
          <cell r="BD902" t="str">
            <v>Manual</v>
          </cell>
          <cell r="BE902">
            <v>15</v>
          </cell>
          <cell r="BF902" t="str">
            <v>Syam</v>
          </cell>
          <cell r="BG902" t="str">
            <v>Y</v>
          </cell>
        </row>
        <row r="903">
          <cell r="A903" t="str">
            <v>FBR2F240064</v>
          </cell>
          <cell r="B903">
            <v>240064</v>
          </cell>
          <cell r="C903" t="str">
            <v>R&amp;D</v>
          </cell>
          <cell r="D903">
            <v>45335</v>
          </cell>
          <cell r="E903">
            <v>0.65277777777777779</v>
          </cell>
          <cell r="F903">
            <v>45323</v>
          </cell>
          <cell r="G903">
            <v>45335</v>
          </cell>
          <cell r="H903">
            <v>0.72083333333333333</v>
          </cell>
          <cell r="I903">
            <v>6.805555555555555E-2</v>
          </cell>
          <cell r="J903">
            <v>8</v>
          </cell>
          <cell r="K903" t="str">
            <v>FCB-PROTOCOL-02</v>
          </cell>
          <cell r="L903" t="str">
            <v>HN124</v>
          </cell>
          <cell r="M903" t="str">
            <v>Y</v>
          </cell>
          <cell r="N903" t="str">
            <v>ECR (2F)</v>
          </cell>
          <cell r="O903" t="str">
            <v>Internal R&amp;D</v>
          </cell>
          <cell r="P903" t="str">
            <v>Q1 Passed</v>
          </cell>
          <cell r="Q903" t="str">
            <v>Q1 Passed</v>
          </cell>
          <cell r="R903" t="str">
            <v>Compromised</v>
          </cell>
          <cell r="S903" t="str">
            <v>Q1.5 Passed</v>
          </cell>
          <cell r="V903" t="str">
            <v>Tumor content 45-98%</v>
          </cell>
          <cell r="W903" t="str">
            <v>Private Hospital</v>
          </cell>
          <cell r="X903" t="str">
            <v>Mazumdar Shaw Medical Centre, Bangalore</v>
          </cell>
          <cell r="Y903" t="str">
            <v>Mazumdar Shaw Medical Centre, Bangalore</v>
          </cell>
          <cell r="Z903" t="str">
            <v>Dr Vijay Pillai, Bangalore</v>
          </cell>
          <cell r="AA903" t="str">
            <v>HNSCC</v>
          </cell>
          <cell r="AC903" t="str">
            <v>Buccal Mucosa</v>
          </cell>
          <cell r="AD903" t="str">
            <v>Buccal Mucosa</v>
          </cell>
          <cell r="AE903" t="str">
            <v>Female</v>
          </cell>
          <cell r="AF903">
            <v>80</v>
          </cell>
          <cell r="AG903" t="str">
            <v>N</v>
          </cell>
          <cell r="AH903">
            <v>5.2</v>
          </cell>
          <cell r="AI903" t="str">
            <v>Maruthi</v>
          </cell>
          <cell r="AJ903" t="str">
            <v>Surgery</v>
          </cell>
          <cell r="AK903" t="str">
            <v>Primary</v>
          </cell>
          <cell r="AN903" t="str">
            <v>IV</v>
          </cell>
          <cell r="AO903">
            <v>2</v>
          </cell>
          <cell r="AP903" t="str">
            <v>pT4apN0</v>
          </cell>
          <cell r="AV903">
            <v>45338</v>
          </cell>
          <cell r="AX903">
            <v>0.65138888888888891</v>
          </cell>
          <cell r="AY903">
            <v>0.65138888888888891</v>
          </cell>
          <cell r="AZ903">
            <v>0.58333333333333337</v>
          </cell>
          <cell r="BB903" t="str">
            <v>0.2*0.6/0.2*1.0/0.6
0.2*0.4/0.2*0.6/0.4
0.2*0.4*1.2</v>
          </cell>
          <cell r="BD903" t="str">
            <v>Manual</v>
          </cell>
          <cell r="BE903">
            <v>15</v>
          </cell>
          <cell r="BF903" t="str">
            <v>Syam</v>
          </cell>
          <cell r="BG903" t="str">
            <v>Y</v>
          </cell>
        </row>
        <row r="904">
          <cell r="A904" t="str">
            <v>FBR1Y240065</v>
          </cell>
          <cell r="B904">
            <v>240065</v>
          </cell>
          <cell r="C904" t="str">
            <v>R&amp;D</v>
          </cell>
          <cell r="D904">
            <v>45337</v>
          </cell>
          <cell r="E904">
            <v>0.47222222222222221</v>
          </cell>
          <cell r="F904">
            <v>45323</v>
          </cell>
          <cell r="G904">
            <v>45337</v>
          </cell>
          <cell r="H904">
            <v>0.68541666666666667</v>
          </cell>
          <cell r="I904">
            <v>0.21319444444444444</v>
          </cell>
          <cell r="J904">
            <v>3</v>
          </cell>
          <cell r="K904" t="str">
            <v>FCB-PROTOCOL-01</v>
          </cell>
          <cell r="L904" t="str">
            <v>VYD/254</v>
          </cell>
          <cell r="M904" t="str">
            <v>Y</v>
          </cell>
          <cell r="N904" t="str">
            <v>CCS Study (1Y)</v>
          </cell>
          <cell r="O904" t="str">
            <v>Internal R&amp;D</v>
          </cell>
          <cell r="P904" t="str">
            <v>Q1 Passed</v>
          </cell>
          <cell r="Q904" t="str">
            <v>Q1 Passed</v>
          </cell>
          <cell r="R904" t="str">
            <v>Q1.5 Passed</v>
          </cell>
          <cell r="S904" t="str">
            <v>Q1.5 Passed</v>
          </cell>
          <cell r="V904" t="str">
            <v>A:Tumor content 55-98%</v>
          </cell>
          <cell r="W904" t="str">
            <v>Private Hospital</v>
          </cell>
          <cell r="X904" t="str">
            <v>Vydehi Hospital, Bangalore</v>
          </cell>
          <cell r="Y904" t="str">
            <v>Vydehi Hospital, Bangalore</v>
          </cell>
          <cell r="Z904" t="str">
            <v>Dr Amritha Prabha, Bangalore</v>
          </cell>
          <cell r="AA904" t="str">
            <v>HNSCC</v>
          </cell>
          <cell r="AC904" t="str">
            <v>Buccal Mucosa</v>
          </cell>
          <cell r="AD904" t="str">
            <v>Left Buccal Mucosa</v>
          </cell>
          <cell r="AE904" t="str">
            <v>Male</v>
          </cell>
          <cell r="AF904">
            <v>42</v>
          </cell>
          <cell r="AG904" t="str">
            <v>N</v>
          </cell>
          <cell r="AH904">
            <v>5.0999999999999996</v>
          </cell>
          <cell r="AI904" t="str">
            <v>Shashi</v>
          </cell>
          <cell r="AJ904" t="str">
            <v>Surgery</v>
          </cell>
          <cell r="AK904" t="str">
            <v>Primary</v>
          </cell>
          <cell r="AN904" t="str">
            <v>II</v>
          </cell>
          <cell r="AO904">
            <v>2</v>
          </cell>
          <cell r="AP904" t="str">
            <v>T2N0</v>
          </cell>
          <cell r="AS904" t="str">
            <v>scc</v>
          </cell>
          <cell r="AT904" t="str">
            <v>RT</v>
          </cell>
          <cell r="AV904">
            <v>45337</v>
          </cell>
          <cell r="AW904">
            <v>0.6958333333333333</v>
          </cell>
          <cell r="AX904">
            <v>0.81458333333333333</v>
          </cell>
          <cell r="AY904">
            <v>0.11874999999999999</v>
          </cell>
          <cell r="AZ904">
            <v>0.60138888888888886</v>
          </cell>
          <cell r="BA904">
            <v>0.34236111111111112</v>
          </cell>
          <cell r="BB904" t="str">
            <v>0.4/0.8*1.0/1.2*1.2/1.8</v>
          </cell>
          <cell r="BD904" t="str">
            <v>Manual+Vibratome</v>
          </cell>
          <cell r="BE904">
            <v>15</v>
          </cell>
          <cell r="BF904" t="str">
            <v xml:space="preserve">sai </v>
          </cell>
          <cell r="BG904" t="str">
            <v>Y</v>
          </cell>
        </row>
        <row r="905">
          <cell r="A905" t="str">
            <v>FBR1Q240066</v>
          </cell>
          <cell r="B905">
            <v>240066</v>
          </cell>
          <cell r="C905" t="str">
            <v>R&amp;D</v>
          </cell>
          <cell r="D905">
            <v>45337</v>
          </cell>
          <cell r="E905">
            <v>0.5625</v>
          </cell>
          <cell r="F905">
            <v>45323</v>
          </cell>
          <cell r="G905">
            <v>45337</v>
          </cell>
          <cell r="H905">
            <v>0.68541666666666667</v>
          </cell>
          <cell r="I905">
            <v>0.12291666666666666</v>
          </cell>
          <cell r="J905">
            <v>15</v>
          </cell>
          <cell r="K905" t="str">
            <v>FCB-PROTOCOL-01</v>
          </cell>
          <cell r="L905" t="str">
            <v>VYD/255</v>
          </cell>
          <cell r="M905" t="str">
            <v>Y</v>
          </cell>
          <cell r="N905" t="str">
            <v>COSv4.2_CaBR(1Q-Unknown)</v>
          </cell>
          <cell r="O905" t="str">
            <v>Internal R&amp;D</v>
          </cell>
          <cell r="P905" t="str">
            <v>Q1 Passed</v>
          </cell>
          <cell r="Q905" t="str">
            <v>Q1 Passed</v>
          </cell>
          <cell r="R905" t="str">
            <v>Q1.5 Passed</v>
          </cell>
          <cell r="S905" t="str">
            <v>Q1.5 Rejected</v>
          </cell>
          <cell r="V905" t="str">
            <v>Tumor content 1-7%. Average tumor content 3%</v>
          </cell>
          <cell r="W905" t="str">
            <v>Private Hospital</v>
          </cell>
          <cell r="X905" t="str">
            <v>Vydehi Hospital, Bangalore</v>
          </cell>
          <cell r="Y905" t="str">
            <v>Vydehi Hospital, Bangalore</v>
          </cell>
          <cell r="Z905" t="str">
            <v>Dr Amritha Prabha, Bangalore</v>
          </cell>
          <cell r="AA905" t="str">
            <v>Ca Breast</v>
          </cell>
          <cell r="AC905" t="str">
            <v>Breast</v>
          </cell>
          <cell r="AD905" t="str">
            <v>Right Breast</v>
          </cell>
          <cell r="AE905" t="str">
            <v>Female</v>
          </cell>
          <cell r="AF905">
            <v>56</v>
          </cell>
          <cell r="AG905" t="str">
            <v>N</v>
          </cell>
          <cell r="AH905">
            <v>5.0999999999999996</v>
          </cell>
          <cell r="AI905" t="str">
            <v>Shashi</v>
          </cell>
          <cell r="AJ905" t="str">
            <v>Surgery</v>
          </cell>
          <cell r="AK905" t="str">
            <v>Primary</v>
          </cell>
          <cell r="AN905" t="str">
            <v>IB</v>
          </cell>
          <cell r="AO905">
            <v>2</v>
          </cell>
          <cell r="AP905" t="str">
            <v>T2N1a</v>
          </cell>
          <cell r="AS905" t="str">
            <v>IDC</v>
          </cell>
          <cell r="AT905" t="str">
            <v>CTRT</v>
          </cell>
          <cell r="AU905" t="str">
            <v>Adriyamycin, Cyclophosphamide, Paclitaxel</v>
          </cell>
          <cell r="AV905">
            <v>45337</v>
          </cell>
          <cell r="AW905">
            <v>0.6958333333333333</v>
          </cell>
          <cell r="AX905">
            <v>0.77083333333333337</v>
          </cell>
          <cell r="AY905">
            <v>7.4999999999999997E-2</v>
          </cell>
          <cell r="AZ905">
            <v>0.6479166666666667</v>
          </cell>
          <cell r="BA905">
            <v>0.20833333333333334</v>
          </cell>
          <cell r="BB905" t="str">
            <v>0.4*1.2*1.4</v>
          </cell>
          <cell r="BD905" t="str">
            <v>Manual</v>
          </cell>
          <cell r="BE905">
            <v>15</v>
          </cell>
          <cell r="BF905" t="str">
            <v>Syam</v>
          </cell>
          <cell r="BG905" t="str">
            <v>Y</v>
          </cell>
        </row>
        <row r="906">
          <cell r="A906" t="str">
            <v>FBR2A240067</v>
          </cell>
          <cell r="B906">
            <v>240067</v>
          </cell>
          <cell r="C906" t="str">
            <v>R&amp;D</v>
          </cell>
          <cell r="D906">
            <v>45338</v>
          </cell>
          <cell r="E906">
            <v>0.4201388888888889</v>
          </cell>
          <cell r="F906">
            <v>45323</v>
          </cell>
          <cell r="G906">
            <v>45338</v>
          </cell>
          <cell r="H906">
            <v>0.50486111111111109</v>
          </cell>
          <cell r="I906">
            <v>8.4722222222222227E-2</v>
          </cell>
          <cell r="J906">
            <v>25</v>
          </cell>
          <cell r="K906" t="str">
            <v>FCB-PROTOCOL-01</v>
          </cell>
          <cell r="L906" t="str">
            <v>OCO35</v>
          </cell>
          <cell r="M906" t="str">
            <v>Y</v>
          </cell>
          <cell r="N906" t="str">
            <v>Ovary CC (R2A)</v>
          </cell>
          <cell r="O906" t="str">
            <v>Internal R&amp;D</v>
          </cell>
          <cell r="P906" t="str">
            <v>Q1 Passed</v>
          </cell>
          <cell r="Q906" t="str">
            <v>Q1 Passed</v>
          </cell>
          <cell r="R906" t="str">
            <v>Q1.5 Passed</v>
          </cell>
          <cell r="S906" t="str">
            <v>Q1.5 Passed</v>
          </cell>
          <cell r="V906" t="str">
            <v>Tumor content 0-70%. Average tumor content 6%</v>
          </cell>
          <cell r="W906" t="str">
            <v>Private Hospital</v>
          </cell>
          <cell r="X906" t="str">
            <v>Mazumdar Shaw Medical Centre, Bangalore</v>
          </cell>
          <cell r="Y906" t="str">
            <v>Mazumdar Shaw Medical Centre, Bangalore</v>
          </cell>
          <cell r="Z906" t="str">
            <v>Dr Rohit Ranade, Bangalore</v>
          </cell>
          <cell r="AA906" t="str">
            <v>Ca Ovary</v>
          </cell>
          <cell r="AC906" t="str">
            <v>Ovary</v>
          </cell>
          <cell r="AD906" t="str">
            <v>Left Ovary</v>
          </cell>
          <cell r="AE906" t="str">
            <v>Female</v>
          </cell>
          <cell r="AF906">
            <v>57</v>
          </cell>
          <cell r="AG906" t="str">
            <v>N</v>
          </cell>
          <cell r="AH906">
            <v>4.8</v>
          </cell>
          <cell r="AI906" t="str">
            <v>Kalappa</v>
          </cell>
          <cell r="AJ906" t="str">
            <v>Surgery</v>
          </cell>
          <cell r="AK906" t="str">
            <v>Primary</v>
          </cell>
          <cell r="AN906" t="str">
            <v>I</v>
          </cell>
          <cell r="AO906">
            <v>1</v>
          </cell>
          <cell r="AP906" t="str">
            <v>pT1apN0</v>
          </cell>
          <cell r="AV906">
            <v>45338</v>
          </cell>
          <cell r="AW906">
            <v>0.52777777777777779</v>
          </cell>
          <cell r="AX906">
            <v>0.57638888888888884</v>
          </cell>
          <cell r="AY906">
            <v>4.8611111111111112E-2</v>
          </cell>
          <cell r="AZ906">
            <v>0.49166666666666664</v>
          </cell>
          <cell r="BA906">
            <v>0.15625</v>
          </cell>
          <cell r="BB906" t="str">
            <v>0.4/0.6*0.6/1.2*2.6
0.2*0.4*0.8
0.2*0.4*0.8</v>
          </cell>
          <cell r="BD906" t="str">
            <v>Manual</v>
          </cell>
          <cell r="BE906">
            <v>15</v>
          </cell>
          <cell r="BF906" t="str">
            <v>Kokila</v>
          </cell>
          <cell r="BG906" t="str">
            <v>Y</v>
          </cell>
        </row>
        <row r="907">
          <cell r="A907" t="str">
            <v>FBR2B240068</v>
          </cell>
          <cell r="B907">
            <v>240068</v>
          </cell>
          <cell r="C907" t="str">
            <v>R&amp;D</v>
          </cell>
          <cell r="D907">
            <v>45338</v>
          </cell>
          <cell r="E907">
            <v>0.47916666666666669</v>
          </cell>
          <cell r="F907">
            <v>45323</v>
          </cell>
          <cell r="G907">
            <v>45338</v>
          </cell>
          <cell r="H907">
            <v>0.61805555555555558</v>
          </cell>
          <cell r="I907">
            <v>0.1388888888888889</v>
          </cell>
          <cell r="J907">
            <v>0</v>
          </cell>
          <cell r="K907" t="str">
            <v>FCB-PROTOCOL-01</v>
          </cell>
          <cell r="L907" t="str">
            <v>OCO36</v>
          </cell>
          <cell r="M907" t="str">
            <v>Y</v>
          </cell>
          <cell r="N907" t="str">
            <v>ovary Biopsy (2B)</v>
          </cell>
          <cell r="O907" t="str">
            <v>Internal R&amp;D</v>
          </cell>
          <cell r="P907" t="str">
            <v>Q1 Passed</v>
          </cell>
          <cell r="Q907" t="str">
            <v>Q1 Passed</v>
          </cell>
          <cell r="R907" t="str">
            <v>Q1.5 Passed</v>
          </cell>
          <cell r="S907" t="str">
            <v>Q1.5 Passed</v>
          </cell>
          <cell r="V907" t="str">
            <v>Tumor content 2-15%. Average tumor content 7%</v>
          </cell>
          <cell r="W907" t="str">
            <v>Private Hospital</v>
          </cell>
          <cell r="X907" t="str">
            <v>Mazumdar Shaw Medical Centre, Bangalore</v>
          </cell>
          <cell r="Y907" t="str">
            <v>Mazumdar Shaw Medical Centre, Bangalore</v>
          </cell>
          <cell r="Z907" t="str">
            <v>Dr Rohit Ranade, Bangalore</v>
          </cell>
          <cell r="AA907" t="str">
            <v>Ca Ovary</v>
          </cell>
          <cell r="AC907" t="str">
            <v>Peritoneal</v>
          </cell>
          <cell r="AD907" t="str">
            <v>Peritoneal</v>
          </cell>
          <cell r="AE907" t="str">
            <v>Female</v>
          </cell>
          <cell r="AF907">
            <v>77</v>
          </cell>
          <cell r="AG907" t="str">
            <v>N</v>
          </cell>
          <cell r="AH907">
            <v>5.2</v>
          </cell>
          <cell r="AI907" t="str">
            <v>Kalappa</v>
          </cell>
          <cell r="AJ907" t="str">
            <v>Biopsy</v>
          </cell>
          <cell r="AK907" t="str">
            <v>Primary</v>
          </cell>
          <cell r="AN907" t="str">
            <v>NA</v>
          </cell>
          <cell r="AO907" t="str">
            <v>High grade</v>
          </cell>
          <cell r="AP907" t="str">
            <v>NA</v>
          </cell>
          <cell r="AV907">
            <v>45338</v>
          </cell>
          <cell r="AW907">
            <v>0.63541666666666663</v>
          </cell>
          <cell r="AX907">
            <v>0.66666666666666663</v>
          </cell>
          <cell r="AY907">
            <v>3.125E-2</v>
          </cell>
          <cell r="AZ907">
            <v>0.52777777777777779</v>
          </cell>
          <cell r="BA907">
            <v>0.1875</v>
          </cell>
          <cell r="BB907" t="str">
            <v>0.1*0.3*0.3</v>
          </cell>
          <cell r="BD907" t="str">
            <v>Manual</v>
          </cell>
          <cell r="BE907">
            <v>15</v>
          </cell>
          <cell r="BF907" t="str">
            <v>Pallavi</v>
          </cell>
          <cell r="BG907" t="str">
            <v>Y</v>
          </cell>
        </row>
        <row r="908">
          <cell r="A908" t="str">
            <v>FBR2B240069</v>
          </cell>
          <cell r="B908">
            <v>240069</v>
          </cell>
          <cell r="C908" t="str">
            <v>R&amp;D</v>
          </cell>
          <cell r="D908">
            <v>45339</v>
          </cell>
          <cell r="E908">
            <v>0.47569444444444442</v>
          </cell>
          <cell r="F908">
            <v>45323</v>
          </cell>
          <cell r="G908">
            <v>45339</v>
          </cell>
          <cell r="H908">
            <v>0.50972222222222219</v>
          </cell>
          <cell r="I908">
            <v>3.4027777777777775E-2</v>
          </cell>
          <cell r="J908">
            <v>0</v>
          </cell>
          <cell r="K908" t="str">
            <v>FCB-PROTOCOL-01</v>
          </cell>
          <cell r="L908" t="str">
            <v>OCO37</v>
          </cell>
          <cell r="M908" t="str">
            <v>Y</v>
          </cell>
          <cell r="N908" t="str">
            <v>ovary Biopsy (2B)</v>
          </cell>
          <cell r="O908" t="str">
            <v>Internal R&amp;D</v>
          </cell>
          <cell r="P908" t="str">
            <v>Q1 Passed</v>
          </cell>
          <cell r="Q908" t="str">
            <v>Not Received</v>
          </cell>
          <cell r="R908" t="str">
            <v>Q1.5 Passed</v>
          </cell>
          <cell r="S908" t="str">
            <v>Q1.5 Rejected</v>
          </cell>
          <cell r="T908" t="str">
            <v>Blood not collected</v>
          </cell>
          <cell r="V908" t="str">
            <v>No tumor</v>
          </cell>
          <cell r="W908" t="str">
            <v>Private Hospital</v>
          </cell>
          <cell r="X908" t="str">
            <v>Mazumdar Shaw Medical Centre, Bangalore</v>
          </cell>
          <cell r="Y908" t="str">
            <v>Mazumdar Shaw Medical Centre, Bangalore</v>
          </cell>
          <cell r="Z908" t="str">
            <v>Dr Rohit Ranade, Bangalore</v>
          </cell>
          <cell r="AA908" t="str">
            <v>Ca Ovary</v>
          </cell>
          <cell r="AC908" t="str">
            <v>Omentum</v>
          </cell>
          <cell r="AD908" t="str">
            <v>Omentum</v>
          </cell>
          <cell r="AE908" t="str">
            <v>Female</v>
          </cell>
          <cell r="AF908">
            <v>49</v>
          </cell>
          <cell r="AG908" t="str">
            <v>N</v>
          </cell>
          <cell r="AH908">
            <v>5.6</v>
          </cell>
          <cell r="AI908" t="str">
            <v>Maruthi</v>
          </cell>
          <cell r="AJ908" t="str">
            <v>Biopsy</v>
          </cell>
          <cell r="AK908" t="str">
            <v>Primary</v>
          </cell>
          <cell r="AV908">
            <v>45642</v>
          </cell>
          <cell r="AW908">
            <v>0.53888888888888886</v>
          </cell>
          <cell r="AX908">
            <v>0.57847222222222228</v>
          </cell>
          <cell r="AY908">
            <v>3.9583333333333331E-2</v>
          </cell>
          <cell r="AZ908">
            <v>0.5444444444444444</v>
          </cell>
          <cell r="BA908">
            <v>0.10277777777777777</v>
          </cell>
          <cell r="BB908" t="str">
            <v>0.4*0.8*1.2
0.6*0.8*1.4</v>
          </cell>
          <cell r="BD908" t="str">
            <v>Manual</v>
          </cell>
          <cell r="BE908">
            <v>15</v>
          </cell>
          <cell r="BF908" t="str">
            <v>kuberan</v>
          </cell>
          <cell r="BG908" t="str">
            <v>N</v>
          </cell>
        </row>
        <row r="909">
          <cell r="A909" t="str">
            <v>FBR2A240070</v>
          </cell>
          <cell r="B909">
            <v>240070</v>
          </cell>
          <cell r="C909" t="str">
            <v>R&amp;D</v>
          </cell>
          <cell r="D909">
            <v>45339</v>
          </cell>
          <cell r="E909">
            <v>0.58750000000000002</v>
          </cell>
          <cell r="F909">
            <v>45323</v>
          </cell>
          <cell r="G909">
            <v>45339</v>
          </cell>
          <cell r="H909">
            <v>0.65486111111111112</v>
          </cell>
          <cell r="I909">
            <v>6.7361111111111108E-2</v>
          </cell>
          <cell r="J909">
            <v>49</v>
          </cell>
          <cell r="K909" t="str">
            <v>FCB-PROTOCOL-01</v>
          </cell>
          <cell r="L909" t="str">
            <v>OCO38</v>
          </cell>
          <cell r="M909" t="str">
            <v>Y</v>
          </cell>
          <cell r="N909" t="str">
            <v>Ovary CC (R2A)</v>
          </cell>
          <cell r="O909" t="str">
            <v>Internal R&amp;D</v>
          </cell>
          <cell r="P909" t="str">
            <v>Q1 Passed</v>
          </cell>
          <cell r="Q909" t="str">
            <v>Not Received</v>
          </cell>
          <cell r="R909" t="str">
            <v>Q1.5 Passed</v>
          </cell>
          <cell r="S909" t="str">
            <v>Q1.5 Rejected</v>
          </cell>
          <cell r="T909" t="str">
            <v>Blood not collected</v>
          </cell>
          <cell r="V909" t="str">
            <v>No tumor. 1 fragment shows focus of cysadenoma ( Benign)</v>
          </cell>
          <cell r="W909" t="str">
            <v>Private Hospital</v>
          </cell>
          <cell r="X909" t="str">
            <v>Mazumdar Shaw Medical Centre, Bangalore</v>
          </cell>
          <cell r="Y909" t="str">
            <v>Mazumdar Shaw Medical Centre, Bangalore</v>
          </cell>
          <cell r="Z909" t="str">
            <v>Dr Rohit Ranade, Bangalore</v>
          </cell>
          <cell r="AA909" t="str">
            <v>Ca Ovary</v>
          </cell>
          <cell r="AC909" t="str">
            <v>Ovary</v>
          </cell>
          <cell r="AD909" t="str">
            <v>Right Ovary</v>
          </cell>
          <cell r="AE909" t="str">
            <v>Female</v>
          </cell>
          <cell r="AF909">
            <v>46</v>
          </cell>
          <cell r="AG909" t="str">
            <v>N</v>
          </cell>
          <cell r="AH909">
            <v>5.3</v>
          </cell>
          <cell r="AI909" t="str">
            <v>Maruthi</v>
          </cell>
          <cell r="AJ909" t="str">
            <v>Surgery</v>
          </cell>
          <cell r="AK909" t="str">
            <v>Primary</v>
          </cell>
          <cell r="AV909">
            <v>45339</v>
          </cell>
          <cell r="AW909">
            <v>0.68541666666666667</v>
          </cell>
          <cell r="AX909">
            <v>0.70138888888888884</v>
          </cell>
          <cell r="AY909">
            <v>1.5972222222222221E-2</v>
          </cell>
          <cell r="AZ909">
            <v>0.63402777777777775</v>
          </cell>
          <cell r="BA909">
            <v>0.11388888888888889</v>
          </cell>
          <cell r="BB909" t="str">
            <v>0.2/0.3*2.3*1.8</v>
          </cell>
          <cell r="BC909" t="str">
            <v>0.2/0.3*0.4/0.6*1.8</v>
          </cell>
          <cell r="BD909" t="str">
            <v>Manual</v>
          </cell>
          <cell r="BE909">
            <v>15</v>
          </cell>
          <cell r="BF909" t="str">
            <v>kuberan</v>
          </cell>
          <cell r="BG909" t="str">
            <v>N</v>
          </cell>
        </row>
        <row r="910">
          <cell r="A910" t="str">
            <v>FBB1L240071</v>
          </cell>
          <cell r="B910">
            <v>240071</v>
          </cell>
          <cell r="C910" t="str">
            <v>Biopharma</v>
          </cell>
          <cell r="D910">
            <v>45339</v>
          </cell>
          <cell r="E910">
            <v>0.44791666666666669</v>
          </cell>
          <cell r="F910">
            <v>45323</v>
          </cell>
          <cell r="G910">
            <v>45339</v>
          </cell>
          <cell r="H910">
            <v>0.63541666666666663</v>
          </cell>
          <cell r="I910">
            <v>0.1875</v>
          </cell>
          <cell r="J910">
            <v>30</v>
          </cell>
          <cell r="K910" t="str">
            <v>FCB-PROTOCOL-01</v>
          </cell>
          <cell r="L910" t="str">
            <v>JSS-012</v>
          </cell>
          <cell r="M910" t="str">
            <v>Y</v>
          </cell>
          <cell r="N910" t="str">
            <v>BP010 (1L)</v>
          </cell>
          <cell r="O910" t="str">
            <v>Biopharma</v>
          </cell>
          <cell r="P910" t="str">
            <v>Q1 Passed</v>
          </cell>
          <cell r="Q910" t="str">
            <v>Q1 Passed</v>
          </cell>
          <cell r="R910" t="str">
            <v>Q1.5 Passed</v>
          </cell>
          <cell r="S910" t="str">
            <v>Q1.5 Passed</v>
          </cell>
          <cell r="V910" t="str">
            <v>Tumor content 3-98%. Average tumor content 17%</v>
          </cell>
          <cell r="W910" t="str">
            <v>Private Hospital</v>
          </cell>
          <cell r="X910" t="str">
            <v>Clinic'les- Dr Ravi Krishnappa, Mysore</v>
          </cell>
          <cell r="Y910" t="str">
            <v>JSS Hospital, Mysore</v>
          </cell>
          <cell r="Z910" t="str">
            <v>Dr Manjunath</v>
          </cell>
          <cell r="AA910" t="str">
            <v>RCC</v>
          </cell>
          <cell r="AC910" t="str">
            <v xml:space="preserve">Renal </v>
          </cell>
          <cell r="AD910" t="str">
            <v>Right Renal Mass</v>
          </cell>
          <cell r="AE910" t="str">
            <v>Male</v>
          </cell>
          <cell r="AF910">
            <v>58</v>
          </cell>
          <cell r="AG910" t="str">
            <v>N</v>
          </cell>
          <cell r="AH910">
            <v>6.5</v>
          </cell>
          <cell r="AI910" t="str">
            <v>Maruthi</v>
          </cell>
          <cell r="AJ910" t="str">
            <v>Surgery</v>
          </cell>
          <cell r="AK910" t="str">
            <v>Primary</v>
          </cell>
          <cell r="AV910">
            <v>45339</v>
          </cell>
          <cell r="AW910">
            <v>0.73541666666666672</v>
          </cell>
          <cell r="AX910">
            <v>0.82291666666666663</v>
          </cell>
          <cell r="AY910">
            <v>8.7499999999999994E-2</v>
          </cell>
          <cell r="AZ910">
            <v>0.63541666666666663</v>
          </cell>
          <cell r="BA910">
            <v>0.375</v>
          </cell>
          <cell r="BB910" t="str">
            <v>0.5*1.0/0.8*1.2
0.3*05/0.6*1.0
0.2*0.6*0.8
0.2*1.6*1.0</v>
          </cell>
          <cell r="BD910" t="str">
            <v>Manual</v>
          </cell>
          <cell r="BE910">
            <v>15</v>
          </cell>
          <cell r="BF910" t="str">
            <v>Mouniss</v>
          </cell>
          <cell r="BG910" t="str">
            <v>Y</v>
          </cell>
        </row>
        <row r="911">
          <cell r="A911" t="str">
            <v>FBR1Q240072</v>
          </cell>
          <cell r="B911">
            <v>240072</v>
          </cell>
          <cell r="C911" t="str">
            <v>R&amp;D</v>
          </cell>
          <cell r="D911">
            <v>45338</v>
          </cell>
          <cell r="E911">
            <v>0.61458333333333337</v>
          </cell>
          <cell r="F911">
            <v>45323</v>
          </cell>
          <cell r="G911">
            <v>45340</v>
          </cell>
          <cell r="H911">
            <v>0.55555555555555558</v>
          </cell>
          <cell r="I911">
            <v>0.94097222222222221</v>
          </cell>
          <cell r="J911">
            <v>15</v>
          </cell>
          <cell r="K911" t="str">
            <v>FCB-PROTOCOL-01</v>
          </cell>
          <cell r="L911" t="str">
            <v>CLN/DBR/173</v>
          </cell>
          <cell r="M911" t="str">
            <v>Y</v>
          </cell>
          <cell r="N911" t="str">
            <v>COSv4.2_CaBR(1Q-Unknown)</v>
          </cell>
          <cell r="O911" t="str">
            <v>Internal R&amp;D</v>
          </cell>
          <cell r="P911" t="str">
            <v>Q1 Passed</v>
          </cell>
          <cell r="Q911" t="str">
            <v>Q1 Passed</v>
          </cell>
          <cell r="R911" t="str">
            <v>Q1.5 Passed</v>
          </cell>
          <cell r="S911" t="str">
            <v>Q1.5 Passed</v>
          </cell>
          <cell r="V911" t="str">
            <v>Tumor content 3-15%. Average tumor content 8%</v>
          </cell>
          <cell r="W911" t="str">
            <v>Private Hospital</v>
          </cell>
          <cell r="X911" t="str">
            <v>Clinic'les- DBR &amp; SK Hospital, Tirupati</v>
          </cell>
          <cell r="Y911" t="str">
            <v>DBR &amp; SK Hospital, Tirupati</v>
          </cell>
          <cell r="Z911" t="str">
            <v>Dr C Jayaprakash, Tirupati</v>
          </cell>
          <cell r="AA911" t="str">
            <v>Ca Breast</v>
          </cell>
          <cell r="AC911" t="str">
            <v>Breast</v>
          </cell>
          <cell r="AD911" t="str">
            <v>Left Breast</v>
          </cell>
          <cell r="AE911" t="str">
            <v>Female</v>
          </cell>
          <cell r="AF911">
            <v>81</v>
          </cell>
          <cell r="AG911" t="str">
            <v>N</v>
          </cell>
          <cell r="AH911">
            <v>7.7</v>
          </cell>
          <cell r="AI911" t="str">
            <v>Kalappa</v>
          </cell>
          <cell r="AJ911" t="str">
            <v>Surgery</v>
          </cell>
          <cell r="AK911" t="str">
            <v>Primary</v>
          </cell>
          <cell r="AN911" t="str">
            <v>IIB</v>
          </cell>
          <cell r="AO911">
            <v>1</v>
          </cell>
          <cell r="AP911" t="str">
            <v xml:space="preserve">T3 N0 MX </v>
          </cell>
          <cell r="AV911">
            <v>45340</v>
          </cell>
          <cell r="AW911">
            <v>0.53749999999999998</v>
          </cell>
          <cell r="AX911">
            <v>0.60277777777777775</v>
          </cell>
          <cell r="AY911">
            <v>6.5277777777777782E-2</v>
          </cell>
          <cell r="AZ911">
            <v>0.66180555555555554</v>
          </cell>
          <cell r="BA911">
            <v>0.98819444444444449</v>
          </cell>
          <cell r="BB911" t="str">
            <v>0.6/0.4*2.8*4.6</v>
          </cell>
          <cell r="BC911" t="str">
            <v>0.4*2.0*3.0</v>
          </cell>
          <cell r="BD911" t="str">
            <v>Manual</v>
          </cell>
          <cell r="BE911">
            <v>15</v>
          </cell>
          <cell r="BF911" t="str">
            <v>Syam</v>
          </cell>
          <cell r="BG911" t="str">
            <v>Y</v>
          </cell>
        </row>
        <row r="912">
          <cell r="A912" t="str">
            <v>FBB1L240073</v>
          </cell>
          <cell r="B912">
            <v>240073</v>
          </cell>
          <cell r="C912" t="str">
            <v>Biopharma</v>
          </cell>
          <cell r="D912">
            <v>45341</v>
          </cell>
          <cell r="E912">
            <v>0.53541666666666665</v>
          </cell>
          <cell r="F912">
            <v>45323</v>
          </cell>
          <cell r="G912">
            <v>45341</v>
          </cell>
          <cell r="H912">
            <v>0.62986111111111109</v>
          </cell>
          <cell r="I912">
            <v>9.4444444444444442E-2</v>
          </cell>
          <cell r="J912">
            <v>4</v>
          </cell>
          <cell r="K912" t="str">
            <v>FCB-PROTOCOL-02</v>
          </cell>
          <cell r="L912" t="str">
            <v>RCO46</v>
          </cell>
          <cell r="M912" t="str">
            <v>Y</v>
          </cell>
          <cell r="N912" t="str">
            <v>BP010 (1L)</v>
          </cell>
          <cell r="O912" t="str">
            <v>Biopharma</v>
          </cell>
          <cell r="P912" t="str">
            <v>Q1 Passed</v>
          </cell>
          <cell r="Q912" t="str">
            <v>Q1 Passed</v>
          </cell>
          <cell r="R912" t="str">
            <v>Q1.5 Passed</v>
          </cell>
          <cell r="S912" t="str">
            <v>Q1.5 Passed</v>
          </cell>
          <cell r="V912" t="str">
            <v>Tumor content 0-98% Average 55%</v>
          </cell>
          <cell r="W912" t="str">
            <v>Private Hospital</v>
          </cell>
          <cell r="X912" t="str">
            <v>Mazumdar Shaw Medical Centre, Bangalore</v>
          </cell>
          <cell r="Y912" t="str">
            <v>Mazumdar Shaw Medical Centre, Bangalore</v>
          </cell>
          <cell r="Z912" t="str">
            <v>Dr Saurabh Bhargav, Bangalore</v>
          </cell>
          <cell r="AA912" t="str">
            <v>RCC</v>
          </cell>
          <cell r="AC912" t="str">
            <v>Renal</v>
          </cell>
          <cell r="AD912" t="str">
            <v>Left Renal Mass</v>
          </cell>
          <cell r="AE912" t="str">
            <v>Male</v>
          </cell>
          <cell r="AF912">
            <v>70</v>
          </cell>
          <cell r="AG912" t="str">
            <v>N</v>
          </cell>
          <cell r="AH912">
            <v>3.9</v>
          </cell>
          <cell r="AI912" t="str">
            <v>Partha</v>
          </cell>
          <cell r="AJ912" t="str">
            <v>Surgery</v>
          </cell>
          <cell r="AK912" t="str">
            <v>Primary</v>
          </cell>
          <cell r="AN912" t="str">
            <v>II</v>
          </cell>
          <cell r="AO912">
            <v>1</v>
          </cell>
          <cell r="AP912" t="str">
            <v>pT1b</v>
          </cell>
          <cell r="AV912">
            <v>45341</v>
          </cell>
          <cell r="AW912">
            <v>0.64930555555555558</v>
          </cell>
          <cell r="AX912">
            <v>0.70277777777777772</v>
          </cell>
          <cell r="AY912">
            <v>5.347222222222222E-2</v>
          </cell>
          <cell r="AZ912">
            <v>0.60833333333333328</v>
          </cell>
          <cell r="BA912">
            <v>0.1673611111111111</v>
          </cell>
          <cell r="BB912" t="str">
            <v>0.2*1.0/1.2*0.8/1.0
o.2*1.2*0.8/1.0</v>
          </cell>
          <cell r="BD912" t="str">
            <v>Manual</v>
          </cell>
          <cell r="BE912">
            <v>15</v>
          </cell>
          <cell r="BF912" t="str">
            <v>Dharani</v>
          </cell>
          <cell r="BG912" t="str">
            <v>Y</v>
          </cell>
        </row>
        <row r="913">
          <cell r="A913" t="str">
            <v>FBR1Q240074</v>
          </cell>
          <cell r="B913">
            <v>240074</v>
          </cell>
          <cell r="C913" t="str">
            <v>R&amp;D</v>
          </cell>
          <cell r="D913">
            <v>45341</v>
          </cell>
          <cell r="E913">
            <v>0.59930555555555554</v>
          </cell>
          <cell r="F913">
            <v>45323</v>
          </cell>
          <cell r="G913">
            <v>45341</v>
          </cell>
          <cell r="H913">
            <v>0.67638888888888893</v>
          </cell>
          <cell r="I913">
            <v>7.7083333333333337E-2</v>
          </cell>
          <cell r="J913">
            <v>4</v>
          </cell>
          <cell r="K913" t="str">
            <v>FCB-PROTOCOL-01</v>
          </cell>
          <cell r="L913" t="str">
            <v>VYD/256</v>
          </cell>
          <cell r="M913" t="str">
            <v>Y</v>
          </cell>
          <cell r="N913" t="str">
            <v>COSv4.2_CaBR(1Q-Unknown)</v>
          </cell>
          <cell r="O913" t="str">
            <v>Internal R&amp;D</v>
          </cell>
          <cell r="P913" t="str">
            <v>Q1 Passed</v>
          </cell>
          <cell r="Q913" t="str">
            <v>Q1 Passed</v>
          </cell>
          <cell r="R913" t="str">
            <v>Q1.5 Passed</v>
          </cell>
          <cell r="S913" t="str">
            <v>Q1.5 Passed</v>
          </cell>
          <cell r="V913" t="str">
            <v>Tumor content 0-90% Average 30%</v>
          </cell>
          <cell r="W913" t="str">
            <v>Private Hospital</v>
          </cell>
          <cell r="X913" t="str">
            <v>Vydehi Hospital, Bangalore</v>
          </cell>
          <cell r="Y913" t="str">
            <v>Vydehi Hospital, Bangalore</v>
          </cell>
          <cell r="Z913" t="str">
            <v>Dr Amritha Prabha, Bangalore</v>
          </cell>
          <cell r="AA913" t="str">
            <v>Ca Breast</v>
          </cell>
          <cell r="AC913" t="str">
            <v>Breast</v>
          </cell>
          <cell r="AD913" t="str">
            <v>Right  Breast</v>
          </cell>
          <cell r="AE913" t="str">
            <v>Female</v>
          </cell>
          <cell r="AF913">
            <v>37</v>
          </cell>
          <cell r="AG913" t="str">
            <v>N</v>
          </cell>
          <cell r="AH913">
            <v>4.5</v>
          </cell>
          <cell r="AI913" t="str">
            <v>Maruthi</v>
          </cell>
          <cell r="AJ913" t="str">
            <v>Surgery</v>
          </cell>
          <cell r="AK913" t="str">
            <v>Primary</v>
          </cell>
          <cell r="AN913" t="str">
            <v>IIB</v>
          </cell>
          <cell r="AO913">
            <v>2</v>
          </cell>
          <cell r="AP913" t="str">
            <v>T3N0</v>
          </cell>
          <cell r="AS913" t="str">
            <v>IDC</v>
          </cell>
          <cell r="AT913" t="str">
            <v>CTRT</v>
          </cell>
          <cell r="AU913" t="str">
            <v>Cyclophosphamide, Paclitaxel</v>
          </cell>
          <cell r="AV913">
            <v>45341</v>
          </cell>
          <cell r="AW913">
            <v>0.6875</v>
          </cell>
          <cell r="AX913">
            <v>0.75</v>
          </cell>
          <cell r="AY913">
            <v>6.25E-2</v>
          </cell>
          <cell r="AZ913">
            <v>0.67291666666666672</v>
          </cell>
          <cell r="BA913">
            <v>0.15069444444444444</v>
          </cell>
          <cell r="BB913" t="str">
            <v>0.4/0.8*1.0*3.2</v>
          </cell>
          <cell r="BC913" t="str">
            <v>0.4*0.8*1.6
0.4*0.6*1.6</v>
          </cell>
          <cell r="BD913" t="str">
            <v>Manual</v>
          </cell>
          <cell r="BE913">
            <v>15</v>
          </cell>
          <cell r="BF913" t="str">
            <v>Kokila</v>
          </cell>
          <cell r="BG913" t="str">
            <v>Y</v>
          </cell>
        </row>
        <row r="914">
          <cell r="A914" t="str">
            <v>FBR1W240075</v>
          </cell>
          <cell r="B914">
            <v>240075</v>
          </cell>
          <cell r="C914" t="str">
            <v>R&amp;D</v>
          </cell>
          <cell r="D914">
            <v>45341</v>
          </cell>
          <cell r="E914">
            <v>0.57499999999999996</v>
          </cell>
          <cell r="F914">
            <v>45323</v>
          </cell>
          <cell r="G914">
            <v>45341</v>
          </cell>
          <cell r="H914">
            <v>0.67708333333333337</v>
          </cell>
          <cell r="I914">
            <v>0.10208333333333333</v>
          </cell>
          <cell r="J914">
            <v>0</v>
          </cell>
          <cell r="K914" t="str">
            <v>FCB-PROTOCOL-02</v>
          </cell>
          <cell r="L914" t="str">
            <v>BC034</v>
          </cell>
          <cell r="M914" t="str">
            <v>Y</v>
          </cell>
          <cell r="N914" t="str">
            <v>Biopsy Cabr-BSS (1W)</v>
          </cell>
          <cell r="O914" t="str">
            <v>Internal R&amp;D</v>
          </cell>
          <cell r="P914" t="str">
            <v>Q1 Passed</v>
          </cell>
          <cell r="Q914" t="str">
            <v>Q1 Passed</v>
          </cell>
          <cell r="R914" t="str">
            <v>Q1.5 Passed</v>
          </cell>
          <cell r="S914" t="str">
            <v>Q1.5 Passed</v>
          </cell>
          <cell r="V914" t="str">
            <v>Tumor content 0-12%. Average 3%</v>
          </cell>
          <cell r="W914" t="str">
            <v>Private Hospital</v>
          </cell>
          <cell r="X914" t="str">
            <v>Mazumdar Shaw Medical Centre, Bangalore</v>
          </cell>
          <cell r="Y914" t="str">
            <v>Mazumdar Shaw Medical Centre, Bangalore</v>
          </cell>
          <cell r="Z914" t="str">
            <v>Dr Akshita Singh</v>
          </cell>
          <cell r="AA914" t="str">
            <v>Ca Breast</v>
          </cell>
          <cell r="AB914" t="str">
            <v>Er -
Pr weekly positive
Her 2 -</v>
          </cell>
          <cell r="AC914" t="str">
            <v>Breast</v>
          </cell>
          <cell r="AD914" t="str">
            <v>Right  Breast</v>
          </cell>
          <cell r="AE914" t="str">
            <v>Female</v>
          </cell>
          <cell r="AF914">
            <v>47</v>
          </cell>
          <cell r="AG914" t="str">
            <v>N</v>
          </cell>
          <cell r="AH914">
            <v>4.5999999999999996</v>
          </cell>
          <cell r="AI914" t="str">
            <v>Kalappa</v>
          </cell>
          <cell r="AJ914" t="str">
            <v>Biopsy</v>
          </cell>
          <cell r="AK914" t="str">
            <v>Metastatic</v>
          </cell>
          <cell r="AS914" t="str">
            <v>Invasive Breast Carcinoma</v>
          </cell>
          <cell r="AV914">
            <v>45341</v>
          </cell>
          <cell r="AW914">
            <v>0.76736111111111116</v>
          </cell>
          <cell r="AX914">
            <v>0.81666666666666665</v>
          </cell>
          <cell r="AY914">
            <v>4.9305555555555554E-2</v>
          </cell>
          <cell r="AZ914">
            <v>0.71458333333333335</v>
          </cell>
          <cell r="BA914">
            <v>0.24166666666666667</v>
          </cell>
          <cell r="BB914" t="str">
            <v xml:space="preserve">0.2*0.1*1.6/1.8
0.2*0.1*1.4/1.6
0.2*0.1*1.2
0.2*0.1*1.2
0.2*0.1*1.6
</v>
          </cell>
          <cell r="BD914" t="str">
            <v>Manual</v>
          </cell>
          <cell r="BE914">
            <v>15</v>
          </cell>
          <cell r="BF914" t="str">
            <v>Syam</v>
          </cell>
          <cell r="BG914" t="str">
            <v>Y</v>
          </cell>
        </row>
        <row r="915">
          <cell r="A915" t="str">
            <v>FBR1Q240076</v>
          </cell>
          <cell r="B915">
            <v>240076</v>
          </cell>
          <cell r="C915" t="str">
            <v>R&amp;D</v>
          </cell>
          <cell r="D915">
            <v>45342</v>
          </cell>
          <cell r="E915">
            <v>0.58333333333333337</v>
          </cell>
          <cell r="F915">
            <v>45323</v>
          </cell>
          <cell r="G915">
            <v>45342</v>
          </cell>
          <cell r="H915">
            <v>0.77152777777777781</v>
          </cell>
          <cell r="I915">
            <v>0.18819444444444444</v>
          </cell>
          <cell r="J915">
            <v>8</v>
          </cell>
          <cell r="K915" t="str">
            <v>FCB-PROTOCOL-01</v>
          </cell>
          <cell r="L915" t="str">
            <v>VYD/257</v>
          </cell>
          <cell r="M915" t="str">
            <v>Y</v>
          </cell>
          <cell r="N915" t="str">
            <v>COSv4.2_CaBR(1Q-Unknown)</v>
          </cell>
          <cell r="O915" t="str">
            <v>Internal R&amp;D</v>
          </cell>
          <cell r="P915" t="str">
            <v>Q1 Passed</v>
          </cell>
          <cell r="Q915" t="str">
            <v>Q1 Passed</v>
          </cell>
          <cell r="R915" t="str">
            <v>Q1.5 Passed</v>
          </cell>
          <cell r="S915" t="str">
            <v>Q1.5 Rejected</v>
          </cell>
          <cell r="V915" t="str">
            <v>No Tumor</v>
          </cell>
          <cell r="W915" t="str">
            <v>Private Hospital</v>
          </cell>
          <cell r="X915" t="str">
            <v>Vydehi Hospital, Bangalore</v>
          </cell>
          <cell r="Y915" t="str">
            <v>Vydehi Hospital, Bangalore</v>
          </cell>
          <cell r="Z915" t="str">
            <v>Dr Amritha Prabha, Bangalore</v>
          </cell>
          <cell r="AA915" t="str">
            <v>Ca Breast</v>
          </cell>
          <cell r="AC915" t="str">
            <v>Breast</v>
          </cell>
          <cell r="AD915" t="str">
            <v>Left  Breast</v>
          </cell>
          <cell r="AE915" t="str">
            <v>Female</v>
          </cell>
          <cell r="AF915">
            <v>33</v>
          </cell>
          <cell r="AG915" t="str">
            <v>N</v>
          </cell>
          <cell r="AH915">
            <v>4.9000000000000004</v>
          </cell>
          <cell r="AI915" t="str">
            <v>Shashi</v>
          </cell>
          <cell r="AJ915" t="str">
            <v>Surgery</v>
          </cell>
          <cell r="AK915" t="str">
            <v>Primary</v>
          </cell>
          <cell r="AL915" t="str">
            <v>Chemotherapy</v>
          </cell>
          <cell r="AQ915">
            <v>8</v>
          </cell>
          <cell r="AR915" t="str">
            <v>4x Adriamycin, 4x Cyclophosphamide, 4X Paclitaxel</v>
          </cell>
          <cell r="AV915">
            <v>45342</v>
          </cell>
          <cell r="AW915">
            <v>0.78194444444444444</v>
          </cell>
          <cell r="AX915">
            <v>0.84444444444444444</v>
          </cell>
          <cell r="AY915">
            <v>6.25E-2</v>
          </cell>
          <cell r="AZ915">
            <v>0.65625</v>
          </cell>
          <cell r="BA915">
            <v>0.26111111111111113</v>
          </cell>
          <cell r="BB915" t="str">
            <v>1.6/1.8*2.2/1.2*2.8/2.0</v>
          </cell>
          <cell r="BD915" t="str">
            <v>Manual</v>
          </cell>
          <cell r="BE915">
            <v>15</v>
          </cell>
          <cell r="BF915" t="str">
            <v>Syam</v>
          </cell>
          <cell r="BG915" t="str">
            <v>Y</v>
          </cell>
        </row>
        <row r="916">
          <cell r="A916" t="str">
            <v>FBR1Y240077</v>
          </cell>
          <cell r="B916">
            <v>240077</v>
          </cell>
          <cell r="C916" t="str">
            <v>R&amp;D</v>
          </cell>
          <cell r="D916">
            <v>45343</v>
          </cell>
          <cell r="E916">
            <v>0.45277777777777778</v>
          </cell>
          <cell r="F916">
            <v>45323</v>
          </cell>
          <cell r="G916">
            <v>45343</v>
          </cell>
          <cell r="H916">
            <v>0.53888888888888886</v>
          </cell>
          <cell r="I916">
            <v>8.611111111111111E-2</v>
          </cell>
          <cell r="J916">
            <v>7</v>
          </cell>
          <cell r="K916" t="str">
            <v>FCB-PROTOCOL-01</v>
          </cell>
          <cell r="L916" t="str">
            <v>VYD/258</v>
          </cell>
          <cell r="M916" t="str">
            <v>Y</v>
          </cell>
          <cell r="N916" t="str">
            <v>CCS Study (1Y)</v>
          </cell>
          <cell r="O916" t="str">
            <v>Internal R&amp;D</v>
          </cell>
          <cell r="P916" t="str">
            <v>Q1 Passed</v>
          </cell>
          <cell r="Q916" t="str">
            <v>Q1 Passed</v>
          </cell>
          <cell r="R916" t="str">
            <v>Q1.5 Passed</v>
          </cell>
          <cell r="S916" t="str">
            <v>Q1.5 Passed</v>
          </cell>
          <cell r="V916" t="str">
            <v>Tumor content 0-90% Average tumor content 20%</v>
          </cell>
          <cell r="W916" t="str">
            <v>Private Hospital</v>
          </cell>
          <cell r="X916" t="str">
            <v>Vydehi Hospital, Bangalore</v>
          </cell>
          <cell r="Y916" t="str">
            <v>Vydehi Hospital, Bangalore</v>
          </cell>
          <cell r="Z916" t="str">
            <v>Dr Amritha Prabha, Bangalore</v>
          </cell>
          <cell r="AA916" t="str">
            <v>HNSCC</v>
          </cell>
          <cell r="AC916" t="str">
            <v>Buccal Mucosa</v>
          </cell>
          <cell r="AD916" t="str">
            <v>Left Buccal Mucosa</v>
          </cell>
          <cell r="AE916" t="str">
            <v>Female</v>
          </cell>
          <cell r="AF916">
            <v>48</v>
          </cell>
          <cell r="AG916" t="str">
            <v>N</v>
          </cell>
          <cell r="AH916">
            <v>5.0999999999999996</v>
          </cell>
          <cell r="AI916" t="str">
            <v>Shashi</v>
          </cell>
          <cell r="AJ916" t="str">
            <v>Surgery</v>
          </cell>
          <cell r="AK916" t="str">
            <v>Primary</v>
          </cell>
          <cell r="AN916" t="str">
            <v>IVa</v>
          </cell>
          <cell r="AO916">
            <v>2</v>
          </cell>
          <cell r="AP916" t="str">
            <v>T4aN0</v>
          </cell>
          <cell r="AS916" t="str">
            <v>scc</v>
          </cell>
          <cell r="AT916" t="str">
            <v>RT</v>
          </cell>
          <cell r="AV916">
            <v>45343</v>
          </cell>
          <cell r="AW916">
            <v>0.57847222222222228</v>
          </cell>
          <cell r="AX916">
            <v>0.66597222222222219</v>
          </cell>
          <cell r="AY916">
            <v>8.7499999999999994E-2</v>
          </cell>
          <cell r="AZ916">
            <v>0.57986111111111116</v>
          </cell>
          <cell r="BA916">
            <v>0.21319444444444444</v>
          </cell>
          <cell r="BB916" t="str">
            <v>0.4/0.8*0.4/1.2*1.4/1.6</v>
          </cell>
          <cell r="BD916" t="str">
            <v>Vibratome</v>
          </cell>
          <cell r="BE916">
            <v>15</v>
          </cell>
          <cell r="BF916" t="str">
            <v>Mouniss</v>
          </cell>
          <cell r="BG916" t="str">
            <v>Y</v>
          </cell>
        </row>
        <row r="917">
          <cell r="A917" t="str">
            <v>FBR2F240077</v>
          </cell>
          <cell r="B917">
            <v>240077</v>
          </cell>
          <cell r="C917" t="str">
            <v>R&amp;D</v>
          </cell>
          <cell r="D917">
            <v>45343</v>
          </cell>
          <cell r="E917">
            <v>0.45277777777777778</v>
          </cell>
          <cell r="F917">
            <v>45323</v>
          </cell>
          <cell r="G917">
            <v>45343</v>
          </cell>
          <cell r="H917">
            <v>0.53888888888888886</v>
          </cell>
          <cell r="I917">
            <v>8.611111111111111E-2</v>
          </cell>
          <cell r="J917">
            <v>7</v>
          </cell>
          <cell r="K917" t="str">
            <v>FCB-PROTOCOL-01</v>
          </cell>
          <cell r="L917" t="str">
            <v>VYD/258</v>
          </cell>
          <cell r="M917" t="str">
            <v>Y</v>
          </cell>
          <cell r="N917" t="str">
            <v>ECR (2F)</v>
          </cell>
          <cell r="O917" t="str">
            <v>Internal R&amp;D</v>
          </cell>
          <cell r="P917" t="str">
            <v>Q1 Passed</v>
          </cell>
          <cell r="Q917" t="str">
            <v>Q1 Passed</v>
          </cell>
          <cell r="R917" t="str">
            <v>Q1.5 Passed</v>
          </cell>
          <cell r="S917" t="str">
            <v>Q1.5 Passed</v>
          </cell>
          <cell r="V917" t="str">
            <v>Tumor content 0-90% Average tumor content 20%</v>
          </cell>
          <cell r="W917" t="str">
            <v>Private Hospital</v>
          </cell>
          <cell r="X917" t="str">
            <v>Vydehi Hospital, Bangalore</v>
          </cell>
          <cell r="Y917" t="str">
            <v>Vydehi Hospital, Bangalore</v>
          </cell>
          <cell r="Z917" t="str">
            <v>Dr Amritha Prabha, Bangalore</v>
          </cell>
          <cell r="AA917" t="str">
            <v>HNSCC</v>
          </cell>
          <cell r="AC917" t="str">
            <v>Buccal Mucosa</v>
          </cell>
          <cell r="AD917" t="str">
            <v>Left Buccal Mucosa</v>
          </cell>
          <cell r="AE917" t="str">
            <v>Female</v>
          </cell>
          <cell r="AF917">
            <v>48</v>
          </cell>
          <cell r="AG917" t="str">
            <v>N</v>
          </cell>
          <cell r="AH917">
            <v>5.0999999999999996</v>
          </cell>
          <cell r="AI917" t="str">
            <v>Shashi</v>
          </cell>
          <cell r="AJ917" t="str">
            <v>Surgery</v>
          </cell>
          <cell r="AK917" t="str">
            <v>Primary</v>
          </cell>
          <cell r="AN917" t="str">
            <v>IVa</v>
          </cell>
          <cell r="AO917">
            <v>2</v>
          </cell>
          <cell r="AP917" t="str">
            <v>T4aN0</v>
          </cell>
          <cell r="AS917" t="str">
            <v>scc</v>
          </cell>
          <cell r="AT917" t="str">
            <v>RT</v>
          </cell>
          <cell r="AV917">
            <v>45343</v>
          </cell>
          <cell r="AX917">
            <v>0.50972222222222219</v>
          </cell>
          <cell r="AY917">
            <v>0.50972222222222219</v>
          </cell>
          <cell r="AZ917">
            <v>0.4236111111111111</v>
          </cell>
          <cell r="BA917">
            <v>5.6944444444444443E-2</v>
          </cell>
          <cell r="BB917" t="str">
            <v>0.4/0.8*0.4/1.2*1.4/1.6</v>
          </cell>
          <cell r="BD917" t="str">
            <v>Vibratome</v>
          </cell>
          <cell r="BE917">
            <v>15</v>
          </cell>
          <cell r="BF917" t="str">
            <v>Mouniss</v>
          </cell>
          <cell r="BG917" t="str">
            <v>Y</v>
          </cell>
        </row>
        <row r="918">
          <cell r="A918" t="str">
            <v>FBR1Q240078</v>
          </cell>
          <cell r="B918">
            <v>240078</v>
          </cell>
          <cell r="C918" t="str">
            <v>R&amp;D</v>
          </cell>
          <cell r="D918">
            <v>45342</v>
          </cell>
          <cell r="E918">
            <v>0.65972222222222221</v>
          </cell>
          <cell r="F918">
            <v>45323</v>
          </cell>
          <cell r="G918">
            <v>45344</v>
          </cell>
          <cell r="H918">
            <v>0.46875</v>
          </cell>
          <cell r="I918">
            <v>0.80902777777777779</v>
          </cell>
          <cell r="J918">
            <v>10</v>
          </cell>
          <cell r="K918" t="str">
            <v>FCB-PROTOCOL-02</v>
          </cell>
          <cell r="L918" t="str">
            <v>CLN/DBR/174</v>
          </cell>
          <cell r="M918" t="str">
            <v>Y</v>
          </cell>
          <cell r="N918" t="str">
            <v>COSv4.2_CaBR(1Q-Unknown)</v>
          </cell>
          <cell r="O918" t="str">
            <v>Internal R&amp;D</v>
          </cell>
          <cell r="P918" t="str">
            <v>Q1 Passed</v>
          </cell>
          <cell r="Q918" t="str">
            <v>Q1 Passed</v>
          </cell>
          <cell r="R918" t="str">
            <v>Q1.5 Passed</v>
          </cell>
          <cell r="S918" t="str">
            <v>Q1.5 Rejected</v>
          </cell>
          <cell r="V918" t="str">
            <v xml:space="preserve">No Tumor </v>
          </cell>
          <cell r="W918" t="str">
            <v>Private Hospital</v>
          </cell>
          <cell r="X918" t="str">
            <v>Clinic'les- DBR &amp; SK Hospital, Tirupati</v>
          </cell>
          <cell r="Y918" t="str">
            <v>DBR &amp; SK Hospital, Tirupati</v>
          </cell>
          <cell r="Z918" t="str">
            <v>Dr C Jayaprakash, Tirupati</v>
          </cell>
          <cell r="AA918" t="str">
            <v>Ca Breast</v>
          </cell>
          <cell r="AC918" t="str">
            <v>Breast</v>
          </cell>
          <cell r="AD918" t="str">
            <v>Right Breast Phyllodes</v>
          </cell>
          <cell r="AE918" t="str">
            <v>Female</v>
          </cell>
          <cell r="AF918">
            <v>50</v>
          </cell>
          <cell r="AG918" t="str">
            <v>N</v>
          </cell>
          <cell r="AH918">
            <v>11.2</v>
          </cell>
          <cell r="AI918" t="str">
            <v>Kalappa</v>
          </cell>
          <cell r="AJ918" t="str">
            <v>Surgery</v>
          </cell>
          <cell r="AK918" t="str">
            <v>Primary</v>
          </cell>
          <cell r="AN918" t="str">
            <v>NA</v>
          </cell>
          <cell r="AO918" t="str">
            <v>NA</v>
          </cell>
          <cell r="AP918" t="str">
            <v>NA</v>
          </cell>
          <cell r="AV918">
            <v>45344</v>
          </cell>
          <cell r="AW918">
            <v>0.51597222222222228</v>
          </cell>
          <cell r="AX918">
            <v>0.53472222222222221</v>
          </cell>
          <cell r="AY918">
            <v>1.8749999999999999E-2</v>
          </cell>
          <cell r="AZ918">
            <v>0.72569444444444442</v>
          </cell>
          <cell r="BA918">
            <v>0.875</v>
          </cell>
          <cell r="BB918" t="str">
            <v>1.2*1.8/1.6*3.0</v>
          </cell>
          <cell r="BD918" t="str">
            <v>Manual</v>
          </cell>
          <cell r="BE918">
            <v>15</v>
          </cell>
          <cell r="BF918" t="str">
            <v>Kokila</v>
          </cell>
          <cell r="BG918" t="str">
            <v>N</v>
          </cell>
        </row>
        <row r="919">
          <cell r="A919" t="str">
            <v>FBR2C240079</v>
          </cell>
          <cell r="B919">
            <v>240079</v>
          </cell>
          <cell r="C919" t="str">
            <v>R&amp;D</v>
          </cell>
          <cell r="D919">
            <v>45348</v>
          </cell>
          <cell r="E919">
            <v>0.52083333333333337</v>
          </cell>
          <cell r="F919">
            <v>45323</v>
          </cell>
          <cell r="G919">
            <v>45348</v>
          </cell>
          <cell r="H919">
            <v>0.63263888888888886</v>
          </cell>
          <cell r="I919">
            <v>0.11180555555555556</v>
          </cell>
          <cell r="J919">
            <v>15</v>
          </cell>
          <cell r="K919" t="str">
            <v>FCB-PROTOCOL-01</v>
          </cell>
          <cell r="L919" t="str">
            <v>RC047</v>
          </cell>
          <cell r="M919" t="str">
            <v>Y</v>
          </cell>
          <cell r="N919" t="str">
            <v>RCC DPT (2C)</v>
          </cell>
          <cell r="O919" t="str">
            <v>Internal R&amp;D</v>
          </cell>
          <cell r="P919" t="str">
            <v>Q1 Passed</v>
          </cell>
          <cell r="Q919" t="str">
            <v>Not Received</v>
          </cell>
          <cell r="R919" t="str">
            <v>Q1.5 Passed</v>
          </cell>
          <cell r="S919" t="str">
            <v>Q1.5 Passed</v>
          </cell>
          <cell r="T919" t="str">
            <v>Blood not collected</v>
          </cell>
          <cell r="V919" t="str">
            <v>Tumor content 30-96%</v>
          </cell>
          <cell r="W919" t="str">
            <v>Private Hospital</v>
          </cell>
          <cell r="X919" t="str">
            <v>Mazumdar Shaw Medical Centre, Bangalore</v>
          </cell>
          <cell r="Y919" t="str">
            <v>Mazumdar Shaw Medical Centre, Bangalore</v>
          </cell>
          <cell r="Z919" t="str">
            <v>Dr Saurabh Bhargav, Bangalore</v>
          </cell>
          <cell r="AA919" t="str">
            <v>RCC</v>
          </cell>
          <cell r="AC919" t="str">
            <v>Renal</v>
          </cell>
          <cell r="AD919" t="str">
            <v>Left Renal Mass</v>
          </cell>
          <cell r="AE919" t="str">
            <v>Male</v>
          </cell>
          <cell r="AF919">
            <v>45</v>
          </cell>
          <cell r="AG919" t="str">
            <v>N</v>
          </cell>
          <cell r="AH919">
            <v>4.8</v>
          </cell>
          <cell r="AI919" t="str">
            <v>Kalappa</v>
          </cell>
          <cell r="AJ919" t="str">
            <v>Surgery</v>
          </cell>
          <cell r="AK919" t="str">
            <v>Primary</v>
          </cell>
          <cell r="AN919" t="str">
            <v>I</v>
          </cell>
          <cell r="AO919">
            <v>2</v>
          </cell>
          <cell r="AP919" t="str">
            <v>pT1a</v>
          </cell>
          <cell r="AS919" t="str">
            <v>Clear cell renal carcinoma</v>
          </cell>
          <cell r="AV919">
            <v>45348</v>
          </cell>
          <cell r="AW919">
            <v>0.65833333333333333</v>
          </cell>
          <cell r="AX919">
            <v>0.71180555555555558</v>
          </cell>
          <cell r="AY919">
            <v>5.347222222222222E-2</v>
          </cell>
          <cell r="AZ919">
            <v>0.6</v>
          </cell>
          <cell r="BA919">
            <v>0.19097222222222221</v>
          </cell>
          <cell r="BB919" t="str">
            <v>0.6*1.0*1.4</v>
          </cell>
          <cell r="BD919" t="str">
            <v>Manual</v>
          </cell>
          <cell r="BE919">
            <v>15</v>
          </cell>
          <cell r="BF919" t="str">
            <v>Pallavi</v>
          </cell>
          <cell r="BG919" t="str">
            <v>N</v>
          </cell>
        </row>
        <row r="920">
          <cell r="A920" t="str">
            <v>FBR1Q240080</v>
          </cell>
          <cell r="B920">
            <v>240080</v>
          </cell>
          <cell r="C920" t="str">
            <v>R&amp;D</v>
          </cell>
          <cell r="D920">
            <v>45348</v>
          </cell>
          <cell r="E920">
            <v>0.63541666666666663</v>
          </cell>
          <cell r="F920">
            <v>45323</v>
          </cell>
          <cell r="G920">
            <v>45348</v>
          </cell>
          <cell r="H920">
            <v>0.81666666666666665</v>
          </cell>
          <cell r="I920">
            <v>0.18124999999999999</v>
          </cell>
          <cell r="J920">
            <v>30</v>
          </cell>
          <cell r="K920" t="str">
            <v>FCB-PROTOCOL-01</v>
          </cell>
          <cell r="L920" t="str">
            <v>JSS-013</v>
          </cell>
          <cell r="M920" t="str">
            <v>Y</v>
          </cell>
          <cell r="N920" t="str">
            <v>COSv4.2_CaBR(1Q-Unknown)</v>
          </cell>
          <cell r="O920" t="str">
            <v>Internal R&amp;D</v>
          </cell>
          <cell r="P920" t="str">
            <v>Q1 Passed</v>
          </cell>
          <cell r="Q920" t="str">
            <v>Q1 Rejected</v>
          </cell>
          <cell r="R920" t="str">
            <v>Q1.5 Passed</v>
          </cell>
          <cell r="S920" t="str">
            <v>Q1.5 Passed</v>
          </cell>
          <cell r="T920" t="str">
            <v>blood clotted</v>
          </cell>
          <cell r="V920" t="str">
            <v>Tumor content 15-90%</v>
          </cell>
          <cell r="W920" t="str">
            <v>Private Hospital</v>
          </cell>
          <cell r="X920" t="str">
            <v>Clinic'les- Dr Ravi Krishnappa, Mysore</v>
          </cell>
          <cell r="Y920" t="str">
            <v>JSS Hospital, Mysore</v>
          </cell>
          <cell r="Z920" t="str">
            <v>Dr Ravi Krishnappa, Mysore</v>
          </cell>
          <cell r="AA920" t="str">
            <v>Ca Breast</v>
          </cell>
          <cell r="AC920" t="str">
            <v>Breast</v>
          </cell>
          <cell r="AD920" t="str">
            <v>Left Breast</v>
          </cell>
          <cell r="AE920" t="str">
            <v>Female</v>
          </cell>
          <cell r="AF920">
            <v>65</v>
          </cell>
          <cell r="AG920" t="str">
            <v>N</v>
          </cell>
          <cell r="AH920">
            <v>7.2</v>
          </cell>
          <cell r="AI920" t="str">
            <v>Maruthi</v>
          </cell>
          <cell r="AJ920" t="str">
            <v>Surgery</v>
          </cell>
          <cell r="AK920" t="str">
            <v>Primary</v>
          </cell>
          <cell r="AV920">
            <v>45348</v>
          </cell>
          <cell r="AW920">
            <v>0.82986111111111116</v>
          </cell>
          <cell r="AX920">
            <v>0.86805555555555558</v>
          </cell>
          <cell r="AY920">
            <v>3.8194444444444448E-2</v>
          </cell>
          <cell r="AZ920">
            <v>0.68680555555555556</v>
          </cell>
          <cell r="BA920">
            <v>0.2326388888888889</v>
          </cell>
          <cell r="BB920" t="str">
            <v>0.2*1.2/1.41.8/2.2</v>
          </cell>
          <cell r="BD920" t="str">
            <v>Manual</v>
          </cell>
          <cell r="BE920">
            <v>15</v>
          </cell>
          <cell r="BF920" t="str">
            <v xml:space="preserve">sai </v>
          </cell>
          <cell r="BG920" t="str">
            <v>N</v>
          </cell>
        </row>
        <row r="921">
          <cell r="A921" t="str">
            <v>FBR1Y240081</v>
          </cell>
          <cell r="B921">
            <v>240081</v>
          </cell>
          <cell r="C921" t="str">
            <v>R&amp;D</v>
          </cell>
          <cell r="D921">
            <v>45348</v>
          </cell>
          <cell r="E921">
            <v>0.49305555555555558</v>
          </cell>
          <cell r="F921">
            <v>45323</v>
          </cell>
          <cell r="G921">
            <v>45348</v>
          </cell>
          <cell r="H921">
            <v>0.84513888888888888</v>
          </cell>
          <cell r="I921">
            <v>0.35208333333333336</v>
          </cell>
          <cell r="J921">
            <v>20</v>
          </cell>
          <cell r="K921" t="str">
            <v>FCB-PROTOCOL-01</v>
          </cell>
          <cell r="L921" t="str">
            <v>CLN/DBR/175</v>
          </cell>
          <cell r="M921" t="str">
            <v>Y</v>
          </cell>
          <cell r="N921" t="str">
            <v>CCS Study (1Y)</v>
          </cell>
          <cell r="O921" t="str">
            <v>Internal R&amp;D</v>
          </cell>
          <cell r="P921" t="str">
            <v>Q1 Passed</v>
          </cell>
          <cell r="Q921" t="str">
            <v>Q1 Passed</v>
          </cell>
          <cell r="R921" t="str">
            <v>Q1.5 Passed</v>
          </cell>
          <cell r="S921" t="str">
            <v>Q1.5 Rejected</v>
          </cell>
          <cell r="T921" t="str">
            <v>Very Less Tumor Content</v>
          </cell>
          <cell r="V921" t="str">
            <v>Tumor content 0-95%. Average tumor content 16%. Only 2 fragments have tumor</v>
          </cell>
          <cell r="W921" t="str">
            <v>Private Hospital</v>
          </cell>
          <cell r="X921" t="str">
            <v>Clinic'les- DBR &amp; SK Hospital, Tirupati</v>
          </cell>
          <cell r="Y921" t="str">
            <v>DBR &amp; SK Hospital, Tirupati</v>
          </cell>
          <cell r="Z921" t="str">
            <v>Dr C Jayaprakash, Tirupati</v>
          </cell>
          <cell r="AA921" t="str">
            <v>HNSCC</v>
          </cell>
          <cell r="AC921" t="str">
            <v>Buccal Mucosa</v>
          </cell>
          <cell r="AD921" t="str">
            <v>Right Buccal Mucosa</v>
          </cell>
          <cell r="AE921" t="str">
            <v>Female</v>
          </cell>
          <cell r="AF921">
            <v>51</v>
          </cell>
          <cell r="AG921" t="str">
            <v>N</v>
          </cell>
          <cell r="AH921">
            <v>4.9000000000000004</v>
          </cell>
          <cell r="AI921" t="str">
            <v>Shashi</v>
          </cell>
          <cell r="AJ921" t="str">
            <v>Surgery</v>
          </cell>
          <cell r="AK921" t="str">
            <v>Primary</v>
          </cell>
          <cell r="AN921" t="str">
            <v>III</v>
          </cell>
          <cell r="AP921" t="str">
            <v>T3 N1 MX</v>
          </cell>
          <cell r="AV921">
            <v>45348</v>
          </cell>
          <cell r="AW921">
            <v>0.85763888888888884</v>
          </cell>
          <cell r="AX921">
            <v>0.91666666666666663</v>
          </cell>
          <cell r="AY921">
            <v>5.9027777777777776E-2</v>
          </cell>
          <cell r="AZ921">
            <v>0.56458333333333333</v>
          </cell>
          <cell r="BA921">
            <v>0.4236111111111111</v>
          </cell>
          <cell r="BB921" t="str">
            <v>0.2/1.0*1.0/1.4*2.1</v>
          </cell>
          <cell r="BD921" t="str">
            <v>Manual+Vibratome</v>
          </cell>
          <cell r="BE921">
            <v>15</v>
          </cell>
          <cell r="BF921" t="str">
            <v>Dharani</v>
          </cell>
          <cell r="BG921" t="str">
            <v>Y</v>
          </cell>
        </row>
        <row r="922">
          <cell r="A922" t="str">
            <v>FBR1Y240082</v>
          </cell>
          <cell r="B922">
            <v>240082</v>
          </cell>
          <cell r="C922" t="str">
            <v>R&amp;D</v>
          </cell>
          <cell r="D922">
            <v>45349</v>
          </cell>
          <cell r="E922">
            <v>0.57777777777777772</v>
          </cell>
          <cell r="F922">
            <v>45323</v>
          </cell>
          <cell r="G922">
            <v>45349</v>
          </cell>
          <cell r="H922">
            <v>0.68263888888888891</v>
          </cell>
          <cell r="I922">
            <v>0.10486111111111111</v>
          </cell>
          <cell r="J922">
            <v>13</v>
          </cell>
          <cell r="K922" t="str">
            <v>FCB-PROTOCOL-01</v>
          </cell>
          <cell r="L922" t="str">
            <v>HN125</v>
          </cell>
          <cell r="M922" t="str">
            <v>Y</v>
          </cell>
          <cell r="N922" t="str">
            <v>CCS Study (1Y)</v>
          </cell>
          <cell r="O922" t="str">
            <v>Internal R&amp;D</v>
          </cell>
          <cell r="P922" t="str">
            <v>Q1 Passed</v>
          </cell>
          <cell r="Q922" t="str">
            <v>Q1 Passed</v>
          </cell>
          <cell r="R922" t="str">
            <v>Q1.5 Passed</v>
          </cell>
          <cell r="S922" t="str">
            <v>Q1.5 Passed</v>
          </cell>
          <cell r="V922" t="str">
            <v>Tumor content 0-85%. Average tumor content 50%</v>
          </cell>
          <cell r="W922" t="str">
            <v>Private Hospital</v>
          </cell>
          <cell r="X922" t="str">
            <v>Mazumdar Shaw Medical Centre, Bangalore</v>
          </cell>
          <cell r="Y922" t="str">
            <v>Mazumdar Shaw Medical Centre, Bangalore</v>
          </cell>
          <cell r="Z922" t="str">
            <v>Dr Vijay Pillai, Bangalore</v>
          </cell>
          <cell r="AA922" t="str">
            <v>HNSCC</v>
          </cell>
          <cell r="AC922" t="str">
            <v>Tongue</v>
          </cell>
          <cell r="AD922" t="str">
            <v>Tongue</v>
          </cell>
          <cell r="AE922" t="str">
            <v>Male</v>
          </cell>
          <cell r="AF922">
            <v>35</v>
          </cell>
          <cell r="AG922" t="str">
            <v>N</v>
          </cell>
          <cell r="AH922">
            <v>5.0999999999999996</v>
          </cell>
          <cell r="AI922" t="str">
            <v>Kalappa</v>
          </cell>
          <cell r="AJ922" t="str">
            <v>Surgery</v>
          </cell>
          <cell r="AK922" t="str">
            <v>Primary</v>
          </cell>
          <cell r="AN922" t="str">
            <v>III</v>
          </cell>
          <cell r="AO922">
            <v>2</v>
          </cell>
          <cell r="AP922" t="str">
            <v>pT3pN0</v>
          </cell>
          <cell r="AS922" t="str">
            <v>MDSCC(Moderately Differentiated Squamous cell carcinoma)</v>
          </cell>
          <cell r="AV922">
            <v>45349</v>
          </cell>
          <cell r="AW922">
            <v>0.69652777777777775</v>
          </cell>
          <cell r="AX922">
            <v>0.75</v>
          </cell>
          <cell r="AY922">
            <v>5.347222222222222E-2</v>
          </cell>
          <cell r="AZ922">
            <v>0.64513888888888893</v>
          </cell>
          <cell r="BA922">
            <v>0.17222222222222222</v>
          </cell>
          <cell r="BB922" t="str">
            <v>0.4*0.6*0.6</v>
          </cell>
          <cell r="BD922" t="str">
            <v>Manual</v>
          </cell>
          <cell r="BE922">
            <v>15</v>
          </cell>
          <cell r="BF922" t="str">
            <v>Syam</v>
          </cell>
          <cell r="BG922" t="str">
            <v>Y</v>
          </cell>
        </row>
        <row r="923">
          <cell r="A923" t="str">
            <v>FB2F240082</v>
          </cell>
          <cell r="B923">
            <v>240082</v>
          </cell>
          <cell r="C923" t="str">
            <v>R&amp;D</v>
          </cell>
          <cell r="D923">
            <v>45349</v>
          </cell>
          <cell r="E923">
            <v>0.57777777777777772</v>
          </cell>
          <cell r="F923">
            <v>45323</v>
          </cell>
          <cell r="G923">
            <v>45349</v>
          </cell>
          <cell r="H923">
            <v>0.68263888888888891</v>
          </cell>
          <cell r="I923">
            <v>0.10486111111111111</v>
          </cell>
          <cell r="J923">
            <v>13</v>
          </cell>
          <cell r="K923" t="str">
            <v>FCB-PROTOCOL-01</v>
          </cell>
          <cell r="L923" t="str">
            <v>HN125</v>
          </cell>
          <cell r="M923" t="str">
            <v>Y</v>
          </cell>
          <cell r="N923" t="str">
            <v>ECR (2F)</v>
          </cell>
          <cell r="O923" t="str">
            <v>Internal R&amp;D</v>
          </cell>
          <cell r="P923" t="str">
            <v>Q1 Passed</v>
          </cell>
          <cell r="Q923" t="str">
            <v>Q1 Passed</v>
          </cell>
          <cell r="R923" t="str">
            <v>Q1.5 Passed</v>
          </cell>
          <cell r="S923" t="str">
            <v>Q1.5 Passed</v>
          </cell>
          <cell r="V923" t="str">
            <v>Tumor content 0-85%. Average tumor content 50%</v>
          </cell>
          <cell r="W923" t="str">
            <v>Private Hospital</v>
          </cell>
          <cell r="X923" t="str">
            <v>Mazumdar Shaw Medical Centre, Bangalore</v>
          </cell>
          <cell r="Y923" t="str">
            <v>Mazumdar Shaw Medical Centre, Bangalore</v>
          </cell>
          <cell r="Z923" t="str">
            <v>Dr Vijay Pillai, Bangalore</v>
          </cell>
          <cell r="AA923" t="str">
            <v>HNSCC</v>
          </cell>
          <cell r="AC923" t="str">
            <v>Tongue</v>
          </cell>
          <cell r="AD923" t="str">
            <v>Tongue</v>
          </cell>
          <cell r="AE923" t="str">
            <v>Male</v>
          </cell>
          <cell r="AF923">
            <v>35</v>
          </cell>
          <cell r="AG923" t="str">
            <v>N</v>
          </cell>
          <cell r="AH923">
            <v>5.0999999999999996</v>
          </cell>
          <cell r="AI923" t="str">
            <v>Kalappa</v>
          </cell>
          <cell r="AJ923" t="str">
            <v>Surgery</v>
          </cell>
          <cell r="AK923" t="str">
            <v>Primary</v>
          </cell>
          <cell r="AN923" t="str">
            <v>III</v>
          </cell>
          <cell r="AO923">
            <v>2</v>
          </cell>
          <cell r="AP923" t="str">
            <v>pT3pN0</v>
          </cell>
          <cell r="AS923" t="str">
            <v>MDSCC(Moderately Differentiated Squamous cell carcinoma)</v>
          </cell>
          <cell r="AV923">
            <v>45355</v>
          </cell>
          <cell r="AX923">
            <v>0.59027777777777779</v>
          </cell>
          <cell r="AY923">
            <v>0.59027777777777779</v>
          </cell>
          <cell r="AZ923">
            <v>0.48541666666666666</v>
          </cell>
          <cell r="BA923">
            <v>1.2500000000000001E-2</v>
          </cell>
          <cell r="BB923" t="str">
            <v>0.4*0.6*0.6</v>
          </cell>
          <cell r="BD923" t="str">
            <v>Manual</v>
          </cell>
          <cell r="BE923">
            <v>15</v>
          </cell>
          <cell r="BF923" t="str">
            <v>Syam</v>
          </cell>
          <cell r="BG923" t="str">
            <v>Y</v>
          </cell>
        </row>
        <row r="924">
          <cell r="A924" t="str">
            <v>FBR1Y240083</v>
          </cell>
          <cell r="B924">
            <v>240083</v>
          </cell>
          <cell r="C924" t="str">
            <v>R&amp;D</v>
          </cell>
          <cell r="D924">
            <v>45350</v>
          </cell>
          <cell r="E924">
            <v>0.56944444444444442</v>
          </cell>
          <cell r="F924">
            <v>45323</v>
          </cell>
          <cell r="G924">
            <v>45350</v>
          </cell>
          <cell r="H924">
            <v>0.63124999999999998</v>
          </cell>
          <cell r="I924">
            <v>6.1805555555555558E-2</v>
          </cell>
          <cell r="J924">
            <v>10</v>
          </cell>
          <cell r="K924" t="str">
            <v>FCB-PROTOCOL-01</v>
          </cell>
          <cell r="L924" t="str">
            <v>HN126</v>
          </cell>
          <cell r="M924" t="str">
            <v>Y</v>
          </cell>
          <cell r="N924" t="str">
            <v>CCS Study (1Y)</v>
          </cell>
          <cell r="O924" t="str">
            <v>Internal R&amp;D</v>
          </cell>
          <cell r="P924" t="str">
            <v>Q1 Passed</v>
          </cell>
          <cell r="Q924" t="str">
            <v>Q1 Passed</v>
          </cell>
          <cell r="R924" t="str">
            <v>Q1.5 Passed</v>
          </cell>
          <cell r="S924" t="str">
            <v>Q1.5 Passed</v>
          </cell>
          <cell r="V924" t="str">
            <v>Tumor content 55-92%</v>
          </cell>
          <cell r="W924" t="str">
            <v>Private Hospital</v>
          </cell>
          <cell r="X924" t="str">
            <v>Mazumdar Shaw Medical Centre, Bangalore</v>
          </cell>
          <cell r="Y924" t="str">
            <v>Mazumdar Shaw Medical Centre, Bangalore</v>
          </cell>
          <cell r="Z924" t="str">
            <v>Dr Vijay Pillai, Bangalore</v>
          </cell>
          <cell r="AA924" t="str">
            <v>HNSCC</v>
          </cell>
          <cell r="AC924" t="str">
            <v>Buccal Mucosa</v>
          </cell>
          <cell r="AD924" t="str">
            <v>Right Buccal Mucosa</v>
          </cell>
          <cell r="AE924" t="str">
            <v>Male</v>
          </cell>
          <cell r="AF924">
            <v>76</v>
          </cell>
          <cell r="AG924" t="str">
            <v>N</v>
          </cell>
          <cell r="AH924">
            <v>4.2</v>
          </cell>
          <cell r="AI924" t="str">
            <v>Kalappa</v>
          </cell>
          <cell r="AJ924" t="str">
            <v>Surgery</v>
          </cell>
          <cell r="AK924" t="str">
            <v>Primary</v>
          </cell>
          <cell r="AN924" t="str">
            <v>IV</v>
          </cell>
          <cell r="AO924">
            <v>2</v>
          </cell>
          <cell r="AP924" t="str">
            <v>pT4apN3b.</v>
          </cell>
          <cell r="AS924" t="str">
            <v>MDSCC(Moderately Differentiated Squamous cell carcinoma)</v>
          </cell>
          <cell r="AV924">
            <v>45350</v>
          </cell>
          <cell r="AW924">
            <v>0.7270833333333333</v>
          </cell>
          <cell r="AX924">
            <v>0.78472222222222221</v>
          </cell>
          <cell r="AY924">
            <v>5.7638888888888892E-2</v>
          </cell>
          <cell r="AZ924">
            <v>0.72291666666666665</v>
          </cell>
          <cell r="BA924">
            <v>0.21527777777777779</v>
          </cell>
          <cell r="BB924" t="str">
            <v>0.4*0.4/0.6*0.8</v>
          </cell>
          <cell r="BD924" t="str">
            <v>Manual</v>
          </cell>
          <cell r="BE924">
            <v>15</v>
          </cell>
          <cell r="BF924" t="str">
            <v xml:space="preserve">sai </v>
          </cell>
          <cell r="BG924" t="str">
            <v>Y</v>
          </cell>
        </row>
        <row r="925">
          <cell r="A925" t="str">
            <v>FBR2F240083</v>
          </cell>
          <cell r="B925">
            <v>240083</v>
          </cell>
          <cell r="C925" t="str">
            <v>R&amp;D</v>
          </cell>
          <cell r="D925">
            <v>45350</v>
          </cell>
          <cell r="E925">
            <v>0.56944444444444442</v>
          </cell>
          <cell r="F925">
            <v>45323</v>
          </cell>
          <cell r="G925">
            <v>45350</v>
          </cell>
          <cell r="H925">
            <v>0.63124999999999998</v>
          </cell>
          <cell r="I925">
            <v>6.1805555555555558E-2</v>
          </cell>
          <cell r="J925">
            <v>10</v>
          </cell>
          <cell r="K925" t="str">
            <v>FCB-PROTOCOL-01</v>
          </cell>
          <cell r="L925" t="str">
            <v>HN126</v>
          </cell>
          <cell r="M925" t="str">
            <v>Y</v>
          </cell>
          <cell r="N925" t="str">
            <v>ECR (2F)</v>
          </cell>
          <cell r="O925" t="str">
            <v>Internal R&amp;D</v>
          </cell>
          <cell r="P925" t="str">
            <v>Q1 Passed</v>
          </cell>
          <cell r="Q925" t="str">
            <v>Q1 Passed</v>
          </cell>
          <cell r="R925" t="str">
            <v>Q1.5 Passed</v>
          </cell>
          <cell r="S925" t="str">
            <v>Q1.5 Passed</v>
          </cell>
          <cell r="V925" t="str">
            <v>Tumor content 55-92%</v>
          </cell>
          <cell r="W925" t="str">
            <v>Private Hospital</v>
          </cell>
          <cell r="X925" t="str">
            <v>Mazumdar Shaw Medical Centre, Bangalore</v>
          </cell>
          <cell r="Y925" t="str">
            <v>Mazumdar Shaw Medical Centre, Bangalore</v>
          </cell>
          <cell r="Z925" t="str">
            <v>Dr Vijay Pillai, Bangalore</v>
          </cell>
          <cell r="AA925" t="str">
            <v>HNSCC</v>
          </cell>
          <cell r="AC925" t="str">
            <v>Buccal Mucosa</v>
          </cell>
          <cell r="AD925" t="str">
            <v>Right Buccal Mucosa</v>
          </cell>
          <cell r="AE925" t="str">
            <v>Male</v>
          </cell>
          <cell r="AF925">
            <v>76</v>
          </cell>
          <cell r="AG925" t="str">
            <v>N</v>
          </cell>
          <cell r="AH925">
            <v>4.2</v>
          </cell>
          <cell r="AI925" t="str">
            <v>Kalappa</v>
          </cell>
          <cell r="AJ925" t="str">
            <v>Surgery</v>
          </cell>
          <cell r="AK925" t="str">
            <v>Primary</v>
          </cell>
          <cell r="AN925" t="str">
            <v>IV</v>
          </cell>
          <cell r="AO925">
            <v>2</v>
          </cell>
          <cell r="AP925" t="str">
            <v>pT4apN3b.</v>
          </cell>
          <cell r="AS925" t="str">
            <v>MDSCC(Moderately Differentiated Squamous cell carcinoma)</v>
          </cell>
          <cell r="AV925">
            <v>45356</v>
          </cell>
          <cell r="AX925">
            <v>0.69166666666666665</v>
          </cell>
          <cell r="AY925">
            <v>0.69166666666666665</v>
          </cell>
          <cell r="AZ925">
            <v>0.62986111111111109</v>
          </cell>
          <cell r="BA925">
            <v>0.12222222222222222</v>
          </cell>
          <cell r="BB925" t="str">
            <v>0.4*0.4/0.6*0.8</v>
          </cell>
          <cell r="BD925" t="str">
            <v>Manual</v>
          </cell>
          <cell r="BE925">
            <v>15</v>
          </cell>
          <cell r="BF925" t="str">
            <v xml:space="preserve">sai </v>
          </cell>
          <cell r="BG925" t="str">
            <v>Y</v>
          </cell>
        </row>
        <row r="926">
          <cell r="A926" t="str">
            <v>FBR1Q240084</v>
          </cell>
          <cell r="B926">
            <v>240084</v>
          </cell>
          <cell r="C926" t="str">
            <v>R&amp;D</v>
          </cell>
          <cell r="D926">
            <v>45352</v>
          </cell>
          <cell r="E926">
            <v>0.55555555555555558</v>
          </cell>
          <cell r="F926">
            <v>45352</v>
          </cell>
          <cell r="G926">
            <v>45352</v>
          </cell>
          <cell r="H926">
            <v>0.63263888888888886</v>
          </cell>
          <cell r="I926">
            <v>7.7083333333333337E-2</v>
          </cell>
          <cell r="J926">
            <v>3</v>
          </cell>
          <cell r="K926" t="str">
            <v>FCB-PROTOCOL-01</v>
          </cell>
          <cell r="L926" t="str">
            <v>VYD/259</v>
          </cell>
          <cell r="M926" t="str">
            <v>Y</v>
          </cell>
          <cell r="N926" t="str">
            <v>COSv4.1_CaBR(1Q-Known)</v>
          </cell>
          <cell r="O926" t="str">
            <v>Internal R&amp;D</v>
          </cell>
          <cell r="P926" t="str">
            <v>Q1 Passed</v>
          </cell>
          <cell r="Q926" t="str">
            <v>Q1 Passed</v>
          </cell>
          <cell r="R926" t="str">
            <v>Q1.5 Passed</v>
          </cell>
          <cell r="S926" t="str">
            <v>Q1.5 Passed</v>
          </cell>
          <cell r="V926" t="str">
            <v>Tumor content 0-28%. Average tumor content 7%</v>
          </cell>
          <cell r="W926" t="str">
            <v>Private Hospital</v>
          </cell>
          <cell r="X926" t="str">
            <v>Vydehi Hospital, Bangalore</v>
          </cell>
          <cell r="Y926" t="str">
            <v>Vydehi Hospital, Bangalore</v>
          </cell>
          <cell r="Z926" t="str">
            <v>Dr Amritha Prabha, Bangalore</v>
          </cell>
          <cell r="AA926" t="str">
            <v>Ca Breast</v>
          </cell>
          <cell r="AB926" t="str">
            <v>TNBC</v>
          </cell>
          <cell r="AC926" t="str">
            <v xml:space="preserve">Breast </v>
          </cell>
          <cell r="AD926" t="str">
            <v>Left Breast</v>
          </cell>
          <cell r="AE926" t="str">
            <v>Female</v>
          </cell>
          <cell r="AF926">
            <v>55</v>
          </cell>
          <cell r="AG926" t="str">
            <v>N</v>
          </cell>
          <cell r="AH926">
            <v>4.5</v>
          </cell>
          <cell r="AI926" t="str">
            <v>Kalappa</v>
          </cell>
          <cell r="AJ926" t="str">
            <v>Surgery</v>
          </cell>
          <cell r="AK926" t="str">
            <v>Primary</v>
          </cell>
          <cell r="AL926" t="str">
            <v>Chemotherapy</v>
          </cell>
          <cell r="AN926" t="str">
            <v>II</v>
          </cell>
          <cell r="AO926">
            <v>2</v>
          </cell>
          <cell r="AP926" t="str">
            <v>ypT2N1a</v>
          </cell>
          <cell r="AQ926">
            <v>8</v>
          </cell>
          <cell r="AR926" t="str">
            <v>Docetaxel</v>
          </cell>
          <cell r="AS926" t="str">
            <v>IDC</v>
          </cell>
          <cell r="AV926">
            <v>45352</v>
          </cell>
          <cell r="AW926">
            <v>0.65416666666666667</v>
          </cell>
          <cell r="AX926">
            <v>0.71180555555555558</v>
          </cell>
          <cell r="AY926">
            <v>5.7638888888888892E-2</v>
          </cell>
          <cell r="AZ926">
            <v>0.63472222222222219</v>
          </cell>
          <cell r="BA926">
            <v>0.15625</v>
          </cell>
          <cell r="BB926" t="str">
            <v>0.2/0.5*1.0*1.0/1.2</v>
          </cell>
          <cell r="BD926" t="str">
            <v>Manual</v>
          </cell>
          <cell r="BE926">
            <v>15</v>
          </cell>
          <cell r="BF926" t="str">
            <v>Dharani</v>
          </cell>
          <cell r="BG926" t="str">
            <v>Y</v>
          </cell>
        </row>
        <row r="927">
          <cell r="A927" t="str">
            <v>FBR1W240085</v>
          </cell>
          <cell r="B927">
            <v>240085</v>
          </cell>
          <cell r="C927" t="str">
            <v>R&amp;D</v>
          </cell>
          <cell r="D927">
            <v>45352</v>
          </cell>
          <cell r="E927">
            <v>0.46180555555555558</v>
          </cell>
          <cell r="F927">
            <v>45352</v>
          </cell>
          <cell r="G927">
            <v>45352</v>
          </cell>
          <cell r="H927">
            <v>0.63263888888888886</v>
          </cell>
          <cell r="I927">
            <v>0.17083333333333334</v>
          </cell>
          <cell r="J927">
            <v>0</v>
          </cell>
          <cell r="K927" t="str">
            <v>FCB-PROTOCOL-01</v>
          </cell>
          <cell r="L927" t="str">
            <v>VYD/260</v>
          </cell>
          <cell r="M927" t="str">
            <v>Y</v>
          </cell>
          <cell r="N927" t="str">
            <v>Biopsy Cabr-BSS (1W)</v>
          </cell>
          <cell r="O927" t="str">
            <v>Internal R&amp;D</v>
          </cell>
          <cell r="P927" t="str">
            <v>Q1 Passed</v>
          </cell>
          <cell r="Q927" t="str">
            <v>Q1 Passed</v>
          </cell>
          <cell r="R927" t="str">
            <v>Q1.5 Passed</v>
          </cell>
          <cell r="S927" t="str">
            <v>Q1.5 Passed</v>
          </cell>
          <cell r="V927" t="str">
            <v>Tumor content 1-30%. Average tumor content 12%</v>
          </cell>
          <cell r="W927" t="str">
            <v>Private Hospital</v>
          </cell>
          <cell r="X927" t="str">
            <v>Vydehi Hospital, Bangalore</v>
          </cell>
          <cell r="Y927" t="str">
            <v>Vydehi Hospital, Bangalore</v>
          </cell>
          <cell r="Z927" t="str">
            <v>Dr Amritha Prabha, Bangalore</v>
          </cell>
          <cell r="AA927" t="str">
            <v>Ca Breast</v>
          </cell>
          <cell r="AB927" t="str">
            <v>Er +
Pr +
Her 2 -</v>
          </cell>
          <cell r="AC927" t="str">
            <v xml:space="preserve">Breast </v>
          </cell>
          <cell r="AD927" t="str">
            <v>Left Breast</v>
          </cell>
          <cell r="AE927" t="str">
            <v>Female</v>
          </cell>
          <cell r="AF927">
            <v>35</v>
          </cell>
          <cell r="AG927" t="str">
            <v>N</v>
          </cell>
          <cell r="AH927">
            <v>4.5</v>
          </cell>
          <cell r="AI927" t="str">
            <v>Kalappa</v>
          </cell>
          <cell r="AJ927" t="str">
            <v>Biopsy</v>
          </cell>
          <cell r="AK927" t="str">
            <v>Primary</v>
          </cell>
          <cell r="AN927" t="str">
            <v>IV</v>
          </cell>
          <cell r="AO927">
            <v>3</v>
          </cell>
          <cell r="AS927" t="str">
            <v>adenoca with signet ring cell morphology</v>
          </cell>
          <cell r="AT927" t="str">
            <v>RT</v>
          </cell>
          <cell r="AV927">
            <v>45352</v>
          </cell>
          <cell r="AW927">
            <v>0.65416666666666667</v>
          </cell>
          <cell r="AX927">
            <v>0.69305555555555554</v>
          </cell>
          <cell r="AY927">
            <v>3.888888888888889E-2</v>
          </cell>
          <cell r="AZ927">
            <v>0.52222222222222225</v>
          </cell>
          <cell r="BA927">
            <v>0.23125000000000001</v>
          </cell>
          <cell r="BB927" t="str">
            <v>0.1*0.2*1.6
0.1*0.2*0.8
0.1*0.1*0.6</v>
          </cell>
          <cell r="BD927" t="str">
            <v>Manual</v>
          </cell>
          <cell r="BE927">
            <v>15</v>
          </cell>
          <cell r="BF927" t="str">
            <v>Syam</v>
          </cell>
          <cell r="BG927" t="str">
            <v>Y</v>
          </cell>
        </row>
        <row r="928">
          <cell r="A928">
            <v>240086</v>
          </cell>
          <cell r="B928">
            <v>240086</v>
          </cell>
          <cell r="C928" t="str">
            <v>R&amp;D</v>
          </cell>
          <cell r="D928">
            <v>45352</v>
          </cell>
          <cell r="E928">
            <v>0.70208333333333328</v>
          </cell>
          <cell r="F928">
            <v>45352</v>
          </cell>
          <cell r="G928">
            <v>45352</v>
          </cell>
          <cell r="H928">
            <v>0.75694444444444442</v>
          </cell>
          <cell r="I928">
            <v>5.486111111111111E-2</v>
          </cell>
          <cell r="J928">
            <v>4</v>
          </cell>
          <cell r="K928" t="str">
            <v>FCB-PROTOCOL-01</v>
          </cell>
          <cell r="L928" t="str">
            <v>VYD/261</v>
          </cell>
          <cell r="M928" t="str">
            <v>Y</v>
          </cell>
          <cell r="N928" t="str">
            <v>BioBank</v>
          </cell>
          <cell r="O928" t="str">
            <v>1st level attrition</v>
          </cell>
          <cell r="P928" t="str">
            <v>Q1 Passed</v>
          </cell>
          <cell r="Q928" t="str">
            <v>Q1 Passed</v>
          </cell>
          <cell r="R928" t="str">
            <v>Q1.5 Rejected</v>
          </cell>
          <cell r="S928" t="str">
            <v>Q1.5 Rejected</v>
          </cell>
          <cell r="T928" t="str">
            <v>Fatty and No Hard portion</v>
          </cell>
          <cell r="W928" t="str">
            <v>Private Hospital</v>
          </cell>
          <cell r="X928" t="str">
            <v>Vydehi Hospital, Bangalore</v>
          </cell>
          <cell r="Y928" t="str">
            <v>Vydehi Hospital, Bangalore</v>
          </cell>
          <cell r="Z928" t="str">
            <v>Dr Amritha Prabha, Bangalore</v>
          </cell>
          <cell r="AA928" t="str">
            <v>Ca Breast</v>
          </cell>
          <cell r="AB928" t="str">
            <v>TPBC</v>
          </cell>
          <cell r="AC928" t="str">
            <v xml:space="preserve">Breast </v>
          </cell>
          <cell r="AD928" t="str">
            <v>Left Breast</v>
          </cell>
          <cell r="AE928" t="str">
            <v>Female</v>
          </cell>
          <cell r="AF928">
            <v>38</v>
          </cell>
          <cell r="AG928" t="str">
            <v>N</v>
          </cell>
          <cell r="AH928">
            <v>4.9000000000000004</v>
          </cell>
          <cell r="AI928" t="str">
            <v>Shashi</v>
          </cell>
          <cell r="AJ928" t="str">
            <v>Surgery</v>
          </cell>
          <cell r="AK928" t="str">
            <v>Primary</v>
          </cell>
          <cell r="AL928" t="str">
            <v>Chemotherapy</v>
          </cell>
          <cell r="AQ928">
            <v>8</v>
          </cell>
          <cell r="AR928" t="str">
            <v>Adriyamycin, Cyclophosphamide, Paclitaxel</v>
          </cell>
          <cell r="AT928" t="str">
            <v>CT</v>
          </cell>
          <cell r="AU928" t="str">
            <v>Paclitaxel 6cycle</v>
          </cell>
          <cell r="AV928">
            <v>45352</v>
          </cell>
          <cell r="AW928">
            <v>0.77569444444444446</v>
          </cell>
          <cell r="BB928" t="str">
            <v>0.4*2.0*2.8</v>
          </cell>
          <cell r="BE928">
            <v>15</v>
          </cell>
          <cell r="BF928" t="str">
            <v>Syam</v>
          </cell>
          <cell r="BG928" t="str">
            <v>N</v>
          </cell>
        </row>
        <row r="929">
          <cell r="A929">
            <v>240087</v>
          </cell>
          <cell r="B929">
            <v>240087</v>
          </cell>
          <cell r="C929" t="str">
            <v>R&amp;D</v>
          </cell>
          <cell r="D929">
            <v>45353</v>
          </cell>
          <cell r="E929">
            <v>0.63888888888888884</v>
          </cell>
          <cell r="F929">
            <v>45352</v>
          </cell>
          <cell r="G929">
            <v>45353</v>
          </cell>
          <cell r="H929">
            <v>0.69027777777777777</v>
          </cell>
          <cell r="I929">
            <v>5.1388888888888887E-2</v>
          </cell>
          <cell r="J929">
            <v>3</v>
          </cell>
          <cell r="K929" t="str">
            <v>FCB-PROTOCOL-01</v>
          </cell>
          <cell r="L929" t="str">
            <v>VYD/262</v>
          </cell>
          <cell r="M929" t="str">
            <v>Y</v>
          </cell>
          <cell r="N929" t="str">
            <v>BioBank</v>
          </cell>
          <cell r="O929" t="str">
            <v>1st level attrition</v>
          </cell>
          <cell r="P929" t="str">
            <v>Q1 Rejected</v>
          </cell>
          <cell r="Q929" t="str">
            <v>Q1 Passed</v>
          </cell>
          <cell r="R929" t="str">
            <v>Q1.5 Rejected</v>
          </cell>
          <cell r="S929" t="str">
            <v>Q1.5 Rejected</v>
          </cell>
          <cell r="T929" t="str">
            <v>Fatty Tissue</v>
          </cell>
          <cell r="W929" t="str">
            <v>Private Hospital</v>
          </cell>
          <cell r="X929" t="str">
            <v>Vydehi Hospital, Bangalore</v>
          </cell>
          <cell r="Y929" t="str">
            <v>Vydehi Hospital, Bangalore</v>
          </cell>
          <cell r="Z929" t="str">
            <v>Dr Amritha Prabha, Bangalore</v>
          </cell>
          <cell r="AA929" t="str">
            <v>Ca Breast</v>
          </cell>
          <cell r="AB929" t="str">
            <v>Er +
Pr +
Her 2 -</v>
          </cell>
          <cell r="AC929" t="str">
            <v xml:space="preserve">Breast </v>
          </cell>
          <cell r="AD929" t="str">
            <v>Right Breast</v>
          </cell>
          <cell r="AE929" t="str">
            <v>Female</v>
          </cell>
          <cell r="AF929">
            <v>65</v>
          </cell>
          <cell r="AG929" t="str">
            <v>N</v>
          </cell>
          <cell r="AH929">
            <v>4.5999999999999996</v>
          </cell>
          <cell r="AI929" t="str">
            <v>Kalappa</v>
          </cell>
          <cell r="AJ929" t="str">
            <v>Surgery</v>
          </cell>
          <cell r="AK929" t="str">
            <v>Primary</v>
          </cell>
          <cell r="AV929">
            <v>45353</v>
          </cell>
          <cell r="AW929">
            <v>0.70277777777777772</v>
          </cell>
          <cell r="BB929" t="str">
            <v>0.3*1.0/0.2*2.2/1.6</v>
          </cell>
          <cell r="BC929" t="str">
            <v>0.2*0.4*0.4</v>
          </cell>
          <cell r="BE929">
            <v>15</v>
          </cell>
          <cell r="BF929" t="str">
            <v>Dharani</v>
          </cell>
          <cell r="BG929" t="str">
            <v>N</v>
          </cell>
        </row>
        <row r="930">
          <cell r="A930" t="str">
            <v>FBR1Q240088</v>
          </cell>
          <cell r="B930">
            <v>240088</v>
          </cell>
          <cell r="C930" t="str">
            <v>R&amp;D</v>
          </cell>
          <cell r="D930">
            <v>45356</v>
          </cell>
          <cell r="E930">
            <v>0.65277777777777779</v>
          </cell>
          <cell r="F930">
            <v>45352</v>
          </cell>
          <cell r="G930">
            <v>45356</v>
          </cell>
          <cell r="H930">
            <v>0.77152777777777781</v>
          </cell>
          <cell r="I930">
            <v>0.11874999999999999</v>
          </cell>
          <cell r="J930">
            <v>20</v>
          </cell>
          <cell r="K930" t="str">
            <v>FCB-PROTOCOL-01</v>
          </cell>
          <cell r="L930" t="str">
            <v>CLN/DBR/176</v>
          </cell>
          <cell r="M930" t="str">
            <v>Y</v>
          </cell>
          <cell r="N930" t="str">
            <v>COSv4.2_CaBR(1Q-Unknown)</v>
          </cell>
          <cell r="O930" t="str">
            <v>Internal R&amp;D</v>
          </cell>
          <cell r="P930" t="str">
            <v>Q1 Passed</v>
          </cell>
          <cell r="Q930" t="str">
            <v>Q1 Passed</v>
          </cell>
          <cell r="R930" t="str">
            <v>Q1.5 Passed</v>
          </cell>
          <cell r="S930" t="str">
            <v>Q1.5 Passed</v>
          </cell>
          <cell r="V930" t="str">
            <v>Tumor content 4-20%. Average tumor content 8%</v>
          </cell>
          <cell r="W930" t="str">
            <v>Private Hospital</v>
          </cell>
          <cell r="X930" t="str">
            <v>Clinic'les- DBR &amp; SK Hospital, Tirupati</v>
          </cell>
          <cell r="Y930" t="str">
            <v>DBR &amp; SK Hospital, Tirupati</v>
          </cell>
          <cell r="Z930" t="str">
            <v>Dr C Jayaprakash, Tirupati</v>
          </cell>
          <cell r="AA930" t="str">
            <v>Ca Breast</v>
          </cell>
          <cell r="AC930" t="str">
            <v>Breast</v>
          </cell>
          <cell r="AD930" t="str">
            <v>Left Breast</v>
          </cell>
          <cell r="AE930" t="str">
            <v>Female</v>
          </cell>
          <cell r="AF930">
            <v>39</v>
          </cell>
          <cell r="AG930" t="str">
            <v>N</v>
          </cell>
          <cell r="AH930">
            <v>6.8</v>
          </cell>
          <cell r="AI930" t="str">
            <v>Maruthi</v>
          </cell>
          <cell r="AJ930" t="str">
            <v>Surgery</v>
          </cell>
          <cell r="AK930" t="str">
            <v>Primary</v>
          </cell>
          <cell r="AN930" t="str">
            <v>IIA</v>
          </cell>
          <cell r="AO930">
            <v>1</v>
          </cell>
          <cell r="AP930" t="str">
            <v>T2 N0 MX</v>
          </cell>
          <cell r="AV930">
            <v>45357</v>
          </cell>
          <cell r="AW930">
            <v>0.39930555555555558</v>
          </cell>
          <cell r="AX930">
            <v>0.45833333333333331</v>
          </cell>
          <cell r="AY930">
            <v>5.9027777777777776E-2</v>
          </cell>
          <cell r="AZ930">
            <v>0.33958333333333335</v>
          </cell>
          <cell r="BA930">
            <v>0.80555555555555558</v>
          </cell>
          <cell r="BB930" t="str">
            <v>0.6*1.4/0.6*2.2</v>
          </cell>
          <cell r="BC930" t="str">
            <v>0.4*0.6/1.2*2.0</v>
          </cell>
          <cell r="BD930" t="str">
            <v>Manual</v>
          </cell>
          <cell r="BE930">
            <v>14</v>
          </cell>
          <cell r="BF930" t="str">
            <v>Kokila</v>
          </cell>
          <cell r="BG930" t="str">
            <v>Y</v>
          </cell>
        </row>
        <row r="931">
          <cell r="A931" t="str">
            <v>FBR2C240089</v>
          </cell>
          <cell r="B931">
            <v>240089</v>
          </cell>
          <cell r="C931" t="str">
            <v>R&amp;D</v>
          </cell>
          <cell r="D931">
            <v>45357</v>
          </cell>
          <cell r="E931">
            <v>0.69444444444444442</v>
          </cell>
          <cell r="F931">
            <v>45352</v>
          </cell>
          <cell r="G931">
            <v>45357</v>
          </cell>
          <cell r="H931">
            <v>0.74375000000000002</v>
          </cell>
          <cell r="I931">
            <v>4.9305555555555554E-2</v>
          </cell>
          <cell r="J931">
            <v>10</v>
          </cell>
          <cell r="K931" t="str">
            <v>FCB-PROTOCOL-02</v>
          </cell>
          <cell r="L931" t="str">
            <v>RC048</v>
          </cell>
          <cell r="M931" t="str">
            <v>Y</v>
          </cell>
          <cell r="N931" t="str">
            <v>RCC DPT (2C)</v>
          </cell>
          <cell r="O931" t="str">
            <v>Internal R&amp;D</v>
          </cell>
          <cell r="P931" t="str">
            <v>Q1 Passed</v>
          </cell>
          <cell r="Q931" t="str">
            <v>Not Received</v>
          </cell>
          <cell r="R931" t="str">
            <v>Q1.5 Passed</v>
          </cell>
          <cell r="S931" t="str">
            <v>Q1.5 Rejected</v>
          </cell>
          <cell r="T931" t="str">
            <v>Blood not collected</v>
          </cell>
          <cell r="V931" t="str">
            <v>Tumor content 0-65%. Average tumor content 6%</v>
          </cell>
          <cell r="W931" t="str">
            <v>Private Hospital</v>
          </cell>
          <cell r="X931" t="str">
            <v>Mazumdar Shaw Medical Centre, Bangalore</v>
          </cell>
          <cell r="Y931" t="str">
            <v>Mazumdar Shaw Medical Centre, Bangalore</v>
          </cell>
          <cell r="Z931" t="str">
            <v>Dr Saurabh Bhargav, Bangalore</v>
          </cell>
          <cell r="AA931" t="str">
            <v>RCC</v>
          </cell>
          <cell r="AC931" t="str">
            <v>Renal</v>
          </cell>
          <cell r="AD931" t="str">
            <v>Right Renal Mass</v>
          </cell>
          <cell r="AE931" t="str">
            <v>Male</v>
          </cell>
          <cell r="AF931">
            <v>58</v>
          </cell>
          <cell r="AG931" t="str">
            <v>N</v>
          </cell>
          <cell r="AH931">
            <v>5.2</v>
          </cell>
          <cell r="AI931" t="str">
            <v>Shashi</v>
          </cell>
          <cell r="AJ931" t="str">
            <v>Surgery</v>
          </cell>
          <cell r="AK931" t="str">
            <v>Primary</v>
          </cell>
          <cell r="AV931">
            <v>45357</v>
          </cell>
          <cell r="AW931">
            <v>0.75555555555555554</v>
          </cell>
          <cell r="AX931">
            <v>0.83611111111111114</v>
          </cell>
          <cell r="AY931">
            <v>8.0555555555555561E-2</v>
          </cell>
          <cell r="AZ931">
            <v>0.78680555555555554</v>
          </cell>
          <cell r="BA931">
            <v>0.14166666666666666</v>
          </cell>
          <cell r="BB931" t="str">
            <v>0.2/0.6*0.7*0.4/1.0
0.6*1.3*1.4/1.0</v>
          </cell>
          <cell r="BC931" t="str">
            <v>0.4*1.0*1.2</v>
          </cell>
          <cell r="BD931" t="str">
            <v>Manual</v>
          </cell>
          <cell r="BE931">
            <v>14</v>
          </cell>
          <cell r="BF931" t="str">
            <v>Dharani</v>
          </cell>
          <cell r="BG931" t="str">
            <v>N</v>
          </cell>
        </row>
        <row r="932">
          <cell r="A932" t="str">
            <v>FBB1L240090</v>
          </cell>
          <cell r="B932">
            <v>240090</v>
          </cell>
          <cell r="C932" t="str">
            <v>Biopharma</v>
          </cell>
          <cell r="D932">
            <v>45358</v>
          </cell>
          <cell r="E932">
            <v>0.75694444444444442</v>
          </cell>
          <cell r="F932">
            <v>45352</v>
          </cell>
          <cell r="G932">
            <v>45358</v>
          </cell>
          <cell r="H932">
            <v>0.7944444444444444</v>
          </cell>
          <cell r="I932">
            <v>3.7499999999999999E-2</v>
          </cell>
          <cell r="J932">
            <v>10</v>
          </cell>
          <cell r="K932" t="str">
            <v>FCB-PROTOCOL-02</v>
          </cell>
          <cell r="L932" t="str">
            <v>RC049</v>
          </cell>
          <cell r="M932" t="str">
            <v>Y</v>
          </cell>
          <cell r="N932" t="str">
            <v>BP010 (1L)</v>
          </cell>
          <cell r="O932" t="str">
            <v>Biopharma</v>
          </cell>
          <cell r="P932" t="str">
            <v>Q1 Passed</v>
          </cell>
          <cell r="Q932" t="str">
            <v>Not Received</v>
          </cell>
          <cell r="R932" t="str">
            <v>Q1.5 Passed</v>
          </cell>
          <cell r="S932" t="str">
            <v>Q1.5 Passed</v>
          </cell>
          <cell r="T932" t="str">
            <v>Blood not collected</v>
          </cell>
          <cell r="V932" t="str">
            <v>Tumor content 80-96%</v>
          </cell>
          <cell r="W932" t="str">
            <v>Private Hospital</v>
          </cell>
          <cell r="X932" t="str">
            <v>Mazumdar Shaw Medical Centre, Bangalore</v>
          </cell>
          <cell r="Y932" t="str">
            <v>Mazumdar Shaw Medical Centre, Bangalore</v>
          </cell>
          <cell r="Z932" t="str">
            <v>Dr Saurabh Bhargav, Bangalore</v>
          </cell>
          <cell r="AA932" t="str">
            <v>RCC</v>
          </cell>
          <cell r="AC932" t="str">
            <v>Renal</v>
          </cell>
          <cell r="AD932" t="str">
            <v>Left Renal Mass</v>
          </cell>
          <cell r="AE932" t="str">
            <v>Male</v>
          </cell>
          <cell r="AF932">
            <v>76</v>
          </cell>
          <cell r="AG932" t="str">
            <v>N</v>
          </cell>
          <cell r="AH932">
            <v>4.5999999999999996</v>
          </cell>
          <cell r="AI932" t="str">
            <v>Maruthi</v>
          </cell>
          <cell r="AJ932" t="str">
            <v>Surgery</v>
          </cell>
          <cell r="AK932" t="str">
            <v>Primary</v>
          </cell>
          <cell r="AN932" t="str">
            <v>I</v>
          </cell>
          <cell r="AO932">
            <v>1</v>
          </cell>
          <cell r="AP932" t="str">
            <v>pT1b</v>
          </cell>
          <cell r="AS932" t="str">
            <v>Clear cell carcinoma</v>
          </cell>
          <cell r="AV932">
            <v>45358</v>
          </cell>
          <cell r="AW932">
            <v>0.80763888888888891</v>
          </cell>
          <cell r="AX932">
            <v>0.84722222222222221</v>
          </cell>
          <cell r="AY932">
            <v>3.9583333333333331E-2</v>
          </cell>
          <cell r="AZ932">
            <v>0.80972222222222223</v>
          </cell>
          <cell r="BA932">
            <v>9.0277777777777776E-2</v>
          </cell>
          <cell r="BB932" t="str">
            <v>0.2*0.8*1.2
0.4*0.8/1.0*1.2/1.5</v>
          </cell>
          <cell r="BD932" t="str">
            <v>Manual</v>
          </cell>
          <cell r="BE932">
            <v>14</v>
          </cell>
          <cell r="BF932" t="str">
            <v>Mouniss</v>
          </cell>
          <cell r="BG932" t="str">
            <v>N</v>
          </cell>
        </row>
        <row r="933">
          <cell r="A933" t="str">
            <v>FBR1Y240091</v>
          </cell>
          <cell r="B933">
            <v>240091</v>
          </cell>
          <cell r="C933" t="str">
            <v>R&amp;D</v>
          </cell>
          <cell r="D933">
            <v>45358</v>
          </cell>
          <cell r="E933">
            <v>0.49305555555555558</v>
          </cell>
          <cell r="F933">
            <v>45352</v>
          </cell>
          <cell r="G933">
            <v>45358</v>
          </cell>
          <cell r="H933">
            <v>0.90486111111111112</v>
          </cell>
          <cell r="I933">
            <v>0.41180555555555554</v>
          </cell>
          <cell r="J933">
            <v>20</v>
          </cell>
          <cell r="K933" t="str">
            <v>FCB-PROTOCOL-01</v>
          </cell>
          <cell r="L933" t="str">
            <v>CLN/DBR/177</v>
          </cell>
          <cell r="M933" t="str">
            <v>Y</v>
          </cell>
          <cell r="N933" t="str">
            <v>CCS Study (1Y)</v>
          </cell>
          <cell r="O933" t="str">
            <v>Internal R&amp;D</v>
          </cell>
          <cell r="P933" t="str">
            <v>Q1 Passed</v>
          </cell>
          <cell r="Q933" t="str">
            <v>Q1 Passed</v>
          </cell>
          <cell r="R933" t="str">
            <v>Q1.5 Passed</v>
          </cell>
          <cell r="S933" t="str">
            <v>Q1.5 Passed</v>
          </cell>
          <cell r="V933" t="str">
            <v>Tumor content 60-96%</v>
          </cell>
          <cell r="W933" t="str">
            <v>Private Hospital</v>
          </cell>
          <cell r="X933" t="str">
            <v>Clinic'les- DBR &amp; SK Hospital, Tirupati</v>
          </cell>
          <cell r="Y933" t="str">
            <v>DBR &amp; SK Hospital, Tirupati</v>
          </cell>
          <cell r="Z933" t="str">
            <v>Dr C Jayaprakash, Tirupati</v>
          </cell>
          <cell r="AA933" t="str">
            <v>HNSCC</v>
          </cell>
          <cell r="AC933" t="str">
            <v>Buccal Mucosa</v>
          </cell>
          <cell r="AD933" t="str">
            <v>Left Buccal Mucosa</v>
          </cell>
          <cell r="AE933" t="str">
            <v>Female</v>
          </cell>
          <cell r="AF933">
            <v>78</v>
          </cell>
          <cell r="AG933" t="str">
            <v>N</v>
          </cell>
          <cell r="AH933">
            <v>4.9000000000000004</v>
          </cell>
          <cell r="AI933" t="str">
            <v>Shashi</v>
          </cell>
          <cell r="AJ933" t="str">
            <v>Surgery</v>
          </cell>
          <cell r="AK933" t="str">
            <v>Primary</v>
          </cell>
          <cell r="AN933" t="str">
            <v>III</v>
          </cell>
          <cell r="AP933" t="str">
            <v>T3 N1 MX</v>
          </cell>
          <cell r="AV933">
            <v>45358</v>
          </cell>
          <cell r="AW933">
            <v>0.91041666666666665</v>
          </cell>
          <cell r="AX933">
            <v>1.0069444444444444</v>
          </cell>
          <cell r="AY933">
            <v>9.6527777777777782E-2</v>
          </cell>
          <cell r="AZ933">
            <v>0.59513888888888888</v>
          </cell>
          <cell r="BA933">
            <v>0.51388888888888884</v>
          </cell>
          <cell r="BB933" t="str">
            <v>0.8/1.2*0.6/0.9*2.4</v>
          </cell>
          <cell r="BD933" t="str">
            <v>Vibratome</v>
          </cell>
          <cell r="BE933">
            <v>14</v>
          </cell>
          <cell r="BF933" t="str">
            <v>chandan</v>
          </cell>
          <cell r="BG933" t="str">
            <v>Y</v>
          </cell>
        </row>
        <row r="934">
          <cell r="A934" t="str">
            <v>FBR1Y240092</v>
          </cell>
          <cell r="B934">
            <v>240092</v>
          </cell>
          <cell r="C934" t="str">
            <v>R&amp;D</v>
          </cell>
          <cell r="D934">
            <v>45362</v>
          </cell>
          <cell r="E934">
            <v>0.6020833333333333</v>
          </cell>
          <cell r="F934">
            <v>45352</v>
          </cell>
          <cell r="G934">
            <v>45362</v>
          </cell>
          <cell r="H934">
            <v>0.62222222222222223</v>
          </cell>
          <cell r="I934">
            <v>2.013888888888889E-2</v>
          </cell>
          <cell r="J934">
            <v>2</v>
          </cell>
          <cell r="K934" t="str">
            <v>FCB-PROTOCOL-01</v>
          </cell>
          <cell r="L934" t="str">
            <v>CLN/PRA/255</v>
          </cell>
          <cell r="M934" t="str">
            <v>Y</v>
          </cell>
          <cell r="N934" t="str">
            <v>CCS Study (1Y)</v>
          </cell>
          <cell r="O934" t="str">
            <v>Internal R&amp;D</v>
          </cell>
          <cell r="P934" t="str">
            <v>Q1 Passed</v>
          </cell>
          <cell r="Q934" t="str">
            <v>Q1 Passed</v>
          </cell>
          <cell r="R934" t="str">
            <v>Q1.5 Passed</v>
          </cell>
          <cell r="S934" t="str">
            <v>Q1.5 Rejected</v>
          </cell>
          <cell r="V934" t="str">
            <v>Tumor content 3-8%.Average 4 %.</v>
          </cell>
          <cell r="W934" t="str">
            <v>Private Hospital</v>
          </cell>
          <cell r="X934" t="str">
            <v>Dr Prakash BV, Bangalore</v>
          </cell>
          <cell r="Y934" t="str">
            <v>Sri Lakshmi Hospital, Bangalore</v>
          </cell>
          <cell r="Z934" t="str">
            <v>Dr Prakash BV, Bangalore</v>
          </cell>
          <cell r="AA934" t="str">
            <v>HNSCC</v>
          </cell>
          <cell r="AC934" t="str">
            <v>Tongue</v>
          </cell>
          <cell r="AD934" t="str">
            <v>Lateral Tongue</v>
          </cell>
          <cell r="AE934" t="str">
            <v>Male</v>
          </cell>
          <cell r="AF934">
            <v>60</v>
          </cell>
          <cell r="AG934" t="str">
            <v>N</v>
          </cell>
          <cell r="AH934">
            <v>4.5999999999999996</v>
          </cell>
          <cell r="AI934" t="str">
            <v>Kalappa</v>
          </cell>
          <cell r="AJ934" t="str">
            <v>Surgery</v>
          </cell>
          <cell r="AK934" t="str">
            <v>Primary</v>
          </cell>
          <cell r="AV934">
            <v>45362</v>
          </cell>
          <cell r="AW934">
            <v>0.64236111111111116</v>
          </cell>
          <cell r="AX934">
            <v>0.68958333333333333</v>
          </cell>
          <cell r="AY934">
            <v>4.7222222222222221E-2</v>
          </cell>
          <cell r="AZ934">
            <v>0.6694444444444444</v>
          </cell>
          <cell r="BA934">
            <v>8.7499999999999994E-2</v>
          </cell>
          <cell r="BB934" t="str">
            <v>0.3-0.4*1.2*1.4</v>
          </cell>
          <cell r="BD934" t="str">
            <v>Manual</v>
          </cell>
          <cell r="BE934">
            <v>14</v>
          </cell>
          <cell r="BF934" t="str">
            <v>kuberan</v>
          </cell>
          <cell r="BG934" t="str">
            <v>Y</v>
          </cell>
        </row>
        <row r="935">
          <cell r="A935" t="str">
            <v>FBR1Y240093</v>
          </cell>
          <cell r="B935">
            <v>240093</v>
          </cell>
          <cell r="C935" t="str">
            <v>R&amp;D</v>
          </cell>
          <cell r="D935">
            <v>45362</v>
          </cell>
          <cell r="E935">
            <v>0.52083333333333337</v>
          </cell>
          <cell r="F935">
            <v>45352</v>
          </cell>
          <cell r="G935">
            <v>45362</v>
          </cell>
          <cell r="H935">
            <v>0.59861111111111109</v>
          </cell>
          <cell r="I935">
            <v>7.7777777777777779E-2</v>
          </cell>
          <cell r="J935">
            <v>15</v>
          </cell>
          <cell r="K935" t="str">
            <v>FCB-PROTOCOL-01</v>
          </cell>
          <cell r="L935" t="str">
            <v>HN127</v>
          </cell>
          <cell r="M935" t="str">
            <v>Y</v>
          </cell>
          <cell r="N935" t="str">
            <v>CCS Study (1Y)</v>
          </cell>
          <cell r="O935" t="str">
            <v>Internal R&amp;D</v>
          </cell>
          <cell r="P935" t="str">
            <v>Q1 Passed</v>
          </cell>
          <cell r="Q935" t="str">
            <v>Q1 Passed</v>
          </cell>
          <cell r="R935" t="str">
            <v>Q1.5 Passed</v>
          </cell>
          <cell r="S935" t="str">
            <v>Q1.5 Passed</v>
          </cell>
          <cell r="V935" t="str">
            <v>Tumor content 80%- 95%</v>
          </cell>
          <cell r="W935" t="str">
            <v>Private Hospital</v>
          </cell>
          <cell r="X935" t="str">
            <v>Mazumdar Shaw Medical Centre, Bangalore</v>
          </cell>
          <cell r="Y935" t="str">
            <v>Mazumdar Shaw Medical Centre, Bangalore</v>
          </cell>
          <cell r="Z935" t="str">
            <v>Dr Vijay Pillai, Bangalore</v>
          </cell>
          <cell r="AA935" t="str">
            <v>HNSCC</v>
          </cell>
          <cell r="AC935" t="str">
            <v>Lower Alveolus</v>
          </cell>
          <cell r="AD935" t="str">
            <v>Lower Alveolus</v>
          </cell>
          <cell r="AE935" t="str">
            <v>Female</v>
          </cell>
          <cell r="AF935">
            <v>49</v>
          </cell>
          <cell r="AG935" t="str">
            <v>N</v>
          </cell>
          <cell r="AH935">
            <v>5.0999999999999996</v>
          </cell>
          <cell r="AI935" t="str">
            <v>Shashi</v>
          </cell>
          <cell r="AJ935" t="str">
            <v>Surgery</v>
          </cell>
          <cell r="AK935" t="str">
            <v>Primary</v>
          </cell>
          <cell r="AN935" t="str">
            <v>IV</v>
          </cell>
          <cell r="AO935">
            <v>2</v>
          </cell>
          <cell r="AP935" t="str">
            <v>pT4bpN0</v>
          </cell>
          <cell r="AS935" t="str">
            <v>MDSCC(Moderately Differentiated Squamous cell carcinoma)</v>
          </cell>
          <cell r="AV935">
            <v>45362</v>
          </cell>
          <cell r="AW935">
            <v>0.69652777777777775</v>
          </cell>
          <cell r="AX935">
            <v>0.73124999999999996</v>
          </cell>
          <cell r="AY935">
            <v>3.4722221999999997E-2</v>
          </cell>
          <cell r="AZ935">
            <v>0.65347222199999999</v>
          </cell>
          <cell r="BA935">
            <v>0.210416667</v>
          </cell>
          <cell r="BB935" t="str">
            <v>0.4*0.8/0.3*1.2</v>
          </cell>
          <cell r="BD935" t="str">
            <v>Manual</v>
          </cell>
          <cell r="BE935">
            <v>14</v>
          </cell>
          <cell r="BF935" t="str">
            <v>Dharani</v>
          </cell>
          <cell r="BG935" t="str">
            <v>Y</v>
          </cell>
        </row>
        <row r="936">
          <cell r="A936" t="str">
            <v>FBR2A240094</v>
          </cell>
          <cell r="B936">
            <v>240094</v>
          </cell>
          <cell r="C936" t="str">
            <v>R&amp;D</v>
          </cell>
          <cell r="D936">
            <v>45362</v>
          </cell>
          <cell r="E936">
            <v>0.60069444444444442</v>
          </cell>
          <cell r="F936">
            <v>45352</v>
          </cell>
          <cell r="G936">
            <v>45362</v>
          </cell>
          <cell r="H936">
            <v>0.68194444444444446</v>
          </cell>
          <cell r="I936">
            <v>8.1250000000000003E-2</v>
          </cell>
          <cell r="J936">
            <v>54</v>
          </cell>
          <cell r="K936" t="str">
            <v>FCB-PROTOCOL-01</v>
          </cell>
          <cell r="L936" t="str">
            <v>OCO39</v>
          </cell>
          <cell r="M936" t="str">
            <v>Y</v>
          </cell>
          <cell r="N936" t="str">
            <v>Ovary CC (R2A)</v>
          </cell>
          <cell r="O936" t="str">
            <v>Internal R&amp;D</v>
          </cell>
          <cell r="P936" t="str">
            <v>Q1 Passed</v>
          </cell>
          <cell r="Q936" t="str">
            <v>Q1 Passed</v>
          </cell>
          <cell r="R936" t="str">
            <v>Q1.5 Passed</v>
          </cell>
          <cell r="S936" t="str">
            <v>Q1.5 Rejected</v>
          </cell>
          <cell r="V936" t="str">
            <v>No tumor</v>
          </cell>
          <cell r="W936" t="str">
            <v>Private Hospital</v>
          </cell>
          <cell r="X936" t="str">
            <v>Mazumdar Shaw Medical Centre, Bangalore</v>
          </cell>
          <cell r="Y936" t="str">
            <v>Mazumdar Shaw Medical Centre, Bangalore</v>
          </cell>
          <cell r="Z936" t="str">
            <v>Dr Rohit Ranade, Bangalore</v>
          </cell>
          <cell r="AA936" t="str">
            <v>Ca Ovary</v>
          </cell>
          <cell r="AC936" t="str">
            <v>Omentum</v>
          </cell>
          <cell r="AD936" t="str">
            <v>Omentum</v>
          </cell>
          <cell r="AE936" t="str">
            <v>Female</v>
          </cell>
          <cell r="AF936">
            <v>58</v>
          </cell>
          <cell r="AG936" t="str">
            <v>N</v>
          </cell>
          <cell r="AH936">
            <v>5.0999999999999996</v>
          </cell>
          <cell r="AI936" t="str">
            <v>Shashi</v>
          </cell>
          <cell r="AJ936" t="str">
            <v>Surgery</v>
          </cell>
          <cell r="AK936" t="str">
            <v>Primary</v>
          </cell>
          <cell r="AV936">
            <v>45362</v>
          </cell>
          <cell r="AW936">
            <v>0.69652777777777775</v>
          </cell>
          <cell r="AX936">
            <v>0.74791666666666667</v>
          </cell>
          <cell r="AY936">
            <v>5.1388888888888887E-2</v>
          </cell>
          <cell r="AZ936">
            <v>0.66666666666666663</v>
          </cell>
          <cell r="BA936">
            <v>0.14722222222222223</v>
          </cell>
          <cell r="BB936" t="str">
            <v>0.4/0.6*6.0*2.4</v>
          </cell>
          <cell r="BD936" t="str">
            <v>Manual</v>
          </cell>
          <cell r="BE936">
            <v>14</v>
          </cell>
          <cell r="BF936" t="str">
            <v>Abdul</v>
          </cell>
          <cell r="BG936" t="str">
            <v>Y</v>
          </cell>
        </row>
        <row r="937">
          <cell r="A937" t="str">
            <v>FBR1W240095</v>
          </cell>
          <cell r="B937">
            <v>240095</v>
          </cell>
          <cell r="C937" t="str">
            <v>R&amp;D</v>
          </cell>
          <cell r="D937">
            <v>45362</v>
          </cell>
          <cell r="E937">
            <v>0.67708333333333337</v>
          </cell>
          <cell r="F937">
            <v>45352</v>
          </cell>
          <cell r="G937">
            <v>45362</v>
          </cell>
          <cell r="H937">
            <v>0.73611111111111116</v>
          </cell>
          <cell r="I937">
            <v>5.9027777777777776E-2</v>
          </cell>
          <cell r="J937">
            <v>0</v>
          </cell>
          <cell r="K937" t="str">
            <v>FCB-PROTOCOL-02</v>
          </cell>
          <cell r="L937" t="str">
            <v>BCO35</v>
          </cell>
          <cell r="M937" t="str">
            <v>Y</v>
          </cell>
          <cell r="N937" t="str">
            <v>Biopsy Cabr-BSS (1W)</v>
          </cell>
          <cell r="O937" t="str">
            <v>Internal R&amp;D</v>
          </cell>
          <cell r="P937" t="str">
            <v>Q1 Passed</v>
          </cell>
          <cell r="Q937" t="str">
            <v>Q1 Passed</v>
          </cell>
          <cell r="R937" t="str">
            <v>Q1.5 Passed</v>
          </cell>
          <cell r="S937" t="str">
            <v>Q1.5 Passed</v>
          </cell>
          <cell r="V937" t="str">
            <v>Tumor content 0-30%. Average tumor content 10%.</v>
          </cell>
          <cell r="W937" t="str">
            <v>Private Hospital</v>
          </cell>
          <cell r="X937" t="str">
            <v>Mazumdar Shaw Medical Centre, Bangalore</v>
          </cell>
          <cell r="Y937" t="str">
            <v>Mazumdar Shaw Medical Centre, Bangalore</v>
          </cell>
          <cell r="Z937" t="str">
            <v>Dr Akshita Singh</v>
          </cell>
          <cell r="AA937" t="str">
            <v>Ca Breast</v>
          </cell>
          <cell r="AC937" t="str">
            <v>Breast</v>
          </cell>
          <cell r="AD937" t="str">
            <v>Left Breast</v>
          </cell>
          <cell r="AE937" t="str">
            <v>Female</v>
          </cell>
          <cell r="AF937">
            <v>58</v>
          </cell>
          <cell r="AG937" t="str">
            <v>N</v>
          </cell>
          <cell r="AH937">
            <v>4.8</v>
          </cell>
          <cell r="AI937" t="str">
            <v>Maruthi</v>
          </cell>
          <cell r="AJ937" t="str">
            <v>Biopsy</v>
          </cell>
          <cell r="AK937" t="str">
            <v>Primary</v>
          </cell>
          <cell r="AV937">
            <v>45362</v>
          </cell>
          <cell r="AW937">
            <v>0.74722222222222223</v>
          </cell>
          <cell r="AX937">
            <v>0.78194444444444444</v>
          </cell>
          <cell r="AY937">
            <v>3.4722222222222224E-2</v>
          </cell>
          <cell r="AZ937">
            <v>0.72291666666666665</v>
          </cell>
          <cell r="BA937">
            <v>0.10486111111111111</v>
          </cell>
          <cell r="BB937" t="str">
            <v xml:space="preserve">3 cores </v>
          </cell>
          <cell r="BD937" t="str">
            <v>Manual</v>
          </cell>
          <cell r="BE937">
            <v>14</v>
          </cell>
          <cell r="BF937" t="str">
            <v xml:space="preserve">sai </v>
          </cell>
          <cell r="BG937" t="str">
            <v>Y</v>
          </cell>
        </row>
        <row r="938">
          <cell r="A938" t="str">
            <v>FBR2M240096</v>
          </cell>
          <cell r="B938">
            <v>240096</v>
          </cell>
          <cell r="C938" t="str">
            <v>R&amp;D</v>
          </cell>
          <cell r="D938">
            <v>45363</v>
          </cell>
          <cell r="E938">
            <v>0.82152777777777775</v>
          </cell>
          <cell r="F938">
            <v>45352</v>
          </cell>
          <cell r="G938">
            <v>45363</v>
          </cell>
          <cell r="H938">
            <v>0.875</v>
          </cell>
          <cell r="I938">
            <v>5.347222222222222E-2</v>
          </cell>
          <cell r="J938">
            <v>5</v>
          </cell>
          <cell r="K938" t="str">
            <v>FCB-PROTOCOL-01</v>
          </cell>
          <cell r="L938" t="str">
            <v>VYD/263</v>
          </cell>
          <cell r="M938" t="str">
            <v>Y</v>
          </cell>
          <cell r="P938" t="str">
            <v>Q1 Passed</v>
          </cell>
          <cell r="Q938" t="str">
            <v>Q1 Passed</v>
          </cell>
          <cell r="R938" t="str">
            <v>Compromised</v>
          </cell>
          <cell r="S938" t="str">
            <v>Q1.5 Passed</v>
          </cell>
          <cell r="V938" t="str">
            <v>Tumor Content 3-80%</v>
          </cell>
          <cell r="W938" t="str">
            <v>Private Hospital</v>
          </cell>
          <cell r="X938" t="str">
            <v>Vydehi Hospital, Bangalore</v>
          </cell>
          <cell r="Y938" t="str">
            <v>Vydehi Hospital, Bangalore</v>
          </cell>
          <cell r="Z938" t="str">
            <v>Dr Amritha Prabha, Bangalore</v>
          </cell>
          <cell r="AA938" t="str">
            <v>HNSCC</v>
          </cell>
          <cell r="AB938" t="str">
            <v>Melanoma</v>
          </cell>
          <cell r="AC938" t="str">
            <v>Melanoma left lower alveolus</v>
          </cell>
          <cell r="AD938" t="str">
            <v>Melanoma left lower alveolus</v>
          </cell>
          <cell r="AE938" t="str">
            <v>Male</v>
          </cell>
          <cell r="AF938">
            <v>74</v>
          </cell>
          <cell r="AG938" t="str">
            <v>N</v>
          </cell>
          <cell r="AH938">
            <v>4.8</v>
          </cell>
          <cell r="AI938" t="str">
            <v>Shashi</v>
          </cell>
          <cell r="AJ938" t="str">
            <v>Surgery</v>
          </cell>
          <cell r="AK938" t="str">
            <v>Primary</v>
          </cell>
          <cell r="AN938" t="str">
            <v>III</v>
          </cell>
          <cell r="AP938" t="str">
            <v>T3N0</v>
          </cell>
          <cell r="AS938" t="str">
            <v>Mucosal melanoma</v>
          </cell>
          <cell r="AV938">
            <v>45364</v>
          </cell>
          <cell r="AW938">
            <v>0.32569444444444445</v>
          </cell>
          <cell r="AX938">
            <v>0.39513888888888887</v>
          </cell>
          <cell r="AY938">
            <v>6.9444443999999994E-2</v>
          </cell>
          <cell r="AZ938">
            <v>0.34166666699999998</v>
          </cell>
          <cell r="BA938">
            <v>-0.42638888899999999</v>
          </cell>
          <cell r="BB938" t="str">
            <v>0.8*1.0/1.6*2.4</v>
          </cell>
          <cell r="BD938" t="str">
            <v>Manual</v>
          </cell>
          <cell r="BE938">
            <v>14</v>
          </cell>
          <cell r="BF938" t="str">
            <v>Dharani</v>
          </cell>
          <cell r="BG938" t="str">
            <v>N</v>
          </cell>
        </row>
        <row r="939">
          <cell r="A939" t="str">
            <v>FBR1Y240097</v>
          </cell>
          <cell r="B939">
            <v>240097</v>
          </cell>
          <cell r="C939" t="str">
            <v>R&amp;D</v>
          </cell>
          <cell r="D939">
            <v>45364</v>
          </cell>
          <cell r="E939">
            <v>0.50624999999999998</v>
          </cell>
          <cell r="F939">
            <v>45352</v>
          </cell>
          <cell r="G939">
            <v>45364</v>
          </cell>
          <cell r="H939">
            <v>0.66666666666666663</v>
          </cell>
          <cell r="I939">
            <v>0.16041666666666668</v>
          </cell>
          <cell r="J939">
            <v>5</v>
          </cell>
          <cell r="K939" t="str">
            <v>FCB-PROTOCOL-01</v>
          </cell>
          <cell r="L939" t="str">
            <v>VYD/264</v>
          </cell>
          <cell r="M939" t="str">
            <v>Y</v>
          </cell>
          <cell r="N939" t="str">
            <v>CCS Study (1Y)</v>
          </cell>
          <cell r="O939" t="str">
            <v>Internal R&amp;D</v>
          </cell>
          <cell r="P939" t="str">
            <v>Q1 Passed</v>
          </cell>
          <cell r="Q939" t="str">
            <v>Q1 Passed</v>
          </cell>
          <cell r="R939" t="str">
            <v>Q1.5 Passed</v>
          </cell>
          <cell r="S939" t="str">
            <v>Q1.5 Passed</v>
          </cell>
          <cell r="V939" t="str">
            <v>Tumor Content 40-90%</v>
          </cell>
          <cell r="W939" t="str">
            <v>Private Hospital</v>
          </cell>
          <cell r="X939" t="str">
            <v>Vydehi Hospital, Bangalore</v>
          </cell>
          <cell r="Y939" t="str">
            <v>Vydehi Hospital, Bangalore</v>
          </cell>
          <cell r="Z939" t="str">
            <v>Dr Amritha Prabha, Bangalore</v>
          </cell>
          <cell r="AA939" t="str">
            <v>HNSCC</v>
          </cell>
          <cell r="AC939" t="str">
            <v>Superglotis</v>
          </cell>
          <cell r="AD939" t="str">
            <v>Superglotis left side</v>
          </cell>
          <cell r="AE939" t="str">
            <v>Male</v>
          </cell>
          <cell r="AF939">
            <v>65</v>
          </cell>
          <cell r="AG939" t="str">
            <v>N</v>
          </cell>
          <cell r="AH939">
            <v>5.0999999999999996</v>
          </cell>
          <cell r="AI939" t="str">
            <v>Shashi</v>
          </cell>
          <cell r="AJ939" t="str">
            <v>Surgery</v>
          </cell>
          <cell r="AK939" t="str">
            <v>Primary</v>
          </cell>
          <cell r="AN939" t="str">
            <v>IVa</v>
          </cell>
          <cell r="AO939">
            <v>2</v>
          </cell>
          <cell r="AP939" t="str">
            <v>T3N2B</v>
          </cell>
          <cell r="AS939" t="str">
            <v>SCC</v>
          </cell>
          <cell r="AT939" t="str">
            <v>RT</v>
          </cell>
          <cell r="AV939">
            <v>45364</v>
          </cell>
          <cell r="AW939">
            <v>0.6875</v>
          </cell>
          <cell r="AX939">
            <v>0.77083333333333337</v>
          </cell>
          <cell r="AY939">
            <v>8.3333333333333329E-2</v>
          </cell>
          <cell r="AZ939">
            <v>0.61041666666666672</v>
          </cell>
          <cell r="BA939">
            <v>0.26458333333333334</v>
          </cell>
          <cell r="BB939" t="str">
            <v>0.5/0.6*0.9/0.6*1.6
0.4*0.7/0.8*1.2</v>
          </cell>
          <cell r="BD939" t="str">
            <v>Manual+Vibratome</v>
          </cell>
          <cell r="BE939">
            <v>14</v>
          </cell>
          <cell r="BF939" t="str">
            <v>chandan</v>
          </cell>
          <cell r="BG939" t="str">
            <v>Y</v>
          </cell>
        </row>
        <row r="940">
          <cell r="A940" t="str">
            <v>FBR2C240098</v>
          </cell>
          <cell r="B940">
            <v>240098</v>
          </cell>
          <cell r="C940" t="str">
            <v>R&amp;D</v>
          </cell>
          <cell r="D940">
            <v>45364</v>
          </cell>
          <cell r="E940">
            <v>0.54166666666666663</v>
          </cell>
          <cell r="F940">
            <v>45352</v>
          </cell>
          <cell r="G940">
            <v>45364</v>
          </cell>
          <cell r="H940">
            <v>0.66666666666666663</v>
          </cell>
          <cell r="I940">
            <v>0.125</v>
          </cell>
          <cell r="J940">
            <v>4</v>
          </cell>
          <cell r="K940" t="str">
            <v>FCB-PROTOCOL-01</v>
          </cell>
          <cell r="L940" t="str">
            <v>VYD/265</v>
          </cell>
          <cell r="M940" t="str">
            <v>Y</v>
          </cell>
          <cell r="N940" t="str">
            <v>RCC DPT (2C)</v>
          </cell>
          <cell r="O940" t="str">
            <v>Internal R&amp;D</v>
          </cell>
          <cell r="P940" t="str">
            <v>Q1 Passed</v>
          </cell>
          <cell r="Q940" t="str">
            <v>Q1 Passed</v>
          </cell>
          <cell r="R940" t="str">
            <v>Q1.5 Passed</v>
          </cell>
          <cell r="S940" t="str">
            <v>Q1.5 Rejected</v>
          </cell>
          <cell r="V940" t="str">
            <v>No Tumor</v>
          </cell>
          <cell r="W940" t="str">
            <v>Private Hospital</v>
          </cell>
          <cell r="X940" t="str">
            <v>Vydehi Hospital, Bangalore</v>
          </cell>
          <cell r="Y940" t="str">
            <v>Vydehi Hospital, Bangalore</v>
          </cell>
          <cell r="Z940" t="str">
            <v>Dr Amritha Prabha, Bangalore</v>
          </cell>
          <cell r="AA940" t="str">
            <v>RCC</v>
          </cell>
          <cell r="AC940" t="str">
            <v>Renal Mass</v>
          </cell>
          <cell r="AD940" t="str">
            <v>Right Renal Mass</v>
          </cell>
          <cell r="AE940" t="str">
            <v>Male</v>
          </cell>
          <cell r="AF940">
            <v>67</v>
          </cell>
          <cell r="AG940" t="str">
            <v>N</v>
          </cell>
          <cell r="AH940">
            <v>5.0999999999999996</v>
          </cell>
          <cell r="AI940" t="str">
            <v>Shashi</v>
          </cell>
          <cell r="AJ940" t="str">
            <v>Surgery</v>
          </cell>
          <cell r="AK940" t="str">
            <v>Primary</v>
          </cell>
          <cell r="AV940">
            <v>45364</v>
          </cell>
          <cell r="AW940">
            <v>0.68402777777777779</v>
          </cell>
          <cell r="AX940">
            <v>0.72916666666666663</v>
          </cell>
          <cell r="AY940">
            <v>4.5138888888888888E-2</v>
          </cell>
          <cell r="AZ940">
            <v>0.60416666666666663</v>
          </cell>
          <cell r="BA940">
            <v>0.1875</v>
          </cell>
          <cell r="BB940" t="str">
            <v>0.2*0.8*1.0</v>
          </cell>
          <cell r="BD940" t="str">
            <v>Manual</v>
          </cell>
          <cell r="BE940">
            <v>14</v>
          </cell>
          <cell r="BF940" t="str">
            <v>Syam</v>
          </cell>
          <cell r="BG940" t="str">
            <v>Y</v>
          </cell>
        </row>
        <row r="941">
          <cell r="A941" t="str">
            <v>FBR2J240099</v>
          </cell>
          <cell r="B941">
            <v>240099</v>
          </cell>
          <cell r="C941" t="str">
            <v>R&amp;D</v>
          </cell>
          <cell r="D941">
            <v>45364</v>
          </cell>
          <cell r="E941">
            <v>0.72361111111111109</v>
          </cell>
          <cell r="F941">
            <v>45352</v>
          </cell>
          <cell r="G941">
            <v>45364</v>
          </cell>
          <cell r="H941">
            <v>0.76597222222222228</v>
          </cell>
          <cell r="I941">
            <v>4.2361111111111113E-2</v>
          </cell>
          <cell r="J941">
            <v>1</v>
          </cell>
          <cell r="K941" t="str">
            <v>FCB-PROTOCOL-01</v>
          </cell>
          <cell r="L941" t="str">
            <v>CLN/PRA/256</v>
          </cell>
          <cell r="M941" t="str">
            <v>Y</v>
          </cell>
          <cell r="N941" t="str">
            <v>Lung (2I &amp; 2J)</v>
          </cell>
          <cell r="O941" t="str">
            <v>Internal R&amp;D</v>
          </cell>
          <cell r="P941" t="str">
            <v>Q1 Passed</v>
          </cell>
          <cell r="Q941" t="str">
            <v>Q1 Passed</v>
          </cell>
          <cell r="R941" t="str">
            <v>Q1.5 Passed</v>
          </cell>
          <cell r="S941" t="str">
            <v>Q1.5 Rejected</v>
          </cell>
          <cell r="T941" t="str">
            <v>Contaminated @T48</v>
          </cell>
          <cell r="V941" t="str">
            <v>Tumor Content 0-40%</v>
          </cell>
          <cell r="W941" t="str">
            <v>Private Hospital</v>
          </cell>
          <cell r="X941" t="str">
            <v>Dr Prakash BV, Bangalore</v>
          </cell>
          <cell r="Y941" t="str">
            <v>Sri Lakshmi Hospital, Bangalore</v>
          </cell>
          <cell r="Z941" t="str">
            <v>Dr Prakash BV, Bangalore</v>
          </cell>
          <cell r="AA941" t="str">
            <v>Lung</v>
          </cell>
          <cell r="AC941" t="str">
            <v>Bronchus</v>
          </cell>
          <cell r="AD941" t="str">
            <v>Left Bronchus</v>
          </cell>
          <cell r="AE941" t="str">
            <v>Male</v>
          </cell>
          <cell r="AF941">
            <v>50</v>
          </cell>
          <cell r="AG941" t="str">
            <v>N</v>
          </cell>
          <cell r="AH941">
            <v>5.2</v>
          </cell>
          <cell r="AI941" t="str">
            <v>Partha</v>
          </cell>
          <cell r="AJ941" t="str">
            <v>Surgery</v>
          </cell>
          <cell r="AK941" t="str">
            <v>Primary</v>
          </cell>
          <cell r="AN941" t="str">
            <v>II</v>
          </cell>
          <cell r="AO941">
            <v>2</v>
          </cell>
          <cell r="AP941" t="str">
            <v>pT2N1M0</v>
          </cell>
          <cell r="AS941" t="str">
            <v>Carcinoid tumor</v>
          </cell>
          <cell r="AV941">
            <v>45364</v>
          </cell>
          <cell r="AW941">
            <v>0.78541666666666665</v>
          </cell>
          <cell r="AX941">
            <v>0.87361111111111112</v>
          </cell>
          <cell r="AY941">
            <v>8.819444444444445E-2</v>
          </cell>
          <cell r="AZ941">
            <v>0.83125000000000004</v>
          </cell>
          <cell r="BA941">
            <v>0.15</v>
          </cell>
          <cell r="BB941" t="str">
            <v>1.2/1.4*1.4/1.6*1.8</v>
          </cell>
          <cell r="BD941" t="str">
            <v>Manual</v>
          </cell>
          <cell r="BE941">
            <v>14</v>
          </cell>
          <cell r="BF941" t="str">
            <v>kuberan</v>
          </cell>
          <cell r="BG941" t="str">
            <v>Y</v>
          </cell>
        </row>
        <row r="942">
          <cell r="A942" t="str">
            <v>FBR2C240100</v>
          </cell>
          <cell r="B942">
            <v>240100</v>
          </cell>
          <cell r="C942" t="str">
            <v>R&amp;D</v>
          </cell>
          <cell r="D942">
            <v>45365</v>
          </cell>
          <cell r="E942">
            <v>0.6875</v>
          </cell>
          <cell r="F942">
            <v>45352</v>
          </cell>
          <cell r="G942">
            <v>45365</v>
          </cell>
          <cell r="H942">
            <v>0.7270833333333333</v>
          </cell>
          <cell r="I942">
            <v>3.9583333333333331E-2</v>
          </cell>
          <cell r="J942">
            <v>3</v>
          </cell>
          <cell r="K942" t="str">
            <v>FCB-PROTOCOL-02</v>
          </cell>
          <cell r="L942" t="str">
            <v>RC050</v>
          </cell>
          <cell r="M942" t="str">
            <v>Y</v>
          </cell>
          <cell r="N942" t="str">
            <v>RCC DPT (2C)</v>
          </cell>
          <cell r="O942" t="str">
            <v>Internal R&amp;D</v>
          </cell>
          <cell r="P942" t="str">
            <v>Q1 Passed</v>
          </cell>
          <cell r="Q942" t="str">
            <v>Q1 Passed</v>
          </cell>
          <cell r="R942" t="str">
            <v>Compromised</v>
          </cell>
          <cell r="S942" t="str">
            <v>Q1.5 Passed</v>
          </cell>
          <cell r="V942" t="str">
            <v>Tumor content 85-95%</v>
          </cell>
          <cell r="W942" t="str">
            <v>Private Hospital</v>
          </cell>
          <cell r="X942" t="str">
            <v>Mazumdar Shaw Medical Centre, Bangalore</v>
          </cell>
          <cell r="Y942" t="str">
            <v>Mazumdar Shaw Medical Centre, Bangalore</v>
          </cell>
          <cell r="Z942" t="str">
            <v>Dr Saurabh Bhargav, Bangalore</v>
          </cell>
          <cell r="AA942" t="str">
            <v>RCC</v>
          </cell>
          <cell r="AC942" t="str">
            <v>Renal Mass</v>
          </cell>
          <cell r="AD942" t="str">
            <v>Right Renal Mass</v>
          </cell>
          <cell r="AE942" t="str">
            <v>Male</v>
          </cell>
          <cell r="AF942">
            <v>44</v>
          </cell>
          <cell r="AG942" t="str">
            <v>N</v>
          </cell>
          <cell r="AH942">
            <v>4.5999999999999996</v>
          </cell>
          <cell r="AI942" t="str">
            <v>Kalappa</v>
          </cell>
          <cell r="AJ942" t="str">
            <v>Surgery</v>
          </cell>
          <cell r="AK942" t="str">
            <v>Primary</v>
          </cell>
          <cell r="AN942" t="str">
            <v>III</v>
          </cell>
          <cell r="AO942">
            <v>2</v>
          </cell>
          <cell r="AP942" t="str">
            <v>pT3aN0</v>
          </cell>
          <cell r="AS942" t="str">
            <v>Clear cell carcinoma</v>
          </cell>
          <cell r="AV942">
            <v>45365</v>
          </cell>
          <cell r="AW942">
            <v>0.75347222222222221</v>
          </cell>
          <cell r="AX942">
            <v>0.79513888888888884</v>
          </cell>
          <cell r="AY942">
            <v>4.1666666666666664E-2</v>
          </cell>
          <cell r="AZ942">
            <v>0.75555555555555554</v>
          </cell>
          <cell r="BA942">
            <v>0.1076388888888889</v>
          </cell>
          <cell r="BB942" t="str">
            <v>0.2*0.8/1.2*1.6
0.2/0.4*0.8/0.9
0.9/0.2*1.2/1.0
0.2*0.9
0.8*1.2</v>
          </cell>
          <cell r="BD942" t="str">
            <v>Manual</v>
          </cell>
          <cell r="BE942">
            <v>14</v>
          </cell>
          <cell r="BF942" t="str">
            <v>Dharani</v>
          </cell>
          <cell r="BG942" t="str">
            <v>Y</v>
          </cell>
        </row>
        <row r="943">
          <cell r="A943" t="str">
            <v>FBR1Q240101</v>
          </cell>
          <cell r="B943">
            <v>240101</v>
          </cell>
          <cell r="C943" t="str">
            <v>R&amp;D</v>
          </cell>
          <cell r="D943">
            <v>45365</v>
          </cell>
          <cell r="E943">
            <v>0.73055555555555551</v>
          </cell>
          <cell r="F943">
            <v>45352</v>
          </cell>
          <cell r="G943">
            <v>45365</v>
          </cell>
          <cell r="H943">
            <v>0.8</v>
          </cell>
          <cell r="I943">
            <v>6.9444444444444448E-2</v>
          </cell>
          <cell r="J943">
            <v>3</v>
          </cell>
          <cell r="K943" t="str">
            <v>FCB-PROTOCOL-01</v>
          </cell>
          <cell r="L943" t="str">
            <v>VYD/266</v>
          </cell>
          <cell r="M943" t="str">
            <v>Y</v>
          </cell>
          <cell r="N943" t="str">
            <v>COSv4.1_CaBR(1Q-Known)</v>
          </cell>
          <cell r="O943" t="str">
            <v>Internal R&amp;D</v>
          </cell>
          <cell r="P943" t="str">
            <v>Q1 Passed</v>
          </cell>
          <cell r="Q943" t="str">
            <v>Q1 Rejected</v>
          </cell>
          <cell r="R943" t="str">
            <v>Q1.5 Passed</v>
          </cell>
          <cell r="S943" t="str">
            <v>Q1.5 Passed</v>
          </cell>
          <cell r="V943" t="str">
            <v>Tumor content 0-30%</v>
          </cell>
          <cell r="W943" t="str">
            <v>Private Hospital</v>
          </cell>
          <cell r="X943" t="str">
            <v>Vydehi Hospital, Bangalore</v>
          </cell>
          <cell r="Y943" t="str">
            <v>Vydehi Hospital, Bangalore</v>
          </cell>
          <cell r="Z943" t="str">
            <v>Dr Amritha Prabha, Bangalore</v>
          </cell>
          <cell r="AA943" t="str">
            <v>Ca Breast</v>
          </cell>
          <cell r="AB943" t="str">
            <v>Er -
Pr -
Her 2 +</v>
          </cell>
          <cell r="AC943" t="str">
            <v>Breast</v>
          </cell>
          <cell r="AD943" t="str">
            <v>Right Brast</v>
          </cell>
          <cell r="AE943" t="str">
            <v>Female</v>
          </cell>
          <cell r="AF943">
            <v>42</v>
          </cell>
          <cell r="AG943" t="str">
            <v>N</v>
          </cell>
          <cell r="AH943">
            <v>5.3</v>
          </cell>
          <cell r="AI943" t="str">
            <v>Maruthi</v>
          </cell>
          <cell r="AJ943" t="str">
            <v>Surgery</v>
          </cell>
          <cell r="AK943" t="str">
            <v>Primary</v>
          </cell>
          <cell r="AL943" t="str">
            <v>Chemotherapy</v>
          </cell>
          <cell r="AN943" t="str">
            <v>IIa</v>
          </cell>
          <cell r="AO943">
            <v>2</v>
          </cell>
          <cell r="AP943" t="str">
            <v>ypT2N0</v>
          </cell>
          <cell r="AQ943">
            <v>8</v>
          </cell>
          <cell r="AR943" t="str">
            <v>4AC, 4Pacli, 3Trastuzumab</v>
          </cell>
          <cell r="AS943" t="str">
            <v>IDC</v>
          </cell>
          <cell r="AT943" t="str">
            <v>CTRT</v>
          </cell>
          <cell r="AU943" t="str">
            <v>Trastuzumab</v>
          </cell>
          <cell r="AV943">
            <v>45365</v>
          </cell>
          <cell r="AW943">
            <v>0.81597222222222221</v>
          </cell>
          <cell r="AX943">
            <v>0.92569444444444449</v>
          </cell>
          <cell r="AY943">
            <v>0.10972222222222222</v>
          </cell>
          <cell r="AZ943">
            <v>0.85624999999999996</v>
          </cell>
          <cell r="BA943">
            <v>0.19513888888888889</v>
          </cell>
          <cell r="BB943" t="str">
            <v>0.8/0.6*1.0/1.2*1.6</v>
          </cell>
          <cell r="BD943" t="str">
            <v>Manual</v>
          </cell>
          <cell r="BE943">
            <v>14</v>
          </cell>
          <cell r="BF943" t="str">
            <v>Mouniss</v>
          </cell>
          <cell r="BG943" t="str">
            <v>N</v>
          </cell>
        </row>
        <row r="944">
          <cell r="A944" t="str">
            <v>FBR1Y240102</v>
          </cell>
          <cell r="B944">
            <v>240102</v>
          </cell>
          <cell r="C944" t="str">
            <v>R&amp;D</v>
          </cell>
          <cell r="D944">
            <v>45369</v>
          </cell>
          <cell r="E944">
            <v>0.68541666666666667</v>
          </cell>
          <cell r="F944">
            <v>45352</v>
          </cell>
          <cell r="G944">
            <v>45400</v>
          </cell>
          <cell r="H944">
            <v>0.71111111111111114</v>
          </cell>
          <cell r="I944">
            <v>2.5694444444444443E-2</v>
          </cell>
          <cell r="J944">
            <v>2</v>
          </cell>
          <cell r="K944" t="str">
            <v>FCB-PROTOCOL-01</v>
          </cell>
          <cell r="L944" t="str">
            <v>CLN/PRA/257</v>
          </cell>
          <cell r="M944" t="str">
            <v>Y</v>
          </cell>
          <cell r="N944" t="str">
            <v>CCS Study (1Y)</v>
          </cell>
          <cell r="O944" t="str">
            <v>Internal R&amp;D</v>
          </cell>
          <cell r="P944" t="str">
            <v>Q1 Passed</v>
          </cell>
          <cell r="Q944" t="str">
            <v>Q1 Passed</v>
          </cell>
          <cell r="R944" t="str">
            <v>Q1.5 Passed</v>
          </cell>
          <cell r="S944" t="str">
            <v>Q1.5 Passed</v>
          </cell>
          <cell r="V944" t="str">
            <v>A:Tumor content 20-45%</v>
          </cell>
          <cell r="W944" t="str">
            <v>Private Hospital</v>
          </cell>
          <cell r="X944" t="str">
            <v>Dr Prakash BV, Bangalore</v>
          </cell>
          <cell r="Y944" t="str">
            <v>Sri Lakshmi Hospital, Bangalore</v>
          </cell>
          <cell r="Z944" t="str">
            <v>Dr Prakash BV, Bangalore</v>
          </cell>
          <cell r="AA944" t="str">
            <v>HNSCC</v>
          </cell>
          <cell r="AC944" t="str">
            <v>Pharynx</v>
          </cell>
          <cell r="AD944" t="str">
            <v>Pharynx</v>
          </cell>
          <cell r="AE944" t="str">
            <v>Male</v>
          </cell>
          <cell r="AF944">
            <v>50</v>
          </cell>
          <cell r="AG944" t="str">
            <v>N</v>
          </cell>
          <cell r="AH944">
            <v>4.5</v>
          </cell>
          <cell r="AI944" t="str">
            <v>Kalappa</v>
          </cell>
          <cell r="AJ944" t="str">
            <v>Surgery</v>
          </cell>
          <cell r="AK944" t="str">
            <v>Primary</v>
          </cell>
          <cell r="AN944" t="str">
            <v>II</v>
          </cell>
          <cell r="AP944" t="str">
            <v>pT3N1M0</v>
          </cell>
          <cell r="AV944">
            <v>45369</v>
          </cell>
          <cell r="AW944">
            <v>0.72569444444444442</v>
          </cell>
          <cell r="AX944">
            <v>0.81458333333333333</v>
          </cell>
          <cell r="AY944">
            <v>8.8888888888888892E-2</v>
          </cell>
          <cell r="AZ944">
            <v>0.78888888888888886</v>
          </cell>
          <cell r="BA944">
            <v>0.12916666666666668</v>
          </cell>
          <cell r="BB944" t="str">
            <v>0.8/0.2*1.6*2.0</v>
          </cell>
          <cell r="BD944" t="str">
            <v>Manual+Vibratome</v>
          </cell>
          <cell r="BE944">
            <v>14</v>
          </cell>
          <cell r="BF944" t="str">
            <v>Dharani</v>
          </cell>
          <cell r="BG944" t="str">
            <v>Y</v>
          </cell>
        </row>
        <row r="945">
          <cell r="A945" t="str">
            <v>FBR2F240102</v>
          </cell>
          <cell r="B945">
            <v>240102</v>
          </cell>
          <cell r="C945" t="str">
            <v>R&amp;D</v>
          </cell>
          <cell r="D945">
            <v>45369</v>
          </cell>
          <cell r="E945">
            <v>0.68541666666666667</v>
          </cell>
          <cell r="F945">
            <v>45352</v>
          </cell>
          <cell r="G945">
            <v>45400</v>
          </cell>
          <cell r="H945">
            <v>0.71111111111111114</v>
          </cell>
          <cell r="I945">
            <v>2.5694444444444443E-2</v>
          </cell>
          <cell r="J945">
            <v>2</v>
          </cell>
          <cell r="K945" t="str">
            <v>FCB-PROTOCOL-01</v>
          </cell>
          <cell r="L945" t="str">
            <v>CLN/PRA/257</v>
          </cell>
          <cell r="M945" t="str">
            <v>Y</v>
          </cell>
          <cell r="N945" t="str">
            <v>ECR (2F)</v>
          </cell>
          <cell r="O945" t="str">
            <v>Internal R&amp;D</v>
          </cell>
          <cell r="P945" t="str">
            <v>Q1 Passed</v>
          </cell>
          <cell r="Q945" t="str">
            <v>Q1 Passed</v>
          </cell>
          <cell r="R945" t="str">
            <v>Q1.5 Passed</v>
          </cell>
          <cell r="S945" t="str">
            <v>Q1.5 Passed</v>
          </cell>
          <cell r="V945" t="str">
            <v>A:Tumor content 20-45%</v>
          </cell>
          <cell r="W945" t="str">
            <v>Private Hospital</v>
          </cell>
          <cell r="X945" t="str">
            <v>Dr Prakash BV, Bangalore</v>
          </cell>
          <cell r="Y945" t="str">
            <v>Sri Lakshmi Hospital, Bangalore</v>
          </cell>
          <cell r="Z945" t="str">
            <v>Dr Prakash BV, Bangalore</v>
          </cell>
          <cell r="AA945" t="str">
            <v>HNSCC</v>
          </cell>
          <cell r="AC945" t="str">
            <v>Pharynx</v>
          </cell>
          <cell r="AD945" t="str">
            <v>Pharynx</v>
          </cell>
          <cell r="AE945" t="str">
            <v>Male</v>
          </cell>
          <cell r="AF945">
            <v>50</v>
          </cell>
          <cell r="AG945" t="str">
            <v>N</v>
          </cell>
          <cell r="AH945">
            <v>4.5</v>
          </cell>
          <cell r="AI945" t="str">
            <v>Kalappa</v>
          </cell>
          <cell r="AJ945" t="str">
            <v>Surgery</v>
          </cell>
          <cell r="AK945" t="str">
            <v>Primary</v>
          </cell>
          <cell r="AN945" t="str">
            <v>II</v>
          </cell>
          <cell r="AP945" t="str">
            <v>pT3N1M0</v>
          </cell>
          <cell r="AV945">
            <v>45372</v>
          </cell>
          <cell r="AX945">
            <v>0.81458333333333333</v>
          </cell>
          <cell r="BB945" t="str">
            <v>0.8/0.2*1.6*2.0</v>
          </cell>
          <cell r="BD945" t="str">
            <v>Manual+Vibratome</v>
          </cell>
          <cell r="BE945">
            <v>14</v>
          </cell>
          <cell r="BF945" t="str">
            <v>Kokila</v>
          </cell>
          <cell r="BG945" t="str">
            <v>Y</v>
          </cell>
        </row>
        <row r="946">
          <cell r="A946" t="str">
            <v>FBR1Y240103</v>
          </cell>
          <cell r="B946">
            <v>240103</v>
          </cell>
          <cell r="C946" t="str">
            <v>R&amp;D</v>
          </cell>
          <cell r="D946">
            <v>45370</v>
          </cell>
          <cell r="E946">
            <v>0.49027777777777776</v>
          </cell>
          <cell r="F946">
            <v>45352</v>
          </cell>
          <cell r="G946">
            <v>45401</v>
          </cell>
          <cell r="H946">
            <v>0.63749999999999996</v>
          </cell>
          <cell r="I946">
            <v>0.14722222222222223</v>
          </cell>
          <cell r="J946">
            <v>3</v>
          </cell>
          <cell r="K946" t="str">
            <v>FCB-PROTOCOL-01</v>
          </cell>
          <cell r="L946" t="str">
            <v>VYD/267</v>
          </cell>
          <cell r="M946" t="str">
            <v>Y</v>
          </cell>
          <cell r="N946" t="str">
            <v>CCS Study (1Y)</v>
          </cell>
          <cell r="O946" t="str">
            <v>Internal R&amp;D</v>
          </cell>
          <cell r="P946" t="str">
            <v>Q1 Passed</v>
          </cell>
          <cell r="Q946" t="str">
            <v>Q1 Passed</v>
          </cell>
          <cell r="R946" t="str">
            <v>Compromised</v>
          </cell>
          <cell r="S946" t="str">
            <v>Q1.5 Passed</v>
          </cell>
          <cell r="V946" t="str">
            <v xml:space="preserve">Tumor content 0-25%. </v>
          </cell>
          <cell r="W946" t="str">
            <v>Private Hospital</v>
          </cell>
          <cell r="X946" t="str">
            <v>Vydehi Hospital, Bangalore</v>
          </cell>
          <cell r="Y946" t="str">
            <v>Vydehi Hospital, Bangalore</v>
          </cell>
          <cell r="Z946" t="str">
            <v>Dr Amritha Prabha, Bangalore</v>
          </cell>
          <cell r="AA946" t="str">
            <v>HNSCC</v>
          </cell>
          <cell r="AC946" t="str">
            <v>Glottis</v>
          </cell>
          <cell r="AD946" t="str">
            <v>Glottis</v>
          </cell>
          <cell r="AE946" t="str">
            <v>Male</v>
          </cell>
          <cell r="AF946">
            <v>50</v>
          </cell>
          <cell r="AG946" t="str">
            <v>N</v>
          </cell>
          <cell r="AH946">
            <v>5.0999999999999996</v>
          </cell>
          <cell r="AI946" t="str">
            <v>Shashi</v>
          </cell>
          <cell r="AJ946" t="str">
            <v>Surgery</v>
          </cell>
          <cell r="AK946" t="str">
            <v>Primary</v>
          </cell>
          <cell r="AN946" t="str">
            <v>IVa</v>
          </cell>
          <cell r="AO946">
            <v>3</v>
          </cell>
          <cell r="AP946" t="str">
            <v>T4aN0</v>
          </cell>
          <cell r="AS946" t="str">
            <v>Basaloid scc</v>
          </cell>
          <cell r="AT946" t="str">
            <v>RT</v>
          </cell>
          <cell r="AV946">
            <v>45370</v>
          </cell>
          <cell r="AW946">
            <v>0.64930555555555558</v>
          </cell>
          <cell r="AX946">
            <v>0.68194444444444446</v>
          </cell>
          <cell r="AY946">
            <v>3.2638888888888891E-2</v>
          </cell>
          <cell r="AZ946">
            <v>0.53472222222222221</v>
          </cell>
          <cell r="BA946">
            <v>0.19166666666666668</v>
          </cell>
          <cell r="BB946" t="str">
            <v>0.4/0.2*0.8/0.9*1.4</v>
          </cell>
          <cell r="BD946" t="str">
            <v>Manual</v>
          </cell>
          <cell r="BE946">
            <v>14</v>
          </cell>
          <cell r="BF946" t="str">
            <v>Kokila</v>
          </cell>
          <cell r="BG946" t="str">
            <v>Y</v>
          </cell>
        </row>
        <row r="947">
          <cell r="A947" t="str">
            <v>FBR1W240104</v>
          </cell>
          <cell r="B947">
            <v>240104</v>
          </cell>
          <cell r="C947" t="str">
            <v>R&amp;D</v>
          </cell>
          <cell r="D947">
            <v>45370</v>
          </cell>
          <cell r="E947">
            <v>0.64583333333333337</v>
          </cell>
          <cell r="F947">
            <v>45352</v>
          </cell>
          <cell r="G947">
            <v>45401</v>
          </cell>
          <cell r="H947">
            <v>0.71736111111111112</v>
          </cell>
          <cell r="I947">
            <v>7.1527777777777773E-2</v>
          </cell>
          <cell r="J947">
            <v>0</v>
          </cell>
          <cell r="K947" t="str">
            <v>FCB-PROTOCOL-02</v>
          </cell>
          <cell r="L947" t="str">
            <v>BCO36</v>
          </cell>
          <cell r="M947" t="str">
            <v>Y</v>
          </cell>
          <cell r="N947" t="str">
            <v>Biopsy Cabr-BSS (1W)</v>
          </cell>
          <cell r="O947" t="str">
            <v>Internal R&amp;D</v>
          </cell>
          <cell r="P947" t="str">
            <v>Q1 Passed</v>
          </cell>
          <cell r="Q947" t="str">
            <v>Q1 Passed</v>
          </cell>
          <cell r="R947" t="str">
            <v>Q1.5 Passed</v>
          </cell>
          <cell r="S947" t="str">
            <v>Q1.5 Passed</v>
          </cell>
          <cell r="V947" t="str">
            <v>Tumor content 0-40%</v>
          </cell>
          <cell r="W947" t="str">
            <v>Private Hospital</v>
          </cell>
          <cell r="X947" t="str">
            <v>Mazumdar Shaw Medical Centre, Bangalore</v>
          </cell>
          <cell r="Y947" t="str">
            <v>Mazumdar Shaw Medical Centre, Bangalore</v>
          </cell>
          <cell r="Z947" t="str">
            <v>Dr Akshita Singh</v>
          </cell>
          <cell r="AA947" t="str">
            <v>Ca Breast</v>
          </cell>
          <cell r="AC947" t="str">
            <v>Breast</v>
          </cell>
          <cell r="AD947" t="str">
            <v>Left Breast</v>
          </cell>
          <cell r="AE947" t="str">
            <v>Female</v>
          </cell>
          <cell r="AF947">
            <v>50</v>
          </cell>
          <cell r="AG947" t="str">
            <v>N</v>
          </cell>
          <cell r="AH947">
            <v>7.1</v>
          </cell>
          <cell r="AI947" t="str">
            <v>Partha</v>
          </cell>
          <cell r="AJ947" t="str">
            <v>Biopsy</v>
          </cell>
          <cell r="AK947" t="str">
            <v>Primary</v>
          </cell>
          <cell r="AV947">
            <v>45370</v>
          </cell>
          <cell r="AW947">
            <v>0.7319444444444444</v>
          </cell>
          <cell r="AX947">
            <v>0.76875000000000004</v>
          </cell>
          <cell r="AY947">
            <v>3.6805556000000003E-2</v>
          </cell>
          <cell r="AZ947">
            <v>0.69722222199999995</v>
          </cell>
          <cell r="BA947">
            <v>0.12291666699999999</v>
          </cell>
          <cell r="BB947" t="str">
            <v xml:space="preserve">3 cores </v>
          </cell>
          <cell r="BD947" t="str">
            <v>Manual</v>
          </cell>
          <cell r="BE947">
            <v>14</v>
          </cell>
          <cell r="BF947" t="str">
            <v xml:space="preserve">sai </v>
          </cell>
          <cell r="BG947" t="str">
            <v>Y</v>
          </cell>
        </row>
        <row r="948">
          <cell r="A948" t="str">
            <v>FBR1Y240105</v>
          </cell>
          <cell r="B948">
            <v>240105</v>
          </cell>
          <cell r="C948" t="str">
            <v>R&amp;D</v>
          </cell>
          <cell r="D948">
            <v>45371</v>
          </cell>
          <cell r="E948">
            <v>0.49652777777777779</v>
          </cell>
          <cell r="F948">
            <v>45352</v>
          </cell>
          <cell r="G948">
            <v>45402</v>
          </cell>
          <cell r="H948">
            <v>0.59305555555555556</v>
          </cell>
          <cell r="I948">
            <v>9.6527777777777782E-2</v>
          </cell>
          <cell r="J948">
            <v>2</v>
          </cell>
          <cell r="K948" t="str">
            <v>FCB-PROTOCOL-01</v>
          </cell>
          <cell r="L948" t="str">
            <v>VYD/268</v>
          </cell>
          <cell r="M948" t="str">
            <v>Y</v>
          </cell>
          <cell r="N948" t="str">
            <v>CCS Study (1Y)</v>
          </cell>
          <cell r="O948" t="str">
            <v>Internal R&amp;D</v>
          </cell>
          <cell r="P948" t="str">
            <v>Q1 Passed</v>
          </cell>
          <cell r="Q948" t="str">
            <v>Q1 Passed</v>
          </cell>
          <cell r="R948" t="str">
            <v>Q1.5 Passed</v>
          </cell>
          <cell r="S948" t="str">
            <v>Q1.5 Passed</v>
          </cell>
          <cell r="V948" t="str">
            <v>Tumor content 20-60%</v>
          </cell>
          <cell r="W948" t="str">
            <v>Private Hospital</v>
          </cell>
          <cell r="X948" t="str">
            <v>Vydehi Hospital, Bangalore</v>
          </cell>
          <cell r="Y948" t="str">
            <v>Vydehi Hospital, Bangalore</v>
          </cell>
          <cell r="Z948" t="str">
            <v>Dr Amritha Prabha, Bangalore</v>
          </cell>
          <cell r="AA948" t="str">
            <v>HNSCC</v>
          </cell>
          <cell r="AC948" t="str">
            <v>Buccal Mucosa</v>
          </cell>
          <cell r="AD948" t="str">
            <v>Right Buccal Mucosa)</v>
          </cell>
          <cell r="AE948" t="str">
            <v>Female</v>
          </cell>
          <cell r="AF948">
            <v>44</v>
          </cell>
          <cell r="AG948" t="str">
            <v>N</v>
          </cell>
          <cell r="AH948">
            <v>5.4</v>
          </cell>
          <cell r="AI948" t="str">
            <v>Partha</v>
          </cell>
          <cell r="AJ948" t="str">
            <v>Surgery</v>
          </cell>
          <cell r="AK948" t="str">
            <v>Primary</v>
          </cell>
          <cell r="AN948" t="str">
            <v>IVa</v>
          </cell>
          <cell r="AO948">
            <v>2</v>
          </cell>
          <cell r="AP948" t="str">
            <v>T4aN2b</v>
          </cell>
          <cell r="AS948" t="str">
            <v>SCC</v>
          </cell>
          <cell r="AT948" t="str">
            <v>RT</v>
          </cell>
          <cell r="AV948">
            <v>45371</v>
          </cell>
          <cell r="AW948">
            <v>0.65138888888888891</v>
          </cell>
          <cell r="AX948">
            <v>0.73124999999999996</v>
          </cell>
          <cell r="AY948">
            <v>7.9861111111111105E-2</v>
          </cell>
          <cell r="AZ948">
            <v>0.63472222222222219</v>
          </cell>
          <cell r="BA948">
            <v>0.23472222222222222</v>
          </cell>
          <cell r="BB948" t="str">
            <v>0.6*1.0*1.6
1.0/0.6*1.4*2.0</v>
          </cell>
          <cell r="BD948" t="str">
            <v>Manual+Vibratome</v>
          </cell>
          <cell r="BE948">
            <v>14</v>
          </cell>
          <cell r="BF948" t="str">
            <v>Dharani</v>
          </cell>
          <cell r="BG948" t="str">
            <v>Y</v>
          </cell>
        </row>
        <row r="949">
          <cell r="A949" t="str">
            <v>FBR2F240105</v>
          </cell>
          <cell r="B949">
            <v>240105</v>
          </cell>
          <cell r="C949" t="str">
            <v>R&amp;D</v>
          </cell>
          <cell r="D949">
            <v>45371</v>
          </cell>
          <cell r="E949">
            <v>0.49652777777777779</v>
          </cell>
          <cell r="F949">
            <v>45352</v>
          </cell>
          <cell r="G949">
            <v>45402</v>
          </cell>
          <cell r="H949">
            <v>0.59305555555555556</v>
          </cell>
          <cell r="I949">
            <v>9.6527777777777782E-2</v>
          </cell>
          <cell r="J949">
            <v>2</v>
          </cell>
          <cell r="K949" t="str">
            <v>FCB-PROTOCOL-01</v>
          </cell>
          <cell r="L949" t="str">
            <v>VYD/268</v>
          </cell>
          <cell r="M949" t="str">
            <v>Y</v>
          </cell>
          <cell r="N949" t="str">
            <v>ECR (2F)</v>
          </cell>
          <cell r="O949" t="str">
            <v>Internal R&amp;D</v>
          </cell>
          <cell r="P949" t="str">
            <v>Q1 Passed</v>
          </cell>
          <cell r="Q949" t="str">
            <v>Q1 Passed</v>
          </cell>
          <cell r="R949" t="str">
            <v>Q1.5 Passed</v>
          </cell>
          <cell r="S949" t="str">
            <v>Q1.5 Passed</v>
          </cell>
          <cell r="V949" t="str">
            <v>Tumor content 20-60%</v>
          </cell>
          <cell r="W949" t="str">
            <v>Private Hospital</v>
          </cell>
          <cell r="X949" t="str">
            <v>Vydehi Hospital, Bangalore</v>
          </cell>
          <cell r="Y949" t="str">
            <v>Vydehi Hospital, Bangalore</v>
          </cell>
          <cell r="Z949" t="str">
            <v>Dr Amritha Prabha, Bangalore</v>
          </cell>
          <cell r="AA949" t="str">
            <v>HNSCC</v>
          </cell>
          <cell r="AC949" t="str">
            <v>Buccal Mucosa</v>
          </cell>
          <cell r="AD949" t="str">
            <v>Right Buccal Mucosa)</v>
          </cell>
          <cell r="AE949" t="str">
            <v>Female</v>
          </cell>
          <cell r="AF949">
            <v>44</v>
          </cell>
          <cell r="AG949" t="str">
            <v>N</v>
          </cell>
          <cell r="AH949">
            <v>5.4</v>
          </cell>
          <cell r="AI949" t="str">
            <v>Partha</v>
          </cell>
          <cell r="AJ949" t="str">
            <v>Surgery</v>
          </cell>
          <cell r="AK949" t="str">
            <v>Primary</v>
          </cell>
          <cell r="AN949" t="str">
            <v>IVa</v>
          </cell>
          <cell r="AO949">
            <v>2</v>
          </cell>
          <cell r="AP949" t="str">
            <v>T4aN2b</v>
          </cell>
          <cell r="AS949" t="str">
            <v>SCC</v>
          </cell>
          <cell r="AT949" t="str">
            <v>RT</v>
          </cell>
          <cell r="AV949">
            <v>45374</v>
          </cell>
          <cell r="AX949">
            <v>0.68055555555555558</v>
          </cell>
          <cell r="BB949" t="str">
            <v>0.6*1.0*1.6
1.0/0.6*1.4*2.0</v>
          </cell>
          <cell r="BD949" t="str">
            <v>Manual+Vibratome</v>
          </cell>
          <cell r="BE949">
            <v>14</v>
          </cell>
          <cell r="BF949" t="str">
            <v>Kokila</v>
          </cell>
          <cell r="BG949" t="str">
            <v>Y</v>
          </cell>
        </row>
        <row r="950">
          <cell r="A950" t="str">
            <v>FBR1W240106</v>
          </cell>
          <cell r="B950">
            <v>240106</v>
          </cell>
          <cell r="C950" t="str">
            <v>R&amp;D</v>
          </cell>
          <cell r="D950">
            <v>45372</v>
          </cell>
          <cell r="E950">
            <v>0.55555555555555558</v>
          </cell>
          <cell r="F950">
            <v>45352</v>
          </cell>
          <cell r="G950">
            <v>45403</v>
          </cell>
          <cell r="H950">
            <v>0.62222222222222223</v>
          </cell>
          <cell r="I950">
            <v>6.6666666666666666E-2</v>
          </cell>
          <cell r="J950">
            <v>0</v>
          </cell>
          <cell r="K950" t="str">
            <v>FCB-PROTOCOL-01</v>
          </cell>
          <cell r="L950" t="str">
            <v>VYD/269</v>
          </cell>
          <cell r="M950" t="str">
            <v>Y</v>
          </cell>
          <cell r="N950" t="str">
            <v>Biopsy Cabr-BSS (1W)</v>
          </cell>
          <cell r="O950" t="str">
            <v>Internal R&amp;D</v>
          </cell>
          <cell r="P950" t="str">
            <v>Q1 Passed</v>
          </cell>
          <cell r="Q950" t="str">
            <v>Q1 Passed</v>
          </cell>
          <cell r="R950" t="str">
            <v>Q1.5 Passed</v>
          </cell>
          <cell r="S950" t="str">
            <v>Q1.5 Passed</v>
          </cell>
          <cell r="V950" t="str">
            <v xml:space="preserve">Tumor content 0-35%. </v>
          </cell>
          <cell r="W950" t="str">
            <v>Private Hospital</v>
          </cell>
          <cell r="X950" t="str">
            <v>Vydehi Hospital, Bangalore</v>
          </cell>
          <cell r="Y950" t="str">
            <v>Vydehi Hospital, Bangalore</v>
          </cell>
          <cell r="Z950" t="str">
            <v>Dr Amritha Prabha, Bangalore</v>
          </cell>
          <cell r="AA950" t="str">
            <v>Ca Breast</v>
          </cell>
          <cell r="AB950" t="str">
            <v>TNBC</v>
          </cell>
          <cell r="AC950" t="str">
            <v>Breast</v>
          </cell>
          <cell r="AD950" t="str">
            <v>Left Breast</v>
          </cell>
          <cell r="AE950" t="str">
            <v>Female</v>
          </cell>
          <cell r="AF950">
            <v>52</v>
          </cell>
          <cell r="AG950" t="str">
            <v>N</v>
          </cell>
          <cell r="AH950">
            <v>5.3</v>
          </cell>
          <cell r="AI950" t="str">
            <v>Kalappa</v>
          </cell>
          <cell r="AJ950" t="str">
            <v>Biopsy</v>
          </cell>
          <cell r="AK950" t="str">
            <v>Primary</v>
          </cell>
          <cell r="AO950">
            <v>2</v>
          </cell>
          <cell r="AS950" t="str">
            <v>IDC</v>
          </cell>
          <cell r="AV950">
            <v>45372</v>
          </cell>
          <cell r="AW950">
            <v>0.64722222222222225</v>
          </cell>
          <cell r="AX950">
            <v>0.69861111111111107</v>
          </cell>
          <cell r="AY950">
            <v>5.1388889E-2</v>
          </cell>
          <cell r="AZ950">
            <v>0.63194444400000005</v>
          </cell>
          <cell r="BA950">
            <v>0.143055556</v>
          </cell>
          <cell r="BB950" t="str">
            <v>6 Cores
12, 14, 10, 14, 12, 8</v>
          </cell>
          <cell r="BD950" t="str">
            <v>Manual</v>
          </cell>
          <cell r="BE950">
            <v>14</v>
          </cell>
          <cell r="BF950" t="str">
            <v xml:space="preserve">sai </v>
          </cell>
          <cell r="BG950" t="str">
            <v>Y</v>
          </cell>
        </row>
        <row r="951">
          <cell r="A951" t="str">
            <v>FBB1L240107</v>
          </cell>
          <cell r="B951">
            <v>240107</v>
          </cell>
          <cell r="C951" t="str">
            <v>Biopharma</v>
          </cell>
          <cell r="D951">
            <v>45372</v>
          </cell>
          <cell r="E951">
            <v>0.56666666666666665</v>
          </cell>
          <cell r="F951">
            <v>45352</v>
          </cell>
          <cell r="G951">
            <v>45403</v>
          </cell>
          <cell r="H951">
            <v>0.63541666666666663</v>
          </cell>
          <cell r="I951">
            <v>6.8750000000000006E-2</v>
          </cell>
          <cell r="J951">
            <v>1</v>
          </cell>
          <cell r="K951" t="str">
            <v>FCB-PROTOCOL-02</v>
          </cell>
          <cell r="L951" t="str">
            <v>RC051</v>
          </cell>
          <cell r="M951" t="str">
            <v>Y</v>
          </cell>
          <cell r="N951" t="str">
            <v>BP010 (1L)</v>
          </cell>
          <cell r="O951" t="str">
            <v>Biopharma</v>
          </cell>
          <cell r="P951" t="str">
            <v>Q1 Passed</v>
          </cell>
          <cell r="Q951" t="str">
            <v>Q1 Passed</v>
          </cell>
          <cell r="R951" t="str">
            <v>Q1.5 Passed</v>
          </cell>
          <cell r="S951" t="str">
            <v>Q1.5 Passed</v>
          </cell>
          <cell r="V951" t="str">
            <v>Tumor content 0-70%</v>
          </cell>
          <cell r="W951" t="str">
            <v>Private Hospital</v>
          </cell>
          <cell r="X951" t="str">
            <v>Mazumdar Shaw Medical Centre, Bangalore</v>
          </cell>
          <cell r="Y951" t="str">
            <v>Mazumdar Shaw Medical Centre, Bangalore</v>
          </cell>
          <cell r="Z951" t="str">
            <v>Dr Saurabh Bhargav, Bangalore</v>
          </cell>
          <cell r="AA951" t="str">
            <v>RCC</v>
          </cell>
          <cell r="AC951" t="str">
            <v>Renal Mass</v>
          </cell>
          <cell r="AD951" t="str">
            <v>Right Renal Mass</v>
          </cell>
          <cell r="AE951" t="str">
            <v>Male</v>
          </cell>
          <cell r="AF951">
            <v>78</v>
          </cell>
          <cell r="AG951" t="str">
            <v>N</v>
          </cell>
          <cell r="AH951">
            <v>3.1</v>
          </cell>
          <cell r="AI951" t="str">
            <v>Partha</v>
          </cell>
          <cell r="AJ951" t="str">
            <v>Surgery</v>
          </cell>
          <cell r="AK951" t="str">
            <v>Primary</v>
          </cell>
          <cell r="AN951" t="str">
            <v>II</v>
          </cell>
          <cell r="AO951">
            <v>1</v>
          </cell>
          <cell r="AP951" t="str">
            <v>pT2a</v>
          </cell>
          <cell r="AS951" t="str">
            <v>Clear cell renal cell carcinoma</v>
          </cell>
          <cell r="AV951">
            <v>45372</v>
          </cell>
          <cell r="AW951">
            <v>0.64930555555555558</v>
          </cell>
          <cell r="AX951">
            <v>0.70763888888888893</v>
          </cell>
          <cell r="AY951">
            <v>5.8333333000000001E-2</v>
          </cell>
          <cell r="AZ951">
            <v>0.63888888899999996</v>
          </cell>
          <cell r="BA951">
            <v>0.14097222200000001</v>
          </cell>
          <cell r="BB951" t="str">
            <v>0.4*0.6*0.8
0.4*1.0*2.0/1.4
0.4*0.8/0.6*2.4*2.0</v>
          </cell>
          <cell r="BD951" t="str">
            <v>Manual</v>
          </cell>
          <cell r="BE951">
            <v>14</v>
          </cell>
          <cell r="BF951" t="str">
            <v>Syam</v>
          </cell>
          <cell r="BG951" t="str">
            <v>Y</v>
          </cell>
        </row>
        <row r="952">
          <cell r="A952" t="str">
            <v>FBR1Y240108</v>
          </cell>
          <cell r="B952">
            <v>240108</v>
          </cell>
          <cell r="C952" t="str">
            <v>R&amp;D</v>
          </cell>
          <cell r="D952">
            <v>45372</v>
          </cell>
          <cell r="E952">
            <v>0.62638888888888888</v>
          </cell>
          <cell r="F952">
            <v>45352</v>
          </cell>
          <cell r="G952">
            <v>45372</v>
          </cell>
          <cell r="H952">
            <v>0.69305555555555554</v>
          </cell>
          <cell r="I952">
            <v>6.6666666666666666E-2</v>
          </cell>
          <cell r="J952">
            <v>2</v>
          </cell>
          <cell r="K952" t="str">
            <v>FCB-PROTOCOL-01</v>
          </cell>
          <cell r="L952" t="str">
            <v>HN128</v>
          </cell>
          <cell r="M952" t="str">
            <v>Y</v>
          </cell>
          <cell r="N952" t="str">
            <v>CCS Study (1Y)</v>
          </cell>
          <cell r="O952" t="str">
            <v>Internal R&amp;D</v>
          </cell>
          <cell r="P952" t="str">
            <v>Q1 Passed</v>
          </cell>
          <cell r="Q952" t="str">
            <v>Q1 Passed</v>
          </cell>
          <cell r="R952" t="str">
            <v>Compromised</v>
          </cell>
          <cell r="S952" t="str">
            <v>Q1.5 Passed</v>
          </cell>
          <cell r="V952" t="str">
            <v>Tumor content 15-90%</v>
          </cell>
          <cell r="W952" t="str">
            <v>Private Hospital</v>
          </cell>
          <cell r="X952" t="str">
            <v>Mazumdar Shaw Medical Centre, Bangalore</v>
          </cell>
          <cell r="Y952" t="str">
            <v>Mazumdar Shaw Medical Centre, Bangalore</v>
          </cell>
          <cell r="Z952" t="str">
            <v>Dr Vijay Pillai, Bangalore</v>
          </cell>
          <cell r="AA952" t="str">
            <v>HNSCC</v>
          </cell>
          <cell r="AC952" t="str">
            <v>Tongue</v>
          </cell>
          <cell r="AD952" t="str">
            <v>Tongue</v>
          </cell>
          <cell r="AE952" t="str">
            <v>Female</v>
          </cell>
          <cell r="AF952">
            <v>39</v>
          </cell>
          <cell r="AG952" t="str">
            <v>N</v>
          </cell>
          <cell r="AH952">
            <v>4.5999999999999996</v>
          </cell>
          <cell r="AI952" t="str">
            <v>Maruthi</v>
          </cell>
          <cell r="AJ952" t="str">
            <v>Surgery</v>
          </cell>
          <cell r="AK952" t="str">
            <v>Primary</v>
          </cell>
          <cell r="AL952" t="str">
            <v>Chemotherapy</v>
          </cell>
          <cell r="AN952" t="str">
            <v>IV</v>
          </cell>
          <cell r="AO952">
            <v>2</v>
          </cell>
          <cell r="AP952" t="str">
            <v>ypT4aypN2a</v>
          </cell>
          <cell r="AR952" t="str">
            <v>DCF Regimen</v>
          </cell>
          <cell r="AS952" t="str">
            <v>MDSCC(Moderately Differentiated Squamous cell carcinoma)</v>
          </cell>
          <cell r="AV952">
            <v>45372</v>
          </cell>
          <cell r="AW952">
            <v>0.71736111111111112</v>
          </cell>
          <cell r="AX952">
            <v>0.77083333333333337</v>
          </cell>
          <cell r="AY952">
            <v>5.347222222222222E-2</v>
          </cell>
          <cell r="AZ952">
            <v>0.70416666666666672</v>
          </cell>
          <cell r="BA952">
            <v>0.14444444444444443</v>
          </cell>
          <cell r="BB952" t="str">
            <v>0.4*1.6*1.4</v>
          </cell>
          <cell r="BD952" t="str">
            <v>Manual</v>
          </cell>
          <cell r="BE952">
            <v>14</v>
          </cell>
          <cell r="BF952" t="str">
            <v>chandan</v>
          </cell>
          <cell r="BG952" t="str">
            <v>Y</v>
          </cell>
        </row>
        <row r="953">
          <cell r="A953" t="str">
            <v>FBR2A240109</v>
          </cell>
          <cell r="B953">
            <v>240109</v>
          </cell>
          <cell r="C953" t="str">
            <v>R&amp;D</v>
          </cell>
          <cell r="D953">
            <v>45373</v>
          </cell>
          <cell r="E953">
            <v>0.46875</v>
          </cell>
          <cell r="F953">
            <v>45352</v>
          </cell>
          <cell r="G953">
            <v>45404</v>
          </cell>
          <cell r="H953">
            <v>0.71944444444444444</v>
          </cell>
          <cell r="I953">
            <v>0.25069444444444444</v>
          </cell>
          <cell r="J953">
            <v>45</v>
          </cell>
          <cell r="K953" t="str">
            <v>FCB-PROTOCOL-01</v>
          </cell>
          <cell r="L953" t="str">
            <v>JSS-014</v>
          </cell>
          <cell r="M953" t="str">
            <v>Y</v>
          </cell>
          <cell r="N953" t="str">
            <v>Ovary CC (R2A)</v>
          </cell>
          <cell r="O953" t="str">
            <v>Internal R&amp;D</v>
          </cell>
          <cell r="P953" t="str">
            <v>Q1 Passed</v>
          </cell>
          <cell r="Q953" t="str">
            <v>Q1 Passed</v>
          </cell>
          <cell r="R953" t="str">
            <v>Q1.5 Passed</v>
          </cell>
          <cell r="S953" t="str">
            <v>Q1.5 Passed</v>
          </cell>
          <cell r="V953" t="str">
            <v>A:Tumor content 0-30%
B:Tumor content 0-25%</v>
          </cell>
          <cell r="W953" t="str">
            <v>Private Hospital</v>
          </cell>
          <cell r="X953" t="str">
            <v>Clinic'les- Dr Ravi Krishnappa, Mysore</v>
          </cell>
          <cell r="Y953" t="str">
            <v>JSS Hospital, Mysore</v>
          </cell>
          <cell r="Z953" t="str">
            <v>Dr Ravi Krishnappa, Mysore</v>
          </cell>
          <cell r="AA953" t="str">
            <v>Ca Ovary</v>
          </cell>
          <cell r="AC953" t="str">
            <v>Ovary</v>
          </cell>
          <cell r="AD953" t="str">
            <v>Ovary from Omentum</v>
          </cell>
          <cell r="AE953" t="str">
            <v>Female</v>
          </cell>
          <cell r="AF953">
            <v>58</v>
          </cell>
          <cell r="AG953" t="str">
            <v>N</v>
          </cell>
          <cell r="AH953">
            <v>4.2</v>
          </cell>
          <cell r="AI953" t="str">
            <v>Shashi</v>
          </cell>
          <cell r="AJ953" t="str">
            <v>Surgery</v>
          </cell>
          <cell r="AK953" t="str">
            <v>Metastatic</v>
          </cell>
          <cell r="AL953" t="str">
            <v>Chemotherapy</v>
          </cell>
          <cell r="AQ953">
            <v>6</v>
          </cell>
          <cell r="AR953" t="str">
            <v>Carbo, Pacli &amp; Bevasizumab</v>
          </cell>
          <cell r="AV953">
            <v>45373</v>
          </cell>
          <cell r="AW953">
            <v>0.73541666666666672</v>
          </cell>
          <cell r="AX953">
            <v>0.80972222222222223</v>
          </cell>
          <cell r="AY953">
            <v>7.4305555555555555E-2</v>
          </cell>
          <cell r="AZ953">
            <v>0.55902777777777779</v>
          </cell>
          <cell r="BA953">
            <v>0.34097222222222223</v>
          </cell>
          <cell r="BB953" t="str">
            <v>1.6*2.8/3.2*2.8/3.6
1.0*1.0/1.6*1.6
1.2*1.0/1.2*1.8</v>
          </cell>
          <cell r="BD953" t="str">
            <v>Manual</v>
          </cell>
          <cell r="BE953">
            <v>14</v>
          </cell>
          <cell r="BF953" t="str">
            <v>Dharani</v>
          </cell>
          <cell r="BG953" t="str">
            <v>Y</v>
          </cell>
        </row>
        <row r="954">
          <cell r="A954" t="str">
            <v>FBR1Y240110</v>
          </cell>
          <cell r="B954">
            <v>240110</v>
          </cell>
          <cell r="C954" t="str">
            <v>R&amp;D</v>
          </cell>
          <cell r="D954">
            <v>45376</v>
          </cell>
          <cell r="E954">
            <v>0.53680555555555554</v>
          </cell>
          <cell r="F954">
            <v>45352</v>
          </cell>
          <cell r="G954">
            <v>45376</v>
          </cell>
          <cell r="H954">
            <v>0.63611111111111107</v>
          </cell>
          <cell r="I954">
            <v>9.930555555555555E-2</v>
          </cell>
          <cell r="J954">
            <v>10</v>
          </cell>
          <cell r="K954" t="str">
            <v>FCB-PROTOCOL-01</v>
          </cell>
          <cell r="L954" t="str">
            <v>HN129</v>
          </cell>
          <cell r="M954" t="str">
            <v>Y</v>
          </cell>
          <cell r="N954" t="str">
            <v>CCS Study (1Y)</v>
          </cell>
          <cell r="O954" t="str">
            <v>Internal R&amp;D</v>
          </cell>
          <cell r="P954" t="str">
            <v>Q1 Passed</v>
          </cell>
          <cell r="Q954" t="str">
            <v>Q1 Passed</v>
          </cell>
          <cell r="R954" t="str">
            <v>Q1.5 Rejected</v>
          </cell>
          <cell r="S954" t="str">
            <v>Q1.5 Passed</v>
          </cell>
          <cell r="V954" t="str">
            <v>Tumor content 0-70%</v>
          </cell>
          <cell r="W954" t="str">
            <v>Private Hospital</v>
          </cell>
          <cell r="X954" t="str">
            <v>Mazumdar Shaw Medical Centre, Bangalore</v>
          </cell>
          <cell r="Y954" t="str">
            <v>Mazumdar Shaw Medical Centre, Bangalore</v>
          </cell>
          <cell r="Z954" t="str">
            <v>Dr Vijay Pillai, Bangalore</v>
          </cell>
          <cell r="AA954" t="str">
            <v>HNSCC</v>
          </cell>
          <cell r="AC954" t="str">
            <v>Alveolus</v>
          </cell>
          <cell r="AD954" t="str">
            <v>Lower Alveolus</v>
          </cell>
          <cell r="AE954" t="str">
            <v>Male</v>
          </cell>
          <cell r="AF954">
            <v>51</v>
          </cell>
          <cell r="AG954" t="str">
            <v>N</v>
          </cell>
          <cell r="AH954">
            <v>5.0999999999999996</v>
          </cell>
          <cell r="AI954" t="str">
            <v>Shashi</v>
          </cell>
          <cell r="AJ954" t="str">
            <v>Surgery</v>
          </cell>
          <cell r="AK954" t="str">
            <v>Primary</v>
          </cell>
          <cell r="AN954" t="str">
            <v>IV</v>
          </cell>
          <cell r="AO954">
            <v>2</v>
          </cell>
          <cell r="AP954" t="str">
            <v>pT4apN0</v>
          </cell>
          <cell r="AS954" t="str">
            <v>Moderately Advanced local disease</v>
          </cell>
          <cell r="AV954">
            <v>45376</v>
          </cell>
          <cell r="AW954">
            <v>0.64652777777777781</v>
          </cell>
          <cell r="AX954">
            <v>0.72083333333333333</v>
          </cell>
          <cell r="AY954">
            <v>7.4305555555555555E-2</v>
          </cell>
          <cell r="AZ954">
            <v>0.62152777777777779</v>
          </cell>
          <cell r="BA954">
            <v>0.18402777777777779</v>
          </cell>
          <cell r="BB954" t="str">
            <v>0.5*1.4*1.6
0.3*0.8*1.4</v>
          </cell>
          <cell r="BD954" t="str">
            <v>Vibratome</v>
          </cell>
          <cell r="BE954">
            <v>14</v>
          </cell>
          <cell r="BF954" t="str">
            <v>Mouniss</v>
          </cell>
          <cell r="BG954" t="str">
            <v>Y</v>
          </cell>
        </row>
        <row r="955">
          <cell r="A955" t="str">
            <v>FBR1Q240111</v>
          </cell>
          <cell r="B955">
            <v>240111</v>
          </cell>
          <cell r="C955" t="str">
            <v>R&amp;D</v>
          </cell>
          <cell r="D955">
            <v>45376</v>
          </cell>
          <cell r="E955">
            <v>0.52500000000000002</v>
          </cell>
          <cell r="F955">
            <v>45352</v>
          </cell>
          <cell r="G955">
            <v>45376</v>
          </cell>
          <cell r="H955">
            <v>0.6645833333333333</v>
          </cell>
          <cell r="I955">
            <v>0.13958333333333334</v>
          </cell>
          <cell r="J955">
            <v>2</v>
          </cell>
          <cell r="K955" t="str">
            <v>FCB-PROTOCOL-01</v>
          </cell>
          <cell r="L955" t="str">
            <v>VYD/270</v>
          </cell>
          <cell r="M955" t="str">
            <v>Y</v>
          </cell>
          <cell r="N955" t="str">
            <v>COSv4.1_CaBR(1Q-Known)</v>
          </cell>
          <cell r="O955" t="str">
            <v>Internal R&amp;D</v>
          </cell>
          <cell r="P955" t="str">
            <v>Q1 Passed</v>
          </cell>
          <cell r="Q955" t="str">
            <v>Q1 Passed</v>
          </cell>
          <cell r="R955" t="str">
            <v>Q1.5 Passed</v>
          </cell>
          <cell r="S955" t="str">
            <v>Q1.5 Passed</v>
          </cell>
          <cell r="V955" t="str">
            <v>Tumor content 0-40%</v>
          </cell>
          <cell r="W955" t="str">
            <v>Private Hospital</v>
          </cell>
          <cell r="X955" t="str">
            <v>Vydehi Hospital, Bangalore</v>
          </cell>
          <cell r="Y955" t="str">
            <v>Vydehi Hospital, Bangalore</v>
          </cell>
          <cell r="Z955" t="str">
            <v>Dr Amritha Prabha, Bangalore</v>
          </cell>
          <cell r="AA955" t="str">
            <v>Ca Breast</v>
          </cell>
          <cell r="AB955" t="str">
            <v>TNBC</v>
          </cell>
          <cell r="AC955" t="str">
            <v>Breast</v>
          </cell>
          <cell r="AD955" t="str">
            <v>Right Breast</v>
          </cell>
          <cell r="AE955" t="str">
            <v>Female</v>
          </cell>
          <cell r="AF955">
            <v>55</v>
          </cell>
          <cell r="AG955" t="str">
            <v>N</v>
          </cell>
          <cell r="AH955">
            <v>5.2</v>
          </cell>
          <cell r="AI955" t="str">
            <v>Kalappa</v>
          </cell>
          <cell r="AJ955" t="str">
            <v>Surgery</v>
          </cell>
          <cell r="AK955" t="str">
            <v>Primary</v>
          </cell>
          <cell r="AN955" t="str">
            <v>IIa</v>
          </cell>
          <cell r="AO955">
            <v>3</v>
          </cell>
          <cell r="AP955" t="str">
            <v>T2N0</v>
          </cell>
          <cell r="AS955" t="str">
            <v>IDC</v>
          </cell>
          <cell r="AT955" t="str">
            <v>CTRT</v>
          </cell>
          <cell r="AU955" t="str">
            <v>8cycle of Adria, Cyclophosphamide, Pacli</v>
          </cell>
          <cell r="AV955">
            <v>45376</v>
          </cell>
          <cell r="AW955">
            <v>0.67847222222222225</v>
          </cell>
          <cell r="AX955">
            <v>0.80208333333333337</v>
          </cell>
          <cell r="AY955">
            <v>0.12361111111111112</v>
          </cell>
          <cell r="AZ955">
            <v>0.66249999999999998</v>
          </cell>
          <cell r="BA955">
            <v>0.27708333333333335</v>
          </cell>
          <cell r="BB955" t="str">
            <v>0.6/0.8*2.0/1.6*1.6/1.8</v>
          </cell>
          <cell r="BD955" t="str">
            <v>Manual</v>
          </cell>
          <cell r="BE955">
            <v>14</v>
          </cell>
          <cell r="BF955" t="str">
            <v>Mouniss</v>
          </cell>
          <cell r="BG955" t="str">
            <v>Y</v>
          </cell>
        </row>
        <row r="956">
          <cell r="A956" t="str">
            <v>FBR1Q240112</v>
          </cell>
          <cell r="B956">
            <v>240112</v>
          </cell>
          <cell r="C956" t="str">
            <v>R&amp;D</v>
          </cell>
          <cell r="D956">
            <v>45376</v>
          </cell>
          <cell r="E956">
            <v>0.52777777777777779</v>
          </cell>
          <cell r="F956">
            <v>45352</v>
          </cell>
          <cell r="G956">
            <v>45376</v>
          </cell>
          <cell r="H956">
            <v>0.95833333333333337</v>
          </cell>
          <cell r="I956">
            <v>0.43055555555555558</v>
          </cell>
          <cell r="J956">
            <v>20</v>
          </cell>
          <cell r="K956" t="str">
            <v>FCB-PROTOCOL-01</v>
          </cell>
          <cell r="L956" t="str">
            <v>CLN/DBR/178</v>
          </cell>
          <cell r="M956" t="str">
            <v>Y</v>
          </cell>
          <cell r="N956" t="str">
            <v>COSv4.2_CaBR(1Q-Unknown)</v>
          </cell>
          <cell r="O956" t="str">
            <v>Internal R&amp;D</v>
          </cell>
          <cell r="P956" t="str">
            <v>Q1 Passed</v>
          </cell>
          <cell r="Q956" t="str">
            <v>Q1 Passed</v>
          </cell>
          <cell r="R956" t="str">
            <v>Q1.5 Passed</v>
          </cell>
          <cell r="S956" t="str">
            <v>Q1.5 Passed</v>
          </cell>
          <cell r="V956" t="str">
            <v>Tumor content 6-45%</v>
          </cell>
          <cell r="W956" t="str">
            <v>Private Hospital</v>
          </cell>
          <cell r="X956" t="str">
            <v>Clinic'les- DBR &amp; SK Hospital, Tirupati</v>
          </cell>
          <cell r="Y956" t="str">
            <v>DBR &amp; SK Hospital, Tirupati</v>
          </cell>
          <cell r="Z956" t="str">
            <v>Dr C Jayaprakash, Tirupati</v>
          </cell>
          <cell r="AA956" t="str">
            <v>Ca Breast</v>
          </cell>
          <cell r="AC956" t="str">
            <v>Breast</v>
          </cell>
          <cell r="AD956" t="str">
            <v>Right Breast</v>
          </cell>
          <cell r="AE956" t="str">
            <v>Female</v>
          </cell>
          <cell r="AF956">
            <v>71</v>
          </cell>
          <cell r="AG956" t="str">
            <v>N</v>
          </cell>
          <cell r="AH956">
            <v>5.3</v>
          </cell>
          <cell r="AI956" t="str">
            <v>Partha</v>
          </cell>
          <cell r="AJ956" t="str">
            <v>Surgery</v>
          </cell>
          <cell r="AK956" t="str">
            <v>Primary</v>
          </cell>
          <cell r="AN956" t="str">
            <v>IIB</v>
          </cell>
          <cell r="AO956">
            <v>2</v>
          </cell>
          <cell r="AP956" t="str">
            <v>T2 N1 MX</v>
          </cell>
          <cell r="AV956">
            <v>45377</v>
          </cell>
          <cell r="AW956">
            <v>0.30694444444444446</v>
          </cell>
          <cell r="AX956">
            <v>0.44097222222222221</v>
          </cell>
          <cell r="AY956">
            <v>0.13402777777777777</v>
          </cell>
          <cell r="AZ956">
            <v>1.0416666666666666E-2</v>
          </cell>
          <cell r="BA956">
            <v>0.91319444444444442</v>
          </cell>
          <cell r="BB956" t="str">
            <v>0.6*1.0*2.8
0.8*1.6*2.8</v>
          </cell>
          <cell r="BC956" t="str">
            <v>0.6*0.8*1.8
0.4*1.0*2.0
0.8*1.2*2.6</v>
          </cell>
          <cell r="BD956" t="str">
            <v>Manual</v>
          </cell>
          <cell r="BE956">
            <v>14</v>
          </cell>
          <cell r="BF956" t="str">
            <v>Kokila</v>
          </cell>
          <cell r="BG956" t="str">
            <v>Y</v>
          </cell>
        </row>
        <row r="957">
          <cell r="A957" t="str">
            <v>FBR1Y240113</v>
          </cell>
          <cell r="B957">
            <v>240113</v>
          </cell>
          <cell r="C957" t="str">
            <v>R&amp;D</v>
          </cell>
          <cell r="D957">
            <v>45377</v>
          </cell>
          <cell r="E957">
            <v>0.59375</v>
          </cell>
          <cell r="F957">
            <v>45352</v>
          </cell>
          <cell r="G957">
            <v>45377</v>
          </cell>
          <cell r="H957">
            <v>0.67708333333333337</v>
          </cell>
          <cell r="I957">
            <v>8.3333333333333329E-2</v>
          </cell>
          <cell r="J957">
            <v>9</v>
          </cell>
          <cell r="K957" t="str">
            <v>FCB-PROTOCOL-01</v>
          </cell>
          <cell r="L957" t="str">
            <v>HN130</v>
          </cell>
          <cell r="M957" t="str">
            <v>Y</v>
          </cell>
          <cell r="N957" t="str">
            <v>CCS Study (1Y)</v>
          </cell>
          <cell r="O957" t="str">
            <v>Internal R&amp;D</v>
          </cell>
          <cell r="P957" t="str">
            <v>Q1 Passed</v>
          </cell>
          <cell r="Q957" t="str">
            <v>Q1 Passed</v>
          </cell>
          <cell r="R957" t="str">
            <v>Q1.5 Passed</v>
          </cell>
          <cell r="S957" t="str">
            <v>Q1.5 Passed</v>
          </cell>
          <cell r="V957" t="str">
            <v>Tumor content 80-95%</v>
          </cell>
          <cell r="W957" t="str">
            <v>Private Hospital</v>
          </cell>
          <cell r="X957" t="str">
            <v>Mazumdar Shaw Medical Centre, Bangalore</v>
          </cell>
          <cell r="Y957" t="str">
            <v>Mazumdar Shaw Medical Centre, Bangalore</v>
          </cell>
          <cell r="Z957" t="str">
            <v>Dr Vijay Pillai, Bangalore</v>
          </cell>
          <cell r="AA957" t="str">
            <v>HNSCC</v>
          </cell>
          <cell r="AC957" t="str">
            <v>Buccal Mucosa</v>
          </cell>
          <cell r="AD957" t="str">
            <v>Left Buccal Mucosa</v>
          </cell>
          <cell r="AE957" t="str">
            <v>Female</v>
          </cell>
          <cell r="AF957">
            <v>55</v>
          </cell>
          <cell r="AG957" t="str">
            <v>N</v>
          </cell>
          <cell r="AH957">
            <v>4.8</v>
          </cell>
          <cell r="AI957" t="str">
            <v>Shashi</v>
          </cell>
          <cell r="AJ957" t="str">
            <v>Surgery</v>
          </cell>
          <cell r="AK957" t="str">
            <v>Primary</v>
          </cell>
          <cell r="AN957" t="str">
            <v>IV</v>
          </cell>
          <cell r="AO957">
            <v>3</v>
          </cell>
          <cell r="AP957" t="str">
            <v>rpT4arpN0</v>
          </cell>
          <cell r="AS957" t="str">
            <v>Poorly differentiated squamous cell carcinoma</v>
          </cell>
          <cell r="AV957">
            <v>45377</v>
          </cell>
          <cell r="AW957">
            <v>0.70277777777777772</v>
          </cell>
          <cell r="AX957">
            <v>0.77083333333333337</v>
          </cell>
          <cell r="AY957">
            <v>6.805555555555555E-2</v>
          </cell>
          <cell r="AZ957">
            <v>0.6875</v>
          </cell>
          <cell r="BA957">
            <v>0.17708333333333334</v>
          </cell>
          <cell r="BB957" t="str">
            <v>0.4*0.6/0.7*0.6/0.7</v>
          </cell>
          <cell r="BD957" t="str">
            <v>Manual</v>
          </cell>
          <cell r="BE957">
            <v>14</v>
          </cell>
          <cell r="BF957" t="str">
            <v>chandan</v>
          </cell>
          <cell r="BG957" t="str">
            <v>Y</v>
          </cell>
        </row>
        <row r="958">
          <cell r="A958" t="str">
            <v>FBB1L240114</v>
          </cell>
          <cell r="B958">
            <v>240114</v>
          </cell>
          <cell r="C958" t="str">
            <v>Biopharma</v>
          </cell>
          <cell r="D958">
            <v>45377</v>
          </cell>
          <cell r="E958">
            <v>0.64513888888888893</v>
          </cell>
          <cell r="F958">
            <v>45352</v>
          </cell>
          <cell r="G958">
            <v>45377</v>
          </cell>
          <cell r="H958">
            <v>0.68819444444444444</v>
          </cell>
          <cell r="I958">
            <v>4.3055555555555555E-2</v>
          </cell>
          <cell r="J958">
            <v>1</v>
          </cell>
          <cell r="K958" t="str">
            <v>FCB-PROTOCOL-01</v>
          </cell>
          <cell r="L958" t="str">
            <v>CLN/PRA/258</v>
          </cell>
          <cell r="M958" t="str">
            <v>Y</v>
          </cell>
          <cell r="N958" t="str">
            <v>BP010 (1L)</v>
          </cell>
          <cell r="O958" t="str">
            <v>Biopharma</v>
          </cell>
          <cell r="P958" t="str">
            <v>Q1 Passed</v>
          </cell>
          <cell r="Q958" t="str">
            <v>Q1 Passed</v>
          </cell>
          <cell r="R958" t="str">
            <v>Q1.5 Passed</v>
          </cell>
          <cell r="S958" t="str">
            <v>Q1.5 Passed</v>
          </cell>
          <cell r="V958" t="str">
            <v>Tumor content 60-95%, Clear cell</v>
          </cell>
          <cell r="W958" t="str">
            <v>Private Hospital</v>
          </cell>
          <cell r="X958" t="str">
            <v>Dr Prakash BV, Bangalore</v>
          </cell>
          <cell r="Y958" t="str">
            <v>Sri Lakshmi Hospital, Bangalore</v>
          </cell>
          <cell r="Z958" t="str">
            <v>Dr Prakash BV, Bangalore</v>
          </cell>
          <cell r="AA958" t="str">
            <v>RCC</v>
          </cell>
          <cell r="AC958" t="str">
            <v>Renal Mass</v>
          </cell>
          <cell r="AD958" t="str">
            <v>Left Renal Mass</v>
          </cell>
          <cell r="AE958" t="str">
            <v>Male</v>
          </cell>
          <cell r="AF958">
            <v>60</v>
          </cell>
          <cell r="AG958" t="str">
            <v>N</v>
          </cell>
          <cell r="AH958">
            <v>5.6</v>
          </cell>
          <cell r="AI958" t="str">
            <v>Kalappa</v>
          </cell>
          <cell r="AJ958" t="str">
            <v>Surgery</v>
          </cell>
          <cell r="AK958" t="str">
            <v>Primary</v>
          </cell>
          <cell r="AN958" t="str">
            <v>II</v>
          </cell>
          <cell r="AO958">
            <v>2</v>
          </cell>
          <cell r="AP958" t="str">
            <v>pT2N0</v>
          </cell>
          <cell r="AV958">
            <v>45377</v>
          </cell>
          <cell r="AW958">
            <v>0.70138888888888884</v>
          </cell>
          <cell r="AX958">
            <v>0.78125</v>
          </cell>
          <cell r="AY958">
            <v>7.9861111111111105E-2</v>
          </cell>
          <cell r="AZ958">
            <v>0.73819444444444449</v>
          </cell>
          <cell r="BA958">
            <v>0.1361111111111111</v>
          </cell>
          <cell r="BB958" t="str">
            <v>0.4*1.6/1.4*2.8/3.0
0.4*1.6/1.4*3.0
0.2*1.2/1.8*2.0</v>
          </cell>
          <cell r="BD958" t="str">
            <v>Manual</v>
          </cell>
          <cell r="BE958">
            <v>14</v>
          </cell>
          <cell r="BF958" t="str">
            <v>Dharani</v>
          </cell>
          <cell r="BG958" t="str">
            <v>N</v>
          </cell>
        </row>
        <row r="959">
          <cell r="A959" t="str">
            <v>FBR2C240114</v>
          </cell>
          <cell r="B959">
            <v>240114</v>
          </cell>
          <cell r="C959" t="str">
            <v>R&amp;D</v>
          </cell>
          <cell r="D959">
            <v>45377</v>
          </cell>
          <cell r="E959">
            <v>0.64513888888888893</v>
          </cell>
          <cell r="F959">
            <v>45352</v>
          </cell>
          <cell r="G959">
            <v>45377</v>
          </cell>
          <cell r="H959">
            <v>0.68819444444444444</v>
          </cell>
          <cell r="I959">
            <v>4.3055555555555555E-2</v>
          </cell>
          <cell r="J959">
            <v>1</v>
          </cell>
          <cell r="K959" t="str">
            <v>FCB-PROTOCOL-01</v>
          </cell>
          <cell r="L959" t="str">
            <v>CLN/PRA/258</v>
          </cell>
          <cell r="M959" t="str">
            <v>Y</v>
          </cell>
          <cell r="N959" t="str">
            <v>RCC DPT (2C)</v>
          </cell>
          <cell r="O959" t="str">
            <v>Internal R&amp;D</v>
          </cell>
          <cell r="P959" t="str">
            <v>Q1 Passed</v>
          </cell>
          <cell r="Q959" t="str">
            <v>Q1 Passed</v>
          </cell>
          <cell r="R959" t="str">
            <v>Q1.5 Passed</v>
          </cell>
          <cell r="S959" t="str">
            <v>Q1.5 Passed</v>
          </cell>
          <cell r="V959" t="str">
            <v>Tumor content 60-95%, Clear cell</v>
          </cell>
          <cell r="W959" t="str">
            <v>Private Hospital</v>
          </cell>
          <cell r="X959" t="str">
            <v>Dr Prakash BV, Bangalore</v>
          </cell>
          <cell r="Y959" t="str">
            <v>Sri Lakshmi Hospital, Bangalore</v>
          </cell>
          <cell r="Z959" t="str">
            <v>Dr Prakash BV, Bangalore</v>
          </cell>
          <cell r="AA959" t="str">
            <v>RCC</v>
          </cell>
          <cell r="AC959" t="str">
            <v>Renal Mass</v>
          </cell>
          <cell r="AD959" t="str">
            <v>Left Renal Mass</v>
          </cell>
          <cell r="AE959" t="str">
            <v>Male</v>
          </cell>
          <cell r="AF959">
            <v>60</v>
          </cell>
          <cell r="AG959" t="str">
            <v>N</v>
          </cell>
          <cell r="AH959">
            <v>5.6</v>
          </cell>
          <cell r="AI959" t="str">
            <v>Kalappa</v>
          </cell>
          <cell r="AJ959" t="str">
            <v>Surgery</v>
          </cell>
          <cell r="AK959" t="str">
            <v>Primary</v>
          </cell>
          <cell r="AN959" t="str">
            <v>II</v>
          </cell>
          <cell r="AO959">
            <v>2</v>
          </cell>
          <cell r="AP959" t="str">
            <v>pT2N0</v>
          </cell>
          <cell r="AV959">
            <v>45377</v>
          </cell>
          <cell r="AW959">
            <v>0.70138888888888884</v>
          </cell>
          <cell r="AX959">
            <v>0.78125</v>
          </cell>
          <cell r="AY959">
            <v>7.9861111111111105E-2</v>
          </cell>
          <cell r="AZ959">
            <v>0.73819444444444449</v>
          </cell>
          <cell r="BA959">
            <v>0.1361111111111111</v>
          </cell>
          <cell r="BB959" t="str">
            <v>0.4*1.6/1.4*2.8/3.0
0.4*1.6/1.4*3.0
0.2*1.2/1.8*2.0</v>
          </cell>
          <cell r="BD959" t="str">
            <v>Manual</v>
          </cell>
          <cell r="BE959">
            <v>14</v>
          </cell>
          <cell r="BF959" t="str">
            <v>Dharani</v>
          </cell>
          <cell r="BG959" t="str">
            <v>N</v>
          </cell>
        </row>
        <row r="960">
          <cell r="A960" t="str">
            <v>FBR1Y240115</v>
          </cell>
          <cell r="B960">
            <v>240115</v>
          </cell>
          <cell r="C960" t="str">
            <v>R&amp;D</v>
          </cell>
          <cell r="D960">
            <v>45378</v>
          </cell>
          <cell r="E960">
            <v>0.47916666666666669</v>
          </cell>
          <cell r="F960">
            <v>45352</v>
          </cell>
          <cell r="G960">
            <v>45378</v>
          </cell>
          <cell r="H960">
            <v>0.56180555555555556</v>
          </cell>
          <cell r="I960">
            <v>8.2638888888888887E-2</v>
          </cell>
          <cell r="J960">
            <v>12</v>
          </cell>
          <cell r="K960" t="str">
            <v>FCB-PROTOCOL-01</v>
          </cell>
          <cell r="L960" t="str">
            <v>HN131</v>
          </cell>
          <cell r="M960" t="str">
            <v>Y</v>
          </cell>
          <cell r="N960" t="str">
            <v>CCS Study (1Y)</v>
          </cell>
          <cell r="O960" t="str">
            <v>Internal R&amp;D</v>
          </cell>
          <cell r="P960" t="str">
            <v>Q1 Passed</v>
          </cell>
          <cell r="Q960" t="str">
            <v>Not Received</v>
          </cell>
          <cell r="R960" t="str">
            <v>Compromised</v>
          </cell>
          <cell r="S960" t="str">
            <v>Q1.5 Passed</v>
          </cell>
          <cell r="T960" t="str">
            <v>Blood not collected</v>
          </cell>
          <cell r="V960" t="str">
            <v>Tumor content 30-80%</v>
          </cell>
          <cell r="W960" t="str">
            <v>Private Hospital</v>
          </cell>
          <cell r="X960" t="str">
            <v>Mazumdar Shaw Medical Centre, Bangalore</v>
          </cell>
          <cell r="Y960" t="str">
            <v>Mazumdar Shaw Medical Centre, Bangalore</v>
          </cell>
          <cell r="Z960" t="str">
            <v>Dr Vijay Pillai, Bangalore</v>
          </cell>
          <cell r="AA960" t="str">
            <v>HNSCC</v>
          </cell>
          <cell r="AC960" t="str">
            <v>Alveolus</v>
          </cell>
          <cell r="AD960" t="str">
            <v>Lower Alveolus</v>
          </cell>
          <cell r="AE960" t="str">
            <v>Male</v>
          </cell>
          <cell r="AF960">
            <v>72</v>
          </cell>
          <cell r="AG960" t="str">
            <v>N</v>
          </cell>
          <cell r="AH960">
            <v>4.5</v>
          </cell>
          <cell r="AI960" t="str">
            <v>Kalappa</v>
          </cell>
          <cell r="AJ960" t="str">
            <v>Surgery</v>
          </cell>
          <cell r="AK960" t="str">
            <v>Primary</v>
          </cell>
          <cell r="AN960" t="str">
            <v>IV</v>
          </cell>
          <cell r="AO960">
            <v>2</v>
          </cell>
          <cell r="AP960" t="str">
            <v>pT4apN3b</v>
          </cell>
          <cell r="AS960" t="str">
            <v xml:space="preserve">MDSCC(Moderately Differentiated Squamous cell carcinoma) </v>
          </cell>
          <cell r="AV960">
            <v>45378</v>
          </cell>
          <cell r="AW960">
            <v>0.59236111111111112</v>
          </cell>
          <cell r="AX960">
            <v>0.62847222222222221</v>
          </cell>
          <cell r="AY960">
            <v>3.6111111111111108E-2</v>
          </cell>
          <cell r="AZ960">
            <v>0.54583333333333328</v>
          </cell>
          <cell r="BA960">
            <v>0.14930555555555555</v>
          </cell>
          <cell r="BB960" t="str">
            <v>0.4*0.4*0.4</v>
          </cell>
          <cell r="BD960" t="str">
            <v>Manual</v>
          </cell>
          <cell r="BE960">
            <v>14</v>
          </cell>
          <cell r="BF960" t="str">
            <v>Pallavi</v>
          </cell>
          <cell r="BG960" t="str">
            <v>N</v>
          </cell>
        </row>
        <row r="961">
          <cell r="A961" t="str">
            <v>FBR1Y240116</v>
          </cell>
          <cell r="B961">
            <v>240116</v>
          </cell>
          <cell r="C961" t="str">
            <v>R&amp;D</v>
          </cell>
          <cell r="D961">
            <v>45378</v>
          </cell>
          <cell r="E961">
            <v>0.62222222222222223</v>
          </cell>
          <cell r="F961">
            <v>45352</v>
          </cell>
          <cell r="G961">
            <v>45378</v>
          </cell>
          <cell r="H961">
            <v>0.69722222222222219</v>
          </cell>
          <cell r="I961">
            <v>7.4999999999999997E-2</v>
          </cell>
          <cell r="J961">
            <v>2</v>
          </cell>
          <cell r="K961" t="str">
            <v>FCB-PROTOCOL-01</v>
          </cell>
          <cell r="L961" t="str">
            <v>VYD/271</v>
          </cell>
          <cell r="M961" t="str">
            <v>Y</v>
          </cell>
          <cell r="N961" t="str">
            <v>CCS Study (1Y)</v>
          </cell>
          <cell r="O961" t="str">
            <v>Internal R&amp;D</v>
          </cell>
          <cell r="P961" t="str">
            <v>Q1 Passed</v>
          </cell>
          <cell r="Q961" t="str">
            <v>Q1 Rejected</v>
          </cell>
          <cell r="R961" t="str">
            <v>Compromised</v>
          </cell>
          <cell r="S961" t="str">
            <v>Q1.5 Passed</v>
          </cell>
          <cell r="T961" t="str">
            <v>blood clot observed</v>
          </cell>
          <cell r="V961" t="str">
            <v>Tumor content 0-65%</v>
          </cell>
          <cell r="W961" t="str">
            <v>Private Hospital</v>
          </cell>
          <cell r="X961" t="str">
            <v>Vydehi Hospital, Bangalore</v>
          </cell>
          <cell r="Y961" t="str">
            <v>Vydehi Hospital, Bangalore</v>
          </cell>
          <cell r="Z961" t="str">
            <v>Dr Amritha Prabha, Bangalore</v>
          </cell>
          <cell r="AA961" t="str">
            <v>HNSCC</v>
          </cell>
          <cell r="AC961" t="str">
            <v>Alveolus</v>
          </cell>
          <cell r="AD961" t="str">
            <v>Right Lower GB Alveolus</v>
          </cell>
          <cell r="AE961" t="str">
            <v>Male</v>
          </cell>
          <cell r="AF961">
            <v>75</v>
          </cell>
          <cell r="AG961" t="str">
            <v>N</v>
          </cell>
          <cell r="AH961">
            <v>4.9000000000000004</v>
          </cell>
          <cell r="AI961" t="str">
            <v>Shashi</v>
          </cell>
          <cell r="AJ961" t="str">
            <v>Surgery</v>
          </cell>
          <cell r="AK961" t="str">
            <v>Primary</v>
          </cell>
          <cell r="AN961" t="str">
            <v xml:space="preserve">IVb </v>
          </cell>
          <cell r="AO961">
            <v>2</v>
          </cell>
          <cell r="AP961" t="str">
            <v>T4aN3b</v>
          </cell>
          <cell r="AS961" t="str">
            <v>SCC</v>
          </cell>
          <cell r="AT961" t="str">
            <v>CTRT</v>
          </cell>
          <cell r="AU961" t="str">
            <v>Cisplatin</v>
          </cell>
          <cell r="AV961">
            <v>45378</v>
          </cell>
          <cell r="AW961">
            <v>0.72569444444444442</v>
          </cell>
          <cell r="AX961">
            <v>0.78125</v>
          </cell>
          <cell r="AY961">
            <v>5.5555555555555552E-2</v>
          </cell>
          <cell r="AZ961">
            <v>0.70625000000000004</v>
          </cell>
          <cell r="BA961">
            <v>0.15902777777777777</v>
          </cell>
          <cell r="BB961" t="str">
            <v>0.6/0.4*0.7/0.4*1.3
0.4*0.4/0.5*0.9</v>
          </cell>
          <cell r="BD961" t="str">
            <v>Manual</v>
          </cell>
          <cell r="BE961">
            <v>14</v>
          </cell>
          <cell r="BF961" t="str">
            <v>chandan</v>
          </cell>
          <cell r="BG961" t="str">
            <v>N</v>
          </cell>
        </row>
        <row r="962">
          <cell r="A962" t="str">
            <v>FBR2F240116</v>
          </cell>
          <cell r="B962">
            <v>240116</v>
          </cell>
          <cell r="C962" t="str">
            <v>R&amp;D</v>
          </cell>
          <cell r="D962">
            <v>45378</v>
          </cell>
          <cell r="E962">
            <v>0.62222222222222223</v>
          </cell>
          <cell r="F962">
            <v>45352</v>
          </cell>
          <cell r="G962">
            <v>45378</v>
          </cell>
          <cell r="H962">
            <v>0.69722222222222219</v>
          </cell>
          <cell r="I962">
            <v>7.4999999999999997E-2</v>
          </cell>
          <cell r="J962">
            <v>2</v>
          </cell>
          <cell r="K962" t="str">
            <v>FCB-PROTOCOL-01</v>
          </cell>
          <cell r="L962" t="str">
            <v>VYD/271</v>
          </cell>
          <cell r="M962" t="str">
            <v>Y</v>
          </cell>
          <cell r="N962" t="str">
            <v>ECR (2F)</v>
          </cell>
          <cell r="O962" t="str">
            <v>Internal R&amp;D</v>
          </cell>
          <cell r="P962" t="str">
            <v>Q1 Passed</v>
          </cell>
          <cell r="Q962" t="str">
            <v>Q1 Rejected</v>
          </cell>
          <cell r="R962" t="str">
            <v>Compromised</v>
          </cell>
          <cell r="S962" t="str">
            <v>Q1.5 Passed</v>
          </cell>
          <cell r="T962" t="str">
            <v>blood clot observed</v>
          </cell>
          <cell r="V962" t="str">
            <v>Tumor content 0-65%</v>
          </cell>
          <cell r="W962" t="str">
            <v>Private Hospital</v>
          </cell>
          <cell r="X962" t="str">
            <v>Vydehi Hospital, Bangalore</v>
          </cell>
          <cell r="Y962" t="str">
            <v>Vydehi Hospital, Bangalore</v>
          </cell>
          <cell r="Z962" t="str">
            <v>Dr Amritha Prabha, Bangalore</v>
          </cell>
          <cell r="AA962" t="str">
            <v>HNSCC</v>
          </cell>
          <cell r="AC962" t="str">
            <v>Alveolus</v>
          </cell>
          <cell r="AD962" t="str">
            <v>Right Lower GB Alveolus</v>
          </cell>
          <cell r="AE962" t="str">
            <v>Male</v>
          </cell>
          <cell r="AF962">
            <v>75</v>
          </cell>
          <cell r="AG962" t="str">
            <v>N</v>
          </cell>
          <cell r="AH962">
            <v>4.9000000000000004</v>
          </cell>
          <cell r="AI962" t="str">
            <v>Shashi</v>
          </cell>
          <cell r="AJ962" t="str">
            <v>Surgery</v>
          </cell>
          <cell r="AK962" t="str">
            <v>Primary</v>
          </cell>
          <cell r="AN962" t="str">
            <v xml:space="preserve">IVb </v>
          </cell>
          <cell r="AO962">
            <v>2</v>
          </cell>
          <cell r="AP962" t="str">
            <v>T4aN3b</v>
          </cell>
          <cell r="AS962" t="str">
            <v>SCC</v>
          </cell>
          <cell r="AT962" t="str">
            <v>CTRT</v>
          </cell>
          <cell r="AU962" t="str">
            <v>Cisplatin</v>
          </cell>
          <cell r="AV962">
            <v>45381</v>
          </cell>
          <cell r="AW962">
            <v>0.72569444444444442</v>
          </cell>
          <cell r="AX962">
            <v>0.80972222222222223</v>
          </cell>
          <cell r="AY962">
            <v>8.4027777777777785E-2</v>
          </cell>
          <cell r="AZ962">
            <v>0.73472222222222228</v>
          </cell>
          <cell r="BA962">
            <v>0.1875</v>
          </cell>
          <cell r="BB962" t="str">
            <v>0.6/0.4*0.7/0.4*1.3
0.4*0.4/0.5*0.9</v>
          </cell>
          <cell r="BD962" t="str">
            <v>Manual</v>
          </cell>
          <cell r="BE962">
            <v>14</v>
          </cell>
          <cell r="BF962" t="str">
            <v>Kokila</v>
          </cell>
          <cell r="BG962" t="str">
            <v>N</v>
          </cell>
        </row>
        <row r="963">
          <cell r="A963" t="str">
            <v>FBR1Q240117</v>
          </cell>
          <cell r="B963">
            <v>240117</v>
          </cell>
          <cell r="C963" t="str">
            <v>R&amp;D</v>
          </cell>
          <cell r="D963">
            <v>45379</v>
          </cell>
          <cell r="E963">
            <v>0.54166666666666663</v>
          </cell>
          <cell r="F963">
            <v>45352</v>
          </cell>
          <cell r="G963">
            <v>45379</v>
          </cell>
          <cell r="H963">
            <v>0.60069444444444442</v>
          </cell>
          <cell r="I963">
            <v>5.9027777777777776E-2</v>
          </cell>
          <cell r="J963">
            <v>10</v>
          </cell>
          <cell r="K963" t="str">
            <v>FCB-PROTOCOL-01</v>
          </cell>
          <cell r="L963" t="str">
            <v>VYD/272</v>
          </cell>
          <cell r="M963" t="str">
            <v>Y</v>
          </cell>
          <cell r="N963" t="str">
            <v>COSv4.2_CaBR(1Q-Unknown)</v>
          </cell>
          <cell r="O963" t="str">
            <v>Internal R&amp;D</v>
          </cell>
          <cell r="P963" t="str">
            <v>Q1 Passed</v>
          </cell>
          <cell r="Q963" t="str">
            <v>Q1 Passed</v>
          </cell>
          <cell r="R963" t="str">
            <v>Q1.5 Passed</v>
          </cell>
          <cell r="S963" t="str">
            <v>Q1.5 Rejected</v>
          </cell>
          <cell r="V963" t="str">
            <v>No tumor</v>
          </cell>
          <cell r="W963" t="str">
            <v>Private Hospital</v>
          </cell>
          <cell r="X963" t="str">
            <v>Vydehi Hospital, Bangalore</v>
          </cell>
          <cell r="Y963" t="str">
            <v>Vydehi Hospital, Bangalore</v>
          </cell>
          <cell r="Z963" t="str">
            <v>Dr Amritha Prabha, Bangalore</v>
          </cell>
          <cell r="AA963" t="str">
            <v>Ca Breast</v>
          </cell>
          <cell r="AC963" t="str">
            <v xml:space="preserve">Breast </v>
          </cell>
          <cell r="AD963" t="str">
            <v>Left Breast</v>
          </cell>
          <cell r="AE963" t="str">
            <v>Female</v>
          </cell>
          <cell r="AF963">
            <v>46</v>
          </cell>
          <cell r="AG963" t="str">
            <v>N</v>
          </cell>
          <cell r="AH963">
            <v>5.2</v>
          </cell>
          <cell r="AI963" t="str">
            <v>Shashi</v>
          </cell>
          <cell r="AJ963" t="str">
            <v>Surgery</v>
          </cell>
          <cell r="AK963" t="str">
            <v>Primary</v>
          </cell>
          <cell r="AV963">
            <v>45379</v>
          </cell>
          <cell r="AW963">
            <v>0.61805555555555558</v>
          </cell>
          <cell r="BB963" t="str">
            <v>0.8*1.4*3.0</v>
          </cell>
          <cell r="BC963" t="str">
            <v>0.4*0.8*2.8</v>
          </cell>
          <cell r="BD963" t="str">
            <v>Manual</v>
          </cell>
          <cell r="BE963">
            <v>14</v>
          </cell>
          <cell r="BF963" t="str">
            <v>Kokila</v>
          </cell>
          <cell r="BG963" t="str">
            <v>N</v>
          </cell>
        </row>
        <row r="964">
          <cell r="A964" t="str">
            <v>FBR1Y240118</v>
          </cell>
          <cell r="B964">
            <v>240118</v>
          </cell>
          <cell r="C964" t="str">
            <v>R&amp;D</v>
          </cell>
          <cell r="D964">
            <v>45379</v>
          </cell>
          <cell r="E964">
            <v>0.4861111111111111</v>
          </cell>
          <cell r="F964">
            <v>45352</v>
          </cell>
          <cell r="G964">
            <v>45379</v>
          </cell>
          <cell r="H964">
            <v>0.63958333333333328</v>
          </cell>
          <cell r="I964">
            <v>0.15347222222222223</v>
          </cell>
          <cell r="J964">
            <v>25</v>
          </cell>
          <cell r="K964" t="str">
            <v>FCB-PROTOCOL-01</v>
          </cell>
          <cell r="L964" t="str">
            <v>HN132</v>
          </cell>
          <cell r="M964" t="str">
            <v>Y</v>
          </cell>
          <cell r="N964" t="str">
            <v>CCS Study (1Y)</v>
          </cell>
          <cell r="O964" t="str">
            <v>Internal R&amp;D</v>
          </cell>
          <cell r="P964" t="str">
            <v>Q1 Passed</v>
          </cell>
          <cell r="Q964" t="str">
            <v>Not Received</v>
          </cell>
          <cell r="R964" t="str">
            <v>Compromised</v>
          </cell>
          <cell r="S964" t="str">
            <v>Q1.5 Passed</v>
          </cell>
          <cell r="T964" t="str">
            <v>Blood not collected</v>
          </cell>
          <cell r="V964" t="str">
            <v>Tumor content 80-90%</v>
          </cell>
          <cell r="W964" t="str">
            <v>Private Hospital</v>
          </cell>
          <cell r="X964" t="str">
            <v>Mazumdar Shaw Medical Centre, Bangalore</v>
          </cell>
          <cell r="Y964" t="str">
            <v>Mazumdar Shaw Medical Centre, Bangalore</v>
          </cell>
          <cell r="Z964" t="str">
            <v>Dr Vijay Pillai, Bangalore</v>
          </cell>
          <cell r="AA964" t="str">
            <v>HNSCC</v>
          </cell>
          <cell r="AC964" t="str">
            <v>Tongue</v>
          </cell>
          <cell r="AD964" t="str">
            <v>Tongue</v>
          </cell>
          <cell r="AE964" t="str">
            <v>Male</v>
          </cell>
          <cell r="AF964">
            <v>74</v>
          </cell>
          <cell r="AG964" t="str">
            <v>N</v>
          </cell>
          <cell r="AH964">
            <v>4.5999999999999996</v>
          </cell>
          <cell r="AI964" t="str">
            <v>Maruthi</v>
          </cell>
          <cell r="AJ964" t="str">
            <v>Surgery</v>
          </cell>
          <cell r="AK964" t="str">
            <v>Primary</v>
          </cell>
          <cell r="AN964" t="str">
            <v>III</v>
          </cell>
          <cell r="AO964">
            <v>2</v>
          </cell>
          <cell r="AP964" t="str">
            <v>pT3pN0</v>
          </cell>
          <cell r="AS964" t="str">
            <v xml:space="preserve">MDSCC(Moderately Differentiated Squamous cell carcinoma) </v>
          </cell>
          <cell r="AV964">
            <v>45379</v>
          </cell>
          <cell r="AW964">
            <v>0.65625</v>
          </cell>
          <cell r="AX964">
            <v>0.6875</v>
          </cell>
          <cell r="AY964">
            <v>3.125E-2</v>
          </cell>
          <cell r="AZ964">
            <v>0.53402777777777777</v>
          </cell>
          <cell r="BA964">
            <v>0.2013888888888889</v>
          </cell>
          <cell r="BB964" t="str">
            <v>0.2*0.5*0.3
0.2*0.6*0.6</v>
          </cell>
          <cell r="BD964" t="str">
            <v>Manual</v>
          </cell>
          <cell r="BE964">
            <v>14</v>
          </cell>
          <cell r="BF964" t="str">
            <v>Pallavi</v>
          </cell>
          <cell r="BG964" t="str">
            <v>N</v>
          </cell>
        </row>
        <row r="965">
          <cell r="A965" t="str">
            <v>FBR1Y240119</v>
          </cell>
          <cell r="B965">
            <v>240119</v>
          </cell>
          <cell r="C965" t="str">
            <v>R&amp;D</v>
          </cell>
          <cell r="D965">
            <v>45379</v>
          </cell>
          <cell r="E965">
            <v>0.4861111111111111</v>
          </cell>
          <cell r="F965">
            <v>45352</v>
          </cell>
          <cell r="G965">
            <v>45379</v>
          </cell>
          <cell r="H965">
            <v>0.85763888888888884</v>
          </cell>
          <cell r="I965">
            <v>0.37152777777777779</v>
          </cell>
          <cell r="J965">
            <v>20</v>
          </cell>
          <cell r="K965" t="str">
            <v>FCB-PROTOCOL-01</v>
          </cell>
          <cell r="L965" t="str">
            <v>CLN/DBR/179</v>
          </cell>
          <cell r="M965" t="str">
            <v>Y</v>
          </cell>
          <cell r="N965" t="str">
            <v>CCS Study (1Y)</v>
          </cell>
          <cell r="O965" t="str">
            <v>Internal R&amp;D</v>
          </cell>
          <cell r="P965" t="str">
            <v>Q1 Passed</v>
          </cell>
          <cell r="Q965" t="str">
            <v>Q1 Passed</v>
          </cell>
          <cell r="R965" t="str">
            <v>Q1.5 Passed</v>
          </cell>
          <cell r="S965" t="str">
            <v>Q1.5 Passed</v>
          </cell>
          <cell r="V965" t="str">
            <v>Tumor content 15-90%</v>
          </cell>
          <cell r="W965" t="str">
            <v>Private Hospital</v>
          </cell>
          <cell r="X965" t="str">
            <v>Clinic'les- DBR &amp; SK Hospital, Tirupati</v>
          </cell>
          <cell r="Y965" t="str">
            <v>DBR &amp; SK Hospital, Tirupati</v>
          </cell>
          <cell r="Z965" t="str">
            <v>Dr C Jayaprakash, Tirupati</v>
          </cell>
          <cell r="AA965" t="str">
            <v>HNSCC</v>
          </cell>
          <cell r="AC965" t="str">
            <v>Buccal Mucosa</v>
          </cell>
          <cell r="AD965" t="str">
            <v>Right Buccal Mucosa</v>
          </cell>
          <cell r="AE965" t="str">
            <v>Male</v>
          </cell>
          <cell r="AF965">
            <v>58</v>
          </cell>
          <cell r="AG965" t="str">
            <v>N</v>
          </cell>
          <cell r="AH965">
            <v>4.8</v>
          </cell>
          <cell r="AI965" t="str">
            <v>Partha</v>
          </cell>
          <cell r="AJ965" t="str">
            <v>Surgery</v>
          </cell>
          <cell r="AK965" t="str">
            <v>Primary</v>
          </cell>
          <cell r="AN965" t="str">
            <v>III</v>
          </cell>
          <cell r="AP965" t="str">
            <v>T3 N0 MX</v>
          </cell>
          <cell r="AV965">
            <v>45379</v>
          </cell>
          <cell r="AW965">
            <v>0.87361111111111112</v>
          </cell>
          <cell r="AX965">
            <v>0.48333333333333334</v>
          </cell>
          <cell r="AY965">
            <v>-0.39027777800000002</v>
          </cell>
          <cell r="AZ965">
            <v>0.111805556</v>
          </cell>
          <cell r="BA965">
            <v>-2.7777779999999998E-3</v>
          </cell>
          <cell r="BB965" t="str">
            <v>0.8/0.6*1.2/1.8*1.6/1.9</v>
          </cell>
          <cell r="BD965" t="str">
            <v>Manual</v>
          </cell>
          <cell r="BE965">
            <v>14</v>
          </cell>
          <cell r="BF965" t="str">
            <v>Mouniss</v>
          </cell>
          <cell r="BG965" t="str">
            <v>Y</v>
          </cell>
        </row>
        <row r="966">
          <cell r="A966" t="str">
            <v>FBR2F240119</v>
          </cell>
          <cell r="B966">
            <v>240119</v>
          </cell>
          <cell r="C966" t="str">
            <v>R&amp;D</v>
          </cell>
          <cell r="D966">
            <v>45379</v>
          </cell>
          <cell r="E966">
            <v>0.4861111111111111</v>
          </cell>
          <cell r="F966">
            <v>45352</v>
          </cell>
          <cell r="G966">
            <v>45379</v>
          </cell>
          <cell r="H966">
            <v>0.85763888888888884</v>
          </cell>
          <cell r="I966">
            <v>0.37152777777777779</v>
          </cell>
          <cell r="J966">
            <v>20</v>
          </cell>
          <cell r="K966" t="str">
            <v>FCB-PROTOCOL-01</v>
          </cell>
          <cell r="L966" t="str">
            <v>CLN/DBR/179</v>
          </cell>
          <cell r="M966" t="str">
            <v>Y</v>
          </cell>
          <cell r="N966" t="str">
            <v>ECR (2F)</v>
          </cell>
          <cell r="O966" t="str">
            <v>Internal R&amp;D</v>
          </cell>
          <cell r="P966" t="str">
            <v>Q1 Passed</v>
          </cell>
          <cell r="Q966" t="str">
            <v>Q1 Passed</v>
          </cell>
          <cell r="R966" t="str">
            <v>Q1.5 Passed</v>
          </cell>
          <cell r="S966" t="str">
            <v>Q1.5 Passed</v>
          </cell>
          <cell r="V966" t="str">
            <v>Tumor content 0-90%</v>
          </cell>
          <cell r="W966" t="str">
            <v>Private Hospital</v>
          </cell>
          <cell r="X966" t="str">
            <v>Clinic'les- DBR &amp; SK Hospital, Tirupati</v>
          </cell>
          <cell r="Y966" t="str">
            <v>DBR &amp; SK Hospital, Tirupati</v>
          </cell>
          <cell r="Z966" t="str">
            <v>Dr C Jayaprakash, Tirupati</v>
          </cell>
          <cell r="AA966" t="str">
            <v>HNSCC</v>
          </cell>
          <cell r="AC966" t="str">
            <v>Buccal Mucosa</v>
          </cell>
          <cell r="AD966" t="str">
            <v>Right Buccal Mucosa</v>
          </cell>
          <cell r="AE966" t="str">
            <v>Male</v>
          </cell>
          <cell r="AF966">
            <v>58</v>
          </cell>
          <cell r="AG966" t="str">
            <v>N</v>
          </cell>
          <cell r="AH966">
            <v>4.8</v>
          </cell>
          <cell r="AI966" t="str">
            <v>Partha</v>
          </cell>
          <cell r="AJ966" t="str">
            <v>Surgery</v>
          </cell>
          <cell r="AK966" t="str">
            <v>Primary</v>
          </cell>
          <cell r="AN966" t="str">
            <v>III</v>
          </cell>
          <cell r="AP966" t="str">
            <v>T3 N0 MX</v>
          </cell>
          <cell r="AV966">
            <v>45384</v>
          </cell>
          <cell r="AW966">
            <v>0.87361111111111112</v>
          </cell>
          <cell r="AX966">
            <v>0.56111111111111112</v>
          </cell>
          <cell r="AY966">
            <v>-0.3125</v>
          </cell>
          <cell r="AZ966">
            <v>0.18958333299999999</v>
          </cell>
          <cell r="BA966">
            <v>7.4999999999999997E-2</v>
          </cell>
          <cell r="BB966" t="str">
            <v>0.8/0.6*1.2/1.8*1.6/1.9</v>
          </cell>
          <cell r="BD966" t="str">
            <v>Manual</v>
          </cell>
          <cell r="BE966">
            <v>14</v>
          </cell>
          <cell r="BF966" t="str">
            <v>Kokila</v>
          </cell>
          <cell r="BG966" t="str">
            <v>Y</v>
          </cell>
        </row>
        <row r="967">
          <cell r="A967" t="str">
            <v>FBR1Q240120</v>
          </cell>
          <cell r="B967">
            <v>240120</v>
          </cell>
          <cell r="C967" t="str">
            <v>R&amp;D</v>
          </cell>
          <cell r="D967">
            <v>45381</v>
          </cell>
          <cell r="E967">
            <v>0.50486111111111109</v>
          </cell>
          <cell r="F967">
            <v>45352</v>
          </cell>
          <cell r="G967">
            <v>45381</v>
          </cell>
          <cell r="H967">
            <v>0.57708333333333328</v>
          </cell>
          <cell r="I967">
            <v>7.2222222222222215E-2</v>
          </cell>
          <cell r="J967">
            <v>2</v>
          </cell>
          <cell r="K967" t="str">
            <v>FCB-PROTOCOL-01</v>
          </cell>
          <cell r="L967" t="str">
            <v>VYD/273</v>
          </cell>
          <cell r="M967" t="str">
            <v>Y</v>
          </cell>
          <cell r="N967" t="str">
            <v>COSv4.1_CaBR(1Q-Known)</v>
          </cell>
          <cell r="O967" t="str">
            <v>Internal R&amp;D</v>
          </cell>
          <cell r="P967" t="str">
            <v>Q1 Passed</v>
          </cell>
          <cell r="Q967" t="str">
            <v>Q1 Passed</v>
          </cell>
          <cell r="R967" t="str">
            <v>Q1.5 Passed</v>
          </cell>
          <cell r="S967" t="str">
            <v>Q1.5 Passed</v>
          </cell>
          <cell r="V967" t="str">
            <v>Tumor content 3-40%</v>
          </cell>
          <cell r="W967" t="str">
            <v>Private Hospital</v>
          </cell>
          <cell r="X967" t="str">
            <v>Vydehi Hospital, Bangalore</v>
          </cell>
          <cell r="Y967" t="str">
            <v>Vydehi Hospital, Bangalore</v>
          </cell>
          <cell r="Z967" t="str">
            <v>Dr Amritha Prabha, Bangalore</v>
          </cell>
          <cell r="AA967" t="str">
            <v>Ca Breast</v>
          </cell>
          <cell r="AB967" t="str">
            <v>Er +
Pr +
Her2 -</v>
          </cell>
          <cell r="AC967" t="str">
            <v xml:space="preserve">Breast </v>
          </cell>
          <cell r="AD967" t="str">
            <v>Right Breast</v>
          </cell>
          <cell r="AE967" t="str">
            <v>Female</v>
          </cell>
          <cell r="AF967">
            <v>61</v>
          </cell>
          <cell r="AG967" t="str">
            <v>N</v>
          </cell>
          <cell r="AH967">
            <v>5.2</v>
          </cell>
          <cell r="AI967" t="str">
            <v>Kalappa</v>
          </cell>
          <cell r="AJ967" t="str">
            <v>Surgery</v>
          </cell>
          <cell r="AK967" t="str">
            <v>Primary</v>
          </cell>
          <cell r="AO967">
            <v>2</v>
          </cell>
          <cell r="AS967" t="str">
            <v>IDC</v>
          </cell>
          <cell r="AT967" t="str">
            <v>CTRT</v>
          </cell>
          <cell r="AU967" t="str">
            <v>Ebirubicin, Cyclophosphamide, Docetaxel</v>
          </cell>
          <cell r="AV967">
            <v>45381</v>
          </cell>
          <cell r="AW967">
            <v>0.59652777777777777</v>
          </cell>
          <cell r="AX967">
            <v>0.6645833333333333</v>
          </cell>
          <cell r="AY967">
            <v>6.805555555555555E-2</v>
          </cell>
          <cell r="AZ967">
            <v>0.59236111111111112</v>
          </cell>
          <cell r="BA967">
            <v>0.15972222222222221</v>
          </cell>
          <cell r="BB967" t="str">
            <v>0.6/0.8*0.6/1.4*2.0</v>
          </cell>
          <cell r="BC967" t="str">
            <v>0.6*0.6/1.4*2.0</v>
          </cell>
          <cell r="BD967" t="str">
            <v>Manual</v>
          </cell>
          <cell r="BE967">
            <v>14</v>
          </cell>
          <cell r="BF967" t="str">
            <v>Dharani</v>
          </cell>
          <cell r="BG967" t="str">
            <v>Y</v>
          </cell>
        </row>
        <row r="968">
          <cell r="A968" t="str">
            <v>FBR1Y240121</v>
          </cell>
          <cell r="B968">
            <v>240121</v>
          </cell>
          <cell r="C968" t="str">
            <v>R&amp;D</v>
          </cell>
          <cell r="D968">
            <v>45383</v>
          </cell>
          <cell r="E968">
            <v>0.5395833333333333</v>
          </cell>
          <cell r="F968">
            <v>45383</v>
          </cell>
          <cell r="G968">
            <v>45383</v>
          </cell>
          <cell r="H968">
            <v>0.6</v>
          </cell>
          <cell r="I968">
            <v>6.0416666666666667E-2</v>
          </cell>
          <cell r="J968">
            <v>3</v>
          </cell>
          <cell r="K968" t="str">
            <v>FCB-PROTOCOL-01</v>
          </cell>
          <cell r="L968" t="str">
            <v>VYD/274</v>
          </cell>
          <cell r="M968" t="str">
            <v>Y</v>
          </cell>
          <cell r="N968" t="str">
            <v>CCS Study (1Y)</v>
          </cell>
          <cell r="O968" t="str">
            <v>Internal R&amp;D</v>
          </cell>
          <cell r="P968" t="str">
            <v>Q1 Passed</v>
          </cell>
          <cell r="Q968" t="str">
            <v>Q1 Passed</v>
          </cell>
          <cell r="R968" t="str">
            <v>Q1.5 Passed</v>
          </cell>
          <cell r="S968" t="str">
            <v>Q1.5 Passed</v>
          </cell>
          <cell r="V968" t="str">
            <v>Tumor content 40-95%</v>
          </cell>
          <cell r="W968" t="str">
            <v>Private Hospital</v>
          </cell>
          <cell r="X968" t="str">
            <v>Vydehi Hospital, Bangalore</v>
          </cell>
          <cell r="Y968" t="str">
            <v>Vydehi Hospital, Bangalore</v>
          </cell>
          <cell r="Z968" t="str">
            <v>Dr Amritha Prabha, Bangalore</v>
          </cell>
          <cell r="AA968" t="str">
            <v>HNSCC</v>
          </cell>
          <cell r="AC968" t="str">
            <v>Buccal Mucosa</v>
          </cell>
          <cell r="AD968" t="str">
            <v>Right Buccal Mucosa</v>
          </cell>
          <cell r="AE968" t="str">
            <v>Female</v>
          </cell>
          <cell r="AF968">
            <v>48</v>
          </cell>
          <cell r="AG968" t="str">
            <v>N</v>
          </cell>
          <cell r="AH968">
            <v>3.2</v>
          </cell>
          <cell r="AI968" t="str">
            <v>Kalappa</v>
          </cell>
          <cell r="AJ968" t="str">
            <v>Surgery</v>
          </cell>
          <cell r="AK968" t="str">
            <v>Primary</v>
          </cell>
          <cell r="AN968" t="str">
            <v>IVa</v>
          </cell>
          <cell r="AO968">
            <v>2</v>
          </cell>
          <cell r="AP968" t="str">
            <v>T4aN2a</v>
          </cell>
          <cell r="AS968" t="str">
            <v>SCC</v>
          </cell>
          <cell r="AT968" t="str">
            <v>CTRT</v>
          </cell>
          <cell r="AU968" t="str">
            <v>Cisplatin</v>
          </cell>
          <cell r="AV968">
            <v>45383</v>
          </cell>
          <cell r="AW968">
            <v>0.62152777777777779</v>
          </cell>
          <cell r="AX968">
            <v>0.7416666666666667</v>
          </cell>
          <cell r="AY968">
            <v>0.12013888888888889</v>
          </cell>
          <cell r="AZ968">
            <v>0.68125000000000002</v>
          </cell>
          <cell r="BA968">
            <v>0.20208333333333334</v>
          </cell>
          <cell r="BB968" t="str">
            <v>0.8/0.6*1.6*1.8</v>
          </cell>
          <cell r="BD968" t="str">
            <v>Manual+Vibratome</v>
          </cell>
          <cell r="BE968">
            <v>14</v>
          </cell>
          <cell r="BF968" t="str">
            <v>Syam</v>
          </cell>
          <cell r="BG968" t="str">
            <v>Y</v>
          </cell>
        </row>
        <row r="969">
          <cell r="A969" t="str">
            <v>FBR2F240121</v>
          </cell>
          <cell r="B969">
            <v>240121</v>
          </cell>
          <cell r="C969" t="str">
            <v>R&amp;D</v>
          </cell>
          <cell r="D969">
            <v>45383</v>
          </cell>
          <cell r="E969">
            <v>0.5395833333333333</v>
          </cell>
          <cell r="F969">
            <v>45383</v>
          </cell>
          <cell r="G969">
            <v>45383</v>
          </cell>
          <cell r="H969">
            <v>0.6</v>
          </cell>
          <cell r="I969">
            <v>6.0416666666666667E-2</v>
          </cell>
          <cell r="J969">
            <v>3</v>
          </cell>
          <cell r="K969" t="str">
            <v>FCB-PROTOCOL-01</v>
          </cell>
          <cell r="L969" t="str">
            <v>VYD/274</v>
          </cell>
          <cell r="M969" t="str">
            <v>Y</v>
          </cell>
          <cell r="N969" t="str">
            <v>ECR (2F)</v>
          </cell>
          <cell r="O969" t="str">
            <v>Internal R&amp;D</v>
          </cell>
          <cell r="P969" t="str">
            <v>Q1 Passed</v>
          </cell>
          <cell r="Q969" t="str">
            <v>Q1 Passed</v>
          </cell>
          <cell r="R969" t="str">
            <v>Q1.5 Passed</v>
          </cell>
          <cell r="S969" t="str">
            <v>Q1.5 Passed</v>
          </cell>
          <cell r="V969" t="str">
            <v>Tumor content 30-95%</v>
          </cell>
          <cell r="W969" t="str">
            <v>Private Hospital</v>
          </cell>
          <cell r="X969" t="str">
            <v>Vydehi Hospital, Bangalore</v>
          </cell>
          <cell r="Y969" t="str">
            <v>Vydehi Hospital, Bangalore</v>
          </cell>
          <cell r="Z969" t="str">
            <v>Dr Amritha Prabha, Bangalore</v>
          </cell>
          <cell r="AA969" t="str">
            <v>HNSCC</v>
          </cell>
          <cell r="AC969" t="str">
            <v>Buccal Mucosa</v>
          </cell>
          <cell r="AD969" t="str">
            <v>Right Buccal Mucosa</v>
          </cell>
          <cell r="AE969" t="str">
            <v>Female</v>
          </cell>
          <cell r="AF969">
            <v>48</v>
          </cell>
          <cell r="AG969" t="str">
            <v>N</v>
          </cell>
          <cell r="AH969">
            <v>3.2</v>
          </cell>
          <cell r="AI969" t="str">
            <v>Kalappa</v>
          </cell>
          <cell r="AJ969" t="str">
            <v>Surgery</v>
          </cell>
          <cell r="AK969" t="str">
            <v>Primary</v>
          </cell>
          <cell r="AN969" t="str">
            <v>IVa</v>
          </cell>
          <cell r="AO969">
            <v>2</v>
          </cell>
          <cell r="AP969" t="str">
            <v>T4aN2a</v>
          </cell>
          <cell r="AS969" t="str">
            <v>SCC</v>
          </cell>
          <cell r="AT969" t="str">
            <v>CTRT</v>
          </cell>
          <cell r="AU969" t="str">
            <v>Cisplatin</v>
          </cell>
          <cell r="AV969">
            <v>45387</v>
          </cell>
          <cell r="AW969">
            <v>0.62152777777777779</v>
          </cell>
          <cell r="AX969">
            <v>0.63888888888888884</v>
          </cell>
          <cell r="AY969">
            <v>1.7361111111111112E-2</v>
          </cell>
          <cell r="AZ969">
            <v>0.57847222222222228</v>
          </cell>
          <cell r="BA969">
            <v>9.930555555555555E-2</v>
          </cell>
          <cell r="BB969" t="str">
            <v>0.8/0.6*1.6*1.8</v>
          </cell>
          <cell r="BD969" t="str">
            <v>Manual+Vibratome</v>
          </cell>
          <cell r="BE969">
            <v>14</v>
          </cell>
          <cell r="BF969" t="str">
            <v>Kokila</v>
          </cell>
          <cell r="BG969" t="str">
            <v>Y</v>
          </cell>
        </row>
        <row r="970">
          <cell r="A970" t="str">
            <v>FBR1Y240122</v>
          </cell>
          <cell r="B970">
            <v>240122</v>
          </cell>
          <cell r="C970" t="str">
            <v>R&amp;D</v>
          </cell>
          <cell r="D970">
            <v>45383</v>
          </cell>
          <cell r="E970">
            <v>0.60069444444444442</v>
          </cell>
          <cell r="F970">
            <v>45383</v>
          </cell>
          <cell r="G970">
            <v>45383</v>
          </cell>
          <cell r="H970">
            <v>0.67361111111111116</v>
          </cell>
          <cell r="I970">
            <v>7.2916666666666671E-2</v>
          </cell>
          <cell r="J970">
            <v>5</v>
          </cell>
          <cell r="K970" t="str">
            <v>FCB-PROTOCOL-01</v>
          </cell>
          <cell r="L970" t="str">
            <v>HN133</v>
          </cell>
          <cell r="M970" t="str">
            <v>Y</v>
          </cell>
          <cell r="N970" t="str">
            <v>CCS Study (1Y)</v>
          </cell>
          <cell r="O970" t="str">
            <v>Internal R&amp;D</v>
          </cell>
          <cell r="P970" t="str">
            <v>Q1 Passed</v>
          </cell>
          <cell r="Q970" t="str">
            <v>Not Received</v>
          </cell>
          <cell r="R970" t="str">
            <v>Compromised</v>
          </cell>
          <cell r="S970" t="str">
            <v>Q1.5 Passed</v>
          </cell>
          <cell r="T970" t="str">
            <v>Blood not collected</v>
          </cell>
          <cell r="V970" t="str">
            <v>Tumor content 80-95%</v>
          </cell>
          <cell r="W970" t="str">
            <v>Private Hospital</v>
          </cell>
          <cell r="X970" t="str">
            <v>Mazumdar Shaw Medical Centre, Bangalore</v>
          </cell>
          <cell r="Y970" t="str">
            <v>Mazumdar Shaw Medical Centre, Bangalore</v>
          </cell>
          <cell r="Z970" t="str">
            <v>Dr Vijay Pillai, Bangalore</v>
          </cell>
          <cell r="AA970" t="str">
            <v>HNSCC</v>
          </cell>
          <cell r="AC970" t="str">
            <v>Buccal Mucosa</v>
          </cell>
          <cell r="AD970" t="str">
            <v>Buccal Mucosa</v>
          </cell>
          <cell r="AE970" t="str">
            <v>Female</v>
          </cell>
          <cell r="AF970">
            <v>55</v>
          </cell>
          <cell r="AG970" t="str">
            <v>N</v>
          </cell>
          <cell r="AH970">
            <v>6.5</v>
          </cell>
          <cell r="AI970" t="str">
            <v>Partha</v>
          </cell>
          <cell r="AJ970" t="str">
            <v>Surgery</v>
          </cell>
          <cell r="AK970" t="str">
            <v>Primary</v>
          </cell>
          <cell r="AN970" t="str">
            <v>II</v>
          </cell>
          <cell r="AO970">
            <v>1</v>
          </cell>
          <cell r="AP970" t="str">
            <v>pT2pN1</v>
          </cell>
          <cell r="AS970" t="str">
            <v>Well differentiated squamous cell carcinoma</v>
          </cell>
          <cell r="AV970">
            <v>45383</v>
          </cell>
          <cell r="AW970">
            <v>0.6875</v>
          </cell>
          <cell r="AX970">
            <v>0.76388888888888884</v>
          </cell>
          <cell r="AY970">
            <v>7.6388888888888895E-2</v>
          </cell>
          <cell r="AZ970">
            <v>0.69097222222222221</v>
          </cell>
          <cell r="BA970">
            <v>0.16319444444444445</v>
          </cell>
          <cell r="BB970" t="str">
            <v>0.6/0.4*`0.4/0.8*1.4</v>
          </cell>
          <cell r="BD970" t="str">
            <v>Manual</v>
          </cell>
          <cell r="BE970">
            <v>14</v>
          </cell>
          <cell r="BF970" t="str">
            <v>chandan</v>
          </cell>
          <cell r="BG970" t="str">
            <v>N</v>
          </cell>
        </row>
        <row r="971">
          <cell r="A971" t="str">
            <v>FBB1L240123</v>
          </cell>
          <cell r="B971">
            <v>240123</v>
          </cell>
          <cell r="C971" t="str">
            <v>Biopharma</v>
          </cell>
          <cell r="D971">
            <v>45384</v>
          </cell>
          <cell r="E971">
            <v>0.53333333333333333</v>
          </cell>
          <cell r="F971">
            <v>45383</v>
          </cell>
          <cell r="G971">
            <v>45384</v>
          </cell>
          <cell r="H971">
            <v>0.57222222222222219</v>
          </cell>
          <cell r="I971">
            <v>3.888888888888889E-2</v>
          </cell>
          <cell r="J971">
            <v>1</v>
          </cell>
          <cell r="K971" t="str">
            <v>FCB-PROTOCOL-01</v>
          </cell>
          <cell r="L971" t="str">
            <v>CLN/PRA/259</v>
          </cell>
          <cell r="M971" t="str">
            <v>Y</v>
          </cell>
          <cell r="N971" t="str">
            <v>BP010 (1L)</v>
          </cell>
          <cell r="O971" t="str">
            <v>Biopharma</v>
          </cell>
          <cell r="P971" t="str">
            <v>Q1 Passed</v>
          </cell>
          <cell r="Q971" t="str">
            <v>Q1 Passed</v>
          </cell>
          <cell r="R971" t="str">
            <v>Q1.5 Passed</v>
          </cell>
          <cell r="S971" t="str">
            <v>Q1.5 Passed</v>
          </cell>
          <cell r="V971" t="str">
            <v>Tumor content 60-90%</v>
          </cell>
          <cell r="W971" t="str">
            <v>Private Hospital</v>
          </cell>
          <cell r="X971" t="str">
            <v>Dr Prakash BV, Bangalore</v>
          </cell>
          <cell r="Y971" t="str">
            <v>Abhaya Hospital</v>
          </cell>
          <cell r="Z971" t="str">
            <v>Dr Prakash BV, Bangalore</v>
          </cell>
          <cell r="AA971" t="str">
            <v>RCC</v>
          </cell>
          <cell r="AC971" t="str">
            <v>Renal Mass</v>
          </cell>
          <cell r="AD971" t="str">
            <v>Left Renal Mass</v>
          </cell>
          <cell r="AE971" t="str">
            <v>Female</v>
          </cell>
          <cell r="AF971">
            <v>52</v>
          </cell>
          <cell r="AG971" t="str">
            <v>N</v>
          </cell>
          <cell r="AH971">
            <v>3.6</v>
          </cell>
          <cell r="AI971" t="str">
            <v>Kalappa</v>
          </cell>
          <cell r="AJ971" t="str">
            <v>Surgery</v>
          </cell>
          <cell r="AK971" t="str">
            <v>Primary</v>
          </cell>
          <cell r="AN971" t="str">
            <v>III</v>
          </cell>
          <cell r="AO971">
            <v>1</v>
          </cell>
          <cell r="AP971" t="str">
            <v>pT3N0</v>
          </cell>
          <cell r="AV971">
            <v>45384</v>
          </cell>
          <cell r="AW971">
            <v>0.59236111111111112</v>
          </cell>
          <cell r="AX971">
            <v>0.65902777777777777</v>
          </cell>
          <cell r="AY971">
            <v>6.6666666666666666E-2</v>
          </cell>
          <cell r="AZ971">
            <v>0.62013888888888891</v>
          </cell>
          <cell r="BA971">
            <v>0.12569444444444444</v>
          </cell>
          <cell r="BB971" t="str">
            <v>0.2/0.4*1.8/2.0*2.6</v>
          </cell>
          <cell r="BD971" t="str">
            <v>Manual</v>
          </cell>
          <cell r="BE971">
            <v>14</v>
          </cell>
          <cell r="BF971" t="str">
            <v>Dharani</v>
          </cell>
          <cell r="BG971" t="str">
            <v>Y</v>
          </cell>
        </row>
        <row r="972">
          <cell r="A972" t="str">
            <v>FBR1W240124</v>
          </cell>
          <cell r="B972">
            <v>240124</v>
          </cell>
          <cell r="C972" t="str">
            <v>R&amp;D</v>
          </cell>
          <cell r="D972">
            <v>45384</v>
          </cell>
          <cell r="E972">
            <v>0.65277777777777779</v>
          </cell>
          <cell r="F972">
            <v>45383</v>
          </cell>
          <cell r="G972">
            <v>45384</v>
          </cell>
          <cell r="H972">
            <v>0.72361111111111109</v>
          </cell>
          <cell r="I972">
            <v>7.0833333333333331E-2</v>
          </cell>
          <cell r="J972">
            <v>0</v>
          </cell>
          <cell r="K972" t="str">
            <v>FCB-PROTOCOL-02</v>
          </cell>
          <cell r="L972" t="str">
            <v>BCO37</v>
          </cell>
          <cell r="M972" t="str">
            <v>Y</v>
          </cell>
          <cell r="N972" t="str">
            <v>Biopsy Cabr-BSS (1W)</v>
          </cell>
          <cell r="O972" t="str">
            <v>Internal R&amp;D</v>
          </cell>
          <cell r="P972" t="str">
            <v>Q1 Passed</v>
          </cell>
          <cell r="Q972" t="str">
            <v>Q1 Passed</v>
          </cell>
          <cell r="R972" t="str">
            <v>Q1.5 Passed</v>
          </cell>
          <cell r="S972" t="str">
            <v>Q1.5 Passed</v>
          </cell>
          <cell r="V972" t="str">
            <v>Tumor content 2-25%</v>
          </cell>
          <cell r="W972" t="str">
            <v>Private Hospital</v>
          </cell>
          <cell r="X972" t="str">
            <v>Mazumdar Shaw Medical Centre, Bangalore</v>
          </cell>
          <cell r="Y972" t="str">
            <v>Mazumdar Shaw Medical Centre, Bangalore</v>
          </cell>
          <cell r="Z972" t="str">
            <v>Dr Akshita Singh</v>
          </cell>
          <cell r="AA972" t="str">
            <v>Ca Breast</v>
          </cell>
          <cell r="AC972" t="str">
            <v>Breast</v>
          </cell>
          <cell r="AD972" t="str">
            <v>Left Breast</v>
          </cell>
          <cell r="AE972" t="str">
            <v>Female</v>
          </cell>
          <cell r="AF972">
            <v>41</v>
          </cell>
          <cell r="AG972" t="str">
            <v>N</v>
          </cell>
          <cell r="AH972">
            <v>4.7</v>
          </cell>
          <cell r="AI972" t="str">
            <v>Shashi</v>
          </cell>
          <cell r="AJ972" t="str">
            <v>Biopsy</v>
          </cell>
          <cell r="AK972" t="str">
            <v>Primary</v>
          </cell>
          <cell r="AV972">
            <v>45384</v>
          </cell>
          <cell r="AW972">
            <v>0.74722222222222223</v>
          </cell>
          <cell r="AX972">
            <v>0.78472222222222221</v>
          </cell>
          <cell r="AY972">
            <v>3.7499999999999999E-2</v>
          </cell>
          <cell r="AZ972">
            <v>0.71388888888888891</v>
          </cell>
          <cell r="BA972">
            <v>0.13194444444444445</v>
          </cell>
          <cell r="BB972" t="str">
            <v>9Cores
3mm to 16mm</v>
          </cell>
          <cell r="BD972" t="str">
            <v>Manual</v>
          </cell>
          <cell r="BE972">
            <v>14</v>
          </cell>
          <cell r="BF972" t="str">
            <v>Mouniss</v>
          </cell>
          <cell r="BG972" t="str">
            <v>Y</v>
          </cell>
        </row>
        <row r="973">
          <cell r="A973" t="str">
            <v>FBR1Y240125</v>
          </cell>
          <cell r="B973">
            <v>240125</v>
          </cell>
          <cell r="C973" t="str">
            <v>R&amp;D</v>
          </cell>
          <cell r="D973">
            <v>45384</v>
          </cell>
          <cell r="E973">
            <v>0.47569444444444442</v>
          </cell>
          <cell r="F973">
            <v>45383</v>
          </cell>
          <cell r="G973">
            <v>45384</v>
          </cell>
          <cell r="H973">
            <v>0.84861111111111109</v>
          </cell>
          <cell r="I973">
            <v>0.37291666666666667</v>
          </cell>
          <cell r="J973">
            <v>20</v>
          </cell>
          <cell r="K973" t="str">
            <v>FCB-PROTOCOL-01</v>
          </cell>
          <cell r="L973" t="str">
            <v>CLN/DBR/180</v>
          </cell>
          <cell r="M973" t="str">
            <v>Y</v>
          </cell>
          <cell r="N973" t="str">
            <v>CCS Study (1Y)</v>
          </cell>
          <cell r="O973" t="str">
            <v>Internal R&amp;D</v>
          </cell>
          <cell r="P973" t="str">
            <v>Q1 Passed</v>
          </cell>
          <cell r="Q973" t="str">
            <v>Q1 Passed</v>
          </cell>
          <cell r="R973" t="str">
            <v>Q1.5 Passed</v>
          </cell>
          <cell r="S973" t="str">
            <v>Q1.5 Passed</v>
          </cell>
          <cell r="V973" t="str">
            <v>Tumor content 0-90%</v>
          </cell>
          <cell r="W973" t="str">
            <v>Private Hospital</v>
          </cell>
          <cell r="X973" t="str">
            <v>Clinic'les- DBR &amp; SK Hospital, Tirupati</v>
          </cell>
          <cell r="Y973" t="str">
            <v>DBR &amp; SK Hospital, Tirupati</v>
          </cell>
          <cell r="Z973" t="str">
            <v>Dr C Jayaprakash, Tirupati</v>
          </cell>
          <cell r="AA973" t="str">
            <v>HNSCC</v>
          </cell>
          <cell r="AC973" t="str">
            <v>Buccal Mucosa</v>
          </cell>
          <cell r="AD973" t="str">
            <v>Left Buccal Mucosa</v>
          </cell>
          <cell r="AE973" t="str">
            <v>Female</v>
          </cell>
          <cell r="AF973">
            <v>61</v>
          </cell>
          <cell r="AG973" t="str">
            <v>N</v>
          </cell>
          <cell r="AH973">
            <v>7.5</v>
          </cell>
          <cell r="AI973" t="str">
            <v>Maruthi</v>
          </cell>
          <cell r="AJ973" t="str">
            <v>Surgery</v>
          </cell>
          <cell r="AK973" t="str">
            <v>Primary</v>
          </cell>
          <cell r="AN973" t="str">
            <v>III</v>
          </cell>
          <cell r="AP973" t="str">
            <v>T3 N0 MX</v>
          </cell>
          <cell r="AV973">
            <v>45384</v>
          </cell>
          <cell r="AW973">
            <v>0.87430555555555556</v>
          </cell>
          <cell r="AX973">
            <v>0.95833333333333337</v>
          </cell>
          <cell r="AY973">
            <v>8.4027777777777785E-2</v>
          </cell>
          <cell r="AZ973">
            <v>0.5854166666666667</v>
          </cell>
          <cell r="BA973">
            <v>0.4826388888888889</v>
          </cell>
          <cell r="BB973" t="str">
            <v>0.8/0.4*0.8/0.6*2.0</v>
          </cell>
          <cell r="BD973" t="str">
            <v>Manual+Vibratome</v>
          </cell>
          <cell r="BE973">
            <v>14</v>
          </cell>
          <cell r="BF973" t="str">
            <v>chandan</v>
          </cell>
          <cell r="BG973" t="str">
            <v>Y</v>
          </cell>
        </row>
        <row r="974">
          <cell r="A974" t="str">
            <v>FBR2F240125</v>
          </cell>
          <cell r="B974">
            <v>240125</v>
          </cell>
          <cell r="C974" t="str">
            <v>R&amp;D</v>
          </cell>
          <cell r="D974">
            <v>45384</v>
          </cell>
          <cell r="E974">
            <v>0.47569444444444442</v>
          </cell>
          <cell r="F974">
            <v>45383</v>
          </cell>
          <cell r="G974">
            <v>45384</v>
          </cell>
          <cell r="H974">
            <v>0.84861111111111109</v>
          </cell>
          <cell r="I974">
            <v>0.37291666666666667</v>
          </cell>
          <cell r="J974">
            <v>20</v>
          </cell>
          <cell r="K974" t="str">
            <v>FCB-PROTOCOL-01</v>
          </cell>
          <cell r="L974" t="str">
            <v>CLN/DBR/180</v>
          </cell>
          <cell r="M974" t="str">
            <v>Y</v>
          </cell>
          <cell r="N974" t="str">
            <v>ECR (2F)</v>
          </cell>
          <cell r="O974" t="str">
            <v>Internal R&amp;D</v>
          </cell>
          <cell r="P974" t="str">
            <v>Q1 Passed</v>
          </cell>
          <cell r="Q974" t="str">
            <v>Q1 Passed</v>
          </cell>
          <cell r="R974" t="str">
            <v>Q1.5 Passed</v>
          </cell>
          <cell r="S974" t="str">
            <v>Q1.5 Passed</v>
          </cell>
          <cell r="V974" t="str">
            <v>Tumor content 0-98%</v>
          </cell>
          <cell r="W974" t="str">
            <v>Private Hospital</v>
          </cell>
          <cell r="X974" t="str">
            <v>Clinic'les- DBR &amp; SK Hospital, Tirupati</v>
          </cell>
          <cell r="Y974" t="str">
            <v>DBR &amp; SK Hospital, Tirupati</v>
          </cell>
          <cell r="Z974" t="str">
            <v>Dr C Jayaprakash, Tirupati</v>
          </cell>
          <cell r="AA974" t="str">
            <v>HNSCC</v>
          </cell>
          <cell r="AC974" t="str">
            <v>Buccal Mucosa</v>
          </cell>
          <cell r="AD974" t="str">
            <v>Left Buccal Mucosa</v>
          </cell>
          <cell r="AE974" t="str">
            <v>Female</v>
          </cell>
          <cell r="AF974">
            <v>61</v>
          </cell>
          <cell r="AG974" t="str">
            <v>N</v>
          </cell>
          <cell r="AH974">
            <v>7.5</v>
          </cell>
          <cell r="AI974" t="str">
            <v>Maruthi</v>
          </cell>
          <cell r="AJ974" t="str">
            <v>Surgery</v>
          </cell>
          <cell r="AK974" t="str">
            <v>Primary</v>
          </cell>
          <cell r="AN974" t="str">
            <v>III</v>
          </cell>
          <cell r="AP974" t="str">
            <v>T3 N0 MX</v>
          </cell>
          <cell r="AV974">
            <v>45388</v>
          </cell>
          <cell r="AW974">
            <v>0.87430555555555556</v>
          </cell>
          <cell r="AX974">
            <v>0.65416666666666667</v>
          </cell>
          <cell r="AY974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974">
            <v>0.28125</v>
          </cell>
          <cell r="BA974">
            <v>0.17847222222222223</v>
          </cell>
          <cell r="BB974" t="str">
            <v>0.8/0.4*0.8/0.6*2.0</v>
          </cell>
          <cell r="BD974" t="str">
            <v>Manual+Vibratome</v>
          </cell>
          <cell r="BE974">
            <v>14</v>
          </cell>
          <cell r="BF974" t="str">
            <v>chandan</v>
          </cell>
          <cell r="BG974" t="str">
            <v>Y</v>
          </cell>
        </row>
        <row r="975">
          <cell r="A975" t="str">
            <v>FBR1Y240126</v>
          </cell>
          <cell r="B975">
            <v>240126</v>
          </cell>
          <cell r="C975" t="str">
            <v>R&amp;D</v>
          </cell>
          <cell r="D975">
            <v>45385</v>
          </cell>
          <cell r="E975">
            <v>0.59097222222222223</v>
          </cell>
          <cell r="F975">
            <v>45383</v>
          </cell>
          <cell r="G975">
            <v>45385</v>
          </cell>
          <cell r="H975">
            <v>0.66597222222222219</v>
          </cell>
          <cell r="I975">
            <v>7.4999999999999997E-2</v>
          </cell>
          <cell r="J975">
            <v>4</v>
          </cell>
          <cell r="K975" t="str">
            <v>FCB-PROTOCOL-01</v>
          </cell>
          <cell r="L975" t="str">
            <v>VYD/275</v>
          </cell>
          <cell r="M975" t="str">
            <v>Y</v>
          </cell>
          <cell r="N975" t="str">
            <v>CCS Study (1Y)</v>
          </cell>
          <cell r="O975" t="str">
            <v>Internal R&amp;D</v>
          </cell>
          <cell r="P975" t="str">
            <v>Q1 Passed</v>
          </cell>
          <cell r="Q975" t="str">
            <v>Q1 Passed</v>
          </cell>
          <cell r="R975" t="str">
            <v>Q1.5 Passed</v>
          </cell>
          <cell r="S975" t="str">
            <v>Q1.5 Passed</v>
          </cell>
          <cell r="V975" t="str">
            <v>Tumor content 0-45%. Average 25%</v>
          </cell>
          <cell r="W975" t="str">
            <v>Private Hospital</v>
          </cell>
          <cell r="X975" t="str">
            <v>Vydehi Hospital, Bangalore</v>
          </cell>
          <cell r="Y975" t="str">
            <v>Vydehi Hospital, Bangalore</v>
          </cell>
          <cell r="Z975" t="str">
            <v>Dr Amritha Prabha, Bangalore</v>
          </cell>
          <cell r="AA975" t="str">
            <v>HNSCC</v>
          </cell>
          <cell r="AC975" t="str">
            <v>Buccal Mucosa</v>
          </cell>
          <cell r="AD975" t="str">
            <v>Right Buccal Mucosa</v>
          </cell>
          <cell r="AE975" t="str">
            <v>Female</v>
          </cell>
          <cell r="AF975">
            <v>48</v>
          </cell>
          <cell r="AG975" t="str">
            <v>N</v>
          </cell>
          <cell r="AH975">
            <v>5.0999999999999996</v>
          </cell>
          <cell r="AI975" t="str">
            <v>Shashi</v>
          </cell>
          <cell r="AJ975" t="str">
            <v>Surgery</v>
          </cell>
          <cell r="AK975" t="str">
            <v>Primary</v>
          </cell>
          <cell r="AN975" t="str">
            <v>IVa</v>
          </cell>
          <cell r="AO975">
            <v>2</v>
          </cell>
          <cell r="AP975" t="str">
            <v>T4aN0</v>
          </cell>
          <cell r="AS975" t="str">
            <v>SCC</v>
          </cell>
          <cell r="AT975" t="str">
            <v>RT</v>
          </cell>
          <cell r="AV975">
            <v>45385</v>
          </cell>
          <cell r="AW975">
            <v>0.6791666666666667</v>
          </cell>
          <cell r="AX975">
            <v>0.7416666666666667</v>
          </cell>
          <cell r="AY975">
            <v>6.25E-2</v>
          </cell>
          <cell r="AZ975">
            <v>0.66666666666666663</v>
          </cell>
          <cell r="BA975">
            <v>0.15069444444444444</v>
          </cell>
          <cell r="BB975" t="str">
            <v>0.6/0.8*0.6*1.0</v>
          </cell>
          <cell r="BD975" t="str">
            <v>Manual</v>
          </cell>
          <cell r="BE975">
            <v>14</v>
          </cell>
          <cell r="BF975" t="str">
            <v>Abdul</v>
          </cell>
          <cell r="BG975" t="str">
            <v>N</v>
          </cell>
        </row>
        <row r="976">
          <cell r="A976">
            <v>240127</v>
          </cell>
          <cell r="B976">
            <v>240127</v>
          </cell>
          <cell r="C976" t="str">
            <v>R&amp;D</v>
          </cell>
          <cell r="D976">
            <v>45385</v>
          </cell>
          <cell r="E976">
            <v>0.52083333333333337</v>
          </cell>
          <cell r="F976">
            <v>45383</v>
          </cell>
          <cell r="G976">
            <v>45385</v>
          </cell>
          <cell r="H976">
            <v>0.70277777777777772</v>
          </cell>
          <cell r="I976">
            <v>0.18194444444444444</v>
          </cell>
          <cell r="J976">
            <v>11</v>
          </cell>
          <cell r="K976" t="str">
            <v>FCB-PROTOCOL-01</v>
          </cell>
          <cell r="L976" t="str">
            <v>HN134</v>
          </cell>
          <cell r="M976" t="str">
            <v>Y</v>
          </cell>
          <cell r="N976" t="str">
            <v>No Study</v>
          </cell>
          <cell r="O976" t="str">
            <v>1st level attrition</v>
          </cell>
          <cell r="P976" t="str">
            <v>Q1 Rejected</v>
          </cell>
          <cell r="Q976" t="str">
            <v>Q1 Passed</v>
          </cell>
          <cell r="R976" t="str">
            <v>Q1.5 Rejected</v>
          </cell>
          <cell r="S976" t="str">
            <v>Q1.5 Rejected</v>
          </cell>
          <cell r="T976" t="str">
            <v>Due to very small size tissue</v>
          </cell>
          <cell r="W976" t="str">
            <v>Private Hospital</v>
          </cell>
          <cell r="X976" t="str">
            <v>Mazumdar Shaw Medical Centre, Bangalore</v>
          </cell>
          <cell r="Y976" t="str">
            <v>Mazumdar Shaw Medical Centre, Bangalore</v>
          </cell>
          <cell r="Z976" t="str">
            <v>Dr Vijay Pillai, Bangalore</v>
          </cell>
          <cell r="AA976" t="str">
            <v>HNSCC</v>
          </cell>
          <cell r="AC976" t="str">
            <v>Alveolus</v>
          </cell>
          <cell r="AD976" t="str">
            <v>Lower Alveolus</v>
          </cell>
          <cell r="AE976" t="str">
            <v>Female</v>
          </cell>
          <cell r="AF976">
            <v>64</v>
          </cell>
          <cell r="AG976" t="str">
            <v>N</v>
          </cell>
          <cell r="AH976">
            <v>5.2</v>
          </cell>
          <cell r="AI976" t="str">
            <v>Maruthi</v>
          </cell>
          <cell r="AJ976" t="str">
            <v>Surgery</v>
          </cell>
          <cell r="AK976" t="str">
            <v>Primary</v>
          </cell>
          <cell r="AV976">
            <v>45385</v>
          </cell>
          <cell r="AW976">
            <v>0.71527777777777779</v>
          </cell>
          <cell r="BB976" t="str">
            <v>0.2/0.4*0.4*0.8</v>
          </cell>
          <cell r="BD976" t="str">
            <v>Manual</v>
          </cell>
          <cell r="BE976">
            <v>14</v>
          </cell>
          <cell r="BF976" t="str">
            <v>Dharani</v>
          </cell>
          <cell r="BG976" t="str">
            <v>N</v>
          </cell>
        </row>
        <row r="977">
          <cell r="A977">
            <v>240128</v>
          </cell>
          <cell r="B977">
            <v>240128</v>
          </cell>
          <cell r="C977" t="str">
            <v>R&amp;D</v>
          </cell>
          <cell r="D977">
            <v>45387</v>
          </cell>
          <cell r="E977">
            <v>0.5625</v>
          </cell>
          <cell r="F977">
            <v>45383</v>
          </cell>
          <cell r="G977">
            <v>45387</v>
          </cell>
          <cell r="H977">
            <v>0.6479166666666667</v>
          </cell>
          <cell r="I977">
            <v>8.5416666666666669E-2</v>
          </cell>
          <cell r="J977">
            <v>11</v>
          </cell>
          <cell r="K977" t="str">
            <v>FCB-PROTOCOL-01</v>
          </cell>
          <cell r="L977" t="str">
            <v>HN135</v>
          </cell>
          <cell r="M977" t="str">
            <v>Y</v>
          </cell>
          <cell r="N977" t="str">
            <v>No Study</v>
          </cell>
          <cell r="O977" t="str">
            <v>1st level attrition</v>
          </cell>
          <cell r="P977" t="str">
            <v>Q1 Rejected</v>
          </cell>
          <cell r="Q977" t="str">
            <v>Q1 Passed</v>
          </cell>
          <cell r="R977" t="str">
            <v>Q1.5 Rejected</v>
          </cell>
          <cell r="S977" t="str">
            <v>Q1.5 Rejected</v>
          </cell>
          <cell r="T977" t="str">
            <v>Most of the tissue is necrosed</v>
          </cell>
          <cell r="W977" t="str">
            <v>Private Hospital</v>
          </cell>
          <cell r="X977" t="str">
            <v>Mazumdar Shaw Medical Centre, Bangalore</v>
          </cell>
          <cell r="Y977" t="str">
            <v>Mazumdar Shaw Medical Centre, Bangalore</v>
          </cell>
          <cell r="Z977" t="str">
            <v>Dr Vijay Pillai, Bangalore</v>
          </cell>
          <cell r="AA977" t="str">
            <v>HNSCC</v>
          </cell>
          <cell r="AC977" t="str">
            <v>Alveolus</v>
          </cell>
          <cell r="AD977" t="str">
            <v>Left Lower Alveolus</v>
          </cell>
          <cell r="AE977" t="str">
            <v>Male</v>
          </cell>
          <cell r="AF977">
            <v>48</v>
          </cell>
          <cell r="AG977" t="str">
            <v>N</v>
          </cell>
          <cell r="AH977">
            <v>5.3</v>
          </cell>
          <cell r="AI977" t="str">
            <v>Kalappa</v>
          </cell>
          <cell r="AJ977" t="str">
            <v>Surgery</v>
          </cell>
          <cell r="AK977" t="str">
            <v>Primary</v>
          </cell>
          <cell r="AV977">
            <v>45387</v>
          </cell>
          <cell r="AW977">
            <v>0.66249999999999998</v>
          </cell>
          <cell r="BB977" t="str">
            <v>0.4*0.2*0.6</v>
          </cell>
          <cell r="BC977" t="str">
            <v>0.2*0.2*0.6</v>
          </cell>
          <cell r="BE977">
            <v>14</v>
          </cell>
          <cell r="BF977" t="str">
            <v>Abdul</v>
          </cell>
          <cell r="BG977" t="str">
            <v>N</v>
          </cell>
        </row>
        <row r="978">
          <cell r="A978" t="str">
            <v>FBE2A240129</v>
          </cell>
          <cell r="B978">
            <v>240129</v>
          </cell>
          <cell r="C978" t="str">
            <v>R&amp;D</v>
          </cell>
          <cell r="D978">
            <v>45387</v>
          </cell>
          <cell r="E978">
            <v>0.4375</v>
          </cell>
          <cell r="F978">
            <v>45383</v>
          </cell>
          <cell r="G978">
            <v>45387</v>
          </cell>
          <cell r="H978">
            <v>0.68402777777777779</v>
          </cell>
          <cell r="I978">
            <v>0.24652777777777779</v>
          </cell>
          <cell r="J978">
            <v>45</v>
          </cell>
          <cell r="K978" t="str">
            <v>FCB-PROTOCOL-01</v>
          </cell>
          <cell r="L978" t="str">
            <v>JSS-015</v>
          </cell>
          <cell r="M978" t="str">
            <v>Y</v>
          </cell>
          <cell r="N978" t="str">
            <v>Ovary CC (R2A)</v>
          </cell>
          <cell r="O978" t="str">
            <v>Internal R&amp;D</v>
          </cell>
          <cell r="P978" t="str">
            <v>Q1 Passed</v>
          </cell>
          <cell r="Q978" t="str">
            <v>Q1 Passed</v>
          </cell>
          <cell r="R978" t="str">
            <v>Compromised</v>
          </cell>
          <cell r="S978" t="str">
            <v>Q1.5 Passed</v>
          </cell>
          <cell r="V978" t="str">
            <v>A:Tumor content 0-8%
B:Tumor content 0-28%</v>
          </cell>
          <cell r="W978" t="str">
            <v>Private Hospital</v>
          </cell>
          <cell r="X978" t="str">
            <v>Clinic'les- Dr Ravi Krishnappa, Mysore</v>
          </cell>
          <cell r="Y978" t="str">
            <v>JSS Hospital, Mysore</v>
          </cell>
          <cell r="Z978" t="str">
            <v>Dr Ravi Krishnappa, Mysore</v>
          </cell>
          <cell r="AA978" t="str">
            <v>Ca Ovary</v>
          </cell>
          <cell r="AC978" t="str">
            <v>Ovary</v>
          </cell>
          <cell r="AD978" t="str">
            <v>Pelvis-Between bladder &amp; rectum</v>
          </cell>
          <cell r="AE978" t="str">
            <v>Female</v>
          </cell>
          <cell r="AF978">
            <v>46</v>
          </cell>
          <cell r="AG978" t="str">
            <v>N</v>
          </cell>
          <cell r="AH978">
            <v>5.7</v>
          </cell>
          <cell r="AI978" t="str">
            <v>Shashi</v>
          </cell>
          <cell r="AJ978" t="str">
            <v>Surgery</v>
          </cell>
          <cell r="AK978" t="str">
            <v>Local Recurrent</v>
          </cell>
          <cell r="AL978" t="str">
            <v>Surgery</v>
          </cell>
          <cell r="AV978">
            <v>45387</v>
          </cell>
          <cell r="AW978">
            <v>0.7055555555555556</v>
          </cell>
          <cell r="AX978">
            <v>0.76041666666666663</v>
          </cell>
          <cell r="AY978">
            <v>5.486111111111111E-2</v>
          </cell>
          <cell r="AZ978">
            <v>0.51388888888888884</v>
          </cell>
          <cell r="BA978">
            <v>0.32291666666666669</v>
          </cell>
          <cell r="BB978" t="str">
            <v>0.3*1.4*0.6</v>
          </cell>
          <cell r="BD978" t="str">
            <v>Manual</v>
          </cell>
          <cell r="BE978">
            <v>14</v>
          </cell>
          <cell r="BF978" t="str">
            <v>Dharani</v>
          </cell>
          <cell r="BG978" t="str">
            <v>Y</v>
          </cell>
        </row>
        <row r="979">
          <cell r="A979" t="str">
            <v>FBR1Q240130</v>
          </cell>
          <cell r="B979">
            <v>240130</v>
          </cell>
          <cell r="C979" t="str">
            <v>R&amp;D</v>
          </cell>
          <cell r="D979">
            <v>45387</v>
          </cell>
          <cell r="E979">
            <v>0.70486111111111116</v>
          </cell>
          <cell r="F979">
            <v>45383</v>
          </cell>
          <cell r="G979">
            <v>45388</v>
          </cell>
          <cell r="H979">
            <v>0.32222222222222224</v>
          </cell>
          <cell r="I979">
            <v>0.61736111111111114</v>
          </cell>
          <cell r="J979">
            <v>20</v>
          </cell>
          <cell r="K979" t="str">
            <v>FCB-PROTOCOL-01</v>
          </cell>
          <cell r="L979" t="str">
            <v>CLN/DBR/181</v>
          </cell>
          <cell r="M979" t="str">
            <v>Y</v>
          </cell>
          <cell r="N979" t="str">
            <v>COSv4.2_CaBR(1Q-Unknown)</v>
          </cell>
          <cell r="O979" t="str">
            <v>Internal R&amp;D</v>
          </cell>
          <cell r="P979" t="str">
            <v>Q1 Passed</v>
          </cell>
          <cell r="Q979" t="str">
            <v>Q1 Passed</v>
          </cell>
          <cell r="R979" t="str">
            <v>Q1.5 Passed</v>
          </cell>
          <cell r="S979" t="str">
            <v>Q1.5 Passed</v>
          </cell>
          <cell r="V979" t="str">
            <v>Tumor content 8-80%</v>
          </cell>
          <cell r="W979" t="str">
            <v>Private Hospital</v>
          </cell>
          <cell r="X979" t="str">
            <v>Clinic'les- DBR &amp; SK Hospital, Tirupati</v>
          </cell>
          <cell r="Y979" t="str">
            <v>DBR &amp; SK Hospital, Tirupati</v>
          </cell>
          <cell r="Z979" t="str">
            <v>Dr C Jayaprakash, Tirupati</v>
          </cell>
          <cell r="AA979" t="str">
            <v>Ca Breast</v>
          </cell>
          <cell r="AC979" t="str">
            <v>Breast</v>
          </cell>
          <cell r="AD979" t="str">
            <v>Left Breast</v>
          </cell>
          <cell r="AE979" t="str">
            <v>Female</v>
          </cell>
          <cell r="AF979">
            <v>48</v>
          </cell>
          <cell r="AG979" t="str">
            <v>N</v>
          </cell>
          <cell r="AH979">
            <v>6.5</v>
          </cell>
          <cell r="AI979" t="str">
            <v>Maruthi</v>
          </cell>
          <cell r="AJ979" t="str">
            <v>Surgery</v>
          </cell>
          <cell r="AK979" t="str">
            <v>Primary</v>
          </cell>
          <cell r="AN979" t="str">
            <v>IIB</v>
          </cell>
          <cell r="AO979">
            <v>3</v>
          </cell>
          <cell r="AP979" t="str">
            <v>T2 N1 MX</v>
          </cell>
          <cell r="AV979">
            <v>45388</v>
          </cell>
          <cell r="AW979">
            <v>0.40069444444444446</v>
          </cell>
          <cell r="AX979">
            <v>0.46875</v>
          </cell>
          <cell r="AY979">
            <v>6.805555555555555E-2</v>
          </cell>
          <cell r="AZ979">
            <v>0.85138888888888886</v>
          </cell>
          <cell r="BA979">
            <v>0.76388888888888884</v>
          </cell>
          <cell r="BB979" t="str">
            <v>0.8/1.0*1.2*3.0</v>
          </cell>
          <cell r="BD979" t="str">
            <v>Manual</v>
          </cell>
          <cell r="BE979">
            <v>14</v>
          </cell>
          <cell r="BF979" t="str">
            <v>Kowshik</v>
          </cell>
          <cell r="BG979" t="str">
            <v>Y</v>
          </cell>
        </row>
        <row r="980">
          <cell r="A980" t="str">
            <v>FBR1Y240131</v>
          </cell>
          <cell r="B980">
            <v>240131</v>
          </cell>
          <cell r="C980" t="str">
            <v>R&amp;D</v>
          </cell>
          <cell r="D980">
            <v>45390</v>
          </cell>
          <cell r="E980">
            <v>0.62708333333333333</v>
          </cell>
          <cell r="F980">
            <v>45383</v>
          </cell>
          <cell r="G980">
            <v>45390</v>
          </cell>
          <cell r="H980">
            <v>0.69722222222222219</v>
          </cell>
          <cell r="I980">
            <v>7.013888888888889E-2</v>
          </cell>
          <cell r="J980">
            <v>7</v>
          </cell>
          <cell r="K980" t="str">
            <v>FCB-PROTOCOL-01</v>
          </cell>
          <cell r="L980" t="str">
            <v>HN136</v>
          </cell>
          <cell r="M980" t="str">
            <v>Y</v>
          </cell>
          <cell r="N980" t="str">
            <v>CCS Study (1Y)</v>
          </cell>
          <cell r="O980" t="str">
            <v>Internal R&amp;D</v>
          </cell>
          <cell r="P980" t="str">
            <v>Q1 Passed</v>
          </cell>
          <cell r="Q980" t="str">
            <v>Q1 Passed</v>
          </cell>
          <cell r="R980" t="str">
            <v>Q1.5 Passed</v>
          </cell>
          <cell r="S980" t="str">
            <v>Q1.5 Passed</v>
          </cell>
          <cell r="V980" t="str">
            <v>Tumor content-5-85%</v>
          </cell>
          <cell r="W980" t="str">
            <v>Private Hospital</v>
          </cell>
          <cell r="X980" t="str">
            <v>Mazumdar Shaw Medical Centre, Bangalore</v>
          </cell>
          <cell r="Y980" t="str">
            <v>Mazumdar Shaw Medical Centre, Bangalore</v>
          </cell>
          <cell r="Z980" t="str">
            <v>Dr Vijay Pillai, Bangalore</v>
          </cell>
          <cell r="AA980" t="str">
            <v>HNSCC</v>
          </cell>
          <cell r="AC980" t="str">
            <v>Buccal Mucosa</v>
          </cell>
          <cell r="AD980" t="str">
            <v>Buccal Mucosa</v>
          </cell>
          <cell r="AE980" t="str">
            <v>Female</v>
          </cell>
          <cell r="AF980">
            <v>58</v>
          </cell>
          <cell r="AG980" t="str">
            <v>N</v>
          </cell>
          <cell r="AH980">
            <v>5.6</v>
          </cell>
          <cell r="AI980" t="str">
            <v>Maruthi</v>
          </cell>
          <cell r="AJ980" t="str">
            <v>Surgery</v>
          </cell>
          <cell r="AK980" t="str">
            <v>Primary</v>
          </cell>
          <cell r="AN980" t="str">
            <v>III</v>
          </cell>
          <cell r="AO980">
            <v>2</v>
          </cell>
          <cell r="AP980" t="str">
            <v>pT3pN0</v>
          </cell>
          <cell r="AS980" t="str">
            <v>MDSCC(Moderately Differentiated Squamous cell carcinoma)</v>
          </cell>
          <cell r="AV980">
            <v>45390</v>
          </cell>
          <cell r="AW980">
            <v>0.71805555555555556</v>
          </cell>
          <cell r="AX980">
            <v>0.75972222222222219</v>
          </cell>
          <cell r="AY980">
            <v>4.1666666666666664E-2</v>
          </cell>
          <cell r="AZ980">
            <v>0.68958333333333333</v>
          </cell>
          <cell r="BA980">
            <v>0.13263888888888889</v>
          </cell>
          <cell r="BB980" t="str">
            <v>0.4*0.7/0.3*1.1</v>
          </cell>
          <cell r="BD980" t="str">
            <v>Manual</v>
          </cell>
          <cell r="BE980">
            <v>14</v>
          </cell>
          <cell r="BF980" t="str">
            <v>Kokila</v>
          </cell>
          <cell r="BG980" t="str">
            <v>Y</v>
          </cell>
        </row>
        <row r="981">
          <cell r="A981" t="str">
            <v>FBR1Q240132</v>
          </cell>
          <cell r="B981">
            <v>240132</v>
          </cell>
          <cell r="C981" t="str">
            <v>R&amp;D</v>
          </cell>
          <cell r="D981">
            <v>45390</v>
          </cell>
          <cell r="E981">
            <v>0.62152777777777779</v>
          </cell>
          <cell r="F981">
            <v>45383</v>
          </cell>
          <cell r="G981">
            <v>45390</v>
          </cell>
          <cell r="H981">
            <v>0.76875000000000004</v>
          </cell>
          <cell r="I981">
            <v>0.14722222222222223</v>
          </cell>
          <cell r="J981">
            <v>20</v>
          </cell>
          <cell r="K981" t="str">
            <v>FCB-PROTOCOL-01</v>
          </cell>
          <cell r="L981" t="str">
            <v>CLN/DBR/182</v>
          </cell>
          <cell r="M981" t="str">
            <v>Y</v>
          </cell>
          <cell r="N981" t="str">
            <v>COSv4.2_CaBR(1Q-Unknown)</v>
          </cell>
          <cell r="O981" t="str">
            <v>Internal R&amp;D</v>
          </cell>
          <cell r="P981" t="str">
            <v>Q1 Passed</v>
          </cell>
          <cell r="Q981" t="str">
            <v>Q1 Passed</v>
          </cell>
          <cell r="R981" t="str">
            <v>Q1.5 Passed</v>
          </cell>
          <cell r="S981" t="str">
            <v>Q1.5 Passed</v>
          </cell>
          <cell r="V981" t="str">
            <v>Tumor content 0-7%</v>
          </cell>
          <cell r="W981" t="str">
            <v>Private Hospital</v>
          </cell>
          <cell r="X981" t="str">
            <v>Clinic'les- DBR &amp; SK Hospital, Tirupati</v>
          </cell>
          <cell r="Y981" t="str">
            <v>DBR &amp; SK Hospital, Tirupati</v>
          </cell>
          <cell r="Z981" t="str">
            <v>Dr C Jayaprakash, Tirupati</v>
          </cell>
          <cell r="AA981" t="str">
            <v>Ca Breast</v>
          </cell>
          <cell r="AC981" t="str">
            <v>Breast</v>
          </cell>
          <cell r="AD981" t="str">
            <v>Left Breast</v>
          </cell>
          <cell r="AE981" t="str">
            <v>Female</v>
          </cell>
          <cell r="AF981">
            <v>61</v>
          </cell>
          <cell r="AG981" t="str">
            <v>N</v>
          </cell>
          <cell r="AH981">
            <v>6.2</v>
          </cell>
          <cell r="AI981" t="str">
            <v>Maruthi</v>
          </cell>
          <cell r="AJ981" t="str">
            <v>Surgery</v>
          </cell>
          <cell r="AK981" t="str">
            <v>Primary</v>
          </cell>
          <cell r="AN981" t="str">
            <v>IIA</v>
          </cell>
          <cell r="AO981">
            <v>1</v>
          </cell>
          <cell r="AP981" t="str">
            <v>T3 N1 MX</v>
          </cell>
          <cell r="AV981">
            <v>45391</v>
          </cell>
          <cell r="AW981">
            <v>0.3576388888888889</v>
          </cell>
          <cell r="AX981">
            <v>0.44236111111111109</v>
          </cell>
          <cell r="AY981">
            <v>8.4722222222222227E-2</v>
          </cell>
          <cell r="AZ981">
            <v>0.2951388888888889</v>
          </cell>
          <cell r="BA981">
            <v>0.8208333333333333</v>
          </cell>
          <cell r="BB981" t="str">
            <v>0.6/0.8*1.6/2.1*3.4</v>
          </cell>
          <cell r="BC981" t="str">
            <v>0.6*1.6*3.4</v>
          </cell>
          <cell r="BD981" t="str">
            <v>Manual</v>
          </cell>
          <cell r="BE981">
            <v>14</v>
          </cell>
          <cell r="BF981" t="str">
            <v>chandan</v>
          </cell>
          <cell r="BG981" t="str">
            <v>Y</v>
          </cell>
        </row>
        <row r="982">
          <cell r="A982" t="str">
            <v>FBR1Y240133</v>
          </cell>
          <cell r="B982">
            <v>240133</v>
          </cell>
          <cell r="C982" t="str">
            <v>R&amp;D</v>
          </cell>
          <cell r="D982">
            <v>45392</v>
          </cell>
          <cell r="E982">
            <v>0.4375</v>
          </cell>
          <cell r="F982">
            <v>45383</v>
          </cell>
          <cell r="G982">
            <v>45392</v>
          </cell>
          <cell r="H982">
            <v>0.5229166666666667</v>
          </cell>
          <cell r="I982">
            <v>8.5416666666666669E-2</v>
          </cell>
          <cell r="J982">
            <v>10</v>
          </cell>
          <cell r="K982" t="str">
            <v>FCB-PROTOCOL-01</v>
          </cell>
          <cell r="L982" t="str">
            <v>HN137</v>
          </cell>
          <cell r="M982" t="str">
            <v>Y</v>
          </cell>
          <cell r="N982" t="str">
            <v>CCS Study (1Y)</v>
          </cell>
          <cell r="O982" t="str">
            <v>Internal R&amp;D</v>
          </cell>
          <cell r="P982" t="str">
            <v>Q1 Passed</v>
          </cell>
          <cell r="Q982" t="str">
            <v>Q1 Passed</v>
          </cell>
          <cell r="R982" t="str">
            <v>Compromised</v>
          </cell>
          <cell r="S982" t="str">
            <v>Q1.5 Passed</v>
          </cell>
          <cell r="V982" t="str">
            <v>Tumor content 0-96%</v>
          </cell>
          <cell r="W982" t="str">
            <v>Private Hospital</v>
          </cell>
          <cell r="X982" t="str">
            <v>Mazumdar Shaw Medical Centre, Bangalore</v>
          </cell>
          <cell r="Y982" t="str">
            <v>Mazumdar Shaw Medical Centre, Bangalore</v>
          </cell>
          <cell r="Z982" t="str">
            <v>Dr Vijay Pillai, Bangalore</v>
          </cell>
          <cell r="AA982" t="str">
            <v>HNSCC</v>
          </cell>
          <cell r="AC982" t="str">
            <v>GBS</v>
          </cell>
          <cell r="AD982" t="str">
            <v>Left Lower GBS</v>
          </cell>
          <cell r="AE982" t="str">
            <v>Male</v>
          </cell>
          <cell r="AF982">
            <v>36</v>
          </cell>
          <cell r="AG982" t="str">
            <v>N</v>
          </cell>
          <cell r="AH982">
            <v>4.5</v>
          </cell>
          <cell r="AI982" t="str">
            <v>Shashi</v>
          </cell>
          <cell r="AJ982" t="str">
            <v>Surgery</v>
          </cell>
          <cell r="AK982" t="str">
            <v>Primary</v>
          </cell>
          <cell r="AN982" t="str">
            <v>IV</v>
          </cell>
          <cell r="AO982">
            <v>2</v>
          </cell>
          <cell r="AP982" t="str">
            <v>pT4apN0</v>
          </cell>
          <cell r="AS982" t="str">
            <v>MDSCC(Moderately Differentiated Squamous cell carcinoma)</v>
          </cell>
          <cell r="AV982">
            <v>45392</v>
          </cell>
          <cell r="AW982">
            <v>0.55000000000000004</v>
          </cell>
          <cell r="AX982">
            <v>0.59375</v>
          </cell>
          <cell r="AY982">
            <v>4.3749999999999997E-2</v>
          </cell>
          <cell r="AZ982">
            <v>0.5083333333333333</v>
          </cell>
          <cell r="BA982">
            <v>0.15625</v>
          </cell>
          <cell r="BB982" t="str">
            <v>0.1/0.4*0.6*1.2</v>
          </cell>
          <cell r="BD982" t="str">
            <v>Manual</v>
          </cell>
          <cell r="BE982">
            <v>14</v>
          </cell>
          <cell r="BF982" t="str">
            <v>Dharani</v>
          </cell>
          <cell r="BG982" t="str">
            <v>Y</v>
          </cell>
        </row>
        <row r="983">
          <cell r="A983" t="str">
            <v>FBR1Q240134</v>
          </cell>
          <cell r="B983">
            <v>240134</v>
          </cell>
          <cell r="C983" t="str">
            <v>R&amp;D</v>
          </cell>
          <cell r="D983">
            <v>45393</v>
          </cell>
          <cell r="E983">
            <v>0.47361111111111109</v>
          </cell>
          <cell r="F983">
            <v>45383</v>
          </cell>
          <cell r="G983">
            <v>45393</v>
          </cell>
          <cell r="H983">
            <v>0.59375</v>
          </cell>
          <cell r="I983">
            <v>0.12013888888888889</v>
          </cell>
          <cell r="J983">
            <v>3</v>
          </cell>
          <cell r="K983" t="str">
            <v>FCB-PROTOCOL-01</v>
          </cell>
          <cell r="L983" t="str">
            <v>VYD/276</v>
          </cell>
          <cell r="M983" t="str">
            <v>Y</v>
          </cell>
          <cell r="N983" t="str">
            <v>COSv4.1_CaBR(1Q-Known)</v>
          </cell>
          <cell r="O983" t="str">
            <v>Internal R&amp;D</v>
          </cell>
          <cell r="P983" t="str">
            <v>Q1 Passed</v>
          </cell>
          <cell r="Q983" t="str">
            <v>Q1 Passed</v>
          </cell>
          <cell r="R983" t="str">
            <v>Q1.5 Passed</v>
          </cell>
          <cell r="S983" t="str">
            <v>Q1.5 Passed</v>
          </cell>
          <cell r="V983" t="str">
            <v>Tumor content 5-40%</v>
          </cell>
          <cell r="W983" t="str">
            <v>Private Hospital</v>
          </cell>
          <cell r="X983" t="str">
            <v>Vydehi Hospital, Bangalore</v>
          </cell>
          <cell r="Y983" t="str">
            <v>Vydehi Hospital, Bangalore</v>
          </cell>
          <cell r="Z983" t="str">
            <v>Dr Amritha Prabha, Bangalore</v>
          </cell>
          <cell r="AA983" t="str">
            <v>Ca Breast</v>
          </cell>
          <cell r="AB983" t="str">
            <v>TNBC</v>
          </cell>
          <cell r="AC983" t="str">
            <v>Breast</v>
          </cell>
          <cell r="AD983" t="str">
            <v>Left Breast</v>
          </cell>
          <cell r="AE983" t="str">
            <v>Female</v>
          </cell>
          <cell r="AF983">
            <v>38</v>
          </cell>
          <cell r="AG983" t="str">
            <v>N</v>
          </cell>
          <cell r="AH983">
            <v>5.2</v>
          </cell>
          <cell r="AI983" t="str">
            <v>Kalappa</v>
          </cell>
          <cell r="AJ983" t="str">
            <v>Surgery</v>
          </cell>
          <cell r="AK983" t="str">
            <v>Primary</v>
          </cell>
          <cell r="AL983" t="str">
            <v>Surgery+Chemotherapy</v>
          </cell>
          <cell r="AN983" t="str">
            <v>IIIc</v>
          </cell>
          <cell r="AO983">
            <v>3</v>
          </cell>
          <cell r="AP983" t="str">
            <v>ypT2N3c</v>
          </cell>
          <cell r="AQ983">
            <v>8</v>
          </cell>
          <cell r="AR983" t="str">
            <v>4AC+4Pacli</v>
          </cell>
          <cell r="AS983" t="str">
            <v>IDC</v>
          </cell>
          <cell r="AT983" t="str">
            <v>CTRT</v>
          </cell>
          <cell r="AU983" t="str">
            <v>Capacitabine</v>
          </cell>
          <cell r="AV983">
            <v>45393</v>
          </cell>
          <cell r="AW983">
            <v>0.62013888888888891</v>
          </cell>
          <cell r="AX983">
            <v>0.68402777777777779</v>
          </cell>
          <cell r="AY983">
            <v>6.3888888888888884E-2</v>
          </cell>
          <cell r="AZ983">
            <v>0.56388888888888888</v>
          </cell>
          <cell r="BA983">
            <v>0.21041666666666667</v>
          </cell>
          <cell r="BB983" t="str">
            <v>1.2/0.8*2.2*1.8</v>
          </cell>
          <cell r="BC983" t="str">
            <v>0.8/1.0*1.4*1.8</v>
          </cell>
          <cell r="BD983" t="str">
            <v>Manual</v>
          </cell>
          <cell r="BE983">
            <v>14</v>
          </cell>
          <cell r="BF983" t="str">
            <v>Syam</v>
          </cell>
          <cell r="BG983" t="str">
            <v>Y</v>
          </cell>
        </row>
        <row r="984">
          <cell r="A984" t="str">
            <v>FBR1Y240135</v>
          </cell>
          <cell r="B984">
            <v>240135</v>
          </cell>
          <cell r="C984" t="str">
            <v>R&amp;D</v>
          </cell>
          <cell r="D984">
            <v>45394</v>
          </cell>
          <cell r="E984">
            <v>0.50347222222222221</v>
          </cell>
          <cell r="F984">
            <v>45383</v>
          </cell>
          <cell r="G984">
            <v>45394</v>
          </cell>
          <cell r="H984">
            <v>0.91041666666666665</v>
          </cell>
          <cell r="I984">
            <v>0.40694444444444444</v>
          </cell>
          <cell r="J984">
            <v>15</v>
          </cell>
          <cell r="K984" t="str">
            <v>FCB-PROTOCOL-01</v>
          </cell>
          <cell r="L984" t="str">
            <v>CLN/DBR/183</v>
          </cell>
          <cell r="M984" t="str">
            <v>Y</v>
          </cell>
          <cell r="N984" t="str">
            <v>CCS Study (1Y)</v>
          </cell>
          <cell r="O984" t="str">
            <v>Internal R&amp;D</v>
          </cell>
          <cell r="P984" t="str">
            <v>Q1 Passed</v>
          </cell>
          <cell r="Q984" t="str">
            <v>Q1 Rejected</v>
          </cell>
          <cell r="R984" t="str">
            <v>Compromised</v>
          </cell>
          <cell r="S984" t="str">
            <v>Q1.5 Passed</v>
          </cell>
          <cell r="T984" t="str">
            <v>Blood Heamolysed</v>
          </cell>
          <cell r="V984" t="str">
            <v>Tumor content 70-90%</v>
          </cell>
          <cell r="W984" t="str">
            <v>Private Hospital</v>
          </cell>
          <cell r="X984" t="str">
            <v>Clinic'les- DBR &amp; SK Hospital, Tirupati</v>
          </cell>
          <cell r="Y984" t="str">
            <v>DBR &amp; SK Hospital, Tirupati</v>
          </cell>
          <cell r="Z984" t="str">
            <v>Dr C Jayaprakash, Tirupati</v>
          </cell>
          <cell r="AA984" t="str">
            <v>HNSCC</v>
          </cell>
          <cell r="AC984" t="str">
            <v>Buccal Mucosa</v>
          </cell>
          <cell r="AD984" t="str">
            <v>Right Buccal Mucosa</v>
          </cell>
          <cell r="AE984" t="str">
            <v>Male</v>
          </cell>
          <cell r="AF984">
            <v>45</v>
          </cell>
          <cell r="AG984" t="str">
            <v>N</v>
          </cell>
          <cell r="AH984">
            <v>5.3</v>
          </cell>
          <cell r="AI984" t="str">
            <v>Shashi</v>
          </cell>
          <cell r="AJ984" t="str">
            <v>Surgery</v>
          </cell>
          <cell r="AK984" t="str">
            <v>Primary</v>
          </cell>
          <cell r="AN984" t="str">
            <v>III</v>
          </cell>
          <cell r="AP984" t="str">
            <v>T3 N0 MX</v>
          </cell>
          <cell r="AV984">
            <v>45395</v>
          </cell>
          <cell r="AW984">
            <v>0.33055555555555555</v>
          </cell>
          <cell r="AX984">
            <v>0.37013888888888891</v>
          </cell>
          <cell r="AY984">
            <v>3.9583333333333331E-2</v>
          </cell>
          <cell r="AZ984">
            <v>0.96319444444444446</v>
          </cell>
          <cell r="BA984">
            <v>0.8666666666666667</v>
          </cell>
          <cell r="BB984" t="str">
            <v>0.3/0.2*1.8/1.2*2.2/1.6</v>
          </cell>
          <cell r="BD984" t="str">
            <v>Manual</v>
          </cell>
          <cell r="BE984">
            <v>14</v>
          </cell>
          <cell r="BF984" t="str">
            <v>Kowshik</v>
          </cell>
          <cell r="BG984" t="str">
            <v>N</v>
          </cell>
        </row>
        <row r="985">
          <cell r="A985" t="str">
            <v>FBR1Y240136</v>
          </cell>
          <cell r="B985">
            <v>240136</v>
          </cell>
          <cell r="C985" t="str">
            <v>R&amp;D</v>
          </cell>
          <cell r="D985">
            <v>45397</v>
          </cell>
          <cell r="E985">
            <v>0.47222222222222221</v>
          </cell>
          <cell r="F985">
            <v>45383</v>
          </cell>
          <cell r="G985">
            <v>45397</v>
          </cell>
          <cell r="H985">
            <v>0.51666666666666672</v>
          </cell>
          <cell r="I985">
            <v>4.4444444444444446E-2</v>
          </cell>
          <cell r="J985">
            <v>3</v>
          </cell>
          <cell r="K985" t="str">
            <v>FCB-PROTOCOL-01</v>
          </cell>
          <cell r="L985" t="str">
            <v>HN138</v>
          </cell>
          <cell r="M985" t="str">
            <v>Y</v>
          </cell>
          <cell r="N985" t="str">
            <v>CCS Study (1Y)</v>
          </cell>
          <cell r="O985" t="str">
            <v>Internal R&amp;D</v>
          </cell>
          <cell r="P985" t="str">
            <v>Q1 Passed</v>
          </cell>
          <cell r="Q985" t="str">
            <v>Q1 Passed</v>
          </cell>
          <cell r="R985" t="str">
            <v>Compromised</v>
          </cell>
          <cell r="S985" t="str">
            <v>Q1.5 Passed</v>
          </cell>
          <cell r="V985" t="str">
            <v>Tumor content 40-90%</v>
          </cell>
          <cell r="W985" t="str">
            <v>Private Hospital</v>
          </cell>
          <cell r="X985" t="str">
            <v>Mazumdar Shaw Medical Centre, Bangalore</v>
          </cell>
          <cell r="Y985" t="str">
            <v>Mazumdar Shaw Medical Centre, Bangalore</v>
          </cell>
          <cell r="Z985" t="str">
            <v>Dr Vijay Pillai, Bangalore</v>
          </cell>
          <cell r="AA985" t="str">
            <v>HNSCC</v>
          </cell>
          <cell r="AC985" t="str">
            <v>Buccal Mucosa</v>
          </cell>
          <cell r="AD985" t="str">
            <v>Left Buccal Mucosa</v>
          </cell>
          <cell r="AE985" t="str">
            <v>Male</v>
          </cell>
          <cell r="AF985">
            <v>71</v>
          </cell>
          <cell r="AG985" t="str">
            <v>N</v>
          </cell>
          <cell r="AH985">
            <v>4.8</v>
          </cell>
          <cell r="AI985" t="str">
            <v>Kalappa</v>
          </cell>
          <cell r="AJ985" t="str">
            <v>Surgery</v>
          </cell>
          <cell r="AK985" t="str">
            <v>Primary</v>
          </cell>
          <cell r="AN985" t="str">
            <v>IV</v>
          </cell>
          <cell r="AO985">
            <v>1</v>
          </cell>
          <cell r="AP985" t="str">
            <v>pT4apN0</v>
          </cell>
          <cell r="AS985" t="str">
            <v>Well differentiated squamous cell carcinoma</v>
          </cell>
          <cell r="AV985">
            <v>45397</v>
          </cell>
          <cell r="AW985">
            <v>0.53263888888888888</v>
          </cell>
          <cell r="AX985">
            <v>0.60069444444444442</v>
          </cell>
          <cell r="AY985">
            <v>6.805555555555555E-2</v>
          </cell>
          <cell r="AZ985">
            <v>0.55625000000000002</v>
          </cell>
          <cell r="BA985">
            <v>0.12847222222222221</v>
          </cell>
          <cell r="BB985" t="str">
            <v>0.4*1.1*0.4/0.6</v>
          </cell>
          <cell r="BD985" t="str">
            <v>Manual</v>
          </cell>
          <cell r="BE985">
            <v>14</v>
          </cell>
          <cell r="BF985" t="str">
            <v>Pallavi</v>
          </cell>
          <cell r="BG985" t="str">
            <v>Y</v>
          </cell>
        </row>
        <row r="986">
          <cell r="A986" t="str">
            <v>FBR2A240137</v>
          </cell>
          <cell r="B986">
            <v>240137</v>
          </cell>
          <cell r="C986" t="str">
            <v>R&amp;D</v>
          </cell>
          <cell r="D986">
            <v>45397</v>
          </cell>
          <cell r="E986">
            <v>0.50347222222222221</v>
          </cell>
          <cell r="F986">
            <v>45383</v>
          </cell>
          <cell r="G986">
            <v>45397</v>
          </cell>
          <cell r="H986">
            <v>0.58125000000000004</v>
          </cell>
          <cell r="I986">
            <v>7.7777777777777779E-2</v>
          </cell>
          <cell r="J986">
            <v>2</v>
          </cell>
          <cell r="K986" t="str">
            <v>FCB-PROTOCOL-01</v>
          </cell>
          <cell r="L986" t="str">
            <v>OCO40</v>
          </cell>
          <cell r="M986" t="str">
            <v>Y</v>
          </cell>
          <cell r="N986" t="str">
            <v>Ovary CC (R2A)</v>
          </cell>
          <cell r="O986" t="str">
            <v>Internal R&amp;D</v>
          </cell>
          <cell r="P986" t="str">
            <v>Q1 Passed</v>
          </cell>
          <cell r="Q986" t="str">
            <v>Q1 Passed</v>
          </cell>
          <cell r="R986" t="str">
            <v>Q1.5 Passed</v>
          </cell>
          <cell r="S986" t="str">
            <v>Q1.5 Rejected</v>
          </cell>
          <cell r="T986" t="str">
            <v>Low Tumor Content</v>
          </cell>
          <cell r="V986" t="str">
            <v>Tumor content 0-3%-Low tumor content</v>
          </cell>
          <cell r="W986" t="str">
            <v>Private Hospital</v>
          </cell>
          <cell r="X986" t="str">
            <v>Mazumdar Shaw Medical Centre, Bangalore</v>
          </cell>
          <cell r="Y986" t="str">
            <v>Mazumdar Shaw Medical Centre, Bangalore</v>
          </cell>
          <cell r="Z986" t="str">
            <v>Dr Rohit Ranade, Bangalore</v>
          </cell>
          <cell r="AA986" t="str">
            <v>Ca Ovary</v>
          </cell>
          <cell r="AC986" t="str">
            <v>Ovary</v>
          </cell>
          <cell r="AD986" t="str">
            <v>Ovary</v>
          </cell>
          <cell r="AE986" t="str">
            <v>Female</v>
          </cell>
          <cell r="AF986">
            <v>70</v>
          </cell>
          <cell r="AG986" t="str">
            <v>N</v>
          </cell>
          <cell r="AH986">
            <v>4.9000000000000004</v>
          </cell>
          <cell r="AI986" t="str">
            <v>Shashi</v>
          </cell>
          <cell r="AJ986" t="str">
            <v>Surgery</v>
          </cell>
          <cell r="AK986" t="str">
            <v>Primary</v>
          </cell>
          <cell r="AL986" t="str">
            <v>Chemotherapy</v>
          </cell>
          <cell r="AQ986">
            <v>3</v>
          </cell>
          <cell r="AR986" t="str">
            <v>Cisplatin+paclitaxel</v>
          </cell>
          <cell r="AV986">
            <v>45397</v>
          </cell>
          <cell r="AW986">
            <v>0.59791666666666665</v>
          </cell>
          <cell r="AX986">
            <v>0.64097222222222228</v>
          </cell>
          <cell r="AY986">
            <v>4.3055555555555555E-2</v>
          </cell>
          <cell r="AZ986">
            <v>0.56319444444444444</v>
          </cell>
          <cell r="BA986">
            <v>0.13750000000000001</v>
          </cell>
          <cell r="BB986" t="str">
            <v>0.3*0.6/0.2*1.2</v>
          </cell>
          <cell r="BD986" t="str">
            <v>Manual</v>
          </cell>
          <cell r="BE986">
            <v>14</v>
          </cell>
          <cell r="BF986" t="str">
            <v>Dharani</v>
          </cell>
          <cell r="BG986" t="str">
            <v>Y</v>
          </cell>
        </row>
        <row r="987">
          <cell r="A987" t="str">
            <v>FBR1Y240138</v>
          </cell>
          <cell r="B987">
            <v>240138</v>
          </cell>
          <cell r="C987" t="str">
            <v>R&amp;D</v>
          </cell>
          <cell r="D987">
            <v>45397</v>
          </cell>
          <cell r="E987">
            <v>0.49791666666666667</v>
          </cell>
          <cell r="F987">
            <v>45383</v>
          </cell>
          <cell r="G987">
            <v>45397</v>
          </cell>
          <cell r="H987">
            <v>0.68958333333333333</v>
          </cell>
          <cell r="I987">
            <v>0.19166666666666668</v>
          </cell>
          <cell r="J987">
            <v>2</v>
          </cell>
          <cell r="K987" t="str">
            <v>FCB-PROTOCOL-01</v>
          </cell>
          <cell r="L987" t="str">
            <v>VYD/277</v>
          </cell>
          <cell r="M987" t="str">
            <v>Y</v>
          </cell>
          <cell r="N987" t="str">
            <v>CCS Study (1Y)</v>
          </cell>
          <cell r="O987" t="str">
            <v>Internal R&amp;D</v>
          </cell>
          <cell r="P987" t="str">
            <v>Q1 Passed</v>
          </cell>
          <cell r="Q987" t="str">
            <v>Q1 Passed</v>
          </cell>
          <cell r="R987" t="str">
            <v>Q1.5 Passed</v>
          </cell>
          <cell r="S987" t="str">
            <v>Q1.5 Passed</v>
          </cell>
          <cell r="V987" t="str">
            <v>Tumor content 0-70%</v>
          </cell>
          <cell r="W987" t="str">
            <v>Private Hospital</v>
          </cell>
          <cell r="X987" t="str">
            <v>Vydehi Hospital, Bangalore</v>
          </cell>
          <cell r="Y987" t="str">
            <v>Vydehi Hospital, Bangalore</v>
          </cell>
          <cell r="Z987" t="str">
            <v>Dr Amritha Prabha, Bangalore</v>
          </cell>
          <cell r="AA987" t="str">
            <v>HNSCC</v>
          </cell>
          <cell r="AC987" t="str">
            <v>Tongue</v>
          </cell>
          <cell r="AD987" t="str">
            <v>Right Lateral Border of Tongue</v>
          </cell>
          <cell r="AE987" t="str">
            <v>Male</v>
          </cell>
          <cell r="AF987">
            <v>51</v>
          </cell>
          <cell r="AG987" t="str">
            <v>N</v>
          </cell>
          <cell r="AH987">
            <v>5.6</v>
          </cell>
          <cell r="AI987" t="str">
            <v>Kalappa</v>
          </cell>
          <cell r="AJ987" t="str">
            <v>Surgery</v>
          </cell>
          <cell r="AK987" t="str">
            <v>Primary</v>
          </cell>
          <cell r="AN987" t="str">
            <v>II</v>
          </cell>
          <cell r="AO987">
            <v>2</v>
          </cell>
          <cell r="AP987" t="str">
            <v>T2N0</v>
          </cell>
          <cell r="AS987" t="str">
            <v>SCC</v>
          </cell>
          <cell r="AT987" t="str">
            <v>RT</v>
          </cell>
          <cell r="AV987">
            <v>45397</v>
          </cell>
          <cell r="AW987">
            <v>0.7</v>
          </cell>
          <cell r="AX987">
            <v>0.79722222222222228</v>
          </cell>
          <cell r="AY987">
            <v>9.7222222222222224E-2</v>
          </cell>
          <cell r="AZ987">
            <v>0.60555555555555551</v>
          </cell>
          <cell r="BA987">
            <v>0.29930555555555555</v>
          </cell>
          <cell r="BB987" t="str">
            <v>0.6/1.0*1.3*1.8</v>
          </cell>
          <cell r="BD987" t="str">
            <v>Manual+Vibratome</v>
          </cell>
          <cell r="BE987">
            <v>14</v>
          </cell>
          <cell r="BF987" t="str">
            <v>chandan</v>
          </cell>
          <cell r="BG987" t="str">
            <v>Y</v>
          </cell>
        </row>
        <row r="988">
          <cell r="A988" t="str">
            <v>FBR1Q240139</v>
          </cell>
          <cell r="B988">
            <v>240139</v>
          </cell>
          <cell r="C988" t="str">
            <v>R&amp;D</v>
          </cell>
          <cell r="D988">
            <v>45398</v>
          </cell>
          <cell r="E988">
            <v>0.52777777777777779</v>
          </cell>
          <cell r="F988">
            <v>45383</v>
          </cell>
          <cell r="G988">
            <v>45399</v>
          </cell>
          <cell r="H988">
            <v>0.32847222222222222</v>
          </cell>
          <cell r="I988">
            <v>0.80069444444444449</v>
          </cell>
          <cell r="J988">
            <v>30</v>
          </cell>
          <cell r="K988" t="str">
            <v>FCB-PROTOCOL-01</v>
          </cell>
          <cell r="L988" t="str">
            <v>CLN/DBR/184</v>
          </cell>
          <cell r="M988" t="str">
            <v>Y</v>
          </cell>
          <cell r="N988" t="str">
            <v>COSv4.2_CaBR(1Q-Unknown)</v>
          </cell>
          <cell r="O988" t="str">
            <v>Internal R&amp;D</v>
          </cell>
          <cell r="P988" t="str">
            <v>Q1 Passed</v>
          </cell>
          <cell r="Q988" t="str">
            <v>Q1 Passed</v>
          </cell>
          <cell r="R988" t="str">
            <v>Q1.5 Passed</v>
          </cell>
          <cell r="S988" t="str">
            <v>Q1.5 Passed</v>
          </cell>
          <cell r="V988" t="str">
            <v>Tumor content 5-65%</v>
          </cell>
          <cell r="W988" t="str">
            <v>Private Hospital</v>
          </cell>
          <cell r="X988" t="str">
            <v>Clinic'les- DBR &amp; SK Hospital, Tirupati</v>
          </cell>
          <cell r="Y988" t="str">
            <v>DBR &amp; SK Hospital, Tirupati</v>
          </cell>
          <cell r="Z988" t="str">
            <v>Dr C Jayaprakash, Tirupati</v>
          </cell>
          <cell r="AA988" t="str">
            <v>Ca Breast</v>
          </cell>
          <cell r="AC988" t="str">
            <v>Breast</v>
          </cell>
          <cell r="AD988" t="str">
            <v>Left Breast</v>
          </cell>
          <cell r="AE988" t="str">
            <v>Female</v>
          </cell>
          <cell r="AF988">
            <v>60</v>
          </cell>
          <cell r="AG988" t="str">
            <v>N</v>
          </cell>
          <cell r="AH988">
            <v>6.8</v>
          </cell>
          <cell r="AI988" t="str">
            <v>Maruthi</v>
          </cell>
          <cell r="AJ988" t="str">
            <v>Surgery</v>
          </cell>
          <cell r="AK988" t="str">
            <v>Primary</v>
          </cell>
          <cell r="AN988" t="str">
            <v>IIIA</v>
          </cell>
          <cell r="AO988">
            <v>2</v>
          </cell>
          <cell r="AP988" t="str">
            <v>T3 N2 MX</v>
          </cell>
          <cell r="AV988">
            <v>45399</v>
          </cell>
          <cell r="AW988">
            <v>0.34722222222222221</v>
          </cell>
          <cell r="AX988">
            <v>0.40486111111111112</v>
          </cell>
          <cell r="AY988">
            <v>5.7638888888888892E-2</v>
          </cell>
          <cell r="AZ988">
            <v>0.60416666666666663</v>
          </cell>
          <cell r="BA988">
            <v>0.87708333333333333</v>
          </cell>
          <cell r="BB988" t="str">
            <v>1.4*2.2*3.2</v>
          </cell>
          <cell r="BD988" t="str">
            <v>Manual</v>
          </cell>
          <cell r="BE988">
            <v>14</v>
          </cell>
          <cell r="BF988" t="str">
            <v>Kowshik</v>
          </cell>
          <cell r="BG988" t="str">
            <v>Y</v>
          </cell>
        </row>
        <row r="989">
          <cell r="A989" t="str">
            <v>FBR2C240140</v>
          </cell>
          <cell r="B989">
            <v>240140</v>
          </cell>
          <cell r="C989" t="str">
            <v>R&amp;D</v>
          </cell>
          <cell r="D989">
            <v>45399</v>
          </cell>
          <cell r="E989">
            <v>0.44583333333333336</v>
          </cell>
          <cell r="F989">
            <v>45383</v>
          </cell>
          <cell r="G989">
            <v>45399</v>
          </cell>
          <cell r="H989">
            <v>0.50972222222222219</v>
          </cell>
          <cell r="I989">
            <v>6.3888888888888884E-2</v>
          </cell>
          <cell r="J989">
            <v>2</v>
          </cell>
          <cell r="K989" t="str">
            <v>FCB-PROTOCOL-01</v>
          </cell>
          <cell r="L989" t="str">
            <v>CLN/PRA/260</v>
          </cell>
          <cell r="M989" t="str">
            <v>Y</v>
          </cell>
          <cell r="N989" t="str">
            <v>RCC DPT (2C)</v>
          </cell>
          <cell r="O989" t="str">
            <v>Internal R&amp;D</v>
          </cell>
          <cell r="P989" t="str">
            <v>Q1 Passed</v>
          </cell>
          <cell r="Q989" t="str">
            <v>Q1 Passed</v>
          </cell>
          <cell r="R989" t="str">
            <v>Q1.5 Passed</v>
          </cell>
          <cell r="S989" t="str">
            <v>Q1.5 Passed</v>
          </cell>
          <cell r="V989" t="str">
            <v>Tumor content 0-85%</v>
          </cell>
          <cell r="W989" t="str">
            <v>Private Hospital</v>
          </cell>
          <cell r="X989" t="str">
            <v>Dr Prakash BV, Bangalore</v>
          </cell>
          <cell r="Y989" t="str">
            <v>Abhaya Hospital</v>
          </cell>
          <cell r="Z989" t="str">
            <v>Dr Prakash BV, Bangalore</v>
          </cell>
          <cell r="AA989" t="str">
            <v>RCC</v>
          </cell>
          <cell r="AC989" t="str">
            <v>Renal Mass</v>
          </cell>
          <cell r="AD989" t="str">
            <v>Right Renal Mass</v>
          </cell>
          <cell r="AE989" t="str">
            <v>Female</v>
          </cell>
          <cell r="AF989">
            <v>62</v>
          </cell>
          <cell r="AG989" t="str">
            <v>N</v>
          </cell>
          <cell r="AH989">
            <v>5.6</v>
          </cell>
          <cell r="AI989" t="str">
            <v>Kalappa</v>
          </cell>
          <cell r="AJ989" t="str">
            <v>Surgery</v>
          </cell>
          <cell r="AK989" t="str">
            <v>Primary</v>
          </cell>
          <cell r="AN989" t="str">
            <v>II</v>
          </cell>
          <cell r="AP989" t="str">
            <v>pT2No</v>
          </cell>
          <cell r="AV989">
            <v>45399</v>
          </cell>
          <cell r="AW989">
            <v>0.52083333333333337</v>
          </cell>
          <cell r="AX989">
            <v>0.62638888888888888</v>
          </cell>
          <cell r="AY989">
            <v>0.10555555555555556</v>
          </cell>
          <cell r="AZ989">
            <v>0.5625</v>
          </cell>
          <cell r="BA989">
            <v>0.18055555555555555</v>
          </cell>
          <cell r="BB989" t="str">
            <v>0.6*1.0*3.0</v>
          </cell>
          <cell r="BD989" t="str">
            <v>Manual</v>
          </cell>
          <cell r="BE989">
            <v>14</v>
          </cell>
          <cell r="BF989" t="str">
            <v>kuberan</v>
          </cell>
          <cell r="BG989" t="str">
            <v>Y</v>
          </cell>
        </row>
        <row r="990">
          <cell r="A990" t="str">
            <v>FBR2A240141</v>
          </cell>
          <cell r="B990">
            <v>240141</v>
          </cell>
          <cell r="C990" t="str">
            <v>R&amp;D</v>
          </cell>
          <cell r="D990">
            <v>45404</v>
          </cell>
          <cell r="E990">
            <v>0.4375</v>
          </cell>
          <cell r="F990">
            <v>45383</v>
          </cell>
          <cell r="G990">
            <v>45404</v>
          </cell>
          <cell r="H990">
            <v>0.51180555555555551</v>
          </cell>
          <cell r="I990">
            <v>7.4305555555555555E-2</v>
          </cell>
          <cell r="J990">
            <v>30</v>
          </cell>
          <cell r="K990" t="str">
            <v>FCB-PROTOCOL-01</v>
          </cell>
          <cell r="L990" t="str">
            <v>OCO28 (S)</v>
          </cell>
          <cell r="M990" t="str">
            <v>Y</v>
          </cell>
          <cell r="N990" t="str">
            <v>Ovary CC (R2A)</v>
          </cell>
          <cell r="O990" t="str">
            <v>Internal R&amp;D</v>
          </cell>
          <cell r="P990" t="str">
            <v>Q1 Passed</v>
          </cell>
          <cell r="Q990" t="str">
            <v>Q1 Passed</v>
          </cell>
          <cell r="R990" t="str">
            <v>Q1.5 Passed</v>
          </cell>
          <cell r="S990" t="str">
            <v>Q1.5 Rejected</v>
          </cell>
          <cell r="T990" t="str">
            <v>Low Tumor Content</v>
          </cell>
          <cell r="V990" t="str">
            <v xml:space="preserve">Tumor content 0-8% </v>
          </cell>
          <cell r="W990" t="str">
            <v>Private Hospital</v>
          </cell>
          <cell r="X990" t="str">
            <v>Mazumdar Shaw Medical Centre, Bangalore</v>
          </cell>
          <cell r="Y990" t="str">
            <v>Mazumdar Shaw Medical Centre, Bangalore</v>
          </cell>
          <cell r="Z990" t="str">
            <v>Dr Rohit Ranade, Bangalore</v>
          </cell>
          <cell r="AA990" t="str">
            <v>Ca Ovary</v>
          </cell>
          <cell r="AC990" t="str">
            <v>Ovary</v>
          </cell>
          <cell r="AD990" t="str">
            <v>Right Ovary</v>
          </cell>
          <cell r="AE990" t="str">
            <v>Female</v>
          </cell>
          <cell r="AF990">
            <v>46</v>
          </cell>
          <cell r="AG990" t="str">
            <v>N</v>
          </cell>
          <cell r="AH990">
            <v>5.3</v>
          </cell>
          <cell r="AI990" t="str">
            <v>Kalappa</v>
          </cell>
          <cell r="AJ990" t="str">
            <v>Surgery</v>
          </cell>
          <cell r="AK990" t="str">
            <v>Primary</v>
          </cell>
          <cell r="AV990">
            <v>45404</v>
          </cell>
          <cell r="AW990">
            <v>0.53541666666666665</v>
          </cell>
          <cell r="AX990">
            <v>0.63680555555555551</v>
          </cell>
          <cell r="AY990">
            <v>0.10138888888888889</v>
          </cell>
          <cell r="AZ990">
            <v>0.5625</v>
          </cell>
          <cell r="BA990">
            <v>0.19930555555555557</v>
          </cell>
          <cell r="BB990" t="str">
            <v>0.4/0.6*1.2*1.6/1.2
0.4/0.6*0.6*1.2</v>
          </cell>
          <cell r="BD990" t="str">
            <v>Manual</v>
          </cell>
          <cell r="BE990">
            <v>14</v>
          </cell>
          <cell r="BF990" t="str">
            <v>Pallavi</v>
          </cell>
          <cell r="BG990" t="str">
            <v>Y</v>
          </cell>
        </row>
        <row r="991">
          <cell r="A991" t="str">
            <v>FBR2C240142</v>
          </cell>
          <cell r="B991">
            <v>240142</v>
          </cell>
          <cell r="C991" t="str">
            <v>R&amp;D</v>
          </cell>
          <cell r="D991">
            <v>45404</v>
          </cell>
          <cell r="E991">
            <v>0.4826388888888889</v>
          </cell>
          <cell r="F991">
            <v>45383</v>
          </cell>
          <cell r="G991">
            <v>45404</v>
          </cell>
          <cell r="H991">
            <v>0.51180555555555551</v>
          </cell>
          <cell r="I991">
            <v>2.9166666666666667E-2</v>
          </cell>
          <cell r="J991">
            <v>15</v>
          </cell>
          <cell r="K991" t="str">
            <v>FCB-PROTOCOL-02</v>
          </cell>
          <cell r="L991" t="str">
            <v>RC052</v>
          </cell>
          <cell r="M991" t="str">
            <v>Y</v>
          </cell>
          <cell r="N991" t="str">
            <v>RCC DPT (2C)</v>
          </cell>
          <cell r="O991" t="str">
            <v>Internal R&amp;D</v>
          </cell>
          <cell r="P991" t="str">
            <v>Q1 Passed</v>
          </cell>
          <cell r="Q991" t="str">
            <v>Not Received</v>
          </cell>
          <cell r="R991" t="str">
            <v>Compromised</v>
          </cell>
          <cell r="S991" t="str">
            <v>Q1.5 Passed</v>
          </cell>
          <cell r="T991" t="str">
            <v>Blood not collected</v>
          </cell>
          <cell r="V991" t="str">
            <v xml:space="preserve">Tumor content &gt;80% in all fragments </v>
          </cell>
          <cell r="W991" t="str">
            <v>Private Hospital</v>
          </cell>
          <cell r="X991" t="str">
            <v>Mazumdar Shaw Medical Centre, Bangalore</v>
          </cell>
          <cell r="Y991" t="str">
            <v>Mazumdar Shaw Medical Centre, Bangalore</v>
          </cell>
          <cell r="Z991" t="str">
            <v>Dr Saurabh Bhargav, Bangalore</v>
          </cell>
          <cell r="AA991" t="str">
            <v>RCC</v>
          </cell>
          <cell r="AC991" t="str">
            <v>Renal Mass</v>
          </cell>
          <cell r="AD991" t="str">
            <v>Left Renal Mass</v>
          </cell>
          <cell r="AE991" t="str">
            <v>Female</v>
          </cell>
          <cell r="AF991">
            <v>49</v>
          </cell>
          <cell r="AG991" t="str">
            <v>N</v>
          </cell>
          <cell r="AH991">
            <v>5.3</v>
          </cell>
          <cell r="AI991" t="str">
            <v>Kalappa</v>
          </cell>
          <cell r="AJ991" t="str">
            <v>Surgery</v>
          </cell>
          <cell r="AK991" t="str">
            <v>Primary</v>
          </cell>
          <cell r="AN991" t="str">
            <v>I</v>
          </cell>
          <cell r="AO991">
            <v>2</v>
          </cell>
          <cell r="AP991" t="str">
            <v>pT1b</v>
          </cell>
          <cell r="AS991" t="str">
            <v>Clear cell carcinoma</v>
          </cell>
          <cell r="AV991">
            <v>45404</v>
          </cell>
          <cell r="AW991">
            <v>0.53541666666666665</v>
          </cell>
          <cell r="AX991">
            <v>0.60972222222222228</v>
          </cell>
          <cell r="AY991">
            <v>7.4305555555555555E-2</v>
          </cell>
          <cell r="AZ991">
            <v>0.5805555555555556</v>
          </cell>
          <cell r="BA991">
            <v>0.12708333333333333</v>
          </cell>
          <cell r="BB991" t="str">
            <v>0.8*1.4*2.2</v>
          </cell>
          <cell r="BD991" t="str">
            <v>Vibratome</v>
          </cell>
          <cell r="BE991">
            <v>14</v>
          </cell>
          <cell r="BF991" t="str">
            <v>kuberan</v>
          </cell>
          <cell r="BG991" t="str">
            <v>N</v>
          </cell>
        </row>
        <row r="992">
          <cell r="A992" t="str">
            <v>FBR2C240143</v>
          </cell>
          <cell r="B992">
            <v>240143</v>
          </cell>
          <cell r="C992" t="str">
            <v>R&amp;D</v>
          </cell>
          <cell r="D992">
            <v>45404</v>
          </cell>
          <cell r="E992">
            <v>0.51388888888888884</v>
          </cell>
          <cell r="F992">
            <v>45383</v>
          </cell>
          <cell r="G992">
            <v>45404</v>
          </cell>
          <cell r="H992">
            <v>0.68055555555555558</v>
          </cell>
          <cell r="I992">
            <v>0.16666666666666666</v>
          </cell>
          <cell r="J992">
            <v>22</v>
          </cell>
          <cell r="K992" t="str">
            <v>FCB-PROTOCOL-01</v>
          </cell>
          <cell r="L992" t="str">
            <v>VYD/278</v>
          </cell>
          <cell r="M992" t="str">
            <v>Y</v>
          </cell>
          <cell r="N992" t="str">
            <v>RCC DPT (2C)</v>
          </cell>
          <cell r="O992" t="str">
            <v>Internal R&amp;D</v>
          </cell>
          <cell r="P992" t="str">
            <v>Q1 Passed</v>
          </cell>
          <cell r="Q992" t="str">
            <v>Q1 Passed</v>
          </cell>
          <cell r="R992" t="str">
            <v>Compromised</v>
          </cell>
          <cell r="S992" t="str">
            <v>Q1.5 Passed</v>
          </cell>
          <cell r="T992" t="str">
            <v>Blood Clotted</v>
          </cell>
          <cell r="V992" t="str">
            <v>Tumor content 15-85%     Papillary RCC</v>
          </cell>
          <cell r="W992" t="str">
            <v>Private Hospital</v>
          </cell>
          <cell r="X992" t="str">
            <v>Vydehi Hospital, Bangalore</v>
          </cell>
          <cell r="Y992" t="str">
            <v>Vydehi Hospital, Bangalore</v>
          </cell>
          <cell r="Z992" t="str">
            <v>Dr Amritha Prabha, Bangalore</v>
          </cell>
          <cell r="AA992" t="str">
            <v>RCC</v>
          </cell>
          <cell r="AC992" t="str">
            <v>Renal Mass</v>
          </cell>
          <cell r="AD992" t="str">
            <v>Left Renal Mass</v>
          </cell>
          <cell r="AE992" t="str">
            <v>Female</v>
          </cell>
          <cell r="AF992">
            <v>40</v>
          </cell>
          <cell r="AG992" t="str">
            <v>N</v>
          </cell>
          <cell r="AH992">
            <v>5.6</v>
          </cell>
          <cell r="AI992" t="str">
            <v>Kalappa</v>
          </cell>
          <cell r="AJ992" t="str">
            <v>Surgery</v>
          </cell>
          <cell r="AK992" t="str">
            <v>Primary</v>
          </cell>
          <cell r="AN992" t="str">
            <v>III</v>
          </cell>
          <cell r="AO992">
            <v>1</v>
          </cell>
          <cell r="AP992" t="str">
            <v>T3bN1</v>
          </cell>
          <cell r="AS992" t="str">
            <v>papillary rcc</v>
          </cell>
          <cell r="AV992">
            <v>45404</v>
          </cell>
          <cell r="AW992">
            <v>0.69513888888888886</v>
          </cell>
          <cell r="AX992">
            <v>0.76180555555555551</v>
          </cell>
          <cell r="AY992">
            <v>6.6666666666666666E-2</v>
          </cell>
          <cell r="AZ992">
            <v>0.59513888888888888</v>
          </cell>
          <cell r="BA992">
            <v>0.24791666666666667</v>
          </cell>
          <cell r="BB992" t="str">
            <v>0.4/1.0*1.8*3.4</v>
          </cell>
          <cell r="BD992" t="str">
            <v>Manual</v>
          </cell>
          <cell r="BE992">
            <v>14</v>
          </cell>
          <cell r="BF992" t="str">
            <v xml:space="preserve">sai </v>
          </cell>
          <cell r="BG992" t="str">
            <v>N</v>
          </cell>
        </row>
        <row r="993">
          <cell r="A993" t="str">
            <v>FBR2C240144</v>
          </cell>
          <cell r="B993">
            <v>240144</v>
          </cell>
          <cell r="C993" t="str">
            <v>R&amp;D</v>
          </cell>
          <cell r="D993">
            <v>45404</v>
          </cell>
          <cell r="E993">
            <v>0.61458333333333337</v>
          </cell>
          <cell r="F993">
            <v>45383</v>
          </cell>
          <cell r="G993">
            <v>45404</v>
          </cell>
          <cell r="H993">
            <v>0.74652777777777779</v>
          </cell>
          <cell r="I993">
            <v>0.13194444444444445</v>
          </cell>
          <cell r="J993">
            <v>25</v>
          </cell>
          <cell r="K993" t="str">
            <v>FCB-PROTOCOL-02</v>
          </cell>
          <cell r="L993" t="str">
            <v>RC053</v>
          </cell>
          <cell r="M993" t="str">
            <v>Y</v>
          </cell>
          <cell r="N993" t="str">
            <v>RCC DPT (2C)</v>
          </cell>
          <cell r="O993" t="str">
            <v>Internal R&amp;D</v>
          </cell>
          <cell r="P993" t="str">
            <v>Q1 Passed</v>
          </cell>
          <cell r="Q993" t="str">
            <v>Q1 Passed</v>
          </cell>
          <cell r="R993" t="str">
            <v>Q1.5 Passed</v>
          </cell>
          <cell r="S993" t="str">
            <v>Q1.5 Rejected</v>
          </cell>
          <cell r="V993" t="str">
            <v>Tumor in 2 fragments only 0-15% ? Papillary</v>
          </cell>
          <cell r="W993" t="str">
            <v>Private Hospital</v>
          </cell>
          <cell r="X993" t="str">
            <v>Mazumdar Shaw Medical Centre, Bangalore</v>
          </cell>
          <cell r="Y993" t="str">
            <v>Mazumdar Shaw Medical Centre, Bangalore</v>
          </cell>
          <cell r="Z993" t="str">
            <v>Dr Saurabh Bhargav, Bangalore</v>
          </cell>
          <cell r="AA993" t="str">
            <v>RCC</v>
          </cell>
          <cell r="AC993" t="str">
            <v>Renal Mass</v>
          </cell>
          <cell r="AD993" t="str">
            <v>Left Renal Mass</v>
          </cell>
          <cell r="AE993" t="str">
            <v>Male</v>
          </cell>
          <cell r="AF993">
            <v>67</v>
          </cell>
          <cell r="AG993" t="str">
            <v>N</v>
          </cell>
          <cell r="AH993">
            <v>5.6</v>
          </cell>
          <cell r="AI993" t="str">
            <v>Maruthi</v>
          </cell>
          <cell r="AJ993" t="str">
            <v>Surgery</v>
          </cell>
          <cell r="AK993" t="str">
            <v>Primary</v>
          </cell>
          <cell r="AV993">
            <v>45404</v>
          </cell>
          <cell r="AW993">
            <v>0.76527777777777772</v>
          </cell>
          <cell r="AX993">
            <v>0.87708333333333333</v>
          </cell>
          <cell r="AY993">
            <v>0.11180555555555556</v>
          </cell>
          <cell r="AZ993">
            <v>0.74513888888888891</v>
          </cell>
          <cell r="BA993">
            <v>0.26250000000000001</v>
          </cell>
          <cell r="BB993" t="str">
            <v>0.2/0.6*1.3/0.6*2.0</v>
          </cell>
          <cell r="BD993" t="str">
            <v>Vibratome</v>
          </cell>
          <cell r="BE993">
            <v>14</v>
          </cell>
          <cell r="BF993" t="str">
            <v>Mouniss</v>
          </cell>
          <cell r="BG993" t="str">
            <v>Y</v>
          </cell>
        </row>
        <row r="994">
          <cell r="A994" t="str">
            <v>FBR1Y240145</v>
          </cell>
          <cell r="B994">
            <v>240145</v>
          </cell>
          <cell r="C994" t="str">
            <v>R&amp;D</v>
          </cell>
          <cell r="D994">
            <v>45407</v>
          </cell>
          <cell r="E994">
            <v>0.45277777777777778</v>
          </cell>
          <cell r="F994">
            <v>45383</v>
          </cell>
          <cell r="G994">
            <v>45407</v>
          </cell>
          <cell r="H994">
            <v>0.6069444444444444</v>
          </cell>
          <cell r="I994">
            <v>0.15416666666666667</v>
          </cell>
          <cell r="J994">
            <v>2</v>
          </cell>
          <cell r="K994" t="str">
            <v>FCB-PROTOCOL-01</v>
          </cell>
          <cell r="L994" t="str">
            <v>VYD/279</v>
          </cell>
          <cell r="M994" t="str">
            <v>Y</v>
          </cell>
          <cell r="N994" t="str">
            <v>CCS Study (1Y)</v>
          </cell>
          <cell r="O994" t="str">
            <v>Internal R&amp;D</v>
          </cell>
          <cell r="P994" t="str">
            <v>Q1 Passed</v>
          </cell>
          <cell r="Q994" t="str">
            <v>Q1 Passed</v>
          </cell>
          <cell r="R994" t="str">
            <v>Q1.5 Passed</v>
          </cell>
          <cell r="S994" t="str">
            <v>Q1.5 Passed</v>
          </cell>
          <cell r="V994" t="str">
            <v>Tumor content 35-90%</v>
          </cell>
          <cell r="W994" t="str">
            <v>Private Hospital</v>
          </cell>
          <cell r="X994" t="str">
            <v>Vydehi Hospital, Bangalore</v>
          </cell>
          <cell r="Y994" t="str">
            <v>Vydehi Hospital, Bangalore</v>
          </cell>
          <cell r="Z994" t="str">
            <v>Dr Amritha Prabha, Bangalore</v>
          </cell>
          <cell r="AA994" t="str">
            <v>HNSCC</v>
          </cell>
          <cell r="AC994" t="str">
            <v>Maxilla</v>
          </cell>
          <cell r="AD994" t="str">
            <v>Right Maxilla</v>
          </cell>
          <cell r="AE994" t="str">
            <v>Female</v>
          </cell>
          <cell r="AF994">
            <v>59</v>
          </cell>
          <cell r="AG994" t="str">
            <v>N</v>
          </cell>
          <cell r="AH994">
            <v>5.2</v>
          </cell>
          <cell r="AI994" t="str">
            <v>Kalappa</v>
          </cell>
          <cell r="AJ994" t="str">
            <v>Surgery</v>
          </cell>
          <cell r="AK994" t="str">
            <v>Primary</v>
          </cell>
          <cell r="AN994" t="str">
            <v>IVa</v>
          </cell>
          <cell r="AO994">
            <v>2</v>
          </cell>
          <cell r="AP994" t="str">
            <v>T4aN2a</v>
          </cell>
          <cell r="AS994" t="str">
            <v>SCC</v>
          </cell>
          <cell r="AT994" t="str">
            <v>CTRT</v>
          </cell>
          <cell r="AU994" t="str">
            <v>Cisplatin</v>
          </cell>
          <cell r="AV994">
            <v>45407</v>
          </cell>
          <cell r="AW994">
            <v>0.62013888888888891</v>
          </cell>
          <cell r="AX994">
            <v>0.72430555555555554</v>
          </cell>
          <cell r="AY994">
            <v>0.10416666666666667</v>
          </cell>
          <cell r="AZ994">
            <v>0.57013888888888886</v>
          </cell>
          <cell r="BA994">
            <v>0.27152777777777776</v>
          </cell>
          <cell r="BB994" t="str">
            <v>1.0*1.0/0.4*1.5</v>
          </cell>
          <cell r="BD994" t="str">
            <v>Vibratome</v>
          </cell>
          <cell r="BE994">
            <v>14</v>
          </cell>
          <cell r="BF994" t="str">
            <v>Dharani</v>
          </cell>
          <cell r="BG994" t="str">
            <v>Y</v>
          </cell>
        </row>
        <row r="995">
          <cell r="A995" t="str">
            <v>FBR2C240146</v>
          </cell>
          <cell r="B995">
            <v>240146</v>
          </cell>
          <cell r="C995" t="str">
            <v>R&amp;D</v>
          </cell>
          <cell r="D995">
            <v>45412</v>
          </cell>
          <cell r="E995">
            <v>0.48958333333333331</v>
          </cell>
          <cell r="F995">
            <v>45383</v>
          </cell>
          <cell r="G995">
            <v>45412</v>
          </cell>
          <cell r="H995">
            <v>0.53611111111111109</v>
          </cell>
          <cell r="I995">
            <v>4.6527777777777779E-2</v>
          </cell>
          <cell r="J995">
            <v>3</v>
          </cell>
          <cell r="K995" t="str">
            <v>FCB-PROTOCOL-01</v>
          </cell>
          <cell r="L995" t="str">
            <v>CLN/PRA/261</v>
          </cell>
          <cell r="M995" t="str">
            <v>Y</v>
          </cell>
          <cell r="N995" t="str">
            <v>RCC DPT (2C)</v>
          </cell>
          <cell r="O995" t="str">
            <v>Internal R&amp;D</v>
          </cell>
          <cell r="P995" t="str">
            <v>Q1 Passed</v>
          </cell>
          <cell r="Q995" t="str">
            <v>Q1 Passed</v>
          </cell>
          <cell r="R995" t="str">
            <v>Q1.5 Passed</v>
          </cell>
          <cell r="S995" t="str">
            <v>Q1.5 Passed</v>
          </cell>
          <cell r="V995" t="str">
            <v>Tumor content 8-75%</v>
          </cell>
          <cell r="W995" t="str">
            <v>Private Hospital</v>
          </cell>
          <cell r="X995" t="str">
            <v>Dr Prakash BV, Bangalore</v>
          </cell>
          <cell r="Y995" t="str">
            <v>Malligae Hospital</v>
          </cell>
          <cell r="Z995" t="str">
            <v>Dr Prakash BV, Bangalore</v>
          </cell>
          <cell r="AA995" t="str">
            <v>RCC</v>
          </cell>
          <cell r="AC995" t="str">
            <v>Renal Mass</v>
          </cell>
          <cell r="AD995" t="str">
            <v>Right Renal Mass</v>
          </cell>
          <cell r="AE995" t="str">
            <v>Male</v>
          </cell>
          <cell r="AF995">
            <v>60</v>
          </cell>
          <cell r="AG995" t="str">
            <v>N</v>
          </cell>
          <cell r="AH995">
            <v>5.2</v>
          </cell>
          <cell r="AI995" t="str">
            <v>Kalappa</v>
          </cell>
          <cell r="AJ995" t="str">
            <v>Surgery</v>
          </cell>
          <cell r="AK995" t="str">
            <v>Primary</v>
          </cell>
          <cell r="AN995" t="str">
            <v>II</v>
          </cell>
          <cell r="AP995" t="str">
            <v>pT2No</v>
          </cell>
          <cell r="AV995">
            <v>45412</v>
          </cell>
          <cell r="AW995">
            <v>0.56388888888888888</v>
          </cell>
          <cell r="AX995">
            <v>0.65763888888888888</v>
          </cell>
          <cell r="AY995">
            <v>9.375E-2</v>
          </cell>
          <cell r="AZ995">
            <v>0.61111111111111116</v>
          </cell>
          <cell r="BA995">
            <v>0.16805555555555557</v>
          </cell>
          <cell r="BB995" t="str">
            <v>0.8*1.0/1.2*1.8/2.2</v>
          </cell>
          <cell r="BD995" t="str">
            <v>Manual</v>
          </cell>
          <cell r="BE995">
            <v>14</v>
          </cell>
          <cell r="BF995" t="str">
            <v>Dharani</v>
          </cell>
          <cell r="BG995" t="str">
            <v>Y</v>
          </cell>
        </row>
        <row r="996">
          <cell r="A996" t="str">
            <v>FBR2C240147</v>
          </cell>
          <cell r="B996">
            <v>240147</v>
          </cell>
          <cell r="C996" t="str">
            <v>R&amp;D</v>
          </cell>
          <cell r="D996">
            <v>45414</v>
          </cell>
          <cell r="E996">
            <v>0.73611111111111116</v>
          </cell>
          <cell r="F996">
            <v>45413</v>
          </cell>
          <cell r="G996">
            <v>45414</v>
          </cell>
          <cell r="H996">
            <v>0.77638888888888891</v>
          </cell>
          <cell r="I996">
            <v>4.027777777777778E-2</v>
          </cell>
          <cell r="J996">
            <v>4</v>
          </cell>
          <cell r="K996" t="str">
            <v>FCB-PROTOCOL-02</v>
          </cell>
          <cell r="L996" t="str">
            <v>RC054</v>
          </cell>
          <cell r="M996" t="str">
            <v>Y</v>
          </cell>
          <cell r="N996" t="str">
            <v>RCC DPT (2C)</v>
          </cell>
          <cell r="O996" t="str">
            <v>Internal R&amp;D</v>
          </cell>
          <cell r="P996" t="str">
            <v>Q1 Passed</v>
          </cell>
          <cell r="Q996" t="str">
            <v>Q1 Passed</v>
          </cell>
          <cell r="R996" t="str">
            <v>Q1.5 Passed</v>
          </cell>
          <cell r="S996" t="str">
            <v>Q1.5 Passed</v>
          </cell>
          <cell r="V996" t="str">
            <v>Tumor content 20-90%</v>
          </cell>
          <cell r="W996" t="str">
            <v>Private Hospital</v>
          </cell>
          <cell r="X996" t="str">
            <v>Mazumdar Shaw Medical Centre, Bangalore</v>
          </cell>
          <cell r="Y996" t="str">
            <v>Mazumdar Shaw Medical Centre, Bangalore</v>
          </cell>
          <cell r="Z996" t="str">
            <v>Dr Saurabh Bhargav, Bangalore</v>
          </cell>
          <cell r="AA996" t="str">
            <v>RCC</v>
          </cell>
          <cell r="AC996" t="str">
            <v>Renal Mass</v>
          </cell>
          <cell r="AD996" t="str">
            <v>Left Renal Mass</v>
          </cell>
          <cell r="AE996" t="str">
            <v>Male</v>
          </cell>
          <cell r="AF996">
            <v>46</v>
          </cell>
          <cell r="AG996" t="str">
            <v>N</v>
          </cell>
          <cell r="AH996">
            <v>4.9000000000000004</v>
          </cell>
          <cell r="AI996" t="str">
            <v>Shashi</v>
          </cell>
          <cell r="AJ996" t="str">
            <v>Surgery</v>
          </cell>
          <cell r="AK996" t="str">
            <v>Primary</v>
          </cell>
          <cell r="AN996" t="str">
            <v>III</v>
          </cell>
          <cell r="AO996">
            <v>3</v>
          </cell>
          <cell r="AP996" t="str">
            <v>pT3apN0</v>
          </cell>
          <cell r="AS996" t="str">
            <v>clear cell renal cell carcinoma</v>
          </cell>
          <cell r="AV996">
            <v>45414</v>
          </cell>
          <cell r="AW996">
            <v>0.75347222222222221</v>
          </cell>
          <cell r="AX996">
            <v>0.86597222222222225</v>
          </cell>
          <cell r="AY996">
            <v>0.1125</v>
          </cell>
          <cell r="AZ996">
            <v>0.8256944444444444</v>
          </cell>
          <cell r="BA996">
            <v>0.12986111111111112</v>
          </cell>
          <cell r="BB996" t="str">
            <v>0.3*1.1*1.3
0.1*0.6*1.1</v>
          </cell>
          <cell r="BD996" t="str">
            <v>Manual</v>
          </cell>
          <cell r="BE996">
            <v>14</v>
          </cell>
          <cell r="BF996" t="str">
            <v>kuberan</v>
          </cell>
          <cell r="BG996" t="str">
            <v>Y</v>
          </cell>
        </row>
        <row r="997">
          <cell r="A997" t="str">
            <v>FBR1Y240148</v>
          </cell>
          <cell r="B997">
            <v>240148</v>
          </cell>
          <cell r="C997" t="str">
            <v>R&amp;D</v>
          </cell>
          <cell r="D997">
            <v>45414</v>
          </cell>
          <cell r="E997">
            <v>0.77083333333333337</v>
          </cell>
          <cell r="F997">
            <v>45413</v>
          </cell>
          <cell r="G997">
            <v>45414</v>
          </cell>
          <cell r="H997">
            <v>0.7993055555555556</v>
          </cell>
          <cell r="I997">
            <v>2.8472222222222222E-2</v>
          </cell>
          <cell r="J997">
            <v>2</v>
          </cell>
          <cell r="K997" t="str">
            <v>FCB-PROTOCOL-01</v>
          </cell>
          <cell r="L997" t="str">
            <v>CLN/PRA/262</v>
          </cell>
          <cell r="M997" t="str">
            <v>Y</v>
          </cell>
          <cell r="N997" t="str">
            <v>CCS Study (1Y)</v>
          </cell>
          <cell r="O997" t="str">
            <v>Internal R&amp;D</v>
          </cell>
          <cell r="P997" t="str">
            <v>Q1 Passed</v>
          </cell>
          <cell r="Q997" t="str">
            <v>Q1 Passed</v>
          </cell>
          <cell r="R997" t="str">
            <v>Q1.5 Passed</v>
          </cell>
          <cell r="S997" t="str">
            <v>Q1.5 Passed</v>
          </cell>
          <cell r="V997" t="str">
            <v>Tumor content 4-80%</v>
          </cell>
          <cell r="W997" t="str">
            <v>Private Hospital</v>
          </cell>
          <cell r="X997" t="str">
            <v>Dr Prakash BV, Bangalore</v>
          </cell>
          <cell r="Y997" t="str">
            <v>Aswad Hospital</v>
          </cell>
          <cell r="Z997" t="str">
            <v>Dr Prakash BV, Bangalore</v>
          </cell>
          <cell r="AA997" t="str">
            <v>HNSCC</v>
          </cell>
          <cell r="AC997" t="str">
            <v>Buccal Mucosa</v>
          </cell>
          <cell r="AD997" t="str">
            <v>Left Buccal Mucosa</v>
          </cell>
          <cell r="AE997" t="str">
            <v>Female</v>
          </cell>
          <cell r="AF997">
            <v>60</v>
          </cell>
          <cell r="AG997" t="str">
            <v>N</v>
          </cell>
          <cell r="AH997">
            <v>5.2</v>
          </cell>
          <cell r="AI997" t="str">
            <v>Kalappa</v>
          </cell>
          <cell r="AJ997" t="str">
            <v>Surgery</v>
          </cell>
          <cell r="AK997" t="str">
            <v>Primary</v>
          </cell>
          <cell r="AN997" t="str">
            <v>II</v>
          </cell>
          <cell r="AP997" t="str">
            <v>pT4No</v>
          </cell>
          <cell r="AV997">
            <v>45414</v>
          </cell>
          <cell r="AW997">
            <v>0.8125</v>
          </cell>
          <cell r="AX997">
            <v>0.86805555555555558</v>
          </cell>
          <cell r="AY997">
            <v>5.5555555555555552E-2</v>
          </cell>
          <cell r="AZ997">
            <v>0.83958333333333335</v>
          </cell>
          <cell r="BA997">
            <v>9.7222222222222224E-2</v>
          </cell>
          <cell r="BB997" t="str">
            <v>0.4*0.8*2.2
0.2/0.3*0.4/0.6*1.2</v>
          </cell>
          <cell r="BD997" t="str">
            <v>Vibratome</v>
          </cell>
          <cell r="BE997">
            <v>14</v>
          </cell>
          <cell r="BF997" t="str">
            <v>Kowshik</v>
          </cell>
          <cell r="BG997" t="str">
            <v>Y</v>
          </cell>
        </row>
        <row r="998">
          <cell r="A998" t="str">
            <v>FBR1Y240149</v>
          </cell>
          <cell r="B998">
            <v>240149</v>
          </cell>
          <cell r="C998" t="str">
            <v>R&amp;D</v>
          </cell>
          <cell r="D998">
            <v>45418</v>
          </cell>
          <cell r="E998">
            <v>0.46041666666666664</v>
          </cell>
          <cell r="F998">
            <v>45413</v>
          </cell>
          <cell r="G998">
            <v>45418</v>
          </cell>
          <cell r="H998">
            <v>0.80138888888888893</v>
          </cell>
          <cell r="I998">
            <v>0.34097222222222223</v>
          </cell>
          <cell r="J998">
            <v>2</v>
          </cell>
          <cell r="K998" t="str">
            <v>FCB-PROTOCOL-01</v>
          </cell>
          <cell r="L998" t="str">
            <v>VYD/280</v>
          </cell>
          <cell r="M998" t="str">
            <v>Y</v>
          </cell>
          <cell r="N998" t="str">
            <v>CCS Study (1Y)</v>
          </cell>
          <cell r="O998" t="str">
            <v>Internal R&amp;D</v>
          </cell>
          <cell r="P998" t="str">
            <v>Q1 Passed</v>
          </cell>
          <cell r="Q998" t="str">
            <v>Q1 Passed</v>
          </cell>
          <cell r="R998" t="str">
            <v>Q1.5 Passed</v>
          </cell>
          <cell r="S998" t="str">
            <v>Q1.5 Passed</v>
          </cell>
          <cell r="V998" t="str">
            <v>A:Tumor content &gt;80% in all fragments
B:Tumor content 60-80%</v>
          </cell>
          <cell r="W998" t="str">
            <v>Private Hospital</v>
          </cell>
          <cell r="X998" t="str">
            <v>Vydehi Hospital, Bangalore</v>
          </cell>
          <cell r="Y998" t="str">
            <v>Vydehi Hospital, Bangalore</v>
          </cell>
          <cell r="Z998" t="str">
            <v>Dr Amritha Prabha, Bangalore</v>
          </cell>
          <cell r="AA998" t="str">
            <v>HNSCC</v>
          </cell>
          <cell r="AC998" t="str">
            <v>Buccal Mucosa</v>
          </cell>
          <cell r="AD998" t="str">
            <v>Right Buccal Mucosa</v>
          </cell>
          <cell r="AE998" t="str">
            <v>Male</v>
          </cell>
          <cell r="AF998">
            <v>53</v>
          </cell>
          <cell r="AG998" t="str">
            <v>N</v>
          </cell>
          <cell r="AH998">
            <v>5.6</v>
          </cell>
          <cell r="AI998" t="str">
            <v>Kalappa</v>
          </cell>
          <cell r="AJ998" t="str">
            <v>Surgery</v>
          </cell>
          <cell r="AK998" t="str">
            <v>Primary</v>
          </cell>
          <cell r="AN998" t="str">
            <v>IVa</v>
          </cell>
          <cell r="AO998">
            <v>2</v>
          </cell>
          <cell r="AP998" t="str">
            <v>T4aN0</v>
          </cell>
          <cell r="AS998" t="str">
            <v>scc</v>
          </cell>
          <cell r="AT998" t="str">
            <v>RT</v>
          </cell>
          <cell r="AV998">
            <v>45418</v>
          </cell>
          <cell r="AW998">
            <v>0.82291666666666663</v>
          </cell>
          <cell r="AX998">
            <v>0.92361111111111116</v>
          </cell>
          <cell r="AY998">
            <v>0.10069444444444445</v>
          </cell>
          <cell r="AZ998">
            <v>0.58263888888888893</v>
          </cell>
          <cell r="BA998">
            <v>0.46319444444444446</v>
          </cell>
          <cell r="BB998" t="str">
            <v>0.6*1.4*2.0</v>
          </cell>
          <cell r="BD998" t="str">
            <v>Vibratome</v>
          </cell>
          <cell r="BE998">
            <v>14</v>
          </cell>
          <cell r="BF998" t="str">
            <v>Dharani</v>
          </cell>
          <cell r="BG998" t="str">
            <v>Y</v>
          </cell>
        </row>
        <row r="999">
          <cell r="A999" t="str">
            <v>FBR2F240149</v>
          </cell>
          <cell r="B999">
            <v>240149</v>
          </cell>
          <cell r="C999" t="str">
            <v>R&amp;D</v>
          </cell>
          <cell r="D999">
            <v>45418</v>
          </cell>
          <cell r="E999">
            <v>0.46041666666666664</v>
          </cell>
          <cell r="F999">
            <v>45413</v>
          </cell>
          <cell r="G999">
            <v>45418</v>
          </cell>
          <cell r="H999">
            <v>0.80138888888888893</v>
          </cell>
          <cell r="I999">
            <v>0.34097222222222223</v>
          </cell>
          <cell r="J999">
            <v>2</v>
          </cell>
          <cell r="K999" t="str">
            <v>FCB-PROTOCOL-01</v>
          </cell>
          <cell r="L999" t="str">
            <v>VYD/280</v>
          </cell>
          <cell r="M999" t="str">
            <v>Y</v>
          </cell>
          <cell r="N999" t="str">
            <v>CCS Study (1Y)</v>
          </cell>
          <cell r="O999" t="str">
            <v>Internal R&amp;D</v>
          </cell>
          <cell r="P999" t="str">
            <v>Q1 Passed</v>
          </cell>
          <cell r="Q999" t="str">
            <v>Q1 Passed</v>
          </cell>
          <cell r="R999" t="str">
            <v>Q1.5 Passed</v>
          </cell>
          <cell r="S999" t="str">
            <v>Q1.5 Passed</v>
          </cell>
          <cell r="V999" t="str">
            <v>A:Tumor content &gt;80% in all fragments
B:Tumor content 60-80%</v>
          </cell>
          <cell r="W999" t="str">
            <v>Private Hospital</v>
          </cell>
          <cell r="X999" t="str">
            <v>Vydehi Hospital, Bangalore</v>
          </cell>
          <cell r="Y999" t="str">
            <v>Vydehi Hospital, Bangalore</v>
          </cell>
          <cell r="Z999" t="str">
            <v>Dr Amritha Prabha, Bangalore</v>
          </cell>
          <cell r="AA999" t="str">
            <v>HNSCC</v>
          </cell>
          <cell r="AC999" t="str">
            <v>Buccal Mucosa</v>
          </cell>
          <cell r="AD999" t="str">
            <v>Right Buccal Mucosa</v>
          </cell>
          <cell r="AE999" t="str">
            <v>Male</v>
          </cell>
          <cell r="AF999">
            <v>53</v>
          </cell>
          <cell r="AG999" t="str">
            <v>N</v>
          </cell>
          <cell r="AH999">
            <v>5.6</v>
          </cell>
          <cell r="AI999" t="str">
            <v>Kalappa</v>
          </cell>
          <cell r="AJ999" t="str">
            <v>Surgery</v>
          </cell>
          <cell r="AK999" t="str">
            <v>Primary</v>
          </cell>
          <cell r="AN999" t="str">
            <v>IVa</v>
          </cell>
          <cell r="AO999">
            <v>2</v>
          </cell>
          <cell r="AP999" t="str">
            <v>T4aN0</v>
          </cell>
          <cell r="AS999" t="str">
            <v>scc</v>
          </cell>
          <cell r="AT999" t="str">
            <v>RT</v>
          </cell>
          <cell r="AV999">
            <v>45418</v>
          </cell>
          <cell r="AW999">
            <v>0.82291666666666663</v>
          </cell>
          <cell r="AX999">
            <v>0.92361111111111116</v>
          </cell>
          <cell r="AY999">
            <v>0.10069444444444445</v>
          </cell>
          <cell r="AZ999">
            <v>0.58263888888888893</v>
          </cell>
          <cell r="BA999">
            <v>0.46319444444444446</v>
          </cell>
          <cell r="BB999" t="str">
            <v>0.6*1.4*2.0</v>
          </cell>
          <cell r="BD999" t="str">
            <v>Vibratome</v>
          </cell>
          <cell r="BE999">
            <v>14</v>
          </cell>
          <cell r="BF999" t="str">
            <v>Dharani</v>
          </cell>
          <cell r="BG999" t="str">
            <v>Y</v>
          </cell>
        </row>
        <row r="1000">
          <cell r="A1000" t="str">
            <v>FBR2C240150</v>
          </cell>
          <cell r="B1000">
            <v>240150</v>
          </cell>
          <cell r="C1000" t="str">
            <v>R&amp;D</v>
          </cell>
          <cell r="D1000">
            <v>45418</v>
          </cell>
          <cell r="E1000">
            <v>0.71388888888888891</v>
          </cell>
          <cell r="F1000">
            <v>45413</v>
          </cell>
          <cell r="G1000">
            <v>45418</v>
          </cell>
          <cell r="H1000">
            <v>0.80138888888888893</v>
          </cell>
          <cell r="I1000">
            <v>8.7499999999999994E-2</v>
          </cell>
          <cell r="J1000">
            <v>2</v>
          </cell>
          <cell r="K1000" t="str">
            <v>FCB-PROTOCOL-01</v>
          </cell>
          <cell r="L1000" t="str">
            <v>VYD/281</v>
          </cell>
          <cell r="M1000" t="str">
            <v>Y</v>
          </cell>
          <cell r="N1000" t="str">
            <v>RCC DPT (2C)</v>
          </cell>
          <cell r="O1000" t="str">
            <v>Internal R&amp;D</v>
          </cell>
          <cell r="P1000" t="str">
            <v>Q1 Passed</v>
          </cell>
          <cell r="Q1000" t="str">
            <v>Q1 Passed</v>
          </cell>
          <cell r="R1000" t="str">
            <v>Q1.5 Passed</v>
          </cell>
          <cell r="S1000" t="str">
            <v>Q1.5 Passed</v>
          </cell>
          <cell r="V1000" t="str">
            <v>Tumor content 15-70%</v>
          </cell>
          <cell r="W1000" t="str">
            <v>Private Hospital</v>
          </cell>
          <cell r="X1000" t="str">
            <v>Vydehi Hospital, Bangalore</v>
          </cell>
          <cell r="Y1000" t="str">
            <v>Vydehi Hospital, Bangalore</v>
          </cell>
          <cell r="Z1000" t="str">
            <v>Dr Amritha Prabha, Bangalore</v>
          </cell>
          <cell r="AA1000" t="str">
            <v>RCC</v>
          </cell>
          <cell r="AC1000" t="str">
            <v>Renal Mass</v>
          </cell>
          <cell r="AD1000" t="str">
            <v>Left Renal Mass</v>
          </cell>
          <cell r="AE1000" t="str">
            <v>Male</v>
          </cell>
          <cell r="AF1000">
            <v>51</v>
          </cell>
          <cell r="AG1000" t="str">
            <v>N</v>
          </cell>
          <cell r="AH1000">
            <v>5.6</v>
          </cell>
          <cell r="AI1000" t="str">
            <v>Kalappa</v>
          </cell>
          <cell r="AJ1000" t="str">
            <v>Surgery</v>
          </cell>
          <cell r="AK1000" t="str">
            <v>Primary</v>
          </cell>
          <cell r="AN1000" t="str">
            <v>III</v>
          </cell>
          <cell r="AO1000">
            <v>2</v>
          </cell>
          <cell r="AP1000" t="str">
            <v>T3N0</v>
          </cell>
          <cell r="AS1000" t="str">
            <v>Clearcell RCC</v>
          </cell>
          <cell r="AV1000">
            <v>45418</v>
          </cell>
          <cell r="AW1000">
            <v>0.82291666666666663</v>
          </cell>
          <cell r="AX1000">
            <v>0.91319444444444442</v>
          </cell>
          <cell r="AY1000">
            <v>9.0277777777777776E-2</v>
          </cell>
          <cell r="AZ1000">
            <v>0.8256944444444444</v>
          </cell>
          <cell r="BA1000">
            <v>0.19930555555555557</v>
          </cell>
          <cell r="BB1000" t="str">
            <v>0.8*2.0*2.0
0.6*2.4*2.8</v>
          </cell>
          <cell r="BD1000" t="str">
            <v>Manual</v>
          </cell>
          <cell r="BE1000">
            <v>14</v>
          </cell>
          <cell r="BF1000" t="str">
            <v>Syam</v>
          </cell>
          <cell r="BG1000" t="str">
            <v>Y</v>
          </cell>
        </row>
        <row r="1001">
          <cell r="A1001" t="str">
            <v>FBR1Y240151</v>
          </cell>
          <cell r="B1001">
            <v>240151</v>
          </cell>
          <cell r="C1001" t="str">
            <v>R&amp;D</v>
          </cell>
          <cell r="D1001">
            <v>45418</v>
          </cell>
          <cell r="E1001">
            <v>0.50347222222222221</v>
          </cell>
          <cell r="F1001">
            <v>45413</v>
          </cell>
          <cell r="G1001">
            <v>45418</v>
          </cell>
          <cell r="H1001">
            <v>0.93472222222222223</v>
          </cell>
          <cell r="I1001">
            <v>0.43125000000000002</v>
          </cell>
          <cell r="J1001">
            <v>20</v>
          </cell>
          <cell r="K1001" t="str">
            <v>FCB-PROTOCOL-01</v>
          </cell>
          <cell r="L1001" t="str">
            <v>CLN/DBR/185</v>
          </cell>
          <cell r="M1001" t="str">
            <v>Y</v>
          </cell>
          <cell r="N1001" t="str">
            <v>CCS Study (1Y)</v>
          </cell>
          <cell r="O1001" t="str">
            <v>Internal R&amp;D</v>
          </cell>
          <cell r="P1001" t="str">
            <v>Q1 Passed</v>
          </cell>
          <cell r="Q1001" t="str">
            <v>Q1 Passed</v>
          </cell>
          <cell r="R1001" t="str">
            <v>Q1.5 Passed</v>
          </cell>
          <cell r="S1001" t="str">
            <v>Q1.5 Passed</v>
          </cell>
          <cell r="V1001" t="str">
            <v>A: Tumor content 0-80%
B:Tumor content 8-55%</v>
          </cell>
          <cell r="W1001" t="str">
            <v>Private Hospital</v>
          </cell>
          <cell r="X1001" t="str">
            <v>Clinic'les- DBR &amp; SK Hospital, Tirupati</v>
          </cell>
          <cell r="Y1001" t="str">
            <v>DBR &amp; SK Hospital, Tirupati</v>
          </cell>
          <cell r="Z1001" t="str">
            <v>Dr C Jayaprakash, Tirupati</v>
          </cell>
          <cell r="AA1001" t="str">
            <v>HNSCC</v>
          </cell>
          <cell r="AC1001" t="str">
            <v>Buccal mucosa</v>
          </cell>
          <cell r="AD1001" t="str">
            <v>Right Buccal Mucosa</v>
          </cell>
          <cell r="AE1001" t="str">
            <v>Female</v>
          </cell>
          <cell r="AF1001">
            <v>59</v>
          </cell>
          <cell r="AG1001" t="str">
            <v>N</v>
          </cell>
          <cell r="AH1001">
            <v>4.9000000000000004</v>
          </cell>
          <cell r="AI1001" t="str">
            <v>Shashi</v>
          </cell>
          <cell r="AJ1001" t="str">
            <v>Surgery</v>
          </cell>
          <cell r="AK1001" t="str">
            <v>Primary</v>
          </cell>
          <cell r="AV1001">
            <v>45419</v>
          </cell>
          <cell r="AW1001">
            <v>0.30902777777777779</v>
          </cell>
          <cell r="AX1001">
            <v>0.4</v>
          </cell>
          <cell r="AY1001">
            <v>9.0972222222222218E-2</v>
          </cell>
          <cell r="AZ1001">
            <v>0.96875</v>
          </cell>
          <cell r="BA1001">
            <v>0.89652777777777781</v>
          </cell>
          <cell r="BB1001" t="str">
            <v>0.2/0.4*0.4/0.9*1.8</v>
          </cell>
          <cell r="BD1001" t="str">
            <v>Vibratome</v>
          </cell>
          <cell r="BE1001">
            <v>14</v>
          </cell>
          <cell r="BF1001" t="str">
            <v>Mouniss</v>
          </cell>
          <cell r="BG1001" t="str">
            <v>Y</v>
          </cell>
        </row>
        <row r="1002">
          <cell r="A1002" t="str">
            <v>FBR2A240152</v>
          </cell>
          <cell r="B1002">
            <v>240152</v>
          </cell>
          <cell r="C1002" t="str">
            <v>R&amp;D</v>
          </cell>
          <cell r="D1002">
            <v>45419</v>
          </cell>
          <cell r="E1002">
            <v>0.52777777777777779</v>
          </cell>
          <cell r="F1002">
            <v>45413</v>
          </cell>
          <cell r="G1002">
            <v>45419</v>
          </cell>
          <cell r="H1002">
            <v>0.59513888888888888</v>
          </cell>
          <cell r="I1002">
            <v>6.7361111111111108E-2</v>
          </cell>
          <cell r="J1002">
            <v>31</v>
          </cell>
          <cell r="K1002" t="str">
            <v>FCB-PROTOCOL-02</v>
          </cell>
          <cell r="L1002" t="str">
            <v>OCO41</v>
          </cell>
          <cell r="M1002" t="str">
            <v>Y</v>
          </cell>
          <cell r="N1002" t="str">
            <v>Ovary CC (R2A)</v>
          </cell>
          <cell r="O1002" t="str">
            <v>Internal R&amp;D</v>
          </cell>
          <cell r="P1002" t="str">
            <v>Q1 Passed</v>
          </cell>
          <cell r="Q1002" t="str">
            <v>Q1 Passed</v>
          </cell>
          <cell r="R1002" t="str">
            <v>Compromised</v>
          </cell>
          <cell r="S1002" t="str">
            <v>Q1.5 Passed</v>
          </cell>
          <cell r="V1002" t="str">
            <v>Tumor content 30-80%</v>
          </cell>
          <cell r="W1002" t="str">
            <v>Private Hospital</v>
          </cell>
          <cell r="X1002" t="str">
            <v>Mazumdar Shaw Medical Centre, Bangalore</v>
          </cell>
          <cell r="Y1002" t="str">
            <v>Mazumdar Shaw Medical Centre, Bangalore</v>
          </cell>
          <cell r="Z1002" t="str">
            <v>Dr Rohit Ranade, Bangalore</v>
          </cell>
          <cell r="AA1002" t="str">
            <v>Ca Ovary</v>
          </cell>
          <cell r="AC1002" t="str">
            <v>Ovary</v>
          </cell>
          <cell r="AD1002" t="str">
            <v>Right Ovary</v>
          </cell>
          <cell r="AE1002" t="str">
            <v>Female</v>
          </cell>
          <cell r="AF1002">
            <v>41</v>
          </cell>
          <cell r="AG1002" t="str">
            <v>N</v>
          </cell>
          <cell r="AH1002">
            <v>5.2</v>
          </cell>
          <cell r="AI1002" t="str">
            <v>Kalappa</v>
          </cell>
          <cell r="AJ1002" t="str">
            <v>Surgery</v>
          </cell>
          <cell r="AK1002" t="str">
            <v>Primary</v>
          </cell>
          <cell r="AN1002" t="str">
            <v>III</v>
          </cell>
          <cell r="AO1002" t="str">
            <v xml:space="preserve">High grade </v>
          </cell>
          <cell r="AP1002" t="str">
            <v>pT3 b</v>
          </cell>
          <cell r="AS1002" t="str">
            <v xml:space="preserve">Adenocarcinoma, High grade serous carcinoma </v>
          </cell>
          <cell r="AV1002">
            <v>45419</v>
          </cell>
          <cell r="AW1002">
            <v>0.60486111111111107</v>
          </cell>
          <cell r="AX1002">
            <v>0.66319444444444442</v>
          </cell>
          <cell r="AY1002">
            <v>5.8333333333333334E-2</v>
          </cell>
          <cell r="AZ1002">
            <v>0.59583333333333333</v>
          </cell>
          <cell r="BA1002">
            <v>0.13541666666666666</v>
          </cell>
          <cell r="BB1002" t="str">
            <v>0.3*1.2/0.6*1.6/1.4</v>
          </cell>
          <cell r="BD1002" t="str">
            <v>Manual</v>
          </cell>
          <cell r="BE1002">
            <v>14</v>
          </cell>
          <cell r="BF1002" t="str">
            <v>Abdul</v>
          </cell>
          <cell r="BG1002" t="str">
            <v>Y</v>
          </cell>
        </row>
        <row r="1003">
          <cell r="A1003">
            <v>240153</v>
          </cell>
          <cell r="B1003">
            <v>240153</v>
          </cell>
          <cell r="C1003" t="str">
            <v>R&amp;D</v>
          </cell>
          <cell r="D1003">
            <v>45420</v>
          </cell>
          <cell r="E1003">
            <v>0.49305555555555558</v>
          </cell>
          <cell r="F1003">
            <v>45413</v>
          </cell>
          <cell r="G1003">
            <v>45420</v>
          </cell>
          <cell r="H1003">
            <v>0.86041666666666672</v>
          </cell>
          <cell r="I1003">
            <v>0.36736111111111114</v>
          </cell>
          <cell r="J1003">
            <v>20</v>
          </cell>
          <cell r="K1003" t="str">
            <v>FCB-PROTOCOL-01</v>
          </cell>
          <cell r="L1003" t="str">
            <v>CLN/DBR/186</v>
          </cell>
          <cell r="M1003" t="str">
            <v>Y</v>
          </cell>
          <cell r="N1003" t="str">
            <v>No Study</v>
          </cell>
          <cell r="O1003" t="str">
            <v>1st level attrition</v>
          </cell>
          <cell r="P1003" t="str">
            <v>Q1 Passed</v>
          </cell>
          <cell r="Q1003" t="str">
            <v>Q1 Passed</v>
          </cell>
          <cell r="R1003" t="str">
            <v>Q1.5 Rejected</v>
          </cell>
          <cell r="S1003" t="str">
            <v>Q1.5 Rejected</v>
          </cell>
          <cell r="T1003" t="str">
            <v>Not Fit for Vibrotome</v>
          </cell>
          <cell r="W1003" t="str">
            <v>Private Hospital</v>
          </cell>
          <cell r="X1003" t="str">
            <v>Clinic'les- DBR &amp; SK Hospital, Tirupati</v>
          </cell>
          <cell r="Y1003" t="str">
            <v>DBR &amp; SK Hospital, Tirupati</v>
          </cell>
          <cell r="Z1003" t="str">
            <v>Dr C Jayaprakash, Tirupati</v>
          </cell>
          <cell r="AA1003" t="str">
            <v>HNSCC</v>
          </cell>
          <cell r="AC1003" t="str">
            <v>Buccal mucosa</v>
          </cell>
          <cell r="AD1003" t="str">
            <v>Left Buccal Mucosa</v>
          </cell>
          <cell r="AE1003" t="str">
            <v>Female</v>
          </cell>
          <cell r="AF1003">
            <v>45</v>
          </cell>
          <cell r="AG1003" t="str">
            <v>N</v>
          </cell>
          <cell r="AH1003">
            <v>4.9000000000000004</v>
          </cell>
          <cell r="AI1003" t="str">
            <v>Shashi</v>
          </cell>
          <cell r="AJ1003" t="str">
            <v>Surgery</v>
          </cell>
          <cell r="AK1003" t="str">
            <v>Primary</v>
          </cell>
          <cell r="AV1003">
            <v>45421</v>
          </cell>
          <cell r="AW1003">
            <v>0.35</v>
          </cell>
          <cell r="BB1003" t="str">
            <v>0.8*1.2*1.0/1.2</v>
          </cell>
          <cell r="BE1003">
            <v>14</v>
          </cell>
          <cell r="BF1003" t="str">
            <v>Pallavi</v>
          </cell>
          <cell r="BG1003" t="str">
            <v>Y</v>
          </cell>
        </row>
        <row r="1004">
          <cell r="A1004" t="str">
            <v>FBR1Y240154</v>
          </cell>
          <cell r="B1004">
            <v>240154</v>
          </cell>
          <cell r="C1004" t="str">
            <v>R&amp;D</v>
          </cell>
          <cell r="D1004">
            <v>45422</v>
          </cell>
          <cell r="E1004">
            <v>0.46250000000000002</v>
          </cell>
          <cell r="F1004">
            <v>45413</v>
          </cell>
          <cell r="G1004">
            <v>45422</v>
          </cell>
          <cell r="H1004">
            <v>0.57986111111111116</v>
          </cell>
          <cell r="I1004">
            <v>0.11736111111111111</v>
          </cell>
          <cell r="J1004">
            <v>5</v>
          </cell>
          <cell r="K1004" t="str">
            <v>FCB-PROTOCOL-01</v>
          </cell>
          <cell r="L1004" t="str">
            <v>VYD/282</v>
          </cell>
          <cell r="M1004" t="str">
            <v>Y</v>
          </cell>
          <cell r="N1004" t="str">
            <v>CCS Study (1Y)</v>
          </cell>
          <cell r="O1004" t="str">
            <v>Internal R&amp;D</v>
          </cell>
          <cell r="P1004" t="str">
            <v>Q1 Passed</v>
          </cell>
          <cell r="Q1004" t="str">
            <v>Q1 Passed</v>
          </cell>
          <cell r="R1004" t="str">
            <v>Compromised</v>
          </cell>
          <cell r="S1004" t="str">
            <v>Q1.5 Rejected</v>
          </cell>
          <cell r="V1004" t="str">
            <v>Tumor content 0-95%. Average tumor content 25%. Only 2 fragments have tumor</v>
          </cell>
          <cell r="W1004" t="str">
            <v>Private Hospital</v>
          </cell>
          <cell r="X1004" t="str">
            <v>Vydehi Hospital, Bangalore</v>
          </cell>
          <cell r="Y1004" t="str">
            <v>Vydehi Hospital, Bangalore</v>
          </cell>
          <cell r="Z1004" t="str">
            <v>Dr Amritha Prabha, Bangalore</v>
          </cell>
          <cell r="AA1004" t="str">
            <v>HNSCC</v>
          </cell>
          <cell r="AC1004" t="str">
            <v>Buccal Mucosa</v>
          </cell>
          <cell r="AD1004" t="str">
            <v>Left Buccal Mucosa</v>
          </cell>
          <cell r="AE1004" t="str">
            <v>Male</v>
          </cell>
          <cell r="AF1004">
            <v>56</v>
          </cell>
          <cell r="AG1004" t="str">
            <v>N</v>
          </cell>
          <cell r="AH1004">
            <v>4.8</v>
          </cell>
          <cell r="AI1004" t="str">
            <v>Kalappa</v>
          </cell>
          <cell r="AJ1004" t="str">
            <v>Surgery</v>
          </cell>
          <cell r="AK1004" t="str">
            <v>Primary</v>
          </cell>
          <cell r="AN1004" t="str">
            <v>III</v>
          </cell>
          <cell r="AO1004">
            <v>2</v>
          </cell>
          <cell r="AP1004" t="str">
            <v>T3N0</v>
          </cell>
          <cell r="AS1004" t="str">
            <v>scc</v>
          </cell>
          <cell r="AT1004" t="str">
            <v>RT</v>
          </cell>
          <cell r="AV1004">
            <v>45422</v>
          </cell>
          <cell r="AW1004">
            <v>0.59375</v>
          </cell>
          <cell r="AX1004">
            <v>0.6333333333333333</v>
          </cell>
          <cell r="AY1004">
            <v>3.9583333333333331E-2</v>
          </cell>
          <cell r="AZ1004">
            <v>0.51597222222222228</v>
          </cell>
          <cell r="BA1004">
            <v>0.17083333333333334</v>
          </cell>
          <cell r="BB1004" t="str">
            <v>0.4/0.6*1.4*1.2</v>
          </cell>
          <cell r="BD1004" t="str">
            <v>Manual</v>
          </cell>
          <cell r="BE1004">
            <v>14</v>
          </cell>
          <cell r="BF1004" t="str">
            <v>Kokila</v>
          </cell>
          <cell r="BG1004" t="str">
            <v>Y</v>
          </cell>
        </row>
        <row r="1005">
          <cell r="A1005" t="str">
            <v>FBR2B240155</v>
          </cell>
          <cell r="B1005">
            <v>240155</v>
          </cell>
          <cell r="C1005" t="str">
            <v>R&amp;D</v>
          </cell>
          <cell r="D1005">
            <v>45423</v>
          </cell>
          <cell r="E1005">
            <v>0.4375</v>
          </cell>
          <cell r="F1005">
            <v>45413</v>
          </cell>
          <cell r="G1005">
            <v>45423</v>
          </cell>
          <cell r="H1005">
            <v>0.52500000000000002</v>
          </cell>
          <cell r="I1005">
            <v>8.7499999999999994E-2</v>
          </cell>
          <cell r="J1005">
            <v>0</v>
          </cell>
          <cell r="K1005" t="str">
            <v>FCB-PROTOCOL-02</v>
          </cell>
          <cell r="L1005" t="str">
            <v>OCO42</v>
          </cell>
          <cell r="M1005" t="str">
            <v>Y</v>
          </cell>
          <cell r="N1005" t="str">
            <v>ovary Biopsy (2B)</v>
          </cell>
          <cell r="O1005" t="str">
            <v>Internal R&amp;D</v>
          </cell>
          <cell r="P1005" t="str">
            <v>Q1 Passed</v>
          </cell>
          <cell r="Q1005" t="str">
            <v>Not Received</v>
          </cell>
          <cell r="R1005" t="str">
            <v>Q1.5 Passed</v>
          </cell>
          <cell r="S1005" t="str">
            <v>Q1.5 Rejected</v>
          </cell>
          <cell r="T1005" t="str">
            <v>Blood not collected</v>
          </cell>
          <cell r="V1005" t="str">
            <v>Tumor content 0-5%</v>
          </cell>
          <cell r="W1005" t="str">
            <v>Private Hospital</v>
          </cell>
          <cell r="X1005" t="str">
            <v>Mazumdar Shaw Medical Centre, Bangalore</v>
          </cell>
          <cell r="Y1005" t="str">
            <v>Mazumdar Shaw Medical Centre, Bangalore</v>
          </cell>
          <cell r="Z1005" t="str">
            <v>Dr Rohit Ranade, Bangalore</v>
          </cell>
          <cell r="AA1005" t="str">
            <v>Ca Ovary</v>
          </cell>
          <cell r="AC1005" t="str">
            <v>Peritoneal</v>
          </cell>
          <cell r="AD1005" t="str">
            <v>Peritoneal</v>
          </cell>
          <cell r="AE1005" t="str">
            <v>Female</v>
          </cell>
          <cell r="AF1005">
            <v>76</v>
          </cell>
          <cell r="AG1005" t="str">
            <v>N</v>
          </cell>
          <cell r="AH1005">
            <v>5.2</v>
          </cell>
          <cell r="AI1005" t="str">
            <v>Kalappa</v>
          </cell>
          <cell r="AJ1005" t="str">
            <v>Biopsy</v>
          </cell>
          <cell r="AK1005" t="str">
            <v>Primary</v>
          </cell>
          <cell r="AV1005">
            <v>45423</v>
          </cell>
          <cell r="AW1005">
            <v>0.53333333333333333</v>
          </cell>
          <cell r="AX1005">
            <v>0.56041666666666667</v>
          </cell>
          <cell r="AY1005">
            <v>2.7083333333333334E-2</v>
          </cell>
          <cell r="AZ1005">
            <v>0.47291666666666665</v>
          </cell>
          <cell r="BA1005">
            <v>0.12291666666666666</v>
          </cell>
          <cell r="BB1005" t="str">
            <v>2 Cores
0.5 &amp; 0.6</v>
          </cell>
          <cell r="BD1005" t="str">
            <v>Manual</v>
          </cell>
          <cell r="BE1005">
            <v>14</v>
          </cell>
          <cell r="BF1005" t="str">
            <v>Dharani</v>
          </cell>
          <cell r="BG1005" t="str">
            <v>N</v>
          </cell>
        </row>
        <row r="1006">
          <cell r="A1006">
            <v>240156</v>
          </cell>
          <cell r="B1006">
            <v>240156</v>
          </cell>
          <cell r="C1006" t="str">
            <v>R&amp;D</v>
          </cell>
          <cell r="D1006">
            <v>45427</v>
          </cell>
          <cell r="E1006">
            <v>0.56527777777777777</v>
          </cell>
          <cell r="F1006">
            <v>45413</v>
          </cell>
          <cell r="G1006">
            <v>45427</v>
          </cell>
          <cell r="H1006">
            <v>0.65486111111111112</v>
          </cell>
          <cell r="I1006">
            <v>8.9583333333333334E-2</v>
          </cell>
          <cell r="J1006">
            <v>11</v>
          </cell>
          <cell r="K1006" t="str">
            <v>FCB-PROTOCOL-02</v>
          </cell>
          <cell r="L1006" t="str">
            <v>HN139</v>
          </cell>
          <cell r="M1006" t="str">
            <v>Y</v>
          </cell>
          <cell r="N1006" t="str">
            <v>No Study</v>
          </cell>
          <cell r="O1006" t="str">
            <v>1st level attrition</v>
          </cell>
          <cell r="P1006" t="str">
            <v>Q1 Rejected</v>
          </cell>
          <cell r="Q1006" t="str">
            <v>Q1 Passed</v>
          </cell>
          <cell r="R1006" t="str">
            <v>Q1.5 Rejected</v>
          </cell>
          <cell r="S1006" t="str">
            <v>Q1.5 Rejected</v>
          </cell>
          <cell r="T1006" t="str">
            <v>Small size tissue</v>
          </cell>
          <cell r="W1006" t="str">
            <v>Private Hospital</v>
          </cell>
          <cell r="X1006" t="str">
            <v>Mazumdar Shaw Medical Centre, Bangalore</v>
          </cell>
          <cell r="Y1006" t="str">
            <v>Mazumdar Shaw Medical Centre, Bangalore</v>
          </cell>
          <cell r="Z1006" t="str">
            <v>Dr Vijay Pillai, Bangalore</v>
          </cell>
          <cell r="AA1006" t="str">
            <v>HNSCC</v>
          </cell>
          <cell r="AC1006" t="str">
            <v>Hard Palate</v>
          </cell>
          <cell r="AD1006" t="str">
            <v>Right Hard Palate</v>
          </cell>
          <cell r="AE1006" t="str">
            <v>Male</v>
          </cell>
          <cell r="AF1006">
            <v>44</v>
          </cell>
          <cell r="AG1006" t="str">
            <v>N</v>
          </cell>
          <cell r="AH1006">
            <v>4.8</v>
          </cell>
          <cell r="AI1006" t="str">
            <v>Kalappa</v>
          </cell>
          <cell r="AJ1006" t="str">
            <v>Surgery</v>
          </cell>
          <cell r="AK1006" t="str">
            <v>Primary</v>
          </cell>
          <cell r="AN1006" t="str">
            <v>II</v>
          </cell>
          <cell r="AO1006">
            <v>1</v>
          </cell>
          <cell r="AP1006" t="str">
            <v>pT2N0</v>
          </cell>
          <cell r="AS1006" t="str">
            <v>Well differentiated squamous cell carcinoma</v>
          </cell>
          <cell r="AV1006">
            <v>45427</v>
          </cell>
          <cell r="AW1006">
            <v>0.6694444444444444</v>
          </cell>
          <cell r="BB1006" t="str">
            <v>0.2*0.6*0.6
0.4*0.5*0.8</v>
          </cell>
          <cell r="BD1006" t="str">
            <v>Vibratome</v>
          </cell>
          <cell r="BE1006">
            <v>14</v>
          </cell>
          <cell r="BF1006" t="str">
            <v>Abdul</v>
          </cell>
          <cell r="BG1006" t="str">
            <v>Y</v>
          </cell>
        </row>
        <row r="1007">
          <cell r="A1007" t="str">
            <v>FBR1X240157</v>
          </cell>
          <cell r="B1007">
            <v>240157</v>
          </cell>
          <cell r="C1007" t="str">
            <v>R&amp;D</v>
          </cell>
          <cell r="D1007">
            <v>45427</v>
          </cell>
          <cell r="E1007">
            <v>0.625</v>
          </cell>
          <cell r="F1007">
            <v>45413</v>
          </cell>
          <cell r="G1007">
            <v>45427</v>
          </cell>
          <cell r="H1007">
            <v>0.65486111111111112</v>
          </cell>
          <cell r="I1007">
            <v>2.9861111111111113E-2</v>
          </cell>
          <cell r="J1007">
            <v>0</v>
          </cell>
          <cell r="K1007" t="str">
            <v>FCB-PROTOCOL-02</v>
          </cell>
          <cell r="L1007" t="str">
            <v>HN140</v>
          </cell>
          <cell r="M1007" t="str">
            <v>Y</v>
          </cell>
          <cell r="N1007" t="str">
            <v>Biopsy HNSCC (1X)</v>
          </cell>
          <cell r="O1007" t="str">
            <v>Internal R&amp;D</v>
          </cell>
          <cell r="P1007" t="str">
            <v>Q1 Passed</v>
          </cell>
          <cell r="Q1007" t="str">
            <v>Q1 Passed</v>
          </cell>
          <cell r="R1007" t="str">
            <v>Q1.5 Passed</v>
          </cell>
          <cell r="S1007" t="str">
            <v>Q1.5 Passed</v>
          </cell>
          <cell r="W1007" t="str">
            <v>Private Hospital</v>
          </cell>
          <cell r="X1007" t="str">
            <v>Mazumdar Shaw Medical Centre, Bangalore</v>
          </cell>
          <cell r="Y1007" t="str">
            <v>Mazumdar Shaw Medical Centre, Bangalore</v>
          </cell>
          <cell r="Z1007" t="str">
            <v>Dr Vijay Pillai, Bangalore</v>
          </cell>
          <cell r="AA1007" t="str">
            <v>HNSCC</v>
          </cell>
          <cell r="AC1007" t="str">
            <v>Larynx</v>
          </cell>
          <cell r="AD1007" t="str">
            <v>Larynx</v>
          </cell>
          <cell r="AE1007" t="str">
            <v>Male</v>
          </cell>
          <cell r="AF1007">
            <v>69</v>
          </cell>
          <cell r="AG1007" t="str">
            <v>N</v>
          </cell>
          <cell r="AH1007">
            <v>4.8</v>
          </cell>
          <cell r="AI1007" t="str">
            <v>Kalappa</v>
          </cell>
          <cell r="AJ1007" t="str">
            <v>Biopsy</v>
          </cell>
          <cell r="AK1007" t="str">
            <v>Primary</v>
          </cell>
          <cell r="AN1007" t="str">
            <v>NA</v>
          </cell>
          <cell r="AO1007" t="str">
            <v>NA</v>
          </cell>
          <cell r="AP1007" t="str">
            <v>NA</v>
          </cell>
          <cell r="AS1007" t="str">
            <v>MDSCC(Moderately Differentiated Squamous cell carcinoma)</v>
          </cell>
          <cell r="AV1007" t="str">
            <v>15-05-2024
27-05-2024</v>
          </cell>
          <cell r="AW1007">
            <v>0.67013888888888884</v>
          </cell>
          <cell r="AX1007">
            <v>0.67847222222222225</v>
          </cell>
          <cell r="BB1007" t="str">
            <v>1 Core
0.8/1.0</v>
          </cell>
          <cell r="BD1007" t="str">
            <v>Manual</v>
          </cell>
          <cell r="BE1007">
            <v>14</v>
          </cell>
          <cell r="BF1007" t="str">
            <v>Pallavi</v>
          </cell>
          <cell r="BG1007" t="str">
            <v>N</v>
          </cell>
        </row>
        <row r="1008">
          <cell r="A1008" t="str">
            <v>FBR1Y240158</v>
          </cell>
          <cell r="B1008">
            <v>240158</v>
          </cell>
          <cell r="C1008" t="str">
            <v>R&amp;D</v>
          </cell>
          <cell r="D1008">
            <v>45429</v>
          </cell>
          <cell r="E1008">
            <v>0.54861111111111116</v>
          </cell>
          <cell r="F1008">
            <v>45413</v>
          </cell>
          <cell r="G1008">
            <v>45429</v>
          </cell>
          <cell r="H1008">
            <v>0.68819444444444444</v>
          </cell>
          <cell r="I1008">
            <v>0.13958333333333334</v>
          </cell>
          <cell r="J1008">
            <v>16</v>
          </cell>
          <cell r="K1008" t="str">
            <v>FCB-PROTOCOL-02</v>
          </cell>
          <cell r="L1008" t="str">
            <v>HN141</v>
          </cell>
          <cell r="M1008" t="str">
            <v>Y</v>
          </cell>
          <cell r="N1008" t="str">
            <v>CCS Study (1Y)</v>
          </cell>
          <cell r="O1008" t="str">
            <v>Internal R&amp;D</v>
          </cell>
          <cell r="P1008" t="str">
            <v>Q1 Passed</v>
          </cell>
          <cell r="Q1008" t="str">
            <v>Not Received</v>
          </cell>
          <cell r="R1008" t="str">
            <v>Compromised</v>
          </cell>
          <cell r="S1008" t="str">
            <v>Q1.5 Rejected</v>
          </cell>
          <cell r="T1008" t="str">
            <v>T48 Plate Contaminated</v>
          </cell>
          <cell r="V1008" t="str">
            <v>Tumor content 0-80%</v>
          </cell>
          <cell r="W1008" t="str">
            <v>Private Hospital</v>
          </cell>
          <cell r="X1008" t="str">
            <v>Mazumdar Shaw Medical Centre, Bangalore</v>
          </cell>
          <cell r="Y1008" t="str">
            <v>Mazumdar Shaw Medical Centre, Bangalore</v>
          </cell>
          <cell r="Z1008" t="str">
            <v>Dr Vijay Pillai, Bangalore</v>
          </cell>
          <cell r="AA1008" t="str">
            <v>HNSCC</v>
          </cell>
          <cell r="AC1008" t="str">
            <v>Alveolus</v>
          </cell>
          <cell r="AD1008" t="str">
            <v>Right Maxillary Alveolus</v>
          </cell>
          <cell r="AE1008" t="str">
            <v>Female</v>
          </cell>
          <cell r="AF1008">
            <v>65</v>
          </cell>
          <cell r="AG1008" t="str">
            <v>N</v>
          </cell>
          <cell r="AH1008">
            <v>4.9000000000000004</v>
          </cell>
          <cell r="AI1008" t="str">
            <v>Kalappa</v>
          </cell>
          <cell r="AJ1008" t="str">
            <v>Surgery</v>
          </cell>
          <cell r="AK1008" t="str">
            <v>Primary</v>
          </cell>
          <cell r="AL1008" t="str">
            <v>chemotherapy</v>
          </cell>
          <cell r="AQ1008">
            <v>1</v>
          </cell>
          <cell r="AR1008" t="str">
            <v xml:space="preserve">DCF 75% </v>
          </cell>
          <cell r="AV1008">
            <v>45429</v>
          </cell>
          <cell r="AW1008">
            <v>0.70208333333333328</v>
          </cell>
          <cell r="AX1008">
            <v>0.79305555555555551</v>
          </cell>
          <cell r="AY1008">
            <v>9.0972222222222218E-2</v>
          </cell>
          <cell r="AZ1008">
            <v>0.65347222222222223</v>
          </cell>
          <cell r="BA1008">
            <v>0.24444444444444444</v>
          </cell>
          <cell r="BB1008" t="str">
            <v>1.6*1.2*2.8</v>
          </cell>
          <cell r="BC1008" t="str">
            <v>1.4/0.8*1.3*2.1/1.2
0.8/0.6*1.6*1.7</v>
          </cell>
          <cell r="BD1008" t="str">
            <v>Vibratome</v>
          </cell>
          <cell r="BE1008">
            <v>14</v>
          </cell>
          <cell r="BF1008" t="str">
            <v>Abdul</v>
          </cell>
          <cell r="BG1008" t="str">
            <v>N</v>
          </cell>
        </row>
        <row r="1009">
          <cell r="A1009" t="str">
            <v>FBR1Y240159</v>
          </cell>
          <cell r="B1009">
            <v>240159</v>
          </cell>
          <cell r="C1009" t="str">
            <v>R&amp;D</v>
          </cell>
          <cell r="D1009">
            <v>45432</v>
          </cell>
          <cell r="E1009">
            <v>0.66249999999999998</v>
          </cell>
          <cell r="F1009">
            <v>45413</v>
          </cell>
          <cell r="G1009">
            <v>45432</v>
          </cell>
          <cell r="H1009">
            <v>0.72152777777777777</v>
          </cell>
          <cell r="I1009">
            <v>5.9027777777777776E-2</v>
          </cell>
          <cell r="J1009">
            <v>16</v>
          </cell>
          <cell r="K1009" t="str">
            <v>FCB-PROTOCOL-02</v>
          </cell>
          <cell r="L1009" t="str">
            <v>HN142</v>
          </cell>
          <cell r="M1009" t="str">
            <v>Y</v>
          </cell>
          <cell r="N1009" t="str">
            <v>CCS Study (1Y)</v>
          </cell>
          <cell r="O1009" t="str">
            <v>Internal R&amp;D</v>
          </cell>
          <cell r="P1009" t="str">
            <v>Q1 Passed</v>
          </cell>
          <cell r="Q1009" t="str">
            <v>Q1 Rejected</v>
          </cell>
          <cell r="R1009" t="str">
            <v>Compromised</v>
          </cell>
          <cell r="S1009" t="str">
            <v>Q1.5 Passed</v>
          </cell>
          <cell r="T1009" t="str">
            <v>below 6ml</v>
          </cell>
          <cell r="V1009" t="str">
            <v>Tumor content 25-60%</v>
          </cell>
          <cell r="W1009" t="str">
            <v>Private Hospital</v>
          </cell>
          <cell r="X1009" t="str">
            <v>Mazumdar Shaw Medical Centre, Bangalore</v>
          </cell>
          <cell r="Y1009" t="str">
            <v>Mazumdar Shaw Medical Centre, Bangalore</v>
          </cell>
          <cell r="Z1009" t="str">
            <v>Dr Vijay Pillai, Bangalore</v>
          </cell>
          <cell r="AA1009" t="str">
            <v>HNSCC</v>
          </cell>
          <cell r="AC1009" t="str">
            <v>Tongue</v>
          </cell>
          <cell r="AD1009" t="str">
            <v>Left Lateral Tongue</v>
          </cell>
          <cell r="AE1009" t="str">
            <v>Male</v>
          </cell>
          <cell r="AF1009">
            <v>36</v>
          </cell>
          <cell r="AG1009" t="str">
            <v>N</v>
          </cell>
          <cell r="AH1009">
            <v>4.5999999999999996</v>
          </cell>
          <cell r="AI1009" t="str">
            <v>Kalappa</v>
          </cell>
          <cell r="AJ1009" t="str">
            <v>Surgery</v>
          </cell>
          <cell r="AK1009" t="str">
            <v>Primary</v>
          </cell>
          <cell r="AN1009" t="str">
            <v>IV</v>
          </cell>
          <cell r="AO1009">
            <v>2</v>
          </cell>
          <cell r="AP1009" t="str">
            <v>pT4aN3b</v>
          </cell>
          <cell r="AS1009" t="str">
            <v>MDSCC(Moderately Differentiated Squamous cell carcinoma)</v>
          </cell>
          <cell r="AV1009">
            <v>45432</v>
          </cell>
          <cell r="AW1009">
            <v>0.74097222222222225</v>
          </cell>
          <cell r="AX1009">
            <v>0.80972222222222223</v>
          </cell>
          <cell r="AY1009">
            <v>6.8750000000000006E-2</v>
          </cell>
          <cell r="AZ1009">
            <v>0.75069444444444444</v>
          </cell>
          <cell r="BA1009">
            <v>0.14722222222222223</v>
          </cell>
          <cell r="BB1009" t="str">
            <v>0.2/0.4*1.0/0.6*1.0</v>
          </cell>
          <cell r="BD1009" t="str">
            <v>Vibratome</v>
          </cell>
          <cell r="BE1009">
            <v>14</v>
          </cell>
          <cell r="BF1009" t="str">
            <v>Abdul</v>
          </cell>
          <cell r="BG1009" t="str">
            <v>N</v>
          </cell>
        </row>
        <row r="1010">
          <cell r="A1010" t="str">
            <v>FBR1Y240160</v>
          </cell>
          <cell r="B1010">
            <v>240160</v>
          </cell>
          <cell r="C1010" t="str">
            <v>R&amp;D</v>
          </cell>
          <cell r="D1010">
            <v>45432</v>
          </cell>
          <cell r="E1010">
            <v>0.53263888888888888</v>
          </cell>
          <cell r="F1010">
            <v>45413</v>
          </cell>
          <cell r="G1010">
            <v>45432</v>
          </cell>
          <cell r="H1010">
            <v>0.60347222222222219</v>
          </cell>
          <cell r="I1010">
            <v>7.0833333333333331E-2</v>
          </cell>
          <cell r="J1010">
            <v>5</v>
          </cell>
          <cell r="K1010" t="str">
            <v>FCB-PROTOCOL-01</v>
          </cell>
          <cell r="L1010" t="str">
            <v>VYD/283</v>
          </cell>
          <cell r="M1010" t="str">
            <v>Y</v>
          </cell>
          <cell r="N1010" t="str">
            <v>CCS Study (1Y)</v>
          </cell>
          <cell r="O1010" t="str">
            <v>Internal R&amp;D</v>
          </cell>
          <cell r="P1010" t="str">
            <v>Q1 Passed</v>
          </cell>
          <cell r="Q1010" t="str">
            <v>Q1 Passed</v>
          </cell>
          <cell r="R1010" t="str">
            <v>Q1.5 Passed</v>
          </cell>
          <cell r="S1010" t="str">
            <v>Q1.5 Passed</v>
          </cell>
          <cell r="V1010" t="str">
            <v>Tumor content 15-45%</v>
          </cell>
          <cell r="W1010" t="str">
            <v>Private Hospital</v>
          </cell>
          <cell r="X1010" t="str">
            <v>Vydehi Hospital, Bangalore</v>
          </cell>
          <cell r="Y1010" t="str">
            <v>Vydehi Hospital, Bangalore</v>
          </cell>
          <cell r="Z1010" t="str">
            <v>Dr Amritha Prabha, Bangalore</v>
          </cell>
          <cell r="AA1010" t="str">
            <v>HNSCC</v>
          </cell>
          <cell r="AC1010" t="str">
            <v>Buccal Mucosa</v>
          </cell>
          <cell r="AD1010" t="str">
            <v>Left Buccal Mucosa</v>
          </cell>
          <cell r="AE1010" t="str">
            <v>Female</v>
          </cell>
          <cell r="AF1010">
            <v>61</v>
          </cell>
          <cell r="AG1010" t="str">
            <v>N</v>
          </cell>
          <cell r="AH1010">
            <v>4.5999999999999996</v>
          </cell>
          <cell r="AI1010" t="str">
            <v>Kalappa</v>
          </cell>
          <cell r="AJ1010" t="str">
            <v>Surgery</v>
          </cell>
          <cell r="AK1010" t="str">
            <v>Primary</v>
          </cell>
          <cell r="AN1010" t="str">
            <v>IVa</v>
          </cell>
          <cell r="AO1010">
            <v>1</v>
          </cell>
          <cell r="AP1010" t="str">
            <v>T4aN0</v>
          </cell>
          <cell r="AS1010" t="str">
            <v>scc</v>
          </cell>
          <cell r="AT1010" t="str">
            <v>RT</v>
          </cell>
          <cell r="AV1010">
            <v>45432</v>
          </cell>
          <cell r="AW1010">
            <v>0.625</v>
          </cell>
          <cell r="AX1010">
            <v>0.72083333333333333</v>
          </cell>
          <cell r="AY1010">
            <v>9.583333333333334E-2</v>
          </cell>
          <cell r="AZ1010">
            <v>0.65</v>
          </cell>
          <cell r="BA1010">
            <v>0.18819444444444444</v>
          </cell>
          <cell r="BB1010" t="str">
            <v>0.6/0.8*1.2*1.6
0.5/0.4*0.6*0.9
0.2*0.4/0.5*0.6</v>
          </cell>
          <cell r="BC1010" t="str">
            <v>0.6/0.8*1.2*1.4/1.2
0.5/0.4*0.6*0.9
0.2*0.4/0.5*0.6</v>
          </cell>
          <cell r="BD1010" t="str">
            <v>Vibratome</v>
          </cell>
          <cell r="BE1010">
            <v>14</v>
          </cell>
          <cell r="BF1010" t="str">
            <v>Abdul</v>
          </cell>
          <cell r="BG1010" t="str">
            <v>Y</v>
          </cell>
        </row>
        <row r="1011">
          <cell r="A1011">
            <v>240161</v>
          </cell>
          <cell r="B1011">
            <v>240161</v>
          </cell>
          <cell r="C1011" t="str">
            <v>R&amp;D</v>
          </cell>
          <cell r="D1011">
            <v>45433</v>
          </cell>
          <cell r="E1011">
            <v>0.65277777777777779</v>
          </cell>
          <cell r="F1011">
            <v>45413</v>
          </cell>
          <cell r="G1011">
            <v>45433</v>
          </cell>
          <cell r="H1011">
            <v>0.74375000000000002</v>
          </cell>
          <cell r="I1011">
            <v>9.0972222222222218E-2</v>
          </cell>
          <cell r="J1011">
            <v>5</v>
          </cell>
          <cell r="K1011" t="str">
            <v>FCB-PROTOCOL-02</v>
          </cell>
          <cell r="L1011" t="str">
            <v>HN143</v>
          </cell>
          <cell r="M1011" t="str">
            <v>Y</v>
          </cell>
          <cell r="N1011" t="str">
            <v>No Study</v>
          </cell>
          <cell r="O1011" t="str">
            <v>1st level attrition</v>
          </cell>
          <cell r="P1011" t="str">
            <v>Q1 Rejected</v>
          </cell>
          <cell r="Q1011" t="str">
            <v>Not Received</v>
          </cell>
          <cell r="R1011" t="str">
            <v>Q1.5 Rejected</v>
          </cell>
          <cell r="S1011" t="str">
            <v>Q1.5 Rejected</v>
          </cell>
          <cell r="T1011" t="str">
            <v>Very small size and blood also not colllected</v>
          </cell>
          <cell r="W1011" t="str">
            <v>Private Hospital</v>
          </cell>
          <cell r="X1011" t="str">
            <v>Mazumdar Shaw Medical Centre, Bangalore</v>
          </cell>
          <cell r="Y1011" t="str">
            <v>Mazumdar Shaw Medical Centre, Bangalore</v>
          </cell>
          <cell r="Z1011" t="str">
            <v>Dr Vijay Pillai, Bangalore</v>
          </cell>
          <cell r="AA1011" t="str">
            <v>HNSCC</v>
          </cell>
          <cell r="AC1011" t="str">
            <v>Tongue</v>
          </cell>
          <cell r="AD1011" t="str">
            <v>Tongue</v>
          </cell>
          <cell r="AE1011" t="str">
            <v>Male</v>
          </cell>
          <cell r="AF1011">
            <v>34</v>
          </cell>
          <cell r="AG1011" t="str">
            <v>N</v>
          </cell>
          <cell r="AH1011">
            <v>4.2</v>
          </cell>
          <cell r="AI1011" t="str">
            <v>Kalappa</v>
          </cell>
          <cell r="AJ1011" t="str">
            <v>Surgery</v>
          </cell>
          <cell r="AK1011" t="str">
            <v>Primary</v>
          </cell>
          <cell r="AV1011">
            <v>45433</v>
          </cell>
          <cell r="AW1011">
            <v>0.75416666666666665</v>
          </cell>
          <cell r="BB1011" t="str">
            <v>0.2*0.4*0.4
0.2*0.3*0.6
0.1/0.2*0.3*0.3</v>
          </cell>
          <cell r="BG1011" t="str">
            <v>N</v>
          </cell>
        </row>
        <row r="1012">
          <cell r="A1012" t="str">
            <v>FBR1Y240162</v>
          </cell>
          <cell r="B1012">
            <v>240162</v>
          </cell>
          <cell r="C1012" t="str">
            <v>R&amp;D</v>
          </cell>
          <cell r="D1012">
            <v>45434</v>
          </cell>
          <cell r="E1012">
            <v>0.48958333333333331</v>
          </cell>
          <cell r="F1012">
            <v>45413</v>
          </cell>
          <cell r="G1012">
            <v>45434</v>
          </cell>
          <cell r="H1012">
            <v>0.59236111111111112</v>
          </cell>
          <cell r="I1012">
            <v>0.10277777777777777</v>
          </cell>
          <cell r="J1012">
            <v>5</v>
          </cell>
          <cell r="K1012" t="str">
            <v>FCB-PROTOCOL-01</v>
          </cell>
          <cell r="L1012" t="str">
            <v>VYD/284</v>
          </cell>
          <cell r="M1012" t="str">
            <v>Y</v>
          </cell>
          <cell r="N1012" t="str">
            <v>CCS Study (1Y)</v>
          </cell>
          <cell r="O1012" t="str">
            <v>Internal R&amp;D</v>
          </cell>
          <cell r="P1012" t="str">
            <v>Q1 Passed</v>
          </cell>
          <cell r="Q1012" t="str">
            <v>Q1 Passed</v>
          </cell>
          <cell r="R1012" t="str">
            <v>Q1.5 Passed</v>
          </cell>
          <cell r="S1012" t="str">
            <v>Q1.5 Passed</v>
          </cell>
          <cell r="V1012" t="str">
            <v>Tumor content 60-80%</v>
          </cell>
          <cell r="W1012" t="str">
            <v>Private Hospital</v>
          </cell>
          <cell r="X1012" t="str">
            <v>Vydehi Hospital, Bangalore</v>
          </cell>
          <cell r="Y1012" t="str">
            <v>Vydehi Hospital, Bangalore</v>
          </cell>
          <cell r="Z1012" t="str">
            <v>Dr Amritha Prabha, Bangalore</v>
          </cell>
          <cell r="AA1012" t="str">
            <v>HNSCC</v>
          </cell>
          <cell r="AC1012" t="str">
            <v>Buccal Mucosa</v>
          </cell>
          <cell r="AD1012" t="str">
            <v>Left Buccal Mucosa, Lower Alveolus &amp; Central Arch</v>
          </cell>
          <cell r="AE1012" t="str">
            <v>Female</v>
          </cell>
          <cell r="AF1012">
            <v>55</v>
          </cell>
          <cell r="AG1012" t="str">
            <v>N</v>
          </cell>
          <cell r="AH1012">
            <v>5.2</v>
          </cell>
          <cell r="AI1012" t="str">
            <v>Kalappa</v>
          </cell>
          <cell r="AJ1012" t="str">
            <v>Surgery</v>
          </cell>
          <cell r="AK1012" t="str">
            <v>Primary</v>
          </cell>
          <cell r="AN1012" t="str">
            <v>III</v>
          </cell>
          <cell r="AO1012">
            <v>2</v>
          </cell>
          <cell r="AP1012" t="str">
            <v>T3N0</v>
          </cell>
          <cell r="AS1012" t="str">
            <v>scc</v>
          </cell>
          <cell r="AT1012" t="str">
            <v>RT</v>
          </cell>
          <cell r="AV1012">
            <v>45434</v>
          </cell>
          <cell r="AW1012">
            <v>0.60972222222222228</v>
          </cell>
          <cell r="AX1012">
            <v>0.71319444444444446</v>
          </cell>
          <cell r="AY1012">
            <v>0.10347222222222222</v>
          </cell>
          <cell r="AZ1012">
            <v>0.61041666666666672</v>
          </cell>
          <cell r="BA1012">
            <v>0.22361111111111112</v>
          </cell>
          <cell r="BB1012" t="str">
            <v>0.5/0.3*1.6/0.6*2.0/1.8</v>
          </cell>
          <cell r="BD1012" t="str">
            <v>Vibratome</v>
          </cell>
          <cell r="BE1012">
            <v>14</v>
          </cell>
          <cell r="BF1012" t="str">
            <v>kuberan</v>
          </cell>
          <cell r="BG1012" t="str">
            <v>Y</v>
          </cell>
        </row>
        <row r="1013">
          <cell r="A1013" t="str">
            <v>FBR2F240162</v>
          </cell>
          <cell r="B1013">
            <v>240162</v>
          </cell>
          <cell r="C1013" t="str">
            <v>R&amp;D</v>
          </cell>
          <cell r="D1013">
            <v>45434</v>
          </cell>
          <cell r="E1013">
            <v>0.48958333333333331</v>
          </cell>
          <cell r="F1013">
            <v>45413</v>
          </cell>
          <cell r="G1013">
            <v>45434</v>
          </cell>
          <cell r="H1013">
            <v>0.59236111111111112</v>
          </cell>
          <cell r="I1013">
            <v>0.10277777777777777</v>
          </cell>
          <cell r="J1013">
            <v>5</v>
          </cell>
          <cell r="K1013" t="str">
            <v>FCB-PROTOCOL-01</v>
          </cell>
          <cell r="L1013" t="str">
            <v>VYD/284</v>
          </cell>
          <cell r="M1013" t="str">
            <v>Y</v>
          </cell>
          <cell r="N1013" t="str">
            <v>CCS Study (1Y)</v>
          </cell>
          <cell r="O1013" t="str">
            <v>Internal R&amp;D</v>
          </cell>
          <cell r="P1013" t="str">
            <v>Q1 Passed</v>
          </cell>
          <cell r="Q1013" t="str">
            <v>Q1 Passed</v>
          </cell>
          <cell r="R1013" t="str">
            <v>Q1.5 Passed</v>
          </cell>
          <cell r="S1013" t="str">
            <v>Q1.5 Passed</v>
          </cell>
          <cell r="V1013" t="str">
            <v>Tumor content 60-80%</v>
          </cell>
          <cell r="W1013" t="str">
            <v>Private Hospital</v>
          </cell>
          <cell r="X1013" t="str">
            <v>Vydehi Hospital, Bangalore</v>
          </cell>
          <cell r="Y1013" t="str">
            <v>Vydehi Hospital, Bangalore</v>
          </cell>
          <cell r="Z1013" t="str">
            <v>Dr Amritha Prabha, Bangalore</v>
          </cell>
          <cell r="AA1013" t="str">
            <v>HNSCC</v>
          </cell>
          <cell r="AC1013" t="str">
            <v>Buccal Mucosa</v>
          </cell>
          <cell r="AD1013" t="str">
            <v>Left Buccal Mucosa, Lower Alveolus &amp; Central Arch</v>
          </cell>
          <cell r="AE1013" t="str">
            <v>Female</v>
          </cell>
          <cell r="AF1013">
            <v>55</v>
          </cell>
          <cell r="AG1013" t="str">
            <v>N</v>
          </cell>
          <cell r="AH1013">
            <v>5.2</v>
          </cell>
          <cell r="AI1013" t="str">
            <v>Kalappa</v>
          </cell>
          <cell r="AJ1013" t="str">
            <v>Surgery</v>
          </cell>
          <cell r="AK1013" t="str">
            <v>Primary</v>
          </cell>
          <cell r="AN1013" t="str">
            <v>III</v>
          </cell>
          <cell r="AO1013">
            <v>2</v>
          </cell>
          <cell r="AP1013" t="str">
            <v>T3N0</v>
          </cell>
          <cell r="AS1013" t="str">
            <v>scc</v>
          </cell>
          <cell r="AT1013" t="str">
            <v>RT</v>
          </cell>
        </row>
        <row r="1014">
          <cell r="A1014" t="str">
            <v>FBR1Y240163</v>
          </cell>
          <cell r="B1014">
            <v>240163</v>
          </cell>
          <cell r="C1014" t="str">
            <v>R&amp;D</v>
          </cell>
          <cell r="D1014">
            <v>45434</v>
          </cell>
          <cell r="E1014">
            <v>0.50347222222222221</v>
          </cell>
          <cell r="F1014">
            <v>45413</v>
          </cell>
          <cell r="G1014">
            <v>45434</v>
          </cell>
          <cell r="H1014">
            <v>0.87361111111111112</v>
          </cell>
          <cell r="I1014">
            <v>0.37013888888888891</v>
          </cell>
          <cell r="J1014">
            <v>15</v>
          </cell>
          <cell r="K1014" t="str">
            <v>FCB-PROTOCOL-01</v>
          </cell>
          <cell r="L1014" t="str">
            <v>CLN/DBR/187</v>
          </cell>
          <cell r="M1014" t="str">
            <v>Y</v>
          </cell>
          <cell r="N1014" t="str">
            <v>CCS Study (1Y)</v>
          </cell>
          <cell r="O1014" t="str">
            <v>Internal R&amp;D</v>
          </cell>
          <cell r="P1014" t="str">
            <v>Q1 Passed</v>
          </cell>
          <cell r="Q1014" t="str">
            <v>Q1 Passed</v>
          </cell>
          <cell r="R1014" t="str">
            <v>Q1.5 Passed</v>
          </cell>
          <cell r="S1014" t="str">
            <v>Q1.5 Passed</v>
          </cell>
          <cell r="V1014" t="str">
            <v>Tumor content 40-65%</v>
          </cell>
          <cell r="W1014" t="str">
            <v>Private Hospital</v>
          </cell>
          <cell r="X1014" t="str">
            <v>Clinic'les- DBR &amp; SK Hospital, Tirupati</v>
          </cell>
          <cell r="Y1014" t="str">
            <v>DBR &amp; SK Hospital, Tirupati</v>
          </cell>
          <cell r="Z1014" t="str">
            <v>Dr C Jayaprakash, Tirupati</v>
          </cell>
          <cell r="AA1014" t="str">
            <v>HNSCC</v>
          </cell>
          <cell r="AC1014" t="str">
            <v>Tongue</v>
          </cell>
          <cell r="AD1014" t="str">
            <v>Tongue</v>
          </cell>
          <cell r="AE1014" t="str">
            <v>Male</v>
          </cell>
          <cell r="AF1014">
            <v>74</v>
          </cell>
          <cell r="AG1014" t="str">
            <v>N</v>
          </cell>
          <cell r="AH1014">
            <v>6.2</v>
          </cell>
          <cell r="AI1014" t="str">
            <v>Maruthi</v>
          </cell>
          <cell r="AJ1014" t="str">
            <v>Surgery</v>
          </cell>
          <cell r="AK1014" t="str">
            <v>Primary</v>
          </cell>
          <cell r="AV1014">
            <v>45435</v>
          </cell>
          <cell r="AW1014">
            <v>0.29305555555555557</v>
          </cell>
          <cell r="AX1014">
            <v>0.36666666666666664</v>
          </cell>
          <cell r="AY1014">
            <v>7.3611111111111113E-2</v>
          </cell>
          <cell r="AZ1014">
            <v>0.99652777777777779</v>
          </cell>
          <cell r="BA1014">
            <v>0.86319444444444449</v>
          </cell>
          <cell r="BB1014" t="str">
            <v>0.6/0.4*1.2/1.0*2.2</v>
          </cell>
          <cell r="BD1014" t="str">
            <v>Vibratome</v>
          </cell>
          <cell r="BE1014">
            <v>14</v>
          </cell>
          <cell r="BF1014" t="str">
            <v>Kokila</v>
          </cell>
          <cell r="BG1014" t="str">
            <v>Y</v>
          </cell>
        </row>
        <row r="1015">
          <cell r="A1015" t="str">
            <v>FBR1Y240164</v>
          </cell>
          <cell r="B1015">
            <v>240164</v>
          </cell>
          <cell r="C1015" t="str">
            <v>R&amp;D</v>
          </cell>
          <cell r="D1015">
            <v>45435</v>
          </cell>
          <cell r="E1015">
            <v>0.56041666666666667</v>
          </cell>
          <cell r="F1015">
            <v>45413</v>
          </cell>
          <cell r="G1015">
            <v>45435</v>
          </cell>
          <cell r="H1015">
            <v>0.62291666666666667</v>
          </cell>
          <cell r="I1015">
            <v>6.25E-2</v>
          </cell>
          <cell r="J1015">
            <v>3</v>
          </cell>
          <cell r="K1015" t="str">
            <v>FCB-PROTOCOL-01</v>
          </cell>
          <cell r="L1015" t="str">
            <v>VYD/285</v>
          </cell>
          <cell r="M1015" t="str">
            <v>Y</v>
          </cell>
          <cell r="N1015" t="str">
            <v>CCS Study (1Y)</v>
          </cell>
          <cell r="O1015" t="str">
            <v>Internal R&amp;D</v>
          </cell>
          <cell r="P1015" t="str">
            <v>Q1 Passed</v>
          </cell>
          <cell r="Q1015" t="str">
            <v>Q1 Passed</v>
          </cell>
          <cell r="R1015" t="str">
            <v>Q1.5 Passed</v>
          </cell>
          <cell r="S1015" t="str">
            <v>Q1.5 Passed</v>
          </cell>
          <cell r="V1015" t="str">
            <v>Tumor content 15-85%</v>
          </cell>
          <cell r="W1015" t="str">
            <v>Private Hospital</v>
          </cell>
          <cell r="X1015" t="str">
            <v>Vydehi Hospital, Bangalore</v>
          </cell>
          <cell r="Y1015" t="str">
            <v>Vydehi Hospital, Bangalore</v>
          </cell>
          <cell r="Z1015" t="str">
            <v>Dr Amritha Prabha, Bangalore</v>
          </cell>
          <cell r="AA1015" t="str">
            <v>HNSCC</v>
          </cell>
          <cell r="AC1015" t="str">
            <v>Buccal Mucosa</v>
          </cell>
          <cell r="AD1015" t="str">
            <v>Left Buccal Mucosa, Lower Alveolus &amp; Central Arch</v>
          </cell>
          <cell r="AE1015" t="str">
            <v>Male</v>
          </cell>
          <cell r="AF1015">
            <v>55</v>
          </cell>
          <cell r="AG1015" t="str">
            <v>N</v>
          </cell>
          <cell r="AH1015">
            <v>5.2</v>
          </cell>
          <cell r="AI1015" t="str">
            <v>Shashi</v>
          </cell>
          <cell r="AJ1015" t="str">
            <v>Surgery</v>
          </cell>
          <cell r="AK1015" t="str">
            <v>Primary</v>
          </cell>
          <cell r="AN1015" t="str">
            <v>IVa</v>
          </cell>
          <cell r="AO1015">
            <v>1</v>
          </cell>
          <cell r="AP1015" t="str">
            <v>T4aN0</v>
          </cell>
          <cell r="AS1015" t="str">
            <v>scc</v>
          </cell>
          <cell r="AT1015" t="str">
            <v>CTRT</v>
          </cell>
          <cell r="AU1015" t="str">
            <v>Cisplatin</v>
          </cell>
          <cell r="AV1015">
            <v>45435</v>
          </cell>
          <cell r="AW1015">
            <v>0.63541666666666663</v>
          </cell>
          <cell r="AX1015">
            <v>0.72013888888888888</v>
          </cell>
          <cell r="AY1015">
            <v>8.4722222222222227E-2</v>
          </cell>
          <cell r="AZ1015">
            <v>0.65763888888888888</v>
          </cell>
          <cell r="BA1015">
            <v>0.15972222222222221</v>
          </cell>
          <cell r="BB1015" t="str">
            <v>0.6/0.8*1.0*1.1</v>
          </cell>
          <cell r="BD1015" t="str">
            <v>Vibratome</v>
          </cell>
          <cell r="BE1015">
            <v>14</v>
          </cell>
          <cell r="BF1015" t="str">
            <v>chandan</v>
          </cell>
          <cell r="BG1015" t="str">
            <v>Y</v>
          </cell>
        </row>
        <row r="1016">
          <cell r="A1016" t="str">
            <v>FBR2F240164</v>
          </cell>
          <cell r="B1016">
            <v>240164</v>
          </cell>
          <cell r="C1016" t="str">
            <v>R&amp;D</v>
          </cell>
          <cell r="D1016">
            <v>45435</v>
          </cell>
          <cell r="E1016">
            <v>0.56041666666666667</v>
          </cell>
          <cell r="F1016">
            <v>45413</v>
          </cell>
          <cell r="G1016">
            <v>45435</v>
          </cell>
          <cell r="H1016">
            <v>0.62291666666666667</v>
          </cell>
          <cell r="I1016">
            <v>6.25E-2</v>
          </cell>
          <cell r="J1016">
            <v>3</v>
          </cell>
          <cell r="K1016" t="str">
            <v>FCB-PROTOCOL-01</v>
          </cell>
          <cell r="L1016" t="str">
            <v>VYD/285</v>
          </cell>
          <cell r="M1016" t="str">
            <v>Y</v>
          </cell>
          <cell r="N1016" t="str">
            <v>CCS Study (1Y)</v>
          </cell>
          <cell r="O1016" t="str">
            <v>Internal R&amp;D</v>
          </cell>
          <cell r="P1016" t="str">
            <v>Q1 Passed</v>
          </cell>
          <cell r="Q1016" t="str">
            <v>Q1 Passed</v>
          </cell>
          <cell r="R1016" t="str">
            <v>Q1.5 Passed</v>
          </cell>
          <cell r="S1016" t="str">
            <v>Q1.5 Passed</v>
          </cell>
          <cell r="V1016" t="str">
            <v>Tumor content 15-85%</v>
          </cell>
          <cell r="W1016" t="str">
            <v>Private Hospital</v>
          </cell>
          <cell r="X1016" t="str">
            <v>Vydehi Hospital, Bangalore</v>
          </cell>
          <cell r="Y1016" t="str">
            <v>Vydehi Hospital, Bangalore</v>
          </cell>
          <cell r="Z1016" t="str">
            <v>Dr Amritha Prabha, Bangalore</v>
          </cell>
          <cell r="AA1016" t="str">
            <v>HNSCC</v>
          </cell>
          <cell r="AC1016" t="str">
            <v>Buccal Mucosa</v>
          </cell>
          <cell r="AD1016" t="str">
            <v>Left Buccal Mucosa, Lower Alveolus &amp; Central Arch</v>
          </cell>
          <cell r="AE1016" t="str">
            <v>Male</v>
          </cell>
          <cell r="AF1016">
            <v>55</v>
          </cell>
          <cell r="AG1016" t="str">
            <v>N</v>
          </cell>
          <cell r="AH1016">
            <v>5.2</v>
          </cell>
          <cell r="AI1016" t="str">
            <v>Shashi</v>
          </cell>
          <cell r="AJ1016" t="str">
            <v>Surgery</v>
          </cell>
          <cell r="AK1016" t="str">
            <v>Primary</v>
          </cell>
          <cell r="AN1016" t="str">
            <v>IVa</v>
          </cell>
          <cell r="AO1016">
            <v>1</v>
          </cell>
          <cell r="AP1016" t="str">
            <v>T4aN0</v>
          </cell>
          <cell r="AS1016" t="str">
            <v>scc</v>
          </cell>
          <cell r="AT1016" t="str">
            <v>CTRT</v>
          </cell>
          <cell r="AU1016" t="str">
            <v>Cisplatin</v>
          </cell>
        </row>
        <row r="1017">
          <cell r="A1017">
            <v>240165</v>
          </cell>
          <cell r="B1017">
            <v>240165</v>
          </cell>
          <cell r="C1017" t="str">
            <v>R&amp;D</v>
          </cell>
          <cell r="D1017">
            <v>45436</v>
          </cell>
          <cell r="E1017">
            <v>0.44236111111111109</v>
          </cell>
          <cell r="F1017">
            <v>45413</v>
          </cell>
          <cell r="G1017">
            <v>45436</v>
          </cell>
          <cell r="H1017">
            <v>0.56736111111111109</v>
          </cell>
          <cell r="I1017">
            <v>0.125</v>
          </cell>
          <cell r="J1017">
            <v>3</v>
          </cell>
          <cell r="K1017" t="str">
            <v>FCB-PROTOCOL-01</v>
          </cell>
          <cell r="L1017" t="str">
            <v>VYD/286</v>
          </cell>
          <cell r="M1017" t="str">
            <v>Y</v>
          </cell>
          <cell r="N1017" t="str">
            <v>No Study</v>
          </cell>
          <cell r="O1017" t="str">
            <v>1st level attrition</v>
          </cell>
          <cell r="P1017" t="str">
            <v>Q1 Rejected</v>
          </cell>
          <cell r="Q1017" t="str">
            <v>Q1 Passed</v>
          </cell>
          <cell r="R1017" t="str">
            <v>Q1.5 Rejected</v>
          </cell>
          <cell r="S1017" t="str">
            <v>Q1.5 Rejected</v>
          </cell>
          <cell r="T1017" t="str">
            <v>Tissue was Fluffy and No hard portion</v>
          </cell>
          <cell r="W1017" t="str">
            <v>Private Hospital</v>
          </cell>
          <cell r="X1017" t="str">
            <v>Vydehi Hospital, Bangalore</v>
          </cell>
          <cell r="Y1017" t="str">
            <v>Vydehi Hospital, Bangalore</v>
          </cell>
          <cell r="Z1017" t="str">
            <v>Dr Amritha Prabha, Bangalore</v>
          </cell>
          <cell r="AA1017" t="str">
            <v>HNSCC</v>
          </cell>
          <cell r="AC1017" t="str">
            <v>RMT</v>
          </cell>
          <cell r="AD1017" t="str">
            <v>Left RMT</v>
          </cell>
          <cell r="AE1017" t="str">
            <v>Female</v>
          </cell>
          <cell r="AF1017">
            <v>64</v>
          </cell>
          <cell r="AG1017" t="str">
            <v>N</v>
          </cell>
          <cell r="AH1017">
            <v>5.2</v>
          </cell>
          <cell r="AI1017" t="str">
            <v>Kalappa</v>
          </cell>
          <cell r="AJ1017" t="str">
            <v>Surgery</v>
          </cell>
          <cell r="AK1017" t="str">
            <v>Primary</v>
          </cell>
          <cell r="AL1017" t="str">
            <v>Chemotherapy</v>
          </cell>
          <cell r="AQ1017">
            <v>4</v>
          </cell>
          <cell r="AR1017" t="str">
            <v>Pacli+Carbo</v>
          </cell>
          <cell r="AV1017">
            <v>45436</v>
          </cell>
          <cell r="AW1017">
            <v>0.59930555555555554</v>
          </cell>
          <cell r="BB1017" t="str">
            <v>0.6*1.1*1.0</v>
          </cell>
          <cell r="BC1017" t="str">
            <v>0.4*0.8*1.0</v>
          </cell>
          <cell r="BD1017" t="str">
            <v>Vibratome</v>
          </cell>
          <cell r="BE1017">
            <v>14</v>
          </cell>
          <cell r="BF1017" t="str">
            <v>Dharani</v>
          </cell>
          <cell r="BG1017" t="str">
            <v>Y</v>
          </cell>
        </row>
        <row r="1018">
          <cell r="A1018">
            <v>240166</v>
          </cell>
          <cell r="B1018">
            <v>240166</v>
          </cell>
          <cell r="C1018" t="str">
            <v>R&amp;D</v>
          </cell>
          <cell r="D1018">
            <v>45439</v>
          </cell>
          <cell r="E1018">
            <v>0.49652777777777779</v>
          </cell>
          <cell r="F1018">
            <v>45413</v>
          </cell>
          <cell r="G1018">
            <v>45439</v>
          </cell>
          <cell r="H1018">
            <v>0.86458333333333337</v>
          </cell>
          <cell r="I1018">
            <v>0.36805555555555558</v>
          </cell>
          <cell r="J1018">
            <v>10</v>
          </cell>
          <cell r="K1018" t="str">
            <v>FCB-PROTOCOL-01</v>
          </cell>
          <cell r="L1018" t="str">
            <v>CLN/DBR/188</v>
          </cell>
          <cell r="M1018" t="str">
            <v>Y</v>
          </cell>
          <cell r="N1018" t="str">
            <v>No Study</v>
          </cell>
          <cell r="O1018" t="str">
            <v>1st level attrition</v>
          </cell>
          <cell r="P1018" t="str">
            <v>Q1 Rejected</v>
          </cell>
          <cell r="Q1018" t="str">
            <v>Q1 Passed</v>
          </cell>
          <cell r="R1018" t="str">
            <v>Q1.5 Rejected</v>
          </cell>
          <cell r="S1018" t="str">
            <v>Q1.5 Rejected</v>
          </cell>
          <cell r="T1018" t="str">
            <v>Tissue was hard and powdery</v>
          </cell>
          <cell r="W1018" t="str">
            <v>Private Hospital</v>
          </cell>
          <cell r="X1018" t="str">
            <v>Clinic'les- DBR &amp; SK Hospital, Tirupati</v>
          </cell>
          <cell r="Y1018" t="str">
            <v>DBR &amp; SK Hospital, Tirupati</v>
          </cell>
          <cell r="Z1018" t="str">
            <v>Dr C Jayaprakash, Tirupati</v>
          </cell>
          <cell r="AA1018" t="str">
            <v>HNSCC</v>
          </cell>
          <cell r="AC1018" t="str">
            <v>Buccal Mucosa</v>
          </cell>
          <cell r="AD1018" t="str">
            <v>Left Buccal Mucosa, Lower Alveolus &amp; Central Arch</v>
          </cell>
          <cell r="AE1018" t="str">
            <v>Female</v>
          </cell>
          <cell r="AF1018">
            <v>63</v>
          </cell>
          <cell r="AG1018" t="str">
            <v>N</v>
          </cell>
          <cell r="AH1018">
            <v>5.3</v>
          </cell>
          <cell r="AI1018" t="str">
            <v>Shashi</v>
          </cell>
          <cell r="AJ1018" t="str">
            <v>Surgery</v>
          </cell>
          <cell r="AK1018" t="str">
            <v>Primary</v>
          </cell>
          <cell r="AV1018">
            <v>45439</v>
          </cell>
          <cell r="AW1018">
            <v>0.31180555555555556</v>
          </cell>
          <cell r="BB1018" t="str">
            <v>0.2/0.4*1..6*1.4
0.2*1.5*1.2</v>
          </cell>
          <cell r="BD1018" t="str">
            <v>Vibratome</v>
          </cell>
          <cell r="BE1018">
            <v>14</v>
          </cell>
          <cell r="BF1018" t="str">
            <v>kuberan</v>
          </cell>
          <cell r="BG1018" t="str">
            <v>Y</v>
          </cell>
        </row>
        <row r="1019">
          <cell r="A1019" t="str">
            <v>FBR1Y240167</v>
          </cell>
          <cell r="B1019">
            <v>240167</v>
          </cell>
          <cell r="C1019" t="str">
            <v>R&amp;D</v>
          </cell>
          <cell r="D1019">
            <v>45440</v>
          </cell>
          <cell r="E1019">
            <v>0.51041666666666663</v>
          </cell>
          <cell r="F1019">
            <v>45413</v>
          </cell>
          <cell r="G1019">
            <v>45440</v>
          </cell>
          <cell r="H1019">
            <v>0.84583333333333333</v>
          </cell>
          <cell r="I1019">
            <v>0.33541666666666664</v>
          </cell>
          <cell r="J1019">
            <v>5</v>
          </cell>
          <cell r="K1019" t="str">
            <v>FCB-PROTOCOL-01</v>
          </cell>
          <cell r="L1019" t="str">
            <v>CLN/DBR/189</v>
          </cell>
          <cell r="M1019" t="str">
            <v>Y</v>
          </cell>
          <cell r="N1019" t="str">
            <v>CCS Study (1Y)</v>
          </cell>
          <cell r="O1019" t="str">
            <v>Internal R&amp;D</v>
          </cell>
          <cell r="P1019" t="str">
            <v>Q1 Passed</v>
          </cell>
          <cell r="Q1019" t="str">
            <v>Q1 Passed</v>
          </cell>
          <cell r="R1019" t="str">
            <v>Q1.5 Passed</v>
          </cell>
          <cell r="S1019" t="str">
            <v>Q1.5 Passed</v>
          </cell>
          <cell r="V1019" t="str">
            <v>Tumor content 45-80%</v>
          </cell>
          <cell r="W1019" t="str">
            <v>Private Hospital</v>
          </cell>
          <cell r="X1019" t="str">
            <v>Clinic'les- DBR &amp; SK Hospital, Tirupati</v>
          </cell>
          <cell r="Y1019" t="str">
            <v>DBR &amp; SK Hospital, Tirupati</v>
          </cell>
          <cell r="Z1019" t="str">
            <v>Dr C Jayaprakash, Tirupati</v>
          </cell>
          <cell r="AA1019" t="str">
            <v>HNSCC</v>
          </cell>
          <cell r="AC1019" t="str">
            <v>Buccal Mucosa</v>
          </cell>
          <cell r="AD1019" t="str">
            <v>Right Buccal Mucosa</v>
          </cell>
          <cell r="AE1019" t="str">
            <v>Female</v>
          </cell>
          <cell r="AF1019">
            <v>73</v>
          </cell>
          <cell r="AG1019" t="str">
            <v>N</v>
          </cell>
          <cell r="AH1019">
            <v>6.5</v>
          </cell>
          <cell r="AI1019" t="str">
            <v>Maruthi</v>
          </cell>
          <cell r="AJ1019" t="str">
            <v>Surgery</v>
          </cell>
          <cell r="AK1019" t="str">
            <v>Primary</v>
          </cell>
          <cell r="AV1019">
            <v>45440</v>
          </cell>
          <cell r="AW1019">
            <v>0.8618055555555556</v>
          </cell>
          <cell r="AX1019">
            <v>0.9604166666666667</v>
          </cell>
          <cell r="AY1019">
            <v>9.8611111111111108E-2</v>
          </cell>
          <cell r="AZ1019">
            <v>0.625</v>
          </cell>
          <cell r="BA1019">
            <v>0.45</v>
          </cell>
          <cell r="BB1019" t="str">
            <v>0.6/0.8*1.8*2.1</v>
          </cell>
          <cell r="BD1019" t="str">
            <v>Vibratome</v>
          </cell>
          <cell r="BE1019">
            <v>14</v>
          </cell>
          <cell r="BF1019" t="str">
            <v xml:space="preserve">sai </v>
          </cell>
          <cell r="BG1019" t="str">
            <v>Y</v>
          </cell>
        </row>
        <row r="1020">
          <cell r="A1020" t="str">
            <v>FBR2F240167</v>
          </cell>
          <cell r="B1020">
            <v>240167</v>
          </cell>
          <cell r="C1020" t="str">
            <v>R&amp;D</v>
          </cell>
          <cell r="D1020">
            <v>45440</v>
          </cell>
          <cell r="E1020">
            <v>0.51041666666666663</v>
          </cell>
          <cell r="F1020">
            <v>45413</v>
          </cell>
          <cell r="G1020">
            <v>45440</v>
          </cell>
          <cell r="H1020">
            <v>0.84583333333333333</v>
          </cell>
          <cell r="I1020">
            <v>0.33541666666666664</v>
          </cell>
          <cell r="J1020">
            <v>5</v>
          </cell>
          <cell r="K1020" t="str">
            <v>FCB-PROTOCOL-01</v>
          </cell>
          <cell r="L1020" t="str">
            <v>CLN/DBR/189</v>
          </cell>
          <cell r="M1020" t="str">
            <v>Y</v>
          </cell>
          <cell r="N1020" t="str">
            <v>ECR (2F)</v>
          </cell>
          <cell r="O1020" t="str">
            <v>Internal R&amp;D</v>
          </cell>
          <cell r="P1020" t="str">
            <v>Q1 Passed</v>
          </cell>
          <cell r="Q1020" t="str">
            <v>Q1 Passed</v>
          </cell>
          <cell r="R1020" t="str">
            <v>Q1.5 Passed</v>
          </cell>
          <cell r="S1020" t="str">
            <v>Q1.5 Passed</v>
          </cell>
          <cell r="V1020" t="str">
            <v>Tumor content 45-80%</v>
          </cell>
          <cell r="W1020" t="str">
            <v>Private Hospital</v>
          </cell>
          <cell r="X1020" t="str">
            <v>Clinic'les- DBR &amp; SK Hospital, Tirupati</v>
          </cell>
          <cell r="Y1020" t="str">
            <v>DBR &amp; SK Hospital, Tirupati</v>
          </cell>
          <cell r="Z1020" t="str">
            <v>Dr C Jayaprakash, Tirupati</v>
          </cell>
          <cell r="AA1020" t="str">
            <v>HNSCC</v>
          </cell>
          <cell r="AC1020" t="str">
            <v>Buccal Mucosa</v>
          </cell>
          <cell r="AD1020" t="str">
            <v>Right Buccal Mucosa</v>
          </cell>
          <cell r="AE1020" t="str">
            <v>Female</v>
          </cell>
          <cell r="AF1020">
            <v>73</v>
          </cell>
          <cell r="AG1020" t="str">
            <v>N</v>
          </cell>
          <cell r="AH1020">
            <v>6.5</v>
          </cell>
          <cell r="AI1020" t="str">
            <v>Maruthi</v>
          </cell>
          <cell r="AJ1020" t="str">
            <v>Surgery</v>
          </cell>
          <cell r="AK1020" t="str">
            <v>Primary</v>
          </cell>
          <cell r="AV1020">
            <v>45444</v>
          </cell>
          <cell r="AX1020">
            <v>0.5708333333333333</v>
          </cell>
          <cell r="BB1020" t="str">
            <v>0.6/0.8*1.8*2.1</v>
          </cell>
          <cell r="BD1020" t="str">
            <v>Vibratome</v>
          </cell>
          <cell r="BE1020">
            <v>14</v>
          </cell>
          <cell r="BF1020" t="str">
            <v>Dharani</v>
          </cell>
          <cell r="BG1020" t="str">
            <v>Y</v>
          </cell>
        </row>
        <row r="1021">
          <cell r="A1021" t="str">
            <v>FBR1X240168</v>
          </cell>
          <cell r="B1021">
            <v>240168</v>
          </cell>
          <cell r="C1021" t="str">
            <v>R&amp;D</v>
          </cell>
          <cell r="D1021">
            <v>45441</v>
          </cell>
          <cell r="E1021">
            <v>0.59513888888888888</v>
          </cell>
          <cell r="F1021">
            <v>45413</v>
          </cell>
          <cell r="G1021">
            <v>45441</v>
          </cell>
          <cell r="H1021">
            <v>0.66041666666666665</v>
          </cell>
          <cell r="I1021">
            <v>6.5277777777777782E-2</v>
          </cell>
          <cell r="J1021">
            <v>0</v>
          </cell>
          <cell r="K1021" t="str">
            <v>FCB-PROTOCOL-02</v>
          </cell>
          <cell r="L1021" t="str">
            <v>HN144</v>
          </cell>
          <cell r="M1021" t="str">
            <v>Y</v>
          </cell>
          <cell r="N1021" t="str">
            <v>Biopsy HNSCC (1X)</v>
          </cell>
          <cell r="O1021" t="str">
            <v>Internal R&amp;D</v>
          </cell>
          <cell r="P1021" t="str">
            <v>Q1 Passed</v>
          </cell>
          <cell r="Q1021" t="str">
            <v>Q1 Passed</v>
          </cell>
          <cell r="R1021" t="str">
            <v>Q1.5 Passed</v>
          </cell>
          <cell r="S1021" t="str">
            <v>Q1.5 Passed</v>
          </cell>
          <cell r="V1021" t="str">
            <v>Tumor content 85-95%</v>
          </cell>
          <cell r="W1021" t="str">
            <v>Private Hospital</v>
          </cell>
          <cell r="X1021" t="str">
            <v>Mazumdar Shaw Medical Centre, Bangalore</v>
          </cell>
          <cell r="Y1021" t="str">
            <v>Mazumdar Shaw Medical Centre, Bangalore</v>
          </cell>
          <cell r="Z1021" t="str">
            <v>Dr Vijay Pillai, Bangalore</v>
          </cell>
          <cell r="AA1021" t="str">
            <v>HNSCC</v>
          </cell>
          <cell r="AC1021" t="str">
            <v>Glottis</v>
          </cell>
          <cell r="AD1021" t="str">
            <v>Glottis</v>
          </cell>
          <cell r="AE1021" t="str">
            <v>Male</v>
          </cell>
          <cell r="AF1021">
            <v>60</v>
          </cell>
          <cell r="AG1021" t="str">
            <v>N</v>
          </cell>
          <cell r="AH1021">
            <v>5.2</v>
          </cell>
          <cell r="AI1021" t="str">
            <v>Kalappa</v>
          </cell>
          <cell r="AJ1021" t="str">
            <v>Biopsy</v>
          </cell>
          <cell r="AK1021" t="str">
            <v>Primary</v>
          </cell>
          <cell r="AN1021" t="str">
            <v>NA</v>
          </cell>
          <cell r="AO1021" t="str">
            <v>NA</v>
          </cell>
          <cell r="AP1021" t="str">
            <v>NA</v>
          </cell>
          <cell r="AS1021" t="str">
            <v>MDSCC(Moderately Differentiated Squamous cell carcinoma)</v>
          </cell>
          <cell r="AV1021" t="str">
            <v>29-05-2024
27-06-2024</v>
          </cell>
          <cell r="AW1021">
            <v>0.67361111111111116</v>
          </cell>
          <cell r="AX1021">
            <v>0.69444444444444442</v>
          </cell>
          <cell r="BB1021" t="str">
            <v>0.1*0.4*0.6</v>
          </cell>
          <cell r="BD1021" t="str">
            <v>Manual</v>
          </cell>
          <cell r="BE1021">
            <v>14</v>
          </cell>
          <cell r="BF1021" t="str">
            <v>Mouniss</v>
          </cell>
          <cell r="BG1021" t="str">
            <v>Y</v>
          </cell>
        </row>
        <row r="1022">
          <cell r="A1022" t="str">
            <v>FBR2F240168</v>
          </cell>
          <cell r="B1022">
            <v>240168</v>
          </cell>
          <cell r="C1022" t="str">
            <v>R&amp;D</v>
          </cell>
          <cell r="D1022">
            <v>45441</v>
          </cell>
          <cell r="E1022">
            <v>0.59513888888888888</v>
          </cell>
          <cell r="F1022">
            <v>45413</v>
          </cell>
          <cell r="G1022">
            <v>45441</v>
          </cell>
          <cell r="H1022">
            <v>0.66041666666666665</v>
          </cell>
          <cell r="I1022">
            <v>6.5277777777777782E-2</v>
          </cell>
          <cell r="J1022">
            <v>0</v>
          </cell>
          <cell r="K1022" t="str">
            <v>FCB-PROTOCOL-02</v>
          </cell>
          <cell r="L1022" t="str">
            <v>HN144</v>
          </cell>
          <cell r="M1022" t="str">
            <v>Y</v>
          </cell>
          <cell r="N1022" t="str">
            <v>Biopsy HNSCC (1X)</v>
          </cell>
          <cell r="O1022" t="str">
            <v>Internal R&amp;D</v>
          </cell>
          <cell r="P1022" t="str">
            <v>Q1 Passed</v>
          </cell>
          <cell r="Q1022" t="str">
            <v>Q1 Passed</v>
          </cell>
          <cell r="R1022" t="str">
            <v>Q1.5 Passed</v>
          </cell>
          <cell r="S1022" t="str">
            <v>Q1.5 Passed</v>
          </cell>
          <cell r="V1022" t="str">
            <v>Tumor content 85-95%</v>
          </cell>
          <cell r="W1022" t="str">
            <v>Private Hospital</v>
          </cell>
          <cell r="X1022" t="str">
            <v>Mazumdar Shaw Medical Centre, Bangalore</v>
          </cell>
          <cell r="Y1022" t="str">
            <v>Mazumdar Shaw Medical Centre, Bangalore</v>
          </cell>
          <cell r="Z1022" t="str">
            <v>Dr Vijay Pillai, Bangalore</v>
          </cell>
          <cell r="AA1022" t="str">
            <v>HNSCC</v>
          </cell>
          <cell r="AC1022" t="str">
            <v>Glottis</v>
          </cell>
          <cell r="AD1022" t="str">
            <v>Glottis</v>
          </cell>
          <cell r="AE1022" t="str">
            <v>Male</v>
          </cell>
          <cell r="AF1022">
            <v>60</v>
          </cell>
          <cell r="AG1022" t="str">
            <v>N</v>
          </cell>
          <cell r="AH1022">
            <v>5.2</v>
          </cell>
          <cell r="AI1022" t="str">
            <v>Kalappa</v>
          </cell>
          <cell r="AJ1022" t="str">
            <v>Biopsy</v>
          </cell>
          <cell r="AK1022" t="str">
            <v>Primary</v>
          </cell>
          <cell r="AN1022" t="str">
            <v>NA</v>
          </cell>
          <cell r="AO1022" t="str">
            <v>NA</v>
          </cell>
          <cell r="AP1022" t="str">
            <v>NA</v>
          </cell>
          <cell r="AS1022" t="str">
            <v>MDSCC(Moderately Differentiated Squamous cell carcinoma)</v>
          </cell>
          <cell r="AV1022" t="str">
            <v>29-05-2024
27-06-2024</v>
          </cell>
          <cell r="AW1022">
            <v>0.67361111111111116</v>
          </cell>
          <cell r="AX1022">
            <v>0.69444444444444442</v>
          </cell>
          <cell r="BB1022" t="str">
            <v>0.1*0.4*0.6</v>
          </cell>
          <cell r="BD1022" t="str">
            <v>Manual</v>
          </cell>
          <cell r="BE1022">
            <v>14</v>
          </cell>
          <cell r="BF1022" t="str">
            <v>Mouniss</v>
          </cell>
          <cell r="BG1022" t="str">
            <v>Y</v>
          </cell>
        </row>
        <row r="1023">
          <cell r="A1023" t="str">
            <v>FBR1Y240169</v>
          </cell>
          <cell r="B1023">
            <v>240169</v>
          </cell>
          <cell r="C1023" t="str">
            <v>R&amp;D</v>
          </cell>
          <cell r="D1023">
            <v>45442</v>
          </cell>
          <cell r="E1023">
            <v>0.53819444444444442</v>
          </cell>
          <cell r="F1023">
            <v>45413</v>
          </cell>
          <cell r="G1023">
            <v>45442</v>
          </cell>
          <cell r="H1023">
            <v>0.64583333333333337</v>
          </cell>
          <cell r="I1023">
            <v>0.1076388888888889</v>
          </cell>
          <cell r="J1023">
            <v>3</v>
          </cell>
          <cell r="K1023" t="str">
            <v>FCB-PROTOCOL-01</v>
          </cell>
          <cell r="L1023" t="str">
            <v>VYD/287</v>
          </cell>
          <cell r="M1023" t="str">
            <v>Y</v>
          </cell>
          <cell r="N1023" t="str">
            <v>CCS Study (1Y)</v>
          </cell>
          <cell r="O1023" t="str">
            <v>Internal R&amp;D</v>
          </cell>
          <cell r="P1023" t="str">
            <v>Q1 Passed</v>
          </cell>
          <cell r="Q1023" t="str">
            <v>Q1 Passed</v>
          </cell>
          <cell r="R1023" t="str">
            <v>Q1 Passed</v>
          </cell>
          <cell r="S1023" t="str">
            <v>Q1 Passed</v>
          </cell>
          <cell r="V1023" t="str">
            <v>Tumor content 70-90%</v>
          </cell>
          <cell r="W1023" t="str">
            <v>Private Hospital</v>
          </cell>
          <cell r="X1023" t="str">
            <v>Vydehi Hospital, Bangalore</v>
          </cell>
          <cell r="Y1023" t="str">
            <v>Vydehi Hospital, Bangalore</v>
          </cell>
          <cell r="Z1023" t="str">
            <v>Dr Amritha Prabha, Bangalore</v>
          </cell>
          <cell r="AA1023" t="str">
            <v>HNSCC</v>
          </cell>
          <cell r="AC1023" t="str">
            <v>Alveolus &amp; Buccal Mucosa</v>
          </cell>
          <cell r="AD1023" t="str">
            <v>Left Lower Alveolus &amp;Buccal Mucosa</v>
          </cell>
          <cell r="AE1023" t="str">
            <v>Female</v>
          </cell>
          <cell r="AF1023">
            <v>75</v>
          </cell>
          <cell r="AG1023" t="str">
            <v>N</v>
          </cell>
          <cell r="AH1023">
            <v>5.2</v>
          </cell>
          <cell r="AI1023" t="str">
            <v>Maruthi</v>
          </cell>
          <cell r="AJ1023" t="str">
            <v>Surgery</v>
          </cell>
          <cell r="AK1023" t="str">
            <v>Primary</v>
          </cell>
          <cell r="AN1023" t="str">
            <v>III</v>
          </cell>
          <cell r="AO1023">
            <v>1</v>
          </cell>
          <cell r="AP1023" t="str">
            <v>T3N0</v>
          </cell>
          <cell r="AS1023" t="str">
            <v>scc</v>
          </cell>
          <cell r="AT1023" t="str">
            <v>RT</v>
          </cell>
          <cell r="AV1023">
            <v>45442</v>
          </cell>
          <cell r="AW1023">
            <v>0.66527777777777775</v>
          </cell>
          <cell r="AX1023">
            <v>0.72569444444444442</v>
          </cell>
          <cell r="AY1023">
            <v>6.0416666666666667E-2</v>
          </cell>
          <cell r="AZ1023">
            <v>0.61805555555555558</v>
          </cell>
          <cell r="BA1023">
            <v>0.1875</v>
          </cell>
          <cell r="BB1023" t="str">
            <v>0.2*0.4*0.6
0.2*0.7*1.0
0.3*0.2/0.6*2.2
0.2*0.3*1.1
0.3*0.4*0.5
0.2*0.2*0.4</v>
          </cell>
          <cell r="BD1023" t="str">
            <v>Manual</v>
          </cell>
          <cell r="BE1023">
            <v>14</v>
          </cell>
          <cell r="BF1023" t="str">
            <v>Syam</v>
          </cell>
          <cell r="BG1023" t="str">
            <v>Y</v>
          </cell>
        </row>
        <row r="1024">
          <cell r="A1024">
            <v>240170</v>
          </cell>
          <cell r="B1024">
            <v>240170</v>
          </cell>
          <cell r="C1024" t="str">
            <v>R&amp;D</v>
          </cell>
          <cell r="D1024">
            <v>45443</v>
          </cell>
          <cell r="E1024">
            <v>0.80555555555555558</v>
          </cell>
          <cell r="F1024">
            <v>45413</v>
          </cell>
          <cell r="G1024">
            <v>45443</v>
          </cell>
          <cell r="H1024">
            <v>0.87847222222222221</v>
          </cell>
          <cell r="I1024">
            <v>7.2916666666666671E-2</v>
          </cell>
          <cell r="J1024">
            <v>8</v>
          </cell>
          <cell r="K1024" t="str">
            <v>FCB-PROTOCOL-02</v>
          </cell>
          <cell r="L1024" t="str">
            <v>HN145</v>
          </cell>
          <cell r="M1024" t="str">
            <v>Y</v>
          </cell>
          <cell r="N1024" t="str">
            <v>No Study</v>
          </cell>
          <cell r="O1024" t="str">
            <v>1st level attrition</v>
          </cell>
          <cell r="P1024" t="str">
            <v>Q1 Rejected</v>
          </cell>
          <cell r="Q1024" t="str">
            <v>Q1 Passed</v>
          </cell>
          <cell r="R1024" t="str">
            <v>Q1.5 Rejected</v>
          </cell>
          <cell r="S1024" t="str">
            <v>Q1.5 Rejected</v>
          </cell>
          <cell r="T1024" t="str">
            <v>Tissue height was only 2mm</v>
          </cell>
          <cell r="W1024" t="str">
            <v>Private Hospital</v>
          </cell>
          <cell r="X1024" t="str">
            <v>Mazumdar Shaw Medical Centre, Bangalore</v>
          </cell>
          <cell r="Y1024" t="str">
            <v>Mazumdar Shaw Medical Centre, Bangalore</v>
          </cell>
          <cell r="Z1024" t="str">
            <v>Dr Vijay Pillai, Bangalore</v>
          </cell>
          <cell r="AA1024" t="str">
            <v>HNSCC</v>
          </cell>
          <cell r="AC1024" t="str">
            <v>Alveolus</v>
          </cell>
          <cell r="AD1024" t="str">
            <v>Upper Alveolus</v>
          </cell>
          <cell r="AE1024" t="str">
            <v>Male</v>
          </cell>
          <cell r="AF1024">
            <v>40</v>
          </cell>
          <cell r="AG1024" t="str">
            <v>N</v>
          </cell>
          <cell r="AH1024">
            <v>4.8</v>
          </cell>
          <cell r="AI1024" t="str">
            <v>Maruthi</v>
          </cell>
          <cell r="AJ1024" t="str">
            <v>Surgery</v>
          </cell>
          <cell r="AK1024" t="str">
            <v>Primary</v>
          </cell>
          <cell r="AL1024" t="str">
            <v>Chemotherapy + Radiotherapy</v>
          </cell>
          <cell r="AQ1024">
            <v>3</v>
          </cell>
          <cell r="AR1024" t="str">
            <v>DCF</v>
          </cell>
          <cell r="AV1024">
            <v>45443</v>
          </cell>
          <cell r="AW1024">
            <v>0.29444444444444445</v>
          </cell>
          <cell r="BB1024" t="str">
            <v>0.2*0.6*0.2</v>
          </cell>
          <cell r="BE1024">
            <v>14</v>
          </cell>
          <cell r="BF1024" t="str">
            <v>Dharani</v>
          </cell>
          <cell r="BG1024" t="str">
            <v>N</v>
          </cell>
        </row>
        <row r="1025">
          <cell r="A1025">
            <v>240171</v>
          </cell>
          <cell r="B1025">
            <v>240171</v>
          </cell>
          <cell r="C1025" t="str">
            <v>R&amp;D</v>
          </cell>
          <cell r="D1025">
            <v>45446</v>
          </cell>
          <cell r="E1025">
            <v>0.63749999999999996</v>
          </cell>
          <cell r="F1025">
            <v>45444</v>
          </cell>
          <cell r="G1025">
            <v>45446</v>
          </cell>
          <cell r="H1025">
            <v>0.72986111111111107</v>
          </cell>
          <cell r="I1025">
            <v>9.2361111111111116E-2</v>
          </cell>
          <cell r="J1025">
            <v>5</v>
          </cell>
          <cell r="K1025" t="str">
            <v>FCB-PROTOCOL-02</v>
          </cell>
          <cell r="L1025" t="str">
            <v>HN146</v>
          </cell>
          <cell r="M1025" t="str">
            <v>Y</v>
          </cell>
          <cell r="N1025" t="str">
            <v>No Study</v>
          </cell>
          <cell r="O1025" t="str">
            <v>1st level attrition</v>
          </cell>
          <cell r="P1025" t="str">
            <v>Q1 Rejected</v>
          </cell>
          <cell r="Q1025" t="str">
            <v>Not Received</v>
          </cell>
          <cell r="R1025" t="str">
            <v>Q1.5 Rejected</v>
          </cell>
          <cell r="S1025" t="str">
            <v>Q1.5 Rejected</v>
          </cell>
          <cell r="T1025" t="str">
            <v>Blood- pt not willing to given
Tissue height was below 4mm &amp; Not fit for Vibrotome</v>
          </cell>
          <cell r="W1025" t="str">
            <v>Private Hospital</v>
          </cell>
          <cell r="X1025" t="str">
            <v>Mazumdar Shaw Medical Centre, Bangalore</v>
          </cell>
          <cell r="Y1025" t="str">
            <v>Mazumdar Shaw Medical Centre, Bangalore</v>
          </cell>
          <cell r="Z1025" t="str">
            <v>Dr Vijay Pillai, Bangalore</v>
          </cell>
          <cell r="AA1025" t="str">
            <v>HNSCC</v>
          </cell>
          <cell r="AC1025" t="str">
            <v>Tongue</v>
          </cell>
          <cell r="AD1025" t="str">
            <v>Tongue</v>
          </cell>
          <cell r="AE1025" t="str">
            <v>Male</v>
          </cell>
          <cell r="AF1025">
            <v>47</v>
          </cell>
          <cell r="AG1025" t="str">
            <v>N</v>
          </cell>
          <cell r="AH1025">
            <v>4.5</v>
          </cell>
          <cell r="AI1025" t="str">
            <v>Maruthi</v>
          </cell>
          <cell r="AJ1025" t="str">
            <v>Surgery</v>
          </cell>
          <cell r="AK1025" t="str">
            <v>Primary</v>
          </cell>
          <cell r="AV1025">
            <v>45446</v>
          </cell>
          <cell r="AW1025">
            <v>0.75694444444444442</v>
          </cell>
          <cell r="BB1025" t="str">
            <v>0.4*0.8/.12*1.4/1.6
0.2*0.6/0.8*1.0/1.2</v>
          </cell>
          <cell r="BD1025" t="str">
            <v>Vibratome</v>
          </cell>
          <cell r="BE1025">
            <v>14</v>
          </cell>
          <cell r="BF1025" t="str">
            <v>Syam</v>
          </cell>
          <cell r="BG1025" t="str">
            <v>N</v>
          </cell>
        </row>
        <row r="1026">
          <cell r="A1026" t="str">
            <v>FBR2L240172</v>
          </cell>
          <cell r="B1026">
            <v>240172</v>
          </cell>
          <cell r="C1026" t="str">
            <v>R&amp;D</v>
          </cell>
          <cell r="D1026">
            <v>45446</v>
          </cell>
          <cell r="E1026">
            <v>0.49305555555555558</v>
          </cell>
          <cell r="F1026">
            <v>45444</v>
          </cell>
          <cell r="G1026">
            <v>45446</v>
          </cell>
          <cell r="H1026">
            <v>0.85902777777777772</v>
          </cell>
          <cell r="I1026">
            <v>0.3659722222222222</v>
          </cell>
          <cell r="J1026">
            <v>13</v>
          </cell>
          <cell r="K1026" t="str">
            <v>FCB-PROTOCOL-01</v>
          </cell>
          <cell r="L1026" t="str">
            <v>CLN/DBR/190</v>
          </cell>
          <cell r="M1026" t="str">
            <v>Y</v>
          </cell>
          <cell r="N1026" t="str">
            <v>Lung (2I &amp; 2J)</v>
          </cell>
          <cell r="O1026" t="str">
            <v>Internal R&amp;D</v>
          </cell>
          <cell r="P1026" t="str">
            <v>Q1 Passed</v>
          </cell>
          <cell r="Q1026" t="str">
            <v>Q1 Passed</v>
          </cell>
          <cell r="R1026" t="str">
            <v>Q1.5 Passed</v>
          </cell>
          <cell r="S1026" t="str">
            <v>Q1.5 Rejected</v>
          </cell>
          <cell r="V1026" t="str">
            <v>Tumor content 0-20%. Average tumor content 6%</v>
          </cell>
          <cell r="W1026" t="str">
            <v>Private Hospital</v>
          </cell>
          <cell r="X1026" t="str">
            <v>Clinic'les- DBR &amp; SK Hospital, Tirupati</v>
          </cell>
          <cell r="Y1026" t="str">
            <v>DBR &amp; SK Hospital, Tirupati</v>
          </cell>
          <cell r="Z1026" t="str">
            <v>Dr C Jayaprakash, Tirupati</v>
          </cell>
          <cell r="AA1026" t="str">
            <v>HNSCC</v>
          </cell>
          <cell r="AC1026" t="str">
            <v>Buccal Mucosa</v>
          </cell>
          <cell r="AD1026" t="str">
            <v>Left Buccal Mucosa</v>
          </cell>
          <cell r="AE1026" t="str">
            <v>Female</v>
          </cell>
          <cell r="AF1026">
            <v>55</v>
          </cell>
          <cell r="AG1026" t="str">
            <v>N</v>
          </cell>
          <cell r="AH1026">
            <v>4.9000000000000004</v>
          </cell>
          <cell r="AI1026" t="str">
            <v>Shashi</v>
          </cell>
          <cell r="AJ1026" t="str">
            <v>Surgery</v>
          </cell>
          <cell r="AK1026" t="str">
            <v>Primary</v>
          </cell>
          <cell r="AV1026">
            <v>45446</v>
          </cell>
          <cell r="AW1026">
            <v>0.87361111111111112</v>
          </cell>
          <cell r="AX1026">
            <v>1.0090277777777779</v>
          </cell>
          <cell r="AY1026">
            <v>0.13541666666666666</v>
          </cell>
          <cell r="AZ1026">
            <v>0.6430555555555556</v>
          </cell>
          <cell r="BA1026">
            <v>0.51597222222222228</v>
          </cell>
          <cell r="BB1026" t="str">
            <v>0.4/0.6*1.4*1.4</v>
          </cell>
          <cell r="BD1026" t="str">
            <v>Vibratome</v>
          </cell>
          <cell r="BE1026">
            <v>14</v>
          </cell>
          <cell r="BF1026" t="str">
            <v xml:space="preserve">sai </v>
          </cell>
          <cell r="BG1026" t="str">
            <v>Y</v>
          </cell>
        </row>
        <row r="1027">
          <cell r="A1027">
            <v>240173</v>
          </cell>
          <cell r="B1027">
            <v>240173</v>
          </cell>
          <cell r="C1027" t="str">
            <v>R&amp;D</v>
          </cell>
          <cell r="D1027">
            <v>45448</v>
          </cell>
          <cell r="E1027">
            <v>0.49305555555555558</v>
          </cell>
          <cell r="F1027">
            <v>45444</v>
          </cell>
          <cell r="G1027">
            <v>45448</v>
          </cell>
          <cell r="H1027">
            <v>0.86111111111111116</v>
          </cell>
          <cell r="I1027">
            <v>0.36805555555555558</v>
          </cell>
          <cell r="J1027">
            <v>15</v>
          </cell>
          <cell r="K1027" t="str">
            <v>FCB-PROTOCOL-01</v>
          </cell>
          <cell r="L1027" t="str">
            <v>CLN/DBR/191</v>
          </cell>
          <cell r="M1027" t="str">
            <v>Y</v>
          </cell>
          <cell r="N1027" t="str">
            <v>No Study</v>
          </cell>
          <cell r="O1027" t="str">
            <v>1st level attrition</v>
          </cell>
          <cell r="P1027" t="str">
            <v>Q1 Rejected</v>
          </cell>
          <cell r="Q1027" t="str">
            <v>Q1 Passed</v>
          </cell>
          <cell r="R1027" t="str">
            <v>Q1.5 Rejected</v>
          </cell>
          <cell r="S1027" t="str">
            <v>Q1.5 Rejected</v>
          </cell>
          <cell r="T1027" t="str">
            <v>Sample taxture was too soft and fluffy</v>
          </cell>
          <cell r="W1027" t="str">
            <v>Private Hospital</v>
          </cell>
          <cell r="X1027" t="str">
            <v>Clinic'les- DBR &amp; SK Hospital, Tirupati</v>
          </cell>
          <cell r="Y1027" t="str">
            <v>DBR &amp; SK Hospital, Tirupati</v>
          </cell>
          <cell r="Z1027" t="str">
            <v>Dr C Jayaprakash, Tirupati</v>
          </cell>
          <cell r="AA1027" t="str">
            <v>HNSCC</v>
          </cell>
          <cell r="AC1027" t="str">
            <v>Buccal Mucosa</v>
          </cell>
          <cell r="AD1027" t="str">
            <v>Left Buccal Mucosa</v>
          </cell>
          <cell r="AE1027" t="str">
            <v>Female</v>
          </cell>
          <cell r="AF1027">
            <v>43</v>
          </cell>
          <cell r="AG1027" t="str">
            <v>N</v>
          </cell>
          <cell r="AH1027">
            <v>6.3</v>
          </cell>
          <cell r="AI1027" t="str">
            <v>Maruthi</v>
          </cell>
          <cell r="AJ1027" t="str">
            <v>Surgery</v>
          </cell>
          <cell r="AK1027" t="str">
            <v>Primary</v>
          </cell>
          <cell r="AV1027">
            <v>45448</v>
          </cell>
          <cell r="AW1027">
            <v>0.88194444444444442</v>
          </cell>
          <cell r="BB1027" t="str">
            <v>0.2/0.4*1.0/1.1*2.4</v>
          </cell>
          <cell r="BD1027" t="str">
            <v>Vibratome</v>
          </cell>
          <cell r="BE1027">
            <v>14</v>
          </cell>
          <cell r="BF1027" t="str">
            <v>Syam</v>
          </cell>
          <cell r="BG1027" t="str">
            <v>N</v>
          </cell>
        </row>
        <row r="1028">
          <cell r="A1028">
            <v>240174</v>
          </cell>
          <cell r="B1028">
            <v>240174</v>
          </cell>
          <cell r="C1028" t="str">
            <v>R&amp;D</v>
          </cell>
          <cell r="D1028">
            <v>45450</v>
          </cell>
          <cell r="E1028">
            <v>0.49652777777777779</v>
          </cell>
          <cell r="F1028">
            <v>45444</v>
          </cell>
          <cell r="G1028">
            <v>45450</v>
          </cell>
          <cell r="H1028">
            <v>0.88124999999999998</v>
          </cell>
          <cell r="I1028">
            <v>0.38472222222222224</v>
          </cell>
          <cell r="J1028">
            <v>10</v>
          </cell>
          <cell r="K1028" t="str">
            <v>FCB-PROTOCOL-01</v>
          </cell>
          <cell r="L1028" t="str">
            <v>CLN/DBR/192</v>
          </cell>
          <cell r="M1028" t="str">
            <v>Y</v>
          </cell>
          <cell r="N1028" t="str">
            <v>No Study</v>
          </cell>
          <cell r="O1028" t="str">
            <v>1st level attrition</v>
          </cell>
          <cell r="P1028" t="str">
            <v>Q1 Rejected</v>
          </cell>
          <cell r="Q1028" t="str">
            <v>Q1 Passed</v>
          </cell>
          <cell r="R1028" t="str">
            <v>Q1.5 Rejected</v>
          </cell>
          <cell r="S1028" t="str">
            <v>Q1.5 Rejected</v>
          </cell>
          <cell r="T1028" t="str">
            <v>Sample taxture was too soft and fluffy</v>
          </cell>
          <cell r="W1028" t="str">
            <v>Private Hospital</v>
          </cell>
          <cell r="X1028" t="str">
            <v>Clinic'les- DBR &amp; SK Hospital, Tirupati</v>
          </cell>
          <cell r="Y1028" t="str">
            <v>DBR &amp; SK Hospital, Tirupati</v>
          </cell>
          <cell r="Z1028" t="str">
            <v>Dr C Jayaprakash, Tirupati</v>
          </cell>
          <cell r="AA1028" t="str">
            <v>HNSCC</v>
          </cell>
          <cell r="AC1028" t="str">
            <v>Buccal Mucosa</v>
          </cell>
          <cell r="AD1028" t="str">
            <v>Right Buccal Mucosa</v>
          </cell>
          <cell r="AE1028" t="str">
            <v>Female</v>
          </cell>
          <cell r="AF1028">
            <v>69</v>
          </cell>
          <cell r="AG1028" t="str">
            <v>N</v>
          </cell>
          <cell r="AH1028">
            <v>5.2</v>
          </cell>
          <cell r="AI1028" t="str">
            <v>Shashi</v>
          </cell>
          <cell r="AJ1028" t="str">
            <v>Surgery</v>
          </cell>
          <cell r="AK1028" t="str">
            <v>Primary</v>
          </cell>
          <cell r="AV1028">
            <v>45451</v>
          </cell>
          <cell r="AW1028">
            <v>0.31597222222222221</v>
          </cell>
          <cell r="BB1028" t="str">
            <v>0,.6/0.8*1.0/1.2*1.6</v>
          </cell>
          <cell r="BD1028" t="str">
            <v>Vibratome</v>
          </cell>
          <cell r="BE1028">
            <v>14</v>
          </cell>
          <cell r="BF1028" t="str">
            <v xml:space="preserve">sai </v>
          </cell>
          <cell r="BG1028" t="str">
            <v>N</v>
          </cell>
        </row>
        <row r="1029">
          <cell r="A1029" t="str">
            <v>FBR1Y240175</v>
          </cell>
          <cell r="B1029">
            <v>240175</v>
          </cell>
          <cell r="C1029" t="str">
            <v>R&amp;D</v>
          </cell>
          <cell r="D1029">
            <v>45453</v>
          </cell>
          <cell r="E1029">
            <v>0.45763888888888887</v>
          </cell>
          <cell r="F1029">
            <v>45444</v>
          </cell>
          <cell r="G1029">
            <v>45453</v>
          </cell>
          <cell r="H1029">
            <v>0.57777777777777772</v>
          </cell>
          <cell r="I1029">
            <v>0.12013888888888889</v>
          </cell>
          <cell r="J1029">
            <v>4</v>
          </cell>
          <cell r="K1029" t="str">
            <v>FCB-PROTOCOL-01</v>
          </cell>
          <cell r="L1029" t="str">
            <v>VYD/288</v>
          </cell>
          <cell r="M1029" t="str">
            <v>Y</v>
          </cell>
          <cell r="N1029" t="str">
            <v>CCS Study (1Y)</v>
          </cell>
          <cell r="O1029" t="str">
            <v>Internal R&amp;D</v>
          </cell>
          <cell r="P1029" t="str">
            <v>Q1 Passed</v>
          </cell>
          <cell r="Q1029" t="str">
            <v>Q1 Passed</v>
          </cell>
          <cell r="R1029" t="str">
            <v>Q1.5 Passed</v>
          </cell>
          <cell r="S1029" t="str">
            <v>Q1.5 Passed</v>
          </cell>
          <cell r="W1029" t="str">
            <v>Private Hospital</v>
          </cell>
          <cell r="X1029" t="str">
            <v>Vydehi Hospital, Bangalore</v>
          </cell>
          <cell r="Y1029" t="str">
            <v>Vydehi Hospital, Bangalore</v>
          </cell>
          <cell r="Z1029" t="str">
            <v>Dr Amritha Prabha, Bangalore</v>
          </cell>
          <cell r="AA1029" t="str">
            <v>HNSCC</v>
          </cell>
          <cell r="AC1029" t="str">
            <v>Buccal Mucosa</v>
          </cell>
          <cell r="AD1029" t="str">
            <v>Right Buccal Mucosa</v>
          </cell>
          <cell r="AE1029" t="str">
            <v>Male</v>
          </cell>
          <cell r="AF1029">
            <v>47</v>
          </cell>
          <cell r="AG1029" t="str">
            <v>N</v>
          </cell>
          <cell r="AH1029">
            <v>4.2</v>
          </cell>
          <cell r="AI1029" t="str">
            <v>Kalappa</v>
          </cell>
          <cell r="AJ1029" t="str">
            <v>Surgery</v>
          </cell>
          <cell r="AK1029" t="str">
            <v>Primary</v>
          </cell>
          <cell r="AN1029" t="str">
            <v>IV</v>
          </cell>
          <cell r="AO1029">
            <v>2</v>
          </cell>
          <cell r="AP1029" t="str">
            <v>pT4aN0</v>
          </cell>
          <cell r="AS1029" t="str">
            <v>scc</v>
          </cell>
          <cell r="AT1029" t="str">
            <v>RT</v>
          </cell>
          <cell r="AV1029">
            <v>45453</v>
          </cell>
          <cell r="AW1029">
            <v>0.58819444444444446</v>
          </cell>
          <cell r="AX1029">
            <v>0.69791666666666663</v>
          </cell>
          <cell r="AY1029">
            <v>0.10972222222222222</v>
          </cell>
          <cell r="AZ1029">
            <v>0.57777777777777772</v>
          </cell>
          <cell r="BA1029">
            <v>0.24027777777777778</v>
          </cell>
          <cell r="BB1029" t="str">
            <v>0.4/0.6*2.0*2.2</v>
          </cell>
          <cell r="BD1029" t="str">
            <v>Vibratome</v>
          </cell>
          <cell r="BE1029">
            <v>14</v>
          </cell>
          <cell r="BF1029" t="str">
            <v>Abdul</v>
          </cell>
          <cell r="BG1029" t="str">
            <v>Y</v>
          </cell>
        </row>
        <row r="1030">
          <cell r="A1030">
            <v>240176</v>
          </cell>
          <cell r="B1030">
            <v>240176</v>
          </cell>
          <cell r="C1030" t="str">
            <v>R&amp;D</v>
          </cell>
          <cell r="D1030">
            <v>45453</v>
          </cell>
          <cell r="E1030">
            <v>0.48958333333333331</v>
          </cell>
          <cell r="F1030">
            <v>45444</v>
          </cell>
          <cell r="G1030">
            <v>45453</v>
          </cell>
          <cell r="H1030">
            <v>0.68055555555555558</v>
          </cell>
          <cell r="I1030">
            <v>0.19097222222222221</v>
          </cell>
          <cell r="J1030">
            <v>2</v>
          </cell>
          <cell r="K1030" t="str">
            <v>FCB-PROTOCOL-02</v>
          </cell>
          <cell r="L1030" t="str">
            <v>HN147</v>
          </cell>
          <cell r="M1030" t="str">
            <v>Y</v>
          </cell>
          <cell r="N1030" t="str">
            <v>No Study</v>
          </cell>
          <cell r="O1030" t="str">
            <v>1st level attrition</v>
          </cell>
          <cell r="P1030" t="str">
            <v>Q1 Rejected</v>
          </cell>
          <cell r="Q1030" t="str">
            <v>Not Received</v>
          </cell>
          <cell r="R1030" t="str">
            <v>Q1.5 Rejected</v>
          </cell>
          <cell r="S1030" t="str">
            <v>Q1.5 Rejected</v>
          </cell>
          <cell r="T1030" t="str">
            <v>Blood- pt not willing to given.
Tissue height was 1mm &amp; Not fit for Vibrotome.</v>
          </cell>
          <cell r="W1030" t="str">
            <v>Private Hospital</v>
          </cell>
          <cell r="X1030" t="str">
            <v>Mazumdar Shaw Medical Centre, Bangalore</v>
          </cell>
          <cell r="Y1030" t="str">
            <v>Mazumdar Shaw Medical Centre, Bangalore</v>
          </cell>
          <cell r="Z1030" t="str">
            <v>Dr Vijay Pillai, Bangalore</v>
          </cell>
          <cell r="AA1030" t="str">
            <v>HNSCC</v>
          </cell>
          <cell r="AC1030" t="str">
            <v>Alveolus</v>
          </cell>
          <cell r="AD1030" t="str">
            <v>UpperLeft  Alveolus</v>
          </cell>
          <cell r="AE1030" t="str">
            <v>Male</v>
          </cell>
          <cell r="AF1030">
            <v>68</v>
          </cell>
          <cell r="AG1030" t="str">
            <v>N</v>
          </cell>
          <cell r="AH1030">
            <v>4.5</v>
          </cell>
          <cell r="AI1030" t="str">
            <v>Maruthi</v>
          </cell>
          <cell r="AJ1030" t="str">
            <v>Surgery</v>
          </cell>
          <cell r="AK1030" t="str">
            <v>Primary</v>
          </cell>
          <cell r="AV1030">
            <v>45453</v>
          </cell>
          <cell r="AW1030">
            <v>0.61597222222222225</v>
          </cell>
          <cell r="BB1030" t="str">
            <v>0.1*0.4*0.9</v>
          </cell>
          <cell r="BE1030">
            <v>14</v>
          </cell>
          <cell r="BF1030" t="str">
            <v>Dharani</v>
          </cell>
          <cell r="BG1030" t="str">
            <v>N</v>
          </cell>
        </row>
        <row r="1031">
          <cell r="A1031" t="str">
            <v>FBR1Y240177</v>
          </cell>
          <cell r="B1031">
            <v>240177</v>
          </cell>
          <cell r="C1031" t="str">
            <v>R&amp;D</v>
          </cell>
          <cell r="D1031">
            <v>45456</v>
          </cell>
          <cell r="E1031">
            <v>0.45277777777777778</v>
          </cell>
          <cell r="F1031">
            <v>45444</v>
          </cell>
          <cell r="G1031">
            <v>45456</v>
          </cell>
          <cell r="H1031">
            <v>0.5854166666666667</v>
          </cell>
          <cell r="I1031">
            <v>0.13263888888888889</v>
          </cell>
          <cell r="J1031">
            <v>3</v>
          </cell>
          <cell r="K1031" t="str">
            <v>FCB-PROTOCOL-01</v>
          </cell>
          <cell r="L1031" t="str">
            <v>VYD/289</v>
          </cell>
          <cell r="M1031" t="str">
            <v>Y</v>
          </cell>
          <cell r="N1031" t="str">
            <v>CCS Study (1Y)</v>
          </cell>
          <cell r="O1031" t="str">
            <v>Internal R&amp;D</v>
          </cell>
          <cell r="P1031" t="str">
            <v>Q1 Passed</v>
          </cell>
          <cell r="Q1031" t="str">
            <v>Q1 Passed</v>
          </cell>
          <cell r="R1031" t="str">
            <v>Q1.5 Passed</v>
          </cell>
          <cell r="S1031" t="str">
            <v>Q1.5 Passed</v>
          </cell>
          <cell r="V1031" t="str">
            <v>umor content 25-75%</v>
          </cell>
          <cell r="W1031" t="str">
            <v>Private Hospital</v>
          </cell>
          <cell r="X1031" t="str">
            <v>Vydehi Hospital, Bangalore</v>
          </cell>
          <cell r="Y1031" t="str">
            <v>Vydehi Hospital, Bangalore</v>
          </cell>
          <cell r="Z1031" t="str">
            <v>Dr Amritha Prabha, Bangalore</v>
          </cell>
          <cell r="AA1031" t="str">
            <v>HNSCC</v>
          </cell>
          <cell r="AC1031" t="str">
            <v>Tongue</v>
          </cell>
          <cell r="AD1031" t="str">
            <v>Right Lateral Border of Tongue</v>
          </cell>
          <cell r="AE1031" t="str">
            <v>Male</v>
          </cell>
          <cell r="AF1031">
            <v>36</v>
          </cell>
          <cell r="AG1031" t="str">
            <v>N</v>
          </cell>
          <cell r="AH1031">
            <v>5.0999999999999996</v>
          </cell>
          <cell r="AI1031" t="str">
            <v>Shashi</v>
          </cell>
          <cell r="AJ1031" t="str">
            <v>Surgery</v>
          </cell>
          <cell r="AK1031" t="str">
            <v>Primary</v>
          </cell>
          <cell r="AN1031" t="str">
            <v>III</v>
          </cell>
          <cell r="AO1031">
            <v>1</v>
          </cell>
          <cell r="AP1031" t="str">
            <v>pT3N0</v>
          </cell>
          <cell r="AS1031" t="str">
            <v>scc</v>
          </cell>
          <cell r="AT1031" t="str">
            <v>RT</v>
          </cell>
          <cell r="AV1031">
            <v>45456</v>
          </cell>
          <cell r="AW1031">
            <v>0.61458333333333337</v>
          </cell>
          <cell r="AX1031">
            <v>0.72777777777777775</v>
          </cell>
          <cell r="AY1031">
            <v>0.11319444444444444</v>
          </cell>
          <cell r="AZ1031">
            <v>0.59513888888888888</v>
          </cell>
          <cell r="BA1031">
            <v>0.27500000000000002</v>
          </cell>
          <cell r="BB1031" t="str">
            <v>0.6*0.9*1.1</v>
          </cell>
          <cell r="BD1031" t="str">
            <v>Vibratome</v>
          </cell>
          <cell r="BE1031">
            <v>14</v>
          </cell>
          <cell r="BF1031" t="str">
            <v>Mouniss</v>
          </cell>
          <cell r="BG1031" t="str">
            <v>Y</v>
          </cell>
        </row>
        <row r="1032">
          <cell r="A1032" t="str">
            <v>FBR1Y240178</v>
          </cell>
          <cell r="B1032">
            <v>240178</v>
          </cell>
          <cell r="C1032" t="str">
            <v>R&amp;D</v>
          </cell>
          <cell r="D1032">
            <v>45457</v>
          </cell>
          <cell r="E1032">
            <v>0.55555555555555558</v>
          </cell>
          <cell r="F1032">
            <v>45444</v>
          </cell>
          <cell r="G1032">
            <v>45457</v>
          </cell>
          <cell r="H1032">
            <v>0.63958333333333328</v>
          </cell>
          <cell r="I1032">
            <v>8.4027777777777785E-2</v>
          </cell>
          <cell r="J1032">
            <v>6</v>
          </cell>
          <cell r="K1032" t="str">
            <v>FCB-PROTOCOL-02</v>
          </cell>
          <cell r="L1032" t="str">
            <v>HN148</v>
          </cell>
          <cell r="M1032" t="str">
            <v>Y</v>
          </cell>
          <cell r="N1032" t="str">
            <v>CCS Study (1Y)</v>
          </cell>
          <cell r="O1032" t="str">
            <v>Internal R&amp;D</v>
          </cell>
          <cell r="P1032" t="str">
            <v>Q1 Passed</v>
          </cell>
          <cell r="Q1032" t="str">
            <v>Not Received</v>
          </cell>
          <cell r="R1032" t="str">
            <v>Compromised</v>
          </cell>
          <cell r="S1032" t="str">
            <v>Q1.5 Passed</v>
          </cell>
          <cell r="V1032" t="str">
            <v>Tumor content 45-80%</v>
          </cell>
          <cell r="W1032" t="str">
            <v>Private Hospital</v>
          </cell>
          <cell r="X1032" t="str">
            <v>Mazumdar Shaw Medical Centre, Bangalore</v>
          </cell>
          <cell r="Y1032" t="str">
            <v>Mazumdar Shaw Medical Centre, Bangalore</v>
          </cell>
          <cell r="Z1032" t="str">
            <v>Dr Vijay Pillai, Bangalore</v>
          </cell>
          <cell r="AA1032" t="str">
            <v>HNSCC</v>
          </cell>
          <cell r="AC1032" t="str">
            <v>Buccal Mucosa</v>
          </cell>
          <cell r="AD1032" t="str">
            <v>Buccal Mucosa</v>
          </cell>
          <cell r="AE1032" t="str">
            <v>Male</v>
          </cell>
          <cell r="AF1032">
            <v>54</v>
          </cell>
          <cell r="AG1032" t="str">
            <v>N</v>
          </cell>
          <cell r="AH1032">
            <v>4.5</v>
          </cell>
          <cell r="AI1032" t="str">
            <v>Maruthi</v>
          </cell>
          <cell r="AJ1032" t="str">
            <v>Surgery</v>
          </cell>
          <cell r="AK1032" t="str">
            <v>Primary</v>
          </cell>
          <cell r="AN1032" t="str">
            <v>IV</v>
          </cell>
          <cell r="AO1032">
            <v>2</v>
          </cell>
          <cell r="AP1032" t="str">
            <v>pT4a pN3b</v>
          </cell>
          <cell r="AS1032" t="str">
            <v>MDSCC(Moderately Differentiated Squamous cell carcinoma)</v>
          </cell>
          <cell r="AV1032">
            <v>45457</v>
          </cell>
          <cell r="AW1032">
            <v>0.66111111111111109</v>
          </cell>
          <cell r="AX1032">
            <v>0.7270833333333333</v>
          </cell>
          <cell r="AY1032">
            <v>6.5972222222222224E-2</v>
          </cell>
          <cell r="AZ1032">
            <v>0.6430555555555556</v>
          </cell>
          <cell r="BA1032">
            <v>0.17152777777777778</v>
          </cell>
          <cell r="BB1032" t="str">
            <v>0.5*1.9*1.9</v>
          </cell>
          <cell r="BD1032" t="str">
            <v>Vibratome</v>
          </cell>
          <cell r="BE1032">
            <v>14</v>
          </cell>
          <cell r="BF1032" t="str">
            <v>kuberan</v>
          </cell>
          <cell r="BG1032" t="str">
            <v>N</v>
          </cell>
        </row>
        <row r="1033">
          <cell r="A1033" t="str">
            <v>FBR2F240178</v>
          </cell>
          <cell r="B1033">
            <v>240178</v>
          </cell>
          <cell r="C1033" t="str">
            <v>R&amp;D</v>
          </cell>
          <cell r="D1033">
            <v>45457</v>
          </cell>
          <cell r="E1033">
            <v>0.55555555555555558</v>
          </cell>
          <cell r="F1033">
            <v>45444</v>
          </cell>
          <cell r="G1033">
            <v>45457</v>
          </cell>
          <cell r="H1033">
            <v>0.63958333333333328</v>
          </cell>
          <cell r="I1033">
            <v>8.4027777777777785E-2</v>
          </cell>
          <cell r="J1033">
            <v>6</v>
          </cell>
          <cell r="K1033" t="str">
            <v>FCB-PROTOCOL-02</v>
          </cell>
          <cell r="L1033" t="str">
            <v>HN148</v>
          </cell>
          <cell r="M1033" t="str">
            <v>Y</v>
          </cell>
          <cell r="N1033" t="str">
            <v>ECR (2F)</v>
          </cell>
          <cell r="O1033" t="str">
            <v>Internal R&amp;D</v>
          </cell>
          <cell r="P1033" t="str">
            <v>Q1 Passed</v>
          </cell>
          <cell r="Q1033" t="str">
            <v>Not Received</v>
          </cell>
          <cell r="R1033" t="str">
            <v>Compromised</v>
          </cell>
          <cell r="S1033" t="str">
            <v>Q1.5 Passed</v>
          </cell>
          <cell r="V1033" t="str">
            <v>Tumor content 45-80%</v>
          </cell>
          <cell r="W1033" t="str">
            <v>Private Hospital</v>
          </cell>
          <cell r="X1033" t="str">
            <v>Mazumdar Shaw Medical Centre, Bangalore</v>
          </cell>
          <cell r="Y1033" t="str">
            <v>Mazumdar Shaw Medical Centre, Bangalore</v>
          </cell>
          <cell r="Z1033" t="str">
            <v>Dr Vijay Pillai, Bangalore</v>
          </cell>
          <cell r="AA1033" t="str">
            <v>HNSCC</v>
          </cell>
          <cell r="AC1033" t="str">
            <v>Buccal Mucosa</v>
          </cell>
          <cell r="AD1033" t="str">
            <v>Buccal Mucosa</v>
          </cell>
          <cell r="AE1033" t="str">
            <v>Male</v>
          </cell>
          <cell r="AF1033">
            <v>54</v>
          </cell>
          <cell r="AG1033" t="str">
            <v>N</v>
          </cell>
          <cell r="AH1033">
            <v>4.5</v>
          </cell>
          <cell r="AI1033" t="str">
            <v>Maruthi</v>
          </cell>
          <cell r="AJ1033" t="str">
            <v>Surgery</v>
          </cell>
          <cell r="AK1033" t="str">
            <v>Primary</v>
          </cell>
          <cell r="AN1033" t="str">
            <v>IV</v>
          </cell>
          <cell r="AO1033">
            <v>2</v>
          </cell>
          <cell r="AP1033" t="str">
            <v>pT4a pN3b</v>
          </cell>
          <cell r="AS1033" t="str">
            <v>MDSCC(Moderately Differentiated Squamous cell carcinoma)</v>
          </cell>
          <cell r="AV1033">
            <v>45472</v>
          </cell>
          <cell r="AX1033">
            <v>0.55138888888888893</v>
          </cell>
          <cell r="BB1033" t="str">
            <v>0.5*1.9*1.9</v>
          </cell>
          <cell r="BD1033" t="str">
            <v>Vibratome</v>
          </cell>
          <cell r="BE1033">
            <v>14</v>
          </cell>
          <cell r="BF1033" t="str">
            <v>Mouniss</v>
          </cell>
          <cell r="BG1033" t="str">
            <v>N</v>
          </cell>
        </row>
        <row r="1034">
          <cell r="A1034" t="str">
            <v>FBR2C240179</v>
          </cell>
          <cell r="B1034">
            <v>240179</v>
          </cell>
          <cell r="C1034" t="str">
            <v>R&amp;D</v>
          </cell>
          <cell r="D1034">
            <v>45460</v>
          </cell>
          <cell r="E1034">
            <v>0.51875000000000004</v>
          </cell>
          <cell r="F1034">
            <v>45444</v>
          </cell>
          <cell r="G1034">
            <v>45460</v>
          </cell>
          <cell r="H1034">
            <v>0.75694444444444442</v>
          </cell>
          <cell r="I1034">
            <v>0.23819444444444443</v>
          </cell>
          <cell r="J1034">
            <v>3</v>
          </cell>
          <cell r="K1034" t="str">
            <v>FCB-PROTOCOL-02</v>
          </cell>
          <cell r="L1034" t="str">
            <v>RC055</v>
          </cell>
          <cell r="M1034" t="str">
            <v>Y</v>
          </cell>
          <cell r="N1034" t="str">
            <v>RCC DPT (2C)</v>
          </cell>
          <cell r="O1034" t="str">
            <v>Internal R&amp;D</v>
          </cell>
          <cell r="P1034" t="str">
            <v>Q1 Passed</v>
          </cell>
          <cell r="Q1034" t="str">
            <v>Q1 Passed</v>
          </cell>
          <cell r="R1034" t="str">
            <v>Q1.5 Passed</v>
          </cell>
          <cell r="S1034" t="str">
            <v>Q1.5 Passed</v>
          </cell>
          <cell r="V1034" t="str">
            <v>Tumor content 0-40%</v>
          </cell>
          <cell r="W1034" t="str">
            <v>Private Hospital</v>
          </cell>
          <cell r="X1034" t="str">
            <v>Mazumdar Shaw Medical Centre, Bangalore</v>
          </cell>
          <cell r="Y1034" t="str">
            <v>Mazumdar Shaw Medical Centre, Bangalore</v>
          </cell>
          <cell r="Z1034" t="str">
            <v>Dr Saurabh Bhargav, Bangalore</v>
          </cell>
          <cell r="AA1034" t="str">
            <v>RCC</v>
          </cell>
          <cell r="AC1034" t="str">
            <v>Renal Mass</v>
          </cell>
          <cell r="AD1034" t="str">
            <v>Left Renal Mass</v>
          </cell>
          <cell r="AE1034" t="str">
            <v>Male</v>
          </cell>
          <cell r="AF1034">
            <v>71</v>
          </cell>
          <cell r="AG1034" t="str">
            <v>N</v>
          </cell>
          <cell r="AH1034">
            <v>4.5</v>
          </cell>
          <cell r="AI1034" t="str">
            <v>Kalappa</v>
          </cell>
          <cell r="AJ1034" t="str">
            <v>Surgery</v>
          </cell>
          <cell r="AK1034" t="str">
            <v>Primary</v>
          </cell>
          <cell r="AN1034" t="str">
            <v>I</v>
          </cell>
          <cell r="AO1034">
            <v>2</v>
          </cell>
          <cell r="AP1034" t="str">
            <v>pT1b</v>
          </cell>
          <cell r="AS1034" t="str">
            <v>Clear cell renal cell carcinoma</v>
          </cell>
          <cell r="AV1034">
            <v>45460</v>
          </cell>
          <cell r="AW1034">
            <v>0.77569444444444446</v>
          </cell>
          <cell r="AX1034">
            <v>0.81597222222222221</v>
          </cell>
          <cell r="AY1034">
            <v>4.027777777777778E-2</v>
          </cell>
          <cell r="AZ1034">
            <v>0.57777777777777772</v>
          </cell>
          <cell r="BA1034">
            <v>0.29722222222222222</v>
          </cell>
          <cell r="BB1034" t="str">
            <v>0.2*0.6/0.7*0.7/0.8
0.2*0.6/0.8*0.8/1.0
0.2*0.8/1.0*1.4</v>
          </cell>
          <cell r="BD1034" t="str">
            <v>Manual</v>
          </cell>
          <cell r="BE1034">
            <v>14</v>
          </cell>
          <cell r="BF1034" t="str">
            <v>Syam</v>
          </cell>
          <cell r="BG1034" t="str">
            <v>Y</v>
          </cell>
        </row>
        <row r="1035">
          <cell r="A1035" t="str">
            <v>FBB1L240180</v>
          </cell>
          <cell r="B1035">
            <v>240180</v>
          </cell>
          <cell r="C1035" t="str">
            <v>Biopharma</v>
          </cell>
          <cell r="D1035">
            <v>45460</v>
          </cell>
          <cell r="E1035">
            <v>0.69097222222222221</v>
          </cell>
          <cell r="F1035">
            <v>45444</v>
          </cell>
          <cell r="G1035">
            <v>45460</v>
          </cell>
          <cell r="H1035">
            <v>0.75694444444444442</v>
          </cell>
          <cell r="I1035">
            <v>6.5972222222222224E-2</v>
          </cell>
          <cell r="J1035">
            <v>2</v>
          </cell>
          <cell r="K1035" t="str">
            <v>FCB-PROTOCOL-02</v>
          </cell>
          <cell r="L1035" t="str">
            <v>RC056</v>
          </cell>
          <cell r="M1035" t="str">
            <v>Y</v>
          </cell>
          <cell r="N1035" t="str">
            <v>BP010 (1L)</v>
          </cell>
          <cell r="O1035" t="str">
            <v>Biopharma</v>
          </cell>
          <cell r="P1035" t="str">
            <v>Q1 Passed</v>
          </cell>
          <cell r="Q1035" t="str">
            <v>Q1 Passed</v>
          </cell>
          <cell r="R1035" t="str">
            <v>Q1.5 Passed</v>
          </cell>
          <cell r="S1035" t="str">
            <v>Q1.5 Rejected</v>
          </cell>
          <cell r="T1035" t="str">
            <v>No tumor</v>
          </cell>
          <cell r="V1035" t="str">
            <v>No tumor. Most fragments necrosed</v>
          </cell>
          <cell r="W1035" t="str">
            <v>Private Hospital</v>
          </cell>
          <cell r="X1035" t="str">
            <v>Mazumdar Shaw Medical Centre, Bangalore</v>
          </cell>
          <cell r="Y1035" t="str">
            <v>Mazumdar Shaw Medical Centre, Bangalore</v>
          </cell>
          <cell r="Z1035" t="str">
            <v>Dr Saurabh Bhargav, Bangalore</v>
          </cell>
          <cell r="AA1035" t="str">
            <v>RCC</v>
          </cell>
          <cell r="AC1035" t="str">
            <v>Renal Mass</v>
          </cell>
          <cell r="AD1035" t="str">
            <v>Left Renal Mass</v>
          </cell>
          <cell r="AE1035" t="str">
            <v>Male</v>
          </cell>
          <cell r="AF1035">
            <v>53</v>
          </cell>
          <cell r="AG1035" t="str">
            <v>N</v>
          </cell>
          <cell r="AH1035">
            <v>4.5</v>
          </cell>
          <cell r="AI1035" t="str">
            <v>Kalappa</v>
          </cell>
          <cell r="AJ1035" t="str">
            <v>Surgery</v>
          </cell>
          <cell r="AK1035" t="str">
            <v>Primary</v>
          </cell>
          <cell r="AV1035">
            <v>45460</v>
          </cell>
          <cell r="AW1035">
            <v>0.77569444444444446</v>
          </cell>
          <cell r="AX1035">
            <v>0.82222222222222219</v>
          </cell>
          <cell r="AY1035">
            <v>4.6527777777777779E-2</v>
          </cell>
          <cell r="AZ1035">
            <v>0.75624999999999998</v>
          </cell>
          <cell r="BA1035">
            <v>0.13125000000000001</v>
          </cell>
          <cell r="BB1035" t="str">
            <v>0.6/0.2*1.0/0.8*1.8</v>
          </cell>
          <cell r="BD1035" t="str">
            <v>Manual</v>
          </cell>
          <cell r="BE1035">
            <v>14</v>
          </cell>
          <cell r="BF1035" t="str">
            <v>Dharani</v>
          </cell>
          <cell r="BG1035" t="str">
            <v>Y</v>
          </cell>
        </row>
        <row r="1036">
          <cell r="A1036" t="str">
            <v>FBB1L240181</v>
          </cell>
          <cell r="B1036">
            <v>240181</v>
          </cell>
          <cell r="C1036" t="str">
            <v>Biopharma</v>
          </cell>
          <cell r="D1036">
            <v>45461</v>
          </cell>
          <cell r="E1036">
            <v>0.53472222222222221</v>
          </cell>
          <cell r="F1036">
            <v>45444</v>
          </cell>
          <cell r="G1036">
            <v>45461</v>
          </cell>
          <cell r="H1036">
            <v>0.69930555555555551</v>
          </cell>
          <cell r="I1036">
            <v>0.16458333333333333</v>
          </cell>
          <cell r="J1036">
            <v>2</v>
          </cell>
          <cell r="K1036" t="str">
            <v>FCB-PROTOCOL-01</v>
          </cell>
          <cell r="L1036" t="str">
            <v>JSS-016</v>
          </cell>
          <cell r="M1036" t="str">
            <v>Y</v>
          </cell>
          <cell r="N1036" t="str">
            <v>BP010 (1L)</v>
          </cell>
          <cell r="O1036" t="str">
            <v>Biopharma</v>
          </cell>
          <cell r="P1036" t="str">
            <v>Q1 Passed</v>
          </cell>
          <cell r="Q1036" t="str">
            <v>Q1 Passed</v>
          </cell>
          <cell r="R1036" t="str">
            <v>Q1.5 Passed</v>
          </cell>
          <cell r="S1036" t="str">
            <v>Q1.5 Rejected</v>
          </cell>
          <cell r="T1036" t="str">
            <v>No tumor</v>
          </cell>
          <cell r="V1036" t="str">
            <v>No tumor. Fragments necrosed</v>
          </cell>
          <cell r="W1036" t="str">
            <v>Private Hospital</v>
          </cell>
          <cell r="X1036" t="str">
            <v>Clinic'les- Dr Ravi Krishnappa, Mysore</v>
          </cell>
          <cell r="Y1036" t="str">
            <v>JSS Hospital, Mysore</v>
          </cell>
          <cell r="Z1036" t="str">
            <v>Dr Manjunath</v>
          </cell>
          <cell r="AA1036" t="str">
            <v>RCC</v>
          </cell>
          <cell r="AC1036" t="str">
            <v>Renal Mass</v>
          </cell>
          <cell r="AD1036" t="str">
            <v>Left Renal Mass</v>
          </cell>
          <cell r="AE1036" t="str">
            <v>Male</v>
          </cell>
          <cell r="AF1036">
            <v>78</v>
          </cell>
          <cell r="AG1036" t="str">
            <v>N</v>
          </cell>
          <cell r="AH1036">
            <v>5.3</v>
          </cell>
          <cell r="AI1036" t="str">
            <v>Kalappa</v>
          </cell>
          <cell r="AJ1036" t="str">
            <v>Surgery</v>
          </cell>
          <cell r="AK1036" t="str">
            <v>Primary</v>
          </cell>
          <cell r="AV1036">
            <v>45461</v>
          </cell>
          <cell r="AW1036">
            <v>0.71944444444444444</v>
          </cell>
          <cell r="AX1036">
            <v>0.7583333333333333</v>
          </cell>
          <cell r="AY1036">
            <v>3.888888888888889E-2</v>
          </cell>
          <cell r="AZ1036">
            <v>0.59375</v>
          </cell>
          <cell r="BA1036">
            <v>0.22361111111111112</v>
          </cell>
          <cell r="BB1036" t="str">
            <v>1.2*1.4*1.8</v>
          </cell>
          <cell r="BD1036" t="str">
            <v>Manual</v>
          </cell>
          <cell r="BE1036">
            <v>14</v>
          </cell>
          <cell r="BF1036" t="str">
            <v>Syam</v>
          </cell>
          <cell r="BG1036" t="str">
            <v>Y</v>
          </cell>
        </row>
        <row r="1037">
          <cell r="A1037" t="str">
            <v>FBR1Y240182</v>
          </cell>
          <cell r="B1037">
            <v>240182</v>
          </cell>
          <cell r="C1037" t="str">
            <v>R&amp;D</v>
          </cell>
          <cell r="D1037">
            <v>45462</v>
          </cell>
          <cell r="E1037">
            <v>0.625</v>
          </cell>
          <cell r="F1037">
            <v>45444</v>
          </cell>
          <cell r="G1037">
            <v>45462</v>
          </cell>
          <cell r="H1037">
            <v>0.69027777777777777</v>
          </cell>
          <cell r="I1037">
            <v>6.5277777777777782E-2</v>
          </cell>
          <cell r="J1037">
            <v>12</v>
          </cell>
          <cell r="K1037" t="str">
            <v>FCB-PROTOCOL-02</v>
          </cell>
          <cell r="L1037" t="str">
            <v>HN149</v>
          </cell>
          <cell r="M1037" t="str">
            <v>Y</v>
          </cell>
          <cell r="N1037" t="str">
            <v>CCS Study (1Y)</v>
          </cell>
          <cell r="O1037" t="str">
            <v>Internal R&amp;D</v>
          </cell>
          <cell r="P1037" t="str">
            <v>Q1 Passed</v>
          </cell>
          <cell r="Q1037" t="str">
            <v>Not Received</v>
          </cell>
          <cell r="R1037" t="str">
            <v>Compromised</v>
          </cell>
          <cell r="S1037" t="str">
            <v>Q1.5 Passed</v>
          </cell>
          <cell r="V1037" t="str">
            <v>Tumor content 25-85%</v>
          </cell>
          <cell r="W1037" t="str">
            <v>Private Hospital</v>
          </cell>
          <cell r="X1037" t="str">
            <v>Mazumdar Shaw Medical Centre, Bangalore</v>
          </cell>
          <cell r="Y1037" t="str">
            <v>Mazumdar Shaw Medical Centre, Bangalore</v>
          </cell>
          <cell r="Z1037" t="str">
            <v>Dr Vijay Pillai, Bangalore</v>
          </cell>
          <cell r="AA1037" t="str">
            <v>HNSCC</v>
          </cell>
          <cell r="AC1037" t="str">
            <v>Buccal Mucosa</v>
          </cell>
          <cell r="AD1037" t="str">
            <v>Right Buccal Mucosa</v>
          </cell>
          <cell r="AE1037" t="str">
            <v>Male</v>
          </cell>
          <cell r="AF1037">
            <v>53</v>
          </cell>
          <cell r="AG1037" t="str">
            <v>N</v>
          </cell>
          <cell r="AH1037">
            <v>4.8</v>
          </cell>
          <cell r="AI1037" t="str">
            <v>Shashi</v>
          </cell>
          <cell r="AJ1037" t="str">
            <v>Surgery</v>
          </cell>
          <cell r="AK1037" t="str">
            <v>Primary</v>
          </cell>
          <cell r="AN1037" t="str">
            <v>IV</v>
          </cell>
          <cell r="AO1037">
            <v>2</v>
          </cell>
          <cell r="AP1037" t="str">
            <v>pT4a pN0</v>
          </cell>
          <cell r="AS1037" t="str">
            <v>MDSCC(Moderately Differentiated Squamous cell carcinoma)</v>
          </cell>
          <cell r="AV1037">
            <v>45462</v>
          </cell>
          <cell r="AW1037">
            <v>0.70277777777777772</v>
          </cell>
          <cell r="AX1037">
            <v>0.76666666666666672</v>
          </cell>
          <cell r="AY1037">
            <v>6.3888888888888884E-2</v>
          </cell>
          <cell r="AZ1037">
            <v>0.70138888888888884</v>
          </cell>
          <cell r="BA1037">
            <v>0.14166666666666666</v>
          </cell>
          <cell r="BB1037" t="str">
            <v>0.4/0.5*1.0/1.2*1.6</v>
          </cell>
          <cell r="BD1037" t="str">
            <v>Vibratome</v>
          </cell>
          <cell r="BE1037">
            <v>14</v>
          </cell>
          <cell r="BF1037" t="str">
            <v>Abdul</v>
          </cell>
          <cell r="BG1037" t="str">
            <v>N</v>
          </cell>
        </row>
        <row r="1038">
          <cell r="A1038" t="str">
            <v>FBR2A240183</v>
          </cell>
          <cell r="B1038">
            <v>240183</v>
          </cell>
          <cell r="C1038" t="str">
            <v>R&amp;D</v>
          </cell>
          <cell r="D1038">
            <v>45464</v>
          </cell>
          <cell r="E1038">
            <v>0.57847222222222228</v>
          </cell>
          <cell r="F1038">
            <v>45444</v>
          </cell>
          <cell r="G1038">
            <v>45464</v>
          </cell>
          <cell r="H1038">
            <v>0.61111111111111116</v>
          </cell>
          <cell r="I1038">
            <v>3.2638888888888891E-2</v>
          </cell>
          <cell r="J1038">
            <v>2</v>
          </cell>
          <cell r="K1038" t="str">
            <v>FCB-PROTOCOL-01</v>
          </cell>
          <cell r="L1038" t="str">
            <v>CLN/PRA/263</v>
          </cell>
          <cell r="M1038" t="str">
            <v>Y</v>
          </cell>
          <cell r="N1038" t="str">
            <v>Ovary CC (R2A)</v>
          </cell>
          <cell r="O1038" t="str">
            <v>Internal R&amp;D</v>
          </cell>
          <cell r="P1038" t="str">
            <v>Q1 Passed</v>
          </cell>
          <cell r="Q1038" t="str">
            <v>Q1 Passed</v>
          </cell>
          <cell r="R1038" t="str">
            <v>Q1.5 Passed</v>
          </cell>
          <cell r="S1038" t="str">
            <v>Q1.5 Rejected</v>
          </cell>
          <cell r="T1038" t="str">
            <v>Plate got contaminated</v>
          </cell>
          <cell r="V1038" t="str">
            <v>No Tumor</v>
          </cell>
          <cell r="W1038" t="str">
            <v>Private Hospital</v>
          </cell>
          <cell r="X1038" t="str">
            <v>Dr Prakash BV, Bangalore</v>
          </cell>
          <cell r="Y1038" t="str">
            <v>Aswad Hospital</v>
          </cell>
          <cell r="Z1038" t="str">
            <v>Dr Prakash BV, Bangalore</v>
          </cell>
          <cell r="AA1038" t="str">
            <v>Ca Ovary</v>
          </cell>
          <cell r="AC1038" t="str">
            <v>Ovary</v>
          </cell>
          <cell r="AD1038" t="str">
            <v>Right Ovary</v>
          </cell>
          <cell r="AE1038" t="str">
            <v>Female</v>
          </cell>
          <cell r="AF1038">
            <v>55</v>
          </cell>
          <cell r="AG1038" t="str">
            <v>N</v>
          </cell>
          <cell r="AH1038">
            <v>4.8</v>
          </cell>
          <cell r="AI1038" t="str">
            <v>Kalappa</v>
          </cell>
          <cell r="AJ1038" t="str">
            <v>Surgery</v>
          </cell>
          <cell r="AK1038" t="str">
            <v>Primary</v>
          </cell>
          <cell r="AV1038">
            <v>45464</v>
          </cell>
          <cell r="AW1038">
            <v>0.63611111111111107</v>
          </cell>
          <cell r="AX1038">
            <v>0.72291666666666665</v>
          </cell>
          <cell r="AY1038">
            <v>8.6805555555555552E-2</v>
          </cell>
          <cell r="AZ1038">
            <v>0.69027777777777777</v>
          </cell>
          <cell r="BA1038">
            <v>0.14444444444444443</v>
          </cell>
          <cell r="BB1038" t="str">
            <v>0.5/0.6*3.8*4.0</v>
          </cell>
          <cell r="BD1038" t="str">
            <v>Manual</v>
          </cell>
          <cell r="BE1038">
            <v>14</v>
          </cell>
          <cell r="BF1038" t="str">
            <v>Abdul</v>
          </cell>
          <cell r="BG1038" t="str">
            <v>Y</v>
          </cell>
        </row>
        <row r="1039">
          <cell r="A1039" t="str">
            <v>FBR1Y240184</v>
          </cell>
          <cell r="B1039">
            <v>240184</v>
          </cell>
          <cell r="C1039" t="str">
            <v>R&amp;D</v>
          </cell>
          <cell r="D1039">
            <v>45467</v>
          </cell>
          <cell r="E1039">
            <v>0.45416666666666666</v>
          </cell>
          <cell r="F1039">
            <v>45444</v>
          </cell>
          <cell r="G1039">
            <v>45467</v>
          </cell>
          <cell r="H1039">
            <v>0.57291666666666663</v>
          </cell>
          <cell r="I1039">
            <v>0.11874999999999999</v>
          </cell>
          <cell r="J1039">
            <v>2</v>
          </cell>
          <cell r="K1039" t="str">
            <v>FCB-PROTOCOL-01</v>
          </cell>
          <cell r="L1039" t="str">
            <v>VYD/290</v>
          </cell>
          <cell r="M1039" t="str">
            <v>Y</v>
          </cell>
          <cell r="N1039" t="str">
            <v>CCS Study (1Y)</v>
          </cell>
          <cell r="O1039" t="str">
            <v>Internal R&amp;D</v>
          </cell>
          <cell r="P1039" t="str">
            <v>Q1 Passed</v>
          </cell>
          <cell r="Q1039" t="str">
            <v>Q1 Passed</v>
          </cell>
          <cell r="R1039" t="str">
            <v>Q1.5 Passed</v>
          </cell>
          <cell r="S1039" t="str">
            <v>Q1.5 Passed</v>
          </cell>
          <cell r="V1039" t="str">
            <v xml:space="preserve">Tumor content 0-90% </v>
          </cell>
          <cell r="W1039" t="str">
            <v>Private Hospital</v>
          </cell>
          <cell r="X1039" t="str">
            <v>Vydehi Hospital, Bangalore</v>
          </cell>
          <cell r="Y1039" t="str">
            <v>Vydehi Hospital, Bangalore</v>
          </cell>
          <cell r="Z1039" t="str">
            <v>Dr Amritha Prabha, Bangalore</v>
          </cell>
          <cell r="AA1039" t="str">
            <v>HNSCC</v>
          </cell>
          <cell r="AC1039" t="str">
            <v>Buccal Mucosa</v>
          </cell>
          <cell r="AD1039" t="str">
            <v>Right Buccal Mucosa</v>
          </cell>
          <cell r="AE1039" t="str">
            <v>Male</v>
          </cell>
          <cell r="AF1039">
            <v>48</v>
          </cell>
          <cell r="AG1039" t="str">
            <v>N</v>
          </cell>
          <cell r="AH1039">
            <v>4.5999999999999996</v>
          </cell>
          <cell r="AI1039" t="str">
            <v>Maruthi</v>
          </cell>
          <cell r="AJ1039" t="str">
            <v>Surgery</v>
          </cell>
          <cell r="AK1039" t="str">
            <v>Primary</v>
          </cell>
          <cell r="AN1039" t="str">
            <v>III</v>
          </cell>
          <cell r="AO1039">
            <v>2</v>
          </cell>
          <cell r="AP1039" t="str">
            <v>pT3N0</v>
          </cell>
          <cell r="AS1039" t="str">
            <v>scc</v>
          </cell>
          <cell r="AT1039" t="str">
            <v>RT</v>
          </cell>
          <cell r="AV1039">
            <v>45467</v>
          </cell>
          <cell r="AW1039">
            <v>0.58958333333333335</v>
          </cell>
          <cell r="AX1039">
            <v>0.65555555555555556</v>
          </cell>
          <cell r="AY1039">
            <v>6.5972222222222224E-2</v>
          </cell>
          <cell r="AZ1039">
            <v>0.53680555555555554</v>
          </cell>
          <cell r="BA1039">
            <v>0.2013888888888889</v>
          </cell>
          <cell r="BB1039" t="str">
            <v>0.6/0.8*2.6*3.2</v>
          </cell>
          <cell r="BD1039" t="str">
            <v>Vibratome</v>
          </cell>
          <cell r="BE1039">
            <v>14</v>
          </cell>
          <cell r="BF1039" t="str">
            <v>Pallavi</v>
          </cell>
          <cell r="BG1039" t="str">
            <v>Y</v>
          </cell>
        </row>
        <row r="1040">
          <cell r="A1040" t="str">
            <v>FBR2H240184</v>
          </cell>
          <cell r="B1040">
            <v>240184</v>
          </cell>
          <cell r="C1040" t="str">
            <v>R&amp;D</v>
          </cell>
          <cell r="D1040">
            <v>45467</v>
          </cell>
          <cell r="E1040">
            <v>0.45416666666666666</v>
          </cell>
          <cell r="F1040">
            <v>45444</v>
          </cell>
          <cell r="G1040">
            <v>45467</v>
          </cell>
          <cell r="H1040">
            <v>0.57291666666666663</v>
          </cell>
          <cell r="I1040">
            <v>0.11874999999999999</v>
          </cell>
          <cell r="J1040">
            <v>2</v>
          </cell>
          <cell r="K1040" t="str">
            <v>FCB-PROTOCOL-01</v>
          </cell>
          <cell r="L1040" t="str">
            <v>VYD/290</v>
          </cell>
          <cell r="M1040" t="str">
            <v>Y</v>
          </cell>
          <cell r="N1040" t="str">
            <v>CCS Study (1Y)</v>
          </cell>
          <cell r="O1040" t="str">
            <v>Internal R&amp;D</v>
          </cell>
          <cell r="P1040" t="str">
            <v>Q1 Passed</v>
          </cell>
          <cell r="Q1040" t="str">
            <v>Q1 Passed</v>
          </cell>
          <cell r="R1040" t="str">
            <v>Q1.5 Passed</v>
          </cell>
          <cell r="S1040" t="str">
            <v>Q1.5 Passed</v>
          </cell>
          <cell r="V1040" t="str">
            <v xml:space="preserve">Tumor content 0-90% </v>
          </cell>
          <cell r="W1040" t="str">
            <v>Private Hospital</v>
          </cell>
          <cell r="X1040" t="str">
            <v>Vydehi Hospital, Bangalore</v>
          </cell>
          <cell r="Y1040" t="str">
            <v>Vydehi Hospital, Bangalore</v>
          </cell>
          <cell r="Z1040" t="str">
            <v>Dr Amritha Prabha, Bangalore</v>
          </cell>
          <cell r="AA1040" t="str">
            <v>HNSCC</v>
          </cell>
          <cell r="AC1040" t="str">
            <v>Buccal Mucosa</v>
          </cell>
          <cell r="AD1040" t="str">
            <v>Right Buccal Mucosa</v>
          </cell>
          <cell r="AE1040" t="str">
            <v>Male</v>
          </cell>
          <cell r="AF1040">
            <v>48</v>
          </cell>
          <cell r="AG1040" t="str">
            <v>N</v>
          </cell>
          <cell r="AH1040">
            <v>4.5999999999999996</v>
          </cell>
          <cell r="AI1040" t="str">
            <v>Maruthi</v>
          </cell>
          <cell r="AJ1040" t="str">
            <v>Surgery</v>
          </cell>
          <cell r="AK1040" t="str">
            <v>Primary</v>
          </cell>
          <cell r="AN1040" t="str">
            <v>III</v>
          </cell>
          <cell r="AO1040">
            <v>2</v>
          </cell>
          <cell r="AP1040" t="str">
            <v>pT3N0</v>
          </cell>
          <cell r="AS1040" t="str">
            <v>scc</v>
          </cell>
          <cell r="AT1040" t="str">
            <v>RT</v>
          </cell>
          <cell r="AV1040">
            <v>45468</v>
          </cell>
          <cell r="BD1040" t="str">
            <v>Vibratome</v>
          </cell>
          <cell r="BE1040">
            <v>14</v>
          </cell>
          <cell r="BF1040" t="str">
            <v>kuberan</v>
          </cell>
          <cell r="BG1040" t="str">
            <v>Y</v>
          </cell>
        </row>
        <row r="1041">
          <cell r="A1041" t="str">
            <v>FBR1Y240185</v>
          </cell>
          <cell r="B1041">
            <v>240185</v>
          </cell>
          <cell r="C1041" t="str">
            <v>R&amp;D</v>
          </cell>
          <cell r="D1041">
            <v>45469</v>
          </cell>
          <cell r="E1041">
            <v>0.52361111111111114</v>
          </cell>
          <cell r="F1041">
            <v>45444</v>
          </cell>
          <cell r="G1041">
            <v>45469</v>
          </cell>
          <cell r="H1041">
            <v>0.59930555555555554</v>
          </cell>
          <cell r="I1041">
            <v>7.5694444444444439E-2</v>
          </cell>
          <cell r="J1041">
            <v>4</v>
          </cell>
          <cell r="K1041" t="str">
            <v>FCB-PROTOCOL-01</v>
          </cell>
          <cell r="L1041" t="str">
            <v>VYD/291</v>
          </cell>
          <cell r="M1041" t="str">
            <v>Y</v>
          </cell>
          <cell r="N1041" t="str">
            <v>CCS Study (1Y)</v>
          </cell>
          <cell r="O1041" t="str">
            <v>Internal R&amp;D</v>
          </cell>
          <cell r="P1041" t="str">
            <v>Q1 Passed</v>
          </cell>
          <cell r="Q1041" t="str">
            <v>Q1 Passed</v>
          </cell>
          <cell r="R1041" t="str">
            <v>Q1.5 Passed</v>
          </cell>
          <cell r="S1041" t="str">
            <v>Q1.5 Passed</v>
          </cell>
          <cell r="V1041" t="str">
            <v>Tumor content 0-85%. Average tumor content 56%</v>
          </cell>
          <cell r="W1041" t="str">
            <v>Private Hospital</v>
          </cell>
          <cell r="X1041" t="str">
            <v>Vydehi Hospital, Bangalore</v>
          </cell>
          <cell r="Y1041" t="str">
            <v>Vydehi Hospital, Bangalore</v>
          </cell>
          <cell r="Z1041" t="str">
            <v>Dr Amritha Prabha, Bangalore</v>
          </cell>
          <cell r="AA1041" t="str">
            <v>HNSCC</v>
          </cell>
          <cell r="AC1041" t="str">
            <v>Buccal Mucosa</v>
          </cell>
          <cell r="AD1041" t="str">
            <v>Left Buccal Mucosa</v>
          </cell>
          <cell r="AE1041" t="str">
            <v>Female</v>
          </cell>
          <cell r="AF1041">
            <v>55</v>
          </cell>
          <cell r="AG1041" t="str">
            <v>N</v>
          </cell>
          <cell r="AH1041">
            <v>4.9000000000000004</v>
          </cell>
          <cell r="AI1041" t="str">
            <v>Shashi</v>
          </cell>
          <cell r="AJ1041" t="str">
            <v>Surgery</v>
          </cell>
          <cell r="AK1041" t="str">
            <v>Primary</v>
          </cell>
          <cell r="AN1041" t="str">
            <v>II</v>
          </cell>
          <cell r="AO1041">
            <v>2</v>
          </cell>
          <cell r="AP1041" t="str">
            <v>pT2N0</v>
          </cell>
          <cell r="AS1041" t="str">
            <v>scc</v>
          </cell>
          <cell r="AT1041" t="str">
            <v>RT</v>
          </cell>
          <cell r="AV1041">
            <v>45469</v>
          </cell>
          <cell r="AW1041">
            <v>0.6166666666666667</v>
          </cell>
          <cell r="AX1041">
            <v>0.68958333333333333</v>
          </cell>
          <cell r="AY1041">
            <v>7.2916666666666671E-2</v>
          </cell>
          <cell r="AZ1041">
            <v>0.61388888888888893</v>
          </cell>
          <cell r="BA1041">
            <v>0.16597222222222222</v>
          </cell>
          <cell r="BB1041" t="str">
            <v>0.8/1.0*1.0/1.2*1.8/1.2</v>
          </cell>
          <cell r="BD1041" t="str">
            <v>Vibratome</v>
          </cell>
          <cell r="BE1041">
            <v>14</v>
          </cell>
          <cell r="BF1041" t="str">
            <v>Mouniss</v>
          </cell>
          <cell r="BG1041" t="str">
            <v>Y</v>
          </cell>
        </row>
        <row r="1042">
          <cell r="A1042" t="str">
            <v>FBR2A240186</v>
          </cell>
          <cell r="B1042">
            <v>240186</v>
          </cell>
          <cell r="C1042" t="str">
            <v>R&amp;D</v>
          </cell>
          <cell r="D1042">
            <v>45469</v>
          </cell>
          <cell r="E1042">
            <v>0.4201388888888889</v>
          </cell>
          <cell r="F1042">
            <v>45444</v>
          </cell>
          <cell r="G1042">
            <v>45469</v>
          </cell>
          <cell r="H1042">
            <v>0.66319444444444442</v>
          </cell>
          <cell r="I1042">
            <v>0.24305555555555555</v>
          </cell>
          <cell r="J1042">
            <v>5</v>
          </cell>
          <cell r="K1042" t="str">
            <v>FCB-PROTOCOL-01</v>
          </cell>
          <cell r="L1042" t="str">
            <v>JSS-017</v>
          </cell>
          <cell r="M1042" t="str">
            <v>Y</v>
          </cell>
          <cell r="N1042" t="str">
            <v>Ovary CC (R2A)</v>
          </cell>
          <cell r="O1042" t="str">
            <v>Internal R&amp;D</v>
          </cell>
          <cell r="P1042" t="str">
            <v>Q1 Passed</v>
          </cell>
          <cell r="Q1042" t="str">
            <v>Q1 Passed</v>
          </cell>
          <cell r="R1042" t="str">
            <v>Q1.5 Passed</v>
          </cell>
          <cell r="S1042" t="str">
            <v>Q1.5 Passed</v>
          </cell>
          <cell r="V1042" t="str">
            <v>Tumor content 15-85%</v>
          </cell>
          <cell r="W1042" t="str">
            <v>Private Hospital</v>
          </cell>
          <cell r="X1042" t="str">
            <v>Clinic'les- Dr Ravi Krishnappa, Mysore</v>
          </cell>
          <cell r="Y1042" t="str">
            <v>JSS Hospital, Mysore</v>
          </cell>
          <cell r="Z1042" t="str">
            <v>Dr Ravi Krishnappa, Mysore</v>
          </cell>
          <cell r="AA1042" t="str">
            <v>Ca Ovary</v>
          </cell>
          <cell r="AC1042" t="str">
            <v>Ovary</v>
          </cell>
          <cell r="AD1042" t="str">
            <v>Right Ovary</v>
          </cell>
          <cell r="AE1042" t="str">
            <v>Female</v>
          </cell>
          <cell r="AF1042">
            <v>45</v>
          </cell>
          <cell r="AG1042" t="str">
            <v>N</v>
          </cell>
          <cell r="AH1042">
            <v>5.6</v>
          </cell>
          <cell r="AI1042" t="str">
            <v>Kalappa</v>
          </cell>
          <cell r="AJ1042" t="str">
            <v>Surgery</v>
          </cell>
          <cell r="AK1042" t="str">
            <v>Primary</v>
          </cell>
          <cell r="AN1042" t="str">
            <v>III</v>
          </cell>
          <cell r="AV1042">
            <v>45469</v>
          </cell>
          <cell r="AW1042">
            <v>0.67638888888888893</v>
          </cell>
          <cell r="AX1042">
            <v>0.72916666666666663</v>
          </cell>
          <cell r="AY1042">
            <v>5.2777777777777778E-2</v>
          </cell>
          <cell r="AZ1042">
            <v>0.4861111111111111</v>
          </cell>
          <cell r="BA1042">
            <v>0.30902777777777779</v>
          </cell>
          <cell r="BB1042" t="str">
            <v>0.4*1.4/1.0*2.4</v>
          </cell>
          <cell r="BD1042" t="str">
            <v>Manual</v>
          </cell>
          <cell r="BE1042">
            <v>14</v>
          </cell>
          <cell r="BF1042" t="str">
            <v>Dharani</v>
          </cell>
          <cell r="BG1042" t="str">
            <v>Y</v>
          </cell>
        </row>
        <row r="1043">
          <cell r="A1043" t="str">
            <v>FBR2A240187</v>
          </cell>
          <cell r="B1043">
            <v>240187</v>
          </cell>
          <cell r="C1043" t="str">
            <v>R&amp;D</v>
          </cell>
          <cell r="D1043">
            <v>45469</v>
          </cell>
          <cell r="E1043">
            <v>0.99097222222222225</v>
          </cell>
          <cell r="F1043">
            <v>45444</v>
          </cell>
          <cell r="G1043">
            <v>45470</v>
          </cell>
          <cell r="H1043">
            <v>0.38124999999999998</v>
          </cell>
          <cell r="I1043">
            <v>0.39027777777777778</v>
          </cell>
          <cell r="K1043" t="str">
            <v>FCB-PROTOCOL-01</v>
          </cell>
          <cell r="L1043" t="str">
            <v>CLN/PRA/264</v>
          </cell>
          <cell r="M1043" t="str">
            <v>Y</v>
          </cell>
          <cell r="N1043" t="str">
            <v>Ovary CC (R2A)</v>
          </cell>
          <cell r="O1043" t="str">
            <v>Internal R&amp;D</v>
          </cell>
          <cell r="P1043" t="str">
            <v>Q1 Passed</v>
          </cell>
          <cell r="Q1043" t="str">
            <v>Q1 Passed</v>
          </cell>
          <cell r="R1043" t="str">
            <v>Q1.5 Passed</v>
          </cell>
          <cell r="S1043" t="str">
            <v>Q1.5 Rejected</v>
          </cell>
          <cell r="V1043" t="str">
            <v>No epithelial tumor</v>
          </cell>
          <cell r="W1043" t="str">
            <v>Private Hospital</v>
          </cell>
          <cell r="X1043" t="str">
            <v>Dr Prakash BV, Bangalore</v>
          </cell>
          <cell r="Y1043" t="str">
            <v>Sri Lakshmi Hospital, Bangalore</v>
          </cell>
          <cell r="Z1043" t="str">
            <v>Dr Prakash BV, Bangalore</v>
          </cell>
          <cell r="AA1043" t="str">
            <v>Ca Ovary</v>
          </cell>
          <cell r="AC1043" t="str">
            <v>Ovary</v>
          </cell>
          <cell r="AD1043" t="str">
            <v>Left Ovary</v>
          </cell>
          <cell r="AE1043" t="str">
            <v>Female</v>
          </cell>
          <cell r="AF1043">
            <v>48</v>
          </cell>
          <cell r="AG1043" t="str">
            <v>N</v>
          </cell>
          <cell r="AH1043">
            <v>5.2</v>
          </cell>
          <cell r="AI1043" t="str">
            <v>Maruthi</v>
          </cell>
          <cell r="AJ1043" t="str">
            <v>Surgery</v>
          </cell>
          <cell r="AK1043" t="str">
            <v>Primary</v>
          </cell>
          <cell r="AL1043" t="str">
            <v>Chemotherapy</v>
          </cell>
          <cell r="AN1043" t="str">
            <v>II</v>
          </cell>
          <cell r="AP1043" t="str">
            <v>pT3N1M0</v>
          </cell>
          <cell r="AQ1043">
            <v>7</v>
          </cell>
          <cell r="AR1043" t="str">
            <v>Pacli+Carbo</v>
          </cell>
          <cell r="AV1043">
            <v>45470</v>
          </cell>
          <cell r="AW1043">
            <v>0.39930555555555558</v>
          </cell>
          <cell r="AX1043">
            <v>0.47916666666666669</v>
          </cell>
          <cell r="AY1043">
            <v>7.9861111111111105E-2</v>
          </cell>
          <cell r="AZ1043">
            <v>8.8888888888888892E-2</v>
          </cell>
          <cell r="BA1043">
            <v>0.48819444444444443</v>
          </cell>
          <cell r="BB1043" t="str">
            <v>0.4/0.6*2.2/1.4*2.8</v>
          </cell>
          <cell r="BD1043" t="str">
            <v>Manual</v>
          </cell>
          <cell r="BE1043">
            <v>14</v>
          </cell>
          <cell r="BF1043" t="str">
            <v>Pallavi</v>
          </cell>
          <cell r="BG1043" t="str">
            <v>N</v>
          </cell>
        </row>
        <row r="1044">
          <cell r="A1044" t="str">
            <v>FBR1Y240188</v>
          </cell>
          <cell r="B1044">
            <v>240188</v>
          </cell>
          <cell r="C1044" t="str">
            <v>R&amp;D</v>
          </cell>
          <cell r="D1044">
            <v>45470</v>
          </cell>
          <cell r="E1044">
            <v>0.2722222222222222</v>
          </cell>
          <cell r="F1044">
            <v>45444</v>
          </cell>
          <cell r="G1044">
            <v>45470</v>
          </cell>
          <cell r="H1044">
            <v>0.38124999999999998</v>
          </cell>
          <cell r="I1044">
            <v>0.10902777777777778</v>
          </cell>
          <cell r="J1044">
            <v>2</v>
          </cell>
          <cell r="K1044" t="str">
            <v>FCB-PROTOCOL-01</v>
          </cell>
          <cell r="L1044" t="str">
            <v>CLN/PRA/265</v>
          </cell>
          <cell r="M1044" t="str">
            <v>Y</v>
          </cell>
          <cell r="N1044" t="str">
            <v>CCS Study (1Y)</v>
          </cell>
          <cell r="O1044" t="str">
            <v>Internal R&amp;D</v>
          </cell>
          <cell r="P1044" t="str">
            <v>Q1 Passed</v>
          </cell>
          <cell r="Q1044" t="str">
            <v>Q1 Rejected</v>
          </cell>
          <cell r="R1044" t="str">
            <v>Q1.5 Passed</v>
          </cell>
          <cell r="S1044" t="str">
            <v>Q1.5 Passed</v>
          </cell>
          <cell r="T1044" t="str">
            <v>Blood Clot</v>
          </cell>
          <cell r="V1044" t="str">
            <v>Tumor content 55-80%</v>
          </cell>
          <cell r="W1044" t="str">
            <v>Private Hospital</v>
          </cell>
          <cell r="X1044" t="str">
            <v>Dr Prakash BV, Bangalore</v>
          </cell>
          <cell r="Y1044" t="str">
            <v>Sri Lakshmi Hospital, Bangalore</v>
          </cell>
          <cell r="Z1044" t="str">
            <v>Dr Prakash BV, Bangalore</v>
          </cell>
          <cell r="AA1044" t="str">
            <v>HNSCC</v>
          </cell>
          <cell r="AC1044" t="str">
            <v>Larynx</v>
          </cell>
          <cell r="AD1044" t="str">
            <v>Larynx</v>
          </cell>
          <cell r="AE1044" t="str">
            <v>Male</v>
          </cell>
          <cell r="AF1044">
            <v>75</v>
          </cell>
          <cell r="AG1044" t="str">
            <v>N</v>
          </cell>
          <cell r="AH1044">
            <v>5.2</v>
          </cell>
          <cell r="AI1044" t="str">
            <v>Maruthi</v>
          </cell>
          <cell r="AJ1044" t="str">
            <v>Surgery</v>
          </cell>
          <cell r="AK1044" t="str">
            <v>Primary</v>
          </cell>
          <cell r="AN1044" t="str">
            <v>II</v>
          </cell>
          <cell r="AP1044" t="str">
            <v>pT2N0M0</v>
          </cell>
          <cell r="AS1044" t="str">
            <v>SCC</v>
          </cell>
          <cell r="AV1044">
            <v>45470</v>
          </cell>
          <cell r="AW1044">
            <v>0.40277777777777779</v>
          </cell>
          <cell r="AX1044">
            <v>0.4548611111111111</v>
          </cell>
          <cell r="AY1044">
            <v>5.2083333333333336E-2</v>
          </cell>
          <cell r="AZ1044">
            <v>0.34583333333333333</v>
          </cell>
          <cell r="BA1044">
            <v>0.18263888888888888</v>
          </cell>
          <cell r="BB1044" t="str">
            <v>0.6/0.8*1.2/1.4*
1.8/1.0</v>
          </cell>
          <cell r="BC1044" t="str">
            <v>0.3*1.0*1.2</v>
          </cell>
          <cell r="BD1044" t="str">
            <v>Vibratome</v>
          </cell>
          <cell r="BE1044">
            <v>14</v>
          </cell>
          <cell r="BF1044" t="str">
            <v>chandan</v>
          </cell>
          <cell r="BG1044" t="str">
            <v>Y</v>
          </cell>
        </row>
        <row r="1045">
          <cell r="A1045" t="str">
            <v>FBR1Y240188
TAT 12Hrs</v>
          </cell>
          <cell r="B1045">
            <v>240188</v>
          </cell>
          <cell r="C1045" t="str">
            <v>R&amp;D</v>
          </cell>
          <cell r="D1045">
            <v>45470</v>
          </cell>
          <cell r="E1045">
            <v>0.2722222222222222</v>
          </cell>
          <cell r="F1045">
            <v>45444</v>
          </cell>
          <cell r="G1045">
            <v>45470</v>
          </cell>
          <cell r="H1045">
            <v>0.38124999999999998</v>
          </cell>
          <cell r="I1045">
            <v>0.10902777777777778</v>
          </cell>
          <cell r="J1045">
            <v>2</v>
          </cell>
          <cell r="K1045" t="str">
            <v>FCB-PROTOCOL-01</v>
          </cell>
          <cell r="L1045" t="str">
            <v>CLN/PRA/265</v>
          </cell>
          <cell r="M1045" t="str">
            <v>Y</v>
          </cell>
          <cell r="N1045" t="str">
            <v>CCS Study (1Y)</v>
          </cell>
          <cell r="O1045" t="str">
            <v>Internal R&amp;D</v>
          </cell>
          <cell r="P1045" t="str">
            <v>Q1 Passed</v>
          </cell>
          <cell r="Q1045" t="str">
            <v>Q1 Rejected</v>
          </cell>
          <cell r="R1045" t="str">
            <v>Q1.5 Passed</v>
          </cell>
          <cell r="S1045" t="str">
            <v>Q1.5 Passed</v>
          </cell>
          <cell r="T1045" t="str">
            <v>Blood Clot</v>
          </cell>
          <cell r="V1045" t="str">
            <v>Tumor content 55-80%</v>
          </cell>
          <cell r="W1045" t="str">
            <v>Private Hospital</v>
          </cell>
          <cell r="X1045" t="str">
            <v>Dr Prakash BV, Bangalore</v>
          </cell>
          <cell r="Y1045" t="str">
            <v>Sri Lakshmi Hospital, Bangalore</v>
          </cell>
          <cell r="Z1045" t="str">
            <v>Dr Prakash BV, Bangalore</v>
          </cell>
          <cell r="AA1045" t="str">
            <v>HNSCC</v>
          </cell>
          <cell r="AC1045" t="str">
            <v>Larynx</v>
          </cell>
          <cell r="AD1045" t="str">
            <v>Larynx</v>
          </cell>
          <cell r="AE1045" t="str">
            <v>Male</v>
          </cell>
          <cell r="AF1045">
            <v>75</v>
          </cell>
          <cell r="AG1045" t="str">
            <v>N</v>
          </cell>
          <cell r="AH1045">
            <v>5.2</v>
          </cell>
          <cell r="AI1045" t="str">
            <v>Maruthi</v>
          </cell>
          <cell r="AJ1045" t="str">
            <v>Surgery</v>
          </cell>
          <cell r="AK1045" t="str">
            <v>Primary</v>
          </cell>
          <cell r="AN1045" t="str">
            <v>II</v>
          </cell>
          <cell r="AP1045" t="str">
            <v>pT2N0M0</v>
          </cell>
          <cell r="AS1045" t="str">
            <v>SCC</v>
          </cell>
          <cell r="AV1045">
            <v>45470</v>
          </cell>
          <cell r="AW1045">
            <v>0.40277777777777779</v>
          </cell>
          <cell r="AX1045">
            <v>0.4548611111111111</v>
          </cell>
          <cell r="AY1045">
            <v>5.2083333333333336E-2</v>
          </cell>
          <cell r="AZ1045">
            <v>0.34583333333333333</v>
          </cell>
          <cell r="BA1045">
            <v>0.18263888888888888</v>
          </cell>
          <cell r="BB1045" t="str">
            <v>0.6/0.2*1.2/1.4*
1.8/1.0</v>
          </cell>
          <cell r="BC1045" t="str">
            <v>0.4*1.0*1.6</v>
          </cell>
          <cell r="BD1045" t="str">
            <v>Vibratome</v>
          </cell>
          <cell r="BE1045">
            <v>14</v>
          </cell>
          <cell r="BF1045" t="str">
            <v>Syam</v>
          </cell>
          <cell r="BG1045" t="str">
            <v>Y</v>
          </cell>
        </row>
        <row r="1046">
          <cell r="A1046" t="str">
            <v>FBR1Y240189</v>
          </cell>
          <cell r="B1046">
            <v>240189</v>
          </cell>
          <cell r="C1046" t="str">
            <v>R&amp;D</v>
          </cell>
          <cell r="D1046">
            <v>45474</v>
          </cell>
          <cell r="E1046">
            <v>0.59027777777777779</v>
          </cell>
          <cell r="F1046">
            <v>45474</v>
          </cell>
          <cell r="G1046">
            <v>45474</v>
          </cell>
          <cell r="H1046">
            <v>0.67638888888888893</v>
          </cell>
          <cell r="I1046">
            <v>8.611111111111111E-2</v>
          </cell>
          <cell r="J1046">
            <v>10</v>
          </cell>
          <cell r="K1046" t="str">
            <v>FCB-PROTOCOL-02</v>
          </cell>
          <cell r="L1046" t="str">
            <v>HN150</v>
          </cell>
          <cell r="M1046" t="str">
            <v>Y</v>
          </cell>
          <cell r="N1046" t="str">
            <v>CCS Study (1Y)</v>
          </cell>
          <cell r="O1046" t="str">
            <v>Internal R&amp;D</v>
          </cell>
          <cell r="P1046" t="str">
            <v>Q1 Passed</v>
          </cell>
          <cell r="Q1046" t="str">
            <v>Q1 Rejected</v>
          </cell>
          <cell r="R1046" t="str">
            <v>Compromised</v>
          </cell>
          <cell r="S1046" t="str">
            <v>Q1.5 Passed</v>
          </cell>
          <cell r="T1046" t="str">
            <v>Blood Volume is 4ml</v>
          </cell>
          <cell r="V1046" t="str">
            <v>Tumor content 80-96%</v>
          </cell>
          <cell r="W1046" t="str">
            <v>Private Hospital</v>
          </cell>
          <cell r="X1046" t="str">
            <v>Mazumdar Shaw Medical Centre, Bangalore</v>
          </cell>
          <cell r="Y1046" t="str">
            <v>Mazumdar Shaw Medical Centre, Bangalore</v>
          </cell>
          <cell r="Z1046" t="str">
            <v>Dr Vijay Pillai, Bangalore</v>
          </cell>
          <cell r="AA1046" t="str">
            <v>HNSCC</v>
          </cell>
          <cell r="AC1046" t="str">
            <v>Buccal Mucosa</v>
          </cell>
          <cell r="AD1046" t="str">
            <v>Left Buccal Mucosa</v>
          </cell>
          <cell r="AE1046" t="str">
            <v>Male</v>
          </cell>
          <cell r="AF1046">
            <v>53</v>
          </cell>
          <cell r="AG1046" t="str">
            <v>N</v>
          </cell>
          <cell r="AH1046">
            <v>4.8</v>
          </cell>
          <cell r="AI1046" t="str">
            <v>Kalappa</v>
          </cell>
          <cell r="AJ1046" t="str">
            <v>Surgery</v>
          </cell>
          <cell r="AK1046" t="str">
            <v>Primary</v>
          </cell>
          <cell r="AN1046" t="str">
            <v>III</v>
          </cell>
          <cell r="AO1046">
            <v>1</v>
          </cell>
          <cell r="AP1046" t="str">
            <v>pT3pN0</v>
          </cell>
          <cell r="AS1046" t="str">
            <v>Well differentiated squamous cell carcinoma</v>
          </cell>
          <cell r="AV1046">
            <v>45474</v>
          </cell>
          <cell r="AW1046">
            <v>0.69444444444444442</v>
          </cell>
          <cell r="AX1046">
            <v>0.77083333333333337</v>
          </cell>
          <cell r="AY1046">
            <v>7.6388888888888895E-2</v>
          </cell>
          <cell r="AZ1046">
            <v>0.68472222222222223</v>
          </cell>
          <cell r="BA1046">
            <v>0.18055555555555555</v>
          </cell>
          <cell r="BB1046" t="str">
            <v>0.2/0.3*0.6*1.0</v>
          </cell>
          <cell r="BD1046" t="str">
            <v>Vibratome</v>
          </cell>
          <cell r="BE1046">
            <v>14</v>
          </cell>
          <cell r="BF1046" t="str">
            <v>Abdul</v>
          </cell>
          <cell r="BG1046" t="str">
            <v>N</v>
          </cell>
        </row>
        <row r="1047">
          <cell r="A1047" t="str">
            <v>FBR1Y240190</v>
          </cell>
          <cell r="B1047">
            <v>240190</v>
          </cell>
          <cell r="C1047" t="str">
            <v>R&amp;D</v>
          </cell>
          <cell r="D1047">
            <v>45475</v>
          </cell>
          <cell r="E1047">
            <v>0.46388888888888891</v>
          </cell>
          <cell r="F1047">
            <v>45474</v>
          </cell>
          <cell r="G1047">
            <v>45475</v>
          </cell>
          <cell r="H1047">
            <v>0.59305555555555556</v>
          </cell>
          <cell r="I1047">
            <v>0.12777777777777777</v>
          </cell>
          <cell r="J1047">
            <v>2</v>
          </cell>
          <cell r="K1047" t="str">
            <v>FCB-PROTOCOL-01</v>
          </cell>
          <cell r="L1047" t="str">
            <v>VYD/292</v>
          </cell>
          <cell r="M1047" t="str">
            <v>Y</v>
          </cell>
          <cell r="N1047" t="str">
            <v>CCS Study (1Y)</v>
          </cell>
          <cell r="O1047" t="str">
            <v>Internal R&amp;D</v>
          </cell>
          <cell r="P1047" t="str">
            <v>Q1 Passed</v>
          </cell>
          <cell r="Q1047" t="str">
            <v>Q1 Passed</v>
          </cell>
          <cell r="R1047" t="str">
            <v>Q1.5 Passed</v>
          </cell>
          <cell r="S1047" t="str">
            <v>Q1.5 Passed</v>
          </cell>
          <cell r="V1047" t="str">
            <v>Tumor content 0-90%. Average tumor content 72%</v>
          </cell>
          <cell r="W1047" t="str">
            <v>Private Hospital</v>
          </cell>
          <cell r="X1047" t="str">
            <v>Vydehi Hospital, Bangalore</v>
          </cell>
          <cell r="Y1047" t="str">
            <v>Vydehi Hospital, Bangalore</v>
          </cell>
          <cell r="Z1047" t="str">
            <v>Dr Amritha Prabha, Bangalore</v>
          </cell>
          <cell r="AA1047" t="str">
            <v>HNSCC</v>
          </cell>
          <cell r="AC1047" t="str">
            <v>Buccal Mucosa</v>
          </cell>
          <cell r="AD1047" t="str">
            <v>Right Lower Alveolus &amp; Right Buccal Mucosa</v>
          </cell>
          <cell r="AE1047" t="str">
            <v>Female</v>
          </cell>
          <cell r="AF1047">
            <v>62</v>
          </cell>
          <cell r="AG1047" t="str">
            <v>N</v>
          </cell>
          <cell r="AH1047">
            <v>4.5</v>
          </cell>
          <cell r="AI1047" t="str">
            <v>Maruthi</v>
          </cell>
          <cell r="AJ1047" t="str">
            <v>Surgery</v>
          </cell>
          <cell r="AK1047" t="str">
            <v>Primary</v>
          </cell>
          <cell r="AN1047" t="str">
            <v>II</v>
          </cell>
          <cell r="AO1047">
            <v>2</v>
          </cell>
          <cell r="AP1047" t="str">
            <v>pT2N0</v>
          </cell>
          <cell r="AT1047" t="str">
            <v>Nil</v>
          </cell>
          <cell r="AV1047">
            <v>45475</v>
          </cell>
          <cell r="AW1047">
            <v>0.62847222222222221</v>
          </cell>
          <cell r="AX1047">
            <v>0.77777777777777779</v>
          </cell>
          <cell r="AY1047">
            <v>0.14930555555555555</v>
          </cell>
          <cell r="AZ1047">
            <v>0.65</v>
          </cell>
          <cell r="BA1047">
            <v>0.31388888888888888</v>
          </cell>
          <cell r="BB1047" t="str">
            <v>0.6*1.8*2.3</v>
          </cell>
          <cell r="BD1047" t="str">
            <v>Vibratome</v>
          </cell>
          <cell r="BE1047">
            <v>15</v>
          </cell>
          <cell r="BF1047" t="str">
            <v>Abdul</v>
          </cell>
          <cell r="BG1047" t="str">
            <v>Y</v>
          </cell>
        </row>
        <row r="1048">
          <cell r="A1048" t="str">
            <v>FBR2L240190</v>
          </cell>
          <cell r="B1048">
            <v>240190</v>
          </cell>
          <cell r="C1048" t="str">
            <v>R&amp;D</v>
          </cell>
          <cell r="D1048">
            <v>45475</v>
          </cell>
          <cell r="E1048">
            <v>0.46388888888888891</v>
          </cell>
          <cell r="F1048">
            <v>45474</v>
          </cell>
          <cell r="G1048">
            <v>45475</v>
          </cell>
          <cell r="H1048">
            <v>0.59305555555555556</v>
          </cell>
          <cell r="I1048">
            <v>0.12916666666666668</v>
          </cell>
          <cell r="J1048">
            <v>2</v>
          </cell>
          <cell r="K1048" t="str">
            <v>FCB-PROTOCOL-01</v>
          </cell>
          <cell r="L1048" t="str">
            <v>VYD/292</v>
          </cell>
          <cell r="M1048" t="str">
            <v>Y</v>
          </cell>
          <cell r="N1048" t="str">
            <v>Lung (2I &amp; 2J)</v>
          </cell>
          <cell r="O1048" t="str">
            <v>Internal R&amp;D</v>
          </cell>
          <cell r="P1048" t="str">
            <v>Q1 Passed</v>
          </cell>
          <cell r="Q1048" t="str">
            <v>Q1 Passed</v>
          </cell>
          <cell r="R1048" t="str">
            <v>Q1.5 Passed</v>
          </cell>
          <cell r="S1048" t="str">
            <v>Q1.5 Passed</v>
          </cell>
          <cell r="V1048" t="str">
            <v>Tumor content 0-90%. Average tumor content 72%</v>
          </cell>
          <cell r="W1048" t="str">
            <v>Private Hospital</v>
          </cell>
          <cell r="X1048" t="str">
            <v>Vydehi Hospital, Bangalore</v>
          </cell>
          <cell r="Y1048" t="str">
            <v>Vydehi Hospital, Bangalore</v>
          </cell>
          <cell r="Z1048" t="str">
            <v>Dr Amritha Prabha, Bangalore</v>
          </cell>
          <cell r="AA1048" t="str">
            <v>HNSCC</v>
          </cell>
          <cell r="AC1048" t="str">
            <v>Buccal Mucosa</v>
          </cell>
          <cell r="AD1048" t="str">
            <v>Right Lower Alveolus &amp; Right Buccal Mucosa</v>
          </cell>
          <cell r="AE1048" t="str">
            <v>Female</v>
          </cell>
          <cell r="AF1048">
            <v>62</v>
          </cell>
          <cell r="AG1048" t="str">
            <v>N</v>
          </cell>
          <cell r="AH1048">
            <v>4.5</v>
          </cell>
          <cell r="AI1048" t="str">
            <v>Maruthi</v>
          </cell>
          <cell r="AJ1048" t="str">
            <v>Surgery</v>
          </cell>
          <cell r="AK1048" t="str">
            <v>Primary</v>
          </cell>
          <cell r="AN1048" t="str">
            <v>II</v>
          </cell>
          <cell r="AO1048">
            <v>2</v>
          </cell>
          <cell r="AP1048" t="str">
            <v>pT2N0</v>
          </cell>
          <cell r="AT1048" t="str">
            <v>Nil</v>
          </cell>
          <cell r="AV1048">
            <v>45475</v>
          </cell>
          <cell r="AW1048">
            <v>0.62847222222222221</v>
          </cell>
          <cell r="AX1048">
            <v>0.79166666666666663</v>
          </cell>
          <cell r="AY1048">
            <v>0.16319444444444445</v>
          </cell>
          <cell r="AZ1048">
            <v>0.66249999999999998</v>
          </cell>
          <cell r="BA1048">
            <v>0.32777777777777778</v>
          </cell>
          <cell r="BB1048" t="str">
            <v>0.6*1.8*2.3</v>
          </cell>
          <cell r="BD1048" t="str">
            <v>Vibratome</v>
          </cell>
          <cell r="BE1048">
            <v>14</v>
          </cell>
          <cell r="BF1048" t="str">
            <v>Abdul</v>
          </cell>
          <cell r="BG1048" t="str">
            <v>Y</v>
          </cell>
        </row>
        <row r="1049">
          <cell r="A1049" t="str">
            <v>FBR1Y240191</v>
          </cell>
          <cell r="B1049">
            <v>240191</v>
          </cell>
          <cell r="C1049" t="str">
            <v>R&amp;D</v>
          </cell>
          <cell r="D1049">
            <v>45475</v>
          </cell>
          <cell r="E1049">
            <v>0.56666666666666665</v>
          </cell>
          <cell r="F1049">
            <v>45474</v>
          </cell>
          <cell r="G1049">
            <v>45475</v>
          </cell>
          <cell r="H1049">
            <v>0.62777777777777777</v>
          </cell>
          <cell r="I1049">
            <v>6.1111111111111109E-2</v>
          </cell>
          <cell r="J1049">
            <v>11</v>
          </cell>
          <cell r="K1049" t="str">
            <v>FCB-PROTOCOL-02</v>
          </cell>
          <cell r="L1049" t="str">
            <v>HN151</v>
          </cell>
          <cell r="M1049" t="str">
            <v>Y</v>
          </cell>
          <cell r="N1049" t="str">
            <v>CCS Study (1Y)</v>
          </cell>
          <cell r="O1049" t="str">
            <v>Internal R&amp;D</v>
          </cell>
          <cell r="P1049" t="str">
            <v>Q1 Passed</v>
          </cell>
          <cell r="Q1049" t="str">
            <v>Q1 Passed</v>
          </cell>
          <cell r="R1049" t="str">
            <v>Q1.5 Passed</v>
          </cell>
          <cell r="S1049" t="str">
            <v>Q1.5 Passed</v>
          </cell>
          <cell r="V1049" t="str">
            <v>Tumor content 40-75%</v>
          </cell>
          <cell r="W1049" t="str">
            <v>Private Hospital</v>
          </cell>
          <cell r="X1049" t="str">
            <v>Mazumdar Shaw Medical Centre, Bangalore</v>
          </cell>
          <cell r="Y1049" t="str">
            <v>Mazumdar Shaw Medical Centre, Bangalore</v>
          </cell>
          <cell r="Z1049" t="str">
            <v>Dr Vijay Pillai, Bangalore</v>
          </cell>
          <cell r="AA1049" t="str">
            <v>HNSCC</v>
          </cell>
          <cell r="AC1049" t="str">
            <v>Buccal Mucosa</v>
          </cell>
          <cell r="AD1049" t="str">
            <v>Left Buccal Mucosa</v>
          </cell>
          <cell r="AE1049" t="str">
            <v>Male</v>
          </cell>
          <cell r="AF1049">
            <v>42</v>
          </cell>
          <cell r="AG1049" t="str">
            <v>N</v>
          </cell>
          <cell r="AH1049">
            <v>4.5999999999999996</v>
          </cell>
          <cell r="AI1049" t="str">
            <v>Shashi</v>
          </cell>
          <cell r="AJ1049" t="str">
            <v>Surgery</v>
          </cell>
          <cell r="AK1049" t="str">
            <v>Primary</v>
          </cell>
          <cell r="AN1049" t="str">
            <v>IV</v>
          </cell>
          <cell r="AO1049">
            <v>2</v>
          </cell>
          <cell r="AP1049" t="str">
            <v>pT4bpN3b</v>
          </cell>
          <cell r="AS1049" t="str">
            <v>MDSCC(Moderately Differentiated Squamous cell carcinoma)</v>
          </cell>
          <cell r="AV1049">
            <v>45475</v>
          </cell>
          <cell r="AW1049">
            <v>0.64444444444444449</v>
          </cell>
          <cell r="AX1049">
            <v>0.73819444444444449</v>
          </cell>
          <cell r="AY1049">
            <v>9.375E-2</v>
          </cell>
          <cell r="AZ1049">
            <v>0.67708333333333337</v>
          </cell>
          <cell r="BA1049">
            <v>0.17152777777777778</v>
          </cell>
          <cell r="BB1049" t="str">
            <v>0.2/0.5*0.4/0.6*1.4</v>
          </cell>
          <cell r="BD1049" t="str">
            <v>Vibratome</v>
          </cell>
          <cell r="BE1049">
            <v>15</v>
          </cell>
          <cell r="BF1049" t="str">
            <v>kuberan</v>
          </cell>
          <cell r="BG1049" t="str">
            <v>N</v>
          </cell>
        </row>
        <row r="1050">
          <cell r="A1050" t="str">
            <v>FBB1L240192</v>
          </cell>
          <cell r="B1050">
            <v>240192</v>
          </cell>
          <cell r="C1050" t="str">
            <v>Biopharma</v>
          </cell>
          <cell r="D1050">
            <v>45475</v>
          </cell>
          <cell r="E1050">
            <v>0.5625</v>
          </cell>
          <cell r="F1050">
            <v>45474</v>
          </cell>
          <cell r="G1050">
            <v>45475</v>
          </cell>
          <cell r="H1050">
            <v>0.72083333333333333</v>
          </cell>
          <cell r="I1050">
            <v>0.15833333333333333</v>
          </cell>
          <cell r="J1050">
            <v>2</v>
          </cell>
          <cell r="K1050" t="str">
            <v>FCB-PROTOCOL-01</v>
          </cell>
          <cell r="L1050" t="str">
            <v>CLN/PRA/266</v>
          </cell>
          <cell r="M1050" t="str">
            <v>Y</v>
          </cell>
          <cell r="N1050" t="str">
            <v>BP010 (1L)</v>
          </cell>
          <cell r="O1050" t="str">
            <v>Biopharma</v>
          </cell>
          <cell r="P1050" t="str">
            <v>Q1 Passed</v>
          </cell>
          <cell r="Q1050" t="str">
            <v>Q1 Passed</v>
          </cell>
          <cell r="R1050" t="str">
            <v>Q1.5 Passed</v>
          </cell>
          <cell r="S1050" t="str">
            <v>Q1.5 Passed</v>
          </cell>
          <cell r="V1050" t="str">
            <v>Tumor content 60-80%</v>
          </cell>
          <cell r="W1050" t="str">
            <v>Private Hospital</v>
          </cell>
          <cell r="X1050" t="str">
            <v>Dr Prakash BV, Bangalore</v>
          </cell>
          <cell r="Y1050" t="str">
            <v>Sri Lakshmi Hospital, Bangalore</v>
          </cell>
          <cell r="Z1050" t="str">
            <v>Dr Prakash BV, Bangalore</v>
          </cell>
          <cell r="AA1050" t="str">
            <v>RCC</v>
          </cell>
          <cell r="AC1050" t="str">
            <v>Renal Mass</v>
          </cell>
          <cell r="AD1050" t="str">
            <v xml:space="preserve">Left Renal </v>
          </cell>
          <cell r="AE1050" t="str">
            <v>Female</v>
          </cell>
          <cell r="AF1050">
            <v>45</v>
          </cell>
          <cell r="AG1050" t="str">
            <v>N</v>
          </cell>
          <cell r="AH1050">
            <v>5.8</v>
          </cell>
          <cell r="AI1050" t="str">
            <v>Maruthi</v>
          </cell>
          <cell r="AJ1050" t="str">
            <v>Surgery</v>
          </cell>
          <cell r="AK1050" t="str">
            <v>Primary</v>
          </cell>
          <cell r="AN1050" t="str">
            <v>II</v>
          </cell>
          <cell r="AP1050" t="str">
            <v>pT1N0M0</v>
          </cell>
          <cell r="AV1050">
            <v>45475</v>
          </cell>
          <cell r="AW1050">
            <v>0.73541666666666672</v>
          </cell>
          <cell r="AX1050">
            <v>0.78819444444444442</v>
          </cell>
          <cell r="AY1050">
            <v>5.2777777777777778E-2</v>
          </cell>
          <cell r="AZ1050">
            <v>0.62986111111111109</v>
          </cell>
          <cell r="BA1050">
            <v>0.22569444444444445</v>
          </cell>
          <cell r="BB1050" t="str">
            <v>0.2*1.4*1.5</v>
          </cell>
          <cell r="BD1050" t="str">
            <v>Manual</v>
          </cell>
          <cell r="BE1050">
            <v>15</v>
          </cell>
          <cell r="BF1050" t="str">
            <v>Syam</v>
          </cell>
          <cell r="BG1050" t="str">
            <v>Y</v>
          </cell>
        </row>
        <row r="1051">
          <cell r="A1051" t="str">
            <v>FBR1Y240193</v>
          </cell>
          <cell r="B1051">
            <v>240193</v>
          </cell>
          <cell r="C1051" t="str">
            <v>R&amp;D</v>
          </cell>
          <cell r="D1051">
            <v>45475</v>
          </cell>
          <cell r="E1051">
            <v>0.74791666666666667</v>
          </cell>
          <cell r="F1051">
            <v>45474</v>
          </cell>
          <cell r="G1051">
            <v>45475</v>
          </cell>
          <cell r="H1051">
            <v>0.76666666666666672</v>
          </cell>
          <cell r="I1051">
            <v>1.8749999999999999E-2</v>
          </cell>
          <cell r="J1051">
            <v>2</v>
          </cell>
          <cell r="K1051" t="str">
            <v>FCB-PROTOCOL-01</v>
          </cell>
          <cell r="L1051" t="str">
            <v>CLN/PRA/267</v>
          </cell>
          <cell r="M1051" t="str">
            <v>Y</v>
          </cell>
          <cell r="N1051" t="str">
            <v>CCS Study (1Y)</v>
          </cell>
          <cell r="O1051" t="str">
            <v>Internal R&amp;D</v>
          </cell>
          <cell r="P1051" t="str">
            <v>Q1 Passed</v>
          </cell>
          <cell r="Q1051" t="str">
            <v>Q1 Passed</v>
          </cell>
          <cell r="R1051" t="str">
            <v>Q1.5 Passed</v>
          </cell>
          <cell r="S1051" t="str">
            <v>Q1.5 Passed</v>
          </cell>
          <cell r="V1051" t="str">
            <v>Tumor content 0-85%. Average tumor content 40%</v>
          </cell>
          <cell r="W1051" t="str">
            <v>Private Hospital</v>
          </cell>
          <cell r="X1051" t="str">
            <v>Dr Prakash BV, Bangalore</v>
          </cell>
          <cell r="Y1051" t="str">
            <v>Aswad Hospital</v>
          </cell>
          <cell r="Z1051" t="str">
            <v>Dr Prakash BV, Bangalore</v>
          </cell>
          <cell r="AA1051" t="str">
            <v>HNSCC</v>
          </cell>
          <cell r="AC1051" t="str">
            <v>GBS</v>
          </cell>
          <cell r="AD1051" t="str">
            <v>Right Lower GBS</v>
          </cell>
          <cell r="AE1051" t="str">
            <v>Female</v>
          </cell>
          <cell r="AF1051">
            <v>60</v>
          </cell>
          <cell r="AG1051" t="str">
            <v>N</v>
          </cell>
          <cell r="AH1051">
            <v>4.5</v>
          </cell>
          <cell r="AI1051" t="str">
            <v>Kalappa</v>
          </cell>
          <cell r="AJ1051" t="str">
            <v>Surgery</v>
          </cell>
          <cell r="AK1051" t="str">
            <v>Primary</v>
          </cell>
          <cell r="AN1051" t="str">
            <v>II</v>
          </cell>
          <cell r="AP1051" t="str">
            <v>pT2N2M0</v>
          </cell>
          <cell r="AV1051">
            <v>45475</v>
          </cell>
          <cell r="AW1051">
            <v>0.78472222222222221</v>
          </cell>
          <cell r="AX1051">
            <v>0.85069444444444442</v>
          </cell>
          <cell r="AY1051">
            <v>6.5972222222222224E-2</v>
          </cell>
          <cell r="AZ1051">
            <v>0.83194444444444449</v>
          </cell>
          <cell r="BA1051">
            <v>0.10277777777777777</v>
          </cell>
          <cell r="BB1051" t="str">
            <v>0.4/0.2*1.4/0.7*3.4</v>
          </cell>
          <cell r="BC1051" t="str">
            <v>0.4*0.6*1.4
0.2/0.3*0.4*1.0</v>
          </cell>
          <cell r="BD1051" t="str">
            <v>Vibratome</v>
          </cell>
          <cell r="BE1051">
            <v>15</v>
          </cell>
          <cell r="BF1051" t="str">
            <v>chandan</v>
          </cell>
          <cell r="BG1051" t="str">
            <v>Y</v>
          </cell>
        </row>
        <row r="1052">
          <cell r="A1052" t="str">
            <v>FBR2F240193</v>
          </cell>
          <cell r="B1052">
            <v>240193</v>
          </cell>
          <cell r="C1052" t="str">
            <v>R&amp;D</v>
          </cell>
          <cell r="D1052">
            <v>45475</v>
          </cell>
          <cell r="E1052">
            <v>0.74791666666666667</v>
          </cell>
          <cell r="F1052">
            <v>45474</v>
          </cell>
          <cell r="G1052">
            <v>45475</v>
          </cell>
          <cell r="H1052">
            <v>0.76666666666666672</v>
          </cell>
          <cell r="I1052">
            <v>1.8749999999999999E-2</v>
          </cell>
          <cell r="J1052">
            <v>2</v>
          </cell>
          <cell r="K1052" t="str">
            <v>FCB-PROTOCOL-01</v>
          </cell>
          <cell r="L1052" t="str">
            <v>CLN/PRA/267</v>
          </cell>
          <cell r="M1052" t="str">
            <v>Y</v>
          </cell>
          <cell r="N1052" t="str">
            <v>ECR (2F)</v>
          </cell>
          <cell r="O1052" t="str">
            <v>Internal R&amp;D</v>
          </cell>
          <cell r="P1052" t="str">
            <v>Q1 Passed</v>
          </cell>
          <cell r="Q1052" t="str">
            <v>Q1 Passed</v>
          </cell>
          <cell r="R1052" t="str">
            <v>Q1.5 Passed</v>
          </cell>
          <cell r="S1052" t="str">
            <v>Q1.5 Passed</v>
          </cell>
          <cell r="V1052" t="str">
            <v>Tumor content 0-85%. Average tumor content 40%</v>
          </cell>
          <cell r="W1052" t="str">
            <v>Private Hospital</v>
          </cell>
          <cell r="X1052" t="str">
            <v>Dr Prakash BV, Bangalore</v>
          </cell>
          <cell r="Y1052" t="str">
            <v>Aswad Hospital</v>
          </cell>
          <cell r="Z1052" t="str">
            <v>Dr Prakash BV, Bangalore</v>
          </cell>
          <cell r="AA1052" t="str">
            <v>HNSCC</v>
          </cell>
          <cell r="AC1052" t="str">
            <v>GBS</v>
          </cell>
          <cell r="AD1052" t="str">
            <v>Right Lower GBS</v>
          </cell>
          <cell r="AE1052" t="str">
            <v>Female</v>
          </cell>
          <cell r="AF1052">
            <v>60</v>
          </cell>
          <cell r="AG1052" t="str">
            <v>N</v>
          </cell>
          <cell r="AH1052">
            <v>4.5</v>
          </cell>
          <cell r="AI1052" t="str">
            <v>Kalappa</v>
          </cell>
          <cell r="AJ1052" t="str">
            <v>Surgery</v>
          </cell>
          <cell r="AK1052" t="str">
            <v>Primary</v>
          </cell>
          <cell r="AN1052" t="str">
            <v>II</v>
          </cell>
          <cell r="AP1052" t="str">
            <v>pT2N2M0</v>
          </cell>
          <cell r="AV1052">
            <v>45480</v>
          </cell>
          <cell r="AX1052">
            <v>0.70763888888888893</v>
          </cell>
          <cell r="BB1052" t="str">
            <v>0.4/0.2*1.4/0.7*3.4</v>
          </cell>
          <cell r="BC1052" t="str">
            <v>0.4*0.6*1.4
0.2/0.3*0.4*1.0</v>
          </cell>
          <cell r="BD1052" t="str">
            <v>Vibratome</v>
          </cell>
          <cell r="BE1052">
            <v>15</v>
          </cell>
          <cell r="BF1052" t="str">
            <v>Mouniss</v>
          </cell>
          <cell r="BG1052" t="str">
            <v>Y</v>
          </cell>
        </row>
        <row r="1053">
          <cell r="A1053" t="str">
            <v>FBR2N240193</v>
          </cell>
          <cell r="B1053">
            <v>240193</v>
          </cell>
          <cell r="C1053" t="str">
            <v>R&amp;D</v>
          </cell>
          <cell r="D1053">
            <v>45475</v>
          </cell>
          <cell r="E1053">
            <v>0.74791666666666667</v>
          </cell>
          <cell r="F1053">
            <v>45474</v>
          </cell>
          <cell r="G1053">
            <v>45475</v>
          </cell>
          <cell r="H1053">
            <v>0.76666666666666672</v>
          </cell>
          <cell r="I1053">
            <v>1.8749999999999999E-2</v>
          </cell>
          <cell r="J1053">
            <v>2</v>
          </cell>
          <cell r="K1053" t="str">
            <v>FCB-PROTOCOL-01</v>
          </cell>
          <cell r="L1053" t="str">
            <v>CLN/PRA/267</v>
          </cell>
          <cell r="M1053" t="str">
            <v>Y</v>
          </cell>
          <cell r="N1053" t="str">
            <v>FBT (2N)</v>
          </cell>
          <cell r="O1053" t="str">
            <v>Internal R&amp;D</v>
          </cell>
          <cell r="P1053" t="str">
            <v>Q1 Passed</v>
          </cell>
          <cell r="Q1053" t="str">
            <v>Q1 Passed</v>
          </cell>
          <cell r="R1053" t="str">
            <v>Q1.5 Passed</v>
          </cell>
          <cell r="S1053" t="str">
            <v>Q1.5 Passed</v>
          </cell>
          <cell r="V1053" t="str">
            <v>Tumor content 0-85%. Average tumor content 40%</v>
          </cell>
          <cell r="W1053" t="str">
            <v>Private Hospital</v>
          </cell>
          <cell r="X1053" t="str">
            <v>Dr Prakash BV, Bangalore</v>
          </cell>
          <cell r="Y1053" t="str">
            <v>Aswad Hospital</v>
          </cell>
          <cell r="Z1053" t="str">
            <v>Dr Prakash BV, Bangalore</v>
          </cell>
          <cell r="AA1053" t="str">
            <v>HNSCC</v>
          </cell>
          <cell r="AC1053" t="str">
            <v>GBS</v>
          </cell>
          <cell r="AD1053" t="str">
            <v>Right Lower GBS</v>
          </cell>
          <cell r="AE1053" t="str">
            <v>Female</v>
          </cell>
          <cell r="AF1053">
            <v>60</v>
          </cell>
          <cell r="AG1053" t="str">
            <v>N</v>
          </cell>
          <cell r="AH1053">
            <v>4.5</v>
          </cell>
          <cell r="AI1053" t="str">
            <v>Kalappa</v>
          </cell>
          <cell r="AJ1053" t="str">
            <v>Surgery</v>
          </cell>
          <cell r="AK1053" t="str">
            <v>Primary</v>
          </cell>
          <cell r="AN1053" t="str">
            <v>II</v>
          </cell>
          <cell r="AP1053" t="str">
            <v>pT2N2M0</v>
          </cell>
          <cell r="AV1053">
            <v>45476</v>
          </cell>
          <cell r="AW1053">
            <v>0.23055555555555557</v>
          </cell>
          <cell r="AX1053">
            <v>0.28819444444444442</v>
          </cell>
          <cell r="AY1053">
            <v>5.7638888888888892E-2</v>
          </cell>
          <cell r="AZ1053">
            <v>0.26944444444444443</v>
          </cell>
          <cell r="BA1053">
            <v>0.54027777777777775</v>
          </cell>
          <cell r="BB1053" t="str">
            <v>0.6*0.8*3.2</v>
          </cell>
          <cell r="BD1053" t="str">
            <v>Vibratome</v>
          </cell>
          <cell r="BE1053">
            <v>15</v>
          </cell>
          <cell r="BF1053" t="str">
            <v>Biswajit</v>
          </cell>
          <cell r="BG1053" t="str">
            <v>Y</v>
          </cell>
        </row>
        <row r="1054">
          <cell r="A1054" t="str">
            <v>FBR2O240194</v>
          </cell>
          <cell r="B1054">
            <v>240194</v>
          </cell>
          <cell r="C1054" t="str">
            <v>R&amp;D</v>
          </cell>
          <cell r="D1054">
            <v>45477</v>
          </cell>
          <cell r="E1054">
            <v>0.46666666666666667</v>
          </cell>
          <cell r="F1054">
            <v>45474</v>
          </cell>
          <cell r="G1054">
            <v>45477</v>
          </cell>
          <cell r="H1054">
            <v>0.54027777777777775</v>
          </cell>
          <cell r="I1054">
            <v>7.3611111111111113E-2</v>
          </cell>
          <cell r="J1054">
            <v>0</v>
          </cell>
          <cell r="K1054" t="str">
            <v>FCB-PROTOCOL-02</v>
          </cell>
          <cell r="L1054" t="str">
            <v>RC057</v>
          </cell>
          <cell r="M1054" t="str">
            <v>Y</v>
          </cell>
          <cell r="N1054" t="str">
            <v>Prostate Biopsy (2O)</v>
          </cell>
          <cell r="O1054" t="str">
            <v>Internal R&amp;D</v>
          </cell>
          <cell r="P1054" t="str">
            <v>Q1 Passed</v>
          </cell>
          <cell r="Q1054" t="str">
            <v>Not Received</v>
          </cell>
          <cell r="R1054" t="str">
            <v>Q1.5 Passed</v>
          </cell>
          <cell r="S1054" t="str">
            <v>Q1.5 Passed</v>
          </cell>
          <cell r="V1054" t="str">
            <v>Tumor content 0-55%. Average tumor content 20%</v>
          </cell>
          <cell r="W1054" t="str">
            <v>Private Hospital</v>
          </cell>
          <cell r="X1054" t="str">
            <v>Mazumdar Shaw Medical Centre, Bangalore</v>
          </cell>
          <cell r="Y1054" t="str">
            <v>Mazumdar Shaw Medical Centre, Bangalore</v>
          </cell>
          <cell r="Z1054" t="str">
            <v>Dr Saurabh Bhargav, Bangalore</v>
          </cell>
          <cell r="AA1054" t="str">
            <v>Prostate</v>
          </cell>
          <cell r="AC1054" t="str">
            <v>Prostate</v>
          </cell>
          <cell r="AD1054" t="str">
            <v>Prostate</v>
          </cell>
          <cell r="AE1054" t="str">
            <v>Male</v>
          </cell>
          <cell r="AF1054">
            <v>63</v>
          </cell>
          <cell r="AG1054" t="str">
            <v>N</v>
          </cell>
          <cell r="AH1054">
            <v>4.8</v>
          </cell>
          <cell r="AI1054" t="str">
            <v>Kalappa</v>
          </cell>
          <cell r="AJ1054" t="str">
            <v>Biopsy</v>
          </cell>
          <cell r="AK1054" t="str">
            <v>Primary</v>
          </cell>
          <cell r="AO1054">
            <v>4</v>
          </cell>
          <cell r="AS1054" t="str">
            <v xml:space="preserve">Conventional acinar prostatic adenocarcinoma </v>
          </cell>
          <cell r="AV1054">
            <v>45477</v>
          </cell>
          <cell r="AW1054">
            <v>0.59097222222222223</v>
          </cell>
          <cell r="AX1054">
            <v>0.625</v>
          </cell>
          <cell r="AY1054">
            <v>3.4027777777777775E-2</v>
          </cell>
          <cell r="AZ1054">
            <v>0.55138888888888893</v>
          </cell>
          <cell r="BA1054">
            <v>0.15833333333333333</v>
          </cell>
          <cell r="BB1054" t="str">
            <v>4 Cores
14,18,20,17</v>
          </cell>
          <cell r="BD1054" t="str">
            <v>Manual</v>
          </cell>
          <cell r="BE1054">
            <v>15</v>
          </cell>
          <cell r="BF1054" t="str">
            <v>Dharani</v>
          </cell>
          <cell r="BG1054" t="str">
            <v>Y</v>
          </cell>
        </row>
        <row r="1055">
          <cell r="A1055" t="str">
            <v>FBR1Y240195</v>
          </cell>
          <cell r="B1055">
            <v>240195</v>
          </cell>
          <cell r="C1055" t="str">
            <v>R&amp;D</v>
          </cell>
          <cell r="D1055">
            <v>45477</v>
          </cell>
          <cell r="E1055">
            <v>0.58333333333333337</v>
          </cell>
          <cell r="F1055">
            <v>45474</v>
          </cell>
          <cell r="G1055">
            <v>45477</v>
          </cell>
          <cell r="H1055">
            <v>0.69097222222222221</v>
          </cell>
          <cell r="I1055">
            <v>0.1076388888888889</v>
          </cell>
          <cell r="J1055">
            <v>14</v>
          </cell>
          <cell r="K1055" t="str">
            <v>FCB-PROTOCOL-02</v>
          </cell>
          <cell r="L1055" t="str">
            <v>HN152</v>
          </cell>
          <cell r="M1055" t="str">
            <v>Y</v>
          </cell>
          <cell r="N1055" t="str">
            <v>CCS Study (1Y)</v>
          </cell>
          <cell r="O1055" t="str">
            <v>Internal R&amp;D</v>
          </cell>
          <cell r="P1055" t="str">
            <v>Q1 Passed</v>
          </cell>
          <cell r="Q1055" t="str">
            <v>Q1 Rejected</v>
          </cell>
          <cell r="R1055" t="str">
            <v>Compromised</v>
          </cell>
          <cell r="S1055" t="str">
            <v>Q1.5 Passed</v>
          </cell>
          <cell r="T1055" t="str">
            <v>Blood Volume is 4ml</v>
          </cell>
          <cell r="V1055" t="str">
            <v>Tumor content 0-55%. Average tumor content 25%</v>
          </cell>
          <cell r="W1055" t="str">
            <v>Private Hospital</v>
          </cell>
          <cell r="X1055" t="str">
            <v>Mazumdar Shaw Medical Centre, Bangalore</v>
          </cell>
          <cell r="Y1055" t="str">
            <v>Mazumdar Shaw Medical Centre, Bangalore</v>
          </cell>
          <cell r="Z1055" t="str">
            <v>Dr Vijay Pillai, Bangalore</v>
          </cell>
          <cell r="AA1055" t="str">
            <v>HNSCC</v>
          </cell>
          <cell r="AC1055" t="str">
            <v>Alveolus</v>
          </cell>
          <cell r="AD1055" t="str">
            <v>Alveolus(Left upper posterior)</v>
          </cell>
          <cell r="AE1055" t="str">
            <v>Male</v>
          </cell>
          <cell r="AF1055">
            <v>47</v>
          </cell>
          <cell r="AG1055" t="str">
            <v>N</v>
          </cell>
          <cell r="AH1055">
            <v>4.5</v>
          </cell>
          <cell r="AI1055" t="str">
            <v>Maruthi</v>
          </cell>
          <cell r="AJ1055" t="str">
            <v>Surgery</v>
          </cell>
          <cell r="AK1055" t="str">
            <v>Primary</v>
          </cell>
          <cell r="AN1055" t="str">
            <v>IV</v>
          </cell>
          <cell r="AO1055">
            <v>2</v>
          </cell>
          <cell r="AP1055" t="str">
            <v>pT4apN0</v>
          </cell>
          <cell r="AS1055" t="str">
            <v>Moderately Advanced local disease</v>
          </cell>
          <cell r="AV1055">
            <v>45477</v>
          </cell>
          <cell r="AW1055">
            <v>0.71111111111111114</v>
          </cell>
          <cell r="AX1055">
            <v>0.7583333333333333</v>
          </cell>
          <cell r="AY1055">
            <v>4.7222222222222221E-2</v>
          </cell>
          <cell r="AZ1055">
            <v>0.65069444444444446</v>
          </cell>
          <cell r="BA1055">
            <v>0.17499999999999999</v>
          </cell>
          <cell r="BB1055" t="str">
            <v>0.4/0.6*0.2/0.6*1.4</v>
          </cell>
          <cell r="BD1055" t="str">
            <v>Vibratome</v>
          </cell>
          <cell r="BE1055">
            <v>15</v>
          </cell>
          <cell r="BF1055" t="str">
            <v>Syam</v>
          </cell>
          <cell r="BG1055" t="str">
            <v>N</v>
          </cell>
        </row>
        <row r="1056">
          <cell r="A1056" t="str">
            <v>FBR1Y240196</v>
          </cell>
          <cell r="B1056">
            <v>240196</v>
          </cell>
          <cell r="C1056" t="str">
            <v>R&amp;D</v>
          </cell>
          <cell r="D1056">
            <v>45478</v>
          </cell>
          <cell r="E1056">
            <v>0.55833333333333335</v>
          </cell>
          <cell r="F1056">
            <v>45474</v>
          </cell>
          <cell r="G1056">
            <v>45478</v>
          </cell>
          <cell r="H1056">
            <v>0.67222222222222228</v>
          </cell>
          <cell r="I1056">
            <v>0.11388888888888889</v>
          </cell>
          <cell r="J1056">
            <v>23</v>
          </cell>
          <cell r="K1056" t="str">
            <v>FCB-PROTOCOL-02</v>
          </cell>
          <cell r="L1056" t="str">
            <v>HN153</v>
          </cell>
          <cell r="M1056" t="str">
            <v>Y</v>
          </cell>
          <cell r="N1056" t="str">
            <v>CCS Study (1Y)</v>
          </cell>
          <cell r="O1056" t="str">
            <v>Internal R&amp;D</v>
          </cell>
          <cell r="P1056" t="str">
            <v>Q1 Passed</v>
          </cell>
          <cell r="Q1056" t="str">
            <v>Q1 Passed</v>
          </cell>
          <cell r="R1056" t="str">
            <v>Q1.5 Passed</v>
          </cell>
          <cell r="S1056" t="str">
            <v>Q1.5 Passed</v>
          </cell>
          <cell r="V1056" t="str">
            <v xml:space="preserve">	
Tumor content 15-70%</v>
          </cell>
          <cell r="W1056" t="str">
            <v>Private Hospital</v>
          </cell>
          <cell r="X1056" t="str">
            <v>Mazumdar Shaw Medical Centre, Bangalore</v>
          </cell>
          <cell r="Y1056" t="str">
            <v>Mazumdar Shaw Medical Centre, Bangalore</v>
          </cell>
          <cell r="Z1056" t="str">
            <v>Dr Vijay Pillai, Bangalore</v>
          </cell>
          <cell r="AA1056" t="str">
            <v>HNSCC</v>
          </cell>
          <cell r="AC1056" t="str">
            <v>GBS</v>
          </cell>
          <cell r="AD1056" t="str">
            <v>Left GBS</v>
          </cell>
          <cell r="AE1056" t="str">
            <v>Female</v>
          </cell>
          <cell r="AF1056">
            <v>54</v>
          </cell>
          <cell r="AG1056" t="str">
            <v>N</v>
          </cell>
          <cell r="AH1056">
            <v>4.5999999999999996</v>
          </cell>
          <cell r="AI1056" t="str">
            <v>Kalappa</v>
          </cell>
          <cell r="AJ1056" t="str">
            <v>Surgery</v>
          </cell>
          <cell r="AK1056" t="str">
            <v>Primary</v>
          </cell>
          <cell r="AN1056" t="str">
            <v>IV</v>
          </cell>
          <cell r="AO1056">
            <v>2</v>
          </cell>
          <cell r="AP1056" t="str">
            <v>pT4apN2b</v>
          </cell>
          <cell r="AS1056" t="str">
            <v>MDSCC(Moderately Differentiated Squamous cell carcinoma)</v>
          </cell>
          <cell r="AV1056">
            <v>45478</v>
          </cell>
          <cell r="AW1056">
            <v>0.69305555555555554</v>
          </cell>
          <cell r="AX1056">
            <v>0.81041666666666667</v>
          </cell>
          <cell r="AY1056">
            <v>0.11736111111111111</v>
          </cell>
          <cell r="AZ1056">
            <v>0.69652777777777775</v>
          </cell>
          <cell r="BA1056">
            <v>0.25208333333333333</v>
          </cell>
          <cell r="BB1056" t="str">
            <v>0.4/2-3*0.9/0.7*1.2</v>
          </cell>
          <cell r="BD1056" t="str">
            <v>Vibratome</v>
          </cell>
          <cell r="BE1056">
            <v>15</v>
          </cell>
          <cell r="BF1056" t="str">
            <v>Abdul</v>
          </cell>
          <cell r="BG1056" t="str">
            <v>Y</v>
          </cell>
        </row>
        <row r="1057">
          <cell r="A1057" t="str">
            <v>FBR2F240196</v>
          </cell>
          <cell r="B1057">
            <v>240196</v>
          </cell>
          <cell r="C1057" t="str">
            <v>R&amp;D</v>
          </cell>
          <cell r="D1057">
            <v>45478</v>
          </cell>
          <cell r="E1057">
            <v>0.55833333333333335</v>
          </cell>
          <cell r="F1057">
            <v>45474</v>
          </cell>
          <cell r="G1057">
            <v>45478</v>
          </cell>
          <cell r="H1057">
            <v>0.67222222222222228</v>
          </cell>
          <cell r="I1057">
            <v>0.11388888888888889</v>
          </cell>
          <cell r="J1057">
            <v>23</v>
          </cell>
          <cell r="K1057" t="str">
            <v>FCB-PROTOCOL-02</v>
          </cell>
          <cell r="L1057" t="str">
            <v>HN153</v>
          </cell>
          <cell r="M1057" t="str">
            <v>Y</v>
          </cell>
          <cell r="N1057" t="str">
            <v>ECR (2F)</v>
          </cell>
          <cell r="O1057" t="str">
            <v>Internal R&amp;D</v>
          </cell>
          <cell r="P1057" t="str">
            <v>Q1 Passed</v>
          </cell>
          <cell r="Q1057" t="str">
            <v>Q1 Passed</v>
          </cell>
          <cell r="R1057" t="str">
            <v>Q1.5 Passed</v>
          </cell>
          <cell r="S1057" t="str">
            <v>Q1.5 Passed</v>
          </cell>
          <cell r="V1057" t="str">
            <v xml:space="preserve">	
Tumor content 15-70%</v>
          </cell>
          <cell r="W1057" t="str">
            <v>Private Hospital</v>
          </cell>
          <cell r="X1057" t="str">
            <v>Mazumdar Shaw Medical Centre, Bangalore</v>
          </cell>
          <cell r="Y1057" t="str">
            <v>Mazumdar Shaw Medical Centre, Bangalore</v>
          </cell>
          <cell r="Z1057" t="str">
            <v>Dr Vijay Pillai, Bangalore</v>
          </cell>
          <cell r="AA1057" t="str">
            <v>HNSCC</v>
          </cell>
          <cell r="AC1057" t="str">
            <v>GBS</v>
          </cell>
          <cell r="AD1057" t="str">
            <v>Left GBS</v>
          </cell>
          <cell r="AE1057" t="str">
            <v>Female</v>
          </cell>
          <cell r="AF1057">
            <v>54</v>
          </cell>
          <cell r="AG1057" t="str">
            <v>N</v>
          </cell>
          <cell r="AH1057">
            <v>4.5999999999999996</v>
          </cell>
          <cell r="AI1057" t="str">
            <v>Kalappa</v>
          </cell>
          <cell r="AJ1057" t="str">
            <v>Surgery</v>
          </cell>
          <cell r="AK1057" t="str">
            <v>Primary</v>
          </cell>
          <cell r="AN1057" t="str">
            <v>IV</v>
          </cell>
          <cell r="AO1057">
            <v>2</v>
          </cell>
          <cell r="AP1057" t="str">
            <v>pT4apN2b</v>
          </cell>
          <cell r="AS1057" t="str">
            <v>MDSCC(Moderately Differentiated Squamous cell carcinoma)</v>
          </cell>
          <cell r="AV1057">
            <v>45482</v>
          </cell>
          <cell r="AX1057">
            <v>0.79722222222222228</v>
          </cell>
          <cell r="BB1057" t="str">
            <v>0.4/2-3*0.9/0.7*1.2</v>
          </cell>
          <cell r="BD1057" t="str">
            <v>Vibratome</v>
          </cell>
          <cell r="BE1057">
            <v>15</v>
          </cell>
          <cell r="BF1057" t="str">
            <v xml:space="preserve">sai </v>
          </cell>
          <cell r="BG1057" t="str">
            <v>Y</v>
          </cell>
        </row>
        <row r="1058">
          <cell r="A1058" t="str">
            <v>FBR1Y240197</v>
          </cell>
          <cell r="B1058">
            <v>240197</v>
          </cell>
          <cell r="C1058" t="str">
            <v>R&amp;D</v>
          </cell>
          <cell r="D1058">
            <v>45478</v>
          </cell>
          <cell r="E1058">
            <v>0.55555555555555558</v>
          </cell>
          <cell r="F1058">
            <v>45474</v>
          </cell>
          <cell r="G1058">
            <v>45478</v>
          </cell>
          <cell r="H1058">
            <v>0.67222222222222228</v>
          </cell>
          <cell r="I1058">
            <v>0.11666666666666667</v>
          </cell>
          <cell r="J1058">
            <v>9</v>
          </cell>
          <cell r="K1058" t="str">
            <v>FCB-PROTOCOL-02</v>
          </cell>
          <cell r="L1058" t="str">
            <v>HN154</v>
          </cell>
          <cell r="M1058" t="str">
            <v>Y</v>
          </cell>
          <cell r="N1058" t="str">
            <v>CCS Study (1Y)</v>
          </cell>
          <cell r="O1058" t="str">
            <v>Internal R&amp;D</v>
          </cell>
          <cell r="P1058" t="str">
            <v>Q1 Passed</v>
          </cell>
          <cell r="Q1058" t="str">
            <v>Q1 Rejected</v>
          </cell>
          <cell r="R1058" t="str">
            <v>Compromised</v>
          </cell>
          <cell r="S1058" t="str">
            <v>Q1.5 Passed</v>
          </cell>
          <cell r="T1058" t="str">
            <v>Blood Volume is 4ml</v>
          </cell>
          <cell r="V1058" t="str">
            <v>Tumor content 4-65%</v>
          </cell>
          <cell r="W1058" t="str">
            <v>Private Hospital</v>
          </cell>
          <cell r="X1058" t="str">
            <v>Mazumdar Shaw Medical Centre, Bangalore</v>
          </cell>
          <cell r="Y1058" t="str">
            <v>Mazumdar Shaw Medical Centre, Bangalore</v>
          </cell>
          <cell r="Z1058" t="str">
            <v>Dr Vijay Pillai, Bangalore</v>
          </cell>
          <cell r="AA1058" t="str">
            <v>HNSCC</v>
          </cell>
          <cell r="AC1058" t="str">
            <v>Buccal Mucosa</v>
          </cell>
          <cell r="AD1058" t="str">
            <v>Left Buccal Mucosa</v>
          </cell>
          <cell r="AE1058" t="str">
            <v>Male</v>
          </cell>
          <cell r="AF1058">
            <v>36</v>
          </cell>
          <cell r="AG1058" t="str">
            <v>N</v>
          </cell>
          <cell r="AH1058">
            <v>4.5999999999999996</v>
          </cell>
          <cell r="AI1058" t="str">
            <v>Kalappa</v>
          </cell>
          <cell r="AJ1058" t="str">
            <v>Surgery</v>
          </cell>
          <cell r="AK1058" t="str">
            <v>Primary</v>
          </cell>
          <cell r="AN1058" t="str">
            <v>IV</v>
          </cell>
          <cell r="AO1058">
            <v>2</v>
          </cell>
          <cell r="AP1058" t="str">
            <v>pT4bpN3b</v>
          </cell>
          <cell r="AS1058" t="str">
            <v>MDSCC(Moderately Differentiated Squamous cell carcinoma), keratinizing</v>
          </cell>
          <cell r="AV1058">
            <v>45478</v>
          </cell>
          <cell r="AW1058">
            <v>0.69305555555555554</v>
          </cell>
          <cell r="AX1058">
            <v>0.78680555555555554</v>
          </cell>
          <cell r="AY1058">
            <v>9.375E-2</v>
          </cell>
          <cell r="AZ1058">
            <v>0.67013888888888884</v>
          </cell>
          <cell r="BA1058">
            <v>0.23125000000000001</v>
          </cell>
          <cell r="BB1058" t="str">
            <v>0.4-0.6*0.9*1.5</v>
          </cell>
          <cell r="BD1058" t="str">
            <v>Vibratome</v>
          </cell>
          <cell r="BE1058">
            <v>15</v>
          </cell>
          <cell r="BF1058" t="str">
            <v xml:space="preserve">sai </v>
          </cell>
          <cell r="BG1058" t="str">
            <v>N</v>
          </cell>
        </row>
        <row r="1059">
          <cell r="A1059" t="str">
            <v>FBR2O240198</v>
          </cell>
          <cell r="B1059">
            <v>240198</v>
          </cell>
          <cell r="C1059" t="str">
            <v>R&amp;D</v>
          </cell>
          <cell r="D1059">
            <v>45478</v>
          </cell>
          <cell r="E1059">
            <v>0.59652777777777777</v>
          </cell>
          <cell r="F1059">
            <v>45474</v>
          </cell>
          <cell r="G1059">
            <v>45478</v>
          </cell>
          <cell r="H1059">
            <v>0.67222222222222228</v>
          </cell>
          <cell r="I1059">
            <v>7.5694444444444439E-2</v>
          </cell>
          <cell r="J1059">
            <v>0</v>
          </cell>
          <cell r="K1059" t="str">
            <v>FCB-PROTOCOL-02</v>
          </cell>
          <cell r="L1059" t="str">
            <v>RC058</v>
          </cell>
          <cell r="M1059" t="str">
            <v>Y</v>
          </cell>
          <cell r="N1059" t="str">
            <v>Prostate Biopsy (2O)</v>
          </cell>
          <cell r="O1059" t="str">
            <v>Internal R&amp;D</v>
          </cell>
          <cell r="P1059" t="str">
            <v>Q1 Passed</v>
          </cell>
          <cell r="Q1059" t="str">
            <v>Q1 Passed</v>
          </cell>
          <cell r="R1059" t="str">
            <v>Q1.5 Passed</v>
          </cell>
          <cell r="S1059" t="str">
            <v>Q1.5 Passed</v>
          </cell>
          <cell r="V1059" t="str">
            <v>Tumor content 0-25%. Average tumor content 7%</v>
          </cell>
          <cell r="W1059" t="str">
            <v>Private Hospital</v>
          </cell>
          <cell r="X1059" t="str">
            <v>Mazumdar Shaw Medical Centre, Bangalore</v>
          </cell>
          <cell r="Y1059" t="str">
            <v>Mazumdar Shaw Medical Centre, Bangalore</v>
          </cell>
          <cell r="Z1059" t="str">
            <v>Dr Saurabh Bhargav, Bangalore</v>
          </cell>
          <cell r="AA1059" t="str">
            <v>Prostate</v>
          </cell>
          <cell r="AC1059" t="str">
            <v>Prostate</v>
          </cell>
          <cell r="AD1059" t="str">
            <v>Prostate</v>
          </cell>
          <cell r="AE1059" t="str">
            <v>Male</v>
          </cell>
          <cell r="AF1059">
            <v>85</v>
          </cell>
          <cell r="AG1059" t="str">
            <v>N</v>
          </cell>
          <cell r="AH1059">
            <v>4.5999999999999996</v>
          </cell>
          <cell r="AI1059" t="str">
            <v>Kalappa</v>
          </cell>
          <cell r="AJ1059" t="str">
            <v>Biopsy</v>
          </cell>
          <cell r="AK1059" t="str">
            <v>Primary</v>
          </cell>
          <cell r="AO1059">
            <v>5</v>
          </cell>
          <cell r="AS1059" t="str">
            <v xml:space="preserve">Acinar adenocarcinoma </v>
          </cell>
          <cell r="AV1059">
            <v>45478</v>
          </cell>
          <cell r="AW1059">
            <v>0.69305555555555554</v>
          </cell>
          <cell r="AX1059">
            <v>0.73263888888888884</v>
          </cell>
          <cell r="AY1059">
            <v>3.9583333333333331E-2</v>
          </cell>
          <cell r="AZ1059">
            <v>0.65694444444444444</v>
          </cell>
          <cell r="BA1059">
            <v>0.1361111111111111</v>
          </cell>
          <cell r="BB1059" t="str">
            <v>3 Cores
20,18,20</v>
          </cell>
          <cell r="BD1059" t="str">
            <v>Manual</v>
          </cell>
          <cell r="BE1059">
            <v>15</v>
          </cell>
          <cell r="BF1059" t="str">
            <v>Syam</v>
          </cell>
          <cell r="BG1059" t="str">
            <v>Y</v>
          </cell>
        </row>
        <row r="1060">
          <cell r="A1060" t="str">
            <v>FBR1C240199</v>
          </cell>
          <cell r="B1060">
            <v>240199</v>
          </cell>
          <cell r="C1060" t="str">
            <v>R&amp;D</v>
          </cell>
          <cell r="D1060">
            <v>45481</v>
          </cell>
          <cell r="E1060">
            <v>0.54583333333333328</v>
          </cell>
          <cell r="F1060">
            <v>45474</v>
          </cell>
          <cell r="G1060">
            <v>45481</v>
          </cell>
          <cell r="H1060">
            <v>0.63402777777777775</v>
          </cell>
          <cell r="I1060">
            <v>8.819444444444445E-2</v>
          </cell>
          <cell r="J1060">
            <v>11</v>
          </cell>
          <cell r="K1060" t="str">
            <v>FCB-PROTOCOL-02</v>
          </cell>
          <cell r="L1060" t="str">
            <v>HN155</v>
          </cell>
          <cell r="M1060" t="str">
            <v>Y</v>
          </cell>
          <cell r="N1060" t="str">
            <v>Cul Imp (1C)</v>
          </cell>
          <cell r="O1060" t="str">
            <v>Internal R&amp;D</v>
          </cell>
          <cell r="P1060" t="str">
            <v>Q1 Passed</v>
          </cell>
          <cell r="Q1060" t="str">
            <v>Not Received</v>
          </cell>
          <cell r="R1060" t="str">
            <v>Compromised</v>
          </cell>
          <cell r="S1060" t="str">
            <v>Q1.5 Passed</v>
          </cell>
          <cell r="V1060" t="str">
            <v>Tumor content 3-80%</v>
          </cell>
          <cell r="W1060" t="str">
            <v>Private Hospital</v>
          </cell>
          <cell r="X1060" t="str">
            <v>Mazumdar Shaw Medical Centre, Bangalore</v>
          </cell>
          <cell r="Y1060" t="str">
            <v>Mazumdar Shaw Medical Centre, Bangalore</v>
          </cell>
          <cell r="Z1060" t="str">
            <v>Dr Vijay Pillai, Bangalore</v>
          </cell>
          <cell r="AA1060" t="str">
            <v>HNSCC</v>
          </cell>
          <cell r="AC1060" t="str">
            <v>Buccal Mucosa</v>
          </cell>
          <cell r="AD1060" t="str">
            <v>Right Buccal Mucosa</v>
          </cell>
          <cell r="AE1060" t="str">
            <v>Male</v>
          </cell>
          <cell r="AF1060">
            <v>35</v>
          </cell>
          <cell r="AG1060" t="str">
            <v>N</v>
          </cell>
          <cell r="AH1060">
            <v>4.5</v>
          </cell>
          <cell r="AI1060" t="str">
            <v>Kalappa</v>
          </cell>
          <cell r="AJ1060" t="str">
            <v>Surgery</v>
          </cell>
          <cell r="AK1060" t="str">
            <v>Primary</v>
          </cell>
          <cell r="AN1060" t="str">
            <v>IV</v>
          </cell>
          <cell r="AO1060">
            <v>2</v>
          </cell>
          <cell r="AP1060" t="str">
            <v>pT4bpN0</v>
          </cell>
          <cell r="AS1060" t="str">
            <v>MDSCC(Moderately Differentiated Squamous cell carcinoma)</v>
          </cell>
          <cell r="AV1060">
            <v>45481</v>
          </cell>
          <cell r="AW1060">
            <v>0.65694444444444444</v>
          </cell>
          <cell r="AX1060">
            <v>0.75347222222222221</v>
          </cell>
          <cell r="AY1060">
            <v>9.6527777777777782E-2</v>
          </cell>
          <cell r="AZ1060">
            <v>0.66527777777777775</v>
          </cell>
          <cell r="BA1060">
            <v>0.2076388888888889</v>
          </cell>
          <cell r="BB1060" t="str">
            <v>0.2-0.4*0.5-1.0*0.8-0.9</v>
          </cell>
          <cell r="BD1060" t="str">
            <v>Vibratome</v>
          </cell>
          <cell r="BE1060">
            <v>15</v>
          </cell>
          <cell r="BF1060" t="str">
            <v>Abdul</v>
          </cell>
          <cell r="BG1060" t="str">
            <v>N</v>
          </cell>
        </row>
        <row r="1061">
          <cell r="A1061">
            <v>240200</v>
          </cell>
          <cell r="B1061">
            <v>240200</v>
          </cell>
          <cell r="C1061" t="str">
            <v>R&amp;D</v>
          </cell>
          <cell r="D1061">
            <v>45484</v>
          </cell>
          <cell r="E1061">
            <v>0.64583333333333337</v>
          </cell>
          <cell r="F1061">
            <v>45474</v>
          </cell>
          <cell r="G1061">
            <v>45484</v>
          </cell>
          <cell r="H1061">
            <v>0.73124999999999996</v>
          </cell>
          <cell r="I1061">
            <v>8.5416666666666669E-2</v>
          </cell>
          <cell r="J1061">
            <v>10</v>
          </cell>
          <cell r="K1061" t="str">
            <v>FCB-PROTOCOL-02</v>
          </cell>
          <cell r="L1061" t="str">
            <v>HN156</v>
          </cell>
          <cell r="M1061" t="str">
            <v>Y</v>
          </cell>
          <cell r="N1061" t="str">
            <v>No Study</v>
          </cell>
          <cell r="O1061" t="str">
            <v>1st level attrition</v>
          </cell>
          <cell r="P1061" t="str">
            <v>Q1 Passed</v>
          </cell>
          <cell r="Q1061" t="str">
            <v>Not Received</v>
          </cell>
          <cell r="R1061" t="str">
            <v>Q1.5 Rejected</v>
          </cell>
          <cell r="S1061" t="str">
            <v>Q1.5 Rejected</v>
          </cell>
          <cell r="T1061" t="str">
            <v>Due to very small size tissue</v>
          </cell>
          <cell r="W1061" t="str">
            <v>Private Hospital</v>
          </cell>
          <cell r="X1061" t="str">
            <v>Mazumdar Shaw Medical Centre, Bangalore</v>
          </cell>
          <cell r="Y1061" t="str">
            <v>Mazumdar Shaw Medical Centre, Bangalore</v>
          </cell>
          <cell r="Z1061" t="str">
            <v>Dr Vijay Pillai, Bangalore</v>
          </cell>
          <cell r="AA1061" t="str">
            <v>HNSCC</v>
          </cell>
          <cell r="AC1061" t="str">
            <v>Tongue</v>
          </cell>
          <cell r="AD1061" t="str">
            <v>Tongue</v>
          </cell>
          <cell r="AE1061" t="str">
            <v>Male</v>
          </cell>
          <cell r="AF1061">
            <v>52</v>
          </cell>
          <cell r="AG1061" t="str">
            <v>N</v>
          </cell>
          <cell r="AH1061">
            <v>4.3</v>
          </cell>
          <cell r="AI1061" t="str">
            <v>Maruthi</v>
          </cell>
          <cell r="AJ1061" t="str">
            <v>Surgery</v>
          </cell>
          <cell r="AK1061" t="str">
            <v>Primary</v>
          </cell>
          <cell r="AV1061">
            <v>45484</v>
          </cell>
        </row>
        <row r="1062">
          <cell r="A1062" t="str">
            <v>FBB1L240201</v>
          </cell>
          <cell r="B1062">
            <v>240201</v>
          </cell>
          <cell r="C1062" t="str">
            <v>Biopharma</v>
          </cell>
          <cell r="D1062">
            <v>45484</v>
          </cell>
          <cell r="E1062">
            <v>0.61458333333333337</v>
          </cell>
          <cell r="F1062">
            <v>45474</v>
          </cell>
          <cell r="G1062">
            <v>45484</v>
          </cell>
          <cell r="H1062">
            <v>0.78472222222222221</v>
          </cell>
          <cell r="I1062">
            <v>0.1701388888888889</v>
          </cell>
          <cell r="J1062">
            <v>1</v>
          </cell>
          <cell r="K1062" t="str">
            <v>FCB-PROTOCOL-01</v>
          </cell>
          <cell r="L1062" t="str">
            <v>JSS-018</v>
          </cell>
          <cell r="M1062" t="str">
            <v>Y</v>
          </cell>
          <cell r="N1062" t="str">
            <v>BP010 (1L)</v>
          </cell>
          <cell r="O1062" t="str">
            <v>Biopharma</v>
          </cell>
          <cell r="P1062" t="str">
            <v>Q1 Passed</v>
          </cell>
          <cell r="Q1062" t="str">
            <v>Q1 Passed</v>
          </cell>
          <cell r="R1062" t="str">
            <v>Q1.5 Passed</v>
          </cell>
          <cell r="S1062" t="str">
            <v>Q1.5 Rejected</v>
          </cell>
          <cell r="V1062" t="str">
            <v>No tumor</v>
          </cell>
          <cell r="W1062" t="str">
            <v>Private Hospital</v>
          </cell>
          <cell r="X1062" t="str">
            <v>Clinic'les- Dr Ravi Krishnappa, Mysore</v>
          </cell>
          <cell r="Y1062" t="str">
            <v>JSS Hospital, Mysore</v>
          </cell>
          <cell r="Z1062" t="str">
            <v>Dr Manjunath</v>
          </cell>
          <cell r="AA1062" t="str">
            <v>RCC</v>
          </cell>
          <cell r="AC1062" t="str">
            <v>Renal Mass</v>
          </cell>
          <cell r="AD1062" t="str">
            <v>Left Renal Mass</v>
          </cell>
          <cell r="AE1062" t="str">
            <v>Male</v>
          </cell>
          <cell r="AF1062">
            <v>65</v>
          </cell>
          <cell r="AG1062" t="str">
            <v>N</v>
          </cell>
          <cell r="AH1062">
            <v>5.0999999999999996</v>
          </cell>
          <cell r="AI1062" t="str">
            <v>Shashi</v>
          </cell>
          <cell r="AJ1062" t="str">
            <v>Surgery</v>
          </cell>
          <cell r="AK1062" t="str">
            <v>Primary</v>
          </cell>
          <cell r="AL1062" t="str">
            <v>Surgery</v>
          </cell>
          <cell r="AV1062">
            <v>45484</v>
          </cell>
          <cell r="AW1062">
            <v>0.79722222222222228</v>
          </cell>
          <cell r="AX1062">
            <v>0.86111111111111116</v>
          </cell>
          <cell r="AY1062">
            <v>6.3888888888888884E-2</v>
          </cell>
          <cell r="AZ1062">
            <v>0.69097222222222221</v>
          </cell>
          <cell r="BA1062">
            <v>0.24652777777777779</v>
          </cell>
          <cell r="BB1062" t="str">
            <v>0.6*0.6-1.0*1.2-1.3
0.6-0.7*0.6-0.8*2.2-2.4</v>
          </cell>
          <cell r="BD1062" t="str">
            <v>Manual</v>
          </cell>
          <cell r="BE1062">
            <v>15</v>
          </cell>
          <cell r="BF1062" t="str">
            <v>chandan</v>
          </cell>
          <cell r="BG1062" t="str">
            <v>Y</v>
          </cell>
        </row>
        <row r="1063">
          <cell r="A1063" t="str">
            <v>FBR1C240202</v>
          </cell>
          <cell r="B1063">
            <v>240202</v>
          </cell>
          <cell r="C1063" t="str">
            <v>R&amp;D</v>
          </cell>
          <cell r="D1063">
            <v>45485</v>
          </cell>
          <cell r="E1063">
            <v>0.64583333333333337</v>
          </cell>
          <cell r="F1063">
            <v>45474</v>
          </cell>
          <cell r="G1063">
            <v>45485</v>
          </cell>
          <cell r="H1063">
            <v>0.70277777777777772</v>
          </cell>
          <cell r="I1063">
            <v>5.6944444444444443E-2</v>
          </cell>
          <cell r="J1063">
            <v>15</v>
          </cell>
          <cell r="K1063" t="str">
            <v>FCB-PROTOCOL-02</v>
          </cell>
          <cell r="L1063" t="str">
            <v>HN157</v>
          </cell>
          <cell r="M1063" t="str">
            <v>Y</v>
          </cell>
          <cell r="N1063" t="str">
            <v>Cul Imp (1C)</v>
          </cell>
          <cell r="O1063" t="str">
            <v>Internal R&amp;D</v>
          </cell>
          <cell r="P1063" t="str">
            <v>Q1 Passed</v>
          </cell>
          <cell r="Q1063" t="str">
            <v>Q1 Rejected</v>
          </cell>
          <cell r="R1063" t="str">
            <v>Compromised</v>
          </cell>
          <cell r="S1063" t="str">
            <v>Q1.5 Passed</v>
          </cell>
          <cell r="T1063" t="str">
            <v>Blood Volume is 4ml</v>
          </cell>
          <cell r="V1063" t="str">
            <v>Tumor content 45-90%</v>
          </cell>
          <cell r="W1063" t="str">
            <v>Private Hospital</v>
          </cell>
          <cell r="X1063" t="str">
            <v>Mazumdar Shaw Medical Centre, Bangalore</v>
          </cell>
          <cell r="Y1063" t="str">
            <v>Mazumdar Shaw Medical Centre, Bangalore</v>
          </cell>
          <cell r="Z1063" t="str">
            <v>Dr Vijay Pillai, Bangalore</v>
          </cell>
          <cell r="AA1063" t="str">
            <v>HNSCC</v>
          </cell>
          <cell r="AC1063" t="str">
            <v>Buccal Mucosa</v>
          </cell>
          <cell r="AD1063" t="str">
            <v>Left Buccal Mucosa</v>
          </cell>
          <cell r="AE1063" t="str">
            <v>Male</v>
          </cell>
          <cell r="AF1063">
            <v>50</v>
          </cell>
          <cell r="AG1063" t="str">
            <v>N</v>
          </cell>
          <cell r="AH1063">
            <v>4.8</v>
          </cell>
          <cell r="AI1063" t="str">
            <v>Maruthi</v>
          </cell>
          <cell r="AJ1063" t="str">
            <v>Surgery</v>
          </cell>
          <cell r="AK1063" t="str">
            <v>Primary</v>
          </cell>
          <cell r="AN1063" t="str">
            <v>IV</v>
          </cell>
          <cell r="AO1063">
            <v>2</v>
          </cell>
          <cell r="AP1063" t="str">
            <v>pT4b pN3b</v>
          </cell>
          <cell r="AS1063" t="str">
            <v>MDSCC(Moderately Differentiated Squamous cell carcinoma)</v>
          </cell>
          <cell r="AV1063">
            <v>45485</v>
          </cell>
          <cell r="AW1063">
            <v>0.72013888888888888</v>
          </cell>
          <cell r="AX1063">
            <v>0.80208333333333337</v>
          </cell>
          <cell r="AY1063">
            <v>8.1944444444444445E-2</v>
          </cell>
          <cell r="AZ1063">
            <v>0.74513888888888891</v>
          </cell>
          <cell r="BA1063">
            <v>0.15625</v>
          </cell>
          <cell r="BB1063" t="str">
            <v>0.2-0.4*1.0-1.1*1.2-1.3</v>
          </cell>
          <cell r="BD1063" t="str">
            <v>Vibratome</v>
          </cell>
          <cell r="BE1063">
            <v>15</v>
          </cell>
          <cell r="BF1063" t="str">
            <v>Abdul</v>
          </cell>
          <cell r="BG1063" t="str">
            <v>Y</v>
          </cell>
        </row>
        <row r="1064">
          <cell r="A1064" t="str">
            <v>FBR2O240203</v>
          </cell>
          <cell r="B1064">
            <v>240203</v>
          </cell>
          <cell r="C1064" t="str">
            <v>R&amp;D</v>
          </cell>
          <cell r="D1064">
            <v>45489</v>
          </cell>
          <cell r="E1064">
            <v>0.43958333333333333</v>
          </cell>
          <cell r="F1064">
            <v>45474</v>
          </cell>
          <cell r="G1064">
            <v>45489</v>
          </cell>
          <cell r="H1064">
            <v>0.56388888888888888</v>
          </cell>
          <cell r="I1064">
            <v>0.12430555555555556</v>
          </cell>
          <cell r="J1064">
            <v>0</v>
          </cell>
          <cell r="K1064" t="str">
            <v>FCB-PROTOCOL-02</v>
          </cell>
          <cell r="L1064" t="str">
            <v>RC059</v>
          </cell>
          <cell r="M1064" t="str">
            <v>Y</v>
          </cell>
          <cell r="N1064" t="str">
            <v>Prostate Biopsy (2O)</v>
          </cell>
          <cell r="O1064" t="str">
            <v>Internal R&amp;D</v>
          </cell>
          <cell r="P1064" t="str">
            <v>Q1 Passed</v>
          </cell>
          <cell r="Q1064" t="str">
            <v>Not Received</v>
          </cell>
          <cell r="R1064" t="str">
            <v>Q1.5 Passed</v>
          </cell>
          <cell r="S1064" t="str">
            <v>Q1.5 Passed</v>
          </cell>
          <cell r="V1064" t="str">
            <v>Tumor content 0-40%.Average tumor content 12%</v>
          </cell>
          <cell r="W1064" t="str">
            <v>Private Hospital</v>
          </cell>
          <cell r="X1064" t="str">
            <v>Mazumdar Shaw Medical Centre, Bangalore</v>
          </cell>
          <cell r="Y1064" t="str">
            <v>Mazumdar Shaw Medical Centre, Bangalore</v>
          </cell>
          <cell r="Z1064" t="str">
            <v>Dr Saurabh Bhargav, Bangalore</v>
          </cell>
          <cell r="AA1064" t="str">
            <v>Prostate</v>
          </cell>
          <cell r="AC1064" t="str">
            <v>Prostate</v>
          </cell>
          <cell r="AD1064" t="str">
            <v>Prostate (Left Mid Zone)</v>
          </cell>
          <cell r="AE1064" t="str">
            <v>Male</v>
          </cell>
          <cell r="AF1064">
            <v>69</v>
          </cell>
          <cell r="AG1064" t="str">
            <v>N</v>
          </cell>
          <cell r="AH1064">
            <v>4.5999999999999996</v>
          </cell>
          <cell r="AI1064" t="str">
            <v>Shashi</v>
          </cell>
          <cell r="AJ1064" t="str">
            <v>Biopsy</v>
          </cell>
          <cell r="AK1064" t="str">
            <v>Primary</v>
          </cell>
          <cell r="AO1064">
            <v>4</v>
          </cell>
          <cell r="AS1064" t="str">
            <v xml:space="preserve">Acinar adenocarcinoma </v>
          </cell>
          <cell r="AV1064">
            <v>45489</v>
          </cell>
          <cell r="AW1064">
            <v>0.60138888888888886</v>
          </cell>
          <cell r="AX1064">
            <v>0.62847222222222221</v>
          </cell>
          <cell r="AY1064">
            <v>2.7083333333333334E-2</v>
          </cell>
          <cell r="AZ1064">
            <v>0.50416666666666665</v>
          </cell>
          <cell r="BA1064">
            <v>0.18888888888888888</v>
          </cell>
          <cell r="BB1064" t="str">
            <v>4 Cores
22,20,22,20</v>
          </cell>
          <cell r="BD1064" t="str">
            <v>Manual</v>
          </cell>
          <cell r="BE1064">
            <v>15</v>
          </cell>
          <cell r="BF1064" t="str">
            <v>Dharani</v>
          </cell>
          <cell r="BG1064" t="str">
            <v>N</v>
          </cell>
        </row>
        <row r="1065">
          <cell r="A1065" t="str">
            <v>FBR2O240204</v>
          </cell>
          <cell r="B1065">
            <v>240204</v>
          </cell>
          <cell r="C1065" t="str">
            <v>R&amp;D</v>
          </cell>
          <cell r="D1065">
            <v>45490</v>
          </cell>
          <cell r="E1065">
            <v>0.47222222222222221</v>
          </cell>
          <cell r="F1065">
            <v>45474</v>
          </cell>
          <cell r="G1065">
            <v>45490</v>
          </cell>
          <cell r="H1065">
            <v>0.53472222222222221</v>
          </cell>
          <cell r="I1065">
            <v>6.25E-2</v>
          </cell>
          <cell r="J1065">
            <v>0</v>
          </cell>
          <cell r="K1065" t="str">
            <v>FCB-PROTOCOL-02</v>
          </cell>
          <cell r="L1065" t="str">
            <v>RC060</v>
          </cell>
          <cell r="M1065" t="str">
            <v>Y</v>
          </cell>
          <cell r="N1065" t="str">
            <v>Prostate Biopsy (2O)</v>
          </cell>
          <cell r="O1065" t="str">
            <v>Internal R&amp;D</v>
          </cell>
          <cell r="P1065" t="str">
            <v>Q1 Passed</v>
          </cell>
          <cell r="Q1065" t="str">
            <v>Not Received</v>
          </cell>
          <cell r="R1065" t="str">
            <v>Q1.5 Passed</v>
          </cell>
          <cell r="S1065" t="str">
            <v>Q1.5 Passed</v>
          </cell>
          <cell r="V1065" t="str">
            <v>Tumor content 5-80%</v>
          </cell>
          <cell r="W1065" t="str">
            <v>Private Hospital</v>
          </cell>
          <cell r="X1065" t="str">
            <v>Mazumdar Shaw Medical Centre, Bangalore</v>
          </cell>
          <cell r="Y1065" t="str">
            <v>Mazumdar Shaw Medical Centre, Bangalore</v>
          </cell>
          <cell r="Z1065" t="str">
            <v>Dr Saurabh Bhargav, Bangalore</v>
          </cell>
          <cell r="AA1065" t="str">
            <v>Prostate</v>
          </cell>
          <cell r="AC1065" t="str">
            <v>Prostate</v>
          </cell>
          <cell r="AD1065" t="str">
            <v>Prostate</v>
          </cell>
          <cell r="AE1065" t="str">
            <v>Male</v>
          </cell>
          <cell r="AF1065">
            <v>63</v>
          </cell>
          <cell r="AG1065" t="str">
            <v>N</v>
          </cell>
          <cell r="AH1065">
            <v>4.8</v>
          </cell>
          <cell r="AI1065" t="str">
            <v>Maruthi</v>
          </cell>
          <cell r="AJ1065" t="str">
            <v>Biopsy</v>
          </cell>
          <cell r="AK1065" t="str">
            <v>Primary</v>
          </cell>
          <cell r="AO1065" t="str">
            <v>High grade(GG4/GG5)</v>
          </cell>
          <cell r="AS1065" t="str">
            <v>Conventional acinar prostatic adenocarcinoma involving both the prostatic lobes</v>
          </cell>
          <cell r="AV1065">
            <v>45490</v>
          </cell>
          <cell r="AW1065">
            <v>0.55000000000000004</v>
          </cell>
          <cell r="AX1065">
            <v>0.57291666666666663</v>
          </cell>
          <cell r="AY1065">
            <v>2.2916666666666665E-2</v>
          </cell>
          <cell r="AZ1065">
            <v>0.51041666666666663</v>
          </cell>
          <cell r="BA1065">
            <v>0.10069444444444445</v>
          </cell>
          <cell r="BB1065" t="str">
            <v>3 Cores
14, 16. 18</v>
          </cell>
          <cell r="BD1065" t="str">
            <v>Manual</v>
          </cell>
          <cell r="BE1065">
            <v>15</v>
          </cell>
          <cell r="BF1065" t="str">
            <v>Pallavi</v>
          </cell>
          <cell r="BG1065" t="str">
            <v>N</v>
          </cell>
        </row>
        <row r="1066">
          <cell r="A1066" t="str">
            <v>FBR2A240205</v>
          </cell>
          <cell r="B1066">
            <v>240205</v>
          </cell>
          <cell r="C1066" t="str">
            <v>R&amp;D</v>
          </cell>
          <cell r="D1066">
            <v>45490</v>
          </cell>
          <cell r="E1066">
            <v>0.42708333333333331</v>
          </cell>
          <cell r="F1066">
            <v>45474</v>
          </cell>
          <cell r="G1066">
            <v>45490</v>
          </cell>
          <cell r="H1066">
            <v>0.66736111111111107</v>
          </cell>
          <cell r="I1066">
            <v>0.24027777777777778</v>
          </cell>
          <cell r="J1066">
            <v>15</v>
          </cell>
          <cell r="K1066" t="str">
            <v>FCB-PROTOCOL-01</v>
          </cell>
          <cell r="L1066" t="str">
            <v>JSS-019</v>
          </cell>
          <cell r="M1066" t="str">
            <v>Y</v>
          </cell>
          <cell r="N1066" t="str">
            <v>Ovary CC (R2A)</v>
          </cell>
          <cell r="O1066" t="str">
            <v>Internal R&amp;D</v>
          </cell>
          <cell r="P1066" t="str">
            <v>Q1 Passed</v>
          </cell>
          <cell r="Q1066" t="str">
            <v>Q1 Passed</v>
          </cell>
          <cell r="R1066" t="str">
            <v>Q1.5 Passed</v>
          </cell>
          <cell r="S1066" t="str">
            <v>Q1.5 Rejected</v>
          </cell>
          <cell r="V1066" t="str">
            <v>No tumor</v>
          </cell>
          <cell r="W1066" t="str">
            <v>Private Hospital</v>
          </cell>
          <cell r="X1066" t="str">
            <v>Clinic'les- Dr Ravi Krishnappa, Mysore</v>
          </cell>
          <cell r="Y1066" t="str">
            <v>JSS Hospital, Mysore</v>
          </cell>
          <cell r="Z1066" t="str">
            <v>Dr Ravi Krishnappa, Mysore</v>
          </cell>
          <cell r="AA1066" t="str">
            <v>Ca Ovary</v>
          </cell>
          <cell r="AC1066" t="str">
            <v>Peritoneal</v>
          </cell>
          <cell r="AD1066" t="str">
            <v>Peritoneal region</v>
          </cell>
          <cell r="AE1066" t="str">
            <v>Female</v>
          </cell>
          <cell r="AF1066">
            <v>55</v>
          </cell>
          <cell r="AG1066" t="str">
            <v>N</v>
          </cell>
          <cell r="AH1066">
            <v>5.6</v>
          </cell>
          <cell r="AI1066" t="str">
            <v>Kalappa</v>
          </cell>
          <cell r="AJ1066" t="str">
            <v>Surgery</v>
          </cell>
          <cell r="AK1066" t="str">
            <v>Primary</v>
          </cell>
          <cell r="AL1066" t="str">
            <v>Surgery+Chemotherapy</v>
          </cell>
          <cell r="AP1066" t="str">
            <v>N3CM1</v>
          </cell>
          <cell r="AQ1066">
            <v>6</v>
          </cell>
          <cell r="AR1066" t="str">
            <v>Paclitaxel + Carboplatin</v>
          </cell>
          <cell r="AV1066">
            <v>45490</v>
          </cell>
          <cell r="AW1066">
            <v>0.68055555555555558</v>
          </cell>
          <cell r="AX1066">
            <v>0.71527777777777779</v>
          </cell>
          <cell r="AY1066">
            <v>3.4722222222222224E-2</v>
          </cell>
          <cell r="AZ1066">
            <v>0.47499999999999998</v>
          </cell>
          <cell r="BA1066">
            <v>0.28819444444444442</v>
          </cell>
          <cell r="BB1066" t="str">
            <v>0.2*0.6*0.8/1.0</v>
          </cell>
          <cell r="BD1066" t="str">
            <v>Manual</v>
          </cell>
          <cell r="BE1066">
            <v>15</v>
          </cell>
          <cell r="BF1066" t="str">
            <v>Syam</v>
          </cell>
          <cell r="BG1066" t="str">
            <v>N</v>
          </cell>
        </row>
        <row r="1067">
          <cell r="A1067" t="str">
            <v>FBR1C240206</v>
          </cell>
          <cell r="B1067">
            <v>240206</v>
          </cell>
          <cell r="C1067" t="str">
            <v>R&amp;D</v>
          </cell>
          <cell r="D1067">
            <v>45490</v>
          </cell>
          <cell r="E1067">
            <v>0.65972222222222221</v>
          </cell>
          <cell r="F1067">
            <v>45474</v>
          </cell>
          <cell r="G1067">
            <v>45490</v>
          </cell>
          <cell r="H1067">
            <v>0.71319444444444446</v>
          </cell>
          <cell r="I1067">
            <v>5.347222222222222E-2</v>
          </cell>
          <cell r="J1067">
            <v>2</v>
          </cell>
          <cell r="K1067" t="str">
            <v>FCB-PROTOCOL-01</v>
          </cell>
          <cell r="L1067" t="str">
            <v>VYD/293</v>
          </cell>
          <cell r="M1067" t="str">
            <v>Y</v>
          </cell>
          <cell r="N1067" t="str">
            <v>Cul Imp (1C)</v>
          </cell>
          <cell r="O1067" t="str">
            <v>Internal R&amp;D</v>
          </cell>
          <cell r="P1067" t="str">
            <v>Q1 Passed</v>
          </cell>
          <cell r="Q1067" t="str">
            <v>Q1 Passed</v>
          </cell>
          <cell r="R1067" t="str">
            <v>Q1.5 Passed</v>
          </cell>
          <cell r="S1067" t="str">
            <v>Q1.5 Passed</v>
          </cell>
          <cell r="V1067" t="str">
            <v>Tumor content 0-90%. Average tumor content 45%</v>
          </cell>
          <cell r="W1067" t="str">
            <v>Private Hospital</v>
          </cell>
          <cell r="X1067" t="str">
            <v>Vydehi Hospital, Bangalore</v>
          </cell>
          <cell r="Y1067" t="str">
            <v>Vydehi Hospital, Bangalore</v>
          </cell>
          <cell r="Z1067" t="str">
            <v>Dr Amritha Prabha, Bangalore</v>
          </cell>
          <cell r="AA1067" t="str">
            <v>HNSCC</v>
          </cell>
          <cell r="AC1067" t="str">
            <v>Buccal Mucosa</v>
          </cell>
          <cell r="AD1067" t="str">
            <v>Right Buccal Mucosa</v>
          </cell>
          <cell r="AE1067" t="str">
            <v>Male</v>
          </cell>
          <cell r="AF1067">
            <v>51</v>
          </cell>
          <cell r="AG1067" t="str">
            <v>N</v>
          </cell>
          <cell r="AH1067">
            <v>4.9000000000000004</v>
          </cell>
          <cell r="AI1067" t="str">
            <v>Shashi</v>
          </cell>
          <cell r="AJ1067" t="str">
            <v>Surgery</v>
          </cell>
          <cell r="AK1067" t="str">
            <v>Primary</v>
          </cell>
          <cell r="AN1067" t="str">
            <v>II</v>
          </cell>
          <cell r="AO1067">
            <v>1</v>
          </cell>
          <cell r="AP1067" t="str">
            <v>pT2N0</v>
          </cell>
          <cell r="AT1067" t="str">
            <v>Nil</v>
          </cell>
          <cell r="AV1067">
            <v>45490</v>
          </cell>
          <cell r="AW1067">
            <v>0.72916666666666663</v>
          </cell>
          <cell r="AX1067">
            <v>0.83194444444444449</v>
          </cell>
          <cell r="AY1067">
            <v>0.10277777777777777</v>
          </cell>
          <cell r="AZ1067">
            <v>0.77847222222222223</v>
          </cell>
          <cell r="BA1067">
            <v>0.17222222222222222</v>
          </cell>
          <cell r="BB1067" t="str">
            <v>0.6*1.2*1.4</v>
          </cell>
          <cell r="BD1067" t="str">
            <v>Vibratome</v>
          </cell>
          <cell r="BE1067">
            <v>15</v>
          </cell>
          <cell r="BF1067" t="str">
            <v>Abdul</v>
          </cell>
          <cell r="BG1067" t="str">
            <v>Y</v>
          </cell>
        </row>
        <row r="1068">
          <cell r="A1068" t="str">
            <v>FBB1L240207</v>
          </cell>
          <cell r="B1068">
            <v>240207</v>
          </cell>
          <cell r="C1068" t="str">
            <v>Biopharma</v>
          </cell>
          <cell r="D1068">
            <v>45491</v>
          </cell>
          <cell r="E1068">
            <v>0.62361111111111112</v>
          </cell>
          <cell r="F1068">
            <v>45474</v>
          </cell>
          <cell r="G1068">
            <v>45491</v>
          </cell>
          <cell r="H1068">
            <v>0.67361111111111116</v>
          </cell>
          <cell r="I1068">
            <v>0.05</v>
          </cell>
          <cell r="J1068">
            <v>2</v>
          </cell>
          <cell r="K1068" t="str">
            <v>FCB-PROTOCOL-01</v>
          </cell>
          <cell r="L1068" t="str">
            <v>CLN/PRA/268</v>
          </cell>
          <cell r="M1068" t="str">
            <v>Y</v>
          </cell>
          <cell r="N1068" t="str">
            <v>BP010 (1L)</v>
          </cell>
          <cell r="O1068" t="str">
            <v>Biopharma</v>
          </cell>
          <cell r="P1068" t="str">
            <v>Q1 Passed</v>
          </cell>
          <cell r="Q1068" t="str">
            <v>Q1 Rejected</v>
          </cell>
          <cell r="R1068" t="str">
            <v>Compromised</v>
          </cell>
          <cell r="S1068" t="str">
            <v>Q1.5 Rejected</v>
          </cell>
          <cell r="T1068" t="str">
            <v>Blood Heamolysed</v>
          </cell>
          <cell r="V1068" t="str">
            <v>Tumor content 70-90%     Chromophobe RCC</v>
          </cell>
          <cell r="W1068" t="str">
            <v>Private Hospital</v>
          </cell>
          <cell r="X1068" t="str">
            <v>Dr Prakash BV, Bangalore</v>
          </cell>
          <cell r="Y1068" t="str">
            <v>Malligae Hospital</v>
          </cell>
          <cell r="Z1068" t="str">
            <v>Dr Prakash BV, Bangalore</v>
          </cell>
          <cell r="AA1068" t="str">
            <v>RCC</v>
          </cell>
          <cell r="AC1068" t="str">
            <v>Renal Mass</v>
          </cell>
          <cell r="AD1068" t="str">
            <v>Left Renal Mass</v>
          </cell>
          <cell r="AE1068" t="str">
            <v>Female</v>
          </cell>
          <cell r="AF1068">
            <v>47</v>
          </cell>
          <cell r="AG1068" t="str">
            <v>N</v>
          </cell>
          <cell r="AH1068">
            <v>4.8</v>
          </cell>
          <cell r="AI1068" t="str">
            <v>Kalappa</v>
          </cell>
          <cell r="AJ1068" t="str">
            <v>Surgery</v>
          </cell>
          <cell r="AK1068" t="str">
            <v>Primary</v>
          </cell>
          <cell r="AN1068" t="str">
            <v>II</v>
          </cell>
          <cell r="AP1068" t="str">
            <v>pT2N0M0</v>
          </cell>
          <cell r="AV1068">
            <v>45491</v>
          </cell>
          <cell r="AW1068">
            <v>0.69166666666666665</v>
          </cell>
          <cell r="AX1068">
            <v>0.8041666666666667</v>
          </cell>
          <cell r="AY1068">
            <v>0.1125</v>
          </cell>
          <cell r="AZ1068">
            <v>0.75416666666666665</v>
          </cell>
          <cell r="BA1068">
            <v>0.18055555555555555</v>
          </cell>
          <cell r="BB1068" t="str">
            <v>0.8-0.6*1.0-2.8*2.2-3.0</v>
          </cell>
          <cell r="BD1068" t="str">
            <v>Vibratome</v>
          </cell>
          <cell r="BE1068">
            <v>15</v>
          </cell>
          <cell r="BF1068" t="str">
            <v>Syam</v>
          </cell>
          <cell r="BG1068" t="str">
            <v>N</v>
          </cell>
        </row>
        <row r="1069">
          <cell r="A1069" t="str">
            <v>FBR1C240207</v>
          </cell>
          <cell r="B1069">
            <v>240207</v>
          </cell>
          <cell r="C1069" t="str">
            <v>R&amp;D</v>
          </cell>
          <cell r="D1069">
            <v>45491</v>
          </cell>
          <cell r="E1069">
            <v>0.62361111111111112</v>
          </cell>
          <cell r="F1069">
            <v>45474</v>
          </cell>
          <cell r="G1069">
            <v>45491</v>
          </cell>
          <cell r="H1069">
            <v>0.67361111111111116</v>
          </cell>
          <cell r="I1069">
            <v>0.05</v>
          </cell>
          <cell r="J1069">
            <v>2</v>
          </cell>
          <cell r="K1069" t="str">
            <v>FCB-PROTOCOL-01</v>
          </cell>
          <cell r="L1069" t="str">
            <v>CLN/PRA/268</v>
          </cell>
          <cell r="M1069" t="str">
            <v>Y</v>
          </cell>
          <cell r="N1069" t="str">
            <v>Cul Imp (1C)</v>
          </cell>
          <cell r="O1069" t="str">
            <v>Internal R&amp;D</v>
          </cell>
          <cell r="P1069" t="str">
            <v>Q1 Passed</v>
          </cell>
          <cell r="Q1069" t="str">
            <v>Q1 Rejected</v>
          </cell>
          <cell r="R1069" t="str">
            <v>Compromised</v>
          </cell>
          <cell r="S1069" t="str">
            <v>Q1.5 Passed</v>
          </cell>
          <cell r="T1069" t="str">
            <v>Blood Heamolysed</v>
          </cell>
          <cell r="V1069" t="str">
            <v>Tumor content 70-90%     Chromophobe RCC</v>
          </cell>
          <cell r="W1069" t="str">
            <v>Private Hospital</v>
          </cell>
          <cell r="X1069" t="str">
            <v>Dr Prakash BV, Bangalore</v>
          </cell>
          <cell r="Y1069" t="str">
            <v>Malligae Hospital</v>
          </cell>
          <cell r="Z1069" t="str">
            <v>Dr Prakash BV, Bangalore</v>
          </cell>
          <cell r="AA1069" t="str">
            <v>RCC</v>
          </cell>
          <cell r="AC1069" t="str">
            <v>Renal Mass</v>
          </cell>
          <cell r="AD1069" t="str">
            <v>Left Renal Mass</v>
          </cell>
          <cell r="AE1069" t="str">
            <v>Female</v>
          </cell>
          <cell r="AF1069">
            <v>47</v>
          </cell>
          <cell r="AG1069" t="str">
            <v>N</v>
          </cell>
          <cell r="AH1069">
            <v>4.8</v>
          </cell>
          <cell r="AI1069" t="str">
            <v>Kalappa</v>
          </cell>
          <cell r="AJ1069" t="str">
            <v>Surgery</v>
          </cell>
          <cell r="AK1069" t="str">
            <v>Primary</v>
          </cell>
          <cell r="AN1069" t="str">
            <v>II</v>
          </cell>
          <cell r="AP1069" t="str">
            <v>pT2N0M0</v>
          </cell>
          <cell r="AV1069">
            <v>45491</v>
          </cell>
          <cell r="AW1069">
            <v>0.69166666666666665</v>
          </cell>
          <cell r="AX1069">
            <v>0.81180555555555556</v>
          </cell>
          <cell r="AY1069">
            <v>0.12013888888888889</v>
          </cell>
          <cell r="AZ1069">
            <v>0.76180555555555551</v>
          </cell>
          <cell r="BA1069">
            <v>0.18819444444444444</v>
          </cell>
          <cell r="BB1069" t="str">
            <v>0.6-0.8*1.0-2.8*2.2-3.8</v>
          </cell>
          <cell r="BD1069" t="str">
            <v>Vibratome</v>
          </cell>
          <cell r="BE1069">
            <v>15</v>
          </cell>
          <cell r="BF1069" t="str">
            <v>Syam</v>
          </cell>
          <cell r="BG1069" t="str">
            <v>Y</v>
          </cell>
        </row>
        <row r="1070">
          <cell r="A1070" t="str">
            <v>FBR1Y240208</v>
          </cell>
          <cell r="B1070">
            <v>240208</v>
          </cell>
          <cell r="C1070" t="str">
            <v>R&amp;D</v>
          </cell>
          <cell r="D1070">
            <v>45492</v>
          </cell>
          <cell r="E1070">
            <v>0.49513888888888891</v>
          </cell>
          <cell r="F1070">
            <v>45474</v>
          </cell>
          <cell r="G1070">
            <v>45492</v>
          </cell>
          <cell r="H1070">
            <v>0.64236111111111116</v>
          </cell>
          <cell r="I1070">
            <v>0.14722222222222223</v>
          </cell>
          <cell r="J1070">
            <v>11</v>
          </cell>
          <cell r="K1070" t="str">
            <v>FCB-PROTOCOL-02</v>
          </cell>
          <cell r="L1070" t="str">
            <v>HN158</v>
          </cell>
          <cell r="M1070" t="str">
            <v>Y</v>
          </cell>
          <cell r="N1070" t="str">
            <v>CCS Study (1Y)</v>
          </cell>
          <cell r="O1070" t="str">
            <v>Internal R&amp;D</v>
          </cell>
          <cell r="P1070" t="str">
            <v>Q1 Passed</v>
          </cell>
          <cell r="Q1070" t="str">
            <v>Not Received</v>
          </cell>
          <cell r="R1070" t="str">
            <v>Compromised</v>
          </cell>
          <cell r="S1070" t="str">
            <v>Q1.5 Passed</v>
          </cell>
          <cell r="V1070" t="str">
            <v>Tumor content 15-80%. </v>
          </cell>
          <cell r="W1070" t="str">
            <v>Private Hospital</v>
          </cell>
          <cell r="X1070" t="str">
            <v>Mazumdar Shaw Medical Centre, Bangalore</v>
          </cell>
          <cell r="Y1070" t="str">
            <v>Mazumdar Shaw Medical Centre, Bangalore</v>
          </cell>
          <cell r="Z1070" t="str">
            <v>Dr Vijay Pillai, Bangalore</v>
          </cell>
          <cell r="AA1070" t="str">
            <v>HNSCC</v>
          </cell>
          <cell r="AC1070" t="str">
            <v>Buccal Mucosa</v>
          </cell>
          <cell r="AD1070" t="str">
            <v>Left Buccal Mucosa</v>
          </cell>
          <cell r="AE1070" t="str">
            <v>Female</v>
          </cell>
          <cell r="AF1070">
            <v>56</v>
          </cell>
          <cell r="AG1070" t="str">
            <v>N</v>
          </cell>
          <cell r="AH1070">
            <v>4.3</v>
          </cell>
          <cell r="AI1070" t="str">
            <v>Maruthi</v>
          </cell>
          <cell r="AJ1070" t="str">
            <v>Surgery</v>
          </cell>
          <cell r="AK1070" t="str">
            <v>Primary</v>
          </cell>
          <cell r="AN1070" t="str">
            <v>II</v>
          </cell>
          <cell r="AO1070">
            <v>2</v>
          </cell>
          <cell r="AP1070" t="str">
            <v>pT2pN1</v>
          </cell>
          <cell r="AS1070" t="str">
            <v>MDSCC(Moderately Differentiated Squamous cell carcinoma)</v>
          </cell>
          <cell r="AV1070">
            <v>45492</v>
          </cell>
          <cell r="AW1070">
            <v>0.66111111111111109</v>
          </cell>
          <cell r="AX1070">
            <v>0.72916666666666663</v>
          </cell>
          <cell r="AY1070">
            <v>6.805555555555555E-2</v>
          </cell>
          <cell r="AZ1070">
            <v>0.58194444444444449</v>
          </cell>
          <cell r="BA1070">
            <v>0.23402777777777778</v>
          </cell>
          <cell r="BB1070" t="str">
            <v>0.2*0.6*0.8</v>
          </cell>
          <cell r="BD1070" t="str">
            <v>Vibratome</v>
          </cell>
          <cell r="BE1070">
            <v>15</v>
          </cell>
          <cell r="BF1070" t="str">
            <v>Dharani</v>
          </cell>
          <cell r="BG1070" t="str">
            <v>N</v>
          </cell>
        </row>
        <row r="1071">
          <cell r="A1071" t="str">
            <v>FBR1C240208</v>
          </cell>
          <cell r="B1071">
            <v>240208</v>
          </cell>
          <cell r="C1071" t="str">
            <v>R&amp;D</v>
          </cell>
          <cell r="D1071">
            <v>45492</v>
          </cell>
          <cell r="E1071">
            <v>0.49513888888888891</v>
          </cell>
          <cell r="F1071">
            <v>45474</v>
          </cell>
          <cell r="G1071">
            <v>45492</v>
          </cell>
          <cell r="H1071">
            <v>0.64236111111111116</v>
          </cell>
          <cell r="I1071">
            <v>0.14722222222222223</v>
          </cell>
          <cell r="J1071">
            <v>11</v>
          </cell>
          <cell r="K1071" t="str">
            <v>FCB-PROTOCOL-02</v>
          </cell>
          <cell r="L1071" t="str">
            <v>HN158</v>
          </cell>
          <cell r="M1071" t="str">
            <v>Y</v>
          </cell>
          <cell r="N1071" t="str">
            <v>Cul Imp (1C)</v>
          </cell>
          <cell r="O1071" t="str">
            <v>Internal R&amp;D</v>
          </cell>
          <cell r="P1071" t="str">
            <v>Q1 Passed</v>
          </cell>
          <cell r="Q1071" t="str">
            <v>Not Received</v>
          </cell>
          <cell r="R1071" t="str">
            <v>Compromised</v>
          </cell>
          <cell r="S1071" t="str">
            <v>Q1.5 Passed</v>
          </cell>
          <cell r="V1071" t="str">
            <v>Tumor content 15-80%. </v>
          </cell>
          <cell r="W1071" t="str">
            <v>Private Hospital</v>
          </cell>
          <cell r="X1071" t="str">
            <v>Mazumdar Shaw Medical Centre, Bangalore</v>
          </cell>
          <cell r="Y1071" t="str">
            <v>Mazumdar Shaw Medical Centre, Bangalore</v>
          </cell>
          <cell r="Z1071" t="str">
            <v>Dr Vijay Pillai, Bangalore</v>
          </cell>
          <cell r="AA1071" t="str">
            <v>HNSCC</v>
          </cell>
          <cell r="AC1071" t="str">
            <v>Buccal Mucosa</v>
          </cell>
          <cell r="AD1071" t="str">
            <v>Left Buccal Mucosa</v>
          </cell>
          <cell r="AE1071" t="str">
            <v>Female</v>
          </cell>
          <cell r="AF1071">
            <v>56</v>
          </cell>
          <cell r="AG1071" t="str">
            <v>N</v>
          </cell>
          <cell r="AH1071">
            <v>4.3</v>
          </cell>
          <cell r="AI1071" t="str">
            <v>Maruthi</v>
          </cell>
          <cell r="AJ1071" t="str">
            <v>Surgery</v>
          </cell>
          <cell r="AK1071" t="str">
            <v>Primary</v>
          </cell>
          <cell r="AN1071" t="str">
            <v>II</v>
          </cell>
          <cell r="AO1071">
            <v>2</v>
          </cell>
          <cell r="AP1071" t="str">
            <v>pT2pN1</v>
          </cell>
          <cell r="AS1071" t="str">
            <v>MDSCC(Moderately Differentiated Squamous cell carcinoma)</v>
          </cell>
          <cell r="AV1071">
            <v>45492</v>
          </cell>
          <cell r="AW1071">
            <v>0.66111111111111109</v>
          </cell>
          <cell r="AX1071">
            <v>0.72916666666666663</v>
          </cell>
          <cell r="AY1071">
            <v>6.805555555555555E-2</v>
          </cell>
          <cell r="AZ1071">
            <v>0.58194444444444449</v>
          </cell>
          <cell r="BA1071">
            <v>0.23402777777777778</v>
          </cell>
          <cell r="BB1071" t="str">
            <v>0.2*0.6*0.8</v>
          </cell>
          <cell r="BD1071" t="str">
            <v>Vibratome</v>
          </cell>
          <cell r="BE1071">
            <v>15</v>
          </cell>
          <cell r="BF1071" t="str">
            <v>Dharani</v>
          </cell>
          <cell r="BG1071" t="str">
            <v>N</v>
          </cell>
        </row>
        <row r="1072">
          <cell r="A1072" t="str">
            <v>FBR1Y240209</v>
          </cell>
          <cell r="B1072">
            <v>240209</v>
          </cell>
          <cell r="C1072" t="str">
            <v>R&amp;D</v>
          </cell>
          <cell r="D1072">
            <v>45492</v>
          </cell>
          <cell r="E1072">
            <v>0.61458333333333337</v>
          </cell>
          <cell r="F1072">
            <v>45474</v>
          </cell>
          <cell r="G1072">
            <v>45492</v>
          </cell>
          <cell r="H1072">
            <v>0.67777777777777781</v>
          </cell>
          <cell r="I1072">
            <v>6.3194444444444442E-2</v>
          </cell>
          <cell r="J1072">
            <v>13</v>
          </cell>
          <cell r="K1072" t="str">
            <v>FCB-PROTOCOL-02</v>
          </cell>
          <cell r="L1072" t="str">
            <v>HN159</v>
          </cell>
          <cell r="M1072" t="str">
            <v>Y</v>
          </cell>
          <cell r="N1072" t="str">
            <v>CCS Study (1Y)</v>
          </cell>
          <cell r="O1072" t="str">
            <v>Internal R&amp;D</v>
          </cell>
          <cell r="P1072" t="str">
            <v>Q1 Passed</v>
          </cell>
          <cell r="Q1072" t="str">
            <v>Not Received</v>
          </cell>
          <cell r="R1072" t="str">
            <v>Compromised</v>
          </cell>
          <cell r="S1072" t="str">
            <v>Q1.5 Passed</v>
          </cell>
          <cell r="V1072" t="str">
            <v>Tumor content 10-90%</v>
          </cell>
          <cell r="W1072" t="str">
            <v>Private Hospital</v>
          </cell>
          <cell r="X1072" t="str">
            <v>Mazumdar Shaw Medical Centre, Bangalore</v>
          </cell>
          <cell r="Y1072" t="str">
            <v>Mazumdar Shaw Medical Centre, Bangalore</v>
          </cell>
          <cell r="Z1072" t="str">
            <v>Dr Vijay Pillai, Bangalore</v>
          </cell>
          <cell r="AA1072" t="str">
            <v>HNSCC</v>
          </cell>
          <cell r="AC1072" t="str">
            <v>Buccal Mucosa</v>
          </cell>
          <cell r="AD1072" t="str">
            <v>Buccal Mucosa</v>
          </cell>
          <cell r="AE1072" t="str">
            <v>Male</v>
          </cell>
          <cell r="AF1072">
            <v>47</v>
          </cell>
          <cell r="AG1072" t="str">
            <v>N</v>
          </cell>
          <cell r="AH1072">
            <v>4.5999999999999996</v>
          </cell>
          <cell r="AI1072" t="str">
            <v>Shashi</v>
          </cell>
          <cell r="AJ1072" t="str">
            <v>Surgery</v>
          </cell>
          <cell r="AK1072" t="str">
            <v>Primary</v>
          </cell>
          <cell r="AL1072" t="str">
            <v>Chemotherapy</v>
          </cell>
          <cell r="AN1072" t="str">
            <v>IV</v>
          </cell>
          <cell r="AO1072">
            <v>3</v>
          </cell>
          <cell r="AP1072" t="str">
            <v>ypT4b ypN2B</v>
          </cell>
          <cell r="AQ1072">
            <v>3</v>
          </cell>
          <cell r="AR1072" t="str">
            <v>NACT (Pacli+carbo+5FU)</v>
          </cell>
          <cell r="AS1072" t="str">
            <v>Residual poorly differentiated  Squamous cell carcinoma</v>
          </cell>
          <cell r="AV1072">
            <v>45492</v>
          </cell>
          <cell r="AW1072">
            <v>0.6875</v>
          </cell>
          <cell r="AX1072">
            <v>0.79513888888888884</v>
          </cell>
          <cell r="AY1072">
            <v>0.1076388888888889</v>
          </cell>
          <cell r="AZ1072">
            <v>0.7319444444444444</v>
          </cell>
          <cell r="BA1072">
            <v>0.18055555555555555</v>
          </cell>
          <cell r="BB1072" t="str">
            <v>0.8-1.0*1.3*2.1</v>
          </cell>
          <cell r="BC1072" t="str">
            <v>0.8*1.6*1.2</v>
          </cell>
          <cell r="BD1072" t="str">
            <v>Vibratome</v>
          </cell>
          <cell r="BE1072">
            <v>15</v>
          </cell>
          <cell r="BF1072" t="str">
            <v>Syam</v>
          </cell>
          <cell r="BG1072" t="str">
            <v>N</v>
          </cell>
        </row>
        <row r="1073">
          <cell r="A1073" t="str">
            <v>FBR1C240209</v>
          </cell>
          <cell r="B1073">
            <v>240209</v>
          </cell>
          <cell r="C1073" t="str">
            <v>R&amp;D</v>
          </cell>
          <cell r="D1073">
            <v>45492</v>
          </cell>
          <cell r="E1073">
            <v>0.61458333333333337</v>
          </cell>
          <cell r="F1073">
            <v>45474</v>
          </cell>
          <cell r="G1073">
            <v>45492</v>
          </cell>
          <cell r="H1073">
            <v>0.67777777777777781</v>
          </cell>
          <cell r="I1073">
            <v>6.3194444444444442E-2</v>
          </cell>
          <cell r="J1073">
            <v>13</v>
          </cell>
          <cell r="K1073" t="str">
            <v>FCB-PROTOCOL-02</v>
          </cell>
          <cell r="L1073" t="str">
            <v>HN159</v>
          </cell>
          <cell r="M1073" t="str">
            <v>Y</v>
          </cell>
          <cell r="N1073" t="str">
            <v>Cul Imp (1C)</v>
          </cell>
          <cell r="O1073" t="str">
            <v>Internal R&amp;D</v>
          </cell>
          <cell r="P1073" t="str">
            <v>Q1 Passed</v>
          </cell>
          <cell r="Q1073" t="str">
            <v>Not Received</v>
          </cell>
          <cell r="R1073" t="str">
            <v>Compromised</v>
          </cell>
          <cell r="S1073" t="str">
            <v>Q1.5 Passed</v>
          </cell>
          <cell r="V1073" t="str">
            <v>Tumor content 10-90%</v>
          </cell>
          <cell r="W1073" t="str">
            <v>Private Hospital</v>
          </cell>
          <cell r="X1073" t="str">
            <v>Mazumdar Shaw Medical Centre, Bangalore</v>
          </cell>
          <cell r="Y1073" t="str">
            <v>Mazumdar Shaw Medical Centre, Bangalore</v>
          </cell>
          <cell r="Z1073" t="str">
            <v>Dr Vijay Pillai, Bangalore</v>
          </cell>
          <cell r="AA1073" t="str">
            <v>HNSCC</v>
          </cell>
          <cell r="AC1073" t="str">
            <v>Buccal Mucosa</v>
          </cell>
          <cell r="AD1073" t="str">
            <v>Buccal Mucosa</v>
          </cell>
          <cell r="AE1073" t="str">
            <v>Male</v>
          </cell>
          <cell r="AF1073">
            <v>47</v>
          </cell>
          <cell r="AG1073" t="str">
            <v>N</v>
          </cell>
          <cell r="AH1073">
            <v>4.5999999999999996</v>
          </cell>
          <cell r="AI1073" t="str">
            <v>Shashi</v>
          </cell>
          <cell r="AJ1073" t="str">
            <v>Surgery</v>
          </cell>
          <cell r="AK1073" t="str">
            <v>Primary</v>
          </cell>
          <cell r="AL1073" t="str">
            <v>Chemotherapy</v>
          </cell>
          <cell r="AN1073" t="str">
            <v>IV</v>
          </cell>
          <cell r="AO1073">
            <v>3</v>
          </cell>
          <cell r="AP1073" t="str">
            <v>ypT4b ypN2B</v>
          </cell>
          <cell r="AQ1073">
            <v>3</v>
          </cell>
          <cell r="AR1073" t="str">
            <v>NACT (Pacli+carbo+5FU)</v>
          </cell>
          <cell r="AS1073" t="str">
            <v>Residual poorly differentiated  Squamous cell carcinoma</v>
          </cell>
          <cell r="AV1073">
            <v>45492</v>
          </cell>
          <cell r="AW1073">
            <v>0.6875</v>
          </cell>
          <cell r="AX1073">
            <v>0.79513888888888884</v>
          </cell>
          <cell r="AY1073">
            <v>0.1076388888888889</v>
          </cell>
          <cell r="AZ1073">
            <v>0.7319444444444444</v>
          </cell>
          <cell r="BA1073">
            <v>0.18055555555555555</v>
          </cell>
          <cell r="BB1073" t="str">
            <v>0.8-1.0*1.3*2.1</v>
          </cell>
          <cell r="BC1073" t="str">
            <v>0.8*1.6*1.2</v>
          </cell>
          <cell r="BD1073" t="str">
            <v>Vibratome</v>
          </cell>
          <cell r="BE1073">
            <v>15</v>
          </cell>
          <cell r="BF1073" t="str">
            <v>Syam</v>
          </cell>
          <cell r="BG1073" t="str">
            <v>N</v>
          </cell>
        </row>
        <row r="1074">
          <cell r="A1074" t="str">
            <v>FBR1C240210</v>
          </cell>
          <cell r="B1074">
            <v>240210</v>
          </cell>
          <cell r="C1074" t="str">
            <v>R&amp;D</v>
          </cell>
          <cell r="D1074">
            <v>45492</v>
          </cell>
          <cell r="E1074">
            <v>0.45833333333333331</v>
          </cell>
          <cell r="F1074">
            <v>45474</v>
          </cell>
          <cell r="G1074">
            <v>45492</v>
          </cell>
          <cell r="H1074">
            <v>0.71527777777777779</v>
          </cell>
          <cell r="I1074">
            <v>0.25694444444444442</v>
          </cell>
          <cell r="J1074">
            <v>10</v>
          </cell>
          <cell r="K1074" t="str">
            <v>FCB-PROTOCOL-01</v>
          </cell>
          <cell r="L1074" t="str">
            <v>JSS-020</v>
          </cell>
          <cell r="M1074" t="str">
            <v>Y</v>
          </cell>
          <cell r="N1074" t="str">
            <v>Cul Imp (1C)</v>
          </cell>
          <cell r="O1074" t="str">
            <v>Internal R&amp;D</v>
          </cell>
          <cell r="P1074" t="str">
            <v>Q1 Passed</v>
          </cell>
          <cell r="Q1074" t="str">
            <v>Q1 Rejected</v>
          </cell>
          <cell r="R1074" t="str">
            <v>Compromised</v>
          </cell>
          <cell r="S1074" t="str">
            <v>Q1.5 Rejected</v>
          </cell>
          <cell r="T1074" t="str">
            <v>Blood Heamolysed</v>
          </cell>
          <cell r="V1074" t="str">
            <v>Tumor content 0-12%.Average tumor content 4%</v>
          </cell>
          <cell r="W1074" t="str">
            <v>Private Hospital</v>
          </cell>
          <cell r="X1074" t="str">
            <v>Clinic'les- Dr Ravi Krishnappa, Mysore</v>
          </cell>
          <cell r="Y1074" t="str">
            <v>JSS Hospital, Mysore</v>
          </cell>
          <cell r="Z1074" t="str">
            <v>Dr Ravi Krishnappa, Mysore</v>
          </cell>
          <cell r="AA1074" t="str">
            <v>Ca Ovary</v>
          </cell>
          <cell r="AC1074" t="str">
            <v>Peritoneal</v>
          </cell>
          <cell r="AD1074" t="str">
            <v>Peritoneal deposit</v>
          </cell>
          <cell r="AE1074" t="str">
            <v>Female</v>
          </cell>
          <cell r="AF1074">
            <v>55</v>
          </cell>
          <cell r="AG1074" t="str">
            <v>N</v>
          </cell>
          <cell r="AH1074">
            <v>5.8</v>
          </cell>
          <cell r="AI1074" t="str">
            <v>Kalappa</v>
          </cell>
          <cell r="AJ1074" t="str">
            <v>Surgery</v>
          </cell>
          <cell r="AK1074" t="str">
            <v>Metastatic</v>
          </cell>
          <cell r="AL1074" t="str">
            <v>Chemotherapy</v>
          </cell>
          <cell r="AP1074" t="str">
            <v>N3CM1</v>
          </cell>
          <cell r="AQ1074">
            <v>6</v>
          </cell>
          <cell r="AR1074" t="str">
            <v>Paclitaxel + Carboplatin</v>
          </cell>
          <cell r="AV1074">
            <v>45492</v>
          </cell>
          <cell r="AW1074">
            <v>0.72083333333333333</v>
          </cell>
          <cell r="AX1074">
            <v>0.78263888888888888</v>
          </cell>
          <cell r="AY1074">
            <v>6.1805555555555558E-2</v>
          </cell>
          <cell r="AZ1074">
            <v>0.52569444444444446</v>
          </cell>
          <cell r="BA1074">
            <v>0.32430555555555557</v>
          </cell>
          <cell r="BB1074" t="str">
            <v>0.8-1.2*2.6-4.8*3.2-5.0</v>
          </cell>
          <cell r="BD1074" t="str">
            <v>Manual</v>
          </cell>
          <cell r="BE1074">
            <v>15</v>
          </cell>
          <cell r="BF1074" t="str">
            <v xml:space="preserve">sai </v>
          </cell>
          <cell r="BG1074" t="str">
            <v>N</v>
          </cell>
        </row>
        <row r="1075">
          <cell r="A1075" t="str">
            <v>FBR2O240211</v>
          </cell>
          <cell r="B1075">
            <v>240211</v>
          </cell>
          <cell r="C1075" t="str">
            <v>R&amp;D</v>
          </cell>
          <cell r="D1075">
            <v>45495</v>
          </cell>
          <cell r="E1075">
            <v>0.39305555555555555</v>
          </cell>
          <cell r="F1075">
            <v>45474</v>
          </cell>
          <cell r="G1075">
            <v>45495</v>
          </cell>
          <cell r="H1075">
            <v>0.5</v>
          </cell>
          <cell r="I1075">
            <v>0.10694444444444444</v>
          </cell>
          <cell r="J1075">
            <v>1</v>
          </cell>
          <cell r="K1075" t="str">
            <v>FCB-PROTOCOL-02</v>
          </cell>
          <cell r="L1075" t="str">
            <v>RC061</v>
          </cell>
          <cell r="M1075" t="str">
            <v>Y</v>
          </cell>
          <cell r="N1075" t="str">
            <v>Prostate Biopsy (2O)</v>
          </cell>
          <cell r="O1075" t="str">
            <v>Internal R&amp;D</v>
          </cell>
          <cell r="P1075" t="str">
            <v>Q1 Passed</v>
          </cell>
          <cell r="Q1075" t="str">
            <v>Not Received</v>
          </cell>
          <cell r="R1075" t="str">
            <v>Compromised</v>
          </cell>
          <cell r="S1075" t="str">
            <v>Q1.5 Passed</v>
          </cell>
          <cell r="V1075" t="str">
            <v>Tumor content 0-65%. Average tumor content 35%</v>
          </cell>
          <cell r="W1075" t="str">
            <v>Private Hospital</v>
          </cell>
          <cell r="X1075" t="str">
            <v>Mazumdar Shaw Medical Centre, Bangalore</v>
          </cell>
          <cell r="Y1075" t="str">
            <v>Mazumdar Shaw Medical Centre, Bangalore</v>
          </cell>
          <cell r="Z1075" t="str">
            <v>Dr Saurabh Bhargav, Bangalore</v>
          </cell>
          <cell r="AA1075" t="str">
            <v>Prostate</v>
          </cell>
          <cell r="AC1075" t="str">
            <v>Prostate</v>
          </cell>
          <cell r="AD1075" t="str">
            <v>Anterior transition zone on left side apex</v>
          </cell>
          <cell r="AE1075" t="str">
            <v>Male</v>
          </cell>
          <cell r="AF1075">
            <v>50</v>
          </cell>
          <cell r="AG1075" t="str">
            <v>N</v>
          </cell>
          <cell r="AH1075">
            <v>4.8</v>
          </cell>
          <cell r="AI1075" t="str">
            <v>Kalappa</v>
          </cell>
          <cell r="AJ1075" t="str">
            <v>Biopsy</v>
          </cell>
          <cell r="AK1075" t="str">
            <v>Primary</v>
          </cell>
          <cell r="AN1075" t="str">
            <v>NA</v>
          </cell>
          <cell r="AO1075">
            <v>4</v>
          </cell>
          <cell r="AP1075" t="str">
            <v xml:space="preserve">NA </v>
          </cell>
          <cell r="AQ1075" t="str">
            <v>NA</v>
          </cell>
          <cell r="AS1075" t="str">
            <v xml:space="preserve">Acinar adenocarcinoma </v>
          </cell>
          <cell r="AV1075">
            <v>45495</v>
          </cell>
          <cell r="AW1075">
            <v>0.51736111111111116</v>
          </cell>
          <cell r="AX1075">
            <v>0.5541666666666667</v>
          </cell>
          <cell r="AY1075">
            <v>3.6805555555555557E-2</v>
          </cell>
          <cell r="AZ1075">
            <v>0.44722222222222224</v>
          </cell>
          <cell r="BA1075">
            <v>0.16111111111111112</v>
          </cell>
          <cell r="BB1075" t="str">
            <v>2 Cores
20. 22</v>
          </cell>
          <cell r="BD1075" t="str">
            <v>Manual</v>
          </cell>
          <cell r="BE1075">
            <v>15</v>
          </cell>
          <cell r="BF1075" t="str">
            <v>Biswajit</v>
          </cell>
          <cell r="BG1075" t="str">
            <v>N</v>
          </cell>
        </row>
        <row r="1076">
          <cell r="A1076" t="str">
            <v>FBR1C240212</v>
          </cell>
          <cell r="B1076">
            <v>240212</v>
          </cell>
          <cell r="C1076" t="str">
            <v>R&amp;D</v>
          </cell>
          <cell r="D1076">
            <v>45495</v>
          </cell>
          <cell r="E1076">
            <v>0.60416666666666663</v>
          </cell>
          <cell r="F1076">
            <v>45474</v>
          </cell>
          <cell r="G1076">
            <v>45495</v>
          </cell>
          <cell r="H1076">
            <v>0.69861111111111107</v>
          </cell>
          <cell r="I1076">
            <v>9.4444444444444442E-2</v>
          </cell>
          <cell r="J1076">
            <v>8</v>
          </cell>
          <cell r="K1076" t="str">
            <v>FCB-PROTOCOL-02</v>
          </cell>
          <cell r="L1076" t="str">
            <v>RC062</v>
          </cell>
          <cell r="M1076" t="str">
            <v>Y</v>
          </cell>
          <cell r="N1076" t="str">
            <v>Cul Imp (1C)</v>
          </cell>
          <cell r="O1076" t="str">
            <v>Internal R&amp;D</v>
          </cell>
          <cell r="P1076" t="str">
            <v>Q1 Passed</v>
          </cell>
          <cell r="Q1076" t="str">
            <v>Q1 Rejected</v>
          </cell>
          <cell r="R1076" t="str">
            <v>Compromised</v>
          </cell>
          <cell r="S1076" t="str">
            <v>Q1.5 Passed</v>
          </cell>
          <cell r="T1076" t="str">
            <v>Blood Clotted</v>
          </cell>
          <cell r="V1076" t="str">
            <v>Tumor content 0-85%. Tumor in only 2 fragments .Average tumor content 24%</v>
          </cell>
          <cell r="W1076" t="str">
            <v>Private Hospital</v>
          </cell>
          <cell r="X1076" t="str">
            <v>Mazumdar Shaw Medical Centre, Bangalore</v>
          </cell>
          <cell r="Y1076" t="str">
            <v>Mazumdar Shaw Medical Centre, Bangalore</v>
          </cell>
          <cell r="Z1076" t="str">
            <v>Dr Saurabh Bhargav, Bangalore</v>
          </cell>
          <cell r="AA1076" t="str">
            <v>RCC</v>
          </cell>
          <cell r="AC1076" t="str">
            <v>Renal Mass</v>
          </cell>
          <cell r="AD1076" t="str">
            <v>Left Renal Mass</v>
          </cell>
          <cell r="AE1076" t="str">
            <v>Male</v>
          </cell>
          <cell r="AF1076">
            <v>53</v>
          </cell>
          <cell r="AG1076" t="str">
            <v>N</v>
          </cell>
          <cell r="AH1076">
            <v>4.5</v>
          </cell>
          <cell r="AI1076" t="str">
            <v>Maruthi</v>
          </cell>
          <cell r="AJ1076" t="str">
            <v>Surgery</v>
          </cell>
          <cell r="AK1076" t="str">
            <v>Primary</v>
          </cell>
          <cell r="AN1076" t="str">
            <v>I</v>
          </cell>
          <cell r="AO1076" t="str">
            <v>1A</v>
          </cell>
          <cell r="AP1076" t="str">
            <v>pT1a</v>
          </cell>
          <cell r="AS1076" t="str">
            <v>Clear cell renal  carcinoma</v>
          </cell>
          <cell r="AV1076">
            <v>45495</v>
          </cell>
          <cell r="AW1076">
            <v>0.71736111111111112</v>
          </cell>
          <cell r="AX1076">
            <v>0.7631944444444444</v>
          </cell>
          <cell r="AY1076">
            <v>4.583333333333333E-2</v>
          </cell>
          <cell r="AZ1076">
            <v>0.66874999999999996</v>
          </cell>
          <cell r="BA1076">
            <v>0.15902777777777777</v>
          </cell>
          <cell r="BB1076" t="str">
            <v>0.3-0.4*0.4*0.7
0.2-0.3*0.6*1.0
0.2*0.3-0.4*1.2</v>
          </cell>
          <cell r="BD1076" t="str">
            <v>Manual</v>
          </cell>
          <cell r="BE1076">
            <v>15</v>
          </cell>
          <cell r="BF1076" t="str">
            <v>Abdul</v>
          </cell>
          <cell r="BG1076" t="str">
            <v>N</v>
          </cell>
        </row>
        <row r="1077">
          <cell r="A1077" t="str">
            <v>FBR1C240213</v>
          </cell>
          <cell r="B1077">
            <v>240213</v>
          </cell>
          <cell r="C1077" t="str">
            <v>R&amp;D</v>
          </cell>
          <cell r="D1077">
            <v>45496</v>
          </cell>
          <cell r="E1077">
            <v>0.4597222222222222</v>
          </cell>
          <cell r="F1077">
            <v>45474</v>
          </cell>
          <cell r="G1077">
            <v>45496</v>
          </cell>
          <cell r="H1077">
            <v>0.61458333333333337</v>
          </cell>
          <cell r="I1077">
            <v>0.15486111111111112</v>
          </cell>
          <cell r="J1077">
            <v>2</v>
          </cell>
          <cell r="K1077" t="str">
            <v>FCB-PROTOCOL-01</v>
          </cell>
          <cell r="L1077" t="str">
            <v>VYD/294</v>
          </cell>
          <cell r="M1077" t="str">
            <v>Y</v>
          </cell>
          <cell r="N1077" t="str">
            <v>Cul Imp (1C)</v>
          </cell>
          <cell r="O1077" t="str">
            <v>Internal R&amp;D</v>
          </cell>
          <cell r="P1077" t="str">
            <v>Q1 Passed</v>
          </cell>
          <cell r="Q1077" t="str">
            <v>Q1 Passed</v>
          </cell>
          <cell r="R1077" t="str">
            <v>Q1.5 Passed</v>
          </cell>
          <cell r="S1077" t="str">
            <v>Q1.5 Passed</v>
          </cell>
          <cell r="V1077" t="str">
            <v>Tumor content 0-60%. Average tumor content 18%</v>
          </cell>
          <cell r="W1077" t="str">
            <v>Private Hospital</v>
          </cell>
          <cell r="X1077" t="str">
            <v>Vydehi Hospital, Bangalore</v>
          </cell>
          <cell r="Y1077" t="str">
            <v>Vydehi Hospital, Bangalore</v>
          </cell>
          <cell r="Z1077" t="str">
            <v>Dr Amritha Prabha, Bangalore</v>
          </cell>
          <cell r="AA1077" t="str">
            <v>HNSCC</v>
          </cell>
          <cell r="AC1077" t="str">
            <v>Maxilla</v>
          </cell>
          <cell r="AD1077" t="str">
            <v>Left Maxilla</v>
          </cell>
          <cell r="AE1077" t="str">
            <v>Female</v>
          </cell>
          <cell r="AF1077">
            <v>61</v>
          </cell>
          <cell r="AG1077" t="str">
            <v>N</v>
          </cell>
          <cell r="AH1077">
            <v>4.3</v>
          </cell>
          <cell r="AI1077" t="str">
            <v>Kalappa</v>
          </cell>
          <cell r="AJ1077" t="str">
            <v>Surgery</v>
          </cell>
          <cell r="AK1077" t="str">
            <v>Primary</v>
          </cell>
          <cell r="AN1077" t="str">
            <v>IV</v>
          </cell>
          <cell r="AO1077">
            <v>2</v>
          </cell>
          <cell r="AP1077" t="str">
            <v>pT4aN1</v>
          </cell>
          <cell r="AT1077" t="str">
            <v>RT</v>
          </cell>
          <cell r="AV1077">
            <v>45496</v>
          </cell>
          <cell r="AW1077">
            <v>0.63749999999999996</v>
          </cell>
          <cell r="AX1077">
            <v>0.7055555555555556</v>
          </cell>
          <cell r="AY1077">
            <v>6.805555555555555E-2</v>
          </cell>
          <cell r="AZ1077">
            <v>0.55069444444444449</v>
          </cell>
          <cell r="BA1077">
            <v>0.24583333333333332</v>
          </cell>
          <cell r="BB1077" t="str">
            <v>0.6*0.4-0.6*0.8-1.2
0.8*0.8-1.0*1.0-1.4</v>
          </cell>
          <cell r="BD1077" t="str">
            <v>Manual</v>
          </cell>
          <cell r="BE1077">
            <v>15</v>
          </cell>
          <cell r="BF1077" t="str">
            <v>Pallavi</v>
          </cell>
          <cell r="BG1077" t="str">
            <v>Y</v>
          </cell>
        </row>
        <row r="1078">
          <cell r="A1078" t="str">
            <v>FBR1Y240213</v>
          </cell>
          <cell r="B1078">
            <v>240213</v>
          </cell>
          <cell r="C1078" t="str">
            <v>R&amp;D</v>
          </cell>
          <cell r="D1078">
            <v>45496</v>
          </cell>
          <cell r="E1078">
            <v>0.4597222222222222</v>
          </cell>
          <cell r="F1078">
            <v>45474</v>
          </cell>
          <cell r="G1078">
            <v>45496</v>
          </cell>
          <cell r="H1078">
            <v>0.61458333333333337</v>
          </cell>
          <cell r="I1078">
            <v>0.15486111111111112</v>
          </cell>
          <cell r="J1078">
            <v>2</v>
          </cell>
          <cell r="K1078" t="str">
            <v>FCB-PROTOCOL-01</v>
          </cell>
          <cell r="L1078" t="str">
            <v>VYD/294</v>
          </cell>
          <cell r="M1078" t="str">
            <v>Y</v>
          </cell>
          <cell r="N1078" t="str">
            <v>CCS Study (1Y)</v>
          </cell>
          <cell r="O1078" t="str">
            <v>Internal R&amp;D</v>
          </cell>
          <cell r="P1078" t="str">
            <v>Q1 Passed</v>
          </cell>
          <cell r="Q1078" t="str">
            <v>Q1 Passed</v>
          </cell>
          <cell r="R1078" t="str">
            <v>Q1.5 Passed</v>
          </cell>
          <cell r="S1078" t="str">
            <v>Q1.5 Passed</v>
          </cell>
          <cell r="V1078" t="str">
            <v>Tumor content 0-60%. Average tumor content 18%</v>
          </cell>
          <cell r="W1078" t="str">
            <v>Private Hospital</v>
          </cell>
          <cell r="X1078" t="str">
            <v>Vydehi Hospital, Bangalore</v>
          </cell>
          <cell r="Y1078" t="str">
            <v>Vydehi Hospital, Bangalore</v>
          </cell>
          <cell r="Z1078" t="str">
            <v>Dr Amritha Prabha, Bangalore</v>
          </cell>
          <cell r="AA1078" t="str">
            <v>HNSCC</v>
          </cell>
          <cell r="AC1078" t="str">
            <v>Maxilla</v>
          </cell>
          <cell r="AD1078" t="str">
            <v>Left Maxilla</v>
          </cell>
          <cell r="AE1078" t="str">
            <v>Female</v>
          </cell>
          <cell r="AF1078">
            <v>61</v>
          </cell>
          <cell r="AG1078" t="str">
            <v>N</v>
          </cell>
          <cell r="AH1078">
            <v>4.3</v>
          </cell>
          <cell r="AI1078" t="str">
            <v>Kalappa</v>
          </cell>
          <cell r="AJ1078" t="str">
            <v>Surgery</v>
          </cell>
          <cell r="AK1078" t="str">
            <v>Primary</v>
          </cell>
          <cell r="AN1078" t="str">
            <v>IV</v>
          </cell>
          <cell r="AO1078">
            <v>2</v>
          </cell>
          <cell r="AP1078" t="str">
            <v>pT4aN1</v>
          </cell>
          <cell r="AT1078" t="str">
            <v>RT</v>
          </cell>
          <cell r="AV1078">
            <v>45496</v>
          </cell>
          <cell r="AW1078">
            <v>0.63749999999999996</v>
          </cell>
          <cell r="AX1078">
            <v>0.7055555555555556</v>
          </cell>
          <cell r="AY1078">
            <v>6.805555555555555E-2</v>
          </cell>
          <cell r="AZ1078">
            <v>0.55069444444444449</v>
          </cell>
          <cell r="BA1078">
            <v>0.24583333333333332</v>
          </cell>
          <cell r="BB1078" t="str">
            <v>0.6*0.4-0.6*0.8-1.2
0.8*0.8-1.0*1.0-1.4</v>
          </cell>
          <cell r="BD1078" t="str">
            <v>Manual</v>
          </cell>
          <cell r="BE1078">
            <v>15</v>
          </cell>
          <cell r="BF1078" t="str">
            <v>Pallavi</v>
          </cell>
          <cell r="BG1078" t="str">
            <v>Y</v>
          </cell>
        </row>
        <row r="1079">
          <cell r="A1079" t="str">
            <v>FBR1C240214</v>
          </cell>
          <cell r="B1079">
            <v>240214</v>
          </cell>
          <cell r="C1079" t="str">
            <v>R&amp;D</v>
          </cell>
          <cell r="D1079">
            <v>45496</v>
          </cell>
          <cell r="E1079">
            <v>0.57499999999999996</v>
          </cell>
          <cell r="F1079">
            <v>45474</v>
          </cell>
          <cell r="G1079">
            <v>45496</v>
          </cell>
          <cell r="H1079">
            <v>0.66111111111111109</v>
          </cell>
          <cell r="I1079">
            <v>8.611111111111111E-2</v>
          </cell>
          <cell r="J1079">
            <v>12</v>
          </cell>
          <cell r="K1079" t="str">
            <v>FCB-PROTOCOL-02</v>
          </cell>
          <cell r="L1079" t="str">
            <v>HN160</v>
          </cell>
          <cell r="M1079" t="str">
            <v>Y</v>
          </cell>
          <cell r="N1079" t="str">
            <v>Cul Imp (1C)</v>
          </cell>
          <cell r="O1079" t="str">
            <v>Internal R&amp;D</v>
          </cell>
          <cell r="P1079" t="str">
            <v>Q1 Passed</v>
          </cell>
          <cell r="Q1079" t="str">
            <v>Not Received</v>
          </cell>
          <cell r="R1079" t="str">
            <v>Compromised</v>
          </cell>
          <cell r="S1079" t="str">
            <v>Q1.5 Passed</v>
          </cell>
          <cell r="V1079" t="str">
            <v>Tumor content 70-95%</v>
          </cell>
          <cell r="W1079" t="str">
            <v>Private Hospital</v>
          </cell>
          <cell r="X1079" t="str">
            <v>Mazumdar Shaw Medical Centre, Bangalore</v>
          </cell>
          <cell r="Y1079" t="str">
            <v>Mazumdar Shaw Medical Centre, Bangalore</v>
          </cell>
          <cell r="Z1079" t="str">
            <v>Dr Vijay Pillai, Bangalore</v>
          </cell>
          <cell r="AA1079" t="str">
            <v>HNSCC</v>
          </cell>
          <cell r="AC1079" t="str">
            <v>Buccal Mucosa</v>
          </cell>
          <cell r="AD1079" t="str">
            <v>Right Buccal Mucosa</v>
          </cell>
          <cell r="AE1079" t="str">
            <v>Male</v>
          </cell>
          <cell r="AF1079">
            <v>45</v>
          </cell>
          <cell r="AG1079" t="str">
            <v>N</v>
          </cell>
          <cell r="AH1079">
            <v>4.5999999999999996</v>
          </cell>
          <cell r="AI1079" t="str">
            <v>Shashi</v>
          </cell>
          <cell r="AJ1079" t="str">
            <v>Surgery</v>
          </cell>
          <cell r="AK1079" t="str">
            <v>Primary</v>
          </cell>
          <cell r="AL1079" t="str">
            <v>Chemotherapy</v>
          </cell>
          <cell r="AN1079" t="str">
            <v>IV</v>
          </cell>
          <cell r="AO1079">
            <v>2</v>
          </cell>
          <cell r="AP1079" t="str">
            <v>pT4b pN0</v>
          </cell>
          <cell r="AQ1079">
            <v>3</v>
          </cell>
          <cell r="AR1079" t="str">
            <v>TPF</v>
          </cell>
          <cell r="AS1079" t="str">
            <v>MDSCC(Moderately Differentiated Squamous cell carcinoma)</v>
          </cell>
          <cell r="AV1079">
            <v>45496</v>
          </cell>
          <cell r="AW1079">
            <v>0.6743055555555556</v>
          </cell>
          <cell r="AX1079">
            <v>0.74791666666666667</v>
          </cell>
          <cell r="AY1079">
            <v>7.3611111111111113E-2</v>
          </cell>
          <cell r="AZ1079">
            <v>0.66180555555555554</v>
          </cell>
          <cell r="BA1079">
            <v>0.17291666666666666</v>
          </cell>
          <cell r="BB1079" t="str">
            <v>0.8/0.6*1.2*1.5</v>
          </cell>
          <cell r="BD1079" t="str">
            <v>Vibratome</v>
          </cell>
          <cell r="BE1079">
            <v>15</v>
          </cell>
          <cell r="BF1079" t="str">
            <v>Dharani</v>
          </cell>
          <cell r="BG1079" t="str">
            <v>N</v>
          </cell>
        </row>
        <row r="1080">
          <cell r="A1080" t="str">
            <v>FBR1Y240214</v>
          </cell>
          <cell r="B1080">
            <v>240214</v>
          </cell>
          <cell r="C1080" t="str">
            <v>R&amp;D</v>
          </cell>
          <cell r="D1080">
            <v>45496</v>
          </cell>
          <cell r="E1080">
            <v>0.57499999999999996</v>
          </cell>
          <cell r="F1080">
            <v>45474</v>
          </cell>
          <cell r="G1080">
            <v>45496</v>
          </cell>
          <cell r="H1080">
            <v>0.66111111111111109</v>
          </cell>
          <cell r="I1080">
            <v>8.611111111111111E-2</v>
          </cell>
          <cell r="J1080">
            <v>12</v>
          </cell>
          <cell r="K1080" t="str">
            <v>FCB-PROTOCOL-02</v>
          </cell>
          <cell r="L1080" t="str">
            <v>HN160</v>
          </cell>
          <cell r="M1080" t="str">
            <v>Y</v>
          </cell>
          <cell r="N1080" t="str">
            <v>CCS Study (1Y)</v>
          </cell>
          <cell r="O1080" t="str">
            <v>Internal R&amp;D</v>
          </cell>
          <cell r="P1080" t="str">
            <v>Q1 Passed</v>
          </cell>
          <cell r="Q1080" t="str">
            <v>Not Received</v>
          </cell>
          <cell r="R1080" t="str">
            <v>Compromised</v>
          </cell>
          <cell r="S1080" t="str">
            <v>Q1.5 Passed</v>
          </cell>
          <cell r="V1080" t="str">
            <v>Tumor content 70-95%</v>
          </cell>
          <cell r="W1080" t="str">
            <v>Private Hospital</v>
          </cell>
          <cell r="X1080" t="str">
            <v>Mazumdar Shaw Medical Centre, Bangalore</v>
          </cell>
          <cell r="Y1080" t="str">
            <v>Mazumdar Shaw Medical Centre, Bangalore</v>
          </cell>
          <cell r="Z1080" t="str">
            <v>Dr Vijay Pillai, Bangalore</v>
          </cell>
          <cell r="AA1080" t="str">
            <v>HNSCC</v>
          </cell>
          <cell r="AC1080" t="str">
            <v>Buccal Mucosa</v>
          </cell>
          <cell r="AD1080" t="str">
            <v>Right Buccal Mucosa</v>
          </cell>
          <cell r="AE1080" t="str">
            <v>Male</v>
          </cell>
          <cell r="AF1080">
            <v>45</v>
          </cell>
          <cell r="AG1080" t="str">
            <v>N</v>
          </cell>
          <cell r="AH1080">
            <v>4.5999999999999996</v>
          </cell>
          <cell r="AI1080" t="str">
            <v>Shashi</v>
          </cell>
          <cell r="AJ1080" t="str">
            <v>Surgery</v>
          </cell>
          <cell r="AK1080" t="str">
            <v>Primary</v>
          </cell>
          <cell r="AL1080" t="str">
            <v>Chemotherapy</v>
          </cell>
          <cell r="AN1080" t="str">
            <v>IV</v>
          </cell>
          <cell r="AO1080">
            <v>2</v>
          </cell>
          <cell r="AP1080" t="str">
            <v>pT4b pN0</v>
          </cell>
          <cell r="AQ1080">
            <v>3</v>
          </cell>
          <cell r="AR1080" t="str">
            <v>TPF</v>
          </cell>
          <cell r="AS1080" t="str">
            <v>MDSCC(Moderately Differentiated Squamous cell carcinoma)</v>
          </cell>
          <cell r="AV1080">
            <v>45496</v>
          </cell>
          <cell r="AW1080">
            <v>0.6743055555555556</v>
          </cell>
          <cell r="AX1080">
            <v>0.74791666666666667</v>
          </cell>
          <cell r="AY1080">
            <v>7.3611111111111113E-2</v>
          </cell>
          <cell r="AZ1080">
            <v>0.66180555555555554</v>
          </cell>
          <cell r="BA1080">
            <v>0.17291666666666666</v>
          </cell>
          <cell r="BB1080" t="str">
            <v>0.8/0.6*1.2*1.5</v>
          </cell>
          <cell r="BD1080" t="str">
            <v>Vibratome</v>
          </cell>
          <cell r="BE1080">
            <v>15</v>
          </cell>
          <cell r="BF1080" t="str">
            <v>Dharani</v>
          </cell>
          <cell r="BG1080" t="str">
            <v>N</v>
          </cell>
        </row>
        <row r="1081">
          <cell r="A1081" t="str">
            <v>FBR1C240215</v>
          </cell>
          <cell r="B1081">
            <v>240215</v>
          </cell>
          <cell r="C1081" t="str">
            <v>R&amp;D</v>
          </cell>
          <cell r="D1081">
            <v>45497</v>
          </cell>
          <cell r="E1081">
            <v>0.51736111111111116</v>
          </cell>
          <cell r="F1081">
            <v>45474</v>
          </cell>
          <cell r="G1081">
            <v>45497</v>
          </cell>
          <cell r="H1081">
            <v>0.6</v>
          </cell>
          <cell r="I1081">
            <v>8.2638888888888887E-2</v>
          </cell>
          <cell r="J1081">
            <v>2</v>
          </cell>
          <cell r="K1081" t="str">
            <v>FCB-PROTOCOL-01</v>
          </cell>
          <cell r="L1081" t="str">
            <v>VYD/295</v>
          </cell>
          <cell r="M1081" t="str">
            <v>Y</v>
          </cell>
          <cell r="N1081" t="str">
            <v>Cul Imp (1C)</v>
          </cell>
          <cell r="O1081" t="str">
            <v>Internal R&amp;D</v>
          </cell>
          <cell r="P1081" t="str">
            <v>Q1 Passed</v>
          </cell>
          <cell r="Q1081" t="str">
            <v>Q1 Passed</v>
          </cell>
          <cell r="R1081" t="str">
            <v>Q1.5 Passed</v>
          </cell>
          <cell r="S1081" t="str">
            <v>Q1.5 Passed</v>
          </cell>
          <cell r="V1081" t="str">
            <v>Tumor content 10-40%</v>
          </cell>
          <cell r="W1081" t="str">
            <v>Private Hospital</v>
          </cell>
          <cell r="X1081" t="str">
            <v>Vydehi Hospital, Bangalore</v>
          </cell>
          <cell r="Y1081" t="str">
            <v>Vydehi Hospital, Bangalore</v>
          </cell>
          <cell r="Z1081" t="str">
            <v>Dr Amritha Prabha, Bangalore</v>
          </cell>
          <cell r="AA1081" t="str">
            <v>HNSCC</v>
          </cell>
          <cell r="AC1081" t="str">
            <v>Buccal Mucosa &amp; Alveolus</v>
          </cell>
          <cell r="AD1081" t="str">
            <v>Buccal Mucosa &amp; Upper Alveolus</v>
          </cell>
          <cell r="AE1081" t="str">
            <v>Female</v>
          </cell>
          <cell r="AF1081">
            <v>61</v>
          </cell>
          <cell r="AG1081" t="str">
            <v>N</v>
          </cell>
          <cell r="AH1081">
            <v>4.3</v>
          </cell>
          <cell r="AI1081" t="str">
            <v>Maruthi</v>
          </cell>
          <cell r="AJ1081" t="str">
            <v>Surgery</v>
          </cell>
          <cell r="AK1081" t="str">
            <v>Primary</v>
          </cell>
          <cell r="AN1081" t="str">
            <v>IVa</v>
          </cell>
          <cell r="AO1081">
            <v>2</v>
          </cell>
          <cell r="AP1081" t="str">
            <v>pT4aN0</v>
          </cell>
          <cell r="AT1081" t="str">
            <v>RT</v>
          </cell>
          <cell r="AV1081">
            <v>45497</v>
          </cell>
          <cell r="AW1081">
            <v>0.61736111111111114</v>
          </cell>
          <cell r="AX1081">
            <v>0.70138888888888884</v>
          </cell>
          <cell r="AY1081">
            <v>8.4027777777777785E-2</v>
          </cell>
          <cell r="AZ1081">
            <v>0.61875000000000002</v>
          </cell>
          <cell r="BA1081">
            <v>0.18402777777777779</v>
          </cell>
          <cell r="BB1081" t="str">
            <v>0.4-0.6*0.5-0.6*1.2-1.8</v>
          </cell>
          <cell r="BD1081" t="str">
            <v>Vibratome</v>
          </cell>
          <cell r="BE1081">
            <v>15</v>
          </cell>
          <cell r="BF1081" t="str">
            <v xml:space="preserve">sai </v>
          </cell>
          <cell r="BG1081" t="str">
            <v>Y</v>
          </cell>
        </row>
        <row r="1082">
          <cell r="A1082" t="str">
            <v>FBR1Y240215</v>
          </cell>
          <cell r="B1082">
            <v>240215</v>
          </cell>
          <cell r="C1082" t="str">
            <v>R&amp;D</v>
          </cell>
          <cell r="D1082">
            <v>45497</v>
          </cell>
          <cell r="E1082">
            <v>0.51736111111111116</v>
          </cell>
          <cell r="F1082">
            <v>45474</v>
          </cell>
          <cell r="G1082">
            <v>45497</v>
          </cell>
          <cell r="H1082">
            <v>0.6</v>
          </cell>
          <cell r="I1082">
            <v>8.2638888888888887E-2</v>
          </cell>
          <cell r="J1082">
            <v>2</v>
          </cell>
          <cell r="K1082" t="str">
            <v>FCB-PROTOCOL-01</v>
          </cell>
          <cell r="L1082" t="str">
            <v>VYD/295</v>
          </cell>
          <cell r="M1082" t="str">
            <v>Y</v>
          </cell>
          <cell r="N1082" t="str">
            <v>CCS Study (1Y)</v>
          </cell>
          <cell r="O1082" t="str">
            <v>Internal R&amp;D</v>
          </cell>
          <cell r="P1082" t="str">
            <v>Q1 Passed</v>
          </cell>
          <cell r="Q1082" t="str">
            <v>Q1 Passed</v>
          </cell>
          <cell r="R1082" t="str">
            <v>Q1.5 Passed</v>
          </cell>
          <cell r="S1082" t="str">
            <v>Q1.5 Passed</v>
          </cell>
          <cell r="W1082" t="str">
            <v>Private Hospital</v>
          </cell>
          <cell r="X1082" t="str">
            <v>Vydehi Hospital, Bangalore</v>
          </cell>
          <cell r="Y1082" t="str">
            <v>Vydehi Hospital, Bangalore</v>
          </cell>
          <cell r="Z1082" t="str">
            <v>Dr Amritha Prabha, Bangalore</v>
          </cell>
          <cell r="AA1082" t="str">
            <v>HNSCC</v>
          </cell>
          <cell r="AC1082" t="str">
            <v>Buccal Mucosa &amp; Alveolus</v>
          </cell>
          <cell r="AD1082" t="str">
            <v>Buccal Mucosa &amp; Upper Alveolus</v>
          </cell>
          <cell r="AE1082" t="str">
            <v>Female</v>
          </cell>
          <cell r="AF1082">
            <v>61</v>
          </cell>
          <cell r="AG1082" t="str">
            <v>N</v>
          </cell>
          <cell r="AH1082">
            <v>4.3</v>
          </cell>
          <cell r="AI1082" t="str">
            <v>Maruthi</v>
          </cell>
          <cell r="AJ1082" t="str">
            <v>Surgery</v>
          </cell>
          <cell r="AK1082" t="str">
            <v>Primary</v>
          </cell>
          <cell r="AN1082" t="str">
            <v>IVa</v>
          </cell>
          <cell r="AO1082">
            <v>2</v>
          </cell>
          <cell r="AP1082" t="str">
            <v>pT4aN0</v>
          </cell>
          <cell r="AT1082" t="str">
            <v>RT</v>
          </cell>
          <cell r="AV1082">
            <v>45497</v>
          </cell>
          <cell r="AW1082">
            <v>0.61736111111111114</v>
          </cell>
          <cell r="AX1082">
            <v>0.70486111111111116</v>
          </cell>
          <cell r="AY1082">
            <v>8.7499999999999994E-2</v>
          </cell>
          <cell r="AZ1082">
            <v>0.62222222222222223</v>
          </cell>
          <cell r="BA1082">
            <v>0.1875</v>
          </cell>
          <cell r="BB1082" t="str">
            <v>0.4-0.6*0.5-0.6*1.2-1.8</v>
          </cell>
          <cell r="BD1082" t="str">
            <v>Vibratome</v>
          </cell>
          <cell r="BE1082">
            <v>15</v>
          </cell>
          <cell r="BF1082" t="str">
            <v xml:space="preserve">sai </v>
          </cell>
          <cell r="BG1082" t="str">
            <v>Y</v>
          </cell>
        </row>
        <row r="1083">
          <cell r="A1083">
            <v>240216</v>
          </cell>
          <cell r="B1083">
            <v>240216</v>
          </cell>
          <cell r="C1083" t="str">
            <v>R&amp;D</v>
          </cell>
          <cell r="D1083">
            <v>45497</v>
          </cell>
          <cell r="E1083">
            <v>0.58194444444444449</v>
          </cell>
          <cell r="F1083">
            <v>45474</v>
          </cell>
          <cell r="G1083">
            <v>45497</v>
          </cell>
          <cell r="H1083">
            <v>0.67569444444444449</v>
          </cell>
          <cell r="I1083">
            <v>9.375E-2</v>
          </cell>
          <cell r="J1083">
            <v>17</v>
          </cell>
          <cell r="K1083" t="str">
            <v>FCB-PROTOCOL-02</v>
          </cell>
          <cell r="L1083" t="str">
            <v>HN161</v>
          </cell>
          <cell r="M1083" t="str">
            <v>Y</v>
          </cell>
          <cell r="N1083" t="str">
            <v>No Study</v>
          </cell>
          <cell r="O1083" t="str">
            <v>1st level attrition</v>
          </cell>
          <cell r="P1083" t="str">
            <v>Q1 Rejected</v>
          </cell>
          <cell r="Q1083" t="str">
            <v>Not Received</v>
          </cell>
          <cell r="R1083" t="str">
            <v>Q1.5 Rejected</v>
          </cell>
          <cell r="S1083" t="str">
            <v>Q1.5 Rejected</v>
          </cell>
          <cell r="T1083" t="str">
            <v>Due to very samll size</v>
          </cell>
          <cell r="W1083" t="str">
            <v>Private Hospital</v>
          </cell>
          <cell r="X1083" t="str">
            <v>Mazumdar Shaw Medical Centre, Bangalore</v>
          </cell>
          <cell r="Y1083" t="str">
            <v>Mazumdar Shaw Medical Centre, Bangalore</v>
          </cell>
          <cell r="Z1083" t="str">
            <v>Dr Vijay Pillai, Bangalore</v>
          </cell>
          <cell r="AA1083" t="str">
            <v>HNSCC</v>
          </cell>
          <cell r="AC1083" t="str">
            <v>Tongue</v>
          </cell>
          <cell r="AD1083" t="str">
            <v>Left Lateral Tongue</v>
          </cell>
          <cell r="AE1083" t="str">
            <v>Female</v>
          </cell>
          <cell r="AF1083">
            <v>32</v>
          </cell>
          <cell r="AG1083" t="str">
            <v>N</v>
          </cell>
          <cell r="AH1083">
            <v>4.9000000000000004</v>
          </cell>
          <cell r="AI1083" t="str">
            <v>Kalappa</v>
          </cell>
          <cell r="AJ1083" t="str">
            <v>Surgery</v>
          </cell>
          <cell r="AK1083" t="str">
            <v>Primary</v>
          </cell>
          <cell r="AV1083">
            <v>45497</v>
          </cell>
          <cell r="BB1083" t="str">
            <v>0.2*0.3-0.4*0.4</v>
          </cell>
          <cell r="BE1083">
            <v>15</v>
          </cell>
          <cell r="BF1083" t="str">
            <v>Dharani</v>
          </cell>
          <cell r="BG1083" t="str">
            <v>N</v>
          </cell>
        </row>
        <row r="1084">
          <cell r="A1084" t="str">
            <v>FBR1X240217</v>
          </cell>
          <cell r="B1084">
            <v>240217</v>
          </cell>
          <cell r="C1084" t="str">
            <v>R&amp;D</v>
          </cell>
          <cell r="D1084">
            <v>45503</v>
          </cell>
          <cell r="E1084">
            <v>0.66319444444444442</v>
          </cell>
          <cell r="F1084">
            <v>45474</v>
          </cell>
          <cell r="G1084">
            <v>45503</v>
          </cell>
          <cell r="H1084">
            <v>0.7104166666666667</v>
          </cell>
          <cell r="I1084">
            <v>4.7222222222222221E-2</v>
          </cell>
          <cell r="J1084">
            <v>0</v>
          </cell>
          <cell r="K1084" t="str">
            <v>FCB-PROTOCOL-02</v>
          </cell>
          <cell r="L1084" t="str">
            <v>HN162</v>
          </cell>
          <cell r="M1084" t="str">
            <v>Y</v>
          </cell>
          <cell r="N1084" t="str">
            <v>Biopsy HNSCC (1X)</v>
          </cell>
          <cell r="O1084" t="str">
            <v>Internal R&amp;D</v>
          </cell>
          <cell r="P1084" t="str">
            <v>Q1 Passed</v>
          </cell>
          <cell r="Q1084" t="str">
            <v>Q1 Passed</v>
          </cell>
          <cell r="R1084" t="str">
            <v>Q1.5 Passed</v>
          </cell>
          <cell r="S1084" t="str">
            <v>Q1.5 Passed</v>
          </cell>
          <cell r="V1084" t="str">
            <v>Tumor content 0-95%. Average tumor content 60%</v>
          </cell>
          <cell r="W1084" t="str">
            <v>Private Hospital</v>
          </cell>
          <cell r="X1084" t="str">
            <v>Mazumdar Shaw Medical Centre, Bangalore</v>
          </cell>
          <cell r="Y1084" t="str">
            <v>Mazumdar Shaw Medical Centre, Bangalore</v>
          </cell>
          <cell r="Z1084" t="str">
            <v>Dr Vijay Pillai, Bangalore</v>
          </cell>
          <cell r="AA1084" t="str">
            <v>HNSCC</v>
          </cell>
          <cell r="AC1084" t="str">
            <v>Hyphopharynx</v>
          </cell>
          <cell r="AD1084" t="str">
            <v>Hyphopharynx</v>
          </cell>
          <cell r="AE1084" t="str">
            <v>Male</v>
          </cell>
          <cell r="AF1084">
            <v>81</v>
          </cell>
          <cell r="AG1084" t="str">
            <v>N</v>
          </cell>
          <cell r="AH1084">
            <v>4.3</v>
          </cell>
          <cell r="AI1084" t="str">
            <v>Maruthi</v>
          </cell>
          <cell r="AJ1084" t="str">
            <v>Biopsy</v>
          </cell>
          <cell r="AK1084" t="str">
            <v>Primary</v>
          </cell>
          <cell r="AN1084" t="str">
            <v>NA</v>
          </cell>
          <cell r="AO1084" t="str">
            <v>NA</v>
          </cell>
          <cell r="AP1084" t="str">
            <v>NA</v>
          </cell>
          <cell r="AS1084" t="str">
            <v>Squamous cell carcinoma</v>
          </cell>
          <cell r="AV1084">
            <v>45503</v>
          </cell>
          <cell r="AW1084">
            <v>0.72847222222222219</v>
          </cell>
          <cell r="AX1084">
            <v>0.75555555555555554</v>
          </cell>
          <cell r="AY1084">
            <v>2.7083333333333334E-2</v>
          </cell>
          <cell r="AZ1084">
            <v>0.70833333333333337</v>
          </cell>
          <cell r="BA1084">
            <v>9.2361111111111116E-2</v>
          </cell>
          <cell r="BB1084" t="str">
            <v>0.1*0.4*0.4</v>
          </cell>
          <cell r="BD1084" t="str">
            <v>Manual</v>
          </cell>
          <cell r="BE1084">
            <v>15</v>
          </cell>
          <cell r="BF1084" t="str">
            <v>Dharani</v>
          </cell>
          <cell r="BG1084" t="str">
            <v>Y</v>
          </cell>
        </row>
        <row r="1085">
          <cell r="A1085" t="str">
            <v>FBR1Y240218</v>
          </cell>
          <cell r="B1085">
            <v>240218</v>
          </cell>
          <cell r="C1085" t="str">
            <v>R&amp;D</v>
          </cell>
          <cell r="D1085">
            <v>45504</v>
          </cell>
          <cell r="E1085">
            <v>0.4513888888888889</v>
          </cell>
          <cell r="F1085">
            <v>45474</v>
          </cell>
          <cell r="G1085">
            <v>45504</v>
          </cell>
          <cell r="H1085">
            <v>0.59375</v>
          </cell>
          <cell r="I1085">
            <v>0.1423611111111111</v>
          </cell>
          <cell r="J1085">
            <v>2</v>
          </cell>
          <cell r="K1085" t="str">
            <v>FCB-PROTOCOL-01</v>
          </cell>
          <cell r="L1085" t="str">
            <v>VYD/296</v>
          </cell>
          <cell r="M1085" t="str">
            <v>Y</v>
          </cell>
          <cell r="N1085" t="str">
            <v>CCS Study (1Y)</v>
          </cell>
          <cell r="O1085" t="str">
            <v>Internal R&amp;D</v>
          </cell>
          <cell r="P1085" t="str">
            <v>Q1 Passed</v>
          </cell>
          <cell r="Q1085" t="str">
            <v>Q1 Passed</v>
          </cell>
          <cell r="R1085" t="str">
            <v>Q1.5 Passed</v>
          </cell>
          <cell r="S1085" t="str">
            <v>Q1.5 Passed</v>
          </cell>
          <cell r="V1085" t="str">
            <v>Tumor content 30-55%</v>
          </cell>
          <cell r="W1085" t="str">
            <v>Private Hospital</v>
          </cell>
          <cell r="X1085" t="str">
            <v>Vydehi Hospital, Bangalore</v>
          </cell>
          <cell r="Y1085" t="str">
            <v>Vydehi Hospital, Bangalore</v>
          </cell>
          <cell r="Z1085" t="str">
            <v>Dr Amritha Prabha, Bangalore</v>
          </cell>
          <cell r="AA1085" t="str">
            <v>HNSCC</v>
          </cell>
          <cell r="AC1085" t="str">
            <v>Buccal Mucosa &amp; Alveolus</v>
          </cell>
          <cell r="AD1085" t="str">
            <v xml:space="preserve">Left Buccal Mucosa </v>
          </cell>
          <cell r="AE1085" t="str">
            <v>Male</v>
          </cell>
          <cell r="AF1085">
            <v>54</v>
          </cell>
          <cell r="AG1085" t="str">
            <v>N</v>
          </cell>
          <cell r="AH1085">
            <v>4.5999999999999996</v>
          </cell>
          <cell r="AI1085" t="str">
            <v>Shashi</v>
          </cell>
          <cell r="AJ1085" t="str">
            <v>Surgery</v>
          </cell>
          <cell r="AK1085" t="str">
            <v>Primary</v>
          </cell>
          <cell r="AN1085" t="str">
            <v>IVa</v>
          </cell>
          <cell r="AO1085">
            <v>1</v>
          </cell>
          <cell r="AP1085" t="str">
            <v>pT4aN2b</v>
          </cell>
          <cell r="AT1085" t="str">
            <v>CTRT</v>
          </cell>
          <cell r="AV1085">
            <v>45504</v>
          </cell>
          <cell r="AW1085">
            <v>0.60555555555555551</v>
          </cell>
          <cell r="AX1085">
            <v>0.69305555555555554</v>
          </cell>
          <cell r="AY1085">
            <v>8.7499999999999994E-2</v>
          </cell>
          <cell r="AZ1085">
            <v>0.55069444444444449</v>
          </cell>
          <cell r="BA1085">
            <v>0.24166666666666667</v>
          </cell>
          <cell r="BB1085" t="str">
            <v>0.8*2.2*2.8</v>
          </cell>
          <cell r="BD1085" t="str">
            <v>Vibratome</v>
          </cell>
          <cell r="BE1085">
            <v>15</v>
          </cell>
          <cell r="BF1085" t="str">
            <v>Dharani</v>
          </cell>
          <cell r="BG1085" t="str">
            <v>Y</v>
          </cell>
        </row>
        <row r="1086">
          <cell r="A1086" t="str">
            <v>FBR2F240218</v>
          </cell>
          <cell r="B1086">
            <v>240218</v>
          </cell>
          <cell r="C1086" t="str">
            <v>R&amp;D</v>
          </cell>
          <cell r="D1086">
            <v>45504</v>
          </cell>
          <cell r="E1086">
            <v>0.4513888888888889</v>
          </cell>
          <cell r="F1086">
            <v>45474</v>
          </cell>
          <cell r="G1086">
            <v>45504</v>
          </cell>
          <cell r="H1086">
            <v>0.59375</v>
          </cell>
          <cell r="I1086">
            <v>0.1423611111111111</v>
          </cell>
          <cell r="J1086">
            <v>2</v>
          </cell>
          <cell r="K1086" t="str">
            <v>FCB-PROTOCOL-01</v>
          </cell>
          <cell r="L1086" t="str">
            <v>VYD/296</v>
          </cell>
          <cell r="M1086" t="str">
            <v>Y</v>
          </cell>
          <cell r="N1086" t="str">
            <v>CCS Study (1Y)</v>
          </cell>
          <cell r="O1086" t="str">
            <v>Internal R&amp;D</v>
          </cell>
          <cell r="P1086" t="str">
            <v>Q1 Passed</v>
          </cell>
          <cell r="Q1086" t="str">
            <v>Q1 Passed</v>
          </cell>
          <cell r="R1086" t="str">
            <v>Q1.5 Passed</v>
          </cell>
          <cell r="S1086" t="str">
            <v>Q1.5 Passed</v>
          </cell>
          <cell r="V1086" t="str">
            <v>Tumor content 30-55%</v>
          </cell>
          <cell r="W1086" t="str">
            <v>Private Hospital</v>
          </cell>
          <cell r="X1086" t="str">
            <v>Vydehi Hospital, Bangalore</v>
          </cell>
          <cell r="Y1086" t="str">
            <v>Vydehi Hospital, Bangalore</v>
          </cell>
          <cell r="Z1086" t="str">
            <v>Dr Amritha Prabha, Bangalore</v>
          </cell>
          <cell r="AA1086" t="str">
            <v>HNSCC</v>
          </cell>
          <cell r="AC1086" t="str">
            <v>Buccal Mucosa &amp; Alveolus</v>
          </cell>
          <cell r="AD1086" t="str">
            <v xml:space="preserve">Left Buccal Mucosa </v>
          </cell>
          <cell r="AE1086" t="str">
            <v>Male</v>
          </cell>
          <cell r="AF1086">
            <v>54</v>
          </cell>
          <cell r="AG1086" t="str">
            <v>N</v>
          </cell>
          <cell r="AH1086">
            <v>4.5999999999999996</v>
          </cell>
          <cell r="AI1086" t="str">
            <v>Shashi</v>
          </cell>
          <cell r="AJ1086" t="str">
            <v>Surgery</v>
          </cell>
          <cell r="AK1086" t="str">
            <v>Primary</v>
          </cell>
          <cell r="AN1086" t="str">
            <v>IVa</v>
          </cell>
          <cell r="AO1086">
            <v>1</v>
          </cell>
          <cell r="AP1086" t="str">
            <v>pT4aN2b</v>
          </cell>
          <cell r="AT1086" t="str">
            <v>CTRT</v>
          </cell>
          <cell r="AV1086">
            <v>45507</v>
          </cell>
          <cell r="AX1086">
            <v>0.57986111111111116</v>
          </cell>
          <cell r="BB1086" t="str">
            <v>0.8*2.2*2.8</v>
          </cell>
          <cell r="BD1086" t="str">
            <v>Vibratome</v>
          </cell>
          <cell r="BE1086">
            <v>15</v>
          </cell>
          <cell r="BF1086" t="str">
            <v>Dharani</v>
          </cell>
          <cell r="BG1086" t="str">
            <v>Y</v>
          </cell>
        </row>
        <row r="1087">
          <cell r="A1087" t="str">
            <v>FBR1X240219</v>
          </cell>
          <cell r="B1087">
            <v>240219</v>
          </cell>
          <cell r="C1087" t="str">
            <v>R&amp;D</v>
          </cell>
          <cell r="D1087">
            <v>45504</v>
          </cell>
          <cell r="E1087">
            <v>0.61805555555555558</v>
          </cell>
          <cell r="F1087">
            <v>45474</v>
          </cell>
          <cell r="G1087">
            <v>45504</v>
          </cell>
          <cell r="H1087">
            <v>0.67847222222222225</v>
          </cell>
          <cell r="I1087">
            <v>6.0416666666666667E-2</v>
          </cell>
          <cell r="J1087">
            <v>0</v>
          </cell>
          <cell r="K1087" t="str">
            <v>FCB-PROTOCOL-02</v>
          </cell>
          <cell r="L1087" t="str">
            <v>HN163</v>
          </cell>
          <cell r="M1087" t="str">
            <v>Y</v>
          </cell>
          <cell r="N1087" t="str">
            <v>Biopsy HNSCC (1X)</v>
          </cell>
          <cell r="O1087" t="str">
            <v>Internal R&amp;D</v>
          </cell>
          <cell r="P1087" t="str">
            <v>Q1 Passed</v>
          </cell>
          <cell r="Q1087" t="str">
            <v>Q1 Rejected</v>
          </cell>
          <cell r="R1087" t="str">
            <v>Compromised</v>
          </cell>
          <cell r="S1087" t="str">
            <v>Q1.5 Passed</v>
          </cell>
          <cell r="V1087" t="str">
            <v>Tumor content 0-85%. Average tumor content 30%. 2 fragments necrosed</v>
          </cell>
          <cell r="W1087" t="str">
            <v>Private Hospital</v>
          </cell>
          <cell r="X1087" t="str">
            <v>Mazumdar Shaw Medical Centre, Bangalore</v>
          </cell>
          <cell r="Y1087" t="str">
            <v>Mazumdar Shaw Medical Centre, Bangalore</v>
          </cell>
          <cell r="Z1087" t="str">
            <v>Dr Vijay Pillai, Bangalore</v>
          </cell>
          <cell r="AA1087" t="str">
            <v>HNSCC</v>
          </cell>
          <cell r="AC1087" t="str">
            <v>Oropharynx</v>
          </cell>
          <cell r="AD1087" t="str">
            <v>Oropharynx</v>
          </cell>
          <cell r="AE1087" t="str">
            <v>Male</v>
          </cell>
          <cell r="AF1087">
            <v>46</v>
          </cell>
          <cell r="AG1087" t="str">
            <v>N</v>
          </cell>
          <cell r="AH1087">
            <v>5.0999999999999996</v>
          </cell>
          <cell r="AI1087" t="str">
            <v>Shashi</v>
          </cell>
          <cell r="AJ1087" t="str">
            <v>Biopsy</v>
          </cell>
          <cell r="AK1087" t="str">
            <v>Primary</v>
          </cell>
          <cell r="AN1087" t="str">
            <v>NA</v>
          </cell>
          <cell r="AO1087" t="str">
            <v>NA</v>
          </cell>
          <cell r="AP1087" t="str">
            <v>NA</v>
          </cell>
          <cell r="AS1087" t="str">
            <v>Squamous cell carcinoma</v>
          </cell>
          <cell r="AV1087">
            <v>45504</v>
          </cell>
          <cell r="AW1087">
            <v>0.69166666666666665</v>
          </cell>
          <cell r="AX1087">
            <v>0.72916666666666663</v>
          </cell>
          <cell r="AY1087">
            <v>3.7499999999999999E-2</v>
          </cell>
          <cell r="AZ1087">
            <v>0.66874999999999996</v>
          </cell>
          <cell r="BA1087">
            <v>0.1111111111111111</v>
          </cell>
          <cell r="BB1087" t="str">
            <v>0.2*0.2-0.3*0.4
0.1-0.2*0.1*0.4-0.5</v>
          </cell>
          <cell r="BD1087" t="str">
            <v>Manual</v>
          </cell>
          <cell r="BE1087">
            <v>15</v>
          </cell>
          <cell r="BF1087" t="str">
            <v xml:space="preserve">sai </v>
          </cell>
          <cell r="BG1087" t="str">
            <v>N</v>
          </cell>
        </row>
        <row r="1088">
          <cell r="A1088" t="str">
            <v>FBR1Y240220</v>
          </cell>
          <cell r="B1088">
            <v>240220</v>
          </cell>
          <cell r="C1088" t="str">
            <v>R&amp;D</v>
          </cell>
          <cell r="D1088">
            <v>45504</v>
          </cell>
          <cell r="E1088">
            <v>0.875</v>
          </cell>
          <cell r="F1088">
            <v>45474</v>
          </cell>
          <cell r="G1088">
            <v>45504</v>
          </cell>
          <cell r="H1088">
            <v>0.90833333333333333</v>
          </cell>
          <cell r="I108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J1088">
            <v>10</v>
          </cell>
          <cell r="K1088" t="str">
            <v>FCB-PROTOCOL-01</v>
          </cell>
          <cell r="L1088" t="str">
            <v>CLN/DBR/193</v>
          </cell>
          <cell r="M1088" t="str">
            <v>Y</v>
          </cell>
          <cell r="N1088" t="str">
            <v>CCS Study (1Y)</v>
          </cell>
          <cell r="O1088" t="str">
            <v>Internal R&amp;D</v>
          </cell>
          <cell r="P1088" t="str">
            <v>Q1 Passed</v>
          </cell>
          <cell r="Q1088" t="str">
            <v>Q1 Rejected</v>
          </cell>
          <cell r="R1088" t="str">
            <v>Compromised</v>
          </cell>
          <cell r="S1088" t="str">
            <v>Q1.5 Passed</v>
          </cell>
          <cell r="T1088" t="str">
            <v>Blood Hemolysed</v>
          </cell>
          <cell r="V1088" t="str">
            <v>Tumor content 0-90%. Average tumor content 22%</v>
          </cell>
          <cell r="W1088" t="str">
            <v>Private Hospital</v>
          </cell>
          <cell r="X1088" t="str">
            <v>Clinic'les- DBR &amp; SK Hospital, Tirupati</v>
          </cell>
          <cell r="Y1088" t="str">
            <v>DBR &amp; SK Hospital, Tirupati</v>
          </cell>
          <cell r="Z1088" t="str">
            <v>Dr C Jayaprakash, Tirupati</v>
          </cell>
          <cell r="AA1088" t="str">
            <v>HNSCC</v>
          </cell>
          <cell r="AC1088" t="str">
            <v>Tongue</v>
          </cell>
          <cell r="AD1088" t="str">
            <v>Tongue</v>
          </cell>
          <cell r="AE1088" t="str">
            <v>Male</v>
          </cell>
          <cell r="AF1088">
            <v>48</v>
          </cell>
          <cell r="AG1088" t="str">
            <v>N</v>
          </cell>
          <cell r="AH1088">
            <v>4.5</v>
          </cell>
          <cell r="AI1088" t="str">
            <v>Maruthi</v>
          </cell>
          <cell r="AJ1088" t="str">
            <v>Surgery</v>
          </cell>
          <cell r="AK1088" t="str">
            <v>Primary</v>
          </cell>
          <cell r="AV1088">
            <v>45505</v>
          </cell>
          <cell r="AW1088">
            <v>0.29583333333333334</v>
          </cell>
          <cell r="AX1088">
            <v>0.36458333333333331</v>
          </cell>
          <cell r="AY1088">
            <v>6.8750000000000006E-2</v>
          </cell>
          <cell r="AZ1088">
            <v>0.33124999999999999</v>
          </cell>
          <cell r="BA108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088" t="str">
            <v>0.6*1.8*2.2</v>
          </cell>
          <cell r="BD1088" t="str">
            <v>Vibratome</v>
          </cell>
          <cell r="BE1088">
            <v>15</v>
          </cell>
          <cell r="BF1088" t="str">
            <v>kuberan</v>
          </cell>
          <cell r="BG1088" t="str">
            <v>Y</v>
          </cell>
        </row>
        <row r="1089">
          <cell r="A1089" t="str">
            <v>FBR1Y240221</v>
          </cell>
          <cell r="B1089">
            <v>240221</v>
          </cell>
          <cell r="C1089" t="str">
            <v>R&amp;D</v>
          </cell>
          <cell r="D1089">
            <v>45506</v>
          </cell>
          <cell r="E1089">
            <v>0.43194444444444446</v>
          </cell>
          <cell r="F1089">
            <v>45505</v>
          </cell>
          <cell r="G1089">
            <v>45506</v>
          </cell>
          <cell r="H1089">
            <v>0.52986111111111112</v>
          </cell>
          <cell r="I1089">
            <v>9.7916666666666666E-2</v>
          </cell>
          <cell r="J1089">
            <v>9</v>
          </cell>
          <cell r="K1089" t="str">
            <v>FCB-PROTOCOL-01</v>
          </cell>
          <cell r="L1089" t="str">
            <v>VYD/297</v>
          </cell>
          <cell r="M1089" t="str">
            <v>Y</v>
          </cell>
          <cell r="N1089" t="str">
            <v>CCS Study (1Y)</v>
          </cell>
          <cell r="O1089" t="str">
            <v>Internal R&amp;D</v>
          </cell>
          <cell r="P1089" t="str">
            <v>Q1 Passed</v>
          </cell>
          <cell r="Q1089" t="str">
            <v>Q1 Passed</v>
          </cell>
          <cell r="R1089" t="str">
            <v>Q1.5 Rejected</v>
          </cell>
          <cell r="S1089" t="str">
            <v>Q1.5 Rejected</v>
          </cell>
          <cell r="V1089" t="str">
            <v>No tumor</v>
          </cell>
          <cell r="W1089" t="str">
            <v>Private Hospital</v>
          </cell>
          <cell r="X1089" t="str">
            <v>Vydehi Hospital, Bangalore</v>
          </cell>
          <cell r="Y1089" t="str">
            <v>Vydehi Hospital, Bangalore</v>
          </cell>
          <cell r="Z1089" t="str">
            <v>Dr Amritha Prabha, Bangalore</v>
          </cell>
          <cell r="AA1089" t="str">
            <v>HNSCC</v>
          </cell>
          <cell r="AC1089" t="str">
            <v>Buccal Mucosa &amp; Alveolus</v>
          </cell>
          <cell r="AD1089" t="str">
            <v xml:space="preserve">Right Buccal Mucosa </v>
          </cell>
          <cell r="AE1089" t="str">
            <v>Male</v>
          </cell>
          <cell r="AF1089">
            <v>33</v>
          </cell>
          <cell r="AG1089" t="str">
            <v>N</v>
          </cell>
          <cell r="AH1089">
            <v>4.2</v>
          </cell>
          <cell r="AI1089" t="str">
            <v>Kalappa</v>
          </cell>
          <cell r="AJ1089" t="str">
            <v>Surgery</v>
          </cell>
          <cell r="AK1089" t="str">
            <v>Primary</v>
          </cell>
          <cell r="AV1089">
            <v>45506</v>
          </cell>
          <cell r="AW1089">
            <v>0.54722222222222228</v>
          </cell>
          <cell r="AX1089">
            <v>0.62430555555555556</v>
          </cell>
          <cell r="AY1089">
            <v>7.7083333333333337E-2</v>
          </cell>
          <cell r="AZ1089">
            <v>0.52638888888888891</v>
          </cell>
          <cell r="BA1089">
            <v>0.19236111111111112</v>
          </cell>
          <cell r="BB1089" t="str">
            <v>0.2*0.9-1.1*1.2</v>
          </cell>
          <cell r="BD1089" t="str">
            <v>Vibratome</v>
          </cell>
          <cell r="BE1089">
            <v>15</v>
          </cell>
          <cell r="BF1089" t="str">
            <v>Pallavi</v>
          </cell>
          <cell r="BG1089" t="str">
            <v>Y</v>
          </cell>
        </row>
        <row r="1090">
          <cell r="A1090" t="str">
            <v>FBR1Y240222</v>
          </cell>
          <cell r="B1090">
            <v>240222</v>
          </cell>
          <cell r="C1090" t="str">
            <v>R&amp;D</v>
          </cell>
          <cell r="D1090">
            <v>45506</v>
          </cell>
          <cell r="E1090">
            <v>0.48958333333333331</v>
          </cell>
          <cell r="F1090">
            <v>45505</v>
          </cell>
          <cell r="G1090">
            <v>45506</v>
          </cell>
          <cell r="H1090">
            <v>0.86527777777777781</v>
          </cell>
          <cell r="I1090">
            <v>0.37569444444444444</v>
          </cell>
          <cell r="J1090">
            <v>20</v>
          </cell>
          <cell r="K1090" t="str">
            <v>FCB-PROTOCOL-01</v>
          </cell>
          <cell r="L1090" t="str">
            <v>CLN/DBR/194</v>
          </cell>
          <cell r="M1090" t="str">
            <v>Y</v>
          </cell>
          <cell r="N1090" t="str">
            <v>CCS Study (1Y)</v>
          </cell>
          <cell r="O1090" t="str">
            <v>Internal R&amp;D</v>
          </cell>
          <cell r="P1090" t="str">
            <v>Q1 Passed</v>
          </cell>
          <cell r="Q1090" t="str">
            <v>Q1 Passed</v>
          </cell>
          <cell r="R1090" t="str">
            <v>Compromised</v>
          </cell>
          <cell r="S1090" t="str">
            <v>Q1.5 Passed</v>
          </cell>
          <cell r="V1090" t="str">
            <v>A:Tumor content 0-90%. Average tumor content 40%</v>
          </cell>
          <cell r="W1090" t="str">
            <v>Private Hospital</v>
          </cell>
          <cell r="X1090" t="str">
            <v>Clinic'les- DBR &amp; SK Hospital, Tirupati</v>
          </cell>
          <cell r="Y1090" t="str">
            <v>DBR &amp; SK Hospital, Tirupati</v>
          </cell>
          <cell r="Z1090" t="str">
            <v>Dr C Jayaprakash, Tirupati</v>
          </cell>
          <cell r="AA1090" t="str">
            <v>HNSCC</v>
          </cell>
          <cell r="AC1090" t="str">
            <v>Buccal Mucosa &amp; Alveolus</v>
          </cell>
          <cell r="AD1090" t="str">
            <v xml:space="preserve">Left Buccal Mucosa </v>
          </cell>
          <cell r="AE1090" t="str">
            <v>Female</v>
          </cell>
          <cell r="AF1090">
            <v>41</v>
          </cell>
          <cell r="AG1090" t="str">
            <v>N</v>
          </cell>
          <cell r="AH1090">
            <v>5.0999999999999996</v>
          </cell>
          <cell r="AI1090" t="str">
            <v>Shashi</v>
          </cell>
          <cell r="AJ1090" t="str">
            <v>Surgery</v>
          </cell>
          <cell r="AK1090" t="str">
            <v>Primary</v>
          </cell>
          <cell r="AV1090">
            <v>45507</v>
          </cell>
          <cell r="AW1090">
            <v>0.28263888888888888</v>
          </cell>
          <cell r="AX1090">
            <v>0.35208333333333336</v>
          </cell>
          <cell r="AY1090">
            <v>6.9444444444444448E-2</v>
          </cell>
          <cell r="AZ1090">
            <v>0.97638888888888886</v>
          </cell>
          <cell r="BA1090">
            <v>0.86250000000000004</v>
          </cell>
          <cell r="BB1090" t="str">
            <v>0.2*0.6*2.4</v>
          </cell>
          <cell r="BD1090" t="str">
            <v>Vibratome</v>
          </cell>
          <cell r="BE1090">
            <v>15</v>
          </cell>
          <cell r="BF1090" t="str">
            <v>Dharani</v>
          </cell>
          <cell r="BG1090" t="str">
            <v>Y</v>
          </cell>
        </row>
        <row r="1091">
          <cell r="A1091" t="str">
            <v>FBB1L240223</v>
          </cell>
          <cell r="B1091">
            <v>240223</v>
          </cell>
          <cell r="C1091" t="str">
            <v>Biopharma</v>
          </cell>
          <cell r="D1091">
            <v>45509</v>
          </cell>
          <cell r="E1091">
            <v>0.52083333333333337</v>
          </cell>
          <cell r="F1091">
            <v>45505</v>
          </cell>
          <cell r="G1091">
            <v>45509</v>
          </cell>
          <cell r="H1091">
            <v>0.68333333333333335</v>
          </cell>
          <cell r="I1091">
            <v>0.16250000000000001</v>
          </cell>
          <cell r="J1091">
            <v>17</v>
          </cell>
          <cell r="K1091" t="str">
            <v>FCB-PROTOCOL-02</v>
          </cell>
          <cell r="L1091" t="str">
            <v>RC063</v>
          </cell>
          <cell r="M1091" t="str">
            <v>Y</v>
          </cell>
          <cell r="N1091" t="str">
            <v>BP010 (1L)</v>
          </cell>
          <cell r="O1091" t="str">
            <v>Biopharma</v>
          </cell>
          <cell r="P1091" t="str">
            <v>Q1 Passed</v>
          </cell>
          <cell r="Q1091" t="str">
            <v>Q1 Passed</v>
          </cell>
          <cell r="R1091" t="str">
            <v>Q1.5 Passed</v>
          </cell>
          <cell r="S1091" t="str">
            <v>Q1.5 Passed</v>
          </cell>
          <cell r="V1091" t="str">
            <v>Tumor content 15-70%   </v>
          </cell>
          <cell r="W1091" t="str">
            <v>Private Hospital</v>
          </cell>
          <cell r="X1091" t="str">
            <v>Mazumdar Shaw Medical Centre, Bangalore</v>
          </cell>
          <cell r="Y1091" t="str">
            <v>Mazumdar Shaw Medical Centre, Bangalore</v>
          </cell>
          <cell r="Z1091" t="str">
            <v>Dr Saurabh Bhargav, Bangalore</v>
          </cell>
          <cell r="AA1091" t="str">
            <v>RCC</v>
          </cell>
          <cell r="AC1091" t="str">
            <v>Renal Mass</v>
          </cell>
          <cell r="AD1091" t="str">
            <v>Left Renal Mass</v>
          </cell>
          <cell r="AE1091" t="str">
            <v>Female</v>
          </cell>
          <cell r="AF1091">
            <v>65</v>
          </cell>
          <cell r="AG1091" t="str">
            <v>N</v>
          </cell>
          <cell r="AH1091">
            <v>4.5999999999999996</v>
          </cell>
          <cell r="AI1091" t="str">
            <v>Kalappa</v>
          </cell>
          <cell r="AJ1091" t="str">
            <v>Surgery</v>
          </cell>
          <cell r="AK1091" t="str">
            <v>Primary</v>
          </cell>
          <cell r="AN1091" t="str">
            <v>II</v>
          </cell>
          <cell r="AO1091">
            <v>2</v>
          </cell>
          <cell r="AP1091" t="str">
            <v>pT2a</v>
          </cell>
          <cell r="AV1091">
            <v>45509</v>
          </cell>
          <cell r="AW1091">
            <v>0.69722222222222219</v>
          </cell>
          <cell r="AX1091">
            <v>0.78125</v>
          </cell>
          <cell r="AY1091">
            <v>8.4027777777777785E-2</v>
          </cell>
          <cell r="AZ1091">
            <v>0.61875000000000002</v>
          </cell>
          <cell r="BA1091">
            <v>0.26041666666666669</v>
          </cell>
          <cell r="BB1091" t="str">
            <v>0.5-0.6*1.2*1.2</v>
          </cell>
          <cell r="BD1091" t="str">
            <v>Vibratome</v>
          </cell>
          <cell r="BE1091">
            <v>15</v>
          </cell>
          <cell r="BF1091" t="str">
            <v>Mouniss</v>
          </cell>
          <cell r="BG1091" t="str">
            <v>Y</v>
          </cell>
        </row>
        <row r="1092">
          <cell r="A1092" t="str">
            <v>FBR1Y240224</v>
          </cell>
          <cell r="B1092">
            <v>240224</v>
          </cell>
          <cell r="C1092" t="str">
            <v>R&amp;D</v>
          </cell>
          <cell r="D1092">
            <v>45510</v>
          </cell>
          <cell r="E1092">
            <v>0.41111111111111109</v>
          </cell>
          <cell r="F1092">
            <v>45505</v>
          </cell>
          <cell r="G1092">
            <v>45510</v>
          </cell>
          <cell r="H1092">
            <v>0.4152777777777778</v>
          </cell>
          <cell r="I1092">
            <v>4.1666666666666666E-3</v>
          </cell>
          <cell r="J1092">
            <v>6</v>
          </cell>
          <cell r="K1092" t="str">
            <v>FCB-PROTOCOL-01</v>
          </cell>
          <cell r="L1092" t="str">
            <v>VYD/298</v>
          </cell>
          <cell r="M1092" t="str">
            <v>Y</v>
          </cell>
          <cell r="N1092" t="str">
            <v>CCS Study (1Y)</v>
          </cell>
          <cell r="O1092" t="str">
            <v>Internal R&amp;D</v>
          </cell>
          <cell r="P1092" t="str">
            <v>Q1 Passed</v>
          </cell>
          <cell r="Q1092" t="str">
            <v>Q1 Passed</v>
          </cell>
          <cell r="R1092" t="str">
            <v>Q1.5 Passed</v>
          </cell>
          <cell r="S1092" t="str">
            <v>Q1.5 Passed</v>
          </cell>
          <cell r="V1092" t="str">
            <v>Tumor content 80-95%</v>
          </cell>
          <cell r="W1092" t="str">
            <v>Private Hospital</v>
          </cell>
          <cell r="X1092" t="str">
            <v>Vydehi Hospital, Bangalore</v>
          </cell>
          <cell r="Y1092" t="str">
            <v>Vydehi Hospital, Bangalore</v>
          </cell>
          <cell r="Z1092" t="str">
            <v>Dr Amritha Prabha, Bangalore</v>
          </cell>
          <cell r="AA1092" t="str">
            <v>HNSCC</v>
          </cell>
          <cell r="AC1092" t="str">
            <v xml:space="preserve">Buccal Mucosa </v>
          </cell>
          <cell r="AD1092" t="str">
            <v xml:space="preserve">Right Buccal Mucosa </v>
          </cell>
          <cell r="AE1092" t="str">
            <v>Male</v>
          </cell>
          <cell r="AF1092">
            <v>49</v>
          </cell>
          <cell r="AG1092" t="str">
            <v>N</v>
          </cell>
          <cell r="AH1092">
            <v>4.3</v>
          </cell>
          <cell r="AI1092" t="str">
            <v>Kalappa</v>
          </cell>
          <cell r="AJ1092" t="str">
            <v>Surgery</v>
          </cell>
          <cell r="AK1092" t="str">
            <v>Primary</v>
          </cell>
          <cell r="AN1092" t="str">
            <v>IVa</v>
          </cell>
          <cell r="AO1092">
            <v>2</v>
          </cell>
          <cell r="AP1092" t="str">
            <v>pT4aN2c</v>
          </cell>
          <cell r="AS1092" t="str">
            <v>scc</v>
          </cell>
          <cell r="AT1092" t="str">
            <v>RT</v>
          </cell>
          <cell r="AV1092">
            <v>45510</v>
          </cell>
          <cell r="AW1092">
            <v>0.54861111111111116</v>
          </cell>
          <cell r="AX1092">
            <v>0.62083333333333335</v>
          </cell>
          <cell r="AY1092">
            <v>7.2222222222222215E-2</v>
          </cell>
          <cell r="AZ1092">
            <v>0.6166666666666667</v>
          </cell>
          <cell r="BA1092">
            <v>0.20972222222222223</v>
          </cell>
          <cell r="BB1092" t="str">
            <v>0.8*1.0*1.7</v>
          </cell>
          <cell r="BD1092" t="str">
            <v>Vibratome</v>
          </cell>
          <cell r="BE1092">
            <v>15</v>
          </cell>
          <cell r="BF1092" t="str">
            <v>Dharani</v>
          </cell>
          <cell r="BG1092" t="str">
            <v>Y</v>
          </cell>
        </row>
        <row r="1093">
          <cell r="A1093" t="str">
            <v>FBR1R240224</v>
          </cell>
          <cell r="B1093">
            <v>240224</v>
          </cell>
          <cell r="C1093" t="str">
            <v>R&amp;D</v>
          </cell>
          <cell r="D1093">
            <v>45510</v>
          </cell>
          <cell r="E1093">
            <v>0.41111111111111109</v>
          </cell>
          <cell r="F1093">
            <v>45505</v>
          </cell>
          <cell r="G1093">
            <v>45510</v>
          </cell>
          <cell r="H1093">
            <v>0.4152777777777778</v>
          </cell>
          <cell r="I1093">
            <v>4.1666666666666666E-3</v>
          </cell>
          <cell r="J1093">
            <v>6</v>
          </cell>
          <cell r="K1093" t="str">
            <v>FCB-PROTOCOL-01</v>
          </cell>
          <cell r="L1093" t="str">
            <v>VYD/298</v>
          </cell>
          <cell r="M1093" t="str">
            <v>Y</v>
          </cell>
          <cell r="N1093" t="str">
            <v>BSS(1R)</v>
          </cell>
          <cell r="O1093" t="str">
            <v>Internal R&amp;D</v>
          </cell>
          <cell r="P1093" t="str">
            <v>Q1 Passed</v>
          </cell>
          <cell r="Q1093" t="str">
            <v>Q1 Passed</v>
          </cell>
          <cell r="R1093" t="str">
            <v>Q1.5 Passed</v>
          </cell>
          <cell r="S1093" t="str">
            <v>Q1.5 Passed</v>
          </cell>
          <cell r="V1093" t="str">
            <v>A: Tumor content 30-60%
B: Tumor content 15-80%</v>
          </cell>
          <cell r="W1093" t="str">
            <v>Private Hospital</v>
          </cell>
          <cell r="X1093" t="str">
            <v>Vydehi Hospital, Bangalore</v>
          </cell>
          <cell r="Y1093" t="str">
            <v>Vydehi Hospital, Bangalore</v>
          </cell>
          <cell r="Z1093" t="str">
            <v>Dr Amritha Prabha, Bangalore</v>
          </cell>
          <cell r="AA1093" t="str">
            <v>HNSCC</v>
          </cell>
          <cell r="AC1093" t="str">
            <v xml:space="preserve">Buccal Mucosa </v>
          </cell>
          <cell r="AD1093" t="str">
            <v xml:space="preserve">Right Buccal Mucosa </v>
          </cell>
          <cell r="AE1093" t="str">
            <v>Male</v>
          </cell>
          <cell r="AF1093">
            <v>49</v>
          </cell>
          <cell r="AG1093" t="str">
            <v>N</v>
          </cell>
          <cell r="AH1093">
            <v>4.3</v>
          </cell>
          <cell r="AI1093" t="str">
            <v>Kalappa</v>
          </cell>
          <cell r="AJ1093" t="str">
            <v>Surgery</v>
          </cell>
          <cell r="AK1093" t="str">
            <v>Primary</v>
          </cell>
          <cell r="AN1093" t="str">
            <v>IVa</v>
          </cell>
          <cell r="AO1093">
            <v>2</v>
          </cell>
          <cell r="AP1093" t="str">
            <v>pT4aN2c</v>
          </cell>
          <cell r="AS1093" t="str">
            <v>scc</v>
          </cell>
          <cell r="AT1093" t="str">
            <v>RT</v>
          </cell>
          <cell r="AV1093">
            <v>45510</v>
          </cell>
          <cell r="AW1093">
            <v>0.54861111111111116</v>
          </cell>
          <cell r="AX1093">
            <v>0.625</v>
          </cell>
          <cell r="AY1093">
            <v>7.6388888888888895E-2</v>
          </cell>
          <cell r="AZ1093">
            <v>0.62083333333333335</v>
          </cell>
          <cell r="BA1093">
            <v>0.21388888888888888</v>
          </cell>
          <cell r="BB1093" t="str">
            <v>0.8*1.0*1.7</v>
          </cell>
          <cell r="BD1093" t="str">
            <v>Vibratome</v>
          </cell>
          <cell r="BE1093">
            <v>15</v>
          </cell>
          <cell r="BF1093" t="str">
            <v>Dharani</v>
          </cell>
          <cell r="BG1093" t="str">
            <v>Y</v>
          </cell>
        </row>
        <row r="1094">
          <cell r="A1094" t="str">
            <v>FBR2F240224</v>
          </cell>
          <cell r="B1094">
            <v>240224</v>
          </cell>
          <cell r="C1094" t="str">
            <v>R&amp;D</v>
          </cell>
          <cell r="D1094">
            <v>45510</v>
          </cell>
          <cell r="E1094">
            <v>0.41111111111111109</v>
          </cell>
          <cell r="F1094">
            <v>45505</v>
          </cell>
          <cell r="G1094">
            <v>45510</v>
          </cell>
          <cell r="H1094">
            <v>0.4152777777777778</v>
          </cell>
          <cell r="I1094">
            <v>4.1666666666666666E-3</v>
          </cell>
          <cell r="J1094">
            <v>6</v>
          </cell>
          <cell r="K1094" t="str">
            <v>FCB-PROTOCOL-01</v>
          </cell>
          <cell r="L1094" t="str">
            <v>VYD/298</v>
          </cell>
          <cell r="M1094" t="str">
            <v>Y</v>
          </cell>
          <cell r="N1094" t="str">
            <v>BSS(1R)</v>
          </cell>
          <cell r="O1094" t="str">
            <v>Internal R&amp;D</v>
          </cell>
          <cell r="P1094" t="str">
            <v>Q1 Passed</v>
          </cell>
          <cell r="Q1094" t="str">
            <v>Q1 Passed</v>
          </cell>
          <cell r="R1094" t="str">
            <v>Q1.5 Passed</v>
          </cell>
          <cell r="S1094" t="str">
            <v>Q1.5 Passed</v>
          </cell>
          <cell r="V1094" t="str">
            <v>Tumor content 55-85%</v>
          </cell>
          <cell r="W1094" t="str">
            <v>Private Hospital</v>
          </cell>
          <cell r="X1094" t="str">
            <v>Vydehi Hospital, Bangalore</v>
          </cell>
          <cell r="Y1094" t="str">
            <v>Vydehi Hospital, Bangalore</v>
          </cell>
          <cell r="Z1094" t="str">
            <v>Dr Amritha Prabha, Bangalore</v>
          </cell>
          <cell r="AA1094" t="str">
            <v>HNSCC</v>
          </cell>
          <cell r="AC1094" t="str">
            <v xml:space="preserve">Buccal Mucosa </v>
          </cell>
          <cell r="AD1094" t="str">
            <v xml:space="preserve">Right Buccal Mucosa </v>
          </cell>
          <cell r="AE1094" t="str">
            <v>Male</v>
          </cell>
          <cell r="AF1094">
            <v>49</v>
          </cell>
          <cell r="AG1094" t="str">
            <v>N</v>
          </cell>
          <cell r="AH1094">
            <v>4.3</v>
          </cell>
          <cell r="AI1094" t="str">
            <v>Kalappa</v>
          </cell>
          <cell r="AJ1094" t="str">
            <v>Surgery</v>
          </cell>
          <cell r="AK1094" t="str">
            <v>Primary</v>
          </cell>
          <cell r="AN1094" t="str">
            <v>IVa</v>
          </cell>
          <cell r="AO1094">
            <v>2</v>
          </cell>
          <cell r="AP1094" t="str">
            <v>pT4aN2c</v>
          </cell>
          <cell r="AS1094" t="str">
            <v>scc</v>
          </cell>
          <cell r="AT1094" t="str">
            <v>RT</v>
          </cell>
          <cell r="AV1094">
            <v>45510</v>
          </cell>
          <cell r="AW1094">
            <v>0.54861111111111116</v>
          </cell>
          <cell r="AX1094">
            <v>0.625</v>
          </cell>
          <cell r="AY1094">
            <v>7.6388888888888895E-2</v>
          </cell>
          <cell r="AZ1094">
            <v>0.62083333333333335</v>
          </cell>
          <cell r="BA1094">
            <v>0.21388888888888888</v>
          </cell>
          <cell r="BB1094" t="str">
            <v>0.8*1.0*1.7</v>
          </cell>
          <cell r="BD1094" t="str">
            <v>Vibratome</v>
          </cell>
          <cell r="BE1094">
            <v>15</v>
          </cell>
          <cell r="BF1094" t="str">
            <v>Dharani</v>
          </cell>
          <cell r="BG1094" t="str">
            <v>Y</v>
          </cell>
        </row>
        <row r="1095">
          <cell r="A1095" t="str">
            <v>FBR1Q240225</v>
          </cell>
          <cell r="B1095">
            <v>240225</v>
          </cell>
          <cell r="C1095" t="str">
            <v>R&amp;D</v>
          </cell>
          <cell r="D1095">
            <v>45511</v>
          </cell>
          <cell r="E1095">
            <v>0.53472222222222221</v>
          </cell>
          <cell r="F1095">
            <v>45505</v>
          </cell>
          <cell r="G1095">
            <v>45511</v>
          </cell>
          <cell r="H1095">
            <v>0.6333333333333333</v>
          </cell>
          <cell r="I1095">
            <v>9.8611111111111108E-2</v>
          </cell>
          <cell r="J1095">
            <v>5</v>
          </cell>
          <cell r="K1095" t="str">
            <v>FCB-PROTOCOL-01</v>
          </cell>
          <cell r="L1095" t="str">
            <v>VYD/299</v>
          </cell>
          <cell r="M1095" t="str">
            <v>Y</v>
          </cell>
          <cell r="N1095" t="str">
            <v>COSv4.1_CaBR(1Q-Known)</v>
          </cell>
          <cell r="O1095" t="str">
            <v>Internal R&amp;D</v>
          </cell>
          <cell r="P1095" t="str">
            <v>Q1 Passed</v>
          </cell>
          <cell r="Q1095" t="str">
            <v>Q1 Passed</v>
          </cell>
          <cell r="R1095" t="str">
            <v>Q1.5 Passed</v>
          </cell>
          <cell r="S1095" t="str">
            <v>Q1.5 Passed</v>
          </cell>
          <cell r="V1095" t="str">
            <v>Tumor content 20-90%</v>
          </cell>
          <cell r="W1095" t="str">
            <v>Private Hospital</v>
          </cell>
          <cell r="X1095" t="str">
            <v>Vydehi Hospital, Bangalore</v>
          </cell>
          <cell r="Y1095" t="str">
            <v>Vydehi Hospital, Bangalore</v>
          </cell>
          <cell r="Z1095" t="str">
            <v>Dr Amritha Prabha, Bangalore</v>
          </cell>
          <cell r="AA1095" t="str">
            <v>Ca Breast</v>
          </cell>
          <cell r="AB1095" t="str">
            <v>TNBC</v>
          </cell>
          <cell r="AC1095" t="str">
            <v>Breast</v>
          </cell>
          <cell r="AD1095" t="str">
            <v>Right Breast</v>
          </cell>
          <cell r="AE1095" t="str">
            <v>Female</v>
          </cell>
          <cell r="AF1095">
            <v>49</v>
          </cell>
          <cell r="AG1095" t="str">
            <v>N</v>
          </cell>
          <cell r="AH1095">
            <v>5.3</v>
          </cell>
          <cell r="AI1095" t="str">
            <v>Kalappa</v>
          </cell>
          <cell r="AJ1095" t="str">
            <v>Surgery</v>
          </cell>
          <cell r="AK1095" t="str">
            <v>Primary</v>
          </cell>
          <cell r="AL1095" t="str">
            <v>Chemotherapy</v>
          </cell>
          <cell r="AN1095" t="str">
            <v>IIIc</v>
          </cell>
          <cell r="AO1095">
            <v>3</v>
          </cell>
          <cell r="AP1095" t="str">
            <v>pT4bN1a</v>
          </cell>
          <cell r="AQ1095">
            <v>8</v>
          </cell>
          <cell r="AR1095" t="str">
            <v>Adriyamycin, Cyclophosphamide, Paclitaxel &amp; Carboplatin</v>
          </cell>
          <cell r="AS1095" t="str">
            <v>IDC</v>
          </cell>
          <cell r="AT1095" t="str">
            <v>CTRT</v>
          </cell>
          <cell r="AU1095" t="str">
            <v>Capacitabine</v>
          </cell>
          <cell r="AV1095">
            <v>45511</v>
          </cell>
          <cell r="AW1095">
            <v>0.64930555555555558</v>
          </cell>
          <cell r="AX1095">
            <v>0.72083333333333333</v>
          </cell>
          <cell r="AY1095">
            <v>7.1527777777777773E-2</v>
          </cell>
          <cell r="AZ1095">
            <v>0.62222222222222223</v>
          </cell>
          <cell r="BA1095">
            <v>0.18611111111111112</v>
          </cell>
          <cell r="BB1095" t="str">
            <v>1.8*1.6*2.6</v>
          </cell>
          <cell r="BD1095" t="str">
            <v>Manual</v>
          </cell>
          <cell r="BE1095">
            <v>15</v>
          </cell>
          <cell r="BF1095" t="str">
            <v>Syam</v>
          </cell>
          <cell r="BG1095" t="str">
            <v>Y</v>
          </cell>
        </row>
        <row r="1096">
          <cell r="A1096" t="str">
            <v>FBR1C240226</v>
          </cell>
          <cell r="B1096">
            <v>240226</v>
          </cell>
          <cell r="C1096" t="str">
            <v>R&amp;D</v>
          </cell>
          <cell r="D1096">
            <v>45512</v>
          </cell>
          <cell r="E1096">
            <v>0.54305555555555551</v>
          </cell>
          <cell r="F1096">
            <v>45505</v>
          </cell>
          <cell r="G1096">
            <v>45512</v>
          </cell>
          <cell r="H1096">
            <v>0.65972222222222221</v>
          </cell>
          <cell r="I1096">
            <v>0.11666666666666667</v>
          </cell>
          <cell r="J1096">
            <v>28</v>
          </cell>
          <cell r="K1096" t="str">
            <v>FCB-PROTOCOL-02</v>
          </cell>
          <cell r="L1096" t="str">
            <v>RC064</v>
          </cell>
          <cell r="M1096" t="str">
            <v>Y</v>
          </cell>
          <cell r="N1096" t="str">
            <v>Cul Imp (1C)</v>
          </cell>
          <cell r="O1096" t="str">
            <v>Internal R&amp;D</v>
          </cell>
          <cell r="P1096" t="str">
            <v>Q1 Passed</v>
          </cell>
          <cell r="Q1096" t="str">
            <v>Q1 Passed</v>
          </cell>
          <cell r="R1096" t="str">
            <v>Q1.5 Passed</v>
          </cell>
          <cell r="S1096" t="str">
            <v>Q1.5 Rejected</v>
          </cell>
          <cell r="V1096" t="str">
            <v>No tumor</v>
          </cell>
          <cell r="W1096" t="str">
            <v>Private Hospital</v>
          </cell>
          <cell r="X1096" t="str">
            <v>Mazumdar Shaw Medical Centre, Bangalore</v>
          </cell>
          <cell r="Y1096" t="str">
            <v>Mazumdar Shaw Medical Centre, Bangalore</v>
          </cell>
          <cell r="Z1096" t="str">
            <v>Dr Saurabh Bhargav, Bangalore</v>
          </cell>
          <cell r="AA1096" t="str">
            <v>RCC</v>
          </cell>
          <cell r="AC1096" t="str">
            <v>Renal Mass</v>
          </cell>
          <cell r="AD1096" t="str">
            <v>Left Renal Mass</v>
          </cell>
          <cell r="AE1096" t="str">
            <v>Male</v>
          </cell>
          <cell r="AF1096">
            <v>35</v>
          </cell>
          <cell r="AG1096" t="str">
            <v>N</v>
          </cell>
          <cell r="AH1096">
            <v>5.4</v>
          </cell>
          <cell r="AI1096" t="str">
            <v>Kalappa</v>
          </cell>
          <cell r="AJ1096" t="str">
            <v>Surgery</v>
          </cell>
          <cell r="AK1096" t="str">
            <v>Primary</v>
          </cell>
          <cell r="AN1096" t="str">
            <v>I</v>
          </cell>
          <cell r="AO1096">
            <v>1</v>
          </cell>
          <cell r="AP1096" t="str">
            <v>pT1b</v>
          </cell>
          <cell r="AQ1096" t="str">
            <v>NA</v>
          </cell>
          <cell r="AS1096" t="str">
            <v xml:space="preserve">Chromophobe renal cell carcinoma </v>
          </cell>
          <cell r="AV1096">
            <v>45512</v>
          </cell>
          <cell r="AW1096">
            <v>0.67708333333333337</v>
          </cell>
          <cell r="AX1096">
            <v>0.71180555555555558</v>
          </cell>
          <cell r="AY1096">
            <v>3.4722222222222224E-2</v>
          </cell>
          <cell r="AZ1096">
            <v>0.59513888888888888</v>
          </cell>
          <cell r="BA1096">
            <v>0.16875000000000001</v>
          </cell>
          <cell r="BB1096" t="str">
            <v>0.2*0.6-0.8*1.0
0.2*0.4*0.8</v>
          </cell>
          <cell r="BD1096" t="str">
            <v>Manual</v>
          </cell>
          <cell r="BE1096">
            <v>15</v>
          </cell>
          <cell r="BF1096" t="str">
            <v>Dharani</v>
          </cell>
          <cell r="BG1096" t="str">
            <v>Y</v>
          </cell>
        </row>
        <row r="1097">
          <cell r="A1097" t="str">
            <v>FBR1Y240227</v>
          </cell>
          <cell r="B1097">
            <v>240227</v>
          </cell>
          <cell r="C1097" t="str">
            <v>R&amp;D</v>
          </cell>
          <cell r="D1097">
            <v>45512</v>
          </cell>
          <cell r="E1097">
            <v>0.53472222222222221</v>
          </cell>
          <cell r="F1097">
            <v>45505</v>
          </cell>
          <cell r="G1097">
            <v>45512</v>
          </cell>
          <cell r="H1097">
            <v>0.65972222222222221</v>
          </cell>
          <cell r="I1097">
            <v>0.125</v>
          </cell>
          <cell r="J1097">
            <v>6</v>
          </cell>
          <cell r="K1097" t="str">
            <v>FCB-PROTOCOL-02</v>
          </cell>
          <cell r="L1097" t="str">
            <v>HN164</v>
          </cell>
          <cell r="M1097" t="str">
            <v>Y</v>
          </cell>
          <cell r="N1097" t="str">
            <v>CCS Study (1Y)</v>
          </cell>
          <cell r="O1097" t="str">
            <v>Internal R&amp;D</v>
          </cell>
          <cell r="P1097" t="str">
            <v>Q1 Passed</v>
          </cell>
          <cell r="Q1097" t="str">
            <v>Q1 Passed</v>
          </cell>
          <cell r="R1097" t="str">
            <v>Compromised</v>
          </cell>
          <cell r="S1097" t="str">
            <v>Q1.5 Passed</v>
          </cell>
          <cell r="V1097" t="str">
            <v>Tumor content 70-90%</v>
          </cell>
          <cell r="W1097" t="str">
            <v>Private Hospital</v>
          </cell>
          <cell r="X1097" t="str">
            <v>Mazumdar Shaw Medical Centre, Bangalore</v>
          </cell>
          <cell r="Y1097" t="str">
            <v>Mazumdar Shaw Medical Centre, Bangalore</v>
          </cell>
          <cell r="Z1097" t="str">
            <v>Dr Vijay Pillai, Bangalore</v>
          </cell>
          <cell r="AA1097" t="str">
            <v>HNSCC</v>
          </cell>
          <cell r="AC1097" t="str">
            <v>Alveolus</v>
          </cell>
          <cell r="AD1097" t="str">
            <v xml:space="preserve">Alveolus </v>
          </cell>
          <cell r="AE1097" t="str">
            <v>Male</v>
          </cell>
          <cell r="AF1097">
            <v>68</v>
          </cell>
          <cell r="AG1097" t="str">
            <v>N</v>
          </cell>
          <cell r="AH1097">
            <v>5.4</v>
          </cell>
          <cell r="AI1097" t="str">
            <v>Kalappa</v>
          </cell>
          <cell r="AJ1097" t="str">
            <v>Surgery</v>
          </cell>
          <cell r="AK1097" t="str">
            <v>Primary</v>
          </cell>
          <cell r="AN1097" t="str">
            <v>IV</v>
          </cell>
          <cell r="AO1097">
            <v>3</v>
          </cell>
          <cell r="AP1097" t="str">
            <v>pT4apN2c</v>
          </cell>
          <cell r="AS1097" t="str">
            <v>Poorly differentiated squamous cell carcinoma</v>
          </cell>
          <cell r="AV1097">
            <v>45512</v>
          </cell>
          <cell r="AW1097">
            <v>0.67638888888888893</v>
          </cell>
          <cell r="AX1097">
            <v>0.72222222222222221</v>
          </cell>
          <cell r="AY1097">
            <v>4.583333333333333E-2</v>
          </cell>
          <cell r="AZ1097">
            <v>0.59722222222222221</v>
          </cell>
          <cell r="BA1097">
            <v>0.1875</v>
          </cell>
          <cell r="BB1097" t="str">
            <v>0.3-0.4*0.6*0.7</v>
          </cell>
          <cell r="BD1097" t="str">
            <v>Manual</v>
          </cell>
          <cell r="BE1097">
            <v>15</v>
          </cell>
          <cell r="BF1097" t="str">
            <v>Abdul</v>
          </cell>
          <cell r="BG1097" t="str">
            <v>Y</v>
          </cell>
        </row>
        <row r="1098">
          <cell r="A1098" t="str">
            <v>FBB1L240228</v>
          </cell>
          <cell r="B1098">
            <v>240228</v>
          </cell>
          <cell r="C1098" t="str">
            <v>Biopharma</v>
          </cell>
          <cell r="D1098">
            <v>45514</v>
          </cell>
          <cell r="E1098">
            <v>0.72361111111111109</v>
          </cell>
          <cell r="F1098">
            <v>45505</v>
          </cell>
          <cell r="G1098">
            <v>45514</v>
          </cell>
          <cell r="H1098">
            <v>0.77777777777777779</v>
          </cell>
          <cell r="I1098">
            <v>5.4166666666666669E-2</v>
          </cell>
          <cell r="J1098">
            <v>5</v>
          </cell>
          <cell r="K1098" t="str">
            <v>FCB-PROTOCOL-01</v>
          </cell>
          <cell r="L1098" t="str">
            <v>VYD/300</v>
          </cell>
          <cell r="M1098" t="str">
            <v>Y</v>
          </cell>
          <cell r="N1098" t="str">
            <v>BP010 (1L)</v>
          </cell>
          <cell r="O1098" t="str">
            <v>Biopharma</v>
          </cell>
          <cell r="P1098" t="str">
            <v>Q1 Passed</v>
          </cell>
          <cell r="Q1098" t="str">
            <v>Q1 Passed</v>
          </cell>
          <cell r="R1098" t="str">
            <v>Q1.5 Passed</v>
          </cell>
          <cell r="S1098" t="str">
            <v>Q1.5 Rejected</v>
          </cell>
          <cell r="V1098" t="str">
            <v>Isolated suspicious tumor cells in only one fragment, others no tumor</v>
          </cell>
          <cell r="W1098" t="str">
            <v>Private Hospital</v>
          </cell>
          <cell r="X1098" t="str">
            <v>Vydehi Hospital, Bangalore</v>
          </cell>
          <cell r="Y1098" t="str">
            <v>Vydehi Hospital, Bangalore</v>
          </cell>
          <cell r="Z1098" t="str">
            <v>Dr Amritha Prabha, Bangalore</v>
          </cell>
          <cell r="AA1098" t="str">
            <v>RCC</v>
          </cell>
          <cell r="AC1098" t="str">
            <v>Renal Mass</v>
          </cell>
          <cell r="AD1098" t="str">
            <v>Left Renal Mass</v>
          </cell>
          <cell r="AE1098" t="str">
            <v>Male</v>
          </cell>
          <cell r="AF1098">
            <v>53</v>
          </cell>
          <cell r="AG1098" t="str">
            <v>N</v>
          </cell>
          <cell r="AH1098">
            <v>5.6</v>
          </cell>
          <cell r="AI1098" t="str">
            <v>Kalappa</v>
          </cell>
          <cell r="AJ1098" t="str">
            <v>Surgery</v>
          </cell>
          <cell r="AK1098" t="str">
            <v>Primary</v>
          </cell>
          <cell r="AV1098">
            <v>45514</v>
          </cell>
          <cell r="AW1098">
            <v>0.79166666666666663</v>
          </cell>
          <cell r="AX1098">
            <v>0.83333333333333337</v>
          </cell>
          <cell r="AY1098">
            <v>4.1666666666666664E-2</v>
          </cell>
          <cell r="AZ1098">
            <v>0.77916666666666667</v>
          </cell>
          <cell r="BA1098">
            <v>0.10972222222222222</v>
          </cell>
          <cell r="BB1098" t="str">
            <v>1.8*2.3*3.0
1.6*2.2*3.0</v>
          </cell>
          <cell r="BD1098" t="str">
            <v>Manual</v>
          </cell>
          <cell r="BE1098">
            <v>15</v>
          </cell>
          <cell r="BF1098" t="str">
            <v>Syam</v>
          </cell>
          <cell r="BG1098" t="str">
            <v>Y</v>
          </cell>
        </row>
        <row r="1099">
          <cell r="A1099" t="str">
            <v>FBB1C240228</v>
          </cell>
          <cell r="B1099">
            <v>240228</v>
          </cell>
          <cell r="C1099" t="str">
            <v>R&amp;D</v>
          </cell>
          <cell r="D1099">
            <v>45514</v>
          </cell>
          <cell r="E1099">
            <v>0.72361111111111109</v>
          </cell>
          <cell r="F1099">
            <v>45505</v>
          </cell>
          <cell r="G1099">
            <v>45514</v>
          </cell>
          <cell r="H1099">
            <v>0.77777777777777779</v>
          </cell>
          <cell r="I1099">
            <v>5.4166666666666669E-2</v>
          </cell>
          <cell r="J1099">
            <v>5</v>
          </cell>
          <cell r="K1099" t="str">
            <v>FCB-PROTOCOL-01</v>
          </cell>
          <cell r="L1099" t="str">
            <v>VYD/300</v>
          </cell>
          <cell r="M1099" t="str">
            <v>Y</v>
          </cell>
          <cell r="N1099" t="str">
            <v>BP010 (1L)</v>
          </cell>
          <cell r="O1099" t="str">
            <v>Biopharma</v>
          </cell>
          <cell r="P1099" t="str">
            <v>Q1 Passed</v>
          </cell>
          <cell r="Q1099" t="str">
            <v>Q1 Passed</v>
          </cell>
          <cell r="R1099" t="str">
            <v>Q1.5 Passed</v>
          </cell>
          <cell r="S1099" t="str">
            <v>Q1.5 Rejected</v>
          </cell>
          <cell r="V1099" t="str">
            <v>Isolated suspicious tumor cells in only one fragment, others no tumor</v>
          </cell>
          <cell r="W1099" t="str">
            <v>Private Hospital</v>
          </cell>
          <cell r="X1099" t="str">
            <v>Vydehi Hospital, Bangalore</v>
          </cell>
          <cell r="Y1099" t="str">
            <v>Vydehi Hospital, Bangalore</v>
          </cell>
          <cell r="Z1099" t="str">
            <v>Dr Amritha Prabha, Bangalore</v>
          </cell>
          <cell r="AA1099" t="str">
            <v>RCC</v>
          </cell>
          <cell r="AC1099" t="str">
            <v>Renal Mass</v>
          </cell>
          <cell r="AD1099" t="str">
            <v>Left Renal Mass</v>
          </cell>
          <cell r="AE1099" t="str">
            <v>Male</v>
          </cell>
          <cell r="AF1099">
            <v>53</v>
          </cell>
          <cell r="AG1099" t="str">
            <v>N</v>
          </cell>
          <cell r="AH1099">
            <v>5.6</v>
          </cell>
          <cell r="AI1099" t="str">
            <v>Kalappa</v>
          </cell>
          <cell r="AJ1099" t="str">
            <v>Surgery</v>
          </cell>
          <cell r="AK1099" t="str">
            <v>Primary</v>
          </cell>
          <cell r="AV1099">
            <v>45514</v>
          </cell>
          <cell r="AW1099">
            <v>0.79166666666666663</v>
          </cell>
          <cell r="AX1099">
            <v>0.83333333333333337</v>
          </cell>
          <cell r="AY1099">
            <v>4.1666666666666664E-2</v>
          </cell>
          <cell r="AZ1099">
            <v>0.77916666666666667</v>
          </cell>
          <cell r="BA1099">
            <v>0.10972222222222222</v>
          </cell>
          <cell r="BB1099" t="str">
            <v>1.8*2.3*3.0
1.6*2.2*3.0</v>
          </cell>
          <cell r="BD1099" t="str">
            <v>Manual</v>
          </cell>
          <cell r="BE1099">
            <v>15</v>
          </cell>
          <cell r="BF1099" t="str">
            <v>Syam</v>
          </cell>
          <cell r="BG1099" t="str">
            <v>Y</v>
          </cell>
        </row>
        <row r="1100">
          <cell r="A1100" t="str">
            <v>FBR2Q240229</v>
          </cell>
          <cell r="B1100">
            <v>240229</v>
          </cell>
          <cell r="C1100" t="str">
            <v>R&amp;D</v>
          </cell>
          <cell r="D1100">
            <v>45516</v>
          </cell>
          <cell r="E1100">
            <v>0.50486111111111109</v>
          </cell>
          <cell r="F1100">
            <v>45505</v>
          </cell>
          <cell r="G1100">
            <v>45516</v>
          </cell>
          <cell r="H1100">
            <v>0.5854166666666667</v>
          </cell>
          <cell r="I1100">
            <v>8.0555555555555561E-2</v>
          </cell>
          <cell r="J1100">
            <v>4</v>
          </cell>
          <cell r="K1100" t="str">
            <v>FCB-PROTOCOL-01</v>
          </cell>
          <cell r="L1100" t="str">
            <v>VYD/301</v>
          </cell>
          <cell r="M1100" t="str">
            <v>Y</v>
          </cell>
          <cell r="N1100" t="str">
            <v>COSv4.2_CaBR(1Q-Unknown)</v>
          </cell>
          <cell r="O1100" t="str">
            <v>Internal R&amp;D</v>
          </cell>
          <cell r="P1100" t="str">
            <v>Q1 Passed</v>
          </cell>
          <cell r="Q1100" t="str">
            <v>Q1 Passed</v>
          </cell>
          <cell r="R1100" t="str">
            <v>Q1.5 Passed</v>
          </cell>
          <cell r="S1100" t="str">
            <v>Q1.5 Passed</v>
          </cell>
          <cell r="V1100" t="str">
            <v>Tumor content 70-95%</v>
          </cell>
          <cell r="W1100" t="str">
            <v>Private Hospital</v>
          </cell>
          <cell r="X1100" t="str">
            <v>Vydehi Hospital, Bangalore</v>
          </cell>
          <cell r="Y1100" t="str">
            <v>Vydehi Hospital, Bangalore</v>
          </cell>
          <cell r="Z1100" t="str">
            <v>Dr Amritha Prabha, Bangalore</v>
          </cell>
          <cell r="AA1100" t="str">
            <v>HNSCC</v>
          </cell>
          <cell r="AC1100" t="str">
            <v>Buccal Mucosa</v>
          </cell>
          <cell r="AD1100" t="str">
            <v>Right Buccal Mucosa</v>
          </cell>
          <cell r="AE1100" t="str">
            <v>Female</v>
          </cell>
          <cell r="AF1100">
            <v>46</v>
          </cell>
          <cell r="AG1100" t="str">
            <v>N</v>
          </cell>
          <cell r="AH1100">
            <v>4.8</v>
          </cell>
          <cell r="AI1100" t="str">
            <v>Kalappa</v>
          </cell>
          <cell r="AJ1100" t="str">
            <v>Surgery</v>
          </cell>
          <cell r="AK1100" t="str">
            <v>Primary</v>
          </cell>
          <cell r="AN1100" t="str">
            <v>IV</v>
          </cell>
          <cell r="AO1100">
            <v>2</v>
          </cell>
          <cell r="AP1100" t="str">
            <v>pT4aN0</v>
          </cell>
          <cell r="AS1100" t="str">
            <v>scc</v>
          </cell>
          <cell r="AT1100" t="str">
            <v>RT</v>
          </cell>
          <cell r="AV1100">
            <v>45516</v>
          </cell>
          <cell r="AW1100">
            <v>0.59791666666666665</v>
          </cell>
          <cell r="AX1100">
            <v>0.66666666666666663</v>
          </cell>
          <cell r="AY1100">
            <v>6.8750000000000006E-2</v>
          </cell>
          <cell r="AZ1100">
            <v>0.58611111111111114</v>
          </cell>
          <cell r="BA1100">
            <v>0.16180555555555556</v>
          </cell>
          <cell r="BB1100" t="str">
            <v>1.0*1.4*1.8-2.0</v>
          </cell>
          <cell r="BD1100" t="str">
            <v>Vibratome</v>
          </cell>
          <cell r="BE1100">
            <v>15</v>
          </cell>
          <cell r="BF1100" t="str">
            <v>chandan</v>
          </cell>
          <cell r="BG1100" t="str">
            <v>Y</v>
          </cell>
        </row>
        <row r="1101">
          <cell r="A1101" t="str">
            <v>FBB1L240230</v>
          </cell>
          <cell r="B1101">
            <v>240230</v>
          </cell>
          <cell r="C1101" t="str">
            <v>Biopharma</v>
          </cell>
          <cell r="D1101">
            <v>45516</v>
          </cell>
          <cell r="E1101">
            <v>0.72361111111111109</v>
          </cell>
          <cell r="F1101">
            <v>45505</v>
          </cell>
          <cell r="G1101">
            <v>45516</v>
          </cell>
          <cell r="H1101">
            <v>0.77777777777777779</v>
          </cell>
          <cell r="I1101">
            <v>5.4166666666666669E-2</v>
          </cell>
          <cell r="J1101">
            <v>1</v>
          </cell>
          <cell r="K1101" t="str">
            <v>FCB-PROTOCOL-02</v>
          </cell>
          <cell r="L1101" t="str">
            <v>RC065</v>
          </cell>
          <cell r="M1101" t="str">
            <v>Y</v>
          </cell>
          <cell r="N1101" t="str">
            <v>BP010 (1L)</v>
          </cell>
          <cell r="O1101" t="str">
            <v>Biopharma</v>
          </cell>
          <cell r="P1101" t="str">
            <v>Q1 Passed</v>
          </cell>
          <cell r="Q1101" t="str">
            <v>Q1 Passed</v>
          </cell>
          <cell r="R1101" t="str">
            <v>Q1.5 Passed</v>
          </cell>
          <cell r="S1101" t="str">
            <v>Q1.5 Rejected</v>
          </cell>
          <cell r="V1101" t="str">
            <v>Tumor in 2 fragments only 20-35%.Others no tumor. ? High grade clear cell type ? Papillary RCC</v>
          </cell>
          <cell r="W1101" t="str">
            <v>Private Hospital</v>
          </cell>
          <cell r="X1101" t="str">
            <v>Mazumdar Shaw Medical Centre, Bangalore</v>
          </cell>
          <cell r="Y1101" t="str">
            <v>Mazumdar Shaw Medical Centre, Bangalore</v>
          </cell>
          <cell r="Z1101" t="str">
            <v>Dr Saurabh Bhargav, Bangalore</v>
          </cell>
          <cell r="AA1101" t="str">
            <v>RCC</v>
          </cell>
          <cell r="AC1101" t="str">
            <v>Renal Mass</v>
          </cell>
          <cell r="AD1101" t="str">
            <v>Right Renal Mass</v>
          </cell>
          <cell r="AE1101" t="str">
            <v>Male</v>
          </cell>
          <cell r="AF1101">
            <v>48</v>
          </cell>
          <cell r="AG1101" t="str">
            <v>N</v>
          </cell>
          <cell r="AH1101">
            <v>5.0999999999999996</v>
          </cell>
          <cell r="AI1101" t="str">
            <v>Shashi</v>
          </cell>
          <cell r="AJ1101" t="str">
            <v>Surgery</v>
          </cell>
          <cell r="AK1101" t="str">
            <v>Primary</v>
          </cell>
          <cell r="AN1101" t="str">
            <v>II</v>
          </cell>
          <cell r="AO1101">
            <v>4</v>
          </cell>
          <cell r="AP1101" t="str">
            <v>pT2a</v>
          </cell>
          <cell r="AQ1101" t="str">
            <v>NA</v>
          </cell>
          <cell r="AS1101" t="str">
            <v>Clear cell renal cell  carcinoma</v>
          </cell>
          <cell r="AV1101">
            <v>45516</v>
          </cell>
          <cell r="AW1101">
            <v>0.79027777777777775</v>
          </cell>
          <cell r="AX1101">
            <v>0.85277777777777775</v>
          </cell>
          <cell r="AY1101">
            <v>6.25E-2</v>
          </cell>
          <cell r="AZ1101">
            <v>0.79861111111111116</v>
          </cell>
          <cell r="BA1101">
            <v>0.12916666666666668</v>
          </cell>
          <cell r="BB1101" t="str">
            <v>0.5*1.3*2.0</v>
          </cell>
          <cell r="BD1101" t="str">
            <v>Vibratome</v>
          </cell>
          <cell r="BE1101">
            <v>15</v>
          </cell>
          <cell r="BF1101" t="str">
            <v>kuberan</v>
          </cell>
          <cell r="BG1101" t="str">
            <v>Y</v>
          </cell>
        </row>
        <row r="1102">
          <cell r="A1102" t="str">
            <v>FBR1Y240231</v>
          </cell>
          <cell r="B1102">
            <v>240231</v>
          </cell>
          <cell r="C1102" t="str">
            <v>R&amp;D</v>
          </cell>
          <cell r="D1102">
            <v>45517</v>
          </cell>
          <cell r="E1102">
            <v>0.48333333333333334</v>
          </cell>
          <cell r="F1102">
            <v>45505</v>
          </cell>
          <cell r="G1102">
            <v>45517</v>
          </cell>
          <cell r="H1102">
            <v>0.62152777777777779</v>
          </cell>
          <cell r="I1102">
            <v>0.13819444444444445</v>
          </cell>
          <cell r="J1102">
            <v>6</v>
          </cell>
          <cell r="K1102" t="str">
            <v>FCB-PROTOCOL-01</v>
          </cell>
          <cell r="L1102" t="str">
            <v>VYD/302</v>
          </cell>
          <cell r="M1102" t="str">
            <v>Y</v>
          </cell>
          <cell r="N1102" t="str">
            <v>CCS Study (1Y)</v>
          </cell>
          <cell r="O1102" t="str">
            <v>Internal R&amp;D</v>
          </cell>
          <cell r="P1102" t="str">
            <v>Q1 Passed</v>
          </cell>
          <cell r="Q1102" t="str">
            <v>Q1 Rejected</v>
          </cell>
          <cell r="R1102" t="str">
            <v>Compromised</v>
          </cell>
          <cell r="S1102" t="str">
            <v>Q1.5 Passed</v>
          </cell>
          <cell r="T1102" t="str">
            <v>Blood Clotted</v>
          </cell>
          <cell r="V1102" t="str">
            <v>Tumor content 4-95%</v>
          </cell>
          <cell r="W1102" t="str">
            <v>Private Hospital</v>
          </cell>
          <cell r="X1102" t="str">
            <v>Vydehi Hospital, Bangalore</v>
          </cell>
          <cell r="Y1102" t="str">
            <v>Vydehi Hospital, Bangalore</v>
          </cell>
          <cell r="Z1102" t="str">
            <v>Dr Amritha Prabha, Bangalore</v>
          </cell>
          <cell r="AA1102" t="str">
            <v>HNSCC</v>
          </cell>
          <cell r="AC1102" t="str">
            <v>Buccal Mucosa</v>
          </cell>
          <cell r="AD1102" t="str">
            <v>Left Buccal Mucosa</v>
          </cell>
          <cell r="AE1102" t="str">
            <v>Female</v>
          </cell>
          <cell r="AF1102">
            <v>53</v>
          </cell>
          <cell r="AG1102" t="str">
            <v>N</v>
          </cell>
          <cell r="AH1102">
            <v>5.6</v>
          </cell>
          <cell r="AI1102" t="str">
            <v>Kalappa</v>
          </cell>
          <cell r="AJ1102" t="str">
            <v>Surgery</v>
          </cell>
          <cell r="AK1102" t="str">
            <v>Primary</v>
          </cell>
          <cell r="AN1102" t="str">
            <v>IV</v>
          </cell>
          <cell r="AO1102">
            <v>3</v>
          </cell>
          <cell r="AP1102" t="str">
            <v>pT3N3b</v>
          </cell>
          <cell r="AS1102" t="str">
            <v>scc</v>
          </cell>
          <cell r="AT1102" t="str">
            <v>CTRT</v>
          </cell>
          <cell r="AU1102" t="str">
            <v>Cisplatin</v>
          </cell>
          <cell r="AV1102">
            <v>45517</v>
          </cell>
          <cell r="AW1102">
            <v>0.64375000000000004</v>
          </cell>
          <cell r="AX1102">
            <v>0.73263888888888884</v>
          </cell>
          <cell r="AY1102">
            <v>8.8888888888888892E-2</v>
          </cell>
          <cell r="AZ1102">
            <v>0.59444444444444444</v>
          </cell>
          <cell r="BA1102">
            <v>0.24930555555555556</v>
          </cell>
          <cell r="BB1102" t="str">
            <v>0.2*1.1*1.6
0.2*0.8-1.3*1.2-1.4</v>
          </cell>
          <cell r="BD1102" t="str">
            <v>Vibratome</v>
          </cell>
          <cell r="BE1102">
            <v>15</v>
          </cell>
          <cell r="BF1102" t="str">
            <v>Syam</v>
          </cell>
          <cell r="BG1102" t="str">
            <v>N</v>
          </cell>
        </row>
        <row r="1103">
          <cell r="A1103" t="str">
            <v>FBR2D240231</v>
          </cell>
          <cell r="B1103">
            <v>240231</v>
          </cell>
          <cell r="C1103" t="str">
            <v>R&amp;D</v>
          </cell>
          <cell r="D1103">
            <v>45517</v>
          </cell>
          <cell r="E1103">
            <v>0.48333333333333334</v>
          </cell>
          <cell r="F1103">
            <v>45505</v>
          </cell>
          <cell r="G1103">
            <v>45517</v>
          </cell>
          <cell r="H1103">
            <v>0.62152777777777779</v>
          </cell>
          <cell r="I1103">
            <v>0.13819444444444445</v>
          </cell>
          <cell r="J1103">
            <v>6</v>
          </cell>
          <cell r="K1103" t="str">
            <v>FCB-PROTOCOL-01</v>
          </cell>
          <cell r="L1103" t="str">
            <v>VYD/302</v>
          </cell>
          <cell r="M1103" t="str">
            <v>Y</v>
          </cell>
          <cell r="N1103" t="str">
            <v>CCS Study (1Y)</v>
          </cell>
          <cell r="O1103" t="str">
            <v>Internal R&amp;D</v>
          </cell>
          <cell r="P1103" t="str">
            <v>Q1 Passed</v>
          </cell>
          <cell r="Q1103" t="str">
            <v>Q1 Rejected</v>
          </cell>
          <cell r="R1103" t="str">
            <v>Compromised</v>
          </cell>
          <cell r="S1103" t="str">
            <v>Q1.5 Passed</v>
          </cell>
          <cell r="T1103" t="str">
            <v>Blood Clotted</v>
          </cell>
          <cell r="V1103" t="str">
            <v>Tumor content 0-90%. Average tumor content 60%</v>
          </cell>
          <cell r="W1103" t="str">
            <v>Private Hospital</v>
          </cell>
          <cell r="X1103" t="str">
            <v>Vydehi Hospital, Bangalore</v>
          </cell>
          <cell r="Y1103" t="str">
            <v>Vydehi Hospital, Bangalore</v>
          </cell>
          <cell r="Z1103" t="str">
            <v>Dr Amritha Prabha, Bangalore</v>
          </cell>
          <cell r="AA1103" t="str">
            <v>HNSCC</v>
          </cell>
          <cell r="AC1103" t="str">
            <v>Buccal Mucosa</v>
          </cell>
          <cell r="AD1103" t="str">
            <v>Left Buccal Mucosa</v>
          </cell>
          <cell r="AE1103" t="str">
            <v>Female</v>
          </cell>
          <cell r="AF1103">
            <v>53</v>
          </cell>
          <cell r="AG1103" t="str">
            <v>N</v>
          </cell>
          <cell r="AH1103">
            <v>5.6</v>
          </cell>
          <cell r="AI1103" t="str">
            <v>Kalappa</v>
          </cell>
          <cell r="AJ1103" t="str">
            <v>Surgery</v>
          </cell>
          <cell r="AK1103" t="str">
            <v>Primary</v>
          </cell>
          <cell r="AN1103" t="str">
            <v>IV</v>
          </cell>
          <cell r="AO1103">
            <v>3</v>
          </cell>
          <cell r="AP1103" t="str">
            <v>pT3N3b</v>
          </cell>
          <cell r="AS1103" t="str">
            <v>scc</v>
          </cell>
          <cell r="AT1103" t="str">
            <v>CTRT</v>
          </cell>
          <cell r="AU1103" t="str">
            <v>Cisplatin</v>
          </cell>
          <cell r="AV1103">
            <v>45517</v>
          </cell>
          <cell r="AW1103">
            <v>0.64375000000000004</v>
          </cell>
          <cell r="AX1103">
            <v>0.73263888888888884</v>
          </cell>
          <cell r="AY1103">
            <v>8.8888888888888892E-2</v>
          </cell>
          <cell r="AZ1103">
            <v>0.59444444444444444</v>
          </cell>
          <cell r="BA1103">
            <v>0.24930555555555556</v>
          </cell>
          <cell r="BB1103" t="str">
            <v>0.2*1.1*1.6
0.2*0.8-1.3*1.2-1.4</v>
          </cell>
          <cell r="BD1103" t="str">
            <v>Manual</v>
          </cell>
          <cell r="BE1103">
            <v>15</v>
          </cell>
          <cell r="BF1103" t="str">
            <v>Syam</v>
          </cell>
          <cell r="BG1103" t="str">
            <v>N</v>
          </cell>
        </row>
        <row r="1104">
          <cell r="A1104" t="str">
            <v>FBR1Y240232</v>
          </cell>
          <cell r="B1104">
            <v>240232</v>
          </cell>
          <cell r="C1104" t="str">
            <v>R&amp;D</v>
          </cell>
          <cell r="D1104">
            <v>45518</v>
          </cell>
          <cell r="E1104">
            <v>0.52638888888888891</v>
          </cell>
          <cell r="F1104">
            <v>45505</v>
          </cell>
          <cell r="G1104">
            <v>45518</v>
          </cell>
          <cell r="H1104">
            <v>0.6381944444444444</v>
          </cell>
          <cell r="I1104">
            <v>0.11180555555555556</v>
          </cell>
          <cell r="J1104">
            <v>12</v>
          </cell>
          <cell r="K1104" t="str">
            <v>FCB-PROTOCOL-02</v>
          </cell>
          <cell r="L1104" t="str">
            <v>HN165</v>
          </cell>
          <cell r="M1104" t="str">
            <v>Y</v>
          </cell>
          <cell r="N1104" t="str">
            <v>CCS Study (1Y)</v>
          </cell>
          <cell r="O1104" t="str">
            <v>Internal R&amp;D</v>
          </cell>
          <cell r="P1104" t="str">
            <v>Q1 Passed</v>
          </cell>
          <cell r="Q1104" t="str">
            <v>Not Received</v>
          </cell>
          <cell r="R1104" t="str">
            <v>Compromised</v>
          </cell>
          <cell r="S1104" t="str">
            <v>Q1.5 Passed</v>
          </cell>
          <cell r="T1104" t="str">
            <v>Blood not collected</v>
          </cell>
          <cell r="W1104" t="str">
            <v>Private Hospital</v>
          </cell>
          <cell r="X1104" t="str">
            <v>Mazumdar Shaw Medical Centre, Bangalore</v>
          </cell>
          <cell r="Y1104" t="str">
            <v>Mazumdar Shaw Medical Centre, Bangalore</v>
          </cell>
          <cell r="Z1104" t="str">
            <v>Dr Vijay Pillai, Bangalore</v>
          </cell>
          <cell r="AA1104" t="str">
            <v>HNSCC</v>
          </cell>
          <cell r="AC1104" t="str">
            <v>Buccal Mucosa</v>
          </cell>
          <cell r="AD1104" t="str">
            <v>Right Buccal Mucosa</v>
          </cell>
          <cell r="AE1104" t="str">
            <v>Male</v>
          </cell>
          <cell r="AF1104">
            <v>49</v>
          </cell>
          <cell r="AG1104" t="str">
            <v>N</v>
          </cell>
          <cell r="AH1104">
            <v>5.2</v>
          </cell>
          <cell r="AI1104" t="str">
            <v>Shashi</v>
          </cell>
          <cell r="AJ1104" t="str">
            <v>Surgery</v>
          </cell>
          <cell r="AK1104" t="str">
            <v>Primary</v>
          </cell>
          <cell r="AN1104" t="str">
            <v>III</v>
          </cell>
          <cell r="AO1104">
            <v>2</v>
          </cell>
          <cell r="AP1104" t="str">
            <v>pT3pN0</v>
          </cell>
          <cell r="AS1104" t="str">
            <v>MDSCC(Moderately Differentiated Squamous cell carcinoma)</v>
          </cell>
          <cell r="AV1104">
            <v>45518</v>
          </cell>
          <cell r="AX1104">
            <v>0.72291666666666665</v>
          </cell>
          <cell r="BF1104" t="str">
            <v>chandan</v>
          </cell>
          <cell r="BG1104" t="str">
            <v>N</v>
          </cell>
        </row>
        <row r="1105">
          <cell r="A1105" t="str">
            <v>FBR2R240232</v>
          </cell>
          <cell r="B1105">
            <v>240232</v>
          </cell>
          <cell r="C1105" t="str">
            <v>R&amp;D</v>
          </cell>
          <cell r="D1105">
            <v>45518</v>
          </cell>
          <cell r="E1105">
            <v>0.52638888888888891</v>
          </cell>
          <cell r="F1105">
            <v>45505</v>
          </cell>
          <cell r="G1105">
            <v>45518</v>
          </cell>
          <cell r="H1105">
            <v>0.6381944444444444</v>
          </cell>
          <cell r="I1105">
            <v>0.11180555555555556</v>
          </cell>
          <cell r="J1105">
            <v>12</v>
          </cell>
          <cell r="K1105" t="str">
            <v>FCB-PROTOCOL-02</v>
          </cell>
          <cell r="L1105" t="str">
            <v>HN165</v>
          </cell>
          <cell r="M1105" t="str">
            <v>Y</v>
          </cell>
          <cell r="N1105" t="str">
            <v>CosV5 (2R)</v>
          </cell>
          <cell r="O1105" t="str">
            <v>Internal R&amp;D</v>
          </cell>
          <cell r="P1105" t="str">
            <v>Q1 Passed</v>
          </cell>
          <cell r="Q1105" t="str">
            <v>Not Received</v>
          </cell>
          <cell r="R1105" t="str">
            <v>Compromised</v>
          </cell>
          <cell r="S1105" t="str">
            <v>Q1.5 Passed</v>
          </cell>
          <cell r="T1105" t="str">
            <v>Blood not collected</v>
          </cell>
          <cell r="V1105" t="str">
            <v>A: Tumor content 20-75%	
B:Tumor content 55-90%</v>
          </cell>
          <cell r="W1105" t="str">
            <v>Private Hospital</v>
          </cell>
          <cell r="X1105" t="str">
            <v>Mazumdar Shaw Medical Centre, Bangalore</v>
          </cell>
          <cell r="Y1105" t="str">
            <v>Mazumdar Shaw Medical Centre, Bangalore</v>
          </cell>
          <cell r="Z1105" t="str">
            <v>Dr Vijay Pillai, Bangalore</v>
          </cell>
          <cell r="AA1105" t="str">
            <v>HNSCC</v>
          </cell>
          <cell r="AC1105" t="str">
            <v>Buccal Mucosa</v>
          </cell>
          <cell r="AD1105" t="str">
            <v>Right Buccal Mucosa</v>
          </cell>
          <cell r="AE1105" t="str">
            <v>Male</v>
          </cell>
          <cell r="AF1105">
            <v>49</v>
          </cell>
          <cell r="AG1105" t="str">
            <v>N</v>
          </cell>
          <cell r="AH1105">
            <v>5.2</v>
          </cell>
          <cell r="AI1105" t="str">
            <v>Shashi</v>
          </cell>
          <cell r="AJ1105" t="str">
            <v>Surgery</v>
          </cell>
          <cell r="AK1105" t="str">
            <v>Primary</v>
          </cell>
          <cell r="AN1105" t="str">
            <v>III</v>
          </cell>
          <cell r="AO1105">
            <v>2</v>
          </cell>
          <cell r="AP1105" t="str">
            <v>pT3pN0</v>
          </cell>
          <cell r="AS1105" t="str">
            <v>MDSCC(Moderately Differentiated Squamous cell carcinoma)</v>
          </cell>
          <cell r="AV1105">
            <v>45518</v>
          </cell>
          <cell r="AW1105">
            <v>0.65277777777777779</v>
          </cell>
          <cell r="AX1105">
            <v>0.70833333333333337</v>
          </cell>
          <cell r="AY1105">
            <v>5.5555555555555552E-2</v>
          </cell>
          <cell r="AZ1105">
            <v>0.59652777777777777</v>
          </cell>
          <cell r="BA1105">
            <v>0.18194444444444444</v>
          </cell>
          <cell r="BB1105" t="str">
            <v>0.4-0.5*0.6-0.8*0.9</v>
          </cell>
          <cell r="BD1105" t="str">
            <v>Vibratome</v>
          </cell>
          <cell r="BE1105">
            <v>15</v>
          </cell>
          <cell r="BF1105" t="str">
            <v>chandan</v>
          </cell>
          <cell r="BG1105" t="str">
            <v>N</v>
          </cell>
        </row>
        <row r="1106">
          <cell r="A1106" t="str">
            <v>FBR1J240233</v>
          </cell>
          <cell r="B1106">
            <v>240233</v>
          </cell>
          <cell r="C1106" t="str">
            <v>R&amp;D</v>
          </cell>
          <cell r="D1106">
            <v>45519</v>
          </cell>
          <cell r="E1106">
            <v>5.347222222222222E-2</v>
          </cell>
          <cell r="F1106">
            <v>45505</v>
          </cell>
          <cell r="G1106">
            <v>45519</v>
          </cell>
          <cell r="H1106">
            <v>0.41111111111111109</v>
          </cell>
          <cell r="I1106">
            <v>0.3576388888888889</v>
          </cell>
          <cell r="J1106">
            <v>1</v>
          </cell>
          <cell r="K1106" t="str">
            <v>FCB-PROTOCOL-01</v>
          </cell>
          <cell r="L1106" t="str">
            <v>CLN/PRA/269</v>
          </cell>
          <cell r="M1106" t="str">
            <v>Y</v>
          </cell>
          <cell r="N1106" t="str">
            <v>COS_v3.0-Gastric (1J)</v>
          </cell>
          <cell r="O1106" t="str">
            <v>Internal R&amp;D</v>
          </cell>
          <cell r="P1106" t="str">
            <v>Q1 Passed</v>
          </cell>
          <cell r="Q1106" t="str">
            <v>Q1 Passed</v>
          </cell>
          <cell r="R1106" t="str">
            <v>Compromised</v>
          </cell>
          <cell r="S1106" t="str">
            <v>Q1.5 Passed</v>
          </cell>
          <cell r="V1106" t="str">
            <v>A:Tumor content 40-70%  ?  Tumor from eosophagus
B:Tumor content 40-75%</v>
          </cell>
          <cell r="W1106" t="str">
            <v>Private Hospital</v>
          </cell>
          <cell r="X1106" t="str">
            <v>Dr Prakash BV, Bangalore</v>
          </cell>
          <cell r="Y1106" t="str">
            <v>Sri Lakshmi Hospital, Bangalore</v>
          </cell>
          <cell r="Z1106" t="str">
            <v>Dr Prakash BV, Bangalore</v>
          </cell>
          <cell r="AA1106" t="str">
            <v>GI</v>
          </cell>
          <cell r="AC1106" t="str">
            <v>Stomach</v>
          </cell>
          <cell r="AD1106" t="str">
            <v>Stomach</v>
          </cell>
          <cell r="AE1106" t="str">
            <v>Male</v>
          </cell>
          <cell r="AF1106">
            <v>65</v>
          </cell>
          <cell r="AG1106" t="str">
            <v>N</v>
          </cell>
          <cell r="AH1106">
            <v>5.4</v>
          </cell>
          <cell r="AI1106" t="str">
            <v>Maruthi</v>
          </cell>
          <cell r="AJ1106" t="str">
            <v>Surgery</v>
          </cell>
          <cell r="AK1106" t="str">
            <v>Primary</v>
          </cell>
          <cell r="AN1106" t="str">
            <v>III</v>
          </cell>
          <cell r="AO1106">
            <v>2</v>
          </cell>
          <cell r="AP1106" t="str">
            <v>T4N3M1</v>
          </cell>
          <cell r="AS1106" t="str">
            <v>Adenocarcinoma</v>
          </cell>
          <cell r="AV1106">
            <v>45519</v>
          </cell>
          <cell r="AW1106">
            <v>0.4513888888888889</v>
          </cell>
          <cell r="AX1106">
            <v>0.52222222222222225</v>
          </cell>
          <cell r="AY1106">
            <v>7.0833333333333331E-2</v>
          </cell>
          <cell r="AZ1106">
            <v>0.16458333333333333</v>
          </cell>
          <cell r="BA1106">
            <v>0.46875</v>
          </cell>
          <cell r="BB1106" t="str">
            <v>0.6*1.2*3.2
0.3*1.4-0.6*3.8</v>
          </cell>
          <cell r="BD1106" t="str">
            <v>Manual+Vibratome</v>
          </cell>
          <cell r="BE1106">
            <v>15</v>
          </cell>
          <cell r="BF1106" t="str">
            <v>Dharani</v>
          </cell>
          <cell r="BG1106" t="str">
            <v>Y</v>
          </cell>
        </row>
        <row r="1107">
          <cell r="A1107" t="str">
            <v>FBB1L240234</v>
          </cell>
          <cell r="B1107">
            <v>240234</v>
          </cell>
          <cell r="C1107" t="str">
            <v>Biopharma</v>
          </cell>
          <cell r="D1107">
            <v>45519</v>
          </cell>
          <cell r="E1107">
            <v>0.35138888888888886</v>
          </cell>
          <cell r="F1107">
            <v>45505</v>
          </cell>
          <cell r="G1107">
            <v>45519</v>
          </cell>
          <cell r="H1107">
            <v>0.41111111111111109</v>
          </cell>
          <cell r="I1107">
            <v>5.9722222222222225E-2</v>
          </cell>
          <cell r="J1107">
            <v>2</v>
          </cell>
          <cell r="K1107" t="str">
            <v>FCB-PROTOCOL-01</v>
          </cell>
          <cell r="L1107" t="str">
            <v>CLN/PRA/270</v>
          </cell>
          <cell r="M1107" t="str">
            <v>Y</v>
          </cell>
          <cell r="N1107" t="str">
            <v>BP008 (1J)</v>
          </cell>
          <cell r="O1107" t="str">
            <v>Biopharma</v>
          </cell>
          <cell r="P1107" t="str">
            <v>Q1 Passed</v>
          </cell>
          <cell r="Q1107" t="str">
            <v>Q1 Passed</v>
          </cell>
          <cell r="R1107" t="str">
            <v>Q1.5 Passed</v>
          </cell>
          <cell r="S1107" t="str">
            <v>Q1.5 Passed</v>
          </cell>
          <cell r="V1107" t="str">
            <v>Tumor content 40-90%             Clear cell type</v>
          </cell>
          <cell r="W1107" t="str">
            <v>Private Hospital</v>
          </cell>
          <cell r="X1107" t="str">
            <v>Dr Prakash BV, Bangalore</v>
          </cell>
          <cell r="Y1107" t="str">
            <v>Sri Lakshmi Hospital, Bangalore</v>
          </cell>
          <cell r="Z1107" t="str">
            <v>Dr Prakash BV, Bangalore</v>
          </cell>
          <cell r="AA1107" t="str">
            <v>RCC</v>
          </cell>
          <cell r="AC1107" t="str">
            <v>Renal Mass</v>
          </cell>
          <cell r="AD1107" t="str">
            <v>Right Renal Mass</v>
          </cell>
          <cell r="AE1107" t="str">
            <v>Male</v>
          </cell>
          <cell r="AF1107">
            <v>60</v>
          </cell>
          <cell r="AG1107" t="str">
            <v>N</v>
          </cell>
          <cell r="AH1107">
            <v>5.4</v>
          </cell>
          <cell r="AI1107" t="str">
            <v>Maruthi</v>
          </cell>
          <cell r="AJ1107" t="str">
            <v>Surgery</v>
          </cell>
          <cell r="AK1107" t="str">
            <v>Primary</v>
          </cell>
          <cell r="AN1107" t="str">
            <v>II</v>
          </cell>
          <cell r="AO1107">
            <v>2</v>
          </cell>
          <cell r="AP1107" t="str">
            <v>T2N0M0</v>
          </cell>
          <cell r="AV1107">
            <v>45519</v>
          </cell>
          <cell r="AW1107">
            <v>0.43472222222222223</v>
          </cell>
          <cell r="AX1107">
            <v>0.51041666666666663</v>
          </cell>
          <cell r="AY1107">
            <v>7.5694444E-2</v>
          </cell>
          <cell r="AZ1107">
            <v>0.45069444400000003</v>
          </cell>
          <cell r="BA1107">
            <v>0.15902777800000001</v>
          </cell>
          <cell r="BB1107" t="str">
            <v>0.2-0.3*1.0-1.4*2.6-2.9</v>
          </cell>
          <cell r="BD1107" t="str">
            <v>Manual</v>
          </cell>
          <cell r="BE1107">
            <v>15</v>
          </cell>
          <cell r="BF1107" t="str">
            <v xml:space="preserve">sai </v>
          </cell>
          <cell r="BG1107" t="str">
            <v>Y</v>
          </cell>
        </row>
        <row r="1108">
          <cell r="A1108" t="str">
            <v>FBR1Y240235</v>
          </cell>
          <cell r="B1108">
            <v>240235</v>
          </cell>
          <cell r="C1108" t="str">
            <v>R&amp;D</v>
          </cell>
          <cell r="D1108">
            <v>45520</v>
          </cell>
          <cell r="E1108">
            <v>0.49583333333333335</v>
          </cell>
          <cell r="F1108">
            <v>45505</v>
          </cell>
          <cell r="G1108">
            <v>45520</v>
          </cell>
          <cell r="H1108">
            <v>0.57013888888888886</v>
          </cell>
          <cell r="I1108">
            <v>7.4305555555555555E-2</v>
          </cell>
          <cell r="J1108">
            <v>2</v>
          </cell>
          <cell r="K1108" t="str">
            <v>FCB-PROTOCOL-01</v>
          </cell>
          <cell r="L1108" t="str">
            <v>VYD/303</v>
          </cell>
          <cell r="M1108" t="str">
            <v>Y</v>
          </cell>
          <cell r="N1108" t="str">
            <v>CCS Study (1Y)</v>
          </cell>
          <cell r="O1108" t="str">
            <v>Internal R&amp;D</v>
          </cell>
          <cell r="P1108" t="str">
            <v>Q1 Passed</v>
          </cell>
          <cell r="Q1108" t="str">
            <v>Q1 Passed</v>
          </cell>
          <cell r="R1108" t="str">
            <v>Q1.5 Passed</v>
          </cell>
          <cell r="S1108" t="str">
            <v>Q1.5 Passed</v>
          </cell>
          <cell r="V1108" t="str">
            <v>Tumor content 25-80%</v>
          </cell>
          <cell r="W1108" t="str">
            <v>Private Hospital</v>
          </cell>
          <cell r="X1108" t="str">
            <v>Vydehi Hospital, Bangalore</v>
          </cell>
          <cell r="Y1108" t="str">
            <v>Vydehi Hospital, Bangalore</v>
          </cell>
          <cell r="Z1108" t="str">
            <v>Dr Amritha Prabha, Bangalore</v>
          </cell>
          <cell r="AA1108" t="str">
            <v>HNSCC</v>
          </cell>
          <cell r="AC1108" t="str">
            <v>Alveolus</v>
          </cell>
          <cell r="AD1108" t="str">
            <v>Lower Alveolus</v>
          </cell>
          <cell r="AE1108" t="str">
            <v>Male</v>
          </cell>
          <cell r="AF1108">
            <v>59</v>
          </cell>
          <cell r="AG1108" t="str">
            <v>N</v>
          </cell>
          <cell r="AH1108">
            <v>5.2</v>
          </cell>
          <cell r="AI1108" t="str">
            <v>Kalappa</v>
          </cell>
          <cell r="AJ1108" t="str">
            <v>Surgery</v>
          </cell>
          <cell r="AK1108" t="str">
            <v>Primary</v>
          </cell>
          <cell r="AN1108" t="str">
            <v>IV</v>
          </cell>
          <cell r="AO1108">
            <v>2</v>
          </cell>
          <cell r="AP1108" t="str">
            <v>pT4aN1</v>
          </cell>
          <cell r="AS1108" t="str">
            <v>scc</v>
          </cell>
          <cell r="AT1108" t="str">
            <v>RT</v>
          </cell>
          <cell r="AV1108">
            <v>45520</v>
          </cell>
          <cell r="AW1108">
            <v>0.58888888888888891</v>
          </cell>
          <cell r="AX1108">
            <v>0.67291666666666672</v>
          </cell>
          <cell r="AY1108">
            <v>8.4027777777777785E-2</v>
          </cell>
          <cell r="AZ1108">
            <v>0.59861111111111109</v>
          </cell>
          <cell r="BA1108">
            <v>0.17708333333333334</v>
          </cell>
          <cell r="BB1108" t="str">
            <v>0.5-0.6*1.2-1.3*1.6-1.7</v>
          </cell>
          <cell r="BD1108" t="str">
            <v>Vibratome</v>
          </cell>
          <cell r="BE1108">
            <v>15</v>
          </cell>
          <cell r="BF1108" t="str">
            <v>Abdul</v>
          </cell>
          <cell r="BG1108" t="str">
            <v>Y</v>
          </cell>
        </row>
        <row r="1109">
          <cell r="A1109" t="str">
            <v>FBR2Q240235</v>
          </cell>
          <cell r="B1109">
            <v>240235</v>
          </cell>
          <cell r="C1109" t="str">
            <v>R&amp;D</v>
          </cell>
          <cell r="D1109">
            <v>45520</v>
          </cell>
          <cell r="E1109">
            <v>0.49583333333333335</v>
          </cell>
          <cell r="F1109">
            <v>45505</v>
          </cell>
          <cell r="G1109">
            <v>45520</v>
          </cell>
          <cell r="H1109">
            <v>0.57013888888888886</v>
          </cell>
          <cell r="I1109">
            <v>7.4305555555555555E-2</v>
          </cell>
          <cell r="J1109">
            <v>2</v>
          </cell>
          <cell r="K1109" t="str">
            <v>FCB-PROTOCOL-01</v>
          </cell>
          <cell r="L1109" t="str">
            <v>VYD/303</v>
          </cell>
          <cell r="M1109" t="str">
            <v>Y</v>
          </cell>
          <cell r="N1109" t="str">
            <v>COSv4.2_CaBR(1Q-Unknown)</v>
          </cell>
          <cell r="O1109" t="str">
            <v>Internal R&amp;D</v>
          </cell>
          <cell r="P1109" t="str">
            <v>Q1 Passed</v>
          </cell>
          <cell r="Q1109" t="str">
            <v>Q1 Passed</v>
          </cell>
          <cell r="R1109" t="str">
            <v>Q1.5 Passed</v>
          </cell>
          <cell r="S1109" t="str">
            <v>Q1.5 Passed</v>
          </cell>
          <cell r="V1109" t="str">
            <v>A:Tumor content 50-85%
B:Tumor content 55-85%</v>
          </cell>
          <cell r="W1109" t="str">
            <v>Private Hospital</v>
          </cell>
          <cell r="X1109" t="str">
            <v>Vydehi Hospital, Bangalore</v>
          </cell>
          <cell r="Y1109" t="str">
            <v>Vydehi Hospital, Bangalore</v>
          </cell>
          <cell r="Z1109" t="str">
            <v>Dr Amritha Prabha, Bangalore</v>
          </cell>
          <cell r="AA1109" t="str">
            <v>HNSCC</v>
          </cell>
          <cell r="AC1109" t="str">
            <v>Alveolus</v>
          </cell>
          <cell r="AD1109" t="str">
            <v>Lower Alveolus</v>
          </cell>
          <cell r="AE1109" t="str">
            <v>Male</v>
          </cell>
          <cell r="AF1109">
            <v>59</v>
          </cell>
          <cell r="AG1109" t="str">
            <v>N</v>
          </cell>
          <cell r="AH1109">
            <v>5.2</v>
          </cell>
          <cell r="AI1109" t="str">
            <v>Kalappa</v>
          </cell>
          <cell r="AJ1109" t="str">
            <v>Surgery</v>
          </cell>
          <cell r="AK1109" t="str">
            <v>Primary</v>
          </cell>
          <cell r="AN1109" t="str">
            <v>IV</v>
          </cell>
          <cell r="AO1109">
            <v>2</v>
          </cell>
          <cell r="AP1109" t="str">
            <v>pT4aN1</v>
          </cell>
          <cell r="AS1109" t="str">
            <v>scc</v>
          </cell>
          <cell r="AT1109" t="str">
            <v>RT</v>
          </cell>
          <cell r="AV1109">
            <v>45520</v>
          </cell>
          <cell r="AX1109">
            <v>0.6958333333333333</v>
          </cell>
          <cell r="BE1109">
            <v>15</v>
          </cell>
          <cell r="BF1109" t="str">
            <v>Abdul</v>
          </cell>
        </row>
        <row r="1110">
          <cell r="A1110" t="str">
            <v>FBR2N240235</v>
          </cell>
          <cell r="B1110">
            <v>240235</v>
          </cell>
          <cell r="C1110" t="str">
            <v>R&amp;D</v>
          </cell>
          <cell r="D1110">
            <v>45520</v>
          </cell>
          <cell r="E1110">
            <v>0.49583333333333335</v>
          </cell>
          <cell r="F1110">
            <v>45505</v>
          </cell>
          <cell r="G1110">
            <v>45520</v>
          </cell>
          <cell r="H1110">
            <v>0.57013888888888886</v>
          </cell>
          <cell r="I1110">
            <v>7.4305555555555555E-2</v>
          </cell>
          <cell r="J1110">
            <v>2</v>
          </cell>
          <cell r="K1110" t="str">
            <v>FCB-PROTOCOL-01</v>
          </cell>
          <cell r="L1110" t="str">
            <v>VYD/303</v>
          </cell>
          <cell r="M1110" t="str">
            <v>Y</v>
          </cell>
          <cell r="N1110" t="str">
            <v>FBT (2N)</v>
          </cell>
          <cell r="O1110" t="str">
            <v>Internal R&amp;D</v>
          </cell>
          <cell r="P1110" t="str">
            <v>Q1 Passed</v>
          </cell>
          <cell r="Q1110" t="str">
            <v>Q1 Passed</v>
          </cell>
          <cell r="R1110" t="str">
            <v>Q1.5 Passed</v>
          </cell>
          <cell r="S1110" t="str">
            <v>Q1.5 Passed</v>
          </cell>
          <cell r="V1110" t="str">
            <v>Tumor content 25-80%</v>
          </cell>
          <cell r="W1110" t="str">
            <v>Private Hospital</v>
          </cell>
          <cell r="X1110" t="str">
            <v>Vydehi Hospital, Bangalore</v>
          </cell>
          <cell r="Y1110" t="str">
            <v>Vydehi Hospital, Bangalore</v>
          </cell>
          <cell r="Z1110" t="str">
            <v>Dr Amritha Prabha, Bangalore</v>
          </cell>
          <cell r="AA1110" t="str">
            <v>HNSCC</v>
          </cell>
          <cell r="AC1110" t="str">
            <v>Alveolus</v>
          </cell>
          <cell r="AD1110" t="str">
            <v>Lower Alveolus</v>
          </cell>
          <cell r="AE1110" t="str">
            <v>Male</v>
          </cell>
          <cell r="AF1110">
            <v>59</v>
          </cell>
          <cell r="AG1110" t="str">
            <v>N</v>
          </cell>
          <cell r="AH1110">
            <v>5.2</v>
          </cell>
          <cell r="AI1110" t="str">
            <v>Kalappa</v>
          </cell>
          <cell r="AJ1110" t="str">
            <v>Surgery</v>
          </cell>
          <cell r="AK1110" t="str">
            <v>Primary</v>
          </cell>
          <cell r="AN1110" t="str">
            <v>IV</v>
          </cell>
          <cell r="AO1110">
            <v>2</v>
          </cell>
          <cell r="AP1110" t="str">
            <v>pT4aN1</v>
          </cell>
          <cell r="AS1110" t="str">
            <v>scc</v>
          </cell>
          <cell r="AT1110" t="str">
            <v>RT</v>
          </cell>
          <cell r="AV1110">
            <v>45521</v>
          </cell>
          <cell r="AW1110">
            <v>0.50694444444444442</v>
          </cell>
          <cell r="AX1110">
            <v>0.98124999999999996</v>
          </cell>
          <cell r="AY1110">
            <v>0.47430555555555554</v>
          </cell>
          <cell r="AZ1110">
            <v>0.90694444444444444</v>
          </cell>
          <cell r="BA1110">
            <v>0.48541666666666666</v>
          </cell>
          <cell r="BB1110" t="str">
            <v>0.6*0.6-1.0*1.8</v>
          </cell>
          <cell r="BD1110" t="str">
            <v>Vibratome</v>
          </cell>
          <cell r="BE1110">
            <v>15</v>
          </cell>
          <cell r="BF1110" t="str">
            <v xml:space="preserve">sai </v>
          </cell>
          <cell r="BG1110" t="str">
            <v>Y</v>
          </cell>
        </row>
        <row r="1111">
          <cell r="A1111" t="str">
            <v>FBR1J240236</v>
          </cell>
          <cell r="B1111">
            <v>240236</v>
          </cell>
          <cell r="C1111" t="str">
            <v>R&amp;D</v>
          </cell>
          <cell r="D1111">
            <v>45520</v>
          </cell>
          <cell r="E1111">
            <v>0.57638888888888884</v>
          </cell>
          <cell r="F1111">
            <v>45505</v>
          </cell>
          <cell r="G1111">
            <v>45520</v>
          </cell>
          <cell r="H1111">
            <v>0.61597222222222225</v>
          </cell>
          <cell r="I1111">
            <v>3.9583333333333331E-2</v>
          </cell>
          <cell r="J1111">
            <v>5</v>
          </cell>
          <cell r="K1111" t="str">
            <v>FCB-PROTOCOL-01</v>
          </cell>
          <cell r="L1111" t="str">
            <v>CLN/PRA/271</v>
          </cell>
          <cell r="M1111" t="str">
            <v>Y</v>
          </cell>
          <cell r="N1111" t="str">
            <v>COS_v3.0-Gastric (1J)</v>
          </cell>
          <cell r="O1111" t="str">
            <v>Internal R&amp;D</v>
          </cell>
          <cell r="P1111" t="str">
            <v>Q1 Passed</v>
          </cell>
          <cell r="Q1111" t="str">
            <v>Q1 Passed</v>
          </cell>
          <cell r="R1111" t="str">
            <v>Compromised</v>
          </cell>
          <cell r="S1111" t="str">
            <v>Q1.5 Rejected</v>
          </cell>
          <cell r="T1111" t="str">
            <v>Contaminated @T24</v>
          </cell>
          <cell r="V1111" t="str">
            <v>Tumor content 0-65%. Average tumor content 27%</v>
          </cell>
          <cell r="W1111" t="str">
            <v>Private Hospital</v>
          </cell>
          <cell r="X1111" t="str">
            <v>Dr Prakash BV, Bangalore</v>
          </cell>
          <cell r="Y1111" t="str">
            <v>Sri Lakshmi Hospital, Bangalore</v>
          </cell>
          <cell r="Z1111" t="str">
            <v>Dr Prakash BV, Bangalore</v>
          </cell>
          <cell r="AA1111" t="str">
            <v>GI</v>
          </cell>
          <cell r="AC1111" t="str">
            <v>Stomach</v>
          </cell>
          <cell r="AD1111" t="str">
            <v>Stomach</v>
          </cell>
          <cell r="AE1111" t="str">
            <v>Female</v>
          </cell>
          <cell r="AF1111">
            <v>56</v>
          </cell>
          <cell r="AG1111" t="str">
            <v>N</v>
          </cell>
          <cell r="AH1111">
            <v>5.2</v>
          </cell>
          <cell r="AI1111" t="str">
            <v>Shashi</v>
          </cell>
          <cell r="AJ1111" t="str">
            <v>Surgery</v>
          </cell>
          <cell r="AK1111" t="str">
            <v>Primary</v>
          </cell>
          <cell r="AN1111" t="str">
            <v>II</v>
          </cell>
          <cell r="AO1111">
            <v>2</v>
          </cell>
          <cell r="AP1111" t="str">
            <v>T2N0M0</v>
          </cell>
          <cell r="AV1111">
            <v>45520</v>
          </cell>
          <cell r="AW1111">
            <v>0.63402777777777775</v>
          </cell>
          <cell r="AX1111">
            <v>0.69444444444444442</v>
          </cell>
          <cell r="AY1111">
            <v>6.0416666666666667E-2</v>
          </cell>
          <cell r="AZ1111">
            <v>0.65486111111111112</v>
          </cell>
          <cell r="BA1111">
            <v>0.11805555555555555</v>
          </cell>
          <cell r="BB1111" t="str">
            <v>0.2-0.3*1.8-2.6*3.0-3.2</v>
          </cell>
          <cell r="BD1111" t="str">
            <v>Manual</v>
          </cell>
          <cell r="BE1111">
            <v>15</v>
          </cell>
          <cell r="BF1111" t="str">
            <v xml:space="preserve">sai </v>
          </cell>
          <cell r="BG1111" t="str">
            <v>Y</v>
          </cell>
        </row>
        <row r="1112">
          <cell r="A1112" t="str">
            <v>FBR1Y240237</v>
          </cell>
          <cell r="B1112">
            <v>240237</v>
          </cell>
          <cell r="C1112" t="str">
            <v>R&amp;D</v>
          </cell>
          <cell r="D1112">
            <v>45520</v>
          </cell>
          <cell r="E1112">
            <v>0.54166666666666663</v>
          </cell>
          <cell r="F1112">
            <v>45505</v>
          </cell>
          <cell r="G1112">
            <v>45520</v>
          </cell>
          <cell r="H1112">
            <v>0.65138888888888891</v>
          </cell>
          <cell r="I1112">
            <v>0.10972222222222222</v>
          </cell>
          <cell r="J1112">
            <v>15</v>
          </cell>
          <cell r="K1112" t="str">
            <v>FCB-PROTOCOL-02</v>
          </cell>
          <cell r="L1112" t="str">
            <v>HN166</v>
          </cell>
          <cell r="M1112" t="str">
            <v>Y</v>
          </cell>
          <cell r="N1112" t="str">
            <v>CCS Study (1Y)</v>
          </cell>
          <cell r="O1112" t="str">
            <v>Internal R&amp;D</v>
          </cell>
          <cell r="P1112" t="str">
            <v>Q1 Passed</v>
          </cell>
          <cell r="Q1112" t="str">
            <v>Not Received</v>
          </cell>
          <cell r="R1112" t="str">
            <v>Compromised</v>
          </cell>
          <cell r="S1112" t="str">
            <v>Q1.5 Passed</v>
          </cell>
          <cell r="T1112" t="str">
            <v>Blood not collected</v>
          </cell>
          <cell r="W1112" t="str">
            <v>Private Hospital</v>
          </cell>
          <cell r="X1112" t="str">
            <v>Mazumdar Shaw Medical Centre, Bangalore</v>
          </cell>
          <cell r="Y1112" t="str">
            <v>Mazumdar Shaw Medical Centre, Bangalore</v>
          </cell>
          <cell r="Z1112" t="str">
            <v>Dr Vijay Pillai, Bangalore</v>
          </cell>
          <cell r="AA1112" t="str">
            <v>HNSCC</v>
          </cell>
          <cell r="AC1112" t="str">
            <v>Buccal Mucosa</v>
          </cell>
          <cell r="AD1112" t="str">
            <v>Buccal Mucosa</v>
          </cell>
          <cell r="AE1112" t="str">
            <v>Male</v>
          </cell>
          <cell r="AF1112">
            <v>38</v>
          </cell>
          <cell r="AG1112" t="str">
            <v>N</v>
          </cell>
          <cell r="AH1112">
            <v>4.8</v>
          </cell>
          <cell r="AI1112" t="str">
            <v>Maruthi</v>
          </cell>
          <cell r="AJ1112" t="str">
            <v>Surgery</v>
          </cell>
          <cell r="AK1112" t="str">
            <v>Primary</v>
          </cell>
          <cell r="AN1112" t="str">
            <v>III</v>
          </cell>
          <cell r="AO1112">
            <v>1</v>
          </cell>
          <cell r="AP1112" t="str">
            <v>pT3pN0</v>
          </cell>
          <cell r="AS1112" t="str">
            <v>Well differentiated squamous cell carcinoma</v>
          </cell>
          <cell r="AV1112">
            <v>45520</v>
          </cell>
          <cell r="AW1112">
            <v>0.69027777777777777</v>
          </cell>
          <cell r="AX1112">
            <v>0.76041666666666663</v>
          </cell>
          <cell r="AY1112">
            <v>7.013888888888889E-2</v>
          </cell>
          <cell r="AZ1112">
            <v>0.65069444444444446</v>
          </cell>
          <cell r="BA1112">
            <v>0.21875</v>
          </cell>
          <cell r="BB1112" t="str">
            <v>0.6*0.8*1.6</v>
          </cell>
          <cell r="BD1112" t="str">
            <v>Vibratome</v>
          </cell>
          <cell r="BE1112">
            <v>15</v>
          </cell>
          <cell r="BF1112" t="str">
            <v>Dharani</v>
          </cell>
          <cell r="BG1112" t="str">
            <v>N</v>
          </cell>
        </row>
        <row r="1113">
          <cell r="A1113" t="str">
            <v>FBR2Q240237</v>
          </cell>
          <cell r="B1113">
            <v>240237</v>
          </cell>
          <cell r="C1113" t="str">
            <v>R&amp;D</v>
          </cell>
          <cell r="D1113">
            <v>45520</v>
          </cell>
          <cell r="E1113">
            <v>0.54166666666666663</v>
          </cell>
          <cell r="F1113">
            <v>45505</v>
          </cell>
          <cell r="G1113">
            <v>45520</v>
          </cell>
          <cell r="H1113">
            <v>0.65138888888888891</v>
          </cell>
          <cell r="I1113">
            <v>0.10972222222222222</v>
          </cell>
          <cell r="J1113">
            <v>15</v>
          </cell>
          <cell r="K1113" t="str">
            <v>FCB-PROTOCOL-02</v>
          </cell>
          <cell r="L1113" t="str">
            <v>HN166</v>
          </cell>
          <cell r="M1113" t="str">
            <v>Y</v>
          </cell>
          <cell r="N1113" t="str">
            <v>COSv4.2_CaBR(1Q-Unknown)</v>
          </cell>
          <cell r="O1113" t="str">
            <v>Internal R&amp;D</v>
          </cell>
          <cell r="P1113" t="str">
            <v>Q1 Passed</v>
          </cell>
          <cell r="Q1113" t="str">
            <v>Not Received</v>
          </cell>
          <cell r="R1113" t="str">
            <v>Compromised</v>
          </cell>
          <cell r="S1113" t="str">
            <v>Q1.5 Passed</v>
          </cell>
          <cell r="T1113" t="str">
            <v>Blood not collected</v>
          </cell>
          <cell r="V1113" t="str">
            <v>A:Tumor content 65-90%
B:Tumor content60-90%</v>
          </cell>
          <cell r="W1113" t="str">
            <v>Private Hospital</v>
          </cell>
          <cell r="X1113" t="str">
            <v>Mazumdar Shaw Medical Centre, Bangalore</v>
          </cell>
          <cell r="Y1113" t="str">
            <v>Mazumdar Shaw Medical Centre, Bangalore</v>
          </cell>
          <cell r="Z1113" t="str">
            <v>Dr Vijay Pillai, Bangalore</v>
          </cell>
          <cell r="AA1113" t="str">
            <v>HNSCC</v>
          </cell>
          <cell r="AC1113" t="str">
            <v>Buccal Mucosa</v>
          </cell>
          <cell r="AD1113" t="str">
            <v>Buccal Mucosa</v>
          </cell>
          <cell r="AE1113" t="str">
            <v>Male</v>
          </cell>
          <cell r="AF1113">
            <v>38</v>
          </cell>
          <cell r="AG1113" t="str">
            <v>N</v>
          </cell>
          <cell r="AH1113">
            <v>4.8</v>
          </cell>
          <cell r="AI1113" t="str">
            <v>Maruthi</v>
          </cell>
          <cell r="AJ1113" t="str">
            <v>Surgery</v>
          </cell>
          <cell r="AK1113" t="str">
            <v>Primary</v>
          </cell>
          <cell r="AN1113" t="str">
            <v>III</v>
          </cell>
          <cell r="AO1113">
            <v>1</v>
          </cell>
          <cell r="AP1113" t="str">
            <v>pT3pN0</v>
          </cell>
          <cell r="AS1113" t="str">
            <v>Well differentiated squamous cell carcinoma</v>
          </cell>
          <cell r="AV1113">
            <v>45520</v>
          </cell>
          <cell r="AX1113">
            <v>0.76041666666666663</v>
          </cell>
          <cell r="BE1113">
            <v>15</v>
          </cell>
          <cell r="BF1113" t="str">
            <v>Dharani</v>
          </cell>
        </row>
        <row r="1114">
          <cell r="A1114" t="str">
            <v>FBR2Q240238</v>
          </cell>
          <cell r="B1114">
            <v>240238</v>
          </cell>
          <cell r="C1114" t="str">
            <v>R&amp;D</v>
          </cell>
          <cell r="D1114">
            <v>45524</v>
          </cell>
          <cell r="E1114">
            <v>0.76249999999999996</v>
          </cell>
          <cell r="F1114">
            <v>45505</v>
          </cell>
          <cell r="G1114">
            <v>45524</v>
          </cell>
          <cell r="H1114">
            <v>0.82916666666666672</v>
          </cell>
          <cell r="I1114">
            <v>6.6666666666666666E-2</v>
          </cell>
          <cell r="J1114">
            <v>2</v>
          </cell>
          <cell r="K1114" t="str">
            <v>FCB-PROTOCOL-01</v>
          </cell>
          <cell r="L1114" t="str">
            <v>CLN/PRA/272</v>
          </cell>
          <cell r="M1114" t="str">
            <v>Y</v>
          </cell>
          <cell r="N1114" t="str">
            <v>COSv4.2_CaBR(1Q-Unknown)</v>
          </cell>
          <cell r="O1114" t="str">
            <v>Internal R&amp;D</v>
          </cell>
          <cell r="P1114" t="str">
            <v>Q1 Passed</v>
          </cell>
          <cell r="Q1114" t="str">
            <v>Q1 Passed</v>
          </cell>
          <cell r="R1114" t="str">
            <v>Q1.5 Passed</v>
          </cell>
          <cell r="S1114" t="str">
            <v>Q1.5 Passed</v>
          </cell>
          <cell r="V1114" t="str">
            <v>A:Tumor content 55-80%
B:Tumor content 30-70%</v>
          </cell>
          <cell r="W1114" t="str">
            <v>Private Hospital</v>
          </cell>
          <cell r="X1114" t="str">
            <v>Dr Prakash BV, Bangalore</v>
          </cell>
          <cell r="Y1114" t="str">
            <v>Sri Lakshmi Hospital, Bangalore</v>
          </cell>
          <cell r="Z1114" t="str">
            <v>Dr Prakash BV, Bangalore</v>
          </cell>
          <cell r="AA1114" t="str">
            <v>HNSCC</v>
          </cell>
          <cell r="AC1114" t="str">
            <v>GBS</v>
          </cell>
          <cell r="AD1114" t="str">
            <v>Left Lower GBS</v>
          </cell>
          <cell r="AE1114" t="str">
            <v>Female</v>
          </cell>
          <cell r="AF1114">
            <v>60</v>
          </cell>
          <cell r="AG1114" t="str">
            <v>N</v>
          </cell>
          <cell r="AH1114">
            <v>4.5999999999999996</v>
          </cell>
          <cell r="AI1114" t="str">
            <v>Maruthi</v>
          </cell>
          <cell r="AJ1114" t="str">
            <v>Surgery</v>
          </cell>
          <cell r="AK1114" t="str">
            <v>Primary</v>
          </cell>
          <cell r="AN1114" t="str">
            <v>II</v>
          </cell>
          <cell r="AO1114">
            <v>2</v>
          </cell>
          <cell r="AP1114" t="str">
            <v>T3N2bM0</v>
          </cell>
          <cell r="AS1114" t="str">
            <v>SCC</v>
          </cell>
          <cell r="AV1114">
            <v>45524</v>
          </cell>
          <cell r="AW1114">
            <v>0.85347222222222219</v>
          </cell>
          <cell r="AX1114">
            <v>0.92152777777777772</v>
          </cell>
          <cell r="AY1114">
            <v>6.805555555555555E-2</v>
          </cell>
          <cell r="AZ1114">
            <v>0.85486111111111107</v>
          </cell>
          <cell r="BA1114">
            <v>0.15902777777777777</v>
          </cell>
          <cell r="BB1114" t="str">
            <v>0.4-0.8*0.8-1.4*1.8-2.1</v>
          </cell>
          <cell r="BC1114" t="str">
            <v>0.4*0.9*1.7</v>
          </cell>
          <cell r="BD1114" t="str">
            <v>Vibratome</v>
          </cell>
          <cell r="BE1114">
            <v>15</v>
          </cell>
          <cell r="BF1114" t="str">
            <v>kuberan</v>
          </cell>
          <cell r="BG1114" t="str">
            <v>Y</v>
          </cell>
        </row>
        <row r="1115">
          <cell r="A1115" t="str">
            <v>FBR2N240238</v>
          </cell>
          <cell r="B1115">
            <v>240238</v>
          </cell>
          <cell r="C1115" t="str">
            <v>R&amp;D</v>
          </cell>
          <cell r="D1115">
            <v>45524</v>
          </cell>
          <cell r="E1115">
            <v>0.76249999999999996</v>
          </cell>
          <cell r="F1115">
            <v>45505</v>
          </cell>
          <cell r="G1115">
            <v>45524</v>
          </cell>
          <cell r="H1115">
            <v>0.82916666666666672</v>
          </cell>
          <cell r="I1115">
            <v>6.6666666666666666E-2</v>
          </cell>
          <cell r="J1115">
            <v>2</v>
          </cell>
          <cell r="K1115" t="str">
            <v>FCB-PROTOCOL-01</v>
          </cell>
          <cell r="L1115" t="str">
            <v>CLN/PRA/272</v>
          </cell>
          <cell r="M1115" t="str">
            <v>Y</v>
          </cell>
          <cell r="N1115" t="str">
            <v>FBT (2N)</v>
          </cell>
          <cell r="O1115" t="str">
            <v>Internal R&amp;D</v>
          </cell>
          <cell r="P1115" t="str">
            <v>Q1 Passed</v>
          </cell>
          <cell r="Q1115" t="str">
            <v>Q1 Passed</v>
          </cell>
          <cell r="R1115" t="str">
            <v>Q1.5 Passed</v>
          </cell>
          <cell r="S1115" t="str">
            <v>Q1.5 Passed</v>
          </cell>
          <cell r="V1115" t="str">
            <v>Tumor content 35-80%</v>
          </cell>
          <cell r="W1115" t="str">
            <v>Private Hospital</v>
          </cell>
          <cell r="X1115" t="str">
            <v>Dr Prakash BV, Bangalore</v>
          </cell>
          <cell r="Y1115" t="str">
            <v>Sri Lakshmi Hospital, Bangalore</v>
          </cell>
          <cell r="Z1115" t="str">
            <v>Dr Prakash BV, Bangalore</v>
          </cell>
          <cell r="AA1115" t="str">
            <v>HNSCC</v>
          </cell>
          <cell r="AC1115" t="str">
            <v>GBS</v>
          </cell>
          <cell r="AD1115" t="str">
            <v>Left Lower GBS</v>
          </cell>
          <cell r="AE1115" t="str">
            <v>Female</v>
          </cell>
          <cell r="AF1115">
            <v>60</v>
          </cell>
          <cell r="AG1115" t="str">
            <v>N</v>
          </cell>
          <cell r="AH1115">
            <v>4.5999999999999996</v>
          </cell>
          <cell r="AI1115" t="str">
            <v>Maruthi</v>
          </cell>
          <cell r="AJ1115" t="str">
            <v>Surgery</v>
          </cell>
          <cell r="AK1115" t="str">
            <v>Primary</v>
          </cell>
          <cell r="AN1115" t="str">
            <v>II</v>
          </cell>
          <cell r="AO1115">
            <v>2</v>
          </cell>
          <cell r="AP1115" t="str">
            <v>T3N2bM0</v>
          </cell>
          <cell r="AS1115" t="str">
            <v>SCC</v>
          </cell>
          <cell r="AV1115">
            <v>45525</v>
          </cell>
          <cell r="AW1115">
            <v>0.30416666666666664</v>
          </cell>
          <cell r="AX1115">
            <v>0.39374999999999999</v>
          </cell>
          <cell r="AY1115">
            <v>8.9583333333333334E-2</v>
          </cell>
          <cell r="AZ1115">
            <v>0.32708333333333334</v>
          </cell>
          <cell r="BA1115">
            <v>0.63124999999999998</v>
          </cell>
          <cell r="BB1115" t="str">
            <v>0.4-0.6*1.4*1.6</v>
          </cell>
          <cell r="BD1115" t="str">
            <v>Manual+Vibratome</v>
          </cell>
          <cell r="BE1115">
            <v>15</v>
          </cell>
          <cell r="BF1115" t="str">
            <v>Abdul</v>
          </cell>
          <cell r="BG1115" t="str">
            <v>Y</v>
          </cell>
        </row>
        <row r="1116">
          <cell r="A1116" t="str">
            <v>FBR1Y240239</v>
          </cell>
          <cell r="B1116">
            <v>240239</v>
          </cell>
          <cell r="C1116" t="str">
            <v>R&amp;D</v>
          </cell>
          <cell r="D1116">
            <v>45526</v>
          </cell>
          <cell r="E1116">
            <v>0.41805555555555557</v>
          </cell>
          <cell r="F1116">
            <v>45505</v>
          </cell>
          <cell r="G1116">
            <v>45526</v>
          </cell>
          <cell r="H1116">
            <v>0.52777777777777779</v>
          </cell>
          <cell r="I1116">
            <v>0.10972222222222222</v>
          </cell>
          <cell r="J1116">
            <v>2</v>
          </cell>
          <cell r="K1116" t="str">
            <v>FCB-PROTOCOL-01</v>
          </cell>
          <cell r="L1116" t="str">
            <v>VYD/304</v>
          </cell>
          <cell r="M1116" t="str">
            <v>Y</v>
          </cell>
          <cell r="N1116" t="str">
            <v>CCS Study (1Y)</v>
          </cell>
          <cell r="O1116" t="str">
            <v>Internal R&amp;D</v>
          </cell>
          <cell r="P1116" t="str">
            <v>Q1 Passed</v>
          </cell>
          <cell r="Q1116" t="str">
            <v>Q1 Passed</v>
          </cell>
          <cell r="R1116" t="str">
            <v>Q1.5 Passed</v>
          </cell>
          <cell r="S1116" t="str">
            <v>Q1.5 Passed</v>
          </cell>
          <cell r="V1116" t="str">
            <v>Tumor content 70-90%</v>
          </cell>
          <cell r="W1116" t="str">
            <v>Private Hospital</v>
          </cell>
          <cell r="X1116" t="str">
            <v>Vydehi Hospital, Bangalore</v>
          </cell>
          <cell r="Y1116" t="str">
            <v>Vydehi Hospital, Bangalore</v>
          </cell>
          <cell r="Z1116" t="str">
            <v>Dr Amritha Prabha, Bangalore</v>
          </cell>
          <cell r="AA1116" t="str">
            <v>HNSCC</v>
          </cell>
          <cell r="AC1116" t="str">
            <v>Alveolus</v>
          </cell>
          <cell r="AD1116" t="str">
            <v>Left Lower Alveolus</v>
          </cell>
          <cell r="AE1116" t="str">
            <v>Female</v>
          </cell>
          <cell r="AF1116">
            <v>73</v>
          </cell>
          <cell r="AG1116" t="str">
            <v>N</v>
          </cell>
          <cell r="AH1116">
            <v>5.0999999999999996</v>
          </cell>
          <cell r="AI1116" t="str">
            <v>Kalappa</v>
          </cell>
          <cell r="AJ1116" t="str">
            <v>Surgery</v>
          </cell>
          <cell r="AK1116" t="str">
            <v>Primary</v>
          </cell>
          <cell r="AN1116" t="str">
            <v>II</v>
          </cell>
          <cell r="AO1116">
            <v>1</v>
          </cell>
          <cell r="AP1116" t="str">
            <v>pT3N0</v>
          </cell>
          <cell r="AS1116" t="str">
            <v>scc</v>
          </cell>
          <cell r="AT1116" t="str">
            <v>RT</v>
          </cell>
          <cell r="AV1116">
            <v>45526</v>
          </cell>
          <cell r="AW1116">
            <v>0.55555555555555558</v>
          </cell>
          <cell r="AX1116">
            <v>0.58194444444444449</v>
          </cell>
          <cell r="AY1116">
            <v>2.6388888888888889E-2</v>
          </cell>
          <cell r="AZ1116">
            <v>0.47222222222222221</v>
          </cell>
          <cell r="BA1116">
            <v>0.16388888888888889</v>
          </cell>
          <cell r="BB1116" t="str">
            <v>0.2*0.4-0.6*0.6-0.7
0.3*0.4*0.6</v>
          </cell>
          <cell r="BD1116" t="str">
            <v>Manual</v>
          </cell>
          <cell r="BE1116">
            <v>15</v>
          </cell>
          <cell r="BF1116" t="str">
            <v>Pallavi</v>
          </cell>
          <cell r="BG1116" t="str">
            <v>Y</v>
          </cell>
        </row>
        <row r="1117">
          <cell r="A1117" t="str">
            <v>FBR2N240239</v>
          </cell>
          <cell r="B1117">
            <v>240239</v>
          </cell>
          <cell r="C1117" t="str">
            <v>R&amp;D</v>
          </cell>
          <cell r="D1117">
            <v>45526</v>
          </cell>
          <cell r="E1117">
            <v>0.41805555555555557</v>
          </cell>
          <cell r="F1117">
            <v>45505</v>
          </cell>
          <cell r="G1117">
            <v>45526</v>
          </cell>
          <cell r="H1117">
            <v>0.52777777777777779</v>
          </cell>
          <cell r="I1117">
            <v>0.10972222222222222</v>
          </cell>
          <cell r="J1117">
            <v>2</v>
          </cell>
          <cell r="K1117" t="str">
            <v>FCB-PROTOCOL-01</v>
          </cell>
          <cell r="L1117" t="str">
            <v>VYD/304</v>
          </cell>
          <cell r="M1117" t="str">
            <v>Y</v>
          </cell>
          <cell r="N1117" t="str">
            <v>FBT (2N)</v>
          </cell>
          <cell r="O1117" t="str">
            <v>Internal R&amp;D</v>
          </cell>
          <cell r="P1117" t="str">
            <v>Q1 Passed</v>
          </cell>
          <cell r="Q1117" t="str">
            <v>Q1 Passed</v>
          </cell>
          <cell r="R1117" t="str">
            <v>Q1.5 Passed</v>
          </cell>
          <cell r="S1117" t="str">
            <v>Q1.5 Passed</v>
          </cell>
          <cell r="V1117" t="str">
            <v>Tumor content 40-90%</v>
          </cell>
          <cell r="W1117" t="str">
            <v>Private Hospital</v>
          </cell>
          <cell r="X1117" t="str">
            <v>Vydehi Hospital, Bangalore</v>
          </cell>
          <cell r="Y1117" t="str">
            <v>Vydehi Hospital, Bangalore</v>
          </cell>
          <cell r="Z1117" t="str">
            <v>Dr Amritha Prabha, Bangalore</v>
          </cell>
          <cell r="AA1117" t="str">
            <v>HNSCC</v>
          </cell>
          <cell r="AC1117" t="str">
            <v>Alveolus</v>
          </cell>
          <cell r="AD1117" t="str">
            <v>Left Lower Alveolus</v>
          </cell>
          <cell r="AE1117" t="str">
            <v>Female</v>
          </cell>
          <cell r="AF1117">
            <v>73</v>
          </cell>
          <cell r="AG1117" t="str">
            <v>N</v>
          </cell>
          <cell r="AH1117">
            <v>5.0999999999999996</v>
          </cell>
          <cell r="AI1117" t="str">
            <v>Kalappa</v>
          </cell>
          <cell r="AJ1117" t="str">
            <v>Surgery</v>
          </cell>
          <cell r="AK1117" t="str">
            <v>Primary</v>
          </cell>
          <cell r="AN1117" t="str">
            <v>II</v>
          </cell>
          <cell r="AO1117">
            <v>1</v>
          </cell>
          <cell r="AP1117" t="str">
            <v>pT3N0</v>
          </cell>
          <cell r="AS1117" t="str">
            <v>scc</v>
          </cell>
          <cell r="AT1117" t="str">
            <v>RT</v>
          </cell>
          <cell r="AV1117">
            <v>45526</v>
          </cell>
          <cell r="AW1117">
            <v>0.93680555555555556</v>
          </cell>
          <cell r="AX1117">
            <v>0.96388888888888891</v>
          </cell>
          <cell r="AY1117">
            <v>2.7083333333333334E-2</v>
          </cell>
          <cell r="AZ1117">
            <v>0.85416666666666663</v>
          </cell>
          <cell r="BA1117">
            <v>0.54583333333333328</v>
          </cell>
          <cell r="BB1117" t="str">
            <v>0.4*0.5*0.6
0.2*0.4*0.4</v>
          </cell>
          <cell r="BD1117" t="str">
            <v>Manual</v>
          </cell>
          <cell r="BE1117">
            <v>15</v>
          </cell>
          <cell r="BF1117" t="str">
            <v>Mouniss</v>
          </cell>
          <cell r="BG1117" t="str">
            <v>Y</v>
          </cell>
        </row>
        <row r="1118">
          <cell r="A1118" t="str">
            <v>FBR2Q240240</v>
          </cell>
          <cell r="B1118">
            <v>240240</v>
          </cell>
          <cell r="C1118" t="str">
            <v>R&amp;D</v>
          </cell>
          <cell r="D1118">
            <v>45526</v>
          </cell>
          <cell r="E1118">
            <v>0.55208333333333337</v>
          </cell>
          <cell r="F1118">
            <v>45505</v>
          </cell>
          <cell r="G1118">
            <v>45526</v>
          </cell>
          <cell r="H1118">
            <v>0.63958333333333328</v>
          </cell>
          <cell r="I1118">
            <v>8.7499999999999994E-2</v>
          </cell>
          <cell r="J1118">
            <v>15</v>
          </cell>
          <cell r="K1118" t="str">
            <v>FCB-PROTOCOL-02</v>
          </cell>
          <cell r="L1118" t="str">
            <v>HN167</v>
          </cell>
          <cell r="M1118" t="str">
            <v>Y</v>
          </cell>
          <cell r="N1118" t="str">
            <v>COSv4.2_CaBR(1Q-Unknown)</v>
          </cell>
          <cell r="O1118" t="str">
            <v>Internal R&amp;D</v>
          </cell>
          <cell r="P1118" t="str">
            <v>Q1 Passed</v>
          </cell>
          <cell r="Q1118" t="str">
            <v>Not Received</v>
          </cell>
          <cell r="R1118" t="str">
            <v>Compromised</v>
          </cell>
          <cell r="S1118" t="str">
            <v>Q1.5 Passed</v>
          </cell>
          <cell r="T1118" t="str">
            <v>Blood not collected</v>
          </cell>
          <cell r="V1118" t="str">
            <v>A:Tumor content 25-55%
B:Tumor content 15-60%</v>
          </cell>
          <cell r="W1118" t="str">
            <v>Private Hospital</v>
          </cell>
          <cell r="X1118" t="str">
            <v>Mazumdar Shaw Medical Centre, Bangalore</v>
          </cell>
          <cell r="Y1118" t="str">
            <v>Mazumdar Shaw Medical Centre, Bangalore</v>
          </cell>
          <cell r="Z1118" t="str">
            <v>Dr Vijay Pillai, Bangalore</v>
          </cell>
          <cell r="AA1118" t="str">
            <v>HNSCC</v>
          </cell>
          <cell r="AC1118" t="str">
            <v>Buccal Mucosa</v>
          </cell>
          <cell r="AD1118" t="str">
            <v>Left Buccal Mucosa</v>
          </cell>
          <cell r="AE1118" t="str">
            <v>Male</v>
          </cell>
          <cell r="AF1118">
            <v>42</v>
          </cell>
          <cell r="AG1118" t="str">
            <v>N</v>
          </cell>
          <cell r="AH1118">
            <v>4.5999999999999996</v>
          </cell>
          <cell r="AI1118" t="str">
            <v>Maruthi</v>
          </cell>
          <cell r="AJ1118" t="str">
            <v>Surgery</v>
          </cell>
          <cell r="AK1118" t="str">
            <v>Local Recurrent</v>
          </cell>
          <cell r="AL1118" t="str">
            <v>Chemotherapy+Radiotherapy</v>
          </cell>
          <cell r="AN1118" t="str">
            <v>IV</v>
          </cell>
          <cell r="AO1118">
            <v>3</v>
          </cell>
          <cell r="AP1118" t="str">
            <v>pT4apN0</v>
          </cell>
          <cell r="AS1118" t="str">
            <v>Poorly differentiated squamous cell carcinoma</v>
          </cell>
          <cell r="AV1118">
            <v>45526</v>
          </cell>
          <cell r="AX1118">
            <v>0.75972222222222219</v>
          </cell>
          <cell r="BF1118" t="str">
            <v>Syam</v>
          </cell>
        </row>
        <row r="1119">
          <cell r="A1119" t="str">
            <v>FBR1Y240240</v>
          </cell>
          <cell r="B1119">
            <v>240240</v>
          </cell>
          <cell r="C1119" t="str">
            <v>R&amp;D</v>
          </cell>
          <cell r="D1119">
            <v>45526</v>
          </cell>
          <cell r="E1119">
            <v>0.55208333333333337</v>
          </cell>
          <cell r="F1119">
            <v>45505</v>
          </cell>
          <cell r="G1119">
            <v>45526</v>
          </cell>
          <cell r="H1119">
            <v>0.63958333333333328</v>
          </cell>
          <cell r="I1119">
            <v>8.7499999999999994E-2</v>
          </cell>
          <cell r="J1119">
            <v>15</v>
          </cell>
          <cell r="K1119" t="str">
            <v>FCB-PROTOCOL-02</v>
          </cell>
          <cell r="L1119" t="str">
            <v>HN167</v>
          </cell>
          <cell r="M1119" t="str">
            <v>Y</v>
          </cell>
          <cell r="N1119" t="str">
            <v>CCS Study (1Y)</v>
          </cell>
          <cell r="O1119" t="str">
            <v>Internal R&amp;D</v>
          </cell>
          <cell r="P1119" t="str">
            <v>Q1 Passed</v>
          </cell>
          <cell r="Q1119" t="str">
            <v>Not Received</v>
          </cell>
          <cell r="R1119" t="str">
            <v>Compromised</v>
          </cell>
          <cell r="S1119" t="str">
            <v>Q1.5 Passed</v>
          </cell>
          <cell r="T1119" t="str">
            <v>Blood not collected</v>
          </cell>
          <cell r="V1119" t="str">
            <v>A:Tumor content 25-55%
B:Tumor content 15-60%</v>
          </cell>
          <cell r="W1119" t="str">
            <v>Private Hospital</v>
          </cell>
          <cell r="X1119" t="str">
            <v>Mazumdar Shaw Medical Centre, Bangalore</v>
          </cell>
          <cell r="Y1119" t="str">
            <v>Mazumdar Shaw Medical Centre, Bangalore</v>
          </cell>
          <cell r="Z1119" t="str">
            <v>Dr Vijay Pillai, Bangalore</v>
          </cell>
          <cell r="AA1119" t="str">
            <v>HNSCC</v>
          </cell>
          <cell r="AC1119" t="str">
            <v>Buccal Mucosa</v>
          </cell>
          <cell r="AD1119" t="str">
            <v>Left Buccal Mucosa</v>
          </cell>
          <cell r="AE1119" t="str">
            <v>Male</v>
          </cell>
          <cell r="AF1119">
            <v>42</v>
          </cell>
          <cell r="AG1119" t="str">
            <v>N</v>
          </cell>
          <cell r="AH1119">
            <v>4.5999999999999996</v>
          </cell>
          <cell r="AI1119" t="str">
            <v>Maruthi</v>
          </cell>
          <cell r="AJ1119" t="str">
            <v>Surgery</v>
          </cell>
          <cell r="AK1119" t="str">
            <v>Local Recurrent</v>
          </cell>
          <cell r="AL1119" t="str">
            <v>Chemotherapy+Radiotherapy</v>
          </cell>
          <cell r="AN1119" t="str">
            <v>IV</v>
          </cell>
          <cell r="AO1119">
            <v>3</v>
          </cell>
          <cell r="AP1119" t="str">
            <v>pT4apN0</v>
          </cell>
          <cell r="AS1119" t="str">
            <v>Poorly differentiated squamous cell carcinoma</v>
          </cell>
          <cell r="AV1119">
            <v>45526</v>
          </cell>
          <cell r="AW1119">
            <v>0.65486111111111112</v>
          </cell>
          <cell r="AX1119">
            <v>0.74305555555555558</v>
          </cell>
          <cell r="AY1119">
            <v>8.819444444444445E-2</v>
          </cell>
          <cell r="AZ1119">
            <v>0.65555555555555556</v>
          </cell>
          <cell r="BA1119">
            <v>0.19097222222222221</v>
          </cell>
          <cell r="BB1119" t="str">
            <v>0.6-0.8*0.9*1.2</v>
          </cell>
          <cell r="BD1119" t="str">
            <v>Vibratome</v>
          </cell>
          <cell r="BE1119">
            <v>15</v>
          </cell>
          <cell r="BF1119" t="str">
            <v>Syam</v>
          </cell>
          <cell r="BG1119" t="str">
            <v>N</v>
          </cell>
        </row>
        <row r="1120">
          <cell r="A1120" t="str">
            <v>FBR1X240241</v>
          </cell>
          <cell r="B1120">
            <v>240241</v>
          </cell>
          <cell r="C1120" t="str">
            <v>R&amp;D</v>
          </cell>
          <cell r="D1120">
            <v>45527</v>
          </cell>
          <cell r="E1120">
            <v>0.40625</v>
          </cell>
          <cell r="F1120">
            <v>45505</v>
          </cell>
          <cell r="G1120">
            <v>45527</v>
          </cell>
          <cell r="H1120">
            <v>0.47361111111111109</v>
          </cell>
          <cell r="I1120">
            <v>6.7361111111111108E-2</v>
          </cell>
          <cell r="J1120">
            <v>0</v>
          </cell>
          <cell r="K1120" t="str">
            <v>FCB-PROTOCOL-02</v>
          </cell>
          <cell r="L1120" t="str">
            <v>HN168</v>
          </cell>
          <cell r="M1120" t="str">
            <v>Y</v>
          </cell>
          <cell r="N1120" t="str">
            <v>Biopsy HNSCC (1X)</v>
          </cell>
          <cell r="O1120" t="str">
            <v>Internal R&amp;D</v>
          </cell>
          <cell r="P1120" t="str">
            <v>Q1 Passed</v>
          </cell>
          <cell r="Q1120" t="str">
            <v>Q1 Passed</v>
          </cell>
          <cell r="R1120" t="str">
            <v>Compromised</v>
          </cell>
          <cell r="S1120" t="str">
            <v>Q1.5 Passed</v>
          </cell>
          <cell r="T1120" t="str">
            <v>Blood Hemolysed</v>
          </cell>
          <cell r="V1120" t="str">
            <v>Tumor content 35-45%</v>
          </cell>
          <cell r="W1120" t="str">
            <v>Private Hospital</v>
          </cell>
          <cell r="X1120" t="str">
            <v>Mazumdar Shaw Medical Centre, Bangalore</v>
          </cell>
          <cell r="Y1120" t="str">
            <v>Mazumdar Shaw Medical Centre, Bangalore</v>
          </cell>
          <cell r="Z1120" t="str">
            <v>Dr Vijay Pillai, Bangalore</v>
          </cell>
          <cell r="AA1120" t="str">
            <v>HNSCC</v>
          </cell>
          <cell r="AC1120" t="str">
            <v>Tongue</v>
          </cell>
          <cell r="AD1120" t="str">
            <v>Tongue</v>
          </cell>
          <cell r="AE1120" t="str">
            <v>Male</v>
          </cell>
          <cell r="AF1120">
            <v>54</v>
          </cell>
          <cell r="AG1120" t="str">
            <v>N</v>
          </cell>
          <cell r="AH1120">
            <v>4.5</v>
          </cell>
          <cell r="AI1120" t="str">
            <v>Maruthi</v>
          </cell>
          <cell r="AJ1120" t="str">
            <v>Biopsy</v>
          </cell>
          <cell r="AK1120" t="str">
            <v>Primary</v>
          </cell>
          <cell r="AN1120" t="str">
            <v>NA</v>
          </cell>
          <cell r="AO1120" t="str">
            <v>NA</v>
          </cell>
          <cell r="AP1120" t="str">
            <v>NA</v>
          </cell>
          <cell r="AS1120" t="str">
            <v>MDSCC(Moderately Differentiated Squamous cell carcinoma)</v>
          </cell>
          <cell r="AV1120">
            <v>45527</v>
          </cell>
          <cell r="AW1120">
            <v>0.48958333333333331</v>
          </cell>
          <cell r="AX1120">
            <v>0.52361111111111114</v>
          </cell>
          <cell r="AY1120">
            <v>3.4027777777777775E-2</v>
          </cell>
          <cell r="AZ1120">
            <v>0.45624999999999999</v>
          </cell>
          <cell r="BA1120">
            <v>0.11736111111111111</v>
          </cell>
          <cell r="BB1120" t="str">
            <v>0.1*0.2*0.4
0.1*0.3-0.4*0.8</v>
          </cell>
          <cell r="BD1120" t="str">
            <v>Manual</v>
          </cell>
          <cell r="BE1120">
            <v>15</v>
          </cell>
          <cell r="BF1120" t="str">
            <v>Pallavi</v>
          </cell>
          <cell r="BG1120" t="str">
            <v>N</v>
          </cell>
        </row>
        <row r="1121">
          <cell r="A1121" t="str">
            <v>FBR1C240242</v>
          </cell>
          <cell r="B1121">
            <v>240242</v>
          </cell>
          <cell r="C1121" t="str">
            <v>R&amp;D</v>
          </cell>
          <cell r="D1121">
            <v>45530</v>
          </cell>
          <cell r="E1121">
            <v>0.47222222222222221</v>
          </cell>
          <cell r="F1121">
            <v>45505</v>
          </cell>
          <cell r="G1121">
            <v>45530</v>
          </cell>
          <cell r="H1121">
            <v>0.53055555555555556</v>
          </cell>
          <cell r="I1121">
            <v>5.8333333333333334E-2</v>
          </cell>
          <cell r="J1121">
            <v>5</v>
          </cell>
          <cell r="K1121" t="str">
            <v>FCB-PROTOCOL-02</v>
          </cell>
          <cell r="L1121" t="str">
            <v>RC066</v>
          </cell>
          <cell r="M1121" t="str">
            <v>Y</v>
          </cell>
          <cell r="N1121" t="str">
            <v>Cul Imp (1C)</v>
          </cell>
          <cell r="O1121" t="str">
            <v>Internal R&amp;D</v>
          </cell>
          <cell r="P1121" t="str">
            <v>Q1 Passed</v>
          </cell>
          <cell r="Q1121" t="str">
            <v>Q1 Passed</v>
          </cell>
          <cell r="R1121" t="str">
            <v>Compromised</v>
          </cell>
          <cell r="S1121" t="str">
            <v>Q1.5 Passed</v>
          </cell>
          <cell r="V1121" t="str">
            <v>Tumor content 80-95%</v>
          </cell>
          <cell r="W1121" t="str">
            <v>Private Hospital</v>
          </cell>
          <cell r="X1121" t="str">
            <v>Mazumdar Shaw Medical Centre, Bangalore</v>
          </cell>
          <cell r="Y1121" t="str">
            <v>Mazumdar Shaw Medical Centre, Bangalore</v>
          </cell>
          <cell r="Z1121" t="str">
            <v>Dr Saurabh Bhargav, Bangalore</v>
          </cell>
          <cell r="AA1121" t="str">
            <v>RCC</v>
          </cell>
          <cell r="AC1121" t="str">
            <v>Renal Mass</v>
          </cell>
          <cell r="AD1121" t="str">
            <v>Left Renal Mass</v>
          </cell>
          <cell r="AE1121" t="str">
            <v>Male</v>
          </cell>
          <cell r="AF1121">
            <v>67</v>
          </cell>
          <cell r="AG1121" t="str">
            <v>N</v>
          </cell>
          <cell r="AH1121">
            <v>5.2</v>
          </cell>
          <cell r="AI1121" t="str">
            <v>Kalappa</v>
          </cell>
          <cell r="AJ1121" t="str">
            <v>Surgery</v>
          </cell>
          <cell r="AK1121" t="str">
            <v>Primary</v>
          </cell>
          <cell r="AN1121" t="str">
            <v>II</v>
          </cell>
          <cell r="AO1121">
            <v>3</v>
          </cell>
          <cell r="AP1121" t="str">
            <v>pT2a</v>
          </cell>
          <cell r="AQ1121" t="str">
            <v>NA</v>
          </cell>
          <cell r="AS1121" t="str">
            <v>Clear cell renal cell  carcinoma</v>
          </cell>
          <cell r="AV1121">
            <v>45530</v>
          </cell>
          <cell r="AW1121">
            <v>0.54652777777777772</v>
          </cell>
          <cell r="AX1121">
            <v>0.61597222222222225</v>
          </cell>
          <cell r="AY1121">
            <v>6.9444444444444448E-2</v>
          </cell>
          <cell r="AZ1121">
            <v>0.55763888888888891</v>
          </cell>
          <cell r="BA1121">
            <v>0.14374999999999999</v>
          </cell>
          <cell r="BB1121" t="str">
            <v>0.2-0.4*0.6-0.7*1.4-1.6</v>
          </cell>
          <cell r="BD1121" t="str">
            <v>Manual+Vibratome</v>
          </cell>
          <cell r="BE1121">
            <v>15</v>
          </cell>
          <cell r="BF1121" t="str">
            <v>Mouniss</v>
          </cell>
          <cell r="BG1121" t="str">
            <v>Y</v>
          </cell>
        </row>
        <row r="1122">
          <cell r="A1122" t="str">
            <v>FBR1X240243</v>
          </cell>
          <cell r="B1122">
            <v>240243</v>
          </cell>
          <cell r="C1122" t="str">
            <v>R&amp;D</v>
          </cell>
          <cell r="D1122">
            <v>45530</v>
          </cell>
          <cell r="E1122">
            <v>0.67013888888888884</v>
          </cell>
          <cell r="F1122">
            <v>45505</v>
          </cell>
          <cell r="G1122">
            <v>45530</v>
          </cell>
          <cell r="H1122">
            <v>0.73472222222222228</v>
          </cell>
          <cell r="I1122">
            <v>6.458333333333334E-2</v>
          </cell>
          <cell r="J1122">
            <v>0</v>
          </cell>
          <cell r="K1122" t="str">
            <v>FCB-PROTOCOL-02</v>
          </cell>
          <cell r="L1122" t="str">
            <v>HN169</v>
          </cell>
          <cell r="M1122" t="str">
            <v>Y</v>
          </cell>
          <cell r="N1122" t="str">
            <v>Biopsy HNSCC (1X)</v>
          </cell>
          <cell r="O1122" t="str">
            <v>Internal R&amp;D</v>
          </cell>
          <cell r="P1122" t="str">
            <v>Q1 Passed</v>
          </cell>
          <cell r="Q1122" t="str">
            <v>Q1 Rejected</v>
          </cell>
          <cell r="R1122" t="str">
            <v>Compromised</v>
          </cell>
          <cell r="S1122" t="str">
            <v>Q1.5 Passed</v>
          </cell>
          <cell r="T1122" t="str">
            <v>Less volume blood</v>
          </cell>
          <cell r="V1122" t="str">
            <v>Tumro content 70-90%</v>
          </cell>
          <cell r="W1122" t="str">
            <v>Private Hospital</v>
          </cell>
          <cell r="X1122" t="str">
            <v>Mazumdar Shaw Medical Centre, Bangalore</v>
          </cell>
          <cell r="Y1122" t="str">
            <v>Mazumdar Shaw Medical Centre, Bangalore</v>
          </cell>
          <cell r="Z1122" t="str">
            <v>Dr Vijay Pillai, Bangalore</v>
          </cell>
          <cell r="AA1122" t="str">
            <v>HNSCC</v>
          </cell>
          <cell r="AC1122" t="str">
            <v>Larynx</v>
          </cell>
          <cell r="AD1122" t="str">
            <v>Larynx</v>
          </cell>
          <cell r="AE1122" t="str">
            <v>Female</v>
          </cell>
          <cell r="AF1122">
            <v>43</v>
          </cell>
          <cell r="AG1122" t="str">
            <v>N</v>
          </cell>
          <cell r="AH1122">
            <v>4.5</v>
          </cell>
          <cell r="AI1122" t="str">
            <v>Maruthi</v>
          </cell>
          <cell r="AJ1122" t="str">
            <v>Biopsy</v>
          </cell>
          <cell r="AK1122" t="str">
            <v>Primary</v>
          </cell>
          <cell r="AN1122" t="str">
            <v>NA</v>
          </cell>
          <cell r="AO1122" t="str">
            <v>NA</v>
          </cell>
          <cell r="AP1122" t="str">
            <v>NA</v>
          </cell>
          <cell r="AS1122" t="str">
            <v>Squamous cell carcinoma</v>
          </cell>
          <cell r="AV1122">
            <v>45530</v>
          </cell>
          <cell r="AW1122">
            <v>0.75624999999999998</v>
          </cell>
          <cell r="AX1122">
            <v>0.78263888888888888</v>
          </cell>
          <cell r="AY1122">
            <v>2.6388888888888889E-2</v>
          </cell>
          <cell r="AZ1122">
            <v>0.71805555555555556</v>
          </cell>
          <cell r="BA1122">
            <v>0.1125</v>
          </cell>
          <cell r="BB1122" t="str">
            <v>0.2*0.2-0.6*0.8
0.3*0.3*0.3-0.4</v>
          </cell>
          <cell r="BD1122" t="str">
            <v>Manual</v>
          </cell>
          <cell r="BE1122">
            <v>15</v>
          </cell>
          <cell r="BF1122" t="str">
            <v>kuberan</v>
          </cell>
          <cell r="BG1122" t="str">
            <v>N</v>
          </cell>
        </row>
        <row r="1123">
          <cell r="A1123" t="str">
            <v>FBR1J240244</v>
          </cell>
          <cell r="B1123">
            <v>240244</v>
          </cell>
          <cell r="C1123" t="str">
            <v>R&amp;D</v>
          </cell>
          <cell r="D1123">
            <v>45530</v>
          </cell>
          <cell r="E1123">
            <v>0.53819444444444442</v>
          </cell>
          <cell r="F1123">
            <v>45505</v>
          </cell>
          <cell r="G1123">
            <v>45530</v>
          </cell>
          <cell r="H1123">
            <v>0.91111111111111109</v>
          </cell>
          <cell r="I1123">
            <v>0.37291666666666667</v>
          </cell>
          <cell r="J1123">
            <v>20</v>
          </cell>
          <cell r="K1123" t="str">
            <v>FCB-PROTOCOL-01</v>
          </cell>
          <cell r="L1123" t="str">
            <v>CLN/DBR/195</v>
          </cell>
          <cell r="M1123" t="str">
            <v>Y</v>
          </cell>
          <cell r="N1123" t="str">
            <v>COS_v3.0-Gastric (1J)</v>
          </cell>
          <cell r="P1123" t="str">
            <v>Q1 Passed</v>
          </cell>
          <cell r="Q1123" t="str">
            <v>Q1 Rejected</v>
          </cell>
          <cell r="R1123" t="str">
            <v>Compromised</v>
          </cell>
          <cell r="S1123" t="str">
            <v>Q1.5 Passed</v>
          </cell>
          <cell r="T1123" t="str">
            <v>Blood Hemolysed</v>
          </cell>
          <cell r="V1123" t="str">
            <v>Tumor content 10-70%</v>
          </cell>
          <cell r="W1123" t="str">
            <v>Private Hospital</v>
          </cell>
          <cell r="X1123" t="str">
            <v>Clinic'les- DBR &amp; SK Hospital, Tirupati</v>
          </cell>
          <cell r="Y1123" t="str">
            <v>DBR &amp; SK Hospital, Tirupati</v>
          </cell>
          <cell r="Z1123" t="str">
            <v>Dr C Jayaprakash, Tirupati</v>
          </cell>
          <cell r="AA1123" t="str">
            <v>GI</v>
          </cell>
          <cell r="AC1123" t="str">
            <v>Stomach</v>
          </cell>
          <cell r="AD1123" t="str">
            <v>Stomach</v>
          </cell>
          <cell r="AE1123" t="str">
            <v>Male</v>
          </cell>
          <cell r="AF1123">
            <v>55</v>
          </cell>
          <cell r="AG1123" t="str">
            <v>N</v>
          </cell>
          <cell r="AH1123">
            <v>4.9000000000000004</v>
          </cell>
          <cell r="AI1123" t="str">
            <v>Shashi</v>
          </cell>
          <cell r="AJ1123" t="str">
            <v>Surgery</v>
          </cell>
          <cell r="AK1123" t="str">
            <v>Primary</v>
          </cell>
          <cell r="AV1123">
            <v>45531</v>
          </cell>
          <cell r="AW1123">
            <v>0.27083333333333331</v>
          </cell>
          <cell r="AX1123">
            <v>0.33263888888888887</v>
          </cell>
          <cell r="AY1123">
            <v>6.1805555555555558E-2</v>
          </cell>
          <cell r="AZ1123">
            <v>0.95972222222222225</v>
          </cell>
          <cell r="BA1123">
            <v>0.7944444444444444</v>
          </cell>
          <cell r="BB1123" t="str">
            <v>0.6*1.2*1.8-1.6
0.3*0.8-1.0*3.4</v>
          </cell>
          <cell r="BD1123" t="str">
            <v>Manual</v>
          </cell>
          <cell r="BE1123">
            <v>15</v>
          </cell>
          <cell r="BF1123" t="str">
            <v>Dharani</v>
          </cell>
          <cell r="BG1123" t="str">
            <v>N</v>
          </cell>
        </row>
        <row r="1124">
          <cell r="A1124" t="str">
            <v>FBR2N240245</v>
          </cell>
          <cell r="B1124">
            <v>240245</v>
          </cell>
          <cell r="C1124" t="str">
            <v>R&amp;D</v>
          </cell>
          <cell r="D1124">
            <v>45531</v>
          </cell>
          <cell r="E1124">
            <v>0.51180555555555551</v>
          </cell>
          <cell r="F1124">
            <v>45505</v>
          </cell>
          <cell r="G1124">
            <v>45531</v>
          </cell>
          <cell r="H1124">
            <v>0.65416666666666667</v>
          </cell>
          <cell r="I1124">
            <v>0.1423611111111111</v>
          </cell>
          <cell r="J1124">
            <v>3</v>
          </cell>
          <cell r="K1124" t="str">
            <v>FCB-PROTOCOL-01</v>
          </cell>
          <cell r="L1124" t="str">
            <v>VYD/305</v>
          </cell>
          <cell r="M1124" t="str">
            <v>Y</v>
          </cell>
          <cell r="N1124" t="str">
            <v>FBT (2N)</v>
          </cell>
          <cell r="O1124" t="str">
            <v>Internal R&amp;D</v>
          </cell>
          <cell r="P1124" t="str">
            <v>Q1 Passed</v>
          </cell>
          <cell r="Q1124" t="str">
            <v>Q1 Rejected</v>
          </cell>
          <cell r="R1124" t="str">
            <v>Compromised</v>
          </cell>
          <cell r="S1124" t="str">
            <v>Q1.5 Passed</v>
          </cell>
          <cell r="V1124" t="str">
            <v>Tumor content 8-75%</v>
          </cell>
          <cell r="W1124" t="str">
            <v>Private Hospital</v>
          </cell>
          <cell r="X1124" t="str">
            <v>Vydehi Hospital, Bangalore</v>
          </cell>
          <cell r="Y1124" t="str">
            <v>Vydehi Hospital, Bangalore</v>
          </cell>
          <cell r="Z1124" t="str">
            <v>Dr Amritha Prabha, Bangalore</v>
          </cell>
          <cell r="AA1124" t="str">
            <v>HNSCC</v>
          </cell>
          <cell r="AC1124" t="str">
            <v>RMT</v>
          </cell>
          <cell r="AD1124" t="str">
            <v>Left RMT</v>
          </cell>
          <cell r="AE1124" t="str">
            <v>Male</v>
          </cell>
          <cell r="AF1124">
            <v>49</v>
          </cell>
          <cell r="AG1124" t="str">
            <v>N</v>
          </cell>
          <cell r="AH1124">
            <v>5.2</v>
          </cell>
          <cell r="AI1124" t="str">
            <v>Shashi</v>
          </cell>
          <cell r="AJ1124" t="str">
            <v>Surgery</v>
          </cell>
          <cell r="AK1124" t="str">
            <v>Primary</v>
          </cell>
          <cell r="AN1124" t="str">
            <v>IV</v>
          </cell>
          <cell r="AO1124">
            <v>1</v>
          </cell>
          <cell r="AP1124" t="str">
            <v>pT3N2b</v>
          </cell>
          <cell r="AS1124" t="str">
            <v>scc</v>
          </cell>
          <cell r="AT1124" t="str">
            <v>RT</v>
          </cell>
          <cell r="AV1124">
            <v>45532</v>
          </cell>
          <cell r="AW1124">
            <v>0.99305555555555558</v>
          </cell>
          <cell r="AX1124">
            <v>1.1041666666666667</v>
          </cell>
          <cell r="AY1124">
            <v>0.1111111111111111</v>
          </cell>
          <cell r="AZ1124">
            <v>0.96180555555555558</v>
          </cell>
          <cell r="BA1124">
            <v>0.59236111111111112</v>
          </cell>
          <cell r="BB1124" t="str">
            <v>0.2-0.4*1.2*2.2
0.2-0.4*0.6*0.6
0.2-0.4*0.4*0.6</v>
          </cell>
          <cell r="BD1124" t="str">
            <v>Vibratome</v>
          </cell>
          <cell r="BE1124">
            <v>15</v>
          </cell>
          <cell r="BF1124" t="str">
            <v>Biswajit</v>
          </cell>
          <cell r="BG1124" t="str">
            <v>N</v>
          </cell>
        </row>
        <row r="1125">
          <cell r="A1125" t="str">
            <v>FBR2Q240245</v>
          </cell>
          <cell r="B1125">
            <v>240245</v>
          </cell>
          <cell r="C1125" t="str">
            <v>R&amp;D</v>
          </cell>
          <cell r="D1125">
            <v>45531</v>
          </cell>
          <cell r="E1125">
            <v>0.51180555555555551</v>
          </cell>
          <cell r="F1125">
            <v>45505</v>
          </cell>
          <cell r="G1125">
            <v>45531</v>
          </cell>
          <cell r="H1125">
            <v>0.65416666666666667</v>
          </cell>
          <cell r="I1125">
            <v>0.1423611111111111</v>
          </cell>
          <cell r="J1125">
            <v>3</v>
          </cell>
          <cell r="K1125" t="str">
            <v>FCB-PROTOCOL-01</v>
          </cell>
          <cell r="L1125" t="str">
            <v>VYD/305</v>
          </cell>
          <cell r="M1125" t="str">
            <v>Y</v>
          </cell>
          <cell r="N1125" t="str">
            <v>COSv4.2_CaBR(1Q-Unknown)</v>
          </cell>
          <cell r="O1125" t="str">
            <v>Internal R&amp;D</v>
          </cell>
          <cell r="P1125" t="str">
            <v>Q1 Passed</v>
          </cell>
          <cell r="Q1125" t="str">
            <v>Q1 Rejected</v>
          </cell>
          <cell r="R1125" t="str">
            <v>Compromised</v>
          </cell>
          <cell r="S1125" t="str">
            <v>Q1.5 Passed</v>
          </cell>
          <cell r="V1125" t="str">
            <v>A:Tumor content 8-65%
B:Tumor content 20-70%</v>
          </cell>
          <cell r="W1125" t="str">
            <v>Private Hospital</v>
          </cell>
          <cell r="X1125" t="str">
            <v>Vydehi Hospital, Bangalore</v>
          </cell>
          <cell r="Y1125" t="str">
            <v>Vydehi Hospital, Bangalore</v>
          </cell>
          <cell r="Z1125" t="str">
            <v>Dr Amritha Prabha, Bangalore</v>
          </cell>
          <cell r="AA1125" t="str">
            <v>HNSCC</v>
          </cell>
          <cell r="AC1125" t="str">
            <v>RMT</v>
          </cell>
          <cell r="AD1125" t="str">
            <v>Left RMT</v>
          </cell>
          <cell r="AE1125" t="str">
            <v>Male</v>
          </cell>
          <cell r="AF1125">
            <v>49</v>
          </cell>
          <cell r="AG1125" t="str">
            <v>N</v>
          </cell>
          <cell r="AH1125">
            <v>5.2</v>
          </cell>
          <cell r="AI1125" t="str">
            <v>Shashi</v>
          </cell>
          <cell r="AJ1125" t="str">
            <v>Surgery</v>
          </cell>
          <cell r="AK1125" t="str">
            <v>Primary</v>
          </cell>
          <cell r="AN1125" t="str">
            <v>IV</v>
          </cell>
          <cell r="AO1125">
            <v>1</v>
          </cell>
          <cell r="AP1125" t="str">
            <v>pT3N2b</v>
          </cell>
          <cell r="AS1125" t="str">
            <v>scc</v>
          </cell>
          <cell r="AT1125" t="str">
            <v>RT</v>
          </cell>
          <cell r="AV1125">
            <v>45531</v>
          </cell>
          <cell r="AW1125">
            <v>0.67013888888888884</v>
          </cell>
          <cell r="AX1125">
            <v>0.73263888888888884</v>
          </cell>
          <cell r="AY1125">
            <v>6.25E-2</v>
          </cell>
          <cell r="AZ1125">
            <v>0.59027777777777779</v>
          </cell>
          <cell r="BA1125">
            <v>0.22083333333333333</v>
          </cell>
          <cell r="BB1125" t="str">
            <v>0.8*0.8-1.0*1.0-1.3
0.4*0.6-0.8*0.4-0.9
0.4*0.6*0.7</v>
          </cell>
          <cell r="BD1125" t="str">
            <v>Vibratome</v>
          </cell>
          <cell r="BE1125">
            <v>15</v>
          </cell>
          <cell r="BF1125" t="str">
            <v>chandan</v>
          </cell>
          <cell r="BG1125" t="str">
            <v>N</v>
          </cell>
        </row>
        <row r="1126">
          <cell r="A1126" t="str">
            <v>FBR1Y240245</v>
          </cell>
          <cell r="B1126">
            <v>240245</v>
          </cell>
          <cell r="C1126" t="str">
            <v>R&amp;D</v>
          </cell>
          <cell r="D1126">
            <v>45531</v>
          </cell>
          <cell r="E1126">
            <v>0.51180555555555551</v>
          </cell>
          <cell r="F1126">
            <v>45505</v>
          </cell>
          <cell r="G1126">
            <v>45531</v>
          </cell>
          <cell r="H1126">
            <v>0.65416666666666667</v>
          </cell>
          <cell r="I1126">
            <v>0.1423611111111111</v>
          </cell>
          <cell r="J1126">
            <v>3</v>
          </cell>
          <cell r="K1126" t="str">
            <v>FCB-PROTOCOL-01</v>
          </cell>
          <cell r="L1126" t="str">
            <v>VYD/305</v>
          </cell>
          <cell r="M1126" t="str">
            <v>Y</v>
          </cell>
          <cell r="N1126" t="str">
            <v>CCS Study (1Y)</v>
          </cell>
          <cell r="O1126" t="str">
            <v>Internal R&amp;D</v>
          </cell>
          <cell r="P1126" t="str">
            <v>Q1 Passed</v>
          </cell>
          <cell r="Q1126" t="str">
            <v>Q1 Rejected</v>
          </cell>
          <cell r="R1126" t="str">
            <v>Compromised</v>
          </cell>
          <cell r="S1126" t="str">
            <v>Q1.5 Passed</v>
          </cell>
          <cell r="V1126" t="str">
            <v>A:Tumor content 8-65%
B:Tumor content 20-70%</v>
          </cell>
          <cell r="W1126" t="str">
            <v>Private Hospital</v>
          </cell>
          <cell r="X1126" t="str">
            <v>Vydehi Hospital, Bangalore</v>
          </cell>
          <cell r="Y1126" t="str">
            <v>Vydehi Hospital, Bangalore</v>
          </cell>
          <cell r="Z1126" t="str">
            <v>Dr Amritha Prabha, Bangalore</v>
          </cell>
          <cell r="AA1126" t="str">
            <v>HNSCC</v>
          </cell>
          <cell r="AC1126" t="str">
            <v>RMT</v>
          </cell>
          <cell r="AD1126" t="str">
            <v>Left RMT</v>
          </cell>
          <cell r="AE1126" t="str">
            <v>Male</v>
          </cell>
          <cell r="AF1126">
            <v>49</v>
          </cell>
          <cell r="AG1126" t="str">
            <v>N</v>
          </cell>
          <cell r="AH1126">
            <v>5.2</v>
          </cell>
          <cell r="AI1126" t="str">
            <v>Shashi</v>
          </cell>
          <cell r="AJ1126" t="str">
            <v>Surgery</v>
          </cell>
          <cell r="AK1126" t="str">
            <v>Primary</v>
          </cell>
          <cell r="AN1126" t="str">
            <v>IV</v>
          </cell>
          <cell r="AO1126">
            <v>1</v>
          </cell>
          <cell r="AP1126" t="str">
            <v>pT3N2b</v>
          </cell>
          <cell r="AS1126" t="str">
            <v>scc</v>
          </cell>
          <cell r="AT1126" t="str">
            <v>RT</v>
          </cell>
          <cell r="AV1126">
            <v>45531</v>
          </cell>
          <cell r="AW1126">
            <v>0.67013888888888884</v>
          </cell>
          <cell r="AX1126">
            <v>0.74305555555555558</v>
          </cell>
          <cell r="AY1126">
            <v>7.2916666666666671E-2</v>
          </cell>
          <cell r="AZ1126">
            <v>0.60069444444444442</v>
          </cell>
          <cell r="BA1126">
            <v>0.23125000000000001</v>
          </cell>
          <cell r="BB1126" t="str">
            <v>0.8*0.8-1.0*1.0-1.3
0.4*0.6-0.8*0.4-0.9
0.4*0.6*0.7</v>
          </cell>
          <cell r="BD1126" t="str">
            <v>Vibratome</v>
          </cell>
          <cell r="BE1126">
            <v>15</v>
          </cell>
          <cell r="BF1126" t="str">
            <v>chandan</v>
          </cell>
          <cell r="BG1126" t="str">
            <v>N</v>
          </cell>
        </row>
        <row r="1127">
          <cell r="A1127" t="str">
            <v>FBBIL240246</v>
          </cell>
          <cell r="B1127">
            <v>240246</v>
          </cell>
          <cell r="C1127" t="str">
            <v>Biopharma</v>
          </cell>
          <cell r="D1127">
            <v>45531</v>
          </cell>
          <cell r="E1127">
            <v>0.62430555555555556</v>
          </cell>
          <cell r="F1127">
            <v>45505</v>
          </cell>
          <cell r="G1127">
            <v>45531</v>
          </cell>
          <cell r="H1127">
            <v>0.75972222222222219</v>
          </cell>
          <cell r="I1127">
            <v>0.13541666666666666</v>
          </cell>
          <cell r="J1127">
            <v>1</v>
          </cell>
          <cell r="K1127" t="str">
            <v>FCB-PROTOCOL-01</v>
          </cell>
          <cell r="L1127" t="str">
            <v>JSS-021</v>
          </cell>
          <cell r="M1127" t="str">
            <v>Y</v>
          </cell>
          <cell r="N1127" t="str">
            <v>BP010 (1L)</v>
          </cell>
          <cell r="O1127" t="str">
            <v>Biopharma</v>
          </cell>
          <cell r="P1127" t="str">
            <v>Q1 Passed</v>
          </cell>
          <cell r="Q1127" t="str">
            <v>Q1 Passed</v>
          </cell>
          <cell r="R1127" t="str">
            <v>Q1.5 Passed</v>
          </cell>
          <cell r="S1127" t="str">
            <v>Q1.5 Passed</v>
          </cell>
          <cell r="V1127" t="str">
            <v>Tumor content 70-90%      Clear cell type</v>
          </cell>
          <cell r="W1127" t="str">
            <v>Private Hospital</v>
          </cell>
          <cell r="X1127" t="str">
            <v>Clinic'les- Dr Ravi Krishnappa, Mysore</v>
          </cell>
          <cell r="Y1127" t="str">
            <v>JSS Hospital, Mysore</v>
          </cell>
          <cell r="Z1127" t="str">
            <v>Dr Manjunath</v>
          </cell>
          <cell r="AA1127" t="str">
            <v>RCC</v>
          </cell>
          <cell r="AC1127" t="str">
            <v>Renal Mass</v>
          </cell>
          <cell r="AD1127" t="str">
            <v>left Renal Mass</v>
          </cell>
          <cell r="AE1127" t="str">
            <v>Female</v>
          </cell>
          <cell r="AF1127">
            <v>53</v>
          </cell>
          <cell r="AG1127" t="str">
            <v>N</v>
          </cell>
          <cell r="AH1127">
            <v>5.5</v>
          </cell>
          <cell r="AI1127" t="str">
            <v>Kalappa</v>
          </cell>
          <cell r="AJ1127" t="str">
            <v>Surgery</v>
          </cell>
          <cell r="AK1127" t="str">
            <v>Primary</v>
          </cell>
          <cell r="AN1127" t="str">
            <v>II</v>
          </cell>
          <cell r="AV1127">
            <v>45531</v>
          </cell>
          <cell r="AW1127">
            <v>0.77847222222222223</v>
          </cell>
          <cell r="AX1127">
            <v>0.81736111111111109</v>
          </cell>
          <cell r="AY1127">
            <v>3.888888888888889E-2</v>
          </cell>
          <cell r="AZ1127">
            <v>0.68194444444444446</v>
          </cell>
          <cell r="BA1127">
            <v>0.19305555555555556</v>
          </cell>
          <cell r="BB1127" t="str">
            <v>0.6*1.2*1.0/1.2
0.4*0.6*1.0
0.4*0.7*1.0
0.2*0.4*0.8</v>
          </cell>
          <cell r="BD1127" t="str">
            <v>Manual</v>
          </cell>
          <cell r="BE1127">
            <v>14</v>
          </cell>
          <cell r="BF1127" t="str">
            <v>kuberan</v>
          </cell>
          <cell r="BG1127" t="str">
            <v>Y</v>
          </cell>
        </row>
        <row r="1128">
          <cell r="A1128" t="str">
            <v>FBR1Q240247</v>
          </cell>
          <cell r="B1128">
            <v>240247</v>
          </cell>
          <cell r="C1128" t="str">
            <v>R&amp;D</v>
          </cell>
          <cell r="D1128">
            <v>45531</v>
          </cell>
          <cell r="E1128">
            <v>0.4861111111111111</v>
          </cell>
          <cell r="F1128">
            <v>45505</v>
          </cell>
          <cell r="G1128">
            <v>45531</v>
          </cell>
          <cell r="H1128">
            <v>0.84861111111111109</v>
          </cell>
          <cell r="I1128">
            <v>0.36249999999999999</v>
          </cell>
          <cell r="J1128">
            <v>15</v>
          </cell>
          <cell r="K1128" t="str">
            <v>FCB-PROTOCOL-01</v>
          </cell>
          <cell r="L1128" t="str">
            <v>CLN/DBR/196</v>
          </cell>
          <cell r="M1128" t="str">
            <v>Y</v>
          </cell>
          <cell r="N1128" t="str">
            <v>COSv4.2_CaBR(1Q-Unknown)</v>
          </cell>
          <cell r="O1128" t="str">
            <v>Internal R&amp;D</v>
          </cell>
          <cell r="P1128" t="str">
            <v>Q1 Passed</v>
          </cell>
          <cell r="Q1128" t="str">
            <v>Q1 Rejected</v>
          </cell>
          <cell r="R1128" t="str">
            <v>Compromised</v>
          </cell>
          <cell r="S1128" t="str">
            <v>Q1.5 Passed</v>
          </cell>
          <cell r="V1128" t="str">
            <v>Tumor content 15-60%</v>
          </cell>
          <cell r="W1128" t="str">
            <v>Private Hospital</v>
          </cell>
          <cell r="X1128" t="str">
            <v>Clinic'les- DBR &amp; SK Hospital, Tirupati</v>
          </cell>
          <cell r="Y1128" t="str">
            <v>DBR &amp; SK Hospital, Tirupati</v>
          </cell>
          <cell r="Z1128" t="str">
            <v>Dr C Jayaprakash, Tirupati</v>
          </cell>
          <cell r="AA1128" t="str">
            <v>Ca Breast</v>
          </cell>
          <cell r="AC1128" t="str">
            <v>Breast</v>
          </cell>
          <cell r="AD1128" t="str">
            <v>Right Breast</v>
          </cell>
          <cell r="AE1128" t="str">
            <v>Female</v>
          </cell>
          <cell r="AF1128">
            <v>46</v>
          </cell>
          <cell r="AG1128" t="str">
            <v>N</v>
          </cell>
          <cell r="AH1128">
            <v>5.8</v>
          </cell>
          <cell r="AI1128" t="str">
            <v>Maruthi</v>
          </cell>
          <cell r="AJ1128" t="str">
            <v>Surgery</v>
          </cell>
          <cell r="AK1128" t="str">
            <v>Primary</v>
          </cell>
          <cell r="AV1128">
            <v>45531</v>
          </cell>
          <cell r="AW1128">
            <v>0.87291666666666667</v>
          </cell>
          <cell r="AX1128">
            <v>0.9506944444444444</v>
          </cell>
          <cell r="AY1128">
            <v>7.7777777777777779E-2</v>
          </cell>
          <cell r="AZ1128">
            <v>0.58819444444444446</v>
          </cell>
          <cell r="BA1128">
            <v>0.46458333333333335</v>
          </cell>
          <cell r="BB1128" t="str">
            <v>0.2-1.0*1.7*1.8</v>
          </cell>
          <cell r="BC1128" t="str">
            <v>0.2-0.9*1.4*1.6</v>
          </cell>
          <cell r="BD1128" t="str">
            <v>Vibratome</v>
          </cell>
          <cell r="BE1128">
            <v>15</v>
          </cell>
          <cell r="BF1128" t="str">
            <v>Mouniss</v>
          </cell>
          <cell r="BG1128" t="str">
            <v>N</v>
          </cell>
        </row>
        <row r="1129">
          <cell r="A1129" t="str">
            <v>FBR1Q240248</v>
          </cell>
          <cell r="B1129">
            <v>240248</v>
          </cell>
          <cell r="C1129" t="str">
            <v>R&amp;D</v>
          </cell>
          <cell r="D1129">
            <v>45532</v>
          </cell>
          <cell r="E1129">
            <v>0.63888888888888884</v>
          </cell>
          <cell r="F1129">
            <v>45505</v>
          </cell>
          <cell r="G1129">
            <v>45532</v>
          </cell>
          <cell r="H1129">
            <v>0.72499999999999998</v>
          </cell>
          <cell r="I1129">
            <v>8.611111111111111E-2</v>
          </cell>
          <cell r="J1129">
            <v>3</v>
          </cell>
          <cell r="K1129" t="str">
            <v>FCB-PROTOCOL-01</v>
          </cell>
          <cell r="L1129" t="str">
            <v>VYD/306</v>
          </cell>
          <cell r="M1129" t="str">
            <v>Y</v>
          </cell>
          <cell r="N1129" t="str">
            <v>COSv4.1_CaBR(1Q-Known)</v>
          </cell>
          <cell r="O1129" t="str">
            <v>Internal R&amp;D</v>
          </cell>
          <cell r="P1129" t="str">
            <v>Q1 Passed</v>
          </cell>
          <cell r="Q1129" t="str">
            <v>Q1 Passed</v>
          </cell>
          <cell r="R1129" t="str">
            <v>Q1.5 Passed</v>
          </cell>
          <cell r="S1129" t="str">
            <v>Q1.5 Rejected</v>
          </cell>
          <cell r="V1129" t="str">
            <v>Some fragments show tumor with features of ?metaplastic breast carcinoma .</v>
          </cell>
          <cell r="W1129" t="str">
            <v>Private Hospital</v>
          </cell>
          <cell r="X1129" t="str">
            <v>Vydehi Hospital, Bangalore</v>
          </cell>
          <cell r="Y1129" t="str">
            <v>Vydehi Hospital, Bangalore</v>
          </cell>
          <cell r="Z1129" t="str">
            <v>Dr Amritha Prabha, Bangalore</v>
          </cell>
          <cell r="AA1129" t="str">
            <v>Ca Breast</v>
          </cell>
          <cell r="AB1129" t="str">
            <v xml:space="preserve">Er +
Pr +
Her 2 Equivocal </v>
          </cell>
          <cell r="AC1129" t="str">
            <v>Breast</v>
          </cell>
          <cell r="AD1129" t="str">
            <v>Right Breast</v>
          </cell>
          <cell r="AE1129" t="str">
            <v>Female</v>
          </cell>
          <cell r="AF1129">
            <v>56</v>
          </cell>
          <cell r="AG1129" t="str">
            <v>N</v>
          </cell>
          <cell r="AH1129">
            <v>4.5999999999999996</v>
          </cell>
          <cell r="AI1129" t="str">
            <v>Maruthi</v>
          </cell>
          <cell r="AJ1129" t="str">
            <v>Surgery</v>
          </cell>
          <cell r="AK1129" t="str">
            <v>Primary</v>
          </cell>
          <cell r="AV1129">
            <v>45532</v>
          </cell>
          <cell r="AW1129">
            <v>0.73611111111111116</v>
          </cell>
          <cell r="AX1129">
            <v>0.80555555555555558</v>
          </cell>
          <cell r="AY1129">
            <v>6.9444444444444448E-2</v>
          </cell>
          <cell r="AZ1129">
            <v>0.71944444444444444</v>
          </cell>
          <cell r="BA1129">
            <v>0.16666666666666666</v>
          </cell>
          <cell r="BB1129" t="str">
            <v>0.6-0.8*1.0*1.2
1.4-1.6*1.6*1.8
0.6*1.4*1.8
0.8-1.0*1.0*2.0</v>
          </cell>
          <cell r="BC1129" t="str">
            <v>0.6-0.8*1.0*1.2
1.4-1.6*1.4*1.6
0.6*1.4*1.8
0.8-1.0*1.0*1.4</v>
          </cell>
          <cell r="BD1129" t="str">
            <v>Vibratome</v>
          </cell>
          <cell r="BE1129">
            <v>15</v>
          </cell>
          <cell r="BF1129" t="str">
            <v>chandan</v>
          </cell>
          <cell r="BG1129" t="str">
            <v>Y</v>
          </cell>
        </row>
        <row r="1130">
          <cell r="A1130" t="str">
            <v>FBR1Q240249</v>
          </cell>
          <cell r="B1130">
            <v>240249</v>
          </cell>
          <cell r="C1130" t="str">
            <v>R&amp;D</v>
          </cell>
          <cell r="D1130">
            <v>45532</v>
          </cell>
          <cell r="E1130">
            <v>0.59375</v>
          </cell>
          <cell r="F1130">
            <v>45505</v>
          </cell>
          <cell r="G1130">
            <v>45532</v>
          </cell>
          <cell r="H1130">
            <v>0.75347222222222221</v>
          </cell>
          <cell r="I1130">
            <v>0.15972222222222221</v>
          </cell>
          <cell r="J1130">
            <v>5</v>
          </cell>
          <cell r="K1130" t="str">
            <v>FCB-PROTOCOL-01</v>
          </cell>
          <cell r="L1130" t="str">
            <v>JSS-022</v>
          </cell>
          <cell r="M1130" t="str">
            <v>Y</v>
          </cell>
          <cell r="N1130" t="str">
            <v>COSv4.1_CaBR(1Q-Known)</v>
          </cell>
          <cell r="O1130" t="str">
            <v>Internal R&amp;D</v>
          </cell>
          <cell r="P1130" t="str">
            <v>Q1 Passed</v>
          </cell>
          <cell r="Q1130" t="str">
            <v>Q1 Rejected</v>
          </cell>
          <cell r="R1130" t="str">
            <v>Compromised</v>
          </cell>
          <cell r="S1130" t="str">
            <v>Q1.5 Rejected</v>
          </cell>
          <cell r="T1130" t="str">
            <v>Blood Hemolysed</v>
          </cell>
          <cell r="V1130" t="str">
            <v>Tumor content 0-5%. Average tumor content 2%.</v>
          </cell>
          <cell r="W1130" t="str">
            <v>Private Hospital</v>
          </cell>
          <cell r="X1130" t="str">
            <v>Clinic'les- Dr Ravi Krishnappa, Mysore</v>
          </cell>
          <cell r="Y1130" t="str">
            <v>JSS Hospital, Mysore</v>
          </cell>
          <cell r="Z1130" t="str">
            <v>Dr Ravi Krishnappa, Mysore</v>
          </cell>
          <cell r="AA1130" t="str">
            <v>Ca Breast</v>
          </cell>
          <cell r="AB1130" t="str">
            <v>Er +
Pr +
Her 2 -</v>
          </cell>
          <cell r="AC1130" t="str">
            <v>Breast</v>
          </cell>
          <cell r="AD1130" t="str">
            <v>Right Breast</v>
          </cell>
          <cell r="AE1130" t="str">
            <v>Female</v>
          </cell>
          <cell r="AF1130">
            <v>32</v>
          </cell>
          <cell r="AG1130" t="str">
            <v>N</v>
          </cell>
          <cell r="AH1130">
            <v>5.2</v>
          </cell>
          <cell r="AI1130" t="str">
            <v>Kalappa</v>
          </cell>
          <cell r="AJ1130" t="str">
            <v>Surgery</v>
          </cell>
          <cell r="AK1130" t="str">
            <v>Primary</v>
          </cell>
          <cell r="AL1130" t="str">
            <v>Chemotherapy</v>
          </cell>
          <cell r="AQ1130">
            <v>16</v>
          </cell>
          <cell r="AR1130" t="str">
            <v>Paclitaxel</v>
          </cell>
          <cell r="AV1130">
            <v>45532</v>
          </cell>
          <cell r="AW1130">
            <v>0.7680555555555556</v>
          </cell>
          <cell r="AX1130">
            <v>0.81388888888888888</v>
          </cell>
          <cell r="AY1130">
            <v>4.583333333333333E-2</v>
          </cell>
          <cell r="AZ1130">
            <v>0.65416666666666667</v>
          </cell>
          <cell r="BA1130">
            <v>0.22013888888888888</v>
          </cell>
          <cell r="BB1130" t="str">
            <v>0.2/0.3*1.2/1.4*1.4</v>
          </cell>
          <cell r="BD1130" t="str">
            <v>Manual+Vibratome</v>
          </cell>
          <cell r="BE1130">
            <v>15</v>
          </cell>
          <cell r="BF1130" t="str">
            <v>kuberan</v>
          </cell>
          <cell r="BG1130" t="str">
            <v>N</v>
          </cell>
        </row>
        <row r="1131">
          <cell r="A1131" t="str">
            <v>FBR1Y240250</v>
          </cell>
          <cell r="B1131">
            <v>240250</v>
          </cell>
          <cell r="C1131" t="str">
            <v>R&amp;D</v>
          </cell>
          <cell r="D1131">
            <v>45533</v>
          </cell>
          <cell r="E1131">
            <v>0.55902777777777779</v>
          </cell>
          <cell r="F1131">
            <v>45505</v>
          </cell>
          <cell r="G1131">
            <v>45533</v>
          </cell>
          <cell r="H1131">
            <v>0.66666666666666663</v>
          </cell>
          <cell r="I1131">
            <v>0.1076388888888889</v>
          </cell>
          <cell r="J1131">
            <v>10</v>
          </cell>
          <cell r="K1131" t="str">
            <v>FCB-PROTOCOL-02</v>
          </cell>
          <cell r="L1131" t="str">
            <v>HN170</v>
          </cell>
          <cell r="M1131" t="str">
            <v>Y</v>
          </cell>
          <cell r="N1131" t="str">
            <v>CCS Study (1Y)</v>
          </cell>
          <cell r="O1131" t="str">
            <v>Internal R&amp;D</v>
          </cell>
          <cell r="P1131" t="str">
            <v>Q1 Passed</v>
          </cell>
          <cell r="Q1131" t="str">
            <v>Not Received</v>
          </cell>
          <cell r="R1131" t="str">
            <v>Compromised</v>
          </cell>
          <cell r="S1131" t="str">
            <v>Q1.5 Passed</v>
          </cell>
          <cell r="V1131" t="str">
            <v>Tumor content 10-60%</v>
          </cell>
          <cell r="W1131" t="str">
            <v>Private Hospital</v>
          </cell>
          <cell r="X1131" t="str">
            <v>Mazumdar Shaw Medical Centre, Bangalore</v>
          </cell>
          <cell r="Y1131" t="str">
            <v>Mazumdar Shaw Medical Centre, Bangalore</v>
          </cell>
          <cell r="Z1131" t="str">
            <v>Dr Vijay Pillai, Bangalore</v>
          </cell>
          <cell r="AA1131" t="str">
            <v>HNSCC</v>
          </cell>
          <cell r="AC1131" t="str">
            <v>Tongue</v>
          </cell>
          <cell r="AD1131" t="str">
            <v>Left Lateral Tongue</v>
          </cell>
          <cell r="AE1131" t="str">
            <v>Male</v>
          </cell>
          <cell r="AF1131">
            <v>66</v>
          </cell>
          <cell r="AG1131" t="str">
            <v>N</v>
          </cell>
          <cell r="AH1131">
            <v>4.5999999999999996</v>
          </cell>
          <cell r="AI1131" t="str">
            <v>Shashi</v>
          </cell>
          <cell r="AJ1131" t="str">
            <v>Surgery</v>
          </cell>
          <cell r="AK1131" t="str">
            <v>Primary</v>
          </cell>
          <cell r="AN1131" t="str">
            <v>III</v>
          </cell>
          <cell r="AO1131">
            <v>2</v>
          </cell>
          <cell r="AP1131" t="str">
            <v>pT3pN1</v>
          </cell>
          <cell r="AS1131" t="str">
            <v>MDSCC(Moderately Differentiated Squamous cell carcinoma)</v>
          </cell>
          <cell r="AV1131">
            <v>45533</v>
          </cell>
          <cell r="AW1131">
            <v>0.68263888888888891</v>
          </cell>
          <cell r="AX1131">
            <v>0.72986111111111107</v>
          </cell>
          <cell r="AY1131">
            <v>4.7222222222222221E-2</v>
          </cell>
          <cell r="AZ1131">
            <v>0.62222222222222223</v>
          </cell>
          <cell r="BA1131">
            <v>0.17083333333333334</v>
          </cell>
          <cell r="BB1131" t="str">
            <v>0.2-0.3*0.6*0.8</v>
          </cell>
          <cell r="BD1131" t="str">
            <v>Vibratome</v>
          </cell>
          <cell r="BE1131">
            <v>15</v>
          </cell>
          <cell r="BF1131" t="str">
            <v>Dharani</v>
          </cell>
          <cell r="BG1131" t="str">
            <v>N</v>
          </cell>
        </row>
        <row r="1132">
          <cell r="A1132" t="str">
            <v>FBR1Q240251</v>
          </cell>
          <cell r="B1132">
            <v>240251</v>
          </cell>
          <cell r="C1132" t="str">
            <v>R&amp;D</v>
          </cell>
          <cell r="D1132">
            <v>45533</v>
          </cell>
          <cell r="E1132">
            <v>0.61458333333333337</v>
          </cell>
          <cell r="F1132">
            <v>45505</v>
          </cell>
          <cell r="G1132">
            <v>45533</v>
          </cell>
          <cell r="H1132">
            <v>0.77430555555555558</v>
          </cell>
          <cell r="I1132">
            <v>0.15972222222222221</v>
          </cell>
          <cell r="J1132">
            <v>15</v>
          </cell>
          <cell r="K1132" t="str">
            <v>FCB-PROTOCOL-01</v>
          </cell>
          <cell r="L1132" t="str">
            <v>JSS-023</v>
          </cell>
          <cell r="M1132" t="str">
            <v>Y</v>
          </cell>
          <cell r="N1132" t="str">
            <v>COSv4.2_CaBR(1Q-Unknown)</v>
          </cell>
          <cell r="O1132" t="str">
            <v>Internal R&amp;D</v>
          </cell>
          <cell r="P1132" t="str">
            <v>Q1 Passed</v>
          </cell>
          <cell r="Q1132" t="str">
            <v>Q1 Passed</v>
          </cell>
          <cell r="R1132" t="str">
            <v>Compromised</v>
          </cell>
          <cell r="S1132" t="str">
            <v>Q1.5 Passed</v>
          </cell>
          <cell r="V1132" t="str">
            <v>Tumor content 1-40%</v>
          </cell>
          <cell r="W1132" t="str">
            <v>Private Hospital</v>
          </cell>
          <cell r="X1132" t="str">
            <v>Clinic'les- Dr Ravi Krishnappa, Mysore</v>
          </cell>
          <cell r="Y1132" t="str">
            <v>JSS Hospital, Mysore</v>
          </cell>
          <cell r="Z1132" t="str">
            <v>Dr Ravi Krishnappa, Mysore</v>
          </cell>
          <cell r="AA1132" t="str">
            <v>Ca Breast</v>
          </cell>
          <cell r="AC1132" t="str">
            <v>Breast</v>
          </cell>
          <cell r="AD1132" t="str">
            <v>Right Breast</v>
          </cell>
          <cell r="AE1132" t="str">
            <v>Female</v>
          </cell>
          <cell r="AF1132">
            <v>74</v>
          </cell>
          <cell r="AG1132" t="str">
            <v>N</v>
          </cell>
          <cell r="AH1132">
            <v>5.2</v>
          </cell>
          <cell r="AI1132" t="str">
            <v>Kalappa</v>
          </cell>
          <cell r="AJ1132" t="str">
            <v>Surgery</v>
          </cell>
          <cell r="AK1132" t="str">
            <v>Primary</v>
          </cell>
          <cell r="AV1132">
            <v>45533</v>
          </cell>
          <cell r="AW1132">
            <v>0.79027777777777775</v>
          </cell>
          <cell r="AX1132">
            <v>0.86597222222222225</v>
          </cell>
          <cell r="AY1132">
            <v>7.5694444444444439E-2</v>
          </cell>
          <cell r="AZ1132">
            <v>0.70625000000000004</v>
          </cell>
          <cell r="BA1132">
            <v>0.25138888888888888</v>
          </cell>
          <cell r="BB1132" t="str">
            <v>0.2-0.4*4.2*0.6-0.8
0.3-0.4*1.6-2.4*0.6</v>
          </cell>
          <cell r="BC1132" t="str">
            <v>0.2*0.8-1.2*3.0
0.2-0.3*0.4-0.5*2.6</v>
          </cell>
          <cell r="BD1132" t="str">
            <v>Manual</v>
          </cell>
          <cell r="BE1132">
            <v>15</v>
          </cell>
          <cell r="BF1132" t="str">
            <v>Abdul</v>
          </cell>
          <cell r="BG1132" t="str">
            <v>N</v>
          </cell>
        </row>
        <row r="1133">
          <cell r="A1133" t="str">
            <v>FBR2Q240252</v>
          </cell>
          <cell r="B1133">
            <v>240252</v>
          </cell>
          <cell r="C1133" t="str">
            <v>R&amp;D</v>
          </cell>
          <cell r="D1133">
            <v>45533</v>
          </cell>
          <cell r="E1133">
            <v>0.48958333333333331</v>
          </cell>
          <cell r="F1133">
            <v>45505</v>
          </cell>
          <cell r="G1133">
            <v>45533</v>
          </cell>
          <cell r="H1133">
            <v>0.85972222222222228</v>
          </cell>
          <cell r="I1133">
            <v>0.37013888888888891</v>
          </cell>
          <cell r="J1133">
            <v>20</v>
          </cell>
          <cell r="K1133" t="str">
            <v>FCB-PROTOCOL-01</v>
          </cell>
          <cell r="L1133" t="str">
            <v>CLN/DBR/197</v>
          </cell>
          <cell r="M1133" t="str">
            <v>Y</v>
          </cell>
          <cell r="N1133" t="str">
            <v>COSv4.2_CaBR(1Q-Unknown)</v>
          </cell>
          <cell r="O1133" t="str">
            <v>Internal R&amp;D</v>
          </cell>
          <cell r="P1133" t="str">
            <v>Q1 Passed</v>
          </cell>
          <cell r="Q1133" t="str">
            <v>Q1 Passed</v>
          </cell>
          <cell r="R1133" t="str">
            <v>Q1.5 Passed</v>
          </cell>
          <cell r="S1133" t="str">
            <v>Q1.5 Passed</v>
          </cell>
          <cell r="V1133" t="str">
            <v>A:Tumor content 70-90%
B:Tumor content 70-90%</v>
          </cell>
          <cell r="W1133" t="str">
            <v>Private Hospital</v>
          </cell>
          <cell r="X1133" t="str">
            <v>Clinic'les- DBR &amp; SK Hospital, Tirupati</v>
          </cell>
          <cell r="Y1133" t="str">
            <v>DBR &amp; SK Hospital, Tirupati</v>
          </cell>
          <cell r="Z1133" t="str">
            <v>Dr C Jayaprakash, Tirupati</v>
          </cell>
          <cell r="AA1133" t="str">
            <v>HNSCC</v>
          </cell>
          <cell r="AC1133" t="str">
            <v>Buccal Mucosa</v>
          </cell>
          <cell r="AD1133" t="str">
            <v>Right Buccal Mucosa</v>
          </cell>
          <cell r="AE1133" t="str">
            <v>Male</v>
          </cell>
          <cell r="AF1133">
            <v>63</v>
          </cell>
          <cell r="AG1133" t="str">
            <v>N</v>
          </cell>
          <cell r="AH1133">
            <v>5.8</v>
          </cell>
          <cell r="AI1133" t="str">
            <v>Maruthi</v>
          </cell>
          <cell r="AJ1133" t="str">
            <v>Surgery</v>
          </cell>
          <cell r="AK1133" t="str">
            <v>Primary</v>
          </cell>
          <cell r="AV1133">
            <v>45533</v>
          </cell>
          <cell r="AW1133">
            <v>0.875</v>
          </cell>
          <cell r="AX1133">
            <v>0.9375</v>
          </cell>
          <cell r="AY1133">
            <v>6.25E-2</v>
          </cell>
          <cell r="AZ1133">
            <v>0.56736111111111109</v>
          </cell>
          <cell r="BA1133">
            <v>0.44791666666666669</v>
          </cell>
          <cell r="BB1133" t="str">
            <v>0.8/1.2*1.4-2.0*2.4
0.2*0.3-1.0*1.2</v>
          </cell>
          <cell r="BD1133" t="str">
            <v>Vibratome</v>
          </cell>
          <cell r="BE1133">
            <v>15</v>
          </cell>
          <cell r="BF1133" t="str">
            <v>chandan</v>
          </cell>
          <cell r="BG1133" t="str">
            <v>Y</v>
          </cell>
        </row>
        <row r="1134">
          <cell r="A1134" t="str">
            <v>FBR2F240252</v>
          </cell>
          <cell r="B1134">
            <v>240252</v>
          </cell>
          <cell r="C1134" t="str">
            <v>R&amp;D</v>
          </cell>
          <cell r="D1134">
            <v>45533</v>
          </cell>
          <cell r="E1134">
            <v>0.48958333333333331</v>
          </cell>
          <cell r="F1134">
            <v>45505</v>
          </cell>
          <cell r="G1134">
            <v>45533</v>
          </cell>
          <cell r="H1134">
            <v>0.85972222222222228</v>
          </cell>
          <cell r="I1134">
            <v>0.37013888888888891</v>
          </cell>
          <cell r="J1134">
            <v>20</v>
          </cell>
          <cell r="K1134" t="str">
            <v>FCB-PROTOCOL-01</v>
          </cell>
          <cell r="L1134" t="str">
            <v>CLN/DBR/197</v>
          </cell>
          <cell r="M1134" t="str">
            <v>Y</v>
          </cell>
          <cell r="N1134" t="str">
            <v>ECR (2F)</v>
          </cell>
          <cell r="O1134" t="str">
            <v>Internal R&amp;D</v>
          </cell>
          <cell r="P1134" t="str">
            <v>Q1 Passed</v>
          </cell>
          <cell r="Q1134" t="str">
            <v>Q1 Passed</v>
          </cell>
          <cell r="R1134" t="str">
            <v>Q1.5 Passed</v>
          </cell>
          <cell r="S1134" t="str">
            <v>Q1.5 Passed</v>
          </cell>
          <cell r="V1134" t="str">
            <v>Tumor content 45-90%</v>
          </cell>
          <cell r="W1134" t="str">
            <v>Private Hospital</v>
          </cell>
          <cell r="X1134" t="str">
            <v>Clinic'les- DBR &amp; SK Hospital, Tirupati</v>
          </cell>
          <cell r="Y1134" t="str">
            <v>DBR &amp; SK Hospital, Tirupati</v>
          </cell>
          <cell r="Z1134" t="str">
            <v>Dr C Jayaprakash, Tirupati</v>
          </cell>
          <cell r="AA1134" t="str">
            <v>HNSCC</v>
          </cell>
          <cell r="AC1134" t="str">
            <v>Buccal Mucosa</v>
          </cell>
          <cell r="AD1134" t="str">
            <v>Right Buccal Mucosa</v>
          </cell>
          <cell r="AE1134" t="str">
            <v>Male</v>
          </cell>
          <cell r="AF1134">
            <v>63</v>
          </cell>
          <cell r="AG1134" t="str">
            <v>N</v>
          </cell>
          <cell r="AH1134">
            <v>5.8</v>
          </cell>
          <cell r="AI1134" t="str">
            <v>Maruthi</v>
          </cell>
          <cell r="AJ1134" t="str">
            <v>Surgery</v>
          </cell>
          <cell r="AK1134" t="str">
            <v>Primary</v>
          </cell>
          <cell r="AV1134">
            <v>45538</v>
          </cell>
          <cell r="AX1134">
            <v>0.73611111111111116</v>
          </cell>
          <cell r="BF1134" t="str">
            <v>Dharani</v>
          </cell>
          <cell r="BG1134" t="str">
            <v>N</v>
          </cell>
        </row>
        <row r="1135">
          <cell r="A1135" t="str">
            <v>FBR1C240253</v>
          </cell>
          <cell r="B1135">
            <v>240253</v>
          </cell>
          <cell r="C1135" t="str">
            <v>R&amp;D</v>
          </cell>
          <cell r="D1135">
            <v>45537</v>
          </cell>
          <cell r="E1135">
            <v>0.54513888888888884</v>
          </cell>
          <cell r="F1135">
            <v>45536</v>
          </cell>
          <cell r="G1135">
            <v>45537</v>
          </cell>
          <cell r="H1135">
            <v>0.70347222222222228</v>
          </cell>
          <cell r="I1135">
            <v>0.15833333333333333</v>
          </cell>
          <cell r="J1135">
            <v>15</v>
          </cell>
          <cell r="K1135" t="str">
            <v>FCB-PROTOCOL-02</v>
          </cell>
          <cell r="L1135" t="str">
            <v>RC067</v>
          </cell>
          <cell r="M1135" t="str">
            <v>Y</v>
          </cell>
          <cell r="N1135" t="str">
            <v>Cul Imp (1C)</v>
          </cell>
          <cell r="O1135" t="str">
            <v>Internal R&amp;D</v>
          </cell>
          <cell r="P1135" t="str">
            <v>Q1 Passed</v>
          </cell>
          <cell r="Q1135" t="str">
            <v>Q1 Passed</v>
          </cell>
          <cell r="R1135" t="str">
            <v>Compromised</v>
          </cell>
          <cell r="S1135" t="str">
            <v>Q1.5 Passed</v>
          </cell>
          <cell r="V1135" t="str">
            <v>Tumor content 55-85%</v>
          </cell>
          <cell r="W1135" t="str">
            <v>Private Hospital</v>
          </cell>
          <cell r="X1135" t="str">
            <v>Mazumdar Shaw Medical Centre, Bangalore</v>
          </cell>
          <cell r="Y1135" t="str">
            <v>Mazumdar Shaw Medical Centre, Bangalore</v>
          </cell>
          <cell r="Z1135" t="str">
            <v>Dr Saurabh Bhargav, Bangalore</v>
          </cell>
          <cell r="AA1135" t="str">
            <v>RCC</v>
          </cell>
          <cell r="AC1135" t="str">
            <v>Renal Mass</v>
          </cell>
          <cell r="AD1135" t="str">
            <v>Left Renal Mass</v>
          </cell>
          <cell r="AE1135" t="str">
            <v>Male</v>
          </cell>
          <cell r="AF1135">
            <v>57</v>
          </cell>
          <cell r="AG1135" t="str">
            <v>N</v>
          </cell>
          <cell r="AH1135">
            <v>4.2</v>
          </cell>
          <cell r="AI1135" t="str">
            <v>Kalappa</v>
          </cell>
          <cell r="AJ1135" t="str">
            <v>Surgery</v>
          </cell>
          <cell r="AK1135" t="str">
            <v>Primary</v>
          </cell>
          <cell r="AN1135" t="str">
            <v>I</v>
          </cell>
          <cell r="AO1135">
            <v>2</v>
          </cell>
          <cell r="AP1135" t="str">
            <v>pT1b</v>
          </cell>
          <cell r="AS1135" t="str">
            <v>Clear cell renal cell  carcinoma</v>
          </cell>
          <cell r="AV1135">
            <v>45537</v>
          </cell>
          <cell r="AW1135">
            <v>0.71458333333333335</v>
          </cell>
          <cell r="AX1135">
            <v>0.74444444444444446</v>
          </cell>
          <cell r="AY1135">
            <v>2.9861111111111113E-2</v>
          </cell>
          <cell r="AZ1135">
            <v>0.58611111111111114</v>
          </cell>
          <cell r="BA1135">
            <v>0.19930555555555557</v>
          </cell>
          <cell r="BB1135" t="str">
            <v>0.3*0.5*0.9</v>
          </cell>
          <cell r="BD1135" t="str">
            <v>Manual</v>
          </cell>
          <cell r="BE1135">
            <v>14</v>
          </cell>
          <cell r="BF1135" t="str">
            <v>kuberan</v>
          </cell>
          <cell r="BG1135" t="str">
            <v>Y</v>
          </cell>
        </row>
        <row r="1136">
          <cell r="A1136" t="str">
            <v>FBR1Y240254</v>
          </cell>
          <cell r="B1136">
            <v>240254</v>
          </cell>
          <cell r="C1136" t="str">
            <v>R&amp;D</v>
          </cell>
          <cell r="D1136">
            <v>45538</v>
          </cell>
          <cell r="E1136">
            <v>0.4548611111111111</v>
          </cell>
          <cell r="F1136">
            <v>45536</v>
          </cell>
          <cell r="G1136">
            <v>45538</v>
          </cell>
          <cell r="H1136">
            <v>0.54583333333333328</v>
          </cell>
          <cell r="I1136">
            <v>9.0972222222222218E-2</v>
          </cell>
          <cell r="J1136">
            <v>2</v>
          </cell>
          <cell r="K1136" t="str">
            <v>FCB-PROTOCOL-01</v>
          </cell>
          <cell r="L1136" t="str">
            <v>VYD/307</v>
          </cell>
          <cell r="M1136" t="str">
            <v>Y</v>
          </cell>
          <cell r="N1136" t="str">
            <v>CCS Study (1Y)</v>
          </cell>
          <cell r="O1136" t="str">
            <v>Internal R&amp;D</v>
          </cell>
          <cell r="P1136" t="str">
            <v>Q1 Passed</v>
          </cell>
          <cell r="Q1136" t="str">
            <v>Q1 Passed</v>
          </cell>
          <cell r="R1136" t="str">
            <v>Q1.5 Passed</v>
          </cell>
          <cell r="S1136" t="str">
            <v>Q1.5 Passed</v>
          </cell>
          <cell r="W1136" t="str">
            <v>Private Hospital</v>
          </cell>
          <cell r="X1136" t="str">
            <v>Vydehi Hospital, Bangalore</v>
          </cell>
          <cell r="Y1136" t="str">
            <v>Vydehi Hospital, Bangalore</v>
          </cell>
          <cell r="Z1136" t="str">
            <v>Dr Amritha Prabha, Bangalore</v>
          </cell>
          <cell r="AA1136" t="str">
            <v>HNSCC</v>
          </cell>
          <cell r="AC1136" t="str">
            <v>Buccal Mucosa</v>
          </cell>
          <cell r="AD1136" t="str">
            <v>Right Buccal Mucosa</v>
          </cell>
          <cell r="AE1136" t="str">
            <v>Male</v>
          </cell>
          <cell r="AF1136">
            <v>47</v>
          </cell>
          <cell r="AG1136" t="str">
            <v>N</v>
          </cell>
          <cell r="AH1136">
            <v>5.2</v>
          </cell>
          <cell r="AI1136" t="str">
            <v>Kalappa</v>
          </cell>
          <cell r="AJ1136" t="str">
            <v>Surgery</v>
          </cell>
          <cell r="AK1136" t="str">
            <v>Primary</v>
          </cell>
          <cell r="AN1136" t="str">
            <v>IV</v>
          </cell>
          <cell r="AO1136">
            <v>1</v>
          </cell>
          <cell r="AP1136" t="str">
            <v>ypT4aN0</v>
          </cell>
          <cell r="AS1136" t="str">
            <v>scc</v>
          </cell>
          <cell r="AT1136" t="str">
            <v>RT</v>
          </cell>
          <cell r="AV1136">
            <v>45538</v>
          </cell>
          <cell r="AX1136">
            <v>0.66319444444444442</v>
          </cell>
          <cell r="BE1136">
            <v>14</v>
          </cell>
          <cell r="BF1136" t="str">
            <v>chandan</v>
          </cell>
          <cell r="BG1136" t="str">
            <v>Y</v>
          </cell>
        </row>
        <row r="1137">
          <cell r="A1137" t="str">
            <v>FBR2Q240254</v>
          </cell>
          <cell r="B1137">
            <v>240254</v>
          </cell>
          <cell r="C1137" t="str">
            <v>R&amp;D</v>
          </cell>
          <cell r="D1137">
            <v>45538</v>
          </cell>
          <cell r="E1137">
            <v>0.4548611111111111</v>
          </cell>
          <cell r="F1137">
            <v>45536</v>
          </cell>
          <cell r="G1137">
            <v>45538</v>
          </cell>
          <cell r="H1137">
            <v>0.54583333333333328</v>
          </cell>
          <cell r="I1137">
            <v>9.0972222222222218E-2</v>
          </cell>
          <cell r="J1137">
            <v>2</v>
          </cell>
          <cell r="K1137" t="str">
            <v>FCB-PROTOCOL-01</v>
          </cell>
          <cell r="L1137" t="str">
            <v>VYD/307</v>
          </cell>
          <cell r="M1137" t="str">
            <v>Y</v>
          </cell>
          <cell r="N1137" t="str">
            <v>COSv4.2_CaBR(1Q-Unknown)</v>
          </cell>
          <cell r="O1137" t="str">
            <v>Internal R&amp;D</v>
          </cell>
          <cell r="P1137" t="str">
            <v>Q1 Passed</v>
          </cell>
          <cell r="Q1137" t="str">
            <v>Q1 Passed</v>
          </cell>
          <cell r="R1137" t="str">
            <v>Q1.5 Passed</v>
          </cell>
          <cell r="S1137" t="str">
            <v>Q1.5 Passed</v>
          </cell>
          <cell r="V1137" t="str">
            <v>A:Tumor content 15-60%
B:Tumor content 0-55%. Average tumor content 15%</v>
          </cell>
          <cell r="W1137" t="str">
            <v>Private Hospital</v>
          </cell>
          <cell r="X1137" t="str">
            <v>Vydehi Hospital, Bangalore</v>
          </cell>
          <cell r="Y1137" t="str">
            <v>Vydehi Hospital, Bangalore</v>
          </cell>
          <cell r="Z1137" t="str">
            <v>Dr Amritha Prabha, Bangalore</v>
          </cell>
          <cell r="AA1137" t="str">
            <v>HNSCC</v>
          </cell>
          <cell r="AC1137" t="str">
            <v>Buccal Mucosa</v>
          </cell>
          <cell r="AD1137" t="str">
            <v>Right Buccal Mucosa</v>
          </cell>
          <cell r="AE1137" t="str">
            <v>Male</v>
          </cell>
          <cell r="AF1137">
            <v>47</v>
          </cell>
          <cell r="AG1137" t="str">
            <v>N</v>
          </cell>
          <cell r="AH1137">
            <v>5.2</v>
          </cell>
          <cell r="AI1137" t="str">
            <v>Kalappa</v>
          </cell>
          <cell r="AJ1137" t="str">
            <v>Surgery</v>
          </cell>
          <cell r="AK1137" t="str">
            <v>Primary</v>
          </cell>
          <cell r="AN1137" t="str">
            <v>IV</v>
          </cell>
          <cell r="AO1137">
            <v>1</v>
          </cell>
          <cell r="AP1137" t="str">
            <v>ypT4aN0</v>
          </cell>
          <cell r="AS1137" t="str">
            <v>scc</v>
          </cell>
          <cell r="AT1137" t="str">
            <v>RT</v>
          </cell>
          <cell r="AV1137">
            <v>45538</v>
          </cell>
          <cell r="AW1137">
            <v>0.55555555555555558</v>
          </cell>
          <cell r="AX1137">
            <v>0.66319444444444442</v>
          </cell>
          <cell r="AY1137">
            <v>0.1076388888888889</v>
          </cell>
          <cell r="AZ1137">
            <v>0.57222222222222219</v>
          </cell>
          <cell r="BA1137">
            <v>0.20833333333333334</v>
          </cell>
          <cell r="BB1137" t="str">
            <v>0.8-1.0*1.6-1.9*2.6-2.9</v>
          </cell>
          <cell r="BD1137" t="str">
            <v>Vibratome</v>
          </cell>
          <cell r="BE1137">
            <v>14</v>
          </cell>
          <cell r="BF1137" t="str">
            <v>chandan</v>
          </cell>
          <cell r="BG1137" t="str">
            <v>Y</v>
          </cell>
        </row>
        <row r="1138">
          <cell r="A1138" t="str">
            <v>FBR2H240254</v>
          </cell>
          <cell r="B1138">
            <v>240254</v>
          </cell>
          <cell r="C1138" t="str">
            <v>R&amp;D</v>
          </cell>
          <cell r="D1138">
            <v>45538</v>
          </cell>
          <cell r="E1138">
            <v>0.4548611111111111</v>
          </cell>
          <cell r="F1138">
            <v>45536</v>
          </cell>
          <cell r="G1138">
            <v>45538</v>
          </cell>
          <cell r="H1138">
            <v>0.54583333333333328</v>
          </cell>
          <cell r="I1138">
            <v>9.0972222222222218E-2</v>
          </cell>
          <cell r="J1138">
            <v>2</v>
          </cell>
          <cell r="K1138" t="str">
            <v>FCB-PROTOCOL-01</v>
          </cell>
          <cell r="L1138" t="str">
            <v>VYD/307</v>
          </cell>
          <cell r="M1138" t="str">
            <v>Y</v>
          </cell>
          <cell r="N1138" t="str">
            <v>PCR (2H)</v>
          </cell>
          <cell r="O1138" t="str">
            <v>Internal R&amp;D</v>
          </cell>
          <cell r="P1138" t="str">
            <v>Q1 Passed</v>
          </cell>
          <cell r="Q1138" t="str">
            <v>Q1 Passed</v>
          </cell>
          <cell r="R1138" t="str">
            <v>Q1.5 Passed</v>
          </cell>
          <cell r="S1138" t="str">
            <v>Q1.5 Passed</v>
          </cell>
          <cell r="W1138" t="str">
            <v>Private Hospital</v>
          </cell>
          <cell r="X1138" t="str">
            <v>Vydehi Hospital, Bangalore</v>
          </cell>
          <cell r="Y1138" t="str">
            <v>Vydehi Hospital, Bangalore</v>
          </cell>
          <cell r="Z1138" t="str">
            <v>Dr Amritha Prabha, Bangalore</v>
          </cell>
          <cell r="AA1138" t="str">
            <v>HNSCC</v>
          </cell>
          <cell r="AC1138" t="str">
            <v>Buccal Mucosa</v>
          </cell>
          <cell r="AD1138" t="str">
            <v>Right Buccal Mucosa</v>
          </cell>
          <cell r="AE1138" t="str">
            <v>Male</v>
          </cell>
          <cell r="AF1138">
            <v>47</v>
          </cell>
          <cell r="AG1138" t="str">
            <v>N</v>
          </cell>
          <cell r="AH1138">
            <v>5.2</v>
          </cell>
          <cell r="AI1138" t="str">
            <v>Kalappa</v>
          </cell>
          <cell r="AJ1138" t="str">
            <v>Surgery</v>
          </cell>
          <cell r="AK1138" t="str">
            <v>Primary</v>
          </cell>
          <cell r="AN1138" t="str">
            <v>IV</v>
          </cell>
          <cell r="AO1138">
            <v>1</v>
          </cell>
          <cell r="AP1138" t="str">
            <v>ypT4aN0</v>
          </cell>
          <cell r="AS1138" t="str">
            <v>scc</v>
          </cell>
          <cell r="AT1138" t="str">
            <v>RT</v>
          </cell>
          <cell r="AV1138">
            <v>45538</v>
          </cell>
        </row>
        <row r="1139">
          <cell r="A1139" t="str">
            <v>FBR2F240254</v>
          </cell>
          <cell r="B1139">
            <v>240254</v>
          </cell>
          <cell r="C1139" t="str">
            <v>R&amp;D</v>
          </cell>
          <cell r="D1139">
            <v>45538</v>
          </cell>
          <cell r="E1139">
            <v>0.4548611111111111</v>
          </cell>
          <cell r="F1139">
            <v>45536</v>
          </cell>
          <cell r="G1139">
            <v>45538</v>
          </cell>
          <cell r="H1139">
            <v>0.54583333333333328</v>
          </cell>
          <cell r="I1139">
            <v>9.0972222222222218E-2</v>
          </cell>
          <cell r="J1139">
            <v>2</v>
          </cell>
          <cell r="K1139" t="str">
            <v>FCB-PROTOCOL-01</v>
          </cell>
          <cell r="L1139" t="str">
            <v>VYD/307</v>
          </cell>
          <cell r="M1139" t="str">
            <v>Y</v>
          </cell>
          <cell r="N1139" t="str">
            <v>ECR (2F)</v>
          </cell>
          <cell r="O1139" t="str">
            <v>Internal R&amp;D</v>
          </cell>
          <cell r="P1139" t="str">
            <v>Q1 Passed</v>
          </cell>
          <cell r="Q1139" t="str">
            <v>Q1 Passed</v>
          </cell>
          <cell r="R1139" t="str">
            <v>Q1.5 Passed</v>
          </cell>
          <cell r="S1139" t="str">
            <v>Q1.5 Passed</v>
          </cell>
          <cell r="V1139" t="str">
            <v>Tumor content 10-65%</v>
          </cell>
          <cell r="W1139" t="str">
            <v>Private Hospital</v>
          </cell>
          <cell r="X1139" t="str">
            <v>Vydehi Hospital, Bangalore</v>
          </cell>
          <cell r="Y1139" t="str">
            <v>Vydehi Hospital, Bangalore</v>
          </cell>
          <cell r="Z1139" t="str">
            <v>Dr Amritha Prabha, Bangalore</v>
          </cell>
          <cell r="AA1139" t="str">
            <v>HNSCC</v>
          </cell>
          <cell r="AC1139" t="str">
            <v>Buccal Mucosa</v>
          </cell>
          <cell r="AD1139" t="str">
            <v>Right Buccal Mucosa</v>
          </cell>
          <cell r="AE1139" t="str">
            <v>Male</v>
          </cell>
          <cell r="AF1139">
            <v>47</v>
          </cell>
          <cell r="AG1139" t="str">
            <v>N</v>
          </cell>
          <cell r="AH1139">
            <v>5.2</v>
          </cell>
          <cell r="AI1139" t="str">
            <v>Kalappa</v>
          </cell>
          <cell r="AJ1139" t="str">
            <v>Surgery</v>
          </cell>
          <cell r="AK1139" t="str">
            <v>Primary</v>
          </cell>
          <cell r="AN1139" t="str">
            <v>IV</v>
          </cell>
          <cell r="AO1139">
            <v>1</v>
          </cell>
          <cell r="AP1139" t="str">
            <v>ypT4aN0</v>
          </cell>
          <cell r="AS1139" t="str">
            <v>scc</v>
          </cell>
          <cell r="AT1139" t="str">
            <v>RT</v>
          </cell>
          <cell r="AV1139">
            <v>45559</v>
          </cell>
          <cell r="AX1139">
            <v>0.59722222222222221</v>
          </cell>
        </row>
        <row r="1140">
          <cell r="A1140" t="str">
            <v>FBR1K240255</v>
          </cell>
          <cell r="B1140">
            <v>240255</v>
          </cell>
          <cell r="C1140" t="str">
            <v>R&amp;D</v>
          </cell>
          <cell r="D1140">
            <v>45538</v>
          </cell>
          <cell r="E1140">
            <v>0.47916666666666669</v>
          </cell>
          <cell r="F1140">
            <v>45536</v>
          </cell>
          <cell r="G1140">
            <v>45538</v>
          </cell>
          <cell r="H1140">
            <v>0.8618055555555556</v>
          </cell>
          <cell r="I1140">
            <v>0.38263888888888886</v>
          </cell>
          <cell r="J1140">
            <v>15</v>
          </cell>
          <cell r="K1140" t="str">
            <v>FCB-PROTOCOL-01</v>
          </cell>
          <cell r="L1140" t="str">
            <v>CLN/DBR/198</v>
          </cell>
          <cell r="M1140" t="str">
            <v>Y</v>
          </cell>
          <cell r="N1140" t="str">
            <v>DMS_v4(1K)</v>
          </cell>
          <cell r="O1140" t="str">
            <v>Internal R&amp;D</v>
          </cell>
          <cell r="P1140" t="str">
            <v>Q1 Passed</v>
          </cell>
          <cell r="Q1140" t="str">
            <v>Q1 Passed</v>
          </cell>
          <cell r="R1140" t="str">
            <v>Q1.5 Passed</v>
          </cell>
          <cell r="S1140" t="str">
            <v>Q1.5 Passed</v>
          </cell>
          <cell r="V1140" t="str">
            <v>Tumor content 55-80%</v>
          </cell>
          <cell r="W1140" t="str">
            <v>Private Hospital</v>
          </cell>
          <cell r="X1140" t="str">
            <v>Clinic'les- DBR &amp; SK Hospital, Tirupati</v>
          </cell>
          <cell r="Y1140" t="str">
            <v>DBR &amp; SK Hospital, Tirupati</v>
          </cell>
          <cell r="Z1140" t="str">
            <v>Dr C Jayaprakash, Tirupati</v>
          </cell>
          <cell r="AA1140" t="str">
            <v>HNSCC</v>
          </cell>
          <cell r="AC1140" t="str">
            <v>Lip</v>
          </cell>
          <cell r="AD1140" t="str">
            <v>Lip</v>
          </cell>
          <cell r="AE1140" t="str">
            <v>Female</v>
          </cell>
          <cell r="AF1140">
            <v>63</v>
          </cell>
          <cell r="AG1140" t="str">
            <v>N</v>
          </cell>
          <cell r="AH1140">
            <v>5.4</v>
          </cell>
          <cell r="AI1140" t="str">
            <v>Kalappa</v>
          </cell>
          <cell r="AJ1140" t="str">
            <v>Surgery</v>
          </cell>
          <cell r="AK1140" t="str">
            <v>Local Recurrent</v>
          </cell>
          <cell r="AL1140" t="str">
            <v>Radiotherapy</v>
          </cell>
          <cell r="AQ1140">
            <v>33</v>
          </cell>
          <cell r="AV1140">
            <v>45538</v>
          </cell>
          <cell r="AW1140">
            <v>0.875</v>
          </cell>
          <cell r="AX1140">
            <v>0.95486111111111116</v>
          </cell>
          <cell r="AY1140">
            <v>7.9861111111111105E-2</v>
          </cell>
          <cell r="AZ1140">
            <v>0.57222222222222219</v>
          </cell>
          <cell r="BA1140">
            <v>0.47569444444444442</v>
          </cell>
          <cell r="BB1140" t="str">
            <v>0.6-0.2*1.4*1.6</v>
          </cell>
          <cell r="BD1140" t="str">
            <v>Manual+Vibratome</v>
          </cell>
          <cell r="BE1140">
            <v>14</v>
          </cell>
          <cell r="BF1140" t="str">
            <v>Dharani</v>
          </cell>
          <cell r="BG1140" t="str">
            <v>Y</v>
          </cell>
        </row>
        <row r="1141">
          <cell r="A1141" t="str">
            <v>FBR1Y240256</v>
          </cell>
          <cell r="B1141">
            <v>240256</v>
          </cell>
          <cell r="C1141" t="str">
            <v>R&amp;D</v>
          </cell>
          <cell r="D1141">
            <v>45539</v>
          </cell>
          <cell r="E1141">
            <v>0.56666666666666665</v>
          </cell>
          <cell r="F1141">
            <v>45536</v>
          </cell>
          <cell r="G1141">
            <v>45539</v>
          </cell>
          <cell r="H1141">
            <v>0.66874999999999996</v>
          </cell>
          <cell r="I1141">
            <v>0.10208333333333333</v>
          </cell>
          <cell r="J1141">
            <v>2</v>
          </cell>
          <cell r="K1141" t="str">
            <v>FCB-PROTOCOL-01</v>
          </cell>
          <cell r="L1141" t="str">
            <v>VYD/308</v>
          </cell>
          <cell r="M1141" t="str">
            <v>Y</v>
          </cell>
          <cell r="N1141" t="str">
            <v>CCS Study (1Y)</v>
          </cell>
          <cell r="O1141" t="str">
            <v>Internal R&amp;D</v>
          </cell>
          <cell r="P1141" t="str">
            <v>Q1 Passed</v>
          </cell>
          <cell r="Q1141" t="str">
            <v>Q1 Rejected</v>
          </cell>
          <cell r="R1141" t="str">
            <v>Compromised</v>
          </cell>
          <cell r="S1141" t="str">
            <v>Q1.5 Passed</v>
          </cell>
          <cell r="T1141" t="str">
            <v>Blood Clotted</v>
          </cell>
          <cell r="V1141" t="str">
            <v>Tumor content 40-60%</v>
          </cell>
          <cell r="W1141" t="str">
            <v>Private Hospital</v>
          </cell>
          <cell r="X1141" t="str">
            <v>Vydehi Hospital, Bangalore</v>
          </cell>
          <cell r="Y1141" t="str">
            <v>Vydehi Hospital, Bangalore</v>
          </cell>
          <cell r="Z1141" t="str">
            <v>Dr Amritha Prabha, Bangalore</v>
          </cell>
          <cell r="AA1141" t="str">
            <v>HNSCC</v>
          </cell>
          <cell r="AC1141" t="str">
            <v>Alveolus</v>
          </cell>
          <cell r="AD1141" t="str">
            <v>Right Upper Alveolus</v>
          </cell>
          <cell r="AE1141" t="str">
            <v>Male</v>
          </cell>
          <cell r="AF1141">
            <v>64</v>
          </cell>
          <cell r="AG1141" t="str">
            <v>N</v>
          </cell>
          <cell r="AH1141">
            <v>4.8</v>
          </cell>
          <cell r="AI1141" t="str">
            <v>Shashi</v>
          </cell>
          <cell r="AJ1141" t="str">
            <v>Surgery</v>
          </cell>
          <cell r="AK1141" t="str">
            <v>Primary</v>
          </cell>
          <cell r="AL1141" t="str">
            <v>Surgery</v>
          </cell>
          <cell r="AN1141" t="str">
            <v>III</v>
          </cell>
          <cell r="AO1141">
            <v>1</v>
          </cell>
          <cell r="AP1141" t="str">
            <v>pT2N2b</v>
          </cell>
          <cell r="AS1141" t="str">
            <v>scc</v>
          </cell>
          <cell r="AT1141" t="str">
            <v>RT</v>
          </cell>
          <cell r="AV1141">
            <v>45539</v>
          </cell>
          <cell r="AW1141">
            <v>0.68194444444444446</v>
          </cell>
          <cell r="AX1141">
            <v>0.75486111111111109</v>
          </cell>
          <cell r="AY1141">
            <v>7.2916666666666671E-2</v>
          </cell>
          <cell r="AZ1141">
            <v>0.65277777777777779</v>
          </cell>
          <cell r="BA1141">
            <v>0.18819444444444444</v>
          </cell>
          <cell r="BB1141" t="str">
            <v>0.2-0.4*0.8-1.0*1.4-1.6</v>
          </cell>
          <cell r="BD1141" t="str">
            <v>Manual+Vibratome</v>
          </cell>
          <cell r="BE1141">
            <v>14</v>
          </cell>
          <cell r="BF1141" t="str">
            <v>Mouniss</v>
          </cell>
          <cell r="BG1141" t="str">
            <v>N</v>
          </cell>
        </row>
        <row r="1142">
          <cell r="A1142" t="str">
            <v>FBR1J240257</v>
          </cell>
          <cell r="B1142">
            <v>240257</v>
          </cell>
          <cell r="C1142" t="str">
            <v>R&amp;D</v>
          </cell>
          <cell r="D1142">
            <v>45539</v>
          </cell>
          <cell r="E1142">
            <v>0.51736111111111116</v>
          </cell>
          <cell r="F1142">
            <v>45536</v>
          </cell>
          <cell r="G1142">
            <v>45539</v>
          </cell>
          <cell r="H1142">
            <v>0.91736111111111107</v>
          </cell>
          <cell r="I1142">
            <v>0.4</v>
          </cell>
          <cell r="J1142">
            <v>45</v>
          </cell>
          <cell r="K1142" t="str">
            <v>FCB-PROTOCOL-01</v>
          </cell>
          <cell r="L1142" t="str">
            <v>CLN/DBR/199</v>
          </cell>
          <cell r="M1142" t="str">
            <v>Y</v>
          </cell>
          <cell r="N1142" t="str">
            <v>COS_v3.0-Gastric (1J)</v>
          </cell>
          <cell r="O1142" t="str">
            <v>Internal R&amp;D</v>
          </cell>
          <cell r="P1142" t="str">
            <v>Q1 Passed</v>
          </cell>
          <cell r="Q1142" t="str">
            <v>Q1 Rejected</v>
          </cell>
          <cell r="R1142" t="str">
            <v>Compromised</v>
          </cell>
          <cell r="S1142" t="str">
            <v>Q1.5 Rejected</v>
          </cell>
          <cell r="V1142" t="str">
            <v>No tumor</v>
          </cell>
          <cell r="W1142" t="str">
            <v>Private Hospital</v>
          </cell>
          <cell r="X1142" t="str">
            <v>Clinic'les- DBR &amp; SK Hospital, Tirupati</v>
          </cell>
          <cell r="Y1142" t="str">
            <v>DBR &amp; SK Hospital, Tirupati</v>
          </cell>
          <cell r="Z1142" t="str">
            <v>Dr C Jayaprakash, Tirupati</v>
          </cell>
          <cell r="AA1142" t="str">
            <v>GI</v>
          </cell>
          <cell r="AC1142" t="str">
            <v>Stomach</v>
          </cell>
          <cell r="AD1142" t="str">
            <v>Stomach</v>
          </cell>
          <cell r="AE1142" t="str">
            <v>Female</v>
          </cell>
          <cell r="AF1142">
            <v>53</v>
          </cell>
          <cell r="AG1142" t="str">
            <v>N</v>
          </cell>
          <cell r="AH1142">
            <v>6.1</v>
          </cell>
          <cell r="AI1142" t="str">
            <v>Maruthi</v>
          </cell>
          <cell r="AJ1142" t="str">
            <v>Surgery</v>
          </cell>
          <cell r="AK1142" t="str">
            <v>Primary</v>
          </cell>
          <cell r="AV1142">
            <v>45540</v>
          </cell>
          <cell r="AW1142">
            <v>0.27083333333333331</v>
          </cell>
          <cell r="AX1142">
            <v>0.33194444444444443</v>
          </cell>
          <cell r="AY1142">
            <v>6.1111111111111109E-2</v>
          </cell>
          <cell r="AZ1142">
            <v>0.93194444444444446</v>
          </cell>
          <cell r="BA1142">
            <v>0.81458333333333333</v>
          </cell>
          <cell r="BB1142" t="str">
            <v>0.6-0.3*2.0*2.8</v>
          </cell>
          <cell r="BD1142" t="str">
            <v>Manual</v>
          </cell>
          <cell r="BE1142">
            <v>14</v>
          </cell>
          <cell r="BF1142" t="str">
            <v>Dharani</v>
          </cell>
          <cell r="BG1142" t="str">
            <v>N</v>
          </cell>
        </row>
        <row r="1143">
          <cell r="A1143" t="str">
            <v>FBR1Q240258</v>
          </cell>
          <cell r="B1143">
            <v>240258</v>
          </cell>
          <cell r="C1143" t="str">
            <v>R&amp;D</v>
          </cell>
          <cell r="D1143">
            <v>45539</v>
          </cell>
          <cell r="E1143">
            <v>0.59722222222222221</v>
          </cell>
          <cell r="F1143">
            <v>45536</v>
          </cell>
          <cell r="G1143">
            <v>45540</v>
          </cell>
          <cell r="H1143">
            <v>1.3819444444444444</v>
          </cell>
          <cell r="I1143">
            <v>0.78472222222222221</v>
          </cell>
          <cell r="J1143">
            <v>10</v>
          </cell>
          <cell r="K1143" t="str">
            <v>FCB-PROTOCOL-01</v>
          </cell>
          <cell r="L1143" t="str">
            <v>CLN/DBR/200</v>
          </cell>
          <cell r="M1143" t="str">
            <v>Y</v>
          </cell>
          <cell r="N1143" t="str">
            <v>COSv4.2_CaBR(1Q-Unknown)</v>
          </cell>
          <cell r="O1143" t="str">
            <v>Internal R&amp;D</v>
          </cell>
          <cell r="P1143" t="str">
            <v>Q1 Passed</v>
          </cell>
          <cell r="Q1143" t="str">
            <v>Q1 Passed</v>
          </cell>
          <cell r="R1143" t="str">
            <v>Q1.5 Passed</v>
          </cell>
          <cell r="S1143" t="str">
            <v>Q1.5 Passed</v>
          </cell>
          <cell r="V1143" t="str">
            <v>Tumor content 2-35%</v>
          </cell>
          <cell r="W1143" t="str">
            <v>Private Hospital</v>
          </cell>
          <cell r="X1143" t="str">
            <v>Clinic'les- DBR &amp; SK Hospital, Tirupati</v>
          </cell>
          <cell r="Y1143" t="str">
            <v>DBR &amp; SK Hospital, Tirupati</v>
          </cell>
          <cell r="Z1143" t="str">
            <v>Dr C Jayaprakash, Tirupati</v>
          </cell>
          <cell r="AA1143" t="str">
            <v>Ca Breast</v>
          </cell>
          <cell r="AC1143" t="str">
            <v>Breast</v>
          </cell>
          <cell r="AD1143" t="str">
            <v>Right Breast</v>
          </cell>
          <cell r="AE1143" t="str">
            <v>Female</v>
          </cell>
          <cell r="AF1143">
            <v>61</v>
          </cell>
          <cell r="AG1143" t="str">
            <v>N</v>
          </cell>
          <cell r="AH1143">
            <v>5.8</v>
          </cell>
          <cell r="AI1143" t="str">
            <v>Kalappa</v>
          </cell>
          <cell r="AJ1143" t="str">
            <v>Surgery</v>
          </cell>
          <cell r="AK1143" t="str">
            <v>Primary</v>
          </cell>
          <cell r="AV1143">
            <v>45540</v>
          </cell>
          <cell r="AW1143">
            <v>0.38819444444444445</v>
          </cell>
          <cell r="AX1143">
            <v>0.4861111111111111</v>
          </cell>
          <cell r="AY1143">
            <v>9.7916666666666666E-2</v>
          </cell>
          <cell r="AZ1143">
            <v>0.70138888888888884</v>
          </cell>
          <cell r="BA1143">
            <v>0.88888888888888884</v>
          </cell>
          <cell r="BB1143" t="str">
            <v>1.2/1.4*2.2*3.2</v>
          </cell>
          <cell r="BC1143" t="str">
            <v>0.8*1.6*2.8
0.6/0.7*1.4*2.4</v>
          </cell>
          <cell r="BD1143" t="str">
            <v>Vibratome</v>
          </cell>
          <cell r="BE1143">
            <v>14</v>
          </cell>
          <cell r="BF1143" t="str">
            <v>chandan</v>
          </cell>
          <cell r="BG1143" t="str">
            <v>Y</v>
          </cell>
        </row>
        <row r="1144">
          <cell r="A1144" t="str">
            <v>FBR1K240259</v>
          </cell>
          <cell r="B1144">
            <v>240259</v>
          </cell>
          <cell r="C1144" t="str">
            <v>R&amp;D</v>
          </cell>
          <cell r="D1144">
            <v>45540</v>
          </cell>
          <cell r="E1144">
            <v>0.64583333333333337</v>
          </cell>
          <cell r="F1144">
            <v>45536</v>
          </cell>
          <cell r="G1144">
            <v>45540</v>
          </cell>
          <cell r="H1144">
            <v>0.71111111111111114</v>
          </cell>
          <cell r="I1144">
            <v>6.5277777777777782E-2</v>
          </cell>
          <cell r="J1144">
            <v>10</v>
          </cell>
          <cell r="K1144" t="str">
            <v>FCB-PROTOCOL-01</v>
          </cell>
          <cell r="L1144" t="str">
            <v>HN171</v>
          </cell>
          <cell r="M1144" t="str">
            <v>Y</v>
          </cell>
          <cell r="N1144" t="str">
            <v>DMS_v4(1K)</v>
          </cell>
          <cell r="O1144" t="str">
            <v>Internal R&amp;D</v>
          </cell>
          <cell r="P1144" t="str">
            <v>Q1 Passed</v>
          </cell>
          <cell r="Q1144" t="str">
            <v>Q1 Rejected</v>
          </cell>
          <cell r="R1144" t="str">
            <v>Compromised</v>
          </cell>
          <cell r="S1144" t="str">
            <v>Q1.5 Passed</v>
          </cell>
          <cell r="T1144" t="str">
            <v>Blood volume insufficient(4ml)</v>
          </cell>
          <cell r="V1144" t="str">
            <v>Tumor content 60-90%</v>
          </cell>
          <cell r="W1144" t="str">
            <v>Private Hospital</v>
          </cell>
          <cell r="X1144" t="str">
            <v>Mazumdar Shaw Medical Centre, Bangalore</v>
          </cell>
          <cell r="Y1144" t="str">
            <v>Mazumdar Shaw Medical Centre, Bangalore</v>
          </cell>
          <cell r="Z1144" t="str">
            <v>Dr Vijay Pillai, Bangalore</v>
          </cell>
          <cell r="AA1144" t="str">
            <v>HNSCC</v>
          </cell>
          <cell r="AC1144" t="str">
            <v>Alveolus</v>
          </cell>
          <cell r="AD1144" t="str">
            <v>Right Lower Alveolus</v>
          </cell>
          <cell r="AE1144" t="str">
            <v>Male</v>
          </cell>
          <cell r="AF1144">
            <v>59</v>
          </cell>
          <cell r="AG1144" t="str">
            <v>N</v>
          </cell>
          <cell r="AH1144">
            <v>4.5</v>
          </cell>
          <cell r="AI1144" t="str">
            <v>Maruthi</v>
          </cell>
          <cell r="AJ1144" t="str">
            <v>Surgery</v>
          </cell>
          <cell r="AK1144" t="str">
            <v>Local Recurrent</v>
          </cell>
          <cell r="AL1144" t="str">
            <v>Radiotherapy+Chemotherapy</v>
          </cell>
          <cell r="AN1144" t="str">
            <v>IV</v>
          </cell>
          <cell r="AO1144">
            <v>2</v>
          </cell>
          <cell r="AP1144" t="str">
            <v>pT4aN0</v>
          </cell>
          <cell r="AQ1144">
            <v>4</v>
          </cell>
          <cell r="AR1144" t="str">
            <v>Paclitaxel+Carboplatin</v>
          </cell>
          <cell r="AS1144" t="str">
            <v>MDSCC(Moderately Differentiated Squamous cell carcinoma)</v>
          </cell>
          <cell r="AV1144">
            <v>45540</v>
          </cell>
          <cell r="AW1144">
            <v>0.73055555555555551</v>
          </cell>
          <cell r="AX1144">
            <v>0.83194444444444449</v>
          </cell>
          <cell r="AY1144">
            <v>0.10138888888888889</v>
          </cell>
          <cell r="AZ1144">
            <v>0.76666666666666672</v>
          </cell>
          <cell r="BA1144">
            <v>0.18611111111111112</v>
          </cell>
          <cell r="BB1144" t="str">
            <v>0.8*1.0-2.1*1.7-2.0</v>
          </cell>
          <cell r="BD1144" t="str">
            <v>Manual</v>
          </cell>
          <cell r="BE1144">
            <v>14</v>
          </cell>
          <cell r="BF1144" t="str">
            <v>Pallavi</v>
          </cell>
          <cell r="BG1144" t="str">
            <v>N</v>
          </cell>
        </row>
        <row r="1145">
          <cell r="A1145" t="str">
            <v>FBR1Q240260</v>
          </cell>
          <cell r="B1145">
            <v>240260</v>
          </cell>
          <cell r="C1145" t="str">
            <v>R&amp;D</v>
          </cell>
          <cell r="D1145">
            <v>45540</v>
          </cell>
          <cell r="E1145">
            <v>0.47916666666666669</v>
          </cell>
          <cell r="F1145">
            <v>45536</v>
          </cell>
          <cell r="G1145">
            <v>45540</v>
          </cell>
          <cell r="H1145">
            <v>0.8833333333333333</v>
          </cell>
          <cell r="I1145">
            <v>0.40416666666666667</v>
          </cell>
          <cell r="J1145">
            <v>15</v>
          </cell>
          <cell r="K1145" t="str">
            <v>FCB-PROTOCOL-01</v>
          </cell>
          <cell r="L1145" t="str">
            <v>CLN/DBR/201</v>
          </cell>
          <cell r="M1145" t="str">
            <v>Y</v>
          </cell>
          <cell r="N1145" t="str">
            <v>COSv4.2_CaBR(1Q-Unknown)</v>
          </cell>
          <cell r="O1145" t="str">
            <v>Internal R&amp;D</v>
          </cell>
          <cell r="P1145" t="str">
            <v>Q1 Passed</v>
          </cell>
          <cell r="Q1145" t="str">
            <v>Q1 Passed</v>
          </cell>
          <cell r="R1145" t="str">
            <v>Q1.5 Passed</v>
          </cell>
          <cell r="S1145" t="str">
            <v>Q1.5 Passed</v>
          </cell>
          <cell r="V1145" t="str">
            <v>Tumor content 5-55%</v>
          </cell>
          <cell r="W1145" t="str">
            <v>Private Hospital</v>
          </cell>
          <cell r="X1145" t="str">
            <v>Clinic'les- DBR &amp; SK Hospital, Tirupati</v>
          </cell>
          <cell r="Y1145" t="str">
            <v>DBR &amp; SK Hospital, Tirupati</v>
          </cell>
          <cell r="Z1145" t="str">
            <v>Dr C Jayaprakash, Tirupati</v>
          </cell>
          <cell r="AA1145" t="str">
            <v>Ca Breast</v>
          </cell>
          <cell r="AC1145" t="str">
            <v>Right Breast chest wall</v>
          </cell>
          <cell r="AD1145" t="str">
            <v>Right Breast</v>
          </cell>
          <cell r="AE1145" t="str">
            <v>Female</v>
          </cell>
          <cell r="AF1145">
            <v>47</v>
          </cell>
          <cell r="AG1145" t="str">
            <v>N</v>
          </cell>
          <cell r="AH1145">
            <v>4.8</v>
          </cell>
          <cell r="AI1145" t="str">
            <v>Shashi</v>
          </cell>
          <cell r="AJ1145" t="str">
            <v>Surgery</v>
          </cell>
          <cell r="AK1145" t="str">
            <v>Local Recurrent</v>
          </cell>
          <cell r="AL1145" t="str">
            <v>Radiotherapy+Chemotherapy</v>
          </cell>
          <cell r="AV1145">
            <v>45541</v>
          </cell>
          <cell r="AW1145">
            <v>0.30208333333333331</v>
          </cell>
          <cell r="AX1145">
            <v>0.36805555555555558</v>
          </cell>
          <cell r="AY1145">
            <v>6.5972222222222224E-2</v>
          </cell>
          <cell r="AZ1145">
            <v>0.96388888888888891</v>
          </cell>
          <cell r="BA1145">
            <v>0.88888888888888884</v>
          </cell>
          <cell r="BB1145" t="str">
            <v>0.6*1.2*2.8</v>
          </cell>
          <cell r="BD1145" t="str">
            <v>Manual</v>
          </cell>
          <cell r="BE1145">
            <v>14</v>
          </cell>
          <cell r="BF1145" t="str">
            <v>Syam</v>
          </cell>
          <cell r="BG1145" t="str">
            <v>Y</v>
          </cell>
        </row>
        <row r="1146">
          <cell r="A1146" t="str">
            <v>FBR1Y240261</v>
          </cell>
          <cell r="B1146">
            <v>240261</v>
          </cell>
          <cell r="C1146" t="str">
            <v>R&amp;D</v>
          </cell>
          <cell r="D1146">
            <v>45541</v>
          </cell>
          <cell r="E1146">
            <v>0.4513888888888889</v>
          </cell>
          <cell r="F1146">
            <v>45536</v>
          </cell>
          <cell r="G1146">
            <v>45541</v>
          </cell>
          <cell r="H1146">
            <v>0.52430555555555558</v>
          </cell>
          <cell r="I1146">
            <v>7.2916666666666671E-2</v>
          </cell>
          <cell r="J1146">
            <v>10</v>
          </cell>
          <cell r="K1146" t="str">
            <v>FCB-PROTOCOL-01</v>
          </cell>
          <cell r="L1146" t="str">
            <v>HN172</v>
          </cell>
          <cell r="M1146" t="str">
            <v>Y</v>
          </cell>
          <cell r="N1146" t="str">
            <v>CCS Study (1Y)</v>
          </cell>
          <cell r="O1146" t="str">
            <v>Internal R&amp;D</v>
          </cell>
          <cell r="P1146" t="str">
            <v>Q1 Passed</v>
          </cell>
          <cell r="Q1146" t="str">
            <v>Q1 Passed</v>
          </cell>
          <cell r="R1146" t="str">
            <v>Q1.5 Passed</v>
          </cell>
          <cell r="S1146" t="str">
            <v>Q1.5 Passed</v>
          </cell>
          <cell r="V1146" t="str">
            <v>Tumor content 55-95%</v>
          </cell>
          <cell r="W1146" t="str">
            <v>Private Hospital</v>
          </cell>
          <cell r="X1146" t="str">
            <v>Mazumdar Shaw Medical Centre, Bangalore</v>
          </cell>
          <cell r="Y1146" t="str">
            <v>Mazumdar Shaw Medical Centre, Bangalore</v>
          </cell>
          <cell r="Z1146" t="str">
            <v>Dr Vijay Pillai, Bangalore</v>
          </cell>
          <cell r="AA1146" t="str">
            <v>HNSCC</v>
          </cell>
          <cell r="AC1146" t="str">
            <v>Buccal Mucosa</v>
          </cell>
          <cell r="AD1146" t="str">
            <v>Left Buccal Mucosa</v>
          </cell>
          <cell r="AE1146" t="str">
            <v>Male</v>
          </cell>
          <cell r="AF1146">
            <v>40</v>
          </cell>
          <cell r="AG1146" t="str">
            <v>N</v>
          </cell>
          <cell r="AH1146">
            <v>4.5999999999999996</v>
          </cell>
          <cell r="AI1146" t="str">
            <v>Shashi</v>
          </cell>
          <cell r="AJ1146" t="str">
            <v>Surgery</v>
          </cell>
          <cell r="AK1146" t="str">
            <v>Primary</v>
          </cell>
          <cell r="AN1146" t="str">
            <v>III</v>
          </cell>
          <cell r="AO1146">
            <v>2</v>
          </cell>
          <cell r="AP1146" t="str">
            <v>pT3pN2a</v>
          </cell>
          <cell r="AS1146" t="str">
            <v>Poorly differentiated squamous cell carcinoma</v>
          </cell>
          <cell r="AV1146">
            <v>45541</v>
          </cell>
          <cell r="AW1146">
            <v>0.54513888888888884</v>
          </cell>
          <cell r="AX1146">
            <v>0.64236111111111116</v>
          </cell>
          <cell r="AY1146">
            <v>9.7222222222222224E-2</v>
          </cell>
          <cell r="AZ1146">
            <v>0.56944444444444442</v>
          </cell>
          <cell r="BA1146">
            <v>0.19097222222222221</v>
          </cell>
          <cell r="BB1146" t="str">
            <v>0.6*1.2*1.2-1.4</v>
          </cell>
          <cell r="BD1146" t="str">
            <v>Vibratome</v>
          </cell>
          <cell r="BE1146">
            <v>14</v>
          </cell>
          <cell r="BF1146" t="str">
            <v>Syam</v>
          </cell>
          <cell r="BG1146" t="str">
            <v>Y</v>
          </cell>
        </row>
        <row r="1147">
          <cell r="A1147" t="str">
            <v>FBR2F240261</v>
          </cell>
          <cell r="B1147">
            <v>240261</v>
          </cell>
          <cell r="C1147" t="str">
            <v>R&amp;D</v>
          </cell>
          <cell r="D1147">
            <v>45541</v>
          </cell>
          <cell r="E1147">
            <v>0.4513888888888889</v>
          </cell>
          <cell r="F1147">
            <v>45536</v>
          </cell>
          <cell r="G1147">
            <v>45541</v>
          </cell>
          <cell r="H1147">
            <v>0.52430555555555558</v>
          </cell>
          <cell r="I1147">
            <v>7.2916666666666671E-2</v>
          </cell>
          <cell r="J1147">
            <v>10</v>
          </cell>
          <cell r="K1147" t="str">
            <v>FCB-PROTOCOL-01</v>
          </cell>
          <cell r="L1147" t="str">
            <v>HN172</v>
          </cell>
          <cell r="M1147" t="str">
            <v>Y</v>
          </cell>
          <cell r="N1147" t="str">
            <v>CCS Study (1Y)</v>
          </cell>
          <cell r="O1147" t="str">
            <v>Internal R&amp;D</v>
          </cell>
          <cell r="P1147" t="str">
            <v>Q1 Passed</v>
          </cell>
          <cell r="Q1147" t="str">
            <v>Q1 Passed</v>
          </cell>
          <cell r="R1147" t="str">
            <v>Q1.5 Passed</v>
          </cell>
          <cell r="S1147" t="str">
            <v>Q1.5 Passed</v>
          </cell>
          <cell r="V1147" t="str">
            <v>Tumor content 55-95%</v>
          </cell>
          <cell r="W1147" t="str">
            <v>Private Hospital</v>
          </cell>
          <cell r="X1147" t="str">
            <v>Mazumdar Shaw Medical Centre, Bangalore</v>
          </cell>
          <cell r="Y1147" t="str">
            <v>Mazumdar Shaw Medical Centre, Bangalore</v>
          </cell>
          <cell r="Z1147" t="str">
            <v>Dr Vijay Pillai, Bangalore</v>
          </cell>
          <cell r="AA1147" t="str">
            <v>HNSCC</v>
          </cell>
          <cell r="AC1147" t="str">
            <v>Buccal Mucosa</v>
          </cell>
          <cell r="AD1147" t="str">
            <v>Left Buccal Mucosa</v>
          </cell>
          <cell r="AE1147" t="str">
            <v>Male</v>
          </cell>
          <cell r="AF1147">
            <v>40</v>
          </cell>
          <cell r="AG1147" t="str">
            <v>N</v>
          </cell>
          <cell r="AH1147">
            <v>4.5999999999999996</v>
          </cell>
          <cell r="AI1147" t="str">
            <v>Shashi</v>
          </cell>
          <cell r="AJ1147" t="str">
            <v>Surgery</v>
          </cell>
          <cell r="AK1147" t="str">
            <v>Primary</v>
          </cell>
          <cell r="AN1147" t="str">
            <v>III</v>
          </cell>
          <cell r="AO1147">
            <v>2</v>
          </cell>
          <cell r="AP1147" t="str">
            <v>pT3pN2a</v>
          </cell>
          <cell r="AS1147" t="str">
            <v>Poorly differentiated squamous cell carcinoma</v>
          </cell>
          <cell r="AV1147">
            <v>45592</v>
          </cell>
          <cell r="AX1147">
            <v>0.70902777777777781</v>
          </cell>
          <cell r="BB1147" t="str">
            <v>0.6*1.2*1.2-1.4</v>
          </cell>
          <cell r="BD1147" t="str">
            <v>Vibratome</v>
          </cell>
          <cell r="BE1147">
            <v>14</v>
          </cell>
          <cell r="BF1147" t="str">
            <v>Abdul</v>
          </cell>
          <cell r="BG1147" t="str">
            <v>Y</v>
          </cell>
        </row>
        <row r="1148">
          <cell r="A1148" t="str">
            <v>FBR2A240262</v>
          </cell>
          <cell r="B1148">
            <v>240262</v>
          </cell>
          <cell r="C1148" t="str">
            <v>R&amp;D</v>
          </cell>
          <cell r="D1148">
            <v>45541</v>
          </cell>
          <cell r="E1148">
            <v>0.50694444444444442</v>
          </cell>
          <cell r="F1148">
            <v>45536</v>
          </cell>
          <cell r="G1148">
            <v>45541</v>
          </cell>
          <cell r="H1148">
            <v>0.84375</v>
          </cell>
          <cell r="I1148">
            <v>0.33680555555555558</v>
          </cell>
          <cell r="J1148">
            <v>20</v>
          </cell>
          <cell r="K1148" t="str">
            <v>FCB-PROTOCOL-01</v>
          </cell>
          <cell r="L1148" t="str">
            <v>CLN/DBR/202</v>
          </cell>
          <cell r="M1148" t="str">
            <v>Y</v>
          </cell>
          <cell r="N1148" t="str">
            <v>Ovary CC (2A)</v>
          </cell>
          <cell r="O1148" t="str">
            <v>Internal R&amp;D</v>
          </cell>
          <cell r="P1148" t="str">
            <v>Q1 Passed</v>
          </cell>
          <cell r="Q1148" t="str">
            <v>Q1 Passed</v>
          </cell>
          <cell r="R1148" t="str">
            <v>Q1.5 Passed</v>
          </cell>
          <cell r="S1148" t="str">
            <v>Q1.5 Passed</v>
          </cell>
          <cell r="V1148" t="str">
            <v>Tumor content 0-10%. Average tumor content 4%</v>
          </cell>
          <cell r="W1148" t="str">
            <v>Private Hospital</v>
          </cell>
          <cell r="X1148" t="str">
            <v>Clinic'les- DBR &amp; SK Hospital, Tirupati</v>
          </cell>
          <cell r="Y1148" t="str">
            <v>DBR &amp; SK Hospital, Tirupati</v>
          </cell>
          <cell r="Z1148" t="str">
            <v>Dr C Jayaprakash, Tirupati</v>
          </cell>
          <cell r="AA1148" t="str">
            <v>Ca Ovary</v>
          </cell>
          <cell r="AC1148" t="str">
            <v>Ovary</v>
          </cell>
          <cell r="AD1148" t="str">
            <v>Ovary</v>
          </cell>
          <cell r="AE1148" t="str">
            <v>Female</v>
          </cell>
          <cell r="AF1148">
            <v>63</v>
          </cell>
          <cell r="AG1148" t="str">
            <v>N</v>
          </cell>
          <cell r="AH1148">
            <v>6.3</v>
          </cell>
          <cell r="AI1148" t="str">
            <v>Maruthi</v>
          </cell>
          <cell r="AJ1148" t="str">
            <v>Surgery</v>
          </cell>
          <cell r="AK1148" t="str">
            <v>Primary</v>
          </cell>
          <cell r="AV1148">
            <v>45541</v>
          </cell>
          <cell r="AW1148">
            <v>0.86527777777777781</v>
          </cell>
          <cell r="AX1148">
            <v>0.97083333333333333</v>
          </cell>
          <cell r="AY1148">
            <v>0.10555555555555556</v>
          </cell>
          <cell r="AZ1148">
            <v>0.63402777777777775</v>
          </cell>
          <cell r="BA1148">
            <v>0.46388888888888891</v>
          </cell>
          <cell r="BB1148" t="str">
            <v>0.6-0.8*1.0-2.4*2.2</v>
          </cell>
          <cell r="BC1148" t="str">
            <v>0.5-0.6*0.4-1.6*2.0-2.6</v>
          </cell>
          <cell r="BD1148" t="str">
            <v>Vibratome</v>
          </cell>
          <cell r="BE1148">
            <v>14</v>
          </cell>
          <cell r="BF1148" t="str">
            <v>Mouniss</v>
          </cell>
          <cell r="BG1148" t="str">
            <v>Y</v>
          </cell>
        </row>
        <row r="1149">
          <cell r="A1149" t="str">
            <v>FBR2Q240263</v>
          </cell>
          <cell r="B1149">
            <v>240263</v>
          </cell>
          <cell r="C1149" t="str">
            <v>R&amp;D</v>
          </cell>
          <cell r="D1149">
            <v>45544</v>
          </cell>
          <cell r="E1149">
            <v>0.53472222222222221</v>
          </cell>
          <cell r="F1149">
            <v>45536</v>
          </cell>
          <cell r="G1149">
            <v>45544</v>
          </cell>
          <cell r="H1149">
            <v>0.59861111111111109</v>
          </cell>
          <cell r="I1149">
            <v>6.3888888888888884E-2</v>
          </cell>
          <cell r="J1149">
            <v>5</v>
          </cell>
          <cell r="K1149" t="str">
            <v>FCB-PROTOCOL-01</v>
          </cell>
          <cell r="L1149" t="str">
            <v>VYD/309</v>
          </cell>
          <cell r="M1149" t="str">
            <v>Y</v>
          </cell>
          <cell r="N1149" t="str">
            <v>COSv4.2_CaBR(1Q-Unknown)</v>
          </cell>
          <cell r="O1149" t="str">
            <v>Internal R&amp;D</v>
          </cell>
          <cell r="P1149" t="str">
            <v>Q1 Passed</v>
          </cell>
          <cell r="Q1149" t="str">
            <v>Q1 Passed</v>
          </cell>
          <cell r="R1149" t="str">
            <v>Q1.5 Passed</v>
          </cell>
          <cell r="S1149" t="str">
            <v>Q1.5 Passed</v>
          </cell>
          <cell r="V1149" t="str">
            <v xml:space="preserve">	
A:Tumor content 35-60%
B:Tumor content 0-40%</v>
          </cell>
          <cell r="W1149" t="str">
            <v>Private Hospital</v>
          </cell>
          <cell r="X1149" t="str">
            <v>Vydehi Hospital, Bangalore</v>
          </cell>
          <cell r="Y1149" t="str">
            <v>Vydehi Hospital, Bangalore</v>
          </cell>
          <cell r="Z1149" t="str">
            <v>Dr Amritha Prabha, Bangalore</v>
          </cell>
          <cell r="AA1149" t="str">
            <v>HNSCC</v>
          </cell>
          <cell r="AC1149" t="str">
            <v>Larynx</v>
          </cell>
          <cell r="AD1149" t="str">
            <v>Larynx</v>
          </cell>
          <cell r="AE1149" t="str">
            <v>Male</v>
          </cell>
          <cell r="AF1149">
            <v>40</v>
          </cell>
          <cell r="AG1149" t="str">
            <v>N</v>
          </cell>
          <cell r="AH1149">
            <v>5.2</v>
          </cell>
          <cell r="AI1149" t="str">
            <v>Kalappa</v>
          </cell>
          <cell r="AJ1149" t="str">
            <v>Surgery</v>
          </cell>
          <cell r="AK1149" t="str">
            <v>Primary</v>
          </cell>
          <cell r="AN1149" t="str">
            <v>IV</v>
          </cell>
          <cell r="AO1149">
            <v>2</v>
          </cell>
          <cell r="AP1149" t="str">
            <v>pT3N2b</v>
          </cell>
          <cell r="AS1149" t="str">
            <v>scc</v>
          </cell>
          <cell r="AT1149" t="str">
            <v>RT</v>
          </cell>
          <cell r="AV1149">
            <v>45544</v>
          </cell>
          <cell r="AW1149">
            <v>0.6166666666666667</v>
          </cell>
          <cell r="AX1149">
            <v>0.68958333333333333</v>
          </cell>
          <cell r="AY1149">
            <v>7.2916666666666671E-2</v>
          </cell>
          <cell r="AZ1149">
            <v>0.62569444444444444</v>
          </cell>
          <cell r="BA1149">
            <v>0.15486111111111112</v>
          </cell>
          <cell r="BB1149" t="str">
            <v>0.6*1.0*1.5</v>
          </cell>
          <cell r="BD1149" t="str">
            <v>Vibratome</v>
          </cell>
          <cell r="BE1149">
            <v>14</v>
          </cell>
          <cell r="BF1149" t="str">
            <v>Dharani</v>
          </cell>
          <cell r="BG1149" t="str">
            <v>Y</v>
          </cell>
        </row>
        <row r="1150">
          <cell r="A1150" t="str">
            <v>FBR2H240263</v>
          </cell>
          <cell r="B1150">
            <v>240263</v>
          </cell>
          <cell r="C1150" t="str">
            <v>R&amp;D</v>
          </cell>
          <cell r="D1150">
            <v>45544</v>
          </cell>
          <cell r="E1150">
            <v>0.53472222222222221</v>
          </cell>
          <cell r="F1150">
            <v>45536</v>
          </cell>
          <cell r="G1150">
            <v>45544</v>
          </cell>
          <cell r="H1150">
            <v>0.59861111111111109</v>
          </cell>
          <cell r="I1150">
            <v>6.3888888888888884E-2</v>
          </cell>
          <cell r="J1150">
            <v>5</v>
          </cell>
          <cell r="K1150" t="str">
            <v>FCB-PROTOCOL-01</v>
          </cell>
          <cell r="L1150" t="str">
            <v>VYD/309</v>
          </cell>
          <cell r="M1150" t="str">
            <v>Y</v>
          </cell>
          <cell r="N1150" t="str">
            <v>COSv4.2_CaBR(1Q-Unknown)</v>
          </cell>
          <cell r="O1150" t="str">
            <v>Internal R&amp;D</v>
          </cell>
          <cell r="P1150" t="str">
            <v>Q1 Passed</v>
          </cell>
          <cell r="Q1150" t="str">
            <v>Q1 Passed</v>
          </cell>
          <cell r="R1150" t="str">
            <v>Q1.5 Passed</v>
          </cell>
          <cell r="S1150" t="str">
            <v>Q1.5 Passed</v>
          </cell>
          <cell r="V1150" t="str">
            <v xml:space="preserve">	
A:Tumor content 35-60%
B:Tumor content 0-40%</v>
          </cell>
          <cell r="W1150" t="str">
            <v>Private Hospital</v>
          </cell>
          <cell r="X1150" t="str">
            <v>Vydehi Hospital, Bangalore</v>
          </cell>
          <cell r="Y1150" t="str">
            <v>Vydehi Hospital, Bangalore</v>
          </cell>
          <cell r="Z1150" t="str">
            <v>Dr Amritha Prabha, Bangalore</v>
          </cell>
          <cell r="AA1150" t="str">
            <v>HNSCC</v>
          </cell>
          <cell r="AC1150" t="str">
            <v>Larynx</v>
          </cell>
          <cell r="AD1150" t="str">
            <v>Larynx</v>
          </cell>
          <cell r="AE1150" t="str">
            <v>Male</v>
          </cell>
          <cell r="AF1150">
            <v>40</v>
          </cell>
          <cell r="AG1150" t="str">
            <v>N</v>
          </cell>
          <cell r="AH1150">
            <v>5.2</v>
          </cell>
          <cell r="AI1150" t="str">
            <v>Kalappa</v>
          </cell>
          <cell r="AJ1150" t="str">
            <v>Surgery</v>
          </cell>
          <cell r="AK1150" t="str">
            <v>Primary</v>
          </cell>
          <cell r="AN1150" t="str">
            <v>IV</v>
          </cell>
          <cell r="AO1150">
            <v>2</v>
          </cell>
          <cell r="AP1150" t="str">
            <v>pT3N2b</v>
          </cell>
          <cell r="AS1150" t="str">
            <v>scc</v>
          </cell>
          <cell r="AT1150" t="str">
            <v>RT</v>
          </cell>
          <cell r="AV1150">
            <v>45544</v>
          </cell>
          <cell r="BB1150" t="str">
            <v>0.6*1.0*1.5</v>
          </cell>
          <cell r="BD1150" t="str">
            <v>Vibratome</v>
          </cell>
          <cell r="BE1150">
            <v>14</v>
          </cell>
        </row>
        <row r="1151">
          <cell r="A1151" t="str">
            <v>FBB1L240264</v>
          </cell>
          <cell r="B1151">
            <v>240264</v>
          </cell>
          <cell r="C1151" t="str">
            <v>Biopharma</v>
          </cell>
          <cell r="D1151">
            <v>45544</v>
          </cell>
          <cell r="E1151">
            <v>0.54861111111111116</v>
          </cell>
          <cell r="F1151">
            <v>45536</v>
          </cell>
          <cell r="G1151">
            <v>45544</v>
          </cell>
          <cell r="H1151">
            <v>0.6333333333333333</v>
          </cell>
          <cell r="I1151">
            <v>8.4722222222222227E-2</v>
          </cell>
          <cell r="J1151">
            <v>20</v>
          </cell>
          <cell r="K1151" t="str">
            <v>FCB-PROTOCOL-02</v>
          </cell>
          <cell r="L1151" t="str">
            <v>RC068</v>
          </cell>
          <cell r="M1151" t="str">
            <v>Y</v>
          </cell>
          <cell r="N1151" t="str">
            <v>BP010 (1L)</v>
          </cell>
          <cell r="O1151" t="str">
            <v>Biopharma</v>
          </cell>
          <cell r="P1151" t="str">
            <v>Q1 Passed</v>
          </cell>
          <cell r="Q1151" t="str">
            <v>Q1 Passed</v>
          </cell>
          <cell r="R1151" t="str">
            <v>Q1.5 Passed</v>
          </cell>
          <cell r="S1151" t="str">
            <v>Q1.5 Passed</v>
          </cell>
          <cell r="V1151" t="str">
            <v>Tumor content 0-90%. Average tumor content 40%. Clear cell type</v>
          </cell>
          <cell r="W1151" t="str">
            <v>Private Hospital</v>
          </cell>
          <cell r="X1151" t="str">
            <v>Mazumdar Shaw Medical Centre, Bangalore</v>
          </cell>
          <cell r="Y1151" t="str">
            <v>Mazumdar Shaw Medical Centre, Bangalore</v>
          </cell>
          <cell r="Z1151" t="str">
            <v>Dr Saurabh Bhargav, Bangalore</v>
          </cell>
          <cell r="AA1151" t="str">
            <v>RCC</v>
          </cell>
          <cell r="AC1151" t="str">
            <v>Renal Mass</v>
          </cell>
          <cell r="AD1151" t="str">
            <v>Left Renal Mass</v>
          </cell>
          <cell r="AE1151" t="str">
            <v>Female</v>
          </cell>
          <cell r="AF1151">
            <v>46</v>
          </cell>
          <cell r="AG1151" t="str">
            <v>N</v>
          </cell>
          <cell r="AH1151">
            <v>4.9000000000000004</v>
          </cell>
          <cell r="AI1151" t="str">
            <v>Shashi</v>
          </cell>
          <cell r="AJ1151" t="str">
            <v>Surgery</v>
          </cell>
          <cell r="AK1151" t="str">
            <v>Primary</v>
          </cell>
          <cell r="AN1151" t="str">
            <v>I</v>
          </cell>
          <cell r="AO1151">
            <v>2</v>
          </cell>
          <cell r="AP1151" t="str">
            <v>pT1b</v>
          </cell>
          <cell r="AS1151" t="str">
            <v>Clear cell renal cell  carcinoma</v>
          </cell>
          <cell r="AV1151">
            <v>45544</v>
          </cell>
          <cell r="AW1151">
            <v>0.65208333333333335</v>
          </cell>
          <cell r="AX1151">
            <v>0.71527777777777779</v>
          </cell>
          <cell r="AY1151">
            <v>6.3194444444444442E-2</v>
          </cell>
          <cell r="AZ1151">
            <v>0.63055555555555554</v>
          </cell>
          <cell r="BA1151">
            <v>0.16666666666666666</v>
          </cell>
          <cell r="BB1151" t="str">
            <v>0.6-0.8*0.5-0.9*1.3-1.5</v>
          </cell>
          <cell r="BD1151" t="str">
            <v>Vibratome</v>
          </cell>
          <cell r="BE1151">
            <v>14</v>
          </cell>
          <cell r="BF1151" t="str">
            <v>Syam</v>
          </cell>
          <cell r="BG1151" t="str">
            <v>Y</v>
          </cell>
        </row>
        <row r="1152">
          <cell r="A1152" t="str">
            <v>FBR1X240265</v>
          </cell>
          <cell r="B1152">
            <v>240265</v>
          </cell>
          <cell r="C1152" t="str">
            <v>R&amp;D</v>
          </cell>
          <cell r="D1152">
            <v>45545</v>
          </cell>
          <cell r="E1152">
            <v>0.56597222222222221</v>
          </cell>
          <cell r="F1152">
            <v>45536</v>
          </cell>
          <cell r="G1152">
            <v>45545</v>
          </cell>
          <cell r="H1152">
            <v>0.62986111111111109</v>
          </cell>
          <cell r="I1152">
            <v>6.3888888888888884E-2</v>
          </cell>
          <cell r="J1152">
            <v>0</v>
          </cell>
          <cell r="K1152" t="str">
            <v>FCB-PROTOCOL-02</v>
          </cell>
          <cell r="L1152" t="str">
            <v>HN173</v>
          </cell>
          <cell r="M1152" t="str">
            <v>Y</v>
          </cell>
          <cell r="N1152" t="str">
            <v>Biopsy HNSCC (1X)</v>
          </cell>
          <cell r="O1152" t="str">
            <v>Internal R&amp;D</v>
          </cell>
          <cell r="P1152" t="str">
            <v>Q1 Passed</v>
          </cell>
          <cell r="Q1152" t="str">
            <v>Q1 Passed</v>
          </cell>
          <cell r="R1152" t="str">
            <v>Q1.5 Passed</v>
          </cell>
          <cell r="S1152" t="str">
            <v>Q1.5 Passed</v>
          </cell>
          <cell r="V1152" t="str">
            <v>Tumor content 25-80%</v>
          </cell>
          <cell r="W1152" t="str">
            <v>Private Hospital</v>
          </cell>
          <cell r="X1152" t="str">
            <v>Mazumdar Shaw Medical Centre, Bangalore</v>
          </cell>
          <cell r="Y1152" t="str">
            <v>Mazumdar Shaw Medical Centre, Bangalore</v>
          </cell>
          <cell r="Z1152" t="str">
            <v>Dr Vijay Pillai, Bangalore</v>
          </cell>
          <cell r="AA1152" t="str">
            <v>HNSCC</v>
          </cell>
          <cell r="AC1152" t="str">
            <v>Alveolus</v>
          </cell>
          <cell r="AD1152" t="str">
            <v>Upper Alveolus</v>
          </cell>
          <cell r="AE1152" t="str">
            <v>Male</v>
          </cell>
          <cell r="AF1152">
            <v>74</v>
          </cell>
          <cell r="AG1152" t="str">
            <v>N</v>
          </cell>
          <cell r="AH1152">
            <v>4.8</v>
          </cell>
          <cell r="AI1152" t="str">
            <v>Kalappa</v>
          </cell>
          <cell r="AJ1152" t="str">
            <v>Biopsy</v>
          </cell>
          <cell r="AK1152" t="str">
            <v>Primary</v>
          </cell>
          <cell r="AL1152" t="str">
            <v>Radiotherapy</v>
          </cell>
          <cell r="AN1152" t="str">
            <v>NA</v>
          </cell>
          <cell r="AO1152" t="str">
            <v>NA</v>
          </cell>
          <cell r="AP1152" t="str">
            <v>NA</v>
          </cell>
          <cell r="AQ1152">
            <v>32</v>
          </cell>
          <cell r="AS1152" t="str">
            <v>Malignant Spindle cell tumor</v>
          </cell>
          <cell r="AV1152">
            <v>45545</v>
          </cell>
          <cell r="AW1152">
            <v>0.67361111111111116</v>
          </cell>
          <cell r="AX1152">
            <v>0.6875</v>
          </cell>
          <cell r="AY1152">
            <v>1.3888888888888888E-2</v>
          </cell>
          <cell r="AZ1152">
            <v>0.62361111111111112</v>
          </cell>
          <cell r="BA1152">
            <v>0.12152777777777778</v>
          </cell>
          <cell r="BB1152" t="str">
            <v>0.1-0.2*0.4*0.7
0.1*0.3*0.3</v>
          </cell>
          <cell r="BD1152" t="str">
            <v>Manual</v>
          </cell>
          <cell r="BE1152">
            <v>14</v>
          </cell>
          <cell r="BF1152" t="str">
            <v xml:space="preserve">sai </v>
          </cell>
          <cell r="BG1152" t="str">
            <v>Y</v>
          </cell>
        </row>
        <row r="1153">
          <cell r="A1153" t="str">
            <v>FBR2A240266</v>
          </cell>
          <cell r="B1153">
            <v>240266</v>
          </cell>
          <cell r="C1153" t="str">
            <v>R&amp;D</v>
          </cell>
          <cell r="D1153">
            <v>45546</v>
          </cell>
          <cell r="E1153">
            <v>0.43055555555555558</v>
          </cell>
          <cell r="F1153">
            <v>45536</v>
          </cell>
          <cell r="G1153">
            <v>45546</v>
          </cell>
          <cell r="H1153">
            <v>0.51736111111111116</v>
          </cell>
          <cell r="I1153">
            <v>8.6805555555555552E-2</v>
          </cell>
          <cell r="J1153">
            <v>0</v>
          </cell>
          <cell r="K1153" t="str">
            <v>FCB-PROTOCOL-02</v>
          </cell>
          <cell r="L1153" t="str">
            <v>OCO43</v>
          </cell>
          <cell r="M1153" t="str">
            <v>Y</v>
          </cell>
          <cell r="N1153" t="str">
            <v>Ovary CC (2A)</v>
          </cell>
          <cell r="O1153" t="str">
            <v>Internal R&amp;D</v>
          </cell>
          <cell r="P1153" t="str">
            <v>Q1 Passed</v>
          </cell>
          <cell r="Q1153" t="str">
            <v>Q1 Passed</v>
          </cell>
          <cell r="R1153" t="str">
            <v>Compromised</v>
          </cell>
          <cell r="S1153" t="str">
            <v>Q1.5 Rejected</v>
          </cell>
          <cell r="V1153" t="str">
            <v>No tumor</v>
          </cell>
          <cell r="W1153" t="str">
            <v>Private Hospital</v>
          </cell>
          <cell r="X1153" t="str">
            <v>Mazumdar Shaw Medical Centre, Bangalore</v>
          </cell>
          <cell r="Y1153" t="str">
            <v>Mazumdar Shaw Medical Centre, Bangalore</v>
          </cell>
          <cell r="Z1153" t="str">
            <v>Dr Rohit Ranade, Bangalore</v>
          </cell>
          <cell r="AA1153" t="str">
            <v>Ca Ovary</v>
          </cell>
          <cell r="AC1153" t="str">
            <v>Ovary</v>
          </cell>
          <cell r="AD1153" t="str">
            <v>Ovary</v>
          </cell>
          <cell r="AE1153" t="str">
            <v>Female</v>
          </cell>
          <cell r="AF1153">
            <v>45</v>
          </cell>
          <cell r="AG1153" t="str">
            <v>N</v>
          </cell>
          <cell r="AH1153">
            <v>4.5</v>
          </cell>
          <cell r="AI1153" t="str">
            <v>Maruthi</v>
          </cell>
          <cell r="AJ1153" t="str">
            <v>Surgery</v>
          </cell>
          <cell r="AK1153" t="str">
            <v>Primary</v>
          </cell>
          <cell r="AV1153">
            <v>45546</v>
          </cell>
          <cell r="AW1153">
            <v>0.53472222222222221</v>
          </cell>
          <cell r="AX1153">
            <v>0.56666666666666665</v>
          </cell>
          <cell r="AY1153">
            <v>3.1944444444444442E-2</v>
          </cell>
          <cell r="AZ1153">
            <v>0.47986111111111113</v>
          </cell>
          <cell r="BA1153">
            <v>0.1361111111111111</v>
          </cell>
          <cell r="BB1153" t="str">
            <v>0.1-0.2*0.6*0.8</v>
          </cell>
          <cell r="BD1153" t="str">
            <v>Manual</v>
          </cell>
          <cell r="BE1153">
            <v>14</v>
          </cell>
          <cell r="BF1153" t="str">
            <v>Pallavi</v>
          </cell>
          <cell r="BG1153" t="str">
            <v>Y</v>
          </cell>
        </row>
        <row r="1154">
          <cell r="A1154" t="str">
            <v>FBR1Q240267</v>
          </cell>
          <cell r="B1154">
            <v>240267</v>
          </cell>
          <cell r="C1154" t="str">
            <v>R&amp;D</v>
          </cell>
          <cell r="D1154">
            <v>45546</v>
          </cell>
          <cell r="E1154">
            <v>0.53472222222222221</v>
          </cell>
          <cell r="F1154">
            <v>45536</v>
          </cell>
          <cell r="G1154">
            <v>45546</v>
          </cell>
          <cell r="H1154">
            <v>0.77638888888888891</v>
          </cell>
          <cell r="I1154">
            <v>0.24166666666666667</v>
          </cell>
          <cell r="J1154">
            <v>1</v>
          </cell>
          <cell r="K1154" t="str">
            <v>FCB-PROTOCOL-01</v>
          </cell>
          <cell r="L1154" t="str">
            <v>JSS-024</v>
          </cell>
          <cell r="M1154" t="str">
            <v>Y</v>
          </cell>
          <cell r="N1154" t="str">
            <v>COSv4.2_CaBR(1Q-Unknown)</v>
          </cell>
          <cell r="O1154" t="str">
            <v>Internal R&amp;D</v>
          </cell>
          <cell r="P1154" t="str">
            <v>Q1 Passed</v>
          </cell>
          <cell r="Q1154" t="str">
            <v>Q1 Rejected</v>
          </cell>
          <cell r="R1154" t="str">
            <v>Compromised</v>
          </cell>
          <cell r="S1154" t="str">
            <v>Q1.5 Rejected</v>
          </cell>
          <cell r="T1154" t="str">
            <v>Blood Clotted</v>
          </cell>
          <cell r="V1154" t="str">
            <v>Tumor content 0-6%. Average tumor content 3%</v>
          </cell>
          <cell r="W1154" t="str">
            <v>Private Hospital</v>
          </cell>
          <cell r="X1154" t="str">
            <v>Clinic'les- Dr Ravi Krishnappa, Mysore</v>
          </cell>
          <cell r="Y1154" t="str">
            <v>JSS Hospital, Mysore</v>
          </cell>
          <cell r="Z1154" t="str">
            <v>Dr Ravi Krishnappa, Mysore</v>
          </cell>
          <cell r="AA1154" t="str">
            <v>Ca Breast</v>
          </cell>
          <cell r="AC1154" t="str">
            <v>Breast</v>
          </cell>
          <cell r="AD1154" t="str">
            <v>Left  Breast</v>
          </cell>
          <cell r="AE1154" t="str">
            <v>Female</v>
          </cell>
          <cell r="AF1154">
            <v>48</v>
          </cell>
          <cell r="AG1154" t="str">
            <v>N</v>
          </cell>
          <cell r="AH1154">
            <v>5.5</v>
          </cell>
          <cell r="AI1154" t="str">
            <v>Kalappa</v>
          </cell>
          <cell r="AJ1154" t="str">
            <v>Surgery</v>
          </cell>
          <cell r="AK1154" t="str">
            <v>Primary</v>
          </cell>
          <cell r="AV1154">
            <v>45546</v>
          </cell>
          <cell r="AW1154">
            <v>0.78819444444444442</v>
          </cell>
          <cell r="AX1154">
            <v>0.82916666666666672</v>
          </cell>
          <cell r="AY1154">
            <v>4.0972222222222222E-2</v>
          </cell>
          <cell r="AZ1154">
            <v>0.58750000000000002</v>
          </cell>
          <cell r="BA1154">
            <v>0.29444444444444445</v>
          </cell>
          <cell r="BB1154" t="str">
            <v>0.1-0.2*0.6-0.4*1.0
0.1*0.2*0.6</v>
          </cell>
          <cell r="BD1154" t="str">
            <v>Manual</v>
          </cell>
          <cell r="BE1154">
            <v>14</v>
          </cell>
          <cell r="BF1154" t="str">
            <v>Abdul</v>
          </cell>
          <cell r="BG1154" t="str">
            <v>N</v>
          </cell>
        </row>
        <row r="1155">
          <cell r="A1155" t="str">
            <v>FBR1Y240268</v>
          </cell>
          <cell r="B1155">
            <v>240268</v>
          </cell>
          <cell r="C1155" t="str">
            <v>R&amp;D</v>
          </cell>
          <cell r="D1155">
            <v>45547</v>
          </cell>
          <cell r="E1155">
            <v>0.46250000000000002</v>
          </cell>
          <cell r="F1155">
            <v>45536</v>
          </cell>
          <cell r="G1155">
            <v>45547</v>
          </cell>
          <cell r="H1155">
            <v>0.57916666666666672</v>
          </cell>
          <cell r="I1155">
            <v>0.11666666666666667</v>
          </cell>
          <cell r="J1155">
            <v>1</v>
          </cell>
          <cell r="K1155" t="str">
            <v>FCB-PROTOCOL-01</v>
          </cell>
          <cell r="L1155" t="str">
            <v>VYD/310</v>
          </cell>
          <cell r="M1155" t="str">
            <v>Y</v>
          </cell>
          <cell r="N1155" t="str">
            <v>CCS Study (1Y)</v>
          </cell>
          <cell r="O1155" t="str">
            <v>Internal R&amp;D</v>
          </cell>
          <cell r="P1155" t="str">
            <v>Q1 Passed</v>
          </cell>
          <cell r="Q1155" t="str">
            <v>Q1 Passed</v>
          </cell>
          <cell r="R1155" t="str">
            <v>Q1.5 Passed</v>
          </cell>
          <cell r="S1155" t="str">
            <v>Q1.5 Passed</v>
          </cell>
          <cell r="V1155" t="str">
            <v>Tumor content 45-90%</v>
          </cell>
          <cell r="W1155" t="str">
            <v>Private Hospital</v>
          </cell>
          <cell r="X1155" t="str">
            <v>Vydehi Hospital, Bangalore</v>
          </cell>
          <cell r="Y1155" t="str">
            <v>Vydehi Hospital, Bangalore</v>
          </cell>
          <cell r="Z1155" t="str">
            <v>Dr Amritha Prabha, Bangalore</v>
          </cell>
          <cell r="AA1155" t="str">
            <v>HNSCC</v>
          </cell>
          <cell r="AC1155" t="str">
            <v>Buccal Mucosa</v>
          </cell>
          <cell r="AD1155" t="str">
            <v>Left Buccal Mucosa</v>
          </cell>
          <cell r="AE1155" t="str">
            <v>Male</v>
          </cell>
          <cell r="AF1155">
            <v>71</v>
          </cell>
          <cell r="AG1155" t="str">
            <v>N</v>
          </cell>
          <cell r="AH1155">
            <v>4.7</v>
          </cell>
          <cell r="AI1155" t="str">
            <v>Shashi</v>
          </cell>
          <cell r="AJ1155" t="str">
            <v>Surgery</v>
          </cell>
          <cell r="AK1155" t="str">
            <v>Primary</v>
          </cell>
          <cell r="AN1155" t="str">
            <v>IV</v>
          </cell>
          <cell r="AO1155">
            <v>1</v>
          </cell>
          <cell r="AP1155" t="str">
            <v>pT4aN2b</v>
          </cell>
          <cell r="AS1155" t="str">
            <v>scc</v>
          </cell>
          <cell r="AT1155" t="str">
            <v>RT</v>
          </cell>
          <cell r="AV1155">
            <v>45547</v>
          </cell>
          <cell r="AW1155">
            <v>0.59583333333333333</v>
          </cell>
          <cell r="AX1155">
            <v>0.66736111111111107</v>
          </cell>
          <cell r="AY1155">
            <v>7.1527777777777773E-2</v>
          </cell>
          <cell r="AZ1155">
            <v>0.55069444444444449</v>
          </cell>
          <cell r="BA1155">
            <v>0.2048611111111111</v>
          </cell>
          <cell r="BB1155" t="str">
            <v>1.0-1.2*1.0-1.2*1.4</v>
          </cell>
          <cell r="BD1155" t="str">
            <v>Vibratome</v>
          </cell>
          <cell r="BE1155">
            <v>14</v>
          </cell>
          <cell r="BF1155" t="str">
            <v>chandan</v>
          </cell>
          <cell r="BG1155" t="str">
            <v>Y</v>
          </cell>
        </row>
        <row r="1156">
          <cell r="A1156" t="str">
            <v>FBR1Y240269</v>
          </cell>
          <cell r="B1156">
            <v>240269</v>
          </cell>
          <cell r="C1156" t="str">
            <v>R&amp;D</v>
          </cell>
          <cell r="D1156">
            <v>45547</v>
          </cell>
          <cell r="E1156">
            <v>0.61458333333333337</v>
          </cell>
          <cell r="F1156">
            <v>45536</v>
          </cell>
          <cell r="G1156">
            <v>45547</v>
          </cell>
          <cell r="H1156">
            <v>0.69930555555555551</v>
          </cell>
          <cell r="I1156">
            <v>8.4722222222222227E-2</v>
          </cell>
          <cell r="J1156">
            <v>5</v>
          </cell>
          <cell r="K1156" t="str">
            <v>FCB-PROTOCOL-02</v>
          </cell>
          <cell r="L1156" t="str">
            <v>HN174</v>
          </cell>
          <cell r="M1156" t="str">
            <v>Y</v>
          </cell>
          <cell r="N1156" t="str">
            <v>CCS Study (1Y)</v>
          </cell>
          <cell r="O1156" t="str">
            <v>Internal R&amp;D</v>
          </cell>
          <cell r="P1156" t="str">
            <v>Q1 Passed</v>
          </cell>
          <cell r="Q1156" t="str">
            <v>Not Received</v>
          </cell>
          <cell r="R1156" t="str">
            <v>Compromised</v>
          </cell>
          <cell r="S1156" t="str">
            <v>Q1.5 Passed</v>
          </cell>
          <cell r="T1156" t="str">
            <v>Difficult to collect</v>
          </cell>
          <cell r="V1156" t="str">
            <v>Tumor content 60-95%</v>
          </cell>
          <cell r="W1156" t="str">
            <v>Private Hospital</v>
          </cell>
          <cell r="X1156" t="str">
            <v>Mazumdar Shaw Medical Centre, Bangalore</v>
          </cell>
          <cell r="Y1156" t="str">
            <v>Mazumdar Shaw Medical Centre, Bangalore</v>
          </cell>
          <cell r="Z1156" t="str">
            <v>Dr Vijay Pillai, Bangalore</v>
          </cell>
          <cell r="AA1156" t="str">
            <v>HNSCC</v>
          </cell>
          <cell r="AC1156" t="str">
            <v>Alveolus</v>
          </cell>
          <cell r="AD1156" t="str">
            <v>Left Lower Alveolus</v>
          </cell>
          <cell r="AE1156" t="str">
            <v>Male</v>
          </cell>
          <cell r="AF1156">
            <v>72</v>
          </cell>
          <cell r="AG1156" t="str">
            <v>N</v>
          </cell>
          <cell r="AH1156">
            <v>4.5999999999999996</v>
          </cell>
          <cell r="AI1156" t="str">
            <v>Maruthi</v>
          </cell>
          <cell r="AJ1156" t="str">
            <v>Surgery</v>
          </cell>
          <cell r="AK1156" t="str">
            <v>Primary</v>
          </cell>
          <cell r="AN1156" t="str">
            <v>IV</v>
          </cell>
          <cell r="AO1156">
            <v>2</v>
          </cell>
          <cell r="AP1156" t="str">
            <v xml:space="preserve">pT4bN0 </v>
          </cell>
          <cell r="AS1156" t="str">
            <v>MDSCC(Moderately Differentiated Squamous cell carcinoma)</v>
          </cell>
          <cell r="AV1156">
            <v>45547</v>
          </cell>
          <cell r="AW1156">
            <v>0.7104166666666667</v>
          </cell>
          <cell r="AX1156">
            <v>0.76388888888888884</v>
          </cell>
          <cell r="AY1156">
            <v>5.347222222222222E-2</v>
          </cell>
          <cell r="AZ1156">
            <v>0.6791666666666667</v>
          </cell>
          <cell r="BA1156">
            <v>0.14930555555555555</v>
          </cell>
          <cell r="BB1156" t="str">
            <v>0.4-0.5*0.2-0.6*1.1</v>
          </cell>
          <cell r="BD1156" t="str">
            <v>Vibratome</v>
          </cell>
          <cell r="BE1156">
            <v>14</v>
          </cell>
          <cell r="BF1156" t="str">
            <v>Syam</v>
          </cell>
          <cell r="BG1156" t="str">
            <v>N</v>
          </cell>
        </row>
        <row r="1157">
          <cell r="A1157" t="str">
            <v>FBR1Y240270</v>
          </cell>
          <cell r="B1157">
            <v>240270</v>
          </cell>
          <cell r="C1157" t="str">
            <v>R&amp;D</v>
          </cell>
          <cell r="D1157">
            <v>45548</v>
          </cell>
          <cell r="E1157">
            <v>0.55486111111111114</v>
          </cell>
          <cell r="F1157">
            <v>45536</v>
          </cell>
          <cell r="G1157">
            <v>45548</v>
          </cell>
          <cell r="H1157">
            <v>0.69027777777777777</v>
          </cell>
          <cell r="I1157">
            <v>0.13541666666666666</v>
          </cell>
          <cell r="J1157">
            <v>1</v>
          </cell>
          <cell r="K1157" t="str">
            <v>FCB-PROTOCOL-01</v>
          </cell>
          <cell r="L1157" t="str">
            <v>VYD/311</v>
          </cell>
          <cell r="M1157" t="str">
            <v>Y</v>
          </cell>
          <cell r="N1157" t="str">
            <v>CCS Study (1Y)</v>
          </cell>
          <cell r="O1157" t="str">
            <v>Internal R&amp;D</v>
          </cell>
          <cell r="P1157" t="str">
            <v>Q1 Passed</v>
          </cell>
          <cell r="Q1157" t="str">
            <v>Q1 Passed</v>
          </cell>
          <cell r="R1157" t="str">
            <v>Q1.5 Passed</v>
          </cell>
          <cell r="S1157" t="str">
            <v>Q1.5 Passed</v>
          </cell>
          <cell r="V1157" t="str">
            <v>Tumor content 30-70%</v>
          </cell>
          <cell r="W1157" t="str">
            <v>Private Hospital</v>
          </cell>
          <cell r="X1157" t="str">
            <v>Vydehi Hospital, Bangalore</v>
          </cell>
          <cell r="Y1157" t="str">
            <v>Vydehi Hospital, Bangalore</v>
          </cell>
          <cell r="Z1157" t="str">
            <v>Dr Amritha Prabha, Bangalore</v>
          </cell>
          <cell r="AA1157" t="str">
            <v>HNSCC</v>
          </cell>
          <cell r="AC1157" t="str">
            <v>Buccal Mucosa</v>
          </cell>
          <cell r="AD1157" t="str">
            <v>Left Buccal Mucosa</v>
          </cell>
          <cell r="AE1157" t="str">
            <v>Male</v>
          </cell>
          <cell r="AF1157">
            <v>60</v>
          </cell>
          <cell r="AG1157" t="str">
            <v>N</v>
          </cell>
          <cell r="AH1157">
            <v>4.5999999999999996</v>
          </cell>
          <cell r="AI1157" t="str">
            <v>Kalappa</v>
          </cell>
          <cell r="AJ1157" t="str">
            <v>Surgery</v>
          </cell>
          <cell r="AK1157" t="str">
            <v>Primary</v>
          </cell>
          <cell r="AN1157" t="str">
            <v>II</v>
          </cell>
          <cell r="AO1157">
            <v>2</v>
          </cell>
          <cell r="AP1157" t="str">
            <v>pT3N0,pT1N2b</v>
          </cell>
          <cell r="AS1157" t="str">
            <v>scc</v>
          </cell>
          <cell r="AT1157" t="str">
            <v>CTRT</v>
          </cell>
          <cell r="AU1157" t="str">
            <v>Cisplatin</v>
          </cell>
          <cell r="AV1157">
            <v>45548</v>
          </cell>
          <cell r="AW1157">
            <v>0.70833333333333337</v>
          </cell>
          <cell r="AX1157">
            <v>0.78819444444444442</v>
          </cell>
          <cell r="AY1157">
            <v>7.9861111111111105E-2</v>
          </cell>
          <cell r="AZ1157">
            <v>0.65277777777777779</v>
          </cell>
          <cell r="BA1157">
            <v>0.23333333333333334</v>
          </cell>
          <cell r="BB1157" t="str">
            <v>0.7-0.8*1.3*1.5/1.6</v>
          </cell>
          <cell r="BD1157" t="str">
            <v>Vibratome</v>
          </cell>
          <cell r="BE1157">
            <v>14</v>
          </cell>
          <cell r="BF1157" t="str">
            <v>kuberan</v>
          </cell>
          <cell r="BG1157" t="str">
            <v>Y</v>
          </cell>
        </row>
        <row r="1158">
          <cell r="A1158" t="str">
            <v>FBR1Y240271</v>
          </cell>
          <cell r="B1158">
            <v>240271</v>
          </cell>
          <cell r="C1158" t="str">
            <v>R&amp;D</v>
          </cell>
          <cell r="D1158">
            <v>45549</v>
          </cell>
          <cell r="E1158">
            <v>0.44027777777777777</v>
          </cell>
          <cell r="F1158">
            <v>45536</v>
          </cell>
          <cell r="G1158">
            <v>45549</v>
          </cell>
          <cell r="H1158">
            <v>0.60763888888888884</v>
          </cell>
          <cell r="I1158">
            <v>0.1673611111111111</v>
          </cell>
          <cell r="J1158">
            <v>1</v>
          </cell>
          <cell r="K1158" t="str">
            <v>FCB-PROTOCOL-01</v>
          </cell>
          <cell r="L1158" t="str">
            <v>CLN/PRA/273</v>
          </cell>
          <cell r="M1158" t="str">
            <v>Y</v>
          </cell>
          <cell r="N1158" t="str">
            <v>CCS Study (1Y)</v>
          </cell>
          <cell r="O1158" t="str">
            <v>Internal R&amp;D</v>
          </cell>
          <cell r="P1158" t="str">
            <v>Q1 Passed</v>
          </cell>
          <cell r="Q1158" t="str">
            <v>Q1 Passed</v>
          </cell>
          <cell r="R1158" t="str">
            <v>Q1.5 Passed</v>
          </cell>
          <cell r="S1158" t="str">
            <v>Q1.5 Passed</v>
          </cell>
          <cell r="V1158" t="str">
            <v>Tumor content 0-96%. Average tumor content 30%.Tumor in 2 fragments only</v>
          </cell>
          <cell r="W1158" t="str">
            <v>Private Hospital</v>
          </cell>
          <cell r="X1158" t="str">
            <v>Dr Prakash BV, Bangalore</v>
          </cell>
          <cell r="Y1158" t="str">
            <v>Sri Lakshmi Hospital, Bangalore</v>
          </cell>
          <cell r="Z1158" t="str">
            <v>Dr Prakash BV, Bangalore</v>
          </cell>
          <cell r="AA1158" t="str">
            <v>HNSCC</v>
          </cell>
          <cell r="AC1158" t="str">
            <v>Buccal Mucosa</v>
          </cell>
          <cell r="AD1158" t="str">
            <v>Right Buccal Mucosa</v>
          </cell>
          <cell r="AE1158" t="str">
            <v>Female</v>
          </cell>
          <cell r="AF1158">
            <v>76</v>
          </cell>
          <cell r="AG1158" t="str">
            <v>N</v>
          </cell>
          <cell r="AH1158">
            <v>5.6</v>
          </cell>
          <cell r="AI1158" t="str">
            <v>Kalappa</v>
          </cell>
          <cell r="AJ1158" t="str">
            <v>Surgery</v>
          </cell>
          <cell r="AK1158" t="str">
            <v>Primary</v>
          </cell>
          <cell r="AN1158" t="str">
            <v xml:space="preserve">IVa </v>
          </cell>
          <cell r="AO1158">
            <v>2</v>
          </cell>
          <cell r="AP1158" t="str">
            <v>pT2N2</v>
          </cell>
          <cell r="AV1158">
            <v>45549</v>
          </cell>
          <cell r="AW1158">
            <v>0.6479166666666667</v>
          </cell>
          <cell r="AX1158">
            <v>0.67083333333333328</v>
          </cell>
          <cell r="AY1158">
            <v>2.2916666666666665E-2</v>
          </cell>
          <cell r="AZ1158">
            <v>0.50347222222222221</v>
          </cell>
          <cell r="BA1158">
            <v>0.23055555555555557</v>
          </cell>
          <cell r="BB1158" t="str">
            <v>0.4*1.2-1.6*0.5-1.2
0.4-0.5*1.2*1.2-1.3</v>
          </cell>
          <cell r="BD1158" t="str">
            <v>Manual</v>
          </cell>
          <cell r="BE1158">
            <v>14</v>
          </cell>
          <cell r="BF1158" t="str">
            <v>kuberan</v>
          </cell>
          <cell r="BG1158" t="str">
            <v>N</v>
          </cell>
        </row>
        <row r="1159">
          <cell r="A1159" t="str">
            <v>FBR1Q240272</v>
          </cell>
          <cell r="B1159">
            <v>240272</v>
          </cell>
          <cell r="C1159" t="str">
            <v>R&amp;D</v>
          </cell>
          <cell r="D1159">
            <v>45551</v>
          </cell>
          <cell r="E1159">
            <v>0.51041666666666663</v>
          </cell>
          <cell r="F1159">
            <v>45536</v>
          </cell>
          <cell r="G1159">
            <v>45552</v>
          </cell>
          <cell r="H1159">
            <v>0.43680555555555556</v>
          </cell>
          <cell r="I1159">
            <v>0.92638888888888893</v>
          </cell>
          <cell r="J1159">
            <v>20</v>
          </cell>
          <cell r="K1159" t="str">
            <v>FCB-PROTOCOL-01</v>
          </cell>
          <cell r="L1159" t="str">
            <v>CLN/DBR/203</v>
          </cell>
          <cell r="M1159" t="str">
            <v>Y</v>
          </cell>
          <cell r="N1159" t="str">
            <v>COSv4.2_CaBR(1Q-Unknown)</v>
          </cell>
          <cell r="O1159" t="str">
            <v>Internal R&amp;D</v>
          </cell>
          <cell r="P1159" t="str">
            <v>Q1 Passed</v>
          </cell>
          <cell r="Q1159" t="str">
            <v>Q1 Passed</v>
          </cell>
          <cell r="R1159" t="str">
            <v>Q1.5 Passed</v>
          </cell>
          <cell r="S1159" t="str">
            <v>Q1.5 Passed</v>
          </cell>
          <cell r="V1159" t="str">
            <v>Tumor content 15-60%</v>
          </cell>
          <cell r="W1159" t="str">
            <v>Private Hospital</v>
          </cell>
          <cell r="X1159" t="str">
            <v>Clinic'les- DBR &amp; SK Hospital, Tirupati</v>
          </cell>
          <cell r="Y1159" t="str">
            <v>DBR &amp; SK Hospital, Tirupati</v>
          </cell>
          <cell r="Z1159" t="str">
            <v>Dr C Jayaprakash, Tirupati</v>
          </cell>
          <cell r="AA1159" t="str">
            <v>Ca Breast</v>
          </cell>
          <cell r="AC1159" t="str">
            <v>Breast</v>
          </cell>
          <cell r="AD1159" t="str">
            <v>Right Breast</v>
          </cell>
          <cell r="AE1159" t="str">
            <v>Female</v>
          </cell>
          <cell r="AF1159">
            <v>49</v>
          </cell>
          <cell r="AG1159" t="str">
            <v>N</v>
          </cell>
          <cell r="AH1159">
            <v>5.3</v>
          </cell>
          <cell r="AI1159" t="str">
            <v>Kalappa</v>
          </cell>
          <cell r="AJ1159" t="str">
            <v>Surgery</v>
          </cell>
          <cell r="AK1159" t="str">
            <v>Primary</v>
          </cell>
          <cell r="AV1159">
            <v>45552</v>
          </cell>
          <cell r="AW1159">
            <v>0.44861111111111113</v>
          </cell>
          <cell r="AX1159">
            <v>0.50694444444444442</v>
          </cell>
          <cell r="AY1159">
            <v>5.8333333333333334E-2</v>
          </cell>
          <cell r="AZ1159">
            <v>0.5805555555555556</v>
          </cell>
          <cell r="BA1159">
            <v>0.99652777777777779</v>
          </cell>
          <cell r="BB1159" t="str">
            <v>0.6*1.4*3.2</v>
          </cell>
          <cell r="BD1159" t="str">
            <v>Manual</v>
          </cell>
          <cell r="BE1159">
            <v>14</v>
          </cell>
          <cell r="BF1159" t="str">
            <v>Pallavi</v>
          </cell>
          <cell r="BG1159" t="str">
            <v>Y</v>
          </cell>
        </row>
        <row r="1160">
          <cell r="A1160" t="str">
            <v>FBB1L240273</v>
          </cell>
          <cell r="B1160">
            <v>240273</v>
          </cell>
          <cell r="C1160" t="str">
            <v>Biopharma</v>
          </cell>
          <cell r="D1160">
            <v>45552</v>
          </cell>
          <cell r="E1160">
            <v>0.71666666666666667</v>
          </cell>
          <cell r="F1160">
            <v>45536</v>
          </cell>
          <cell r="G1160">
            <v>45552</v>
          </cell>
          <cell r="H1160">
            <v>0.79374999999999996</v>
          </cell>
          <cell r="I1160">
            <v>7.7083333333333337E-2</v>
          </cell>
          <cell r="J1160">
            <v>1</v>
          </cell>
          <cell r="K1160" t="str">
            <v>FCB-PROTOCOL-01</v>
          </cell>
          <cell r="L1160" t="str">
            <v>CLN/PRA/274</v>
          </cell>
          <cell r="M1160" t="str">
            <v>Y</v>
          </cell>
          <cell r="N1160" t="str">
            <v>BP010 (1L)</v>
          </cell>
          <cell r="O1160" t="str">
            <v>Biopharma</v>
          </cell>
          <cell r="P1160" t="str">
            <v>Q1 Passed</v>
          </cell>
          <cell r="Q1160" t="str">
            <v>Q1 Passed</v>
          </cell>
          <cell r="R1160" t="str">
            <v>Q1.5 Passed</v>
          </cell>
          <cell r="S1160" t="str">
            <v>Q1.5 Passed</v>
          </cell>
          <cell r="V1160" t="str">
            <v>Tumor content 60-80%        Oncocytic tumor / Oncocytoma</v>
          </cell>
          <cell r="W1160" t="str">
            <v>Private Hospital</v>
          </cell>
          <cell r="X1160" t="str">
            <v>Dr Prakash BV, Bangalore</v>
          </cell>
          <cell r="Y1160" t="str">
            <v>Sri Lakshmi Hospital, Bangalore</v>
          </cell>
          <cell r="Z1160" t="str">
            <v>Dr Prakash BV, Bangalore</v>
          </cell>
          <cell r="AA1160" t="str">
            <v>RCC</v>
          </cell>
          <cell r="AC1160" t="str">
            <v>Renal Mass</v>
          </cell>
          <cell r="AD1160" t="str">
            <v>Right Renal Mass</v>
          </cell>
          <cell r="AE1160" t="str">
            <v>Male</v>
          </cell>
          <cell r="AF1160">
            <v>40</v>
          </cell>
          <cell r="AG1160" t="str">
            <v>N</v>
          </cell>
          <cell r="AH1160">
            <v>5.4</v>
          </cell>
          <cell r="AI1160" t="str">
            <v>Maruthi</v>
          </cell>
          <cell r="AJ1160" t="str">
            <v>Surgery</v>
          </cell>
          <cell r="AK1160" t="str">
            <v>Primary</v>
          </cell>
          <cell r="AN1160" t="str">
            <v>I</v>
          </cell>
          <cell r="AP1160" t="str">
            <v>pT1N0M0</v>
          </cell>
          <cell r="AV1160">
            <v>45552</v>
          </cell>
          <cell r="AW1160">
            <v>0.81666666666666665</v>
          </cell>
          <cell r="AX1160">
            <v>0.86111111111111116</v>
          </cell>
          <cell r="AY1160">
            <v>4.4444444444444446E-2</v>
          </cell>
          <cell r="AZ1160">
            <v>0.78402777777777777</v>
          </cell>
          <cell r="BA1160">
            <v>0.14444444444444443</v>
          </cell>
          <cell r="BB1160" t="str">
            <v>0.3-0.5*1.2/0.6*4.6</v>
          </cell>
          <cell r="BD1160" t="str">
            <v>Manual</v>
          </cell>
          <cell r="BE1160">
            <v>14</v>
          </cell>
          <cell r="BF1160" t="str">
            <v>Dharani</v>
          </cell>
          <cell r="BG1160" t="str">
            <v>Y</v>
          </cell>
        </row>
        <row r="1161">
          <cell r="A1161" t="str">
            <v>FBR2Q240274</v>
          </cell>
          <cell r="B1161">
            <v>240274</v>
          </cell>
          <cell r="C1161" t="str">
            <v>R&amp;D</v>
          </cell>
          <cell r="D1161">
            <v>45552</v>
          </cell>
          <cell r="E1161">
            <v>0.49305555555555558</v>
          </cell>
          <cell r="F1161">
            <v>45536</v>
          </cell>
          <cell r="G1161">
            <v>45552</v>
          </cell>
          <cell r="H1161">
            <v>0.87986111111111109</v>
          </cell>
          <cell r="I1161">
            <v>0.38680555555555557</v>
          </cell>
          <cell r="J1161">
            <v>20</v>
          </cell>
          <cell r="K1161" t="str">
            <v>FCB-PROTOCOL-01</v>
          </cell>
          <cell r="L1161" t="str">
            <v>CLN/DBR/204</v>
          </cell>
          <cell r="M1161" t="str">
            <v>Y</v>
          </cell>
          <cell r="N1161" t="str">
            <v>COSv4.2_CaBR(1Q-Unknown)</v>
          </cell>
          <cell r="O1161" t="str">
            <v>Internal R&amp;D</v>
          </cell>
          <cell r="P1161" t="str">
            <v>Q1 Passed</v>
          </cell>
          <cell r="Q1161" t="str">
            <v>Q1 Passed</v>
          </cell>
          <cell r="R1161" t="str">
            <v>Q1.5 Passed</v>
          </cell>
          <cell r="S1161" t="str">
            <v>Q1.5 Passed</v>
          </cell>
          <cell r="V1161" t="str">
            <v>Tumor content 0-80%. Average tumor content 52%</v>
          </cell>
          <cell r="W1161" t="str">
            <v>Private Hospital</v>
          </cell>
          <cell r="X1161" t="str">
            <v>Clinic'les- DBR &amp; SK Hospital, Tirupati</v>
          </cell>
          <cell r="Y1161" t="str">
            <v>DBR &amp; SK Hospital, Tirupati</v>
          </cell>
          <cell r="Z1161" t="str">
            <v>Dr C Jayaprakash, Tirupati</v>
          </cell>
          <cell r="AA1161" t="str">
            <v>HNSCC</v>
          </cell>
          <cell r="AC1161" t="str">
            <v>Buccal Mucosa</v>
          </cell>
          <cell r="AD1161" t="str">
            <v>Left Buccal Mucosa</v>
          </cell>
          <cell r="AE1161" t="str">
            <v>Female</v>
          </cell>
          <cell r="AF1161">
            <v>62</v>
          </cell>
          <cell r="AG1161" t="str">
            <v>N</v>
          </cell>
          <cell r="AH1161">
            <v>5.6</v>
          </cell>
          <cell r="AI1161" t="str">
            <v>Kalappa</v>
          </cell>
          <cell r="AJ1161" t="str">
            <v>Surgery</v>
          </cell>
          <cell r="AK1161" t="str">
            <v>Primary</v>
          </cell>
          <cell r="AV1161">
            <v>45553</v>
          </cell>
          <cell r="AW1161">
            <v>0.30277777777777776</v>
          </cell>
          <cell r="AX1161">
            <v>0.39652777777777776</v>
          </cell>
          <cell r="AY1161">
            <v>9.375E-2</v>
          </cell>
          <cell r="AZ1161">
            <v>9.7222222222222224E-3</v>
          </cell>
          <cell r="BA1161">
            <v>0.90347222222222223</v>
          </cell>
          <cell r="BB1161" t="str">
            <v>0.6*1.8*2.6</v>
          </cell>
          <cell r="BD1161" t="str">
            <v>Vibratome</v>
          </cell>
          <cell r="BE1161">
            <v>14</v>
          </cell>
          <cell r="BF1161" t="str">
            <v>Pallavi</v>
          </cell>
          <cell r="BG1161" t="str">
            <v>Y</v>
          </cell>
        </row>
        <row r="1162">
          <cell r="A1162" t="str">
            <v>FBR2A240275</v>
          </cell>
          <cell r="B1162">
            <v>240275</v>
          </cell>
          <cell r="C1162" t="str">
            <v>R&amp;D</v>
          </cell>
          <cell r="D1162">
            <v>45553</v>
          </cell>
          <cell r="E1162">
            <v>0.52083333333333337</v>
          </cell>
          <cell r="F1162">
            <v>45536</v>
          </cell>
          <cell r="G1162">
            <v>45553</v>
          </cell>
          <cell r="H1162">
            <v>0.6875</v>
          </cell>
          <cell r="I1162">
            <v>0.16666666666666666</v>
          </cell>
          <cell r="J1162">
            <v>5</v>
          </cell>
          <cell r="K1162" t="str">
            <v>FCB-PROTOCOL-01</v>
          </cell>
          <cell r="L1162" t="str">
            <v>JSS-025</v>
          </cell>
          <cell r="M1162" t="str">
            <v>Y</v>
          </cell>
          <cell r="N1162" t="str">
            <v>Ovary CC (2A)</v>
          </cell>
          <cell r="O1162" t="str">
            <v>Internal R&amp;D</v>
          </cell>
          <cell r="P1162" t="str">
            <v>Q1 Passed</v>
          </cell>
          <cell r="Q1162" t="str">
            <v>Q1 Passed</v>
          </cell>
          <cell r="R1162" t="str">
            <v>Q1.5 Passed</v>
          </cell>
          <cell r="S1162" t="str">
            <v>Q1.5 Passed</v>
          </cell>
          <cell r="V1162" t="str">
            <v>Tumor content 2-8%</v>
          </cell>
          <cell r="W1162" t="str">
            <v>Private Hospital</v>
          </cell>
          <cell r="X1162" t="str">
            <v>Clinic'les- Dr Ravi Krishnappa, Mysore</v>
          </cell>
          <cell r="Y1162" t="str">
            <v>JSS Hospital, Mysore</v>
          </cell>
          <cell r="Z1162" t="str">
            <v>Dr Ravi Krishnappa, Mysore</v>
          </cell>
          <cell r="AA1162" t="str">
            <v>Ca Ovary</v>
          </cell>
          <cell r="AC1162" t="str">
            <v>Ovary</v>
          </cell>
          <cell r="AD1162" t="str">
            <v>Ovary</v>
          </cell>
          <cell r="AE1162" t="str">
            <v>Female</v>
          </cell>
          <cell r="AF1162">
            <v>63</v>
          </cell>
          <cell r="AG1162" t="str">
            <v>N</v>
          </cell>
          <cell r="AH1162">
            <v>5.2</v>
          </cell>
          <cell r="AI1162" t="str">
            <v>Kalappa</v>
          </cell>
          <cell r="AJ1162" t="str">
            <v>Surgery</v>
          </cell>
          <cell r="AK1162" t="str">
            <v>Primary</v>
          </cell>
          <cell r="AV1162">
            <v>45553</v>
          </cell>
          <cell r="AW1162">
            <v>0.71666666666666667</v>
          </cell>
          <cell r="AX1162">
            <v>0.82222222222222219</v>
          </cell>
          <cell r="AY1162">
            <v>0.10555555555555556</v>
          </cell>
          <cell r="AZ1162">
            <v>0.65555555555555556</v>
          </cell>
          <cell r="BA1162">
            <v>0.30138888888888887</v>
          </cell>
          <cell r="BB1162" t="str">
            <v>1.2/1.4*1.8*3.2</v>
          </cell>
          <cell r="BC1162" t="str">
            <v>1.2/1.4*1.6*2.0</v>
          </cell>
          <cell r="BD1162" t="str">
            <v>Manual+Vibratome</v>
          </cell>
          <cell r="BE1162">
            <v>14</v>
          </cell>
          <cell r="BF1162" t="str">
            <v>kuberan</v>
          </cell>
          <cell r="BG1162" t="str">
            <v>Y</v>
          </cell>
        </row>
        <row r="1163">
          <cell r="A1163" t="str">
            <v>FBR2Q240276</v>
          </cell>
          <cell r="B1163">
            <v>240276</v>
          </cell>
          <cell r="C1163" t="str">
            <v>R&amp;D</v>
          </cell>
          <cell r="D1163">
            <v>45553</v>
          </cell>
          <cell r="E1163">
            <v>0.48958333333333331</v>
          </cell>
          <cell r="F1163">
            <v>45536</v>
          </cell>
          <cell r="G1163">
            <v>45553</v>
          </cell>
          <cell r="H1163">
            <v>0.87708333333333333</v>
          </cell>
          <cell r="I1163">
            <v>0.38750000000000001</v>
          </cell>
          <cell r="J1163">
            <v>15</v>
          </cell>
          <cell r="K1163" t="str">
            <v>FCB-PROTOCOL-01</v>
          </cell>
          <cell r="L1163" t="str">
            <v>CLN/DBR/205</v>
          </cell>
          <cell r="M1163" t="str">
            <v>Y</v>
          </cell>
          <cell r="N1163" t="str">
            <v>COSv4.2_CaBR(1Q-Unknown)</v>
          </cell>
          <cell r="O1163" t="str">
            <v>Internal R&amp;D</v>
          </cell>
          <cell r="P1163" t="str">
            <v>Q1 Passed</v>
          </cell>
          <cell r="Q1163" t="str">
            <v>Q1 Passed</v>
          </cell>
          <cell r="R1163" t="str">
            <v>Q1.5 Passed</v>
          </cell>
          <cell r="S1163" t="str">
            <v>Q1.5 Passed</v>
          </cell>
          <cell r="V1163" t="str">
            <v>Tumor content 30-65%</v>
          </cell>
          <cell r="W1163" t="str">
            <v>Private Hospital</v>
          </cell>
          <cell r="X1163" t="str">
            <v>Clinic'les- DBR &amp; SK Hospital, Tirupati</v>
          </cell>
          <cell r="Y1163" t="str">
            <v>DBR &amp; SK Hospital, Tirupati</v>
          </cell>
          <cell r="Z1163" t="str">
            <v>Dr C Jayaprakash, Tirupati</v>
          </cell>
          <cell r="AA1163" t="str">
            <v>HNSCC</v>
          </cell>
          <cell r="AC1163" t="str">
            <v>Buccal Mucosa</v>
          </cell>
          <cell r="AD1163" t="str">
            <v>Left Buccal Mucosa</v>
          </cell>
          <cell r="AE1163" t="str">
            <v>Female</v>
          </cell>
          <cell r="AF1163">
            <v>63</v>
          </cell>
          <cell r="AG1163" t="str">
            <v>N</v>
          </cell>
          <cell r="AH1163">
            <v>6.1</v>
          </cell>
          <cell r="AI1163" t="str">
            <v>Maruthi</v>
          </cell>
          <cell r="AJ1163" t="str">
            <v>Surgery</v>
          </cell>
          <cell r="AK1163" t="str">
            <v>Primary</v>
          </cell>
          <cell r="AV1163">
            <v>45554</v>
          </cell>
          <cell r="AW1163">
            <v>0.30208333333333331</v>
          </cell>
          <cell r="AX1163">
            <v>0.37916666666666665</v>
          </cell>
          <cell r="AY1163">
            <v>7.7083333333333337E-2</v>
          </cell>
          <cell r="AZ1163">
            <v>0.9916666666666667</v>
          </cell>
          <cell r="BA1163">
            <v>0.88958333333333328</v>
          </cell>
          <cell r="BB1163" t="str">
            <v>0.8/1.0*1.6*2.2</v>
          </cell>
          <cell r="BD1163" t="str">
            <v>Vibratome</v>
          </cell>
          <cell r="BE1163">
            <v>14</v>
          </cell>
          <cell r="BF1163" t="str">
            <v>chandan</v>
          </cell>
          <cell r="BG1163" t="str">
            <v>Y</v>
          </cell>
        </row>
        <row r="1164">
          <cell r="A1164" t="str">
            <v>FBR1C240277</v>
          </cell>
          <cell r="B1164">
            <v>240277</v>
          </cell>
          <cell r="C1164" t="str">
            <v>R&amp;D</v>
          </cell>
          <cell r="D1164">
            <v>45554</v>
          </cell>
          <cell r="E1164">
            <v>0.55902777777777779</v>
          </cell>
          <cell r="F1164">
            <v>45536</v>
          </cell>
          <cell r="G1164">
            <v>45554</v>
          </cell>
          <cell r="H1164">
            <v>0.6430555555555556</v>
          </cell>
          <cell r="I1164">
            <v>8.4027777777777785E-2</v>
          </cell>
          <cell r="J1164">
            <v>10</v>
          </cell>
          <cell r="K1164" t="str">
            <v>FCB-PROTOCOL-02</v>
          </cell>
          <cell r="L1164" t="str">
            <v>RC069</v>
          </cell>
          <cell r="M1164" t="str">
            <v>Y</v>
          </cell>
          <cell r="N1164" t="str">
            <v>Cul Imp (1C)</v>
          </cell>
          <cell r="O1164" t="str">
            <v>Internal R&amp;D</v>
          </cell>
          <cell r="P1164" t="str">
            <v>Q1 Passed</v>
          </cell>
          <cell r="Q1164" t="str">
            <v>Q1 Passed</v>
          </cell>
          <cell r="R1164" t="str">
            <v>Compromised</v>
          </cell>
          <cell r="S1164" t="str">
            <v>Q1.5 Passed</v>
          </cell>
          <cell r="V1164" t="str">
            <v>Tumor content 0-70%. Average tumor content 45%</v>
          </cell>
          <cell r="W1164" t="str">
            <v>Private Hospital</v>
          </cell>
          <cell r="X1164" t="str">
            <v>Mazumdar Shaw Medical Centre, Bangalore</v>
          </cell>
          <cell r="Y1164" t="str">
            <v>Mazumdar Shaw Medical Centre, Bangalore</v>
          </cell>
          <cell r="Z1164" t="str">
            <v>Dr Saurabh Bhargav, Bangalore</v>
          </cell>
          <cell r="AA1164" t="str">
            <v>RCC</v>
          </cell>
          <cell r="AC1164" t="str">
            <v>Renal Mass</v>
          </cell>
          <cell r="AD1164" t="str">
            <v>Right Renal Mass</v>
          </cell>
          <cell r="AE1164" t="str">
            <v>Female</v>
          </cell>
          <cell r="AF1164">
            <v>59</v>
          </cell>
          <cell r="AG1164" t="str">
            <v>N</v>
          </cell>
          <cell r="AH1164">
            <v>4.8</v>
          </cell>
          <cell r="AI1164" t="str">
            <v>Kalappa</v>
          </cell>
          <cell r="AJ1164" t="str">
            <v>Surgery</v>
          </cell>
          <cell r="AK1164" t="str">
            <v>Primary</v>
          </cell>
          <cell r="AN1164" t="str">
            <v>I</v>
          </cell>
          <cell r="AO1164">
            <v>3</v>
          </cell>
          <cell r="AP1164" t="str">
            <v>pT1b</v>
          </cell>
          <cell r="AS1164" t="str">
            <v>Clear cell renal cell  carcinoma</v>
          </cell>
          <cell r="AV1164">
            <v>45554</v>
          </cell>
          <cell r="AW1164">
            <v>0.65833333333333333</v>
          </cell>
          <cell r="AX1164">
            <v>0.69930555555555551</v>
          </cell>
          <cell r="AY1164">
            <v>4.0972222222222222E-2</v>
          </cell>
          <cell r="AZ1164">
            <v>0.61527777777777781</v>
          </cell>
          <cell r="BA1164">
            <v>0.14027777777777778</v>
          </cell>
          <cell r="BB1164" t="str">
            <v>0.2*0.4-0.6*0.6-0.7
0.1-0.4*0.4-0.9*0.8-1.5</v>
          </cell>
          <cell r="BD1164" t="str">
            <v>Manual</v>
          </cell>
          <cell r="BE1164">
            <v>14</v>
          </cell>
          <cell r="BF1164" t="str">
            <v>Mouniss</v>
          </cell>
          <cell r="BG1164" t="str">
            <v>Y</v>
          </cell>
        </row>
        <row r="1165">
          <cell r="A1165" t="str">
            <v>FBB1L240278</v>
          </cell>
          <cell r="B1165">
            <v>240278</v>
          </cell>
          <cell r="C1165" t="str">
            <v>Biopharma</v>
          </cell>
          <cell r="D1165">
            <v>45554</v>
          </cell>
          <cell r="E1165">
            <v>0.80555555555555558</v>
          </cell>
          <cell r="F1165">
            <v>45536</v>
          </cell>
          <cell r="G1165">
            <v>45554</v>
          </cell>
          <cell r="H1165">
            <v>0.8666666666666667</v>
          </cell>
          <cell r="I1165">
            <v>6.1111111111111109E-2</v>
          </cell>
          <cell r="J1165">
            <v>3</v>
          </cell>
          <cell r="K1165" t="str">
            <v>FCB-PROTOCOL-01</v>
          </cell>
          <cell r="L1165" t="str">
            <v>VYD/312</v>
          </cell>
          <cell r="M1165" t="str">
            <v>Y</v>
          </cell>
          <cell r="N1165" t="str">
            <v>BP010 (1L)</v>
          </cell>
          <cell r="O1165" t="str">
            <v>Biopharma</v>
          </cell>
          <cell r="P1165" t="str">
            <v>Q1 Passed</v>
          </cell>
          <cell r="Q1165" t="str">
            <v>Q1 Passed</v>
          </cell>
          <cell r="R1165" t="str">
            <v>Q1.5 Passed</v>
          </cell>
          <cell r="S1165" t="str">
            <v>Q1.5 Rejected</v>
          </cell>
          <cell r="V1165" t="str">
            <v xml:space="preserve">	
No tumor</v>
          </cell>
          <cell r="W1165" t="str">
            <v>Private Hospital</v>
          </cell>
          <cell r="X1165" t="str">
            <v>Vydehi Hospital, Bangalore</v>
          </cell>
          <cell r="Y1165" t="str">
            <v>Vydehi Hospital, Bangalore</v>
          </cell>
          <cell r="Z1165" t="str">
            <v>Dr Amritha Prabha, Bangalore</v>
          </cell>
          <cell r="AA1165" t="str">
            <v>RCC</v>
          </cell>
          <cell r="AC1165" t="str">
            <v>Renal Mass</v>
          </cell>
          <cell r="AD1165" t="str">
            <v>Right Renal Mass</v>
          </cell>
          <cell r="AE1165" t="str">
            <v>Male</v>
          </cell>
          <cell r="AF1165">
            <v>72</v>
          </cell>
          <cell r="AG1165" t="str">
            <v>N</v>
          </cell>
          <cell r="AH1165">
            <v>5.3</v>
          </cell>
          <cell r="AI1165" t="str">
            <v>Maruthi</v>
          </cell>
          <cell r="AJ1165" t="str">
            <v>Surgery</v>
          </cell>
          <cell r="AK1165" t="str">
            <v>Primary</v>
          </cell>
          <cell r="AN1165" t="str">
            <v>NA</v>
          </cell>
          <cell r="AO1165" t="str">
            <v>NA</v>
          </cell>
          <cell r="AP1165" t="str">
            <v>NA</v>
          </cell>
          <cell r="AV1165">
            <v>45555</v>
          </cell>
          <cell r="AW1165">
            <v>0.26041666666666669</v>
          </cell>
          <cell r="AX1165">
            <v>0.31388888888888888</v>
          </cell>
          <cell r="AY1165">
            <v>5.347222222222222E-2</v>
          </cell>
          <cell r="AZ1165">
            <v>0.25277777777777777</v>
          </cell>
          <cell r="BA1165">
            <v>0.5083333333333333</v>
          </cell>
          <cell r="BB1165" t="str">
            <v>0.4*1.0*1.8
0.2-0.4*0.6*1.0
0.3*1.0*1.2</v>
          </cell>
          <cell r="BD1165" t="str">
            <v>Manual</v>
          </cell>
          <cell r="BE1165">
            <v>14</v>
          </cell>
          <cell r="BF1165" t="str">
            <v>Mouniss</v>
          </cell>
          <cell r="BG1165" t="str">
            <v>Y</v>
          </cell>
        </row>
        <row r="1166">
          <cell r="A1166" t="str">
            <v>FBR1Y240279</v>
          </cell>
          <cell r="B1166">
            <v>240279</v>
          </cell>
          <cell r="C1166" t="str">
            <v>R&amp;D</v>
          </cell>
          <cell r="D1166">
            <v>45554</v>
          </cell>
          <cell r="E1166">
            <v>0.49652777777777779</v>
          </cell>
          <cell r="F1166">
            <v>45536</v>
          </cell>
          <cell r="G1166">
            <v>45554</v>
          </cell>
          <cell r="H1166">
            <v>0.87638888888888888</v>
          </cell>
          <cell r="I1166">
            <v>0.37986111111111109</v>
          </cell>
          <cell r="J1166">
            <v>20</v>
          </cell>
          <cell r="K1166" t="str">
            <v>FCB-PROTOCOL-01</v>
          </cell>
          <cell r="L1166" t="str">
            <v>CLN/DBR/206</v>
          </cell>
          <cell r="M1166" t="str">
            <v>Y</v>
          </cell>
          <cell r="N1166" t="str">
            <v>CCS Study (1Y)</v>
          </cell>
          <cell r="O1166" t="str">
            <v>Internal R&amp;D</v>
          </cell>
          <cell r="P1166" t="str">
            <v>Q1 Passed</v>
          </cell>
          <cell r="Q1166" t="str">
            <v>Q1 Passed</v>
          </cell>
          <cell r="R1166" t="str">
            <v>Q1.5 Passed</v>
          </cell>
          <cell r="S1166" t="str">
            <v>Q1.5 Passed</v>
          </cell>
          <cell r="V1166" t="str">
            <v>Tumor content 3-60%</v>
          </cell>
          <cell r="W1166" t="str">
            <v>Private Hospital</v>
          </cell>
          <cell r="X1166" t="str">
            <v>Clinic'les- DBR &amp; SK Hospital, Tirupati</v>
          </cell>
          <cell r="Y1166" t="str">
            <v>DBR &amp; SK Hospital, Tirupati</v>
          </cell>
          <cell r="Z1166" t="str">
            <v>Dr C Jayaprakash, Tirupati</v>
          </cell>
          <cell r="AA1166" t="str">
            <v>HNSCC</v>
          </cell>
          <cell r="AC1166" t="str">
            <v>Buccal Mucosa</v>
          </cell>
          <cell r="AD1166" t="str">
            <v>Left Buccal Mucosa</v>
          </cell>
          <cell r="AE1166" t="str">
            <v>Female</v>
          </cell>
          <cell r="AF1166">
            <v>52</v>
          </cell>
          <cell r="AG1166" t="str">
            <v>N</v>
          </cell>
          <cell r="AH1166">
            <v>5.6</v>
          </cell>
          <cell r="AI1166" t="str">
            <v>Kalappa</v>
          </cell>
          <cell r="AJ1166" t="str">
            <v>Surgery</v>
          </cell>
          <cell r="AK1166" t="str">
            <v>Primary</v>
          </cell>
          <cell r="AV1166">
            <v>45555</v>
          </cell>
          <cell r="AW1166">
            <v>0.3527777777777778</v>
          </cell>
          <cell r="AX1166">
            <v>0.3972222222222222</v>
          </cell>
          <cell r="AY1166">
            <v>4.4444444444444446E-2</v>
          </cell>
          <cell r="AZ1166">
            <v>1.7361111111111112E-2</v>
          </cell>
          <cell r="BA1166">
            <v>0.90069444444444446</v>
          </cell>
          <cell r="BB1166" t="str">
            <v>0.1-0.2*0.6*0.6
0.1*0.5-0.7*1.0
0.1*0.6-0.7*1.0
0.1*0.1-0.4*1.2
0.1*0.5*1.9</v>
          </cell>
          <cell r="BD1166" t="str">
            <v>Manual</v>
          </cell>
          <cell r="BE1166">
            <v>14</v>
          </cell>
          <cell r="BF1166" t="str">
            <v>Pallavi</v>
          </cell>
          <cell r="BG1166" t="str">
            <v>Y</v>
          </cell>
        </row>
        <row r="1167">
          <cell r="A1167" t="str">
            <v>FBR1Q240280</v>
          </cell>
          <cell r="B1167">
            <v>240280</v>
          </cell>
          <cell r="C1167" t="str">
            <v>R&amp;D</v>
          </cell>
          <cell r="D1167">
            <v>45558</v>
          </cell>
          <cell r="E1167">
            <v>0.52083333333333337</v>
          </cell>
          <cell r="F1167">
            <v>45536</v>
          </cell>
          <cell r="G1167">
            <v>45558</v>
          </cell>
          <cell r="H1167">
            <v>0.86805555555555558</v>
          </cell>
          <cell r="I1167">
            <v>0.34722222222222221</v>
          </cell>
          <cell r="J1167">
            <v>15</v>
          </cell>
          <cell r="K1167" t="str">
            <v>FCB-PROTOCOL-01</v>
          </cell>
          <cell r="L1167" t="str">
            <v>CLN/DBR/207</v>
          </cell>
          <cell r="M1167" t="str">
            <v>Y</v>
          </cell>
          <cell r="N1167" t="str">
            <v>COSv4.2_CaBR(1Q-Unknown)</v>
          </cell>
          <cell r="O1167" t="str">
            <v>Internal R&amp;D</v>
          </cell>
          <cell r="P1167" t="str">
            <v>Q1 Passed</v>
          </cell>
          <cell r="Q1167" t="str">
            <v>Q1 Passed</v>
          </cell>
          <cell r="R1167" t="str">
            <v>Q1.5 Passed</v>
          </cell>
          <cell r="S1167" t="str">
            <v>Q1.5 Passed</v>
          </cell>
          <cell r="V1167" t="str">
            <v>Tumor content 1-25%</v>
          </cell>
          <cell r="W1167" t="str">
            <v>Private Hospital</v>
          </cell>
          <cell r="X1167" t="str">
            <v>Clinic'les- DBR &amp; SK Hospital, Tirupati</v>
          </cell>
          <cell r="Y1167" t="str">
            <v>DBR &amp; SK Hospital, Tirupati</v>
          </cell>
          <cell r="Z1167" t="str">
            <v>Dr C Jayaprakash, Tirupati</v>
          </cell>
          <cell r="AA1167" t="str">
            <v>Ca Breast</v>
          </cell>
          <cell r="AC1167" t="str">
            <v>Breast</v>
          </cell>
          <cell r="AD1167" t="str">
            <v>Right Breast</v>
          </cell>
          <cell r="AE1167" t="str">
            <v>Female</v>
          </cell>
          <cell r="AF1167">
            <v>68</v>
          </cell>
          <cell r="AG1167" t="str">
            <v>N</v>
          </cell>
          <cell r="AH1167">
            <v>4.8</v>
          </cell>
          <cell r="AI1167" t="str">
            <v>Kalappa</v>
          </cell>
          <cell r="AJ1167" t="str">
            <v>Surgery</v>
          </cell>
          <cell r="AK1167" t="str">
            <v>Primary</v>
          </cell>
          <cell r="AV1167">
            <v>45559</v>
          </cell>
          <cell r="AW1167">
            <v>0.30208333333333331</v>
          </cell>
          <cell r="AX1167">
            <v>0.3611111111111111</v>
          </cell>
          <cell r="AY1167">
            <v>5.9027777777777776E-2</v>
          </cell>
          <cell r="AZ1167">
            <v>1.3888888888888888E-2</v>
          </cell>
          <cell r="BA116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167" t="str">
            <v>0.6-0.8*1.2*3.2</v>
          </cell>
          <cell r="BD1167" t="str">
            <v>Manual</v>
          </cell>
          <cell r="BE1167">
            <v>14</v>
          </cell>
          <cell r="BF1167" t="str">
            <v>chandan</v>
          </cell>
          <cell r="BG1167" t="str">
            <v>Y</v>
          </cell>
        </row>
        <row r="1168">
          <cell r="A1168" t="str">
            <v>FBR1Y240281</v>
          </cell>
          <cell r="B1168">
            <v>240281</v>
          </cell>
          <cell r="C1168" t="str">
            <v>R&amp;D</v>
          </cell>
          <cell r="D1168">
            <v>45559</v>
          </cell>
          <cell r="E1168">
            <v>0.48333333333333334</v>
          </cell>
          <cell r="F1168">
            <v>45536</v>
          </cell>
          <cell r="G1168">
            <v>45559</v>
          </cell>
          <cell r="H1168">
            <v>0.55902777777777779</v>
          </cell>
          <cell r="I1168">
            <v>7.5694444444444439E-2</v>
          </cell>
          <cell r="J1168">
            <v>2</v>
          </cell>
          <cell r="K1168" t="str">
            <v>FCB-PROTOCOL-01</v>
          </cell>
          <cell r="L1168" t="str">
            <v>VYD/313</v>
          </cell>
          <cell r="M1168" t="str">
            <v>Y</v>
          </cell>
          <cell r="N1168" t="str">
            <v>CCS Study (1Y)</v>
          </cell>
          <cell r="O1168" t="str">
            <v>Internal R&amp;D</v>
          </cell>
          <cell r="P1168" t="str">
            <v>Q1 Passed</v>
          </cell>
          <cell r="Q1168" t="str">
            <v>Q1 Passed</v>
          </cell>
          <cell r="R1168" t="str">
            <v>Q1.5 Passed</v>
          </cell>
          <cell r="S1168" t="str">
            <v>Q1.5 Passed</v>
          </cell>
          <cell r="V1168" t="str">
            <v>Tumor content 60-90%</v>
          </cell>
          <cell r="W1168" t="str">
            <v>Private Hospital</v>
          </cell>
          <cell r="X1168" t="str">
            <v>Vydehi Hospital, Bangalore</v>
          </cell>
          <cell r="Y1168" t="str">
            <v>Vydehi Hospital, Bangalore</v>
          </cell>
          <cell r="Z1168" t="str">
            <v>Dr Amritha Prabha, Bangalore</v>
          </cell>
          <cell r="AA1168" t="str">
            <v>HNSCC</v>
          </cell>
          <cell r="AC1168" t="str">
            <v>Buccal Mucosa</v>
          </cell>
          <cell r="AD1168" t="str">
            <v>Right Buccal Mucosa</v>
          </cell>
          <cell r="AE1168" t="str">
            <v>Female</v>
          </cell>
          <cell r="AF1168">
            <v>73</v>
          </cell>
          <cell r="AG1168" t="str">
            <v>N</v>
          </cell>
          <cell r="AH1168">
            <v>5.2</v>
          </cell>
          <cell r="AI1168" t="str">
            <v>Kalappa</v>
          </cell>
          <cell r="AJ1168" t="str">
            <v>Surgery</v>
          </cell>
          <cell r="AK1168" t="str">
            <v>Primary</v>
          </cell>
          <cell r="AN1168" t="str">
            <v>II</v>
          </cell>
          <cell r="AO1168">
            <v>1</v>
          </cell>
          <cell r="AP1168" t="str">
            <v>pT3N0</v>
          </cell>
          <cell r="AS1168" t="str">
            <v>scc</v>
          </cell>
          <cell r="AT1168" t="str">
            <v>RT</v>
          </cell>
          <cell r="AV1168">
            <v>45559</v>
          </cell>
          <cell r="AW1168">
            <v>0.59027777777777779</v>
          </cell>
          <cell r="AX1168">
            <v>0.66388888888888886</v>
          </cell>
          <cell r="AY1168">
            <v>7.3611111111111113E-2</v>
          </cell>
          <cell r="AZ1168">
            <v>0.58819444444444446</v>
          </cell>
          <cell r="BA1168">
            <v>0.18055555555555555</v>
          </cell>
          <cell r="BB1168" t="str">
            <v>0.4*1.1*1.1-1.2</v>
          </cell>
          <cell r="BD1168" t="str">
            <v>Vibratome</v>
          </cell>
          <cell r="BE1168">
            <v>14</v>
          </cell>
          <cell r="BF1168" t="str">
            <v>Pallavi</v>
          </cell>
          <cell r="BG1168" t="str">
            <v>Y</v>
          </cell>
        </row>
        <row r="1169">
          <cell r="A1169" t="str">
            <v>FBR2N240281</v>
          </cell>
          <cell r="B1169">
            <v>240281</v>
          </cell>
          <cell r="C1169" t="str">
            <v>R&amp;D</v>
          </cell>
          <cell r="D1169">
            <v>45559</v>
          </cell>
          <cell r="E1169">
            <v>0.48333333333333334</v>
          </cell>
          <cell r="F1169">
            <v>45536</v>
          </cell>
          <cell r="G1169">
            <v>45559</v>
          </cell>
          <cell r="H1169">
            <v>0.55902777777777779</v>
          </cell>
          <cell r="I1169">
            <v>7.5694444444444439E-2</v>
          </cell>
          <cell r="J1169">
            <v>2</v>
          </cell>
          <cell r="K1169" t="str">
            <v>FCB-PROTOCOL-01</v>
          </cell>
          <cell r="L1169" t="str">
            <v>VYD/313</v>
          </cell>
          <cell r="M1169" t="str">
            <v>Y</v>
          </cell>
          <cell r="N1169" t="str">
            <v>FBT (2N)</v>
          </cell>
          <cell r="O1169" t="str">
            <v>Internal R&amp;D</v>
          </cell>
          <cell r="P1169" t="str">
            <v>Q1 Passed</v>
          </cell>
          <cell r="Q1169" t="str">
            <v>Q1 Passed</v>
          </cell>
          <cell r="R1169" t="str">
            <v>Q1.5 Passed</v>
          </cell>
          <cell r="S1169" t="str">
            <v>Q1.5 Passed</v>
          </cell>
          <cell r="V1169" t="str">
            <v>Tumor content 40-55%</v>
          </cell>
          <cell r="W1169" t="str">
            <v>Private Hospital</v>
          </cell>
          <cell r="X1169" t="str">
            <v>Vydehi Hospital, Bangalore</v>
          </cell>
          <cell r="Y1169" t="str">
            <v>Vydehi Hospital, Bangalore</v>
          </cell>
          <cell r="Z1169" t="str">
            <v>Dr Amritha Prabha, Bangalore</v>
          </cell>
          <cell r="AA1169" t="str">
            <v>HNSCC</v>
          </cell>
          <cell r="AC1169" t="str">
            <v>Buccal Mucosa</v>
          </cell>
          <cell r="AD1169" t="str">
            <v>Right Buccal Mucosa</v>
          </cell>
          <cell r="AE1169" t="str">
            <v>Female</v>
          </cell>
          <cell r="AF1169">
            <v>73</v>
          </cell>
          <cell r="AG1169" t="str">
            <v>N</v>
          </cell>
          <cell r="AH1169">
            <v>5.2</v>
          </cell>
          <cell r="AI1169" t="str">
            <v>Kalappa</v>
          </cell>
          <cell r="AJ1169" t="str">
            <v>Surgery</v>
          </cell>
          <cell r="AK1169" t="str">
            <v>Primary</v>
          </cell>
          <cell r="AN1169" t="str">
            <v>II</v>
          </cell>
          <cell r="AO1169">
            <v>1</v>
          </cell>
          <cell r="AP1169" t="str">
            <v>pT3N0</v>
          </cell>
          <cell r="AS1169" t="str">
            <v>scc</v>
          </cell>
          <cell r="AT1169" t="str">
            <v>RT</v>
          </cell>
          <cell r="AV1169">
            <v>45560</v>
          </cell>
          <cell r="AW1169">
            <v>1.0138888888888888</v>
          </cell>
          <cell r="AX1169">
            <v>1.0611111111111111</v>
          </cell>
          <cell r="AY1169">
            <v>4.7222222222222221E-2</v>
          </cell>
          <cell r="AZ1169">
            <v>0.98541666666666672</v>
          </cell>
          <cell r="BA1169">
            <v>0.57777777777777772</v>
          </cell>
          <cell r="BB1169" t="str">
            <v>0.4/0.6*0.8*0.8</v>
          </cell>
          <cell r="BD1169" t="str">
            <v>Vibratome</v>
          </cell>
          <cell r="BE1169">
            <v>15</v>
          </cell>
          <cell r="BF1169" t="str">
            <v>Biswajit</v>
          </cell>
          <cell r="BG1169" t="str">
            <v>Y</v>
          </cell>
        </row>
        <row r="1170">
          <cell r="A1170" t="str">
            <v>FBR1Y240282</v>
          </cell>
          <cell r="B1170">
            <v>240282</v>
          </cell>
          <cell r="C1170" t="str">
            <v>R&amp;D</v>
          </cell>
          <cell r="D1170">
            <v>45562</v>
          </cell>
          <cell r="E1170">
            <v>0.58333333333333337</v>
          </cell>
          <cell r="F1170">
            <v>45536</v>
          </cell>
          <cell r="G1170">
            <v>45562</v>
          </cell>
          <cell r="H1170">
            <v>0.72222222222222221</v>
          </cell>
          <cell r="I1170">
            <v>0.1388888888888889</v>
          </cell>
          <cell r="J1170">
            <v>10</v>
          </cell>
          <cell r="K1170" t="str">
            <v>FCB-PROTOCOL-02</v>
          </cell>
          <cell r="L1170" t="str">
            <v>HN175</v>
          </cell>
          <cell r="M1170" t="str">
            <v>Y</v>
          </cell>
          <cell r="N1170" t="str">
            <v>CCS Study (1Y)</v>
          </cell>
          <cell r="O1170" t="str">
            <v>Internal R&amp;D</v>
          </cell>
          <cell r="P1170" t="str">
            <v>Q1 Passed</v>
          </cell>
          <cell r="Q1170" t="str">
            <v>Not Received</v>
          </cell>
          <cell r="R1170" t="str">
            <v>Compromised</v>
          </cell>
          <cell r="S1170" t="str">
            <v>Q1.5 Passed</v>
          </cell>
          <cell r="T1170" t="str">
            <v>Difficult to collect</v>
          </cell>
          <cell r="V1170" t="str">
            <v>Tumor content 0-90% . Average tumor content 56%</v>
          </cell>
          <cell r="W1170" t="str">
            <v>Private Hospital</v>
          </cell>
          <cell r="X1170" t="str">
            <v>Mazumdar Shaw Medical Centre, Bangalore</v>
          </cell>
          <cell r="Y1170" t="str">
            <v>Mazumdar Shaw Medical Centre, Bangalore</v>
          </cell>
          <cell r="Z1170" t="str">
            <v>Dr Vijay Pillai, Bangalore</v>
          </cell>
          <cell r="AA1170" t="str">
            <v>HNSCC</v>
          </cell>
          <cell r="AC1170" t="str">
            <v>RMT</v>
          </cell>
          <cell r="AD1170" t="str">
            <v>RMT</v>
          </cell>
          <cell r="AE1170" t="str">
            <v>Male</v>
          </cell>
          <cell r="AF1170">
            <v>73</v>
          </cell>
          <cell r="AG1170" t="str">
            <v>N</v>
          </cell>
          <cell r="AH1170">
            <v>4.5</v>
          </cell>
          <cell r="AI1170" t="str">
            <v>Kalappa</v>
          </cell>
          <cell r="AJ1170" t="str">
            <v>Surgery</v>
          </cell>
          <cell r="AK1170" t="str">
            <v>Primary</v>
          </cell>
          <cell r="AN1170" t="str">
            <v>IV</v>
          </cell>
          <cell r="AO1170">
            <v>2</v>
          </cell>
          <cell r="AP1170" t="str">
            <v xml:space="preserve">  pT4aN0</v>
          </cell>
          <cell r="AS1170" t="str">
            <v>MDSCC(Moderately Differentiated Squamous cell carcinoma)</v>
          </cell>
          <cell r="AV1170">
            <v>45562</v>
          </cell>
          <cell r="AW1170">
            <v>0.73472222222222228</v>
          </cell>
          <cell r="AX1170">
            <v>0.77083333333333337</v>
          </cell>
          <cell r="AY1170">
            <v>3.6111111111111108E-2</v>
          </cell>
          <cell r="AZ1170">
            <v>0.63194444444444442</v>
          </cell>
          <cell r="BA1170">
            <v>0.1875</v>
          </cell>
          <cell r="BB1170" t="str">
            <v>0.2-0.3*0.6*0.7</v>
          </cell>
          <cell r="BD1170" t="str">
            <v>Manual</v>
          </cell>
          <cell r="BE1170">
            <v>14</v>
          </cell>
          <cell r="BF1170" t="str">
            <v>kuberan</v>
          </cell>
          <cell r="BG1170" t="str">
            <v>N</v>
          </cell>
        </row>
        <row r="1171">
          <cell r="A1171" t="str">
            <v>FBR2Q240283</v>
          </cell>
          <cell r="B1171">
            <v>240283</v>
          </cell>
          <cell r="C1171" t="str">
            <v>R&amp;D</v>
          </cell>
          <cell r="D1171">
            <v>45562</v>
          </cell>
          <cell r="E1171">
            <v>0.47569444444444442</v>
          </cell>
          <cell r="F1171">
            <v>45536</v>
          </cell>
          <cell r="G1171">
            <v>45562</v>
          </cell>
          <cell r="H1171">
            <v>0.85486111111111107</v>
          </cell>
          <cell r="I1171">
            <v>0.37916666666666665</v>
          </cell>
          <cell r="J1171">
            <v>5</v>
          </cell>
          <cell r="K1171" t="str">
            <v>FCB-PROTOCOL-01</v>
          </cell>
          <cell r="L1171" t="str">
            <v>CLN/DBR/208</v>
          </cell>
          <cell r="M1171" t="str">
            <v>Y</v>
          </cell>
          <cell r="N1171" t="str">
            <v>MFS (2Q)</v>
          </cell>
          <cell r="O1171" t="str">
            <v>Internal R&amp;D</v>
          </cell>
          <cell r="P1171" t="str">
            <v>Q1 Passed</v>
          </cell>
          <cell r="Q1171" t="str">
            <v>Q1 Passed</v>
          </cell>
          <cell r="R1171" t="str">
            <v>Q1.5 Passed</v>
          </cell>
          <cell r="S1171" t="str">
            <v>Q1.5 Passed</v>
          </cell>
          <cell r="V1171" t="str">
            <v>Tumor content 80-96%</v>
          </cell>
          <cell r="W1171" t="str">
            <v>Private Hospital</v>
          </cell>
          <cell r="X1171" t="str">
            <v>Clinic'les- DBR &amp; SK Hospital, Tirupati</v>
          </cell>
          <cell r="Y1171" t="str">
            <v>DBR &amp; SK Hospital, Tirupati</v>
          </cell>
          <cell r="Z1171" t="str">
            <v>Dr C Jayaprakash, Tirupati</v>
          </cell>
          <cell r="AA1171" t="str">
            <v>HNSCC</v>
          </cell>
          <cell r="AC1171" t="str">
            <v>Buccal Mucosa</v>
          </cell>
          <cell r="AD1171" t="str">
            <v>Left Buccal Mucosa</v>
          </cell>
          <cell r="AE1171" t="str">
            <v>Female</v>
          </cell>
          <cell r="AF1171">
            <v>70</v>
          </cell>
          <cell r="AG1171" t="str">
            <v>N</v>
          </cell>
          <cell r="AH1171">
            <v>4.8</v>
          </cell>
          <cell r="AI1171" t="str">
            <v>Shashi</v>
          </cell>
          <cell r="AJ1171" t="str">
            <v>Surgery</v>
          </cell>
          <cell r="AK1171" t="str">
            <v>Primary</v>
          </cell>
          <cell r="AV1171">
            <v>45562</v>
          </cell>
          <cell r="AW1171">
            <v>0.86041666666666672</v>
          </cell>
          <cell r="AX1171">
            <v>0.93472222222222223</v>
          </cell>
          <cell r="AY1171">
            <v>7.4305555555555555E-2</v>
          </cell>
          <cell r="AZ1171">
            <v>0.55555555555555558</v>
          </cell>
          <cell r="BA1171">
            <v>0.45902777777777776</v>
          </cell>
          <cell r="BB1171" t="str">
            <v>1.0-1.2*1.2-1.4*2.4-2.6</v>
          </cell>
          <cell r="BD1171" t="str">
            <v>Vibratome</v>
          </cell>
          <cell r="BE1171">
            <v>14</v>
          </cell>
          <cell r="BF1171" t="str">
            <v>chandan</v>
          </cell>
          <cell r="BG1171" t="str">
            <v>Y</v>
          </cell>
        </row>
        <row r="1172">
          <cell r="A1172" t="str">
            <v>FBR1Y240284</v>
          </cell>
          <cell r="B1172">
            <v>240284</v>
          </cell>
          <cell r="C1172" t="str">
            <v>R&amp;D</v>
          </cell>
          <cell r="D1172">
            <v>45565</v>
          </cell>
          <cell r="E1172">
            <v>0.44097222222222221</v>
          </cell>
          <cell r="F1172">
            <v>45536</v>
          </cell>
          <cell r="G1172">
            <v>45565</v>
          </cell>
          <cell r="H1172">
            <v>0.5756944444444444</v>
          </cell>
          <cell r="I1172">
            <v>0.13472222222222222</v>
          </cell>
          <cell r="J1172">
            <v>12</v>
          </cell>
          <cell r="K1172" t="str">
            <v>FCB-PROTOCOL-02</v>
          </cell>
          <cell r="L1172" t="str">
            <v>HN176</v>
          </cell>
          <cell r="M1172" t="str">
            <v>Y</v>
          </cell>
          <cell r="N1172" t="str">
            <v>CCS Study (1Y)</v>
          </cell>
          <cell r="O1172" t="str">
            <v>Internal R&amp;D</v>
          </cell>
          <cell r="P1172" t="str">
            <v>Q1 Passed</v>
          </cell>
          <cell r="Q1172" t="str">
            <v>Not Received</v>
          </cell>
          <cell r="R1172" t="str">
            <v>Compromised</v>
          </cell>
          <cell r="S1172" t="str">
            <v>Q1.5 Passed</v>
          </cell>
          <cell r="T1172" t="str">
            <v>Not willing</v>
          </cell>
          <cell r="V1172" t="str">
            <v>Tumor content 35-80%</v>
          </cell>
          <cell r="W1172" t="str">
            <v>Private Hospital</v>
          </cell>
          <cell r="X1172" t="str">
            <v>Mazumdar Shaw Medical Centre, Bangalore</v>
          </cell>
          <cell r="Y1172" t="str">
            <v>Mazumdar Shaw Medical Centre, Bangalore</v>
          </cell>
          <cell r="Z1172" t="str">
            <v>Dr Vijay Pillai, Bangalore</v>
          </cell>
          <cell r="AA1172" t="str">
            <v>HNSCC</v>
          </cell>
          <cell r="AC1172" t="str">
            <v>Buccal Mucosa</v>
          </cell>
          <cell r="AD1172" t="str">
            <v>Left Buccal Mucosa</v>
          </cell>
          <cell r="AE1172" t="str">
            <v>Male</v>
          </cell>
          <cell r="AF1172">
            <v>47</v>
          </cell>
          <cell r="AG1172" t="str">
            <v>N</v>
          </cell>
          <cell r="AH1172">
            <v>4.3</v>
          </cell>
          <cell r="AI1172" t="str">
            <v>Kalappa</v>
          </cell>
          <cell r="AJ1172" t="str">
            <v>Surgery</v>
          </cell>
          <cell r="AK1172" t="str">
            <v>Primary</v>
          </cell>
          <cell r="AN1172" t="str">
            <v>IV</v>
          </cell>
          <cell r="AO1172">
            <v>2</v>
          </cell>
          <cell r="AP1172" t="str">
            <v>pT4b pN3b</v>
          </cell>
          <cell r="AS1172" t="str">
            <v>MDSCC(Moderately Differentiated Squamous cell carcinoma)</v>
          </cell>
          <cell r="AV1172">
            <v>45565</v>
          </cell>
          <cell r="AW1172">
            <v>0.59791666666666665</v>
          </cell>
          <cell r="AX1172">
            <v>0.68402777777777779</v>
          </cell>
          <cell r="AY1172">
            <v>8.611111111111111E-2</v>
          </cell>
          <cell r="AZ1172">
            <v>0.5493055555555556</v>
          </cell>
          <cell r="BA1172">
            <v>0.24305555555555555</v>
          </cell>
          <cell r="BB1172" t="str">
            <v>0.6*0.7-1.3*1.6</v>
          </cell>
          <cell r="BD1172" t="str">
            <v>Vibratome</v>
          </cell>
          <cell r="BE1172">
            <v>14</v>
          </cell>
          <cell r="BF1172" t="str">
            <v>Syam</v>
          </cell>
          <cell r="BG1172" t="str">
            <v>N</v>
          </cell>
        </row>
        <row r="1173">
          <cell r="A1173" t="str">
            <v>FBR2Q240285</v>
          </cell>
          <cell r="B1173">
            <v>240285</v>
          </cell>
          <cell r="C1173" t="str">
            <v>R&amp;D</v>
          </cell>
          <cell r="D1173">
            <v>45565</v>
          </cell>
          <cell r="E1173">
            <v>0.5</v>
          </cell>
          <cell r="F1173">
            <v>45536</v>
          </cell>
          <cell r="G1173">
            <v>45565</v>
          </cell>
          <cell r="H1173">
            <v>0.88055555555555554</v>
          </cell>
          <cell r="I1173">
            <v>0.38055555555555554</v>
          </cell>
          <cell r="J1173">
            <v>15</v>
          </cell>
          <cell r="K1173" t="str">
            <v>FCB-PROTOCOL-01</v>
          </cell>
          <cell r="L1173" t="str">
            <v>CLN/DBR/209</v>
          </cell>
          <cell r="M1173" t="str">
            <v>Y</v>
          </cell>
          <cell r="N1173" t="str">
            <v>MFS (2Q)</v>
          </cell>
          <cell r="O1173" t="str">
            <v>Internal R&amp;D</v>
          </cell>
          <cell r="P1173" t="str">
            <v>Q1 Passed</v>
          </cell>
          <cell r="Q1173" t="str">
            <v>Q1 Passed</v>
          </cell>
          <cell r="R1173" t="str">
            <v>Q1.5 Passed</v>
          </cell>
          <cell r="S1173" t="str">
            <v>Q1.5 Passed</v>
          </cell>
          <cell r="V1173" t="str">
            <v>Tumor content &gt;90%</v>
          </cell>
          <cell r="W1173" t="str">
            <v>Private Hospital</v>
          </cell>
          <cell r="X1173" t="str">
            <v>Clinic'les- DBR &amp; SK Hospital, Tirupati</v>
          </cell>
          <cell r="Y1173" t="str">
            <v>DBR &amp; SK Hospital, Tirupati</v>
          </cell>
          <cell r="Z1173" t="str">
            <v>Dr C Jayaprakash, Tirupati</v>
          </cell>
          <cell r="AA1173" t="str">
            <v>HNSCC</v>
          </cell>
          <cell r="AC1173" t="str">
            <v>Buccal Mucosa</v>
          </cell>
          <cell r="AD1173" t="str">
            <v>Left Buccal Mucosa</v>
          </cell>
          <cell r="AE1173" t="str">
            <v>Female</v>
          </cell>
          <cell r="AF1173">
            <v>64</v>
          </cell>
          <cell r="AG1173" t="str">
            <v>N</v>
          </cell>
          <cell r="AH1173">
            <v>4.9000000000000004</v>
          </cell>
          <cell r="AI1173" t="str">
            <v>Shashi</v>
          </cell>
          <cell r="AJ1173" t="str">
            <v>Surgery</v>
          </cell>
          <cell r="AK1173" t="str">
            <v>Primary</v>
          </cell>
          <cell r="AV1173">
            <v>45566</v>
          </cell>
          <cell r="AW1173">
            <v>0.30902777777777779</v>
          </cell>
          <cell r="AX1173">
            <v>0.36944444444444446</v>
          </cell>
          <cell r="AY1173">
            <v>6.0416666666666667E-2</v>
          </cell>
          <cell r="AZ117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17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173" t="str">
            <v>0.4-0.8*0.4-0.8*2.8</v>
          </cell>
          <cell r="BD1173" t="str">
            <v>Vibratome</v>
          </cell>
          <cell r="BE1173">
            <v>14</v>
          </cell>
          <cell r="BF1173" t="str">
            <v>chandan</v>
          </cell>
          <cell r="BG1173" t="str">
            <v>Y</v>
          </cell>
        </row>
        <row r="1174">
          <cell r="A1174" t="str">
            <v>FBR1Y240286</v>
          </cell>
          <cell r="B1174">
            <v>240286</v>
          </cell>
          <cell r="C1174" t="str">
            <v>R&amp;D</v>
          </cell>
          <cell r="D1174">
            <v>45566</v>
          </cell>
          <cell r="E1174">
            <v>0.48055555555555557</v>
          </cell>
          <cell r="F1174">
            <v>45566</v>
          </cell>
          <cell r="G1174">
            <v>45566</v>
          </cell>
          <cell r="H1174">
            <v>0.53402777777777777</v>
          </cell>
          <cell r="I1174">
            <v>5.347222222222222E-2</v>
          </cell>
          <cell r="J1174">
            <v>2</v>
          </cell>
          <cell r="K1174" t="str">
            <v>FCB-PROTOCOL-01</v>
          </cell>
          <cell r="L1174" t="str">
            <v>VYD/314</v>
          </cell>
          <cell r="M1174" t="str">
            <v>Y</v>
          </cell>
          <cell r="N1174" t="str">
            <v>CCS Study (1Y)</v>
          </cell>
          <cell r="O1174" t="str">
            <v>Internal R&amp;D</v>
          </cell>
          <cell r="P1174" t="str">
            <v>Q1 Passed</v>
          </cell>
          <cell r="Q1174" t="str">
            <v>Q1 Passed</v>
          </cell>
          <cell r="R1174" t="str">
            <v>Q1.5 Passed</v>
          </cell>
          <cell r="S1174" t="str">
            <v>Q1.5 Passed</v>
          </cell>
          <cell r="V1174" t="str">
            <v>Tumor content 0-85%. Average tumor content 30%</v>
          </cell>
          <cell r="W1174" t="str">
            <v>Private Hospital</v>
          </cell>
          <cell r="X1174" t="str">
            <v>Vydehi Hospital, Bangalore</v>
          </cell>
          <cell r="Y1174" t="str">
            <v>Vydehi Hospital, Bangalore</v>
          </cell>
          <cell r="Z1174" t="str">
            <v>Dr Amritha Prabha, Bangalore</v>
          </cell>
          <cell r="AA1174" t="str">
            <v>HNSCC</v>
          </cell>
          <cell r="AC1174" t="str">
            <v>Buccal Mucosa</v>
          </cell>
          <cell r="AD1174" t="str">
            <v>Right Buccal Mucosa</v>
          </cell>
          <cell r="AE1174" t="str">
            <v>Male</v>
          </cell>
          <cell r="AF1174">
            <v>50</v>
          </cell>
          <cell r="AG1174" t="str">
            <v>N</v>
          </cell>
          <cell r="AH1174">
            <v>5.2</v>
          </cell>
          <cell r="AI1174" t="str">
            <v>Kalappa</v>
          </cell>
          <cell r="AJ1174" t="str">
            <v>Surgery</v>
          </cell>
          <cell r="AK1174" t="str">
            <v>Primary</v>
          </cell>
          <cell r="AN1174" t="str">
            <v>III</v>
          </cell>
          <cell r="AO1174">
            <v>2</v>
          </cell>
          <cell r="AP1174" t="str">
            <v>T3N0</v>
          </cell>
          <cell r="AS1174" t="str">
            <v>scc</v>
          </cell>
          <cell r="AV1174">
            <v>45566</v>
          </cell>
          <cell r="AW1174">
            <v>0.56805555555555554</v>
          </cell>
          <cell r="AX1174">
            <v>0.64930555555555558</v>
          </cell>
          <cell r="AY1174">
            <v>8.1250000000000003E-2</v>
          </cell>
          <cell r="AZ1174">
            <v>0.59583333333333333</v>
          </cell>
          <cell r="BA1174">
            <v>0.16875000000000001</v>
          </cell>
          <cell r="BB1174" t="str">
            <v>0.2-0.4*0.8*1.2</v>
          </cell>
          <cell r="BD1174" t="str">
            <v>Vibratome</v>
          </cell>
          <cell r="BE1174">
            <v>14</v>
          </cell>
          <cell r="BF1174" t="str">
            <v>Abdul</v>
          </cell>
          <cell r="BG1174" t="str">
            <v>Y</v>
          </cell>
        </row>
        <row r="1175">
          <cell r="A1175" t="str">
            <v>FBR2N240286</v>
          </cell>
          <cell r="B1175">
            <v>240286</v>
          </cell>
          <cell r="C1175" t="str">
            <v>R&amp;D</v>
          </cell>
          <cell r="D1175">
            <v>45566</v>
          </cell>
          <cell r="E1175">
            <v>0.48055555555555557</v>
          </cell>
          <cell r="F1175">
            <v>45566</v>
          </cell>
          <cell r="G1175">
            <v>45566</v>
          </cell>
          <cell r="H1175">
            <v>0.53402777777777777</v>
          </cell>
          <cell r="I1175">
            <v>5.347222222222222E-2</v>
          </cell>
          <cell r="J1175">
            <v>2</v>
          </cell>
          <cell r="K1175" t="str">
            <v>FCB-PROTOCOL-01</v>
          </cell>
          <cell r="L1175" t="str">
            <v>VYD/314</v>
          </cell>
          <cell r="M1175" t="str">
            <v>Y</v>
          </cell>
          <cell r="N1175" t="str">
            <v>FBT (2N)</v>
          </cell>
          <cell r="O1175" t="str">
            <v>Internal R&amp;D</v>
          </cell>
          <cell r="P1175" t="str">
            <v>Q1 Passed</v>
          </cell>
          <cell r="Q1175" t="str">
            <v>Q1 Passed</v>
          </cell>
          <cell r="R1175" t="str">
            <v>Q1.5 Passed</v>
          </cell>
          <cell r="S1175" t="str">
            <v>Q1.5 Passed</v>
          </cell>
          <cell r="V1175" t="str">
            <v>Tumor content 0-95%. Average tumor content 50%</v>
          </cell>
          <cell r="W1175" t="str">
            <v>Private Hospital</v>
          </cell>
          <cell r="X1175" t="str">
            <v>Vydehi Hospital, Bangalore</v>
          </cell>
          <cell r="Y1175" t="str">
            <v>Vydehi Hospital, Bangalore</v>
          </cell>
          <cell r="Z1175" t="str">
            <v>Dr Amritha Prabha, Bangalore</v>
          </cell>
          <cell r="AA1175" t="str">
            <v>HNSCC</v>
          </cell>
          <cell r="AC1175" t="str">
            <v>Buccal Mucosa</v>
          </cell>
          <cell r="AD1175" t="str">
            <v>Right Buccal Mucosa</v>
          </cell>
          <cell r="AE1175" t="str">
            <v>Male</v>
          </cell>
          <cell r="AF1175">
            <v>50</v>
          </cell>
          <cell r="AG1175" t="str">
            <v>N</v>
          </cell>
          <cell r="AH1175">
            <v>5.2</v>
          </cell>
          <cell r="AI1175" t="str">
            <v>Kalappa</v>
          </cell>
          <cell r="AJ1175" t="str">
            <v>Surgery</v>
          </cell>
          <cell r="AK1175" t="str">
            <v>Primary</v>
          </cell>
          <cell r="AN1175" t="str">
            <v>III</v>
          </cell>
          <cell r="AO1175">
            <v>2</v>
          </cell>
          <cell r="AP1175" t="str">
            <v>T3N0</v>
          </cell>
          <cell r="AS1175" t="str">
            <v>scc</v>
          </cell>
          <cell r="AV1175">
            <v>45567</v>
          </cell>
          <cell r="AW1175">
            <v>1.0034722222222223</v>
          </cell>
          <cell r="AX1175">
            <v>1.0576388888888888</v>
          </cell>
          <cell r="AY1175">
            <v>5.4166666666666669E-2</v>
          </cell>
          <cell r="AZ1175">
            <v>4.1666666666666666E-3</v>
          </cell>
          <cell r="BA1175">
            <v>0.57708333333333328</v>
          </cell>
          <cell r="BB1175" t="str">
            <v>0.1-0.4*0.6*1.0</v>
          </cell>
          <cell r="BD1175" t="str">
            <v>Vibratome</v>
          </cell>
          <cell r="BE1175">
            <v>14</v>
          </cell>
          <cell r="BF1175" t="str">
            <v>Biswajit</v>
          </cell>
          <cell r="BG1175" t="str">
            <v>Y</v>
          </cell>
        </row>
        <row r="1176">
          <cell r="A1176" t="str">
            <v>FBR1Y240287</v>
          </cell>
          <cell r="B1176">
            <v>240287</v>
          </cell>
          <cell r="C1176" t="str">
            <v>R&amp;D</v>
          </cell>
          <cell r="D1176">
            <v>45566</v>
          </cell>
          <cell r="E1176">
            <v>0.4861111111111111</v>
          </cell>
          <cell r="F1176">
            <v>45566</v>
          </cell>
          <cell r="G1176">
            <v>45566</v>
          </cell>
          <cell r="H1176">
            <v>0.6645833333333333</v>
          </cell>
          <cell r="I1176">
            <v>0.17847222222222223</v>
          </cell>
          <cell r="J1176">
            <v>15</v>
          </cell>
          <cell r="K1176" t="str">
            <v>FCB-PROTOCOL-02</v>
          </cell>
          <cell r="L1176" t="str">
            <v>HN177</v>
          </cell>
          <cell r="M1176" t="str">
            <v>Y</v>
          </cell>
          <cell r="N1176" t="str">
            <v>CCS Study (1Y)</v>
          </cell>
          <cell r="O1176" t="str">
            <v>Internal R&amp;D</v>
          </cell>
          <cell r="P1176" t="str">
            <v>Q1 Passed</v>
          </cell>
          <cell r="Q1176" t="str">
            <v>Not Received</v>
          </cell>
          <cell r="R1176" t="str">
            <v>Compromised</v>
          </cell>
          <cell r="S1176" t="str">
            <v>Q1.5 Passed</v>
          </cell>
          <cell r="T1176" t="str">
            <v>Difficult to collect</v>
          </cell>
          <cell r="V1176" t="str">
            <v>Tumor content 20-95%</v>
          </cell>
          <cell r="W1176" t="str">
            <v>Private Hospital</v>
          </cell>
          <cell r="X1176" t="str">
            <v>Mazumdar Shaw Medical Centre, Bangalore</v>
          </cell>
          <cell r="Y1176" t="str">
            <v>Mazumdar Shaw Medical Centre, Bangalore</v>
          </cell>
          <cell r="Z1176" t="str">
            <v>Dr Vijay Pillai, Bangalore</v>
          </cell>
          <cell r="AA1176" t="str">
            <v>HNSCC</v>
          </cell>
          <cell r="AC1176" t="str">
            <v>Tongue</v>
          </cell>
          <cell r="AD1176" t="str">
            <v>Left Lateral Tongue</v>
          </cell>
          <cell r="AE1176" t="str">
            <v>Female</v>
          </cell>
          <cell r="AF1176">
            <v>77</v>
          </cell>
          <cell r="AG1176" t="str">
            <v>N</v>
          </cell>
          <cell r="AH1176">
            <v>4.8</v>
          </cell>
          <cell r="AI1176" t="str">
            <v>Kalappa</v>
          </cell>
          <cell r="AJ1176" t="str">
            <v>Surgery</v>
          </cell>
          <cell r="AK1176" t="str">
            <v>Primary</v>
          </cell>
          <cell r="AL1176" t="str">
            <v>Surgery</v>
          </cell>
          <cell r="AN1176" t="str">
            <v>I</v>
          </cell>
          <cell r="AO1176">
            <v>2</v>
          </cell>
          <cell r="AP1176" t="str">
            <v>pT1pN0</v>
          </cell>
          <cell r="AS1176" t="str">
            <v>MDSCC(Moderately Differentiated Squamous cell carcinoma)</v>
          </cell>
          <cell r="AV1176">
            <v>45566</v>
          </cell>
          <cell r="AW1176">
            <v>0.67708333333333337</v>
          </cell>
          <cell r="AX1176">
            <v>0.77777777777777779</v>
          </cell>
          <cell r="AY1176">
            <v>0.10069444444444445</v>
          </cell>
          <cell r="AZ1176">
            <v>0.59930555555555554</v>
          </cell>
          <cell r="BA1176">
            <v>0.29166666666666669</v>
          </cell>
          <cell r="BB1176" t="str">
            <v>0.2-0.4*0.5*0.6</v>
          </cell>
          <cell r="BD1176" t="str">
            <v>Vibratome</v>
          </cell>
          <cell r="BE1176">
            <v>14</v>
          </cell>
          <cell r="BF1176" t="str">
            <v>Abdul</v>
          </cell>
          <cell r="BG1176" t="str">
            <v>N</v>
          </cell>
        </row>
        <row r="1177">
          <cell r="A1177" t="str">
            <v>FBR1Y240288</v>
          </cell>
          <cell r="B1177">
            <v>240288</v>
          </cell>
          <cell r="C1177" t="str">
            <v>R&amp;D</v>
          </cell>
          <cell r="D1177">
            <v>45566</v>
          </cell>
          <cell r="E1177">
            <v>0.52430555555555558</v>
          </cell>
          <cell r="F1177">
            <v>45566</v>
          </cell>
          <cell r="G1177">
            <v>45566</v>
          </cell>
          <cell r="H1177">
            <v>0.6645833333333333</v>
          </cell>
          <cell r="I1177">
            <v>0.14027777777777778</v>
          </cell>
          <cell r="J1177">
            <v>15</v>
          </cell>
          <cell r="K1177" t="str">
            <v>FCB-PROTOCOL-02</v>
          </cell>
          <cell r="L1177" t="str">
            <v>HN178</v>
          </cell>
          <cell r="M1177" t="str">
            <v>Y</v>
          </cell>
          <cell r="N1177" t="str">
            <v>CCS Study (1Y)</v>
          </cell>
          <cell r="O1177" t="str">
            <v>Internal R&amp;D</v>
          </cell>
          <cell r="P1177" t="str">
            <v>Q1 Passed</v>
          </cell>
          <cell r="Q1177" t="str">
            <v>Not Received</v>
          </cell>
          <cell r="R1177" t="str">
            <v>Compromised</v>
          </cell>
          <cell r="S1177" t="str">
            <v>Q1.5 Passed</v>
          </cell>
          <cell r="T1177" t="str">
            <v>Difficult to collect</v>
          </cell>
          <cell r="V1177" t="str">
            <v>Tumor content 55-80%</v>
          </cell>
          <cell r="W1177" t="str">
            <v>Private Hospital</v>
          </cell>
          <cell r="X1177" t="str">
            <v>Mazumdar Shaw Medical Centre, Bangalore</v>
          </cell>
          <cell r="Y1177" t="str">
            <v>Mazumdar Shaw Medical Centre, Bangalore</v>
          </cell>
          <cell r="Z1177" t="str">
            <v>Dr Vijay Pillai, Bangalore</v>
          </cell>
          <cell r="AA1177" t="str">
            <v>HNSCC</v>
          </cell>
          <cell r="AC1177" t="str">
            <v>Buccal Mucosa</v>
          </cell>
          <cell r="AD1177" t="str">
            <v>Left Buccal Mucosa</v>
          </cell>
          <cell r="AE1177" t="str">
            <v>Male</v>
          </cell>
          <cell r="AF1177">
            <v>61</v>
          </cell>
          <cell r="AG1177" t="str">
            <v>N</v>
          </cell>
          <cell r="AH1177">
            <v>4.8</v>
          </cell>
          <cell r="AI1177" t="str">
            <v>Kalappa</v>
          </cell>
          <cell r="AJ1177" t="str">
            <v>Surgery</v>
          </cell>
          <cell r="AK1177" t="str">
            <v>Primary</v>
          </cell>
          <cell r="AN1177" t="str">
            <v>IV</v>
          </cell>
          <cell r="AO1177">
            <v>2</v>
          </cell>
          <cell r="AP1177" t="str">
            <v>pT4apN0</v>
          </cell>
          <cell r="AS1177" t="str">
            <v>MDSCC(Moderately Differentiated Squamous cell carcinoma)</v>
          </cell>
          <cell r="AV1177">
            <v>45566</v>
          </cell>
          <cell r="AW1177">
            <v>0.67847222222222225</v>
          </cell>
          <cell r="AX1177">
            <v>0.75</v>
          </cell>
          <cell r="AY1177">
            <v>7.1527777777777773E-2</v>
          </cell>
          <cell r="AZ1177">
            <v>0.60972222222222228</v>
          </cell>
          <cell r="BA1177">
            <v>0.22569444444444445</v>
          </cell>
          <cell r="BB1177" t="str">
            <v>0.2-0.3*0.6-1.0*0.8</v>
          </cell>
          <cell r="BD1177" t="str">
            <v>Vibratome</v>
          </cell>
          <cell r="BE1177">
            <v>14</v>
          </cell>
          <cell r="BF1177" t="str">
            <v xml:space="preserve">sai </v>
          </cell>
          <cell r="BG1177" t="str">
            <v>N</v>
          </cell>
        </row>
        <row r="1178">
          <cell r="A1178" t="str">
            <v>FBR1Y240289</v>
          </cell>
          <cell r="B1178">
            <v>240289</v>
          </cell>
          <cell r="C1178" t="str">
            <v>R&amp;D</v>
          </cell>
          <cell r="D1178">
            <v>45568</v>
          </cell>
          <cell r="E1178">
            <v>0.49305555555555558</v>
          </cell>
          <cell r="F1178">
            <v>45566</v>
          </cell>
          <cell r="G1178">
            <v>45568</v>
          </cell>
          <cell r="H1178">
            <v>0.56111111111111112</v>
          </cell>
          <cell r="I1178">
            <v>6.805555555555555E-2</v>
          </cell>
          <cell r="J1178">
            <v>3</v>
          </cell>
          <cell r="K1178" t="str">
            <v>FCB-PROTOCOL-01</v>
          </cell>
          <cell r="L1178" t="str">
            <v>VYD/315</v>
          </cell>
          <cell r="M1178" t="str">
            <v>Y</v>
          </cell>
          <cell r="N1178" t="str">
            <v>CCS Study (1Y)</v>
          </cell>
          <cell r="O1178" t="str">
            <v>Internal R&amp;D</v>
          </cell>
          <cell r="P1178" t="str">
            <v>Q1 Passed</v>
          </cell>
          <cell r="Q1178" t="str">
            <v>Q1 Passed</v>
          </cell>
          <cell r="R1178" t="str">
            <v>Q1.5 Passed</v>
          </cell>
          <cell r="S1178" t="str">
            <v>Q1.5 Passed</v>
          </cell>
          <cell r="V1178" t="str">
            <v>Tumor content 0-75%. Average tumor content 25%</v>
          </cell>
          <cell r="W1178" t="str">
            <v>Private Hospital</v>
          </cell>
          <cell r="X1178" t="str">
            <v>Vydehi Hospital, Bangalore</v>
          </cell>
          <cell r="Y1178" t="str">
            <v>Vydehi Hospital, Bangalore</v>
          </cell>
          <cell r="Z1178" t="str">
            <v>Dr Amritha Prabha, Bangalore</v>
          </cell>
          <cell r="AA1178" t="str">
            <v>HNSCC</v>
          </cell>
          <cell r="AC1178" t="str">
            <v>Larynx</v>
          </cell>
          <cell r="AD1178" t="str">
            <v>Larynx</v>
          </cell>
          <cell r="AE1178" t="str">
            <v>Male</v>
          </cell>
          <cell r="AF1178">
            <v>54</v>
          </cell>
          <cell r="AG1178" t="str">
            <v>N</v>
          </cell>
          <cell r="AH1178">
            <v>5.3</v>
          </cell>
          <cell r="AI1178" t="str">
            <v>Kalappa</v>
          </cell>
          <cell r="AJ1178" t="str">
            <v>Surgery</v>
          </cell>
          <cell r="AK1178" t="str">
            <v>Primary</v>
          </cell>
          <cell r="AN1178" t="str">
            <v>IVa</v>
          </cell>
          <cell r="AO1178">
            <v>2</v>
          </cell>
          <cell r="AP1178" t="str">
            <v>T4aN0</v>
          </cell>
          <cell r="AS1178" t="str">
            <v>scc</v>
          </cell>
          <cell r="AV1178">
            <v>45568</v>
          </cell>
          <cell r="AW1178">
            <v>0.57499999999999996</v>
          </cell>
          <cell r="AX1178">
            <v>0.63888888888888884</v>
          </cell>
          <cell r="AY1178">
            <v>6.3888888888888884E-2</v>
          </cell>
          <cell r="AZ1178">
            <v>0.5708333333333333</v>
          </cell>
          <cell r="BA1178">
            <v>0.14583333333333334</v>
          </cell>
          <cell r="BB1178" t="str">
            <v>0.6*0.4-0.7*1.2-1.4</v>
          </cell>
          <cell r="BD1178" t="str">
            <v>Vibratome</v>
          </cell>
          <cell r="BE1178">
            <v>14</v>
          </cell>
          <cell r="BF1178" t="str">
            <v>chandan</v>
          </cell>
          <cell r="BG1178" t="str">
            <v>Y</v>
          </cell>
        </row>
        <row r="1179">
          <cell r="A1179" t="str">
            <v>FBR2N240289</v>
          </cell>
          <cell r="B1179">
            <v>240289</v>
          </cell>
          <cell r="C1179" t="str">
            <v>R&amp;D</v>
          </cell>
          <cell r="D1179">
            <v>45568</v>
          </cell>
          <cell r="E1179">
            <v>0.49305555555555558</v>
          </cell>
          <cell r="F1179">
            <v>45566</v>
          </cell>
          <cell r="G1179">
            <v>45568</v>
          </cell>
          <cell r="H1179">
            <v>0.56111111111111112</v>
          </cell>
          <cell r="I1179">
            <v>6.805555555555555E-2</v>
          </cell>
          <cell r="J1179">
            <v>3</v>
          </cell>
          <cell r="K1179" t="str">
            <v>FCB-PROTOCOL-01</v>
          </cell>
          <cell r="L1179" t="str">
            <v>VYD/315</v>
          </cell>
          <cell r="M1179" t="str">
            <v>Y</v>
          </cell>
          <cell r="N1179" t="str">
            <v>FBT (2N)</v>
          </cell>
          <cell r="O1179" t="str">
            <v>Internal R&amp;D</v>
          </cell>
          <cell r="P1179" t="str">
            <v>Q1 Passed</v>
          </cell>
          <cell r="Q1179" t="str">
            <v>Q1 Passed</v>
          </cell>
          <cell r="R1179" t="str">
            <v>Q1.5 Passed</v>
          </cell>
          <cell r="S1179" t="str">
            <v>Q1.5 Passed</v>
          </cell>
          <cell r="V1179" t="str">
            <v>Tumor content 55-90%</v>
          </cell>
          <cell r="W1179" t="str">
            <v>Private Hospital</v>
          </cell>
          <cell r="X1179" t="str">
            <v>Vydehi Hospital, Bangalore</v>
          </cell>
          <cell r="Y1179" t="str">
            <v>Vydehi Hospital, Bangalore</v>
          </cell>
          <cell r="Z1179" t="str">
            <v>Dr Amritha Prabha, Bangalore</v>
          </cell>
          <cell r="AA1179" t="str">
            <v>HNSCC</v>
          </cell>
          <cell r="AC1179" t="str">
            <v>Larynx</v>
          </cell>
          <cell r="AD1179" t="str">
            <v>Larynx</v>
          </cell>
          <cell r="AE1179" t="str">
            <v>Male</v>
          </cell>
          <cell r="AF1179">
            <v>54</v>
          </cell>
          <cell r="AG1179" t="str">
            <v>N</v>
          </cell>
          <cell r="AH1179">
            <v>5.3</v>
          </cell>
          <cell r="AI1179" t="str">
            <v>Kalappa</v>
          </cell>
          <cell r="AJ1179" t="str">
            <v>Surgery</v>
          </cell>
          <cell r="AK1179" t="str">
            <v>Primary</v>
          </cell>
          <cell r="AN1179" t="str">
            <v>IVa</v>
          </cell>
          <cell r="AO1179">
            <v>2</v>
          </cell>
          <cell r="AP1179" t="str">
            <v>T4aN0</v>
          </cell>
          <cell r="AS1179" t="str">
            <v>scc</v>
          </cell>
          <cell r="AV1179">
            <v>45568</v>
          </cell>
          <cell r="AW1179">
            <v>0.95833333333333337</v>
          </cell>
          <cell r="AX1179">
            <v>1.0048611111111112</v>
          </cell>
          <cell r="AY1179">
            <v>4.6527777777777779E-2</v>
          </cell>
          <cell r="AZ1179">
            <v>0.93680555555555556</v>
          </cell>
          <cell r="BA1179">
            <v>0.51180555555555551</v>
          </cell>
          <cell r="BB1179" t="str">
            <v>0.4*0.4-0.8*1.2</v>
          </cell>
          <cell r="BD1179" t="str">
            <v>Vibratome</v>
          </cell>
          <cell r="BE1179">
            <v>14</v>
          </cell>
          <cell r="BF1179" t="str">
            <v>kuberan</v>
          </cell>
          <cell r="BG1179" t="str">
            <v>Y</v>
          </cell>
        </row>
        <row r="1180">
          <cell r="A1180" t="str">
            <v>FBR1Y240290</v>
          </cell>
          <cell r="B1180">
            <v>240290</v>
          </cell>
          <cell r="C1180" t="str">
            <v>R&amp;D</v>
          </cell>
          <cell r="D1180">
            <v>45568</v>
          </cell>
          <cell r="E1180">
            <v>0.40625</v>
          </cell>
          <cell r="F1180">
            <v>45566</v>
          </cell>
          <cell r="G1180">
            <v>45568</v>
          </cell>
          <cell r="H1180">
            <v>0.58125000000000004</v>
          </cell>
          <cell r="I1180">
            <v>0.17499999999999999</v>
          </cell>
          <cell r="J1180">
            <v>12</v>
          </cell>
          <cell r="K1180" t="str">
            <v>FCB-PROTOCOL-02</v>
          </cell>
          <cell r="L1180" t="str">
            <v>HN179</v>
          </cell>
          <cell r="M1180" t="str">
            <v>Y</v>
          </cell>
          <cell r="N1180" t="str">
            <v>CCS Study (1Y)</v>
          </cell>
          <cell r="O1180" t="str">
            <v>Internal R&amp;D</v>
          </cell>
          <cell r="P1180" t="str">
            <v>Q1 Passed</v>
          </cell>
          <cell r="Q1180" t="str">
            <v>Q1 Rejected</v>
          </cell>
          <cell r="R1180" t="str">
            <v>Q1.5 Passed</v>
          </cell>
          <cell r="S1180" t="str">
            <v>Q1.5 Passed</v>
          </cell>
          <cell r="T1180" t="str">
            <v>Blood Heamolysed</v>
          </cell>
          <cell r="V1180" t="str">
            <v>Tumor content 70-96%</v>
          </cell>
          <cell r="W1180" t="str">
            <v>Private Hospital</v>
          </cell>
          <cell r="X1180" t="str">
            <v>Mazumdar Shaw Medical Centre, Bangalore</v>
          </cell>
          <cell r="Y1180" t="str">
            <v>Mazumdar Shaw Medical Centre, Bangalore</v>
          </cell>
          <cell r="Z1180" t="str">
            <v>Dr Vijay Pillai, Bangalore</v>
          </cell>
          <cell r="AA1180" t="str">
            <v>HNSCC</v>
          </cell>
          <cell r="AC1180" t="str">
            <v>GBS</v>
          </cell>
          <cell r="AD1180" t="str">
            <v>Left Lower GBS</v>
          </cell>
          <cell r="AE1180" t="str">
            <v>Female</v>
          </cell>
          <cell r="AF1180">
            <v>57</v>
          </cell>
          <cell r="AG1180" t="str">
            <v>N</v>
          </cell>
          <cell r="AH1180">
            <v>4.5999999999999996</v>
          </cell>
          <cell r="AI1180" t="str">
            <v>Maruthi</v>
          </cell>
          <cell r="AJ1180" t="str">
            <v>Surgery</v>
          </cell>
          <cell r="AK1180" t="str">
            <v>Primary</v>
          </cell>
          <cell r="AN1180" t="str">
            <v>IV</v>
          </cell>
          <cell r="AO1180">
            <v>1</v>
          </cell>
          <cell r="AP1180" t="str">
            <v>pT4apN0</v>
          </cell>
          <cell r="AS1180" t="str">
            <v>Well differentiated squamous cell carcinoma</v>
          </cell>
          <cell r="AV1180">
            <v>45568</v>
          </cell>
          <cell r="AW1180">
            <v>0.59791666666666665</v>
          </cell>
          <cell r="AX1180">
            <v>0.66111111111111109</v>
          </cell>
          <cell r="AY1180">
            <v>6.3194444444444442E-2</v>
          </cell>
          <cell r="AZ1180">
            <v>0.4861111111111111</v>
          </cell>
          <cell r="BA1180">
            <v>0.25486111111111109</v>
          </cell>
          <cell r="BB1180" t="str">
            <v>0.2-0.4*0.6-0.8*1.5</v>
          </cell>
          <cell r="BD1180" t="str">
            <v>Vibratome</v>
          </cell>
          <cell r="BE1180">
            <v>14</v>
          </cell>
          <cell r="BF1180" t="str">
            <v>Abdul</v>
          </cell>
          <cell r="BG1180" t="str">
            <v>N</v>
          </cell>
        </row>
        <row r="1181">
          <cell r="A1181" t="str">
            <v>FBR1Q240291</v>
          </cell>
          <cell r="B1181">
            <v>240291</v>
          </cell>
          <cell r="C1181" t="str">
            <v>R&amp;D</v>
          </cell>
          <cell r="D1181">
            <v>45570</v>
          </cell>
          <cell r="E1181">
            <v>0.51875000000000004</v>
          </cell>
          <cell r="F1181">
            <v>45566</v>
          </cell>
          <cell r="G1181">
            <v>45570</v>
          </cell>
          <cell r="H1181">
            <v>0.57222222222222219</v>
          </cell>
          <cell r="I1181">
            <v>5.347222222222222E-2</v>
          </cell>
          <cell r="J1181">
            <v>0</v>
          </cell>
          <cell r="K1181" t="str">
            <v>FCB-PROTOCOL-01</v>
          </cell>
          <cell r="L1181" t="str">
            <v>VYD/316</v>
          </cell>
          <cell r="M1181" t="str">
            <v>Y</v>
          </cell>
          <cell r="N1181" t="str">
            <v>COSv4.2_CaBR(1Q-Unknown)</v>
          </cell>
          <cell r="O1181" t="str">
            <v>Internal R&amp;D</v>
          </cell>
          <cell r="P1181" t="str">
            <v>Q1 Passed</v>
          </cell>
          <cell r="Q1181" t="str">
            <v>Q1 Passed</v>
          </cell>
          <cell r="R1181" t="str">
            <v>Q1.5 Passed</v>
          </cell>
          <cell r="S1181" t="str">
            <v>Q1.5 Passed</v>
          </cell>
          <cell r="V1181" t="str">
            <v>Tumor content 4-60% </v>
          </cell>
          <cell r="W1181" t="str">
            <v>Private Hospital</v>
          </cell>
          <cell r="X1181" t="str">
            <v>Vydehi Hospital, Bangalore</v>
          </cell>
          <cell r="Y1181" t="str">
            <v>Vydehi Hospital, Bangalore</v>
          </cell>
          <cell r="Z1181" t="str">
            <v>Dr Amritha Prabha, Bangalore</v>
          </cell>
          <cell r="AA1181" t="str">
            <v>Ca Breast</v>
          </cell>
          <cell r="AC1181" t="str">
            <v>Breast</v>
          </cell>
          <cell r="AD1181" t="str">
            <v>Left Breast</v>
          </cell>
          <cell r="AE1181" t="str">
            <v>Female</v>
          </cell>
          <cell r="AF1181">
            <v>41</v>
          </cell>
          <cell r="AG1181" t="str">
            <v>N</v>
          </cell>
          <cell r="AH1181">
            <v>5.2</v>
          </cell>
          <cell r="AI1181" t="str">
            <v>Kalappa</v>
          </cell>
          <cell r="AJ1181" t="str">
            <v>Surgery</v>
          </cell>
          <cell r="AK1181" t="str">
            <v>Primary</v>
          </cell>
          <cell r="AN1181" t="str">
            <v>IIa</v>
          </cell>
          <cell r="AO1181">
            <v>2</v>
          </cell>
          <cell r="AP1181" t="str">
            <v>T2N0</v>
          </cell>
          <cell r="AS1181" t="str">
            <v>idc</v>
          </cell>
          <cell r="AV1181">
            <v>45570</v>
          </cell>
          <cell r="AW1181">
            <v>0.58472222222222225</v>
          </cell>
          <cell r="AX1181">
            <v>0.64513888888888893</v>
          </cell>
          <cell r="AY1181">
            <v>6.0416666666666667E-2</v>
          </cell>
          <cell r="AZ1181">
            <v>0.59166666666666667</v>
          </cell>
          <cell r="BA1181">
            <v>0.12638888888888888</v>
          </cell>
          <cell r="BB1181" t="str">
            <v>0.8-1.0*0.8-0.9*1.0-1.1</v>
          </cell>
          <cell r="BD1181" t="str">
            <v>Manual</v>
          </cell>
          <cell r="BE1181">
            <v>14</v>
          </cell>
          <cell r="BF1181" t="str">
            <v>kuberan</v>
          </cell>
          <cell r="BG1181" t="str">
            <v>Y</v>
          </cell>
        </row>
        <row r="1182">
          <cell r="A1182" t="str">
            <v>FBR1Q240292</v>
          </cell>
          <cell r="B1182">
            <v>240292</v>
          </cell>
          <cell r="C1182" t="str">
            <v>R&amp;D</v>
          </cell>
          <cell r="D1182">
            <v>45574</v>
          </cell>
          <cell r="E1182">
            <v>0.53472222222222221</v>
          </cell>
          <cell r="F1182">
            <v>45566</v>
          </cell>
          <cell r="G1182">
            <v>45574</v>
          </cell>
          <cell r="H1182">
            <v>0.92708333333333337</v>
          </cell>
          <cell r="I1182">
            <v>0.3923611111111111</v>
          </cell>
          <cell r="J1182">
            <v>15</v>
          </cell>
          <cell r="K1182" t="str">
            <v>FCB-PROTOCOL-01</v>
          </cell>
          <cell r="L1182" t="str">
            <v>CLN/DBR/210</v>
          </cell>
          <cell r="M1182" t="str">
            <v>Y</v>
          </cell>
          <cell r="N1182" t="str">
            <v>COSv4.2_CaBR(1Q-Unknown)</v>
          </cell>
          <cell r="O1182" t="str">
            <v>Internal R&amp;D</v>
          </cell>
          <cell r="P1182" t="str">
            <v>Q1 Passed</v>
          </cell>
          <cell r="Q1182" t="str">
            <v>Q1 Passed</v>
          </cell>
          <cell r="R1182" t="str">
            <v>Q1.5 Passed</v>
          </cell>
          <cell r="S1182" t="str">
            <v>Q1.5 Passed</v>
          </cell>
          <cell r="V1182" t="str">
            <v>Tumor content 0-60%. Average tumor content 15%</v>
          </cell>
          <cell r="W1182" t="str">
            <v>Private Hospital</v>
          </cell>
          <cell r="X1182" t="str">
            <v>Clinic'les- DBR &amp; SK Hospital, Tirupati</v>
          </cell>
          <cell r="Y1182" t="str">
            <v>DBR &amp; SK Hospital, Tirupati</v>
          </cell>
          <cell r="Z1182" t="str">
            <v>Dr C Jayaprakash, Tirupati</v>
          </cell>
          <cell r="AA1182" t="str">
            <v>Ca Breast</v>
          </cell>
          <cell r="AB1182" t="str">
            <v>TNBC</v>
          </cell>
          <cell r="AC1182" t="str">
            <v>Breast</v>
          </cell>
          <cell r="AD1182" t="str">
            <v>Right Breast</v>
          </cell>
          <cell r="AE1182" t="str">
            <v>Female</v>
          </cell>
          <cell r="AF1182">
            <v>44</v>
          </cell>
          <cell r="AG1182" t="str">
            <v>N</v>
          </cell>
          <cell r="AH1182">
            <v>4.9000000000000004</v>
          </cell>
          <cell r="AI1182" t="str">
            <v>Shashi</v>
          </cell>
          <cell r="AJ1182" t="str">
            <v>Surgery</v>
          </cell>
          <cell r="AK1182" t="str">
            <v>Primary</v>
          </cell>
          <cell r="AN1182" t="str">
            <v>IIIC</v>
          </cell>
          <cell r="AO1182">
            <v>3</v>
          </cell>
          <cell r="AP1182" t="str">
            <v>T3 N3 MX</v>
          </cell>
          <cell r="AV1182">
            <v>45575</v>
          </cell>
          <cell r="AW1182">
            <v>0.27152777777777776</v>
          </cell>
          <cell r="AX1182">
            <v>0.34513888888888888</v>
          </cell>
          <cell r="AY1182">
            <v>7.3611111111111113E-2</v>
          </cell>
          <cell r="AZ118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18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182" t="str">
            <v>0.4-1.0*0.6-2.0*1.4-2.7</v>
          </cell>
          <cell r="BD1182" t="str">
            <v>Manual</v>
          </cell>
          <cell r="BE1182">
            <v>15</v>
          </cell>
          <cell r="BF1182" t="str">
            <v>Mouniss</v>
          </cell>
          <cell r="BG1182" t="str">
            <v>Y</v>
          </cell>
        </row>
        <row r="1183">
          <cell r="A1183">
            <v>240293</v>
          </cell>
          <cell r="B1183">
            <v>240293</v>
          </cell>
          <cell r="C1183" t="str">
            <v>R&amp;D</v>
          </cell>
          <cell r="D1183">
            <v>45575</v>
          </cell>
          <cell r="E1183">
            <v>0.52083333333333337</v>
          </cell>
          <cell r="F1183">
            <v>45566</v>
          </cell>
          <cell r="G1183">
            <v>45575</v>
          </cell>
          <cell r="H1183">
            <v>0.62291666666666667</v>
          </cell>
          <cell r="I1183">
            <v>0.10208333333333333</v>
          </cell>
          <cell r="J1183">
            <v>24</v>
          </cell>
          <cell r="K1183" t="str">
            <v>FCB-PROTOCOL-02</v>
          </cell>
          <cell r="L1183" t="str">
            <v>HN180</v>
          </cell>
          <cell r="M1183" t="str">
            <v>Y</v>
          </cell>
          <cell r="N1183" t="str">
            <v>No Study</v>
          </cell>
          <cell r="O1183" t="str">
            <v>1st level attrition</v>
          </cell>
          <cell r="P1183" t="str">
            <v>Q1 Passed</v>
          </cell>
          <cell r="Q1183" t="str">
            <v>Q1 Passed</v>
          </cell>
          <cell r="R1183" t="str">
            <v>Q1.5 Passed</v>
          </cell>
          <cell r="S1183" t="str">
            <v>Q1.5 Rejected</v>
          </cell>
          <cell r="V1183" t="str">
            <v>No Tumor. Necrosed tissue</v>
          </cell>
          <cell r="W1183" t="str">
            <v>Private Hospital</v>
          </cell>
          <cell r="X1183" t="str">
            <v>Mazumdar Shaw Medical Centre, Bangalore</v>
          </cell>
          <cell r="Y1183" t="str">
            <v>Mazumdar Shaw Medical Centre, Bangalore</v>
          </cell>
          <cell r="Z1183" t="str">
            <v>Dr Vijay Pillai, Bangalore</v>
          </cell>
          <cell r="AA1183" t="str">
            <v>HNSCC</v>
          </cell>
          <cell r="AC1183" t="str">
            <v>Tongue</v>
          </cell>
          <cell r="AD1183" t="str">
            <v>Tongue</v>
          </cell>
          <cell r="AE1183" t="str">
            <v>Male</v>
          </cell>
          <cell r="AF1183">
            <v>54</v>
          </cell>
          <cell r="AG1183" t="str">
            <v>N</v>
          </cell>
          <cell r="AH1183">
            <v>4.5999999999999996</v>
          </cell>
          <cell r="AI1183" t="str">
            <v>Kalappa</v>
          </cell>
          <cell r="AJ1183" t="str">
            <v>Surgery</v>
          </cell>
          <cell r="AK1183" t="str">
            <v>Primary</v>
          </cell>
          <cell r="AL1183" t="str">
            <v>Chemotherapy</v>
          </cell>
          <cell r="AR1183" t="str">
            <v>#3-NACT(29-04-2024), 
#8- Methotraxate  (20-08-2024)</v>
          </cell>
          <cell r="AV1183">
            <v>45575</v>
          </cell>
        </row>
        <row r="1184">
          <cell r="A1184" t="str">
            <v>FBR1K240294</v>
          </cell>
          <cell r="B1184">
            <v>240294</v>
          </cell>
          <cell r="C1184" t="str">
            <v>R&amp;D</v>
          </cell>
          <cell r="D1184">
            <v>45579</v>
          </cell>
          <cell r="E1184">
            <v>0.47430555555555554</v>
          </cell>
          <cell r="F1184">
            <v>45566</v>
          </cell>
          <cell r="G1184">
            <v>45579</v>
          </cell>
          <cell r="H1184">
            <v>0.57291666666666663</v>
          </cell>
          <cell r="I1184">
            <v>9.8611111111111108E-2</v>
          </cell>
          <cell r="J1184">
            <v>0</v>
          </cell>
          <cell r="K1184" t="str">
            <v>FCB-PROTOCOL-02</v>
          </cell>
          <cell r="L1184" t="str">
            <v>HN181</v>
          </cell>
          <cell r="M1184" t="str">
            <v>Y</v>
          </cell>
          <cell r="N1184" t="str">
            <v>DMS_v4(1K)</v>
          </cell>
          <cell r="O1184" t="str">
            <v>Internal R&amp;D</v>
          </cell>
          <cell r="P1184" t="str">
            <v>Q1 Passed</v>
          </cell>
          <cell r="Q1184" t="str">
            <v>Not Received</v>
          </cell>
          <cell r="R1184" t="str">
            <v>Compromised</v>
          </cell>
          <cell r="S1184" t="str">
            <v>Q1.5 Passed</v>
          </cell>
          <cell r="T1184" t="str">
            <v>Difficult to collect</v>
          </cell>
          <cell r="V1184" t="str">
            <v>Tumor content 15-60%</v>
          </cell>
          <cell r="W1184" t="str">
            <v>Private Hospital</v>
          </cell>
          <cell r="X1184" t="str">
            <v>Mazumdar Shaw Medical Centre, Bangalore</v>
          </cell>
          <cell r="Y1184" t="str">
            <v>Mazumdar Shaw Medical Centre, Bangalore</v>
          </cell>
          <cell r="Z1184" t="str">
            <v>Dr Vijay Pillai, Bangalore</v>
          </cell>
          <cell r="AA1184" t="str">
            <v>HNSCC</v>
          </cell>
          <cell r="AC1184" t="str">
            <v>Buccal Mucosa</v>
          </cell>
          <cell r="AD1184" t="str">
            <v>Left Buccal Mucosa</v>
          </cell>
          <cell r="AE1184" t="str">
            <v>Female</v>
          </cell>
          <cell r="AF1184">
            <v>63</v>
          </cell>
          <cell r="AG1184" t="str">
            <v>N</v>
          </cell>
          <cell r="AH1184">
            <v>4.2</v>
          </cell>
          <cell r="AI1184" t="str">
            <v>Kalappa</v>
          </cell>
          <cell r="AJ1184" t="str">
            <v>Surgery</v>
          </cell>
          <cell r="AK1184" t="str">
            <v>Primary</v>
          </cell>
          <cell r="AN1184">
            <v>4</v>
          </cell>
          <cell r="AO1184">
            <v>2</v>
          </cell>
          <cell r="AP1184" t="str">
            <v>pT4pbNO</v>
          </cell>
          <cell r="AS1184" t="str">
            <v>MDSCC(Moderately Differentiated Squamous cell carcinoma)</v>
          </cell>
          <cell r="AV1184">
            <v>45579</v>
          </cell>
          <cell r="AW1184">
            <v>0.58680555555555558</v>
          </cell>
          <cell r="AX1184">
            <v>0.68055555555555558</v>
          </cell>
          <cell r="AY1184">
            <v>9.375E-2</v>
          </cell>
          <cell r="AZ1184">
            <v>0.58194444444444449</v>
          </cell>
          <cell r="BA1184">
            <v>0.20624999999999999</v>
          </cell>
          <cell r="BB1184" t="str">
            <v>0.4-0.6*-.6-1.0*1.5</v>
          </cell>
          <cell r="BD1184" t="str">
            <v>Vibratome</v>
          </cell>
          <cell r="BE1184">
            <v>15</v>
          </cell>
          <cell r="BF1184" t="str">
            <v>Syam</v>
          </cell>
          <cell r="BG1184" t="str">
            <v>Y</v>
          </cell>
        </row>
        <row r="1185">
          <cell r="A1185" t="str">
            <v>FBR1K240295</v>
          </cell>
          <cell r="B1185">
            <v>240295</v>
          </cell>
          <cell r="C1185" t="str">
            <v>R&amp;D</v>
          </cell>
          <cell r="D1185">
            <v>45580</v>
          </cell>
          <cell r="E1185">
            <v>0.48819444444444443</v>
          </cell>
          <cell r="F1185">
            <v>45566</v>
          </cell>
          <cell r="G1185">
            <v>45580</v>
          </cell>
          <cell r="H1185">
            <v>0.58125000000000004</v>
          </cell>
          <cell r="I1185">
            <v>9.3055555555555558E-2</v>
          </cell>
          <cell r="J1185">
            <v>11</v>
          </cell>
          <cell r="K1185" t="str">
            <v>FCB-PROTOCOL-02</v>
          </cell>
          <cell r="L1185" t="str">
            <v>HN182</v>
          </cell>
          <cell r="M1185" t="str">
            <v>Y</v>
          </cell>
          <cell r="N1185" t="str">
            <v>DMS_v4(1K)</v>
          </cell>
          <cell r="O1185" t="str">
            <v>Internal R&amp;D</v>
          </cell>
          <cell r="P1185" t="str">
            <v>Q1 Passed</v>
          </cell>
          <cell r="Q1185" t="str">
            <v>Q1 Passed</v>
          </cell>
          <cell r="R1185" t="str">
            <v>Q1.5 Passed</v>
          </cell>
          <cell r="S1185" t="str">
            <v>Q1.5 Passed</v>
          </cell>
          <cell r="V1185" t="str">
            <v>Tumor content 35-60%</v>
          </cell>
          <cell r="W1185" t="str">
            <v>Private Hospital</v>
          </cell>
          <cell r="X1185" t="str">
            <v>Mazumdar Shaw Medical Centre, Bangalore</v>
          </cell>
          <cell r="Y1185" t="str">
            <v>Mazumdar Shaw Medical Centre, Bangalore</v>
          </cell>
          <cell r="Z1185" t="str">
            <v>Dr Vijay Pillai, Bangalore</v>
          </cell>
          <cell r="AA1185" t="str">
            <v>HNSCC</v>
          </cell>
          <cell r="AC1185" t="str">
            <v>Alveolus</v>
          </cell>
          <cell r="AD1185" t="str">
            <v>Left Lower Alveolus</v>
          </cell>
          <cell r="AE1185" t="str">
            <v>Male</v>
          </cell>
          <cell r="AF1185">
            <v>52</v>
          </cell>
          <cell r="AG1185" t="str">
            <v>N</v>
          </cell>
          <cell r="AH1185">
            <v>4.8</v>
          </cell>
          <cell r="AI1185" t="str">
            <v>Kalappa</v>
          </cell>
          <cell r="AJ1185" t="str">
            <v>Surgery</v>
          </cell>
          <cell r="AK1185" t="str">
            <v>Primary</v>
          </cell>
          <cell r="AN1185">
            <v>4</v>
          </cell>
          <cell r="AO1185">
            <v>2</v>
          </cell>
          <cell r="AP1185" t="str">
            <v>pT4bN3b</v>
          </cell>
          <cell r="AS1185" t="str">
            <v>MDSCC(Moderately Differentiated Squamous cell carcinoma)</v>
          </cell>
          <cell r="AV1185">
            <v>45580</v>
          </cell>
          <cell r="AW1185">
            <v>0.61875000000000002</v>
          </cell>
          <cell r="AX1185">
            <v>0.70902777777777781</v>
          </cell>
          <cell r="AY1185">
            <v>9.0277777777777776E-2</v>
          </cell>
          <cell r="AZ1185">
            <v>0.61597222222222225</v>
          </cell>
          <cell r="BA1185">
            <v>0.22083333333333333</v>
          </cell>
          <cell r="BB1185" t="str">
            <v>0.3-0.4*1.9*2.0</v>
          </cell>
          <cell r="BD1185" t="str">
            <v>Vibratome</v>
          </cell>
          <cell r="BE1185">
            <v>15</v>
          </cell>
          <cell r="BF1185" t="str">
            <v>kuberan</v>
          </cell>
          <cell r="BG1185" t="str">
            <v>Y</v>
          </cell>
        </row>
        <row r="1186">
          <cell r="A1186" t="str">
            <v>FBR1Y240296</v>
          </cell>
          <cell r="B1186">
            <v>240296</v>
          </cell>
          <cell r="C1186" t="str">
            <v>R&amp;D</v>
          </cell>
          <cell r="D1186">
            <v>45581</v>
          </cell>
          <cell r="E1186">
            <v>0.59722222222222221</v>
          </cell>
          <cell r="F1186">
            <v>45566</v>
          </cell>
          <cell r="G1186">
            <v>45581</v>
          </cell>
          <cell r="H1186">
            <v>0.69305555555555554</v>
          </cell>
          <cell r="I1186">
            <v>9.583333333333334E-2</v>
          </cell>
          <cell r="J1186">
            <v>13</v>
          </cell>
          <cell r="K1186" t="str">
            <v>FCB-PROTOCOL-02</v>
          </cell>
          <cell r="L1186" t="str">
            <v>HN183</v>
          </cell>
          <cell r="M1186" t="str">
            <v>Y</v>
          </cell>
          <cell r="N1186" t="str">
            <v>CCS Study (1Y)</v>
          </cell>
          <cell r="O1186" t="str">
            <v>Internal R&amp;D</v>
          </cell>
          <cell r="P1186" t="str">
            <v>Q1 Passed</v>
          </cell>
          <cell r="Q1186" t="str">
            <v>Q1 Passed</v>
          </cell>
          <cell r="R1186" t="str">
            <v>Q1.5 Passed</v>
          </cell>
          <cell r="S1186" t="str">
            <v>Q1.5 Passed</v>
          </cell>
          <cell r="V1186" t="str">
            <v>Tumor content 45-65% High immune content</v>
          </cell>
          <cell r="W1186" t="str">
            <v>Private Hospital</v>
          </cell>
          <cell r="X1186" t="str">
            <v>Mazumdar Shaw Medical Centre, Bangalore</v>
          </cell>
          <cell r="Y1186" t="str">
            <v>Mazumdar Shaw Medical Centre, Bangalore</v>
          </cell>
          <cell r="Z1186" t="str">
            <v>Dr Vijay Pillai, Bangalore</v>
          </cell>
          <cell r="AA1186" t="str">
            <v>HNSCC</v>
          </cell>
          <cell r="AC1186" t="str">
            <v>Buccal Mucosa</v>
          </cell>
          <cell r="AD1186" t="str">
            <v>Left Buccal Mucosa</v>
          </cell>
          <cell r="AE1186" t="str">
            <v>Male</v>
          </cell>
          <cell r="AF1186">
            <v>41</v>
          </cell>
          <cell r="AG1186" t="str">
            <v>N</v>
          </cell>
          <cell r="AH1186">
            <v>4.5999999999999996</v>
          </cell>
          <cell r="AI1186" t="str">
            <v>Maruthi</v>
          </cell>
          <cell r="AJ1186" t="str">
            <v>Surgery</v>
          </cell>
          <cell r="AK1186" t="str">
            <v>Primary</v>
          </cell>
          <cell r="AL1186" t="str">
            <v>Surgery + Radiotherapy</v>
          </cell>
          <cell r="AN1186">
            <v>4</v>
          </cell>
          <cell r="AO1186">
            <v>2</v>
          </cell>
          <cell r="AP1186" t="str">
            <v>pT4 a N0</v>
          </cell>
          <cell r="AS1186" t="str">
            <v>MDSCC(Moderately Differentiated Squamous cell carcinoma)</v>
          </cell>
          <cell r="AV1186">
            <v>45581</v>
          </cell>
          <cell r="AW1186">
            <v>0.70833333333333337</v>
          </cell>
          <cell r="AX1186">
            <v>0.77152777777777781</v>
          </cell>
          <cell r="AY1186">
            <v>6.3194444444444442E-2</v>
          </cell>
          <cell r="AZ1186">
            <v>0.67569444444444449</v>
          </cell>
          <cell r="BA1186">
            <v>0.17430555555555555</v>
          </cell>
          <cell r="BB1186" t="str">
            <v>0.4*0.6*0.8/1.2</v>
          </cell>
          <cell r="BD1186" t="str">
            <v>Vibratome</v>
          </cell>
          <cell r="BE1186">
            <v>15</v>
          </cell>
          <cell r="BF1186" t="str">
            <v>kuberan</v>
          </cell>
          <cell r="BG1186" t="str">
            <v>Y</v>
          </cell>
        </row>
        <row r="1187">
          <cell r="A1187" t="str">
            <v>FBR1Y240297</v>
          </cell>
          <cell r="B1187">
            <v>240297</v>
          </cell>
          <cell r="C1187" t="str">
            <v>R&amp;D</v>
          </cell>
          <cell r="D1187">
            <v>45583</v>
          </cell>
          <cell r="E1187">
            <v>0.46666666666666667</v>
          </cell>
          <cell r="F1187">
            <v>45566</v>
          </cell>
          <cell r="G1187">
            <v>45583</v>
          </cell>
          <cell r="H1187">
            <v>0.70625000000000004</v>
          </cell>
          <cell r="I1187">
            <v>0.23958333333333334</v>
          </cell>
          <cell r="J1187">
            <v>1</v>
          </cell>
          <cell r="K1187" t="str">
            <v>FCB-PROTOCOL-01</v>
          </cell>
          <cell r="L1187" t="str">
            <v>VYD/317</v>
          </cell>
          <cell r="M1187" t="str">
            <v>Y</v>
          </cell>
          <cell r="N1187" t="str">
            <v>CCS Study (1Y)</v>
          </cell>
          <cell r="O1187" t="str">
            <v>Internal R&amp;D</v>
          </cell>
          <cell r="P1187" t="str">
            <v>Q1 Passed</v>
          </cell>
          <cell r="Q1187" t="str">
            <v>Q1 Passed</v>
          </cell>
          <cell r="R1187" t="str">
            <v>Q1.5 Passed</v>
          </cell>
          <cell r="S1187" t="str">
            <v>Q1.5 Passed</v>
          </cell>
          <cell r="V1187" t="str">
            <v>Tumor content 15-85%</v>
          </cell>
          <cell r="W1187" t="str">
            <v>Private Hospital</v>
          </cell>
          <cell r="X1187" t="str">
            <v>Vydehi Hospital, Bangalore</v>
          </cell>
          <cell r="Y1187" t="str">
            <v>Vydehi Hospital, Bangalore</v>
          </cell>
          <cell r="Z1187" t="str">
            <v>Dr Amritha Prabha, Bangalore</v>
          </cell>
          <cell r="AA1187" t="str">
            <v>HNSCC</v>
          </cell>
          <cell r="AC1187" t="str">
            <v>Buccal Mucosa</v>
          </cell>
          <cell r="AD1187" t="str">
            <v>Left Buccal Mucosa</v>
          </cell>
          <cell r="AE1187" t="str">
            <v>Male</v>
          </cell>
          <cell r="AF1187">
            <v>67</v>
          </cell>
          <cell r="AG1187" t="str">
            <v>N</v>
          </cell>
          <cell r="AH1187">
            <v>4.9000000000000004</v>
          </cell>
          <cell r="AI1187" t="str">
            <v>Shashi</v>
          </cell>
          <cell r="AJ1187" t="str">
            <v>Surgery</v>
          </cell>
          <cell r="AK1187" t="str">
            <v>Primary</v>
          </cell>
          <cell r="AN1187" t="str">
            <v>IVa</v>
          </cell>
          <cell r="AO1187">
            <v>1</v>
          </cell>
          <cell r="AP1187" t="str">
            <v>T4aN0</v>
          </cell>
          <cell r="AS1187" t="str">
            <v>scc</v>
          </cell>
          <cell r="AV1187">
            <v>45583</v>
          </cell>
          <cell r="AW1187">
            <v>0.72222222222222221</v>
          </cell>
          <cell r="AX1187">
            <v>0.80625000000000002</v>
          </cell>
          <cell r="AY1187">
            <v>8.4027777777777785E-2</v>
          </cell>
          <cell r="AZ1187">
            <v>0.56666666666666665</v>
          </cell>
          <cell r="BA1187">
            <v>0.33958333333333335</v>
          </cell>
          <cell r="BB1187" t="str">
            <v>1.2*1.5-1.9*2.6</v>
          </cell>
          <cell r="BD1187" t="str">
            <v>Vibratome</v>
          </cell>
          <cell r="BE1187">
            <v>15</v>
          </cell>
          <cell r="BF1187" t="str">
            <v>Pallavi</v>
          </cell>
          <cell r="BG1187" t="str">
            <v>Y</v>
          </cell>
        </row>
        <row r="1188">
          <cell r="A1188" t="str">
            <v>FBR1Q240298</v>
          </cell>
          <cell r="B1188">
            <v>240298</v>
          </cell>
          <cell r="C1188" t="str">
            <v>R&amp;D</v>
          </cell>
          <cell r="D1188">
            <v>45583</v>
          </cell>
          <cell r="E1188">
            <v>0.65555555555555556</v>
          </cell>
          <cell r="F1188">
            <v>45566</v>
          </cell>
          <cell r="G1188">
            <v>45583</v>
          </cell>
          <cell r="H1188">
            <v>0.70625000000000004</v>
          </cell>
          <cell r="I1188">
            <v>5.0694444444444445E-2</v>
          </cell>
          <cell r="J1188">
            <v>2</v>
          </cell>
          <cell r="K1188" t="str">
            <v>FCB-PROTOCOL-01</v>
          </cell>
          <cell r="L1188" t="str">
            <v>VYD/318</v>
          </cell>
          <cell r="M1188" t="str">
            <v>Y</v>
          </cell>
          <cell r="N1188" t="str">
            <v>COSv4.2_CaBR(1Q-Unknown)</v>
          </cell>
          <cell r="O1188" t="str">
            <v>Internal R&amp;D</v>
          </cell>
          <cell r="P1188" t="str">
            <v>Q1 Passed</v>
          </cell>
          <cell r="Q1188" t="str">
            <v>Q1 Passed</v>
          </cell>
          <cell r="R1188" t="str">
            <v>Q1.5 Passed</v>
          </cell>
          <cell r="S1188" t="str">
            <v>Q1.5 Passed</v>
          </cell>
          <cell r="V1188" t="str">
            <v>Tumor content 0-70%. Average tumor content 30%</v>
          </cell>
          <cell r="W1188" t="str">
            <v>Private Hospital</v>
          </cell>
          <cell r="X1188" t="str">
            <v>Vydehi Hospital, Bangalore</v>
          </cell>
          <cell r="Y1188" t="str">
            <v>Vydehi Hospital, Bangalore</v>
          </cell>
          <cell r="Z1188" t="str">
            <v>Dr Amritha Prabha, Bangalore</v>
          </cell>
          <cell r="AA1188" t="str">
            <v>Ca Breast</v>
          </cell>
          <cell r="AB1188" t="str">
            <v>Er+ Pr + Her2 -</v>
          </cell>
          <cell r="AC1188" t="str">
            <v>Breast</v>
          </cell>
          <cell r="AD1188" t="str">
            <v>Right Breast</v>
          </cell>
          <cell r="AE1188" t="str">
            <v>Female</v>
          </cell>
          <cell r="AF1188">
            <v>47</v>
          </cell>
          <cell r="AG1188" t="str">
            <v>N</v>
          </cell>
          <cell r="AH1188">
            <v>4.9000000000000004</v>
          </cell>
          <cell r="AI1188" t="str">
            <v>Shashi</v>
          </cell>
          <cell r="AJ1188" t="str">
            <v>Surgery</v>
          </cell>
          <cell r="AK1188" t="str">
            <v>Primary</v>
          </cell>
          <cell r="AL1188" t="str">
            <v>Chemotherapy</v>
          </cell>
          <cell r="AN1188" t="str">
            <v>IIIa</v>
          </cell>
          <cell r="AO1188">
            <v>2</v>
          </cell>
          <cell r="AP1188" t="str">
            <v>yT3N3a</v>
          </cell>
          <cell r="AQ1188">
            <v>8</v>
          </cell>
          <cell r="AR1188" t="str">
            <v>4xAC, 4xPacli, 4xTrastuzumab</v>
          </cell>
          <cell r="AS1188" t="str">
            <v>idc</v>
          </cell>
          <cell r="AV1188">
            <v>45583</v>
          </cell>
          <cell r="AW1188">
            <v>0.72222222222222221</v>
          </cell>
          <cell r="AX1188">
            <v>0.78472222222222221</v>
          </cell>
          <cell r="AY1188">
            <v>6.25E-2</v>
          </cell>
          <cell r="AZ1188">
            <v>0.73402777777777772</v>
          </cell>
          <cell r="BA1188">
            <v>0.12916666666666668</v>
          </cell>
          <cell r="BB1188" t="str">
            <v>1.0*1.2*1.8
0.2*1.2*2.8
1.8*2.8*1.8</v>
          </cell>
          <cell r="BD1188" t="str">
            <v>Manual</v>
          </cell>
          <cell r="BE1188">
            <v>15</v>
          </cell>
          <cell r="BF1188" t="str">
            <v>Syam</v>
          </cell>
          <cell r="BG1188" t="str">
            <v>Y</v>
          </cell>
        </row>
        <row r="1189">
          <cell r="A1189" t="str">
            <v>FBR2A240299</v>
          </cell>
          <cell r="B1189">
            <v>240299</v>
          </cell>
          <cell r="C1189" t="str">
            <v>R&amp;D</v>
          </cell>
          <cell r="D1189">
            <v>45583</v>
          </cell>
          <cell r="E1189">
            <v>0.44791666666666669</v>
          </cell>
          <cell r="F1189">
            <v>45566</v>
          </cell>
          <cell r="G1189">
            <v>45583</v>
          </cell>
          <cell r="H1189">
            <v>0.84861111111111109</v>
          </cell>
          <cell r="I1189">
            <v>0.40069444444444446</v>
          </cell>
          <cell r="J1189">
            <v>2</v>
          </cell>
          <cell r="K1189" t="str">
            <v>FCB-PROTOCOL-01</v>
          </cell>
          <cell r="L1189" t="str">
            <v>JSS-026</v>
          </cell>
          <cell r="M1189" t="str">
            <v>Y</v>
          </cell>
          <cell r="N1189" t="str">
            <v>Ovary CC (2A)</v>
          </cell>
          <cell r="O1189" t="str">
            <v>Internal R&amp;D</v>
          </cell>
          <cell r="P1189" t="str">
            <v>Q1 Passed</v>
          </cell>
          <cell r="Q1189" t="str">
            <v>Q1 Passed</v>
          </cell>
          <cell r="R1189" t="str">
            <v>Q1.5 Passed</v>
          </cell>
          <cell r="S1189" t="str">
            <v>Q1.5 Passed</v>
          </cell>
          <cell r="V1189" t="str">
            <v>Psammoma bodies predominant ?low grade serous adenocarcinoma. Epithelial component 0-10%</v>
          </cell>
          <cell r="W1189" t="str">
            <v>Private Hospital</v>
          </cell>
          <cell r="X1189" t="str">
            <v>Clinic'les- Dr Ravi Krishnappa, Mysore</v>
          </cell>
          <cell r="Y1189" t="str">
            <v>JSS Hospital, Mysore</v>
          </cell>
          <cell r="Z1189" t="str">
            <v>Dr Ravi Krishnappa, Mysore</v>
          </cell>
          <cell r="AA1189" t="str">
            <v>Ca Ovary</v>
          </cell>
          <cell r="AC1189" t="str">
            <v>Omentum</v>
          </cell>
          <cell r="AD1189" t="str">
            <v>Omentum</v>
          </cell>
          <cell r="AE1189" t="str">
            <v>Female</v>
          </cell>
          <cell r="AF1189">
            <v>57</v>
          </cell>
          <cell r="AG1189" t="str">
            <v>N</v>
          </cell>
          <cell r="AH1189">
            <v>5.6</v>
          </cell>
          <cell r="AI1189" t="str">
            <v>Kalappa</v>
          </cell>
          <cell r="AJ1189" t="str">
            <v>Surgery</v>
          </cell>
          <cell r="AK1189" t="str">
            <v>Primary</v>
          </cell>
          <cell r="AL1189" t="str">
            <v>Chemotherapy</v>
          </cell>
          <cell r="AQ1189">
            <v>6</v>
          </cell>
          <cell r="AR1189" t="str">
            <v>Pacli+Carbo</v>
          </cell>
          <cell r="AV1189">
            <v>45583</v>
          </cell>
          <cell r="AW1189">
            <v>0.91111111111111109</v>
          </cell>
          <cell r="AX1189">
            <v>1.0111111111111111</v>
          </cell>
          <cell r="AY1189">
            <v>0.1</v>
          </cell>
          <cell r="AZ1189">
            <v>0.61041666666666672</v>
          </cell>
          <cell r="BA1189">
            <v>0.56319444444444444</v>
          </cell>
          <cell r="BB1189" t="str">
            <v>1.0-1.2*0.8-1.8*2.8</v>
          </cell>
          <cell r="BD1189" t="str">
            <v>Vibratome</v>
          </cell>
          <cell r="BE1189">
            <v>15</v>
          </cell>
          <cell r="BF1189" t="str">
            <v>kuberan</v>
          </cell>
          <cell r="BG1189" t="str">
            <v>Y</v>
          </cell>
        </row>
        <row r="1190">
          <cell r="A1190" t="str">
            <v>FBR1Q240300</v>
          </cell>
          <cell r="B1190">
            <v>240300</v>
          </cell>
          <cell r="C1190" t="str">
            <v>R&amp;D</v>
          </cell>
          <cell r="D1190">
            <v>45583</v>
          </cell>
          <cell r="E1190">
            <v>0.68055555555555558</v>
          </cell>
          <cell r="F1190">
            <v>45566</v>
          </cell>
          <cell r="G1190">
            <v>45583</v>
          </cell>
          <cell r="H1190">
            <v>0.84861111111111109</v>
          </cell>
          <cell r="I1190">
            <v>0.16805555555555557</v>
          </cell>
          <cell r="J1190">
            <v>10</v>
          </cell>
          <cell r="K1190" t="str">
            <v>FCB-PROTOCOL-01</v>
          </cell>
          <cell r="L1190" t="str">
            <v>JSS-027</v>
          </cell>
          <cell r="M1190" t="str">
            <v>Y</v>
          </cell>
          <cell r="N1190" t="str">
            <v>COSv4.2_CaBR(1Q-Unknown)</v>
          </cell>
          <cell r="O1190" t="str">
            <v>Internal R&amp;D</v>
          </cell>
          <cell r="P1190" t="str">
            <v>Q1 Passed</v>
          </cell>
          <cell r="Q1190" t="str">
            <v>Q1 Passed</v>
          </cell>
          <cell r="R1190" t="str">
            <v>Q1.5 Passed</v>
          </cell>
          <cell r="S1190" t="str">
            <v>Q1.5 Rejected</v>
          </cell>
          <cell r="V1190" t="str">
            <v>No tumor. Epithelial hyperplasia seen.</v>
          </cell>
          <cell r="W1190" t="str">
            <v>Private Hospital</v>
          </cell>
          <cell r="X1190" t="str">
            <v>Clinic'les- Dr Ravi Krishnappa, Mysore</v>
          </cell>
          <cell r="Y1190" t="str">
            <v>JSS Hospital, Mysore</v>
          </cell>
          <cell r="Z1190" t="str">
            <v>Dr Ravi Krishnappa, Mysore</v>
          </cell>
          <cell r="AA1190" t="str">
            <v>Ca Breast</v>
          </cell>
          <cell r="AC1190" t="str">
            <v>Breast</v>
          </cell>
          <cell r="AD1190" t="str">
            <v>Left  Breast</v>
          </cell>
          <cell r="AE1190" t="str">
            <v>Female</v>
          </cell>
          <cell r="AF1190">
            <v>42</v>
          </cell>
          <cell r="AG1190" t="str">
            <v>N</v>
          </cell>
          <cell r="AH1190">
            <v>5.6</v>
          </cell>
          <cell r="AI1190" t="str">
            <v>Kalappa</v>
          </cell>
          <cell r="AJ1190" t="str">
            <v>Surgery</v>
          </cell>
          <cell r="AK1190" t="str">
            <v>Primary</v>
          </cell>
          <cell r="AL1190" t="str">
            <v>Chemotherapy</v>
          </cell>
          <cell r="AQ1190">
            <v>6</v>
          </cell>
          <cell r="AR1190" t="str">
            <v>TCH</v>
          </cell>
          <cell r="AV1190">
            <v>45583</v>
          </cell>
          <cell r="AW1190">
            <v>0.90763888888888888</v>
          </cell>
          <cell r="AX1190">
            <v>0.96805555555555556</v>
          </cell>
          <cell r="AY1190">
            <v>6.0416666666666667E-2</v>
          </cell>
          <cell r="AZ1190">
            <v>0.8</v>
          </cell>
          <cell r="BA1190">
            <v>0.28749999999999998</v>
          </cell>
          <cell r="BB1190" t="str">
            <v>0.2-0.4*0.5-0.8*1.2-1.6
0.2-0.6*0.4-0.8*0.8-2.6</v>
          </cell>
          <cell r="BD1190" t="str">
            <v>Manual</v>
          </cell>
          <cell r="BE1190">
            <v>15</v>
          </cell>
          <cell r="BF1190" t="str">
            <v>Mouniss</v>
          </cell>
          <cell r="BG1190" t="str">
            <v>Y</v>
          </cell>
        </row>
        <row r="1191">
          <cell r="A1191" t="str">
            <v>FBR1Y240301</v>
          </cell>
          <cell r="B1191">
            <v>240301</v>
          </cell>
          <cell r="C1191" t="str">
            <v>R&amp;D</v>
          </cell>
          <cell r="D1191">
            <v>45586</v>
          </cell>
          <cell r="E1191">
            <v>0.49027777777777776</v>
          </cell>
          <cell r="F1191">
            <v>45566</v>
          </cell>
          <cell r="G1191">
            <v>45586</v>
          </cell>
          <cell r="H1191">
            <v>0.57013888888888886</v>
          </cell>
          <cell r="I1191">
            <v>7.9861111111111105E-2</v>
          </cell>
          <cell r="J1191">
            <v>2</v>
          </cell>
          <cell r="K1191" t="str">
            <v>FCB-PROTOCOL-01</v>
          </cell>
          <cell r="L1191" t="str">
            <v>VYD/319</v>
          </cell>
          <cell r="M1191" t="str">
            <v>Y</v>
          </cell>
          <cell r="O1191" t="str">
            <v>Internal R&amp;D</v>
          </cell>
          <cell r="P1191" t="str">
            <v>Q1 Passed</v>
          </cell>
          <cell r="Q1191" t="str">
            <v>Q1 Passed</v>
          </cell>
          <cell r="R1191" t="str">
            <v>Q1.5 Passed</v>
          </cell>
          <cell r="S1191" t="str">
            <v>Q1.5 Passed</v>
          </cell>
          <cell r="V1191" t="str">
            <v>Tumor content 60-90%</v>
          </cell>
          <cell r="W1191" t="str">
            <v>Private Hospital</v>
          </cell>
          <cell r="X1191" t="str">
            <v>Vydehi Hospital, Bangalore</v>
          </cell>
          <cell r="Y1191" t="str">
            <v>Vydehi Hospital, Bangalore</v>
          </cell>
          <cell r="Z1191" t="str">
            <v>Dr Amritha Prabha, Bangalore</v>
          </cell>
          <cell r="AA1191" t="str">
            <v>HNSCC</v>
          </cell>
          <cell r="AC1191" t="str">
            <v>Buccal Mucosa</v>
          </cell>
          <cell r="AD1191" t="str">
            <v>Left Buccal Mucosa</v>
          </cell>
          <cell r="AE1191" t="str">
            <v>Female</v>
          </cell>
          <cell r="AF1191">
            <v>68</v>
          </cell>
          <cell r="AG1191" t="str">
            <v>N</v>
          </cell>
          <cell r="AH1191">
            <v>4.8</v>
          </cell>
          <cell r="AI1191" t="str">
            <v>Maruthi</v>
          </cell>
          <cell r="AJ1191" t="str">
            <v>Surgery</v>
          </cell>
          <cell r="AK1191" t="str">
            <v>Primary</v>
          </cell>
          <cell r="AN1191" t="str">
            <v>IVa</v>
          </cell>
          <cell r="AO1191">
            <v>2</v>
          </cell>
          <cell r="AP1191" t="str">
            <v>T3N2b</v>
          </cell>
          <cell r="AS1191" t="str">
            <v>scc</v>
          </cell>
          <cell r="AV1191">
            <v>45586</v>
          </cell>
          <cell r="AW1191">
            <v>0.61111111111111116</v>
          </cell>
          <cell r="AX1191">
            <v>0.67708333333333337</v>
          </cell>
          <cell r="AY1191">
            <v>6.5972222222222224E-2</v>
          </cell>
          <cell r="AZ1191">
            <v>0.59722222222222221</v>
          </cell>
          <cell r="BA1191">
            <v>0.18680555555555556</v>
          </cell>
          <cell r="BB1191" t="str">
            <v>0.4-0.5*0.8*1.0</v>
          </cell>
          <cell r="BD1191" t="str">
            <v>Vibratome</v>
          </cell>
          <cell r="BE1191">
            <v>15</v>
          </cell>
          <cell r="BF1191" t="str">
            <v>Dharani</v>
          </cell>
          <cell r="BG1191" t="str">
            <v>Y</v>
          </cell>
        </row>
        <row r="1192">
          <cell r="A1192" t="str">
            <v>FBR2N240301</v>
          </cell>
          <cell r="B1192">
            <v>240301</v>
          </cell>
          <cell r="C1192" t="str">
            <v>R&amp;D</v>
          </cell>
          <cell r="D1192">
            <v>45586</v>
          </cell>
          <cell r="E1192">
            <v>0.49027777777777776</v>
          </cell>
          <cell r="F1192">
            <v>45566</v>
          </cell>
          <cell r="G1192">
            <v>45586</v>
          </cell>
          <cell r="H1192">
            <v>0.57013888888888886</v>
          </cell>
          <cell r="I1192">
            <v>7.9861111111111105E-2</v>
          </cell>
          <cell r="J1192">
            <v>2</v>
          </cell>
          <cell r="K1192" t="str">
            <v>FCB-PROTOCOL-01</v>
          </cell>
          <cell r="L1192" t="str">
            <v>VYD/319</v>
          </cell>
          <cell r="M1192" t="str">
            <v>Y</v>
          </cell>
          <cell r="N1192" t="str">
            <v>FBT (2N)</v>
          </cell>
          <cell r="O1192" t="str">
            <v>Internal R&amp;D</v>
          </cell>
          <cell r="P1192" t="str">
            <v>Q1 Passed</v>
          </cell>
          <cell r="Q1192" t="str">
            <v>Q1 Passed</v>
          </cell>
          <cell r="R1192" t="str">
            <v>Q1.5 Passed</v>
          </cell>
          <cell r="S1192" t="str">
            <v>Q1.5 Passed</v>
          </cell>
          <cell r="V1192" t="str">
            <v>Tumor content 75-95%</v>
          </cell>
          <cell r="W1192" t="str">
            <v>Private Hospital</v>
          </cell>
          <cell r="X1192" t="str">
            <v>Vydehi Hospital, Bangalore</v>
          </cell>
          <cell r="Y1192" t="str">
            <v>Vydehi Hospital, Bangalore</v>
          </cell>
          <cell r="Z1192" t="str">
            <v>Dr Amritha Prabha, Bangalore</v>
          </cell>
          <cell r="AA1192" t="str">
            <v>HNSCC</v>
          </cell>
          <cell r="AC1192" t="str">
            <v>Buccal Mucosa</v>
          </cell>
          <cell r="AD1192" t="str">
            <v>Left Buccal Mucosa</v>
          </cell>
          <cell r="AE1192" t="str">
            <v>Female</v>
          </cell>
          <cell r="AF1192">
            <v>68</v>
          </cell>
          <cell r="AG1192" t="str">
            <v>N</v>
          </cell>
          <cell r="AH1192">
            <v>4.8</v>
          </cell>
          <cell r="AI1192" t="str">
            <v>Maruthi</v>
          </cell>
          <cell r="AJ1192" t="str">
            <v>Surgery</v>
          </cell>
          <cell r="AK1192" t="str">
            <v>Primary</v>
          </cell>
          <cell r="AN1192" t="str">
            <v>IVa</v>
          </cell>
          <cell r="AO1192">
            <v>2</v>
          </cell>
          <cell r="AP1192" t="str">
            <v>T3N2b</v>
          </cell>
          <cell r="AS1192" t="str">
            <v>scc</v>
          </cell>
          <cell r="AV1192">
            <v>45586</v>
          </cell>
          <cell r="AW1192">
            <v>0.61111111111111116</v>
          </cell>
          <cell r="AX1192">
            <v>0.67708333333333337</v>
          </cell>
          <cell r="AY1192">
            <v>6.5972222222222224E-2</v>
          </cell>
          <cell r="AZ1192">
            <v>0.59722222222222221</v>
          </cell>
          <cell r="BA1192">
            <v>0.18680555555555556</v>
          </cell>
          <cell r="BB1192" t="str">
            <v>0.4-0.5*0.8*1.0</v>
          </cell>
          <cell r="BD1192" t="str">
            <v>Vibratome</v>
          </cell>
          <cell r="BE1192">
            <v>15</v>
          </cell>
          <cell r="BF1192" t="str">
            <v>Dharani</v>
          </cell>
          <cell r="BG1192" t="str">
            <v>Y</v>
          </cell>
        </row>
        <row r="1193">
          <cell r="A1193" t="str">
            <v>FBR1Y240302</v>
          </cell>
          <cell r="B1193">
            <v>240302</v>
          </cell>
          <cell r="C1193" t="str">
            <v>R&amp;D</v>
          </cell>
          <cell r="D1193">
            <v>45587</v>
          </cell>
          <cell r="E1193">
            <v>0.5625</v>
          </cell>
          <cell r="F1193">
            <v>45566</v>
          </cell>
          <cell r="G1193">
            <v>45587</v>
          </cell>
          <cell r="H1193">
            <v>0.64652777777777781</v>
          </cell>
          <cell r="I1193">
            <v>8.4027777777777785E-2</v>
          </cell>
          <cell r="J1193">
            <v>10</v>
          </cell>
          <cell r="K1193" t="str">
            <v>FCB-PROTOCOL-02</v>
          </cell>
          <cell r="L1193" t="str">
            <v>HN184</v>
          </cell>
          <cell r="M1193" t="str">
            <v>Y</v>
          </cell>
          <cell r="O1193" t="str">
            <v>Internal R&amp;D</v>
          </cell>
          <cell r="P1193" t="str">
            <v>Q1 Passed</v>
          </cell>
          <cell r="Q1193" t="str">
            <v>Not Received</v>
          </cell>
          <cell r="R1193" t="str">
            <v>Compromised</v>
          </cell>
          <cell r="S1193" t="str">
            <v>Q1.5 Passed</v>
          </cell>
          <cell r="T1193" t="str">
            <v>Blood not collected</v>
          </cell>
          <cell r="V1193" t="str">
            <v>Tumor content 3-95%</v>
          </cell>
          <cell r="W1193" t="str">
            <v>Private Hospital</v>
          </cell>
          <cell r="X1193" t="str">
            <v>Mazumdar Shaw Medical Centre, Bangalore</v>
          </cell>
          <cell r="Y1193" t="str">
            <v>Mazumdar Shaw Medical Centre, Bangalore</v>
          </cell>
          <cell r="Z1193" t="str">
            <v>Dr Vijay Pillai, Bangalore</v>
          </cell>
          <cell r="AA1193" t="str">
            <v>HNSCC</v>
          </cell>
          <cell r="AC1193" t="str">
            <v>Alveolus</v>
          </cell>
          <cell r="AD1193" t="str">
            <v>Left Lower Alveolus</v>
          </cell>
          <cell r="AE1193" t="str">
            <v>Male</v>
          </cell>
          <cell r="AF1193">
            <v>67</v>
          </cell>
          <cell r="AG1193" t="str">
            <v>N</v>
          </cell>
          <cell r="AH1193">
            <v>4.9000000000000004</v>
          </cell>
          <cell r="AI1193" t="str">
            <v>Shashi</v>
          </cell>
          <cell r="AJ1193" t="str">
            <v>Surgery</v>
          </cell>
          <cell r="AK1193" t="str">
            <v>Primary</v>
          </cell>
          <cell r="AN1193">
            <v>4</v>
          </cell>
          <cell r="AO1193">
            <v>2</v>
          </cell>
          <cell r="AP1193" t="str">
            <v xml:space="preserve">pT4ap N2b </v>
          </cell>
          <cell r="AS1193" t="str">
            <v>MDSCC(Moderately Differentiated Squamous cell carcinoma)</v>
          </cell>
          <cell r="AV1193">
            <v>45587</v>
          </cell>
          <cell r="AW1193">
            <v>0.66249999999999998</v>
          </cell>
          <cell r="AX1193">
            <v>0.70347222222222228</v>
          </cell>
          <cell r="AY1193">
            <v>4.0972222222222222E-2</v>
          </cell>
          <cell r="AZ1193">
            <v>0.61944444444444446</v>
          </cell>
          <cell r="BA1193">
            <v>0.14097222222222222</v>
          </cell>
          <cell r="BB1193" t="str">
            <v>0.2-0.3*0.8-0.4*0.9-0.8</v>
          </cell>
          <cell r="BD1193" t="str">
            <v>Manual</v>
          </cell>
          <cell r="BE1193">
            <v>15</v>
          </cell>
          <cell r="BF1193" t="str">
            <v>kuberan</v>
          </cell>
          <cell r="BG1193" t="str">
            <v>N</v>
          </cell>
        </row>
        <row r="1194">
          <cell r="A1194" t="str">
            <v>FBR1K240303</v>
          </cell>
          <cell r="B1194">
            <v>240303</v>
          </cell>
          <cell r="C1194" t="str">
            <v>R&amp;D</v>
          </cell>
          <cell r="D1194">
            <v>45587</v>
          </cell>
          <cell r="E1194">
            <v>0.48958333333333331</v>
          </cell>
          <cell r="F1194">
            <v>45566</v>
          </cell>
          <cell r="G1194">
            <v>45587</v>
          </cell>
          <cell r="H1194">
            <v>0.86250000000000004</v>
          </cell>
          <cell r="I1194">
            <v>0.37291666666666667</v>
          </cell>
          <cell r="J1194">
            <v>20</v>
          </cell>
          <cell r="K1194" t="str">
            <v>FCB-PROTOCOL-01</v>
          </cell>
          <cell r="L1194" t="str">
            <v>CLN/DBR/211</v>
          </cell>
          <cell r="M1194" t="str">
            <v>Y</v>
          </cell>
          <cell r="O1194" t="str">
            <v>Internal R&amp;D</v>
          </cell>
          <cell r="P1194" t="str">
            <v>Q1 Passed</v>
          </cell>
          <cell r="Q1194" t="str">
            <v>Q1 Passed</v>
          </cell>
          <cell r="R1194" t="str">
            <v>Q1.5 Passed</v>
          </cell>
          <cell r="S1194" t="str">
            <v>Q1.5 Passed</v>
          </cell>
          <cell r="V1194" t="str">
            <v>Tumor content 10-85%</v>
          </cell>
          <cell r="W1194" t="str">
            <v>Private Hospital</v>
          </cell>
          <cell r="X1194" t="str">
            <v>Clinic'les- DBR &amp; SK Hospital, Tirupati</v>
          </cell>
          <cell r="Y1194" t="str">
            <v>DBR &amp; SK Hospital, Tirupati</v>
          </cell>
          <cell r="Z1194" t="str">
            <v>Dr C Jayaprakash, Tirupati</v>
          </cell>
          <cell r="AA1194" t="str">
            <v>HNSCC</v>
          </cell>
          <cell r="AC1194" t="str">
            <v>Buccal Mucosa</v>
          </cell>
          <cell r="AD1194" t="str">
            <v>Right Buccal Mucosa</v>
          </cell>
          <cell r="AE1194" t="str">
            <v>Female</v>
          </cell>
          <cell r="AF1194">
            <v>68</v>
          </cell>
          <cell r="AG1194" t="str">
            <v>N</v>
          </cell>
          <cell r="AH1194">
            <v>4.5</v>
          </cell>
          <cell r="AI1194" t="str">
            <v>Kalappa</v>
          </cell>
          <cell r="AJ1194" t="str">
            <v>Surgery</v>
          </cell>
          <cell r="AK1194" t="str">
            <v>Local Recurrent</v>
          </cell>
          <cell r="AL1194" t="str">
            <v>Radiotherapy</v>
          </cell>
          <cell r="AR1194" t="str">
            <v>two years back</v>
          </cell>
          <cell r="AV1194">
            <v>45587</v>
          </cell>
          <cell r="AW1194">
            <v>0.8833333333333333</v>
          </cell>
          <cell r="AX1194">
            <v>0.95972222222222225</v>
          </cell>
          <cell r="AY1194">
            <v>7.6388888888888895E-2</v>
          </cell>
          <cell r="AZ1194">
            <v>0.58680555555555558</v>
          </cell>
          <cell r="BA1194">
            <v>0.47013888888888888</v>
          </cell>
          <cell r="BB1194" t="str">
            <v>0.8/0.3*0.8*0.7</v>
          </cell>
          <cell r="BD1194" t="str">
            <v>Vibratome</v>
          </cell>
          <cell r="BE1194">
            <v>15</v>
          </cell>
          <cell r="BF1194" t="str">
            <v>Abdul</v>
          </cell>
          <cell r="BG1194" t="str">
            <v>Y</v>
          </cell>
        </row>
        <row r="1195">
          <cell r="A1195" t="str">
            <v>FBR2S240304</v>
          </cell>
          <cell r="B1195">
            <v>240304</v>
          </cell>
          <cell r="C1195" t="str">
            <v>R&amp;D</v>
          </cell>
          <cell r="D1195">
            <v>45589</v>
          </cell>
          <cell r="E1195">
            <v>0.52083333333333337</v>
          </cell>
          <cell r="F1195">
            <v>45566</v>
          </cell>
          <cell r="G1195">
            <v>45589</v>
          </cell>
          <cell r="H1195">
            <v>0.94930555555555551</v>
          </cell>
          <cell r="I1195">
            <v>0.4284722222222222</v>
          </cell>
          <cell r="J1195">
            <v>20</v>
          </cell>
          <cell r="K1195" t="str">
            <v>FCB-PROTOCOL-01</v>
          </cell>
          <cell r="L1195" t="str">
            <v>CLN/DBR/212</v>
          </cell>
          <cell r="M1195" t="str">
            <v>Y</v>
          </cell>
          <cell r="P1195" t="str">
            <v>Q1 Passed</v>
          </cell>
          <cell r="Q1195" t="str">
            <v>Q1 Passed</v>
          </cell>
          <cell r="R1195" t="str">
            <v>Q1.5 Passed</v>
          </cell>
          <cell r="S1195" t="str">
            <v>Q1.5 Passed</v>
          </cell>
          <cell r="V1195" t="str">
            <v>A:Tumor content 10-75%
B:Tumor content 4-45%</v>
          </cell>
          <cell r="W1195" t="str">
            <v>Private Hospital</v>
          </cell>
          <cell r="X1195" t="str">
            <v>Clinic'les- DBR &amp; SK Hospital, Tirupati</v>
          </cell>
          <cell r="Y1195" t="str">
            <v>DBR &amp; SK Hospital, Tirupati</v>
          </cell>
          <cell r="Z1195" t="str">
            <v>Dr C Jayaprakash, Tirupati</v>
          </cell>
          <cell r="AA1195" t="str">
            <v>CRC</v>
          </cell>
          <cell r="AC1195" t="str">
            <v>Colon</v>
          </cell>
          <cell r="AD1195" t="str">
            <v>Colon</v>
          </cell>
          <cell r="AE1195" t="str">
            <v>Female</v>
          </cell>
          <cell r="AF1195">
            <v>67</v>
          </cell>
          <cell r="AG1195" t="str">
            <v>N</v>
          </cell>
          <cell r="AH1195">
            <v>5.8</v>
          </cell>
          <cell r="AI1195" t="str">
            <v>Maruthi</v>
          </cell>
          <cell r="AJ1195" t="str">
            <v>Surgery</v>
          </cell>
          <cell r="AK1195" t="str">
            <v>Primary</v>
          </cell>
          <cell r="AN1195" t="str">
            <v>IIB</v>
          </cell>
          <cell r="AP1195" t="str">
            <v>T4a N0 MX</v>
          </cell>
          <cell r="AV1195">
            <v>45590</v>
          </cell>
          <cell r="AW1195">
            <v>0.26944444444444443</v>
          </cell>
          <cell r="AX1195">
            <v>0.41041666666666665</v>
          </cell>
          <cell r="AY1195">
            <v>0.14097222222222222</v>
          </cell>
          <cell r="AZ119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19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195" t="str">
            <v>0.2-1.0*0.7-2.0*2.8-3.6</v>
          </cell>
          <cell r="BC1195" t="str">
            <v xml:space="preserve">0.2*0.3-0.6*1.4
0.1*0.4-0.4*1.6
0.2-0.8*0.6-0.8*1.8
</v>
          </cell>
          <cell r="BD1195" t="str">
            <v>Manual+Vibratome</v>
          </cell>
          <cell r="BE1195">
            <v>13</v>
          </cell>
          <cell r="BF1195" t="str">
            <v>Mouniss</v>
          </cell>
          <cell r="BG1195" t="str">
            <v>Y</v>
          </cell>
        </row>
        <row r="1196">
          <cell r="A1196" t="str">
            <v>FBR1Y240305</v>
          </cell>
          <cell r="B1196">
            <v>240305</v>
          </cell>
          <cell r="C1196" t="str">
            <v>R&amp;D</v>
          </cell>
          <cell r="D1196">
            <v>45590</v>
          </cell>
          <cell r="E1196">
            <v>0.47430555555555554</v>
          </cell>
          <cell r="F1196">
            <v>45566</v>
          </cell>
          <cell r="G1196">
            <v>45590</v>
          </cell>
          <cell r="H1196">
            <v>0.61319444444444449</v>
          </cell>
          <cell r="I1196">
            <v>0.1388888888888889</v>
          </cell>
          <cell r="J1196">
            <v>4</v>
          </cell>
          <cell r="K1196" t="str">
            <v>FCB-PROTOCOL-01</v>
          </cell>
          <cell r="L1196" t="str">
            <v>VYD/320</v>
          </cell>
          <cell r="M1196" t="str">
            <v>Y</v>
          </cell>
          <cell r="O1196" t="str">
            <v>Internal R&amp;D</v>
          </cell>
          <cell r="P1196" t="str">
            <v>Q1 Passed</v>
          </cell>
          <cell r="Q1196" t="str">
            <v>Q1 Passed</v>
          </cell>
          <cell r="R1196" t="str">
            <v>Q1.5 Passed</v>
          </cell>
          <cell r="S1196" t="str">
            <v>Q1.5 Passed</v>
          </cell>
          <cell r="V1196" t="str">
            <v>Tumor content 70-90%</v>
          </cell>
          <cell r="W1196" t="str">
            <v>Private Hospital</v>
          </cell>
          <cell r="X1196" t="str">
            <v>Vydehi Hospital, Bangalore</v>
          </cell>
          <cell r="Y1196" t="str">
            <v>Vydehi Hospital, Bangalore</v>
          </cell>
          <cell r="Z1196" t="str">
            <v>Dr Amritha Prabha, Bangalore</v>
          </cell>
          <cell r="AA1196" t="str">
            <v>HNSCC</v>
          </cell>
          <cell r="AC1196" t="str">
            <v>Buccal Mucosa</v>
          </cell>
          <cell r="AD1196" t="str">
            <v>Left Buccal Mucosa</v>
          </cell>
          <cell r="AE1196" t="str">
            <v>Female</v>
          </cell>
          <cell r="AF1196">
            <v>73</v>
          </cell>
          <cell r="AG1196" t="str">
            <v>N</v>
          </cell>
          <cell r="AH1196">
            <v>5.2</v>
          </cell>
          <cell r="AI1196" t="str">
            <v>Kalappa</v>
          </cell>
          <cell r="AJ1196" t="str">
            <v>Surgery</v>
          </cell>
          <cell r="AK1196" t="str">
            <v>Primary</v>
          </cell>
          <cell r="AN1196" t="str">
            <v>IVa</v>
          </cell>
          <cell r="AO1196">
            <v>2</v>
          </cell>
          <cell r="AP1196" t="str">
            <v>T4aN0</v>
          </cell>
          <cell r="AS1196" t="str">
            <v>scc</v>
          </cell>
          <cell r="AV1196">
            <v>45590</v>
          </cell>
          <cell r="AW1196">
            <v>0.63611111111111107</v>
          </cell>
          <cell r="AX1196">
            <v>0.71180555555555558</v>
          </cell>
          <cell r="AY1196">
            <v>7.5694444444444439E-2</v>
          </cell>
          <cell r="AZ1196">
            <v>0.57291666666666663</v>
          </cell>
          <cell r="BA1196">
            <v>0.23749999999999999</v>
          </cell>
          <cell r="BB1196" t="str">
            <v>0.7*0.6*1.4*1.6-1.8
0.3-0.4*0.8-1.0*1.4-1.5</v>
          </cell>
          <cell r="BD1196" t="str">
            <v>Vibratome</v>
          </cell>
          <cell r="BE1196">
            <v>15</v>
          </cell>
          <cell r="BF1196" t="str">
            <v>kuberan</v>
          </cell>
          <cell r="BG1196" t="str">
            <v>Y</v>
          </cell>
        </row>
        <row r="1197">
          <cell r="A1197" t="str">
            <v>FBR1Q240306</v>
          </cell>
          <cell r="B1197">
            <v>240306</v>
          </cell>
          <cell r="C1197" t="str">
            <v>R&amp;D</v>
          </cell>
          <cell r="D1197">
            <v>45590</v>
          </cell>
          <cell r="E1197">
            <v>0.65555555555555556</v>
          </cell>
          <cell r="F1197">
            <v>45566</v>
          </cell>
          <cell r="G1197">
            <v>45590</v>
          </cell>
          <cell r="H1197">
            <v>0.71527777777777779</v>
          </cell>
          <cell r="I1197">
            <v>5.9722222222222225E-2</v>
          </cell>
          <cell r="J1197">
            <v>4</v>
          </cell>
          <cell r="K1197" t="str">
            <v>FCB-PROTOCOL-01</v>
          </cell>
          <cell r="L1197" t="str">
            <v>VYD/321</v>
          </cell>
          <cell r="M1197" t="str">
            <v>Y</v>
          </cell>
          <cell r="P1197" t="str">
            <v>Q1 Passed</v>
          </cell>
          <cell r="Q1197" t="str">
            <v>Q1 Rejected</v>
          </cell>
          <cell r="R1197" t="str">
            <v>Q1.5 Passed</v>
          </cell>
          <cell r="S1197" t="str">
            <v>Q1.5 Passed</v>
          </cell>
          <cell r="T1197" t="str">
            <v>Blood tube broken</v>
          </cell>
          <cell r="V1197" t="str">
            <v>Tumor content 0-90%. Average tumor content 25%</v>
          </cell>
          <cell r="W1197" t="str">
            <v>Private Hospital</v>
          </cell>
          <cell r="X1197" t="str">
            <v>Vydehi Hospital, Bangalore</v>
          </cell>
          <cell r="Y1197" t="str">
            <v>Vydehi Hospital, Bangalore</v>
          </cell>
          <cell r="Z1197" t="str">
            <v>Dr Amritha Prabha, Bangalore</v>
          </cell>
          <cell r="AA1197" t="str">
            <v>Ca Breast</v>
          </cell>
          <cell r="AC1197" t="str">
            <v>Breast</v>
          </cell>
          <cell r="AD1197" t="str">
            <v>Left Breast</v>
          </cell>
          <cell r="AE1197" t="str">
            <v>Female</v>
          </cell>
          <cell r="AF1197">
            <v>49</v>
          </cell>
          <cell r="AG1197" t="str">
            <v>N</v>
          </cell>
          <cell r="AH1197">
            <v>5.0999999999999996</v>
          </cell>
          <cell r="AI1197" t="str">
            <v>Shashi</v>
          </cell>
          <cell r="AJ1197" t="str">
            <v>Surgery</v>
          </cell>
          <cell r="AK1197" t="str">
            <v>Primary</v>
          </cell>
          <cell r="AN1197" t="str">
            <v>IIIb</v>
          </cell>
          <cell r="AO1197">
            <v>2</v>
          </cell>
          <cell r="AP1197" t="str">
            <v>yT4bN0</v>
          </cell>
          <cell r="AS1197" t="str">
            <v>idc</v>
          </cell>
          <cell r="AV1197">
            <v>45590</v>
          </cell>
          <cell r="AW1197">
            <v>0.72847222222222219</v>
          </cell>
          <cell r="AX1197">
            <v>0.79166666666666663</v>
          </cell>
          <cell r="AY1197">
            <v>6.3194444444444442E-2</v>
          </cell>
          <cell r="AZ1197">
            <v>0.7319444444444444</v>
          </cell>
          <cell r="BA1197">
            <v>0.1361111111111111</v>
          </cell>
          <cell r="BB1197" t="str">
            <v>0.6/0.7*1.5-1.9*1.2-1.6
0.7/0.8*1.4-1.6*2.2</v>
          </cell>
          <cell r="BC1197" t="str">
            <v>0.6*0.2-0.8*1.6
0.7*0.7-1.1*1.3-1.6
0.2*0.2-0.5*0.7
0.1*0.4*0.1-0.7</v>
          </cell>
          <cell r="BD1197" t="str">
            <v>Manual</v>
          </cell>
          <cell r="BE1197">
            <v>14</v>
          </cell>
          <cell r="BF1197" t="str">
            <v>chandan</v>
          </cell>
          <cell r="BG1197" t="str">
            <v>N</v>
          </cell>
        </row>
        <row r="1198">
          <cell r="A1198" t="str">
            <v>FBR2A240307</v>
          </cell>
          <cell r="B1198">
            <v>240307</v>
          </cell>
          <cell r="C1198" t="str">
            <v>R&amp;D</v>
          </cell>
          <cell r="D1198">
            <v>45593</v>
          </cell>
          <cell r="E1198">
            <v>0.52083333333333337</v>
          </cell>
          <cell r="F1198">
            <v>45566</v>
          </cell>
          <cell r="G1198">
            <v>45593</v>
          </cell>
          <cell r="H1198">
            <v>0.64166666666666672</v>
          </cell>
          <cell r="I1198">
            <v>0.12083333333333333</v>
          </cell>
          <cell r="J1198">
            <v>30</v>
          </cell>
          <cell r="K1198" t="str">
            <v>FCB-PROTOCOL-02</v>
          </cell>
          <cell r="L1198" t="str">
            <v>OCO44</v>
          </cell>
          <cell r="M1198" t="str">
            <v>Y</v>
          </cell>
          <cell r="P1198" t="str">
            <v>Q1 Passed</v>
          </cell>
          <cell r="Q1198" t="str">
            <v>Q1 Passed</v>
          </cell>
          <cell r="R1198" t="str">
            <v>Q1.5 Passed</v>
          </cell>
          <cell r="S1198" t="str">
            <v>Q1.5 Passed</v>
          </cell>
          <cell r="V1198" t="str">
            <v>Tumor content 0-25%. Average tumor content 6%</v>
          </cell>
          <cell r="W1198" t="str">
            <v>Private Hospital</v>
          </cell>
          <cell r="X1198" t="str">
            <v>Mazumdar Shaw Medical Centre, Bangalore</v>
          </cell>
          <cell r="Y1198" t="str">
            <v>Mazumdar Shaw Medical Centre, Bangalore</v>
          </cell>
          <cell r="Z1198" t="str">
            <v>Dr Rohit Ranade, Bangalore</v>
          </cell>
          <cell r="AA1198" t="str">
            <v>Ca Ovary</v>
          </cell>
          <cell r="AC1198" t="str">
            <v>Ovary</v>
          </cell>
          <cell r="AD1198" t="str">
            <v>Ovary</v>
          </cell>
          <cell r="AE1198" t="str">
            <v>Female</v>
          </cell>
          <cell r="AF1198">
            <v>54</v>
          </cell>
          <cell r="AG1198" t="str">
            <v>N</v>
          </cell>
          <cell r="AH1198">
            <v>4.5999999999999996</v>
          </cell>
          <cell r="AI1198" t="str">
            <v>Kalappa</v>
          </cell>
          <cell r="AJ1198" t="str">
            <v>Surgery</v>
          </cell>
          <cell r="AK1198" t="str">
            <v>Primary</v>
          </cell>
          <cell r="AL1198" t="str">
            <v>Chemotherapy+Surgery</v>
          </cell>
          <cell r="AQ1198">
            <v>3</v>
          </cell>
          <cell r="AR1198" t="str">
            <v>Pacli + Carbo</v>
          </cell>
          <cell r="AS1198" t="str">
            <v>Endometrioid  Adenocarcinoma</v>
          </cell>
          <cell r="AV1198">
            <v>45593</v>
          </cell>
          <cell r="AW1198">
            <v>0.65833333333333333</v>
          </cell>
          <cell r="AX1198">
            <v>0.71111111111111114</v>
          </cell>
          <cell r="AY1198">
            <v>5.2777777777777778E-2</v>
          </cell>
          <cell r="AZ1198">
            <v>0.59027777777777779</v>
          </cell>
          <cell r="BA1198">
            <v>0.19027777777777777</v>
          </cell>
          <cell r="BB1198" t="str">
            <v>0.2-0.4*0.8*1.0</v>
          </cell>
          <cell r="BD1198" t="str">
            <v>Manual</v>
          </cell>
          <cell r="BE1198">
            <v>15</v>
          </cell>
          <cell r="BF1198" t="str">
            <v>Dharani</v>
          </cell>
          <cell r="BG1198" t="str">
            <v>Y</v>
          </cell>
        </row>
        <row r="1199">
          <cell r="A1199" t="str">
            <v>FBR1Q240308</v>
          </cell>
          <cell r="B1199">
            <v>240308</v>
          </cell>
          <cell r="C1199" t="str">
            <v>R&amp;D</v>
          </cell>
          <cell r="D1199">
            <v>45593</v>
          </cell>
          <cell r="E1199">
            <v>0.63541666666666663</v>
          </cell>
          <cell r="F1199">
            <v>45566</v>
          </cell>
          <cell r="G1199">
            <v>45594</v>
          </cell>
          <cell r="H1199">
            <v>0.31736111111111109</v>
          </cell>
          <cell r="I11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J1199">
            <v>25</v>
          </cell>
          <cell r="K1199" t="str">
            <v>FCB-PROTOCOL-01</v>
          </cell>
          <cell r="L1199" t="str">
            <v>CLN/DBR/213</v>
          </cell>
          <cell r="M1199" t="str">
            <v>Y</v>
          </cell>
          <cell r="P1199" t="str">
            <v>Q1 Passed</v>
          </cell>
          <cell r="Q1199" t="str">
            <v>Q1 Passed</v>
          </cell>
          <cell r="R1199" t="str">
            <v>Q1.5 Passed</v>
          </cell>
          <cell r="S1199" t="str">
            <v>Q1.5 Passed</v>
          </cell>
          <cell r="V1199" t="str">
            <v>Tumor content 0-60%. Average tumor content 20%  . Immune component high</v>
          </cell>
          <cell r="W1199" t="str">
            <v>Private Hospital</v>
          </cell>
          <cell r="X1199" t="str">
            <v>Clinic'les- DBR &amp; SK Hospital, Tirupati</v>
          </cell>
          <cell r="Y1199" t="str">
            <v>DBR &amp; SK Hospital, Tirupati</v>
          </cell>
          <cell r="Z1199" t="str">
            <v>Dr C Jayaprakash, Tirupati</v>
          </cell>
          <cell r="AA1199" t="str">
            <v>Ca Breast</v>
          </cell>
          <cell r="AB1199" t="str">
            <v>TNBC</v>
          </cell>
          <cell r="AC1199" t="str">
            <v>Breast</v>
          </cell>
          <cell r="AD1199" t="str">
            <v>Left Breast</v>
          </cell>
          <cell r="AE1199" t="str">
            <v>Female</v>
          </cell>
          <cell r="AF1199">
            <v>71</v>
          </cell>
          <cell r="AG1199" t="str">
            <v>N</v>
          </cell>
          <cell r="AH1199">
            <v>5.7</v>
          </cell>
          <cell r="AI1199" t="str">
            <v>Kalappa</v>
          </cell>
          <cell r="AJ1199" t="str">
            <v>Surgery</v>
          </cell>
          <cell r="AK1199" t="str">
            <v>Primary</v>
          </cell>
          <cell r="AN1199" t="str">
            <v>IIA</v>
          </cell>
          <cell r="AO1199">
            <v>3</v>
          </cell>
          <cell r="AP1199" t="str">
            <v>T2 N0 MX</v>
          </cell>
          <cell r="AV1199">
            <v>45594</v>
          </cell>
          <cell r="AW1199">
            <v>0.34861111111111109</v>
          </cell>
          <cell r="AX1199">
            <v>0.42986111111111114</v>
          </cell>
          <cell r="AY1199">
            <v>8.1250000000000003E-2</v>
          </cell>
          <cell r="AZ1199">
            <v>0.74791666666666667</v>
          </cell>
          <cell r="BA11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199" t="str">
            <v>0.6*1.4*2.6</v>
          </cell>
          <cell r="BC1199" t="str">
            <v>0.6*0.2-1.4*2.5</v>
          </cell>
          <cell r="BD1199" t="str">
            <v>Manual</v>
          </cell>
          <cell r="BE1199">
            <v>15</v>
          </cell>
          <cell r="BF1199" t="str">
            <v>Mouniss</v>
          </cell>
          <cell r="BG1199" t="str">
            <v>Y</v>
          </cell>
        </row>
        <row r="1200">
          <cell r="A1200" t="str">
            <v>FBB1L240309</v>
          </cell>
          <cell r="B1200">
            <v>240309</v>
          </cell>
          <cell r="C1200" t="str">
            <v>Biopharma</v>
          </cell>
          <cell r="D1200">
            <v>45594</v>
          </cell>
          <cell r="E1200">
            <v>0.50694444444444442</v>
          </cell>
          <cell r="F1200">
            <v>45566</v>
          </cell>
          <cell r="G1200">
            <v>45594</v>
          </cell>
          <cell r="H1200">
            <v>0.55694444444444446</v>
          </cell>
          <cell r="I1200">
            <v>0.05</v>
          </cell>
          <cell r="J1200">
            <v>5</v>
          </cell>
          <cell r="K1200" t="str">
            <v>FCB-PROTOCOL-01</v>
          </cell>
          <cell r="L1200" t="str">
            <v>CLN/PRA/275</v>
          </cell>
          <cell r="M1200" t="str">
            <v>Y</v>
          </cell>
          <cell r="P1200" t="str">
            <v>Q1 Passed</v>
          </cell>
          <cell r="Q1200" t="str">
            <v>Q1 Rejected</v>
          </cell>
          <cell r="R1200" t="str">
            <v>Q1.5 Passed</v>
          </cell>
          <cell r="S1200" t="str">
            <v>Q1.5 Passed</v>
          </cell>
          <cell r="T1200" t="str">
            <v>Blood heamolysed</v>
          </cell>
          <cell r="V1200" t="str">
            <v>Tumor content 55-90% Clear cell type</v>
          </cell>
          <cell r="W1200" t="str">
            <v>Private Hospital</v>
          </cell>
          <cell r="X1200" t="str">
            <v>Dr Prakash BV, Bangalore</v>
          </cell>
          <cell r="Y1200" t="str">
            <v>Sri Lakshmi Hospital, Bangalore</v>
          </cell>
          <cell r="Z1200" t="str">
            <v>Dr Prakash BV, Bangalore</v>
          </cell>
          <cell r="AA1200" t="str">
            <v>RCC</v>
          </cell>
          <cell r="AC1200" t="str">
            <v>Renal Mass</v>
          </cell>
          <cell r="AD1200" t="str">
            <v>Left Renal Mass</v>
          </cell>
          <cell r="AE1200" t="str">
            <v>Female</v>
          </cell>
          <cell r="AF1200">
            <v>55</v>
          </cell>
          <cell r="AG1200" t="str">
            <v>N</v>
          </cell>
          <cell r="AH1200">
            <v>5.0999999999999996</v>
          </cell>
          <cell r="AI1200" t="str">
            <v>Shashi</v>
          </cell>
          <cell r="AJ1200" t="str">
            <v>Surgery</v>
          </cell>
          <cell r="AK1200" t="str">
            <v>Primary</v>
          </cell>
          <cell r="AN1200" t="str">
            <v>II</v>
          </cell>
          <cell r="AP1200" t="str">
            <v>pT2N0M0</v>
          </cell>
          <cell r="AV1200">
            <v>45594</v>
          </cell>
          <cell r="AW1200">
            <v>0.59166666666666667</v>
          </cell>
          <cell r="AX1200">
            <v>0.6694444444444444</v>
          </cell>
          <cell r="AY1200">
            <v>7.7777777777777779E-2</v>
          </cell>
          <cell r="AZ1200">
            <v>0.61944444444444446</v>
          </cell>
          <cell r="BA1200">
            <v>0.16250000000000001</v>
          </cell>
          <cell r="BB1200" t="str">
            <v>0.6/0.8*1.2-1.7*2.6-2.9</v>
          </cell>
          <cell r="BD1200" t="str">
            <v>Vibratome</v>
          </cell>
          <cell r="BE1200">
            <v>15</v>
          </cell>
          <cell r="BF1200" t="str">
            <v>Dharani</v>
          </cell>
          <cell r="BG1200" t="str">
            <v>Y</v>
          </cell>
        </row>
        <row r="1201">
          <cell r="A1201" t="str">
            <v>FBR2A240310</v>
          </cell>
          <cell r="B1201">
            <v>240310</v>
          </cell>
          <cell r="C1201" t="str">
            <v>R&amp;D</v>
          </cell>
          <cell r="D1201">
            <v>45594</v>
          </cell>
          <cell r="E1201">
            <v>0.44444444444444442</v>
          </cell>
          <cell r="F1201">
            <v>45566</v>
          </cell>
          <cell r="G1201">
            <v>45594</v>
          </cell>
          <cell r="H1201">
            <v>0.56874999999999998</v>
          </cell>
          <cell r="I1201">
            <v>0.12430555555555556</v>
          </cell>
          <cell r="J1201">
            <v>32</v>
          </cell>
          <cell r="K1201" t="str">
            <v>FCB-PROTOCOL-02</v>
          </cell>
          <cell r="L1201" t="str">
            <v>OCO45</v>
          </cell>
          <cell r="M1201" t="str">
            <v>Y</v>
          </cell>
          <cell r="P1201" t="str">
            <v>Q1 Passed</v>
          </cell>
          <cell r="Q1201" t="str">
            <v>Not Received</v>
          </cell>
          <cell r="R1201" t="str">
            <v>Q1.5 Passed</v>
          </cell>
          <cell r="S1201" t="str">
            <v>Q1.5 Rejected</v>
          </cell>
          <cell r="T1201" t="str">
            <v>Blood not collected</v>
          </cell>
          <cell r="V1201" t="str">
            <v>No tumor</v>
          </cell>
          <cell r="W1201" t="str">
            <v>Private Hospital</v>
          </cell>
          <cell r="X1201" t="str">
            <v>Mazumdar Shaw Medical Centre, Bangalore</v>
          </cell>
          <cell r="Y1201" t="str">
            <v>Mazumdar Shaw Medical Centre, Bangalore</v>
          </cell>
          <cell r="Z1201" t="str">
            <v>Dr Rohit Ranade, Bangalore</v>
          </cell>
          <cell r="AA1201" t="str">
            <v>Ca Ovary</v>
          </cell>
          <cell r="AC1201" t="str">
            <v>Ovary</v>
          </cell>
          <cell r="AD1201" t="str">
            <v>Right Ovary</v>
          </cell>
          <cell r="AE1201" t="str">
            <v>Female</v>
          </cell>
          <cell r="AF1201">
            <v>37</v>
          </cell>
          <cell r="AG1201" t="str">
            <v>N</v>
          </cell>
          <cell r="AH1201">
            <v>4.5999999999999996</v>
          </cell>
          <cell r="AI1201" t="str">
            <v>Maruthi</v>
          </cell>
          <cell r="AJ1201" t="str">
            <v>Surgery</v>
          </cell>
          <cell r="AK1201" t="str">
            <v>Primary</v>
          </cell>
          <cell r="AV1201">
            <v>45594</v>
          </cell>
          <cell r="AW1201">
            <v>0.58819444444444446</v>
          </cell>
          <cell r="AX1201">
            <v>0.7</v>
          </cell>
          <cell r="AY1201">
            <v>0.11180555555555556</v>
          </cell>
          <cell r="AZ1201">
            <v>0.5756944444444444</v>
          </cell>
          <cell r="BA1201">
            <v>0.25555555555555554</v>
          </cell>
          <cell r="BB1201" t="str">
            <v>0.7/0.8*0.2-1.1*0.8-2.8</v>
          </cell>
          <cell r="BD1201" t="str">
            <v>Manual</v>
          </cell>
          <cell r="BE1201">
            <v>15</v>
          </cell>
          <cell r="BF1201" t="str">
            <v>chandan</v>
          </cell>
          <cell r="BG1201" t="str">
            <v>N</v>
          </cell>
        </row>
        <row r="1202">
          <cell r="A1202" t="str">
            <v>FBR1K240311</v>
          </cell>
          <cell r="B1202">
            <v>240311</v>
          </cell>
          <cell r="C1202" t="str">
            <v>R&amp;D</v>
          </cell>
          <cell r="D1202">
            <v>45594</v>
          </cell>
          <cell r="E1202">
            <v>0.47569444444444442</v>
          </cell>
          <cell r="F1202">
            <v>45566</v>
          </cell>
          <cell r="G1202">
            <v>45594</v>
          </cell>
          <cell r="H1202">
            <v>0.60416666666666663</v>
          </cell>
          <cell r="I1202">
            <v>0.12847222222222221</v>
          </cell>
          <cell r="J1202">
            <v>2</v>
          </cell>
          <cell r="K1202" t="str">
            <v>FCB-PROTOCOL-01</v>
          </cell>
          <cell r="L1202" t="str">
            <v>VYD/322</v>
          </cell>
          <cell r="M1202" t="str">
            <v>Y</v>
          </cell>
          <cell r="P1202" t="str">
            <v>Q1 Passed</v>
          </cell>
          <cell r="Q1202" t="str">
            <v>Q1 Passed</v>
          </cell>
          <cell r="R1202" t="str">
            <v>Q1.5 Passed</v>
          </cell>
          <cell r="S1202" t="str">
            <v>Q1.5 Passed</v>
          </cell>
          <cell r="V1202" t="str">
            <v>Tumor content 45-90%</v>
          </cell>
          <cell r="W1202" t="str">
            <v>Private Hospital</v>
          </cell>
          <cell r="X1202" t="str">
            <v>Vydehi Hospital, Bangalore</v>
          </cell>
          <cell r="Y1202" t="str">
            <v>Vydehi Hospital, Bangalore</v>
          </cell>
          <cell r="Z1202" t="str">
            <v>Dr Amritha Prabha, Bangalore</v>
          </cell>
          <cell r="AA1202" t="str">
            <v>HNSCC</v>
          </cell>
          <cell r="AC1202" t="str">
            <v>Buccal Mucosa</v>
          </cell>
          <cell r="AD1202" t="str">
            <v>Left Buccal Mucosa</v>
          </cell>
          <cell r="AE1202" t="str">
            <v>Female</v>
          </cell>
          <cell r="AF1202">
            <v>71</v>
          </cell>
          <cell r="AG1202" t="str">
            <v>N</v>
          </cell>
          <cell r="AH1202">
            <v>4.8</v>
          </cell>
          <cell r="AI1202" t="str">
            <v>Kalappa</v>
          </cell>
          <cell r="AJ1202" t="str">
            <v>Surgery</v>
          </cell>
          <cell r="AK1202" t="str">
            <v>Primary</v>
          </cell>
          <cell r="AN1202" t="str">
            <v>IVa</v>
          </cell>
          <cell r="AO1202">
            <v>1</v>
          </cell>
          <cell r="AP1202" t="str">
            <v>T2N2b</v>
          </cell>
          <cell r="AS1202" t="str">
            <v>scc</v>
          </cell>
          <cell r="AV1202">
            <v>45594</v>
          </cell>
          <cell r="AW1202">
            <v>0.62569444444444444</v>
          </cell>
          <cell r="AX1202">
            <v>0.72499999999999998</v>
          </cell>
          <cell r="AY1202">
            <v>9.930555555555555E-2</v>
          </cell>
          <cell r="AZ1202">
            <v>0.59652777777777777</v>
          </cell>
          <cell r="BA1202">
            <v>0.24930555555555556</v>
          </cell>
          <cell r="BB1202" t="str">
            <v>0.6*1.0*1.2</v>
          </cell>
          <cell r="BD1202" t="str">
            <v>Vibratome</v>
          </cell>
          <cell r="BE1202">
            <v>15</v>
          </cell>
          <cell r="BF1202" t="str">
            <v>Syam</v>
          </cell>
          <cell r="BG1202" t="str">
            <v>Y</v>
          </cell>
        </row>
        <row r="1203">
          <cell r="A1203" t="str">
            <v>FBR2Q240312</v>
          </cell>
          <cell r="B1203">
            <v>240312</v>
          </cell>
          <cell r="C1203" t="str">
            <v>R&amp;D</v>
          </cell>
          <cell r="D1203">
            <v>45594</v>
          </cell>
          <cell r="E1203">
            <v>0.51041666666666663</v>
          </cell>
          <cell r="F1203">
            <v>45566</v>
          </cell>
          <cell r="G1203">
            <v>45594</v>
          </cell>
          <cell r="H1203">
            <v>0.8520833333333333</v>
          </cell>
          <cell r="I1203">
            <v>0.34166666666666667</v>
          </cell>
          <cell r="J1203">
            <v>25</v>
          </cell>
          <cell r="K1203" t="str">
            <v>FCB-PROTOCOL-01</v>
          </cell>
          <cell r="L1203" t="str">
            <v>CLN/DBR/214</v>
          </cell>
          <cell r="M1203" t="str">
            <v>Y</v>
          </cell>
          <cell r="P1203" t="str">
            <v>Q1 Passed</v>
          </cell>
          <cell r="Q1203" t="str">
            <v>Q1 Passed</v>
          </cell>
          <cell r="R1203" t="str">
            <v>Q1.5 Passed</v>
          </cell>
          <cell r="S1203" t="str">
            <v>Q1.5 Passed</v>
          </cell>
          <cell r="V1203" t="str">
            <v>Tumor content 12-45%</v>
          </cell>
          <cell r="W1203" t="str">
            <v>Private Hospital</v>
          </cell>
          <cell r="X1203" t="str">
            <v>Clinic'les- DBR &amp; SK Hospital, Tirupati</v>
          </cell>
          <cell r="Y1203" t="str">
            <v>DBR &amp; SK Hospital, Tirupati</v>
          </cell>
          <cell r="Z1203" t="str">
            <v>Dr C Jayaprakash, Tirupati</v>
          </cell>
          <cell r="AA1203" t="str">
            <v>HNSCC</v>
          </cell>
          <cell r="AC1203" t="str">
            <v>Buccal Mucosa</v>
          </cell>
          <cell r="AD1203" t="str">
            <v>Left Buccal Mucosa</v>
          </cell>
          <cell r="AE1203" t="str">
            <v>Male</v>
          </cell>
          <cell r="AF1203">
            <v>48</v>
          </cell>
          <cell r="AG1203" t="str">
            <v>N</v>
          </cell>
          <cell r="AH1203">
            <v>4.9000000000000004</v>
          </cell>
          <cell r="AI1203" t="str">
            <v>Shashi</v>
          </cell>
          <cell r="AJ1203" t="str">
            <v>Surgery</v>
          </cell>
          <cell r="AK1203" t="str">
            <v>Primary</v>
          </cell>
          <cell r="AN1203" t="str">
            <v>IVB</v>
          </cell>
          <cell r="AP1203" t="str">
            <v>T3 N3b MX</v>
          </cell>
          <cell r="AV1203">
            <v>45594</v>
          </cell>
          <cell r="AW1203">
            <v>0.87152777777777779</v>
          </cell>
          <cell r="AX1203">
            <v>0.97013888888888888</v>
          </cell>
          <cell r="AY1203">
            <v>9.8611111111111108E-2</v>
          </cell>
          <cell r="AZ1203">
            <v>0.62847222222222221</v>
          </cell>
          <cell r="BA1203">
            <v>0.4597222222222222</v>
          </cell>
          <cell r="BB1203" t="str">
            <v>0.5-0.6*1.4-1.6*1.8-2.0</v>
          </cell>
          <cell r="BD1203" t="str">
            <v>Vibratome</v>
          </cell>
          <cell r="BE1203">
            <v>15</v>
          </cell>
          <cell r="BF1203" t="str">
            <v xml:space="preserve">sai </v>
          </cell>
          <cell r="BG1203" t="str">
            <v>Y</v>
          </cell>
        </row>
        <row r="1204">
          <cell r="A1204" t="str">
            <v>FBB1L240313</v>
          </cell>
          <cell r="B1204">
            <v>240313</v>
          </cell>
          <cell r="C1204" t="str">
            <v>Biopharma</v>
          </cell>
          <cell r="D1204">
            <v>45600</v>
          </cell>
          <cell r="E1204">
            <v>0.38541666666666669</v>
          </cell>
          <cell r="F1204">
            <v>45597</v>
          </cell>
          <cell r="G1204">
            <v>45600</v>
          </cell>
          <cell r="H1204">
            <v>0.62708333333333333</v>
          </cell>
          <cell r="I1204">
            <v>0.24166666666666667</v>
          </cell>
          <cell r="J1204">
            <v>3</v>
          </cell>
          <cell r="K1204" t="str">
            <v>FCB-PROTOCOL-01</v>
          </cell>
          <cell r="L1204" t="str">
            <v>CLN/PRA/276</v>
          </cell>
          <cell r="M1204" t="str">
            <v>Y</v>
          </cell>
          <cell r="P1204" t="str">
            <v>Q1 Passed</v>
          </cell>
          <cell r="Q1204" t="str">
            <v>Q1 Rejected</v>
          </cell>
          <cell r="R1204" t="str">
            <v>Q1.5 Passed</v>
          </cell>
          <cell r="S1204" t="str">
            <v>Q1.5 Rejected</v>
          </cell>
          <cell r="T1204" t="str">
            <v>Blood Clotted</v>
          </cell>
          <cell r="V1204" t="str">
            <v>Tumor content 60-95%.  Papillary RCC</v>
          </cell>
          <cell r="W1204" t="str">
            <v>Private Hospital</v>
          </cell>
          <cell r="X1204" t="str">
            <v>Dr Prakash BV, Bangalore</v>
          </cell>
          <cell r="Y1204" t="str">
            <v>Sri Lakshmi Hospital, Bangalore</v>
          </cell>
          <cell r="Z1204" t="str">
            <v>Dr Prakash BV, Bangalore</v>
          </cell>
          <cell r="AA1204" t="str">
            <v>RCC</v>
          </cell>
          <cell r="AC1204" t="str">
            <v>Renal Mass</v>
          </cell>
          <cell r="AD1204" t="str">
            <v>Right Renal Mass</v>
          </cell>
          <cell r="AE1204" t="str">
            <v>Female</v>
          </cell>
          <cell r="AF1204">
            <v>58</v>
          </cell>
          <cell r="AG1204" t="str">
            <v>N</v>
          </cell>
          <cell r="AH1204">
            <v>5.5</v>
          </cell>
          <cell r="AI1204" t="str">
            <v>Kalappa</v>
          </cell>
          <cell r="AJ1204" t="str">
            <v>Surgery</v>
          </cell>
          <cell r="AK1204" t="str">
            <v>Primary</v>
          </cell>
          <cell r="AN1204" t="str">
            <v>II</v>
          </cell>
          <cell r="AO1204">
            <v>3</v>
          </cell>
          <cell r="AP1204" t="str">
            <v>pT2N0</v>
          </cell>
          <cell r="AV1204">
            <v>45600</v>
          </cell>
        </row>
        <row r="1205">
          <cell r="A1205" t="str">
            <v>FBR1Y240314</v>
          </cell>
          <cell r="B1205">
            <v>240314</v>
          </cell>
          <cell r="C1205" t="str">
            <v>R&amp;D</v>
          </cell>
          <cell r="D1205">
            <v>45600</v>
          </cell>
          <cell r="E1205">
            <v>0.52777777777777779</v>
          </cell>
          <cell r="F1205">
            <v>45597</v>
          </cell>
          <cell r="G1205">
            <v>45600</v>
          </cell>
          <cell r="H1205">
            <v>0.62708333333333333</v>
          </cell>
          <cell r="I1205">
            <v>9.930555555555555E-2</v>
          </cell>
          <cell r="J1205">
            <v>3</v>
          </cell>
          <cell r="K1205" t="str">
            <v>FCB-PROTOCOL-01</v>
          </cell>
          <cell r="L1205" t="str">
            <v>CLN/PRA/277</v>
          </cell>
          <cell r="M1205" t="str">
            <v>Y</v>
          </cell>
          <cell r="P1205" t="str">
            <v>Q1 Passed</v>
          </cell>
          <cell r="Q1205" t="str">
            <v>Q1 Passed</v>
          </cell>
          <cell r="R1205" t="str">
            <v>Q1.5 Passed</v>
          </cell>
          <cell r="S1205" t="str">
            <v>Q1.5 Rejected</v>
          </cell>
          <cell r="T1205" t="str">
            <v>Tissue came out from Vibrotome, Only TBL plate submitted</v>
          </cell>
          <cell r="V1205" t="str">
            <v>Tumor content 0-60%. Average tumor content 30%</v>
          </cell>
          <cell r="W1205" t="str">
            <v>Private Hospital</v>
          </cell>
          <cell r="X1205" t="str">
            <v>Dr Prakash BV, Bangalore</v>
          </cell>
          <cell r="Y1205" t="str">
            <v>Sri Lakshmi Hospital, Bangalore</v>
          </cell>
          <cell r="Z1205" t="str">
            <v>Dr Prakash BV, Bangalore</v>
          </cell>
          <cell r="AA1205" t="str">
            <v>HNSCC</v>
          </cell>
          <cell r="AC1205" t="str">
            <v>Oropharynx</v>
          </cell>
          <cell r="AD1205" t="str">
            <v>Oropharynx</v>
          </cell>
          <cell r="AE1205" t="str">
            <v>Female</v>
          </cell>
          <cell r="AF1205">
            <v>58</v>
          </cell>
          <cell r="AG1205" t="str">
            <v>N</v>
          </cell>
          <cell r="AH1205">
            <v>5.5</v>
          </cell>
          <cell r="AI1205" t="str">
            <v>Kalappa</v>
          </cell>
          <cell r="AJ1205" t="str">
            <v>Surgery</v>
          </cell>
          <cell r="AK1205" t="str">
            <v>Primary</v>
          </cell>
          <cell r="AN1205" t="str">
            <v>II</v>
          </cell>
          <cell r="AP1205" t="str">
            <v>pT3N0M0</v>
          </cell>
          <cell r="AS1205" t="str">
            <v>SCC</v>
          </cell>
          <cell r="AV1205">
            <v>45600</v>
          </cell>
          <cell r="AW1205">
            <v>0.64652777777777781</v>
          </cell>
          <cell r="BB1205" t="str">
            <v>0.2-0.3*1.2*1.8</v>
          </cell>
          <cell r="BD1205" t="str">
            <v>Manual</v>
          </cell>
          <cell r="BE1205">
            <v>14</v>
          </cell>
          <cell r="BF1205" t="str">
            <v>Dharani</v>
          </cell>
          <cell r="BG1205" t="str">
            <v>Y</v>
          </cell>
        </row>
        <row r="1206">
          <cell r="A1206" t="str">
            <v>FBR1Q240315</v>
          </cell>
          <cell r="B1206">
            <v>240315</v>
          </cell>
          <cell r="C1206" t="str">
            <v>R&amp;D</v>
          </cell>
          <cell r="D1206">
            <v>45601</v>
          </cell>
          <cell r="E1206">
            <v>0.46319444444444446</v>
          </cell>
          <cell r="F1206">
            <v>45597</v>
          </cell>
          <cell r="G1206">
            <v>45601</v>
          </cell>
          <cell r="H1206">
            <v>0.61250000000000004</v>
          </cell>
          <cell r="I1206">
            <v>0.14930555555555555</v>
          </cell>
          <cell r="J1206">
            <v>7</v>
          </cell>
          <cell r="K1206" t="str">
            <v>FCB-PROTOCOL-01</v>
          </cell>
          <cell r="L1206" t="str">
            <v>VYD/323</v>
          </cell>
          <cell r="M1206" t="str">
            <v>Y</v>
          </cell>
          <cell r="P1206" t="str">
            <v>Q1 Passed</v>
          </cell>
          <cell r="Q1206" t="str">
            <v>Q1 Passed</v>
          </cell>
          <cell r="R1206" t="str">
            <v>Q1.5 Passed</v>
          </cell>
          <cell r="S1206" t="str">
            <v>Q1.5 Passed</v>
          </cell>
          <cell r="V1206" t="str">
            <v xml:space="preserve">	
Tumor content 4-15%</v>
          </cell>
          <cell r="W1206" t="str">
            <v>Private Hospital</v>
          </cell>
          <cell r="X1206" t="str">
            <v>Vydehi Hospital, Bangalore</v>
          </cell>
          <cell r="Y1206" t="str">
            <v>Vydehi Hospital, Bangalore</v>
          </cell>
          <cell r="Z1206" t="str">
            <v>Dr Amritha Prabha, Bangalore</v>
          </cell>
          <cell r="AA1206" t="str">
            <v>Ca Breast</v>
          </cell>
          <cell r="AB1206" t="str">
            <v>Er+ Pr + Her2 -</v>
          </cell>
          <cell r="AC1206" t="str">
            <v>Breast</v>
          </cell>
          <cell r="AD1206" t="str">
            <v>Right Breast</v>
          </cell>
          <cell r="AE1206" t="str">
            <v>Female</v>
          </cell>
          <cell r="AF1206">
            <v>43</v>
          </cell>
          <cell r="AG1206" t="str">
            <v>N</v>
          </cell>
          <cell r="AH1206">
            <v>5.0999999999999996</v>
          </cell>
          <cell r="AI1206" t="str">
            <v>Kalappa</v>
          </cell>
          <cell r="AJ1206" t="str">
            <v>Surgery</v>
          </cell>
          <cell r="AK1206" t="str">
            <v>Primary</v>
          </cell>
          <cell r="AN1206" t="str">
            <v>IB</v>
          </cell>
          <cell r="AO1206">
            <v>2</v>
          </cell>
          <cell r="AP1206" t="str">
            <v>T2N2a</v>
          </cell>
          <cell r="AS1206" t="str">
            <v>IDC</v>
          </cell>
          <cell r="AV1206">
            <v>45601</v>
          </cell>
          <cell r="AW1206">
            <v>0.62777777777777777</v>
          </cell>
          <cell r="AX1206">
            <v>0.68055555555555558</v>
          </cell>
          <cell r="AY1206">
            <v>5.2777777777777778E-2</v>
          </cell>
          <cell r="AZ1206">
            <v>0.53125</v>
          </cell>
          <cell r="BA1206">
            <v>0.21736111111111112</v>
          </cell>
          <cell r="BB1206" t="str">
            <v xml:space="preserve">0.4*1.4*3.0
</v>
          </cell>
          <cell r="BC1206" t="str">
            <v>0.4*1.4*2.2</v>
          </cell>
          <cell r="BD1206" t="str">
            <v>Manual</v>
          </cell>
          <cell r="BE1206">
            <v>14</v>
          </cell>
          <cell r="BF1206" t="str">
            <v>Syam</v>
          </cell>
          <cell r="BG1206" t="str">
            <v>Y</v>
          </cell>
        </row>
        <row r="1207">
          <cell r="A1207" t="str">
            <v>FBR1Y240316</v>
          </cell>
          <cell r="B1207">
            <v>240316</v>
          </cell>
          <cell r="C1207" t="str">
            <v>R&amp;D</v>
          </cell>
          <cell r="D1207">
            <v>45601</v>
          </cell>
          <cell r="E1207">
            <v>0.5625</v>
          </cell>
          <cell r="F1207">
            <v>45597</v>
          </cell>
          <cell r="G1207">
            <v>45601</v>
          </cell>
          <cell r="H1207">
            <v>0.70138888888888884</v>
          </cell>
          <cell r="I1207">
            <v>0.1388888888888889</v>
          </cell>
          <cell r="J1207">
            <v>10</v>
          </cell>
          <cell r="K1207" t="str">
            <v>FCB-PROTOCOL-02</v>
          </cell>
          <cell r="L1207" t="str">
            <v>HN185</v>
          </cell>
          <cell r="M1207" t="str">
            <v>Y</v>
          </cell>
          <cell r="P1207" t="str">
            <v>Q1 Passed</v>
          </cell>
          <cell r="Q1207" t="str">
            <v>Not Received</v>
          </cell>
          <cell r="R1207" t="str">
            <v>Compromised</v>
          </cell>
          <cell r="S1207" t="str">
            <v>Q1.5 Passed</v>
          </cell>
          <cell r="T1207" t="str">
            <v>Blood not collected</v>
          </cell>
          <cell r="V1207" t="str">
            <v>Tumor content 20-70%</v>
          </cell>
          <cell r="W1207" t="str">
            <v>Private Hospital</v>
          </cell>
          <cell r="X1207" t="str">
            <v>Mazumdar Shaw Medical Centre, Bangalore</v>
          </cell>
          <cell r="Y1207" t="str">
            <v>Mazumdar Shaw Medical Centre, Bangalore</v>
          </cell>
          <cell r="Z1207" t="str">
            <v>Dr Vijay Pillai, Bangalore</v>
          </cell>
          <cell r="AA1207" t="str">
            <v>HNSCC</v>
          </cell>
          <cell r="AC1207" t="str">
            <v>Tongue</v>
          </cell>
          <cell r="AD1207" t="str">
            <v>Left Lateral Tongue</v>
          </cell>
          <cell r="AE1207" t="str">
            <v>Female</v>
          </cell>
          <cell r="AF1207">
            <v>72</v>
          </cell>
          <cell r="AG1207" t="str">
            <v>N</v>
          </cell>
          <cell r="AH1207">
            <v>7</v>
          </cell>
          <cell r="AI1207" t="str">
            <v>Kalappa</v>
          </cell>
          <cell r="AJ1207" t="str">
            <v>Surgery</v>
          </cell>
          <cell r="AK1207" t="str">
            <v>Primary</v>
          </cell>
          <cell r="AL1207" t="str">
            <v>Surgery + Radiotherapy</v>
          </cell>
          <cell r="AN1207">
            <v>4</v>
          </cell>
          <cell r="AO1207">
            <v>2</v>
          </cell>
          <cell r="AP1207" t="str">
            <v>pT4apN0</v>
          </cell>
          <cell r="AS1207" t="str">
            <v>MDSCC(Moderately Differentiated Squamous cell carcinoma)</v>
          </cell>
          <cell r="AV1207">
            <v>45601</v>
          </cell>
          <cell r="AW1207">
            <v>0.71736111111111112</v>
          </cell>
          <cell r="AX1207">
            <v>0.79722222222222228</v>
          </cell>
          <cell r="AY1207">
            <v>7.9861111111111105E-2</v>
          </cell>
          <cell r="AZ1207">
            <v>0.65833333333333333</v>
          </cell>
          <cell r="BA1207">
            <v>0.23472222222222222</v>
          </cell>
          <cell r="BB1207" t="str">
            <v>0.4*1.0*1.2</v>
          </cell>
          <cell r="BD1207" t="str">
            <v>Vibratome</v>
          </cell>
          <cell r="BE1207">
            <v>14</v>
          </cell>
          <cell r="BF1207" t="str">
            <v>Abdul</v>
          </cell>
          <cell r="BG1207" t="str">
            <v>N</v>
          </cell>
        </row>
        <row r="1208">
          <cell r="A1208" t="str">
            <v>FBR2S240317</v>
          </cell>
          <cell r="B1208">
            <v>240317</v>
          </cell>
          <cell r="C1208" t="str">
            <v>R&amp;D</v>
          </cell>
          <cell r="D1208">
            <v>45601</v>
          </cell>
          <cell r="E1208">
            <v>0.83333333333333337</v>
          </cell>
          <cell r="F1208">
            <v>45597</v>
          </cell>
          <cell r="G1208">
            <v>45601</v>
          </cell>
          <cell r="H1208">
            <v>0.875</v>
          </cell>
          <cell r="I1208">
            <v>4.1666666666666664E-2</v>
          </cell>
          <cell r="J1208">
            <v>5</v>
          </cell>
          <cell r="K1208" t="str">
            <v>FCB-PROTOCOL-01</v>
          </cell>
          <cell r="L1208" t="str">
            <v>VYD/324</v>
          </cell>
          <cell r="M1208" t="str">
            <v>Y</v>
          </cell>
          <cell r="P1208" t="str">
            <v>Q1 Passed</v>
          </cell>
          <cell r="Q1208" t="str">
            <v>Q1 Passed</v>
          </cell>
          <cell r="R1208" t="str">
            <v>Q1.5 Passed</v>
          </cell>
          <cell r="S1208" t="str">
            <v>Q1.5 Passed</v>
          </cell>
          <cell r="V1208" t="str">
            <v>Tumor content 1-45%</v>
          </cell>
          <cell r="W1208" t="str">
            <v>Private Hospital</v>
          </cell>
          <cell r="X1208" t="str">
            <v>Vydehi Hospital, Bangalore</v>
          </cell>
          <cell r="Y1208" t="str">
            <v>Vydehi Hospital, Bangalore</v>
          </cell>
          <cell r="Z1208" t="str">
            <v>Dr Amritha Prabha, Bangalore</v>
          </cell>
          <cell r="AA1208" t="str">
            <v>CRC</v>
          </cell>
          <cell r="AC1208" t="str">
            <v>Colon</v>
          </cell>
          <cell r="AD1208" t="str">
            <v>Right Colon</v>
          </cell>
          <cell r="AE1208" t="str">
            <v>Male</v>
          </cell>
          <cell r="AF1208">
            <v>29</v>
          </cell>
          <cell r="AG1208" t="str">
            <v>N</v>
          </cell>
          <cell r="AH1208">
            <v>5.6</v>
          </cell>
          <cell r="AI1208" t="str">
            <v>Kalappa</v>
          </cell>
          <cell r="AJ1208" t="str">
            <v>Surgery</v>
          </cell>
          <cell r="AK1208" t="str">
            <v>Primary</v>
          </cell>
          <cell r="AN1208" t="str">
            <v>I</v>
          </cell>
          <cell r="AO1208">
            <v>2</v>
          </cell>
          <cell r="AP1208" t="str">
            <v>T2N0</v>
          </cell>
          <cell r="AS1208" t="str">
            <v>adenocarcinoma</v>
          </cell>
          <cell r="AV1208">
            <v>45602</v>
          </cell>
          <cell r="AW1208">
            <v>0.30555555555555558</v>
          </cell>
          <cell r="AX1208">
            <v>0.39930555555555558</v>
          </cell>
          <cell r="AY1208">
            <v>9.375E-2</v>
          </cell>
          <cell r="AZ1208">
            <v>0.3576388888888889</v>
          </cell>
          <cell r="BA120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08" t="str">
            <v>0.6*2.0*2.6</v>
          </cell>
          <cell r="BD1208" t="str">
            <v>Vibratome</v>
          </cell>
          <cell r="BE1208">
            <v>13</v>
          </cell>
          <cell r="BF1208" t="str">
            <v>Syam</v>
          </cell>
          <cell r="BG1208" t="str">
            <v>Y</v>
          </cell>
        </row>
        <row r="1209">
          <cell r="A1209" t="str">
            <v>FBR2S240318</v>
          </cell>
          <cell r="B1209">
            <v>240318</v>
          </cell>
          <cell r="C1209" t="str">
            <v>R&amp;D</v>
          </cell>
          <cell r="D1209">
            <v>45602</v>
          </cell>
          <cell r="E1209">
            <v>0.39930555555555558</v>
          </cell>
          <cell r="F1209">
            <v>45597</v>
          </cell>
          <cell r="G1209">
            <v>45602</v>
          </cell>
          <cell r="H1209">
            <v>0.48333333333333334</v>
          </cell>
          <cell r="I1209">
            <v>8.4027777777777785E-2</v>
          </cell>
          <cell r="J1209">
            <v>3</v>
          </cell>
          <cell r="K1209" t="str">
            <v>FCB-PROTOCOL-01</v>
          </cell>
          <cell r="L1209" t="str">
            <v>CLN/PRA/278</v>
          </cell>
          <cell r="M1209" t="str">
            <v>Y</v>
          </cell>
          <cell r="P1209" t="str">
            <v>Q1 Passed</v>
          </cell>
          <cell r="Q1209" t="str">
            <v>Q1 Passed</v>
          </cell>
          <cell r="R1209" t="str">
            <v>Q1.5 Passed</v>
          </cell>
          <cell r="S1209" t="str">
            <v>Q1.5 Passed</v>
          </cell>
          <cell r="V1209" t="str">
            <v>A:Tumor content 2-30%
B:Tumor content 0-8%. Average tumor content 2%</v>
          </cell>
          <cell r="W1209" t="str">
            <v>Private Hospital</v>
          </cell>
          <cell r="X1209" t="str">
            <v>Dr Prakash BV, Bangalore</v>
          </cell>
          <cell r="Y1209" t="str">
            <v>Sri Lakshmi Hospital, Bangalore</v>
          </cell>
          <cell r="Z1209" t="str">
            <v>Dr Prakash BV, Bangalore</v>
          </cell>
          <cell r="AA1209" t="str">
            <v>CRC</v>
          </cell>
          <cell r="AC1209" t="str">
            <v>Colon</v>
          </cell>
          <cell r="AD1209" t="str">
            <v>Sigmoid Colon</v>
          </cell>
          <cell r="AE1209" t="str">
            <v>Male</v>
          </cell>
          <cell r="AF1209">
            <v>60</v>
          </cell>
          <cell r="AG1209" t="str">
            <v>N</v>
          </cell>
          <cell r="AH1209">
            <v>5.2</v>
          </cell>
          <cell r="AI1209" t="str">
            <v>Kalappa</v>
          </cell>
          <cell r="AJ1209" t="str">
            <v>Surgery</v>
          </cell>
          <cell r="AK1209" t="str">
            <v>Primary</v>
          </cell>
          <cell r="AN1209" t="str">
            <v>III</v>
          </cell>
          <cell r="AO1209">
            <v>2</v>
          </cell>
          <cell r="AP1209" t="str">
            <v>pT3N1</v>
          </cell>
          <cell r="AV1209">
            <v>45602</v>
          </cell>
          <cell r="AW1209">
            <v>0.50416666666666665</v>
          </cell>
          <cell r="AX1209">
            <v>0.62708333333333333</v>
          </cell>
          <cell r="AY1209">
            <v>0.12291666666666666</v>
          </cell>
          <cell r="AZ1209">
            <v>0.54305555555555551</v>
          </cell>
          <cell r="BA1209">
            <v>0.22777777777777777</v>
          </cell>
          <cell r="BB1209" t="str">
            <v>0.2-0.6*1.6-2.0*2.6-2.8</v>
          </cell>
          <cell r="BC1209" t="str">
            <v>9.2-0.6*1.2*2.2
0.6*0.6-1.2*2.0-2.2</v>
          </cell>
          <cell r="BD1209" t="str">
            <v>Vibratome</v>
          </cell>
          <cell r="BE1209">
            <v>13</v>
          </cell>
          <cell r="BF1209" t="str">
            <v xml:space="preserve">sai </v>
          </cell>
          <cell r="BG1209" t="str">
            <v>Y</v>
          </cell>
        </row>
        <row r="1210">
          <cell r="A1210" t="str">
            <v>FBR1Y240319</v>
          </cell>
          <cell r="B1210">
            <v>240319</v>
          </cell>
          <cell r="C1210" t="str">
            <v>R&amp;D</v>
          </cell>
          <cell r="D1210">
            <v>45602</v>
          </cell>
          <cell r="E1210">
            <v>0.5625</v>
          </cell>
          <cell r="F1210">
            <v>45597</v>
          </cell>
          <cell r="G1210">
            <v>45602</v>
          </cell>
          <cell r="H1210">
            <v>0.66319444444444442</v>
          </cell>
          <cell r="I1210">
            <v>0.10069444444444445</v>
          </cell>
          <cell r="J1210">
            <v>10</v>
          </cell>
          <cell r="K1210" t="str">
            <v>FCB-PROTOCOL-02</v>
          </cell>
          <cell r="L1210" t="str">
            <v>HN186</v>
          </cell>
          <cell r="M1210" t="str">
            <v>Y</v>
          </cell>
          <cell r="P1210" t="str">
            <v>Q1 Passed</v>
          </cell>
          <cell r="Q1210" t="str">
            <v>Not Received</v>
          </cell>
          <cell r="R1210" t="str">
            <v>Compromised</v>
          </cell>
          <cell r="S1210" t="str">
            <v>Q1.5 Rejected</v>
          </cell>
          <cell r="T1210" t="str">
            <v>Blood not collected</v>
          </cell>
          <cell r="V1210" t="str">
            <v xml:space="preserve">	
No frank tumor. Mostly superficial epithelium.</v>
          </cell>
          <cell r="W1210" t="str">
            <v>Private Hospital</v>
          </cell>
          <cell r="X1210" t="str">
            <v>Mazumdar Shaw Medical Centre, Bangalore</v>
          </cell>
          <cell r="Y1210" t="str">
            <v>Mazumdar Shaw Medical Centre, Bangalore</v>
          </cell>
          <cell r="Z1210" t="str">
            <v>Dr Vijay Pillai, Bangalore</v>
          </cell>
          <cell r="AA1210" t="str">
            <v>HNSCC</v>
          </cell>
          <cell r="AC1210" t="str">
            <v>Lip</v>
          </cell>
          <cell r="AD1210" t="str">
            <v>Lower Lip</v>
          </cell>
          <cell r="AE1210" t="str">
            <v>Male</v>
          </cell>
          <cell r="AF1210">
            <v>64</v>
          </cell>
          <cell r="AG1210" t="str">
            <v>N</v>
          </cell>
          <cell r="AH1210">
            <v>4.5999999999999996</v>
          </cell>
          <cell r="AI1210" t="str">
            <v>Kalappa</v>
          </cell>
          <cell r="AJ1210" t="str">
            <v>Surgery</v>
          </cell>
          <cell r="AK1210" t="str">
            <v>Primary</v>
          </cell>
          <cell r="AN1210">
            <v>3</v>
          </cell>
          <cell r="AO1210">
            <v>3</v>
          </cell>
          <cell r="AP1210" t="str">
            <v>pT3pN0</v>
          </cell>
          <cell r="AS1210" t="str">
            <v>Well differentiated  verrucous carcinoma</v>
          </cell>
          <cell r="AV1210">
            <v>45602</v>
          </cell>
          <cell r="AW1210">
            <v>0.69097222222222221</v>
          </cell>
          <cell r="AX1210">
            <v>0.74097222222222225</v>
          </cell>
          <cell r="AY1210">
            <v>0.05</v>
          </cell>
          <cell r="AZ1210">
            <v>0.64027777777777772</v>
          </cell>
          <cell r="BA1210">
            <v>0.17847222222222223</v>
          </cell>
          <cell r="BB1210" t="str">
            <v>0.3-0.4*0.8*0.8</v>
          </cell>
          <cell r="BD1210" t="str">
            <v>Manual</v>
          </cell>
          <cell r="BE1210">
            <v>14</v>
          </cell>
          <cell r="BF1210" t="str">
            <v>Abdul</v>
          </cell>
          <cell r="BG1210" t="str">
            <v>N</v>
          </cell>
        </row>
        <row r="1211">
          <cell r="A1211" t="str">
            <v>FBR2C240320</v>
          </cell>
          <cell r="B1211">
            <v>240320</v>
          </cell>
          <cell r="C1211" t="str">
            <v>R&amp;D</v>
          </cell>
          <cell r="D1211">
            <v>45603</v>
          </cell>
          <cell r="E1211">
            <v>0.54652777777777772</v>
          </cell>
          <cell r="F1211">
            <v>45597</v>
          </cell>
          <cell r="G1211">
            <v>45603</v>
          </cell>
          <cell r="H1211">
            <v>0.62986111111111109</v>
          </cell>
          <cell r="I1211">
            <v>8.3333333333333329E-2</v>
          </cell>
          <cell r="J1211">
            <v>2</v>
          </cell>
          <cell r="K1211" t="str">
            <v>FCB-PROTOCOL-01</v>
          </cell>
          <cell r="L1211" t="str">
            <v>CLN/PRA/279</v>
          </cell>
          <cell r="M1211" t="str">
            <v>Y</v>
          </cell>
          <cell r="P1211" t="str">
            <v>Q1 Passed</v>
          </cell>
          <cell r="Q1211" t="str">
            <v>Q1 Rejected</v>
          </cell>
          <cell r="R1211" t="str">
            <v>Compromised</v>
          </cell>
          <cell r="S1211" t="str">
            <v>Q1.5 Rejected</v>
          </cell>
          <cell r="T1211" t="str">
            <v>Blood Clotted</v>
          </cell>
          <cell r="V1211" t="str">
            <v>No tumor</v>
          </cell>
          <cell r="W1211" t="str">
            <v>Private Hospital</v>
          </cell>
          <cell r="X1211" t="str">
            <v>Dr Prakash BV, Bangalore</v>
          </cell>
          <cell r="Y1211" t="str">
            <v>Sri Lakshmi Hospital, Bangalore</v>
          </cell>
          <cell r="Z1211" t="str">
            <v>Dr Prakash BV, Bangalore</v>
          </cell>
          <cell r="AA1211" t="str">
            <v>RCC</v>
          </cell>
          <cell r="AC1211" t="str">
            <v>Renal Mass</v>
          </cell>
          <cell r="AD1211" t="str">
            <v>Right Renal Mass</v>
          </cell>
          <cell r="AE1211" t="str">
            <v>Male</v>
          </cell>
          <cell r="AF1211">
            <v>60</v>
          </cell>
          <cell r="AG1211" t="str">
            <v>N</v>
          </cell>
          <cell r="AH1211">
            <v>4.8</v>
          </cell>
          <cell r="AI1211" t="str">
            <v>Kalappa</v>
          </cell>
          <cell r="AJ1211" t="str">
            <v>Surgery</v>
          </cell>
          <cell r="AK1211" t="str">
            <v>Primary</v>
          </cell>
          <cell r="AV1211">
            <v>45603</v>
          </cell>
          <cell r="AW1211">
            <v>0.65277777777777779</v>
          </cell>
          <cell r="AX1211">
            <v>0.73541666666666672</v>
          </cell>
          <cell r="AY1211">
            <v>8.2638888888888887E-2</v>
          </cell>
          <cell r="AZ1211">
            <v>0.65208333333333335</v>
          </cell>
          <cell r="BA1211">
            <v>0.18888888888888888</v>
          </cell>
          <cell r="BB1211" t="str">
            <v>0.4*1.6*3.2
0.6*1.0*1.8</v>
          </cell>
          <cell r="BD1211" t="str">
            <v>Vibratome</v>
          </cell>
          <cell r="BE1211">
            <v>14</v>
          </cell>
          <cell r="BF1211" t="str">
            <v>Pallavi</v>
          </cell>
          <cell r="BG1211" t="str">
            <v>N</v>
          </cell>
        </row>
        <row r="1212">
          <cell r="A1212" t="str">
            <v>FBR1Y240321</v>
          </cell>
          <cell r="B1212">
            <v>240321</v>
          </cell>
          <cell r="C1212" t="str">
            <v>R&amp;D</v>
          </cell>
          <cell r="D1212">
            <v>45604</v>
          </cell>
          <cell r="E1212">
            <v>0.48888888888888887</v>
          </cell>
          <cell r="F1212">
            <v>45597</v>
          </cell>
          <cell r="G1212">
            <v>45604</v>
          </cell>
          <cell r="H1212">
            <v>0.58611111111111114</v>
          </cell>
          <cell r="I1212">
            <v>9.7222222222222224E-2</v>
          </cell>
          <cell r="J1212">
            <v>2</v>
          </cell>
          <cell r="K1212" t="str">
            <v>FCB-PROTOCOL-01</v>
          </cell>
          <cell r="L1212" t="str">
            <v>VYD/325</v>
          </cell>
          <cell r="M1212" t="str">
            <v>Y</v>
          </cell>
          <cell r="P1212" t="str">
            <v>Q1 Passed</v>
          </cell>
          <cell r="Q1212" t="str">
            <v>Q1 Passed</v>
          </cell>
          <cell r="R1212" t="str">
            <v>Q1.5 Passed</v>
          </cell>
          <cell r="S1212" t="str">
            <v>Q1.5 Rejected</v>
          </cell>
          <cell r="V1212" t="str">
            <v>No tumor. Only necrosed tissue</v>
          </cell>
          <cell r="W1212" t="str">
            <v>Private Hospital</v>
          </cell>
          <cell r="X1212" t="str">
            <v>Vydehi Hospital, Bangalore</v>
          </cell>
          <cell r="Y1212" t="str">
            <v>Vydehi Hospital, Bangalore</v>
          </cell>
          <cell r="Z1212" t="str">
            <v>Dr Amritha Prabha, Bangalore</v>
          </cell>
          <cell r="AA1212" t="str">
            <v>HNSCC</v>
          </cell>
          <cell r="AC1212" t="str">
            <v>Buccal Mucosa</v>
          </cell>
          <cell r="AD1212" t="str">
            <v>Left Buccal Mucosa</v>
          </cell>
          <cell r="AE1212" t="str">
            <v>Female</v>
          </cell>
          <cell r="AF1212">
            <v>60</v>
          </cell>
          <cell r="AG1212" t="str">
            <v>N</v>
          </cell>
          <cell r="AH1212">
            <v>5.2</v>
          </cell>
          <cell r="AI1212" t="str">
            <v>Kalappa</v>
          </cell>
          <cell r="AJ1212" t="str">
            <v>Surgery</v>
          </cell>
          <cell r="AK1212" t="str">
            <v>Primary</v>
          </cell>
          <cell r="AN1212" t="str">
            <v>NA</v>
          </cell>
          <cell r="AO1212" t="str">
            <v>NA</v>
          </cell>
          <cell r="AP1212" t="str">
            <v>NA</v>
          </cell>
          <cell r="AV1212">
            <v>45604</v>
          </cell>
          <cell r="AW1212">
            <v>0.6166666666666667</v>
          </cell>
          <cell r="AX1212">
            <v>0.71875</v>
          </cell>
          <cell r="AY1212">
            <v>0.10208333333333333</v>
          </cell>
          <cell r="AZ1212">
            <v>0.62152777777777779</v>
          </cell>
          <cell r="BA1212">
            <v>0.2298611111111111</v>
          </cell>
          <cell r="BB1212" t="str">
            <v>0.2*1.4*1.4</v>
          </cell>
          <cell r="BD1212" t="str">
            <v>Manual</v>
          </cell>
          <cell r="BE1212">
            <v>14</v>
          </cell>
          <cell r="BF1212" t="str">
            <v>Syam</v>
          </cell>
          <cell r="BG1212" t="str">
            <v>Y</v>
          </cell>
        </row>
        <row r="1213">
          <cell r="A1213" t="str">
            <v>FBR1Y240322</v>
          </cell>
          <cell r="B1213">
            <v>240322</v>
          </cell>
          <cell r="C1213" t="str">
            <v>R&amp;D</v>
          </cell>
          <cell r="D1213">
            <v>45604</v>
          </cell>
          <cell r="E1213">
            <v>0.52500000000000002</v>
          </cell>
          <cell r="F1213">
            <v>45597</v>
          </cell>
          <cell r="G1213">
            <v>45604</v>
          </cell>
          <cell r="H1213">
            <v>0.59236111111111112</v>
          </cell>
          <cell r="I1213">
            <v>6.7361111111111108E-2</v>
          </cell>
          <cell r="J1213">
            <v>4</v>
          </cell>
          <cell r="K1213" t="str">
            <v>FCB-PROTOCOL-02</v>
          </cell>
          <cell r="L1213" t="str">
            <v>HN187</v>
          </cell>
          <cell r="M1213" t="str">
            <v>Y</v>
          </cell>
          <cell r="P1213" t="str">
            <v>Q1 Passed</v>
          </cell>
          <cell r="Q1213" t="str">
            <v>Not Received</v>
          </cell>
          <cell r="R1213" t="str">
            <v>Compromised</v>
          </cell>
          <cell r="S1213" t="str">
            <v>Q1.5 Passed</v>
          </cell>
          <cell r="T1213" t="str">
            <v>Blood not collected</v>
          </cell>
          <cell r="V1213" t="str">
            <v>Tumor content 60-95%</v>
          </cell>
          <cell r="W1213" t="str">
            <v>Private Hospital</v>
          </cell>
          <cell r="X1213" t="str">
            <v>Mazumdar Shaw Medical Centre, Bangalore</v>
          </cell>
          <cell r="Y1213" t="str">
            <v>Mazumdar Shaw Medical Centre, Bangalore</v>
          </cell>
          <cell r="Z1213" t="str">
            <v>Dr Vijay Pillai, Bangalore</v>
          </cell>
          <cell r="AA1213" t="str">
            <v>HNSCC</v>
          </cell>
          <cell r="AC1213" t="str">
            <v>Palate</v>
          </cell>
          <cell r="AD1213" t="str">
            <v>Hard Palate</v>
          </cell>
          <cell r="AE1213" t="str">
            <v>Male</v>
          </cell>
          <cell r="AF1213">
            <v>47</v>
          </cell>
          <cell r="AG1213" t="str">
            <v>N</v>
          </cell>
          <cell r="AH1213">
            <v>5.0999999999999996</v>
          </cell>
          <cell r="AI1213" t="str">
            <v>Kalappa</v>
          </cell>
          <cell r="AJ1213" t="str">
            <v>Surgery</v>
          </cell>
          <cell r="AK1213" t="str">
            <v>Local Recurrent</v>
          </cell>
          <cell r="AL1213" t="str">
            <v xml:space="preserve">Radiotherapy </v>
          </cell>
          <cell r="AN1213">
            <v>4</v>
          </cell>
          <cell r="AO1213" t="str">
            <v>1+2</v>
          </cell>
          <cell r="AP1213" t="str">
            <v>pT4apN0</v>
          </cell>
          <cell r="AS1213" t="str">
            <v>well to moderatly differentiated squamous cell carcinoma</v>
          </cell>
          <cell r="AV1213">
            <v>45604</v>
          </cell>
          <cell r="AW1213">
            <v>0.61458333333333337</v>
          </cell>
          <cell r="AX1213">
            <v>0.69097222222222221</v>
          </cell>
          <cell r="AY1213">
            <v>7.6388888888888895E-2</v>
          </cell>
          <cell r="AZ1213">
            <v>0.62361111111111112</v>
          </cell>
          <cell r="BA1213">
            <v>0.16597222222222222</v>
          </cell>
          <cell r="BB1213" t="str">
            <v>0.4-.0.5*0.6*0.5-0.6</v>
          </cell>
          <cell r="BD1213" t="str">
            <v>Manual+Vibratome</v>
          </cell>
          <cell r="BE1213">
            <v>14</v>
          </cell>
          <cell r="BF1213" t="str">
            <v>Biswajit</v>
          </cell>
          <cell r="BG1213" t="str">
            <v>N</v>
          </cell>
        </row>
        <row r="1214">
          <cell r="A1214" t="str">
            <v>FBR1Y240323</v>
          </cell>
          <cell r="B1214">
            <v>240323</v>
          </cell>
          <cell r="C1214" t="str">
            <v>R&amp;D</v>
          </cell>
          <cell r="D1214">
            <v>45607</v>
          </cell>
          <cell r="E1214">
            <v>0.6166666666666667</v>
          </cell>
          <cell r="F1214">
            <v>45597</v>
          </cell>
          <cell r="G1214">
            <v>45607</v>
          </cell>
          <cell r="H1214">
            <v>0.69374999999999998</v>
          </cell>
          <cell r="I1214">
            <v>7.7083333333333337E-2</v>
          </cell>
          <cell r="J1214">
            <v>8</v>
          </cell>
          <cell r="K1214" t="str">
            <v>FCB-PROTOCOL-02</v>
          </cell>
          <cell r="L1214" t="str">
            <v>HN188</v>
          </cell>
          <cell r="M1214" t="str">
            <v>Y</v>
          </cell>
          <cell r="P1214" t="str">
            <v>Q1 Passed</v>
          </cell>
          <cell r="Q1214" t="str">
            <v>Not Received</v>
          </cell>
          <cell r="R1214" t="str">
            <v>Compromised</v>
          </cell>
          <cell r="S1214" t="str">
            <v>Q1.5 Passed</v>
          </cell>
          <cell r="T1214" t="str">
            <v>Blood not collected</v>
          </cell>
          <cell r="V1214" t="str">
            <v>Tumor content 0-95%. Average tumor content 36%</v>
          </cell>
          <cell r="W1214" t="str">
            <v>Private Hospital</v>
          </cell>
          <cell r="X1214" t="str">
            <v>Mazumdar Shaw Medical Centre, Bangalore</v>
          </cell>
          <cell r="Y1214" t="str">
            <v>Mazumdar Shaw Medical Centre, Bangalore</v>
          </cell>
          <cell r="Z1214" t="str">
            <v>Dr Vijay Pillai, Bangalore</v>
          </cell>
          <cell r="AA1214" t="str">
            <v>HNSCC</v>
          </cell>
          <cell r="AC1214" t="str">
            <v>Alveolus</v>
          </cell>
          <cell r="AD1214" t="str">
            <v>Lower Alveolus</v>
          </cell>
          <cell r="AE1214" t="str">
            <v>Male</v>
          </cell>
          <cell r="AF1214">
            <v>69</v>
          </cell>
          <cell r="AG1214" t="str">
            <v>N</v>
          </cell>
          <cell r="AH1214">
            <v>4.5999999999999996</v>
          </cell>
          <cell r="AI1214" t="str">
            <v>Kalappa</v>
          </cell>
          <cell r="AJ1214" t="str">
            <v>Surgery</v>
          </cell>
          <cell r="AK1214" t="str">
            <v>Primary</v>
          </cell>
          <cell r="AN1214">
            <v>4</v>
          </cell>
          <cell r="AO1214">
            <v>1</v>
          </cell>
          <cell r="AP1214" t="str">
            <v>pT4a pN0</v>
          </cell>
          <cell r="AS1214" t="str">
            <v>well differentiated squamous cell carcinoma</v>
          </cell>
          <cell r="AV1214">
            <v>45607</v>
          </cell>
          <cell r="AW1214">
            <v>0.70486111111111116</v>
          </cell>
          <cell r="AX1214">
            <v>0.72916666666666663</v>
          </cell>
          <cell r="AY1214">
            <v>2.4305555555555556E-2</v>
          </cell>
          <cell r="AZ1214">
            <v>0.65208333333333335</v>
          </cell>
          <cell r="BA1214">
            <v>0.1125</v>
          </cell>
          <cell r="BB1214" t="str">
            <v>0.3*0.8*0.8</v>
          </cell>
          <cell r="BD1214" t="str">
            <v>Manual</v>
          </cell>
          <cell r="BE1214">
            <v>14</v>
          </cell>
          <cell r="BF1214" t="str">
            <v>Pallavi</v>
          </cell>
          <cell r="BG1214" t="str">
            <v>N</v>
          </cell>
        </row>
        <row r="1215">
          <cell r="A1215">
            <v>240324</v>
          </cell>
          <cell r="B1215">
            <v>240324</v>
          </cell>
          <cell r="C1215" t="str">
            <v>R&amp;D</v>
          </cell>
          <cell r="D1215">
            <v>45608</v>
          </cell>
          <cell r="E1215">
            <v>0.57291666666666663</v>
          </cell>
          <cell r="F1215">
            <v>45597</v>
          </cell>
          <cell r="G1215">
            <v>45608</v>
          </cell>
          <cell r="H1215">
            <v>0.66805555555555551</v>
          </cell>
          <cell r="I1215">
            <v>9.5138888888888884E-2</v>
          </cell>
          <cell r="J1215">
            <v>8</v>
          </cell>
          <cell r="K1215" t="str">
            <v>FCB-PROTOCOL-02</v>
          </cell>
          <cell r="L1215" t="str">
            <v>OCO46</v>
          </cell>
          <cell r="M1215" t="str">
            <v>Y</v>
          </cell>
          <cell r="P1215" t="str">
            <v>Q1 Rejected</v>
          </cell>
          <cell r="Q1215" t="str">
            <v>Q1 Rejected</v>
          </cell>
          <cell r="R1215" t="str">
            <v>Q1.5 Rejected</v>
          </cell>
          <cell r="S1215" t="str">
            <v>Q1.5 Rejected</v>
          </cell>
          <cell r="T1215" t="str">
            <v>Low Blood Volume &amp; Very small size tissue</v>
          </cell>
          <cell r="W1215" t="str">
            <v>Private Hospital</v>
          </cell>
          <cell r="X1215" t="str">
            <v>Mazumdar Shaw Medical Centre, Bangalore</v>
          </cell>
          <cell r="Y1215" t="str">
            <v>Mazumdar Shaw Medical Centre, Bangalore</v>
          </cell>
          <cell r="Z1215" t="str">
            <v>Dr Rohit Ranade, Bangalore</v>
          </cell>
          <cell r="AA1215" t="str">
            <v>Ca Ovary</v>
          </cell>
          <cell r="AC1215" t="str">
            <v>Ovary</v>
          </cell>
          <cell r="AD1215" t="str">
            <v>Ovary</v>
          </cell>
          <cell r="AE1215" t="str">
            <v>Female</v>
          </cell>
          <cell r="AF1215">
            <v>76</v>
          </cell>
          <cell r="AG1215" t="str">
            <v>N</v>
          </cell>
          <cell r="AH1215">
            <v>4.5999999999999996</v>
          </cell>
          <cell r="AI1215" t="str">
            <v>Shashi</v>
          </cell>
          <cell r="AJ1215" t="str">
            <v>Surgery</v>
          </cell>
          <cell r="AK1215" t="str">
            <v>Primary</v>
          </cell>
          <cell r="AL1215" t="str">
            <v>Chemotherapy</v>
          </cell>
          <cell r="AQ1215">
            <v>3</v>
          </cell>
          <cell r="AR1215" t="str">
            <v>Pacli+Carbo</v>
          </cell>
          <cell r="AV1215">
            <v>45608</v>
          </cell>
        </row>
        <row r="1216">
          <cell r="A1216" t="str">
            <v>FBR1Q240325</v>
          </cell>
          <cell r="B1216">
            <v>240325</v>
          </cell>
          <cell r="C1216" t="str">
            <v>R&amp;D</v>
          </cell>
          <cell r="D1216">
            <v>45608</v>
          </cell>
          <cell r="E1216">
            <v>0.5</v>
          </cell>
          <cell r="F1216">
            <v>45597</v>
          </cell>
          <cell r="G1216">
            <v>45608</v>
          </cell>
          <cell r="H1216">
            <v>0.83680555555555558</v>
          </cell>
          <cell r="I1216">
            <v>0.33680555555555558</v>
          </cell>
          <cell r="J1216">
            <v>20</v>
          </cell>
          <cell r="K1216" t="str">
            <v>FCB-PROTOCOL-01</v>
          </cell>
          <cell r="L1216" t="str">
            <v>CLN/DBR/215</v>
          </cell>
          <cell r="M1216" t="str">
            <v>Y</v>
          </cell>
          <cell r="P1216" t="str">
            <v>Q1 Passed</v>
          </cell>
          <cell r="Q1216" t="str">
            <v>Q1 Passed</v>
          </cell>
          <cell r="R1216" t="str">
            <v>Q1.5 Passed</v>
          </cell>
          <cell r="S1216" t="str">
            <v>Q1.5 Rejected</v>
          </cell>
          <cell r="V1216" t="str">
            <v>Tumor content 0-8%. Average tumor content 4%</v>
          </cell>
          <cell r="W1216" t="str">
            <v>Private Hospital</v>
          </cell>
          <cell r="X1216" t="str">
            <v>Clinic'les- DBR &amp; SK Hospital, Tirupati</v>
          </cell>
          <cell r="Y1216" t="str">
            <v>DBR &amp; SK Hospital, Tirupati</v>
          </cell>
          <cell r="Z1216" t="str">
            <v>Dr C Jayaprakash, Tirupati</v>
          </cell>
          <cell r="AA1216" t="str">
            <v>Ca Breast</v>
          </cell>
          <cell r="AC1216" t="str">
            <v>Breast</v>
          </cell>
          <cell r="AD1216" t="str">
            <v>Left Breast</v>
          </cell>
          <cell r="AE1216" t="str">
            <v>Female</v>
          </cell>
          <cell r="AF1216">
            <v>58</v>
          </cell>
          <cell r="AG1216" t="str">
            <v>N</v>
          </cell>
          <cell r="AH1216">
            <v>5.0999999999999996</v>
          </cell>
          <cell r="AI1216" t="str">
            <v>Shashi</v>
          </cell>
          <cell r="AJ1216" t="str">
            <v>Surgery</v>
          </cell>
          <cell r="AK1216" t="str">
            <v>Primary</v>
          </cell>
          <cell r="AN1216" t="str">
            <v>IIB</v>
          </cell>
          <cell r="AO1216">
            <v>2</v>
          </cell>
          <cell r="AP1216" t="str">
            <v>T2 N1 MX</v>
          </cell>
          <cell r="AV1216">
            <v>45608</v>
          </cell>
          <cell r="AW1216">
            <v>0.8520833333333333</v>
          </cell>
          <cell r="AX1216">
            <v>0.89513888888888893</v>
          </cell>
          <cell r="AY1216">
            <v>4.3055555555555555E-2</v>
          </cell>
          <cell r="AZ1216">
            <v>0.55833333333333335</v>
          </cell>
          <cell r="BA1216">
            <v>0.39513888888888887</v>
          </cell>
          <cell r="BB1216" t="str">
            <v>0.8-1.0*2.4-2.9*3.4</v>
          </cell>
          <cell r="BD1216" t="str">
            <v>Manual</v>
          </cell>
          <cell r="BE1216">
            <v>14</v>
          </cell>
          <cell r="BF1216" t="str">
            <v>kuberan</v>
          </cell>
          <cell r="BG1216" t="str">
            <v>Y</v>
          </cell>
        </row>
        <row r="1217">
          <cell r="A1217" t="str">
            <v>FBR2S240326</v>
          </cell>
          <cell r="B1217">
            <v>240326</v>
          </cell>
          <cell r="C1217" t="str">
            <v>R&amp;D</v>
          </cell>
          <cell r="D1217">
            <v>45608</v>
          </cell>
          <cell r="E1217">
            <v>0.75902777777777775</v>
          </cell>
          <cell r="F1217">
            <v>45597</v>
          </cell>
          <cell r="G1217">
            <v>45608</v>
          </cell>
          <cell r="H1217">
            <v>0.83680555555555558</v>
          </cell>
          <cell r="I1217">
            <v>7.7777777777777779E-2</v>
          </cell>
          <cell r="J1217">
            <v>3</v>
          </cell>
          <cell r="K1217" t="str">
            <v>FCB-PROTOCOL-01</v>
          </cell>
          <cell r="L1217" t="str">
            <v>CLN/PRA/280</v>
          </cell>
          <cell r="M1217" t="str">
            <v>Y</v>
          </cell>
          <cell r="P1217" t="str">
            <v>Q1 Passed</v>
          </cell>
          <cell r="Q1217" t="str">
            <v>Q1 Passed</v>
          </cell>
          <cell r="R1217" t="str">
            <v>Q1.5 Passed</v>
          </cell>
          <cell r="S1217" t="str">
            <v>Q1.5 Passed</v>
          </cell>
          <cell r="V1217" t="str">
            <v>A:Tumor content 20-80%
B:Tumor content 20-85%</v>
          </cell>
          <cell r="W1217" t="str">
            <v>Private Hospital</v>
          </cell>
          <cell r="X1217" t="str">
            <v>Dr Prakash BV, Bangalore</v>
          </cell>
          <cell r="Y1217" t="str">
            <v>Sri Lakshmi Hospital, Bangalore</v>
          </cell>
          <cell r="Z1217" t="str">
            <v>Dr Prakash BV, Bangalore</v>
          </cell>
          <cell r="AA1217" t="str">
            <v>CRC</v>
          </cell>
          <cell r="AC1217" t="str">
            <v>Colon</v>
          </cell>
          <cell r="AD1217" t="str">
            <v>Right colon</v>
          </cell>
          <cell r="AE1217" t="str">
            <v>Male</v>
          </cell>
          <cell r="AF1217">
            <v>60</v>
          </cell>
          <cell r="AG1217" t="str">
            <v>N</v>
          </cell>
          <cell r="AH1217">
            <v>4.5999999999999996</v>
          </cell>
          <cell r="AI1217" t="str">
            <v>Kalappa</v>
          </cell>
          <cell r="AJ1217" t="str">
            <v>Surgery</v>
          </cell>
          <cell r="AK1217" t="str">
            <v>Primary</v>
          </cell>
          <cell r="AN1217" t="str">
            <v>IV</v>
          </cell>
          <cell r="AP1217" t="str">
            <v>pT4N1M0</v>
          </cell>
          <cell r="AS1217" t="str">
            <v xml:space="preserve">Adenocarcinoma </v>
          </cell>
          <cell r="AV1217">
            <v>45608</v>
          </cell>
          <cell r="AW1217">
            <v>0.85277777777777775</v>
          </cell>
          <cell r="AX1217">
            <v>0.95138888888888884</v>
          </cell>
          <cell r="AY1217">
            <v>9.8611111111111108E-2</v>
          </cell>
          <cell r="AZ1217">
            <v>0.87361111111111112</v>
          </cell>
          <cell r="BA1217">
            <v>0.19236111111111112</v>
          </cell>
          <cell r="BB1217" t="str">
            <v>0.2-1.2*0.9-1.8*3.6</v>
          </cell>
          <cell r="BD1217" t="str">
            <v>Vibratome</v>
          </cell>
          <cell r="BE1217">
            <v>13</v>
          </cell>
          <cell r="BF1217" t="str">
            <v>Mouniss</v>
          </cell>
          <cell r="BG1217" t="str">
            <v>Y</v>
          </cell>
        </row>
        <row r="1218">
          <cell r="A1218" t="str">
            <v>FBR1Q240327</v>
          </cell>
          <cell r="B1218">
            <v>240327</v>
          </cell>
          <cell r="C1218" t="str">
            <v>R&amp;D</v>
          </cell>
          <cell r="D1218">
            <v>45609</v>
          </cell>
          <cell r="E1218">
            <v>0.56666666666666665</v>
          </cell>
          <cell r="F1218">
            <v>45597</v>
          </cell>
          <cell r="G1218">
            <v>45609</v>
          </cell>
          <cell r="H1218">
            <v>0.66041666666666665</v>
          </cell>
          <cell r="I1218">
            <v>9.375E-2</v>
          </cell>
          <cell r="J1218">
            <v>2</v>
          </cell>
          <cell r="K1218" t="str">
            <v>FCB-PROTOCOL-01</v>
          </cell>
          <cell r="L1218" t="str">
            <v>VYD/326</v>
          </cell>
          <cell r="M1218" t="str">
            <v>Y</v>
          </cell>
          <cell r="P1218" t="str">
            <v>Q1 Passed</v>
          </cell>
          <cell r="Q1218" t="str">
            <v>Q1 Passed</v>
          </cell>
          <cell r="R1218" t="str">
            <v>Q1.5 Passed</v>
          </cell>
          <cell r="S1218" t="str">
            <v>Q1.5 Passed</v>
          </cell>
          <cell r="V1218" t="str">
            <v>Tumor content 15-60%</v>
          </cell>
          <cell r="W1218" t="str">
            <v>Private Hospital</v>
          </cell>
          <cell r="X1218" t="str">
            <v>Vydehi Hospital, Bangalore</v>
          </cell>
          <cell r="Y1218" t="str">
            <v>Vydehi Hospital, Bangalore</v>
          </cell>
          <cell r="Z1218" t="str">
            <v>Dr Amritha Prabha, Bangalore</v>
          </cell>
          <cell r="AA1218" t="str">
            <v>Ca Breast</v>
          </cell>
          <cell r="AB1218" t="str">
            <v>Er + Pr + Her2 -</v>
          </cell>
          <cell r="AC1218" t="str">
            <v>Breast</v>
          </cell>
          <cell r="AD1218" t="str">
            <v>Right Breast</v>
          </cell>
          <cell r="AE1218" t="str">
            <v>Female</v>
          </cell>
          <cell r="AF1218">
            <v>63</v>
          </cell>
          <cell r="AG1218" t="str">
            <v>N</v>
          </cell>
          <cell r="AH1218">
            <v>5.2</v>
          </cell>
          <cell r="AI1218" t="str">
            <v>Shashi</v>
          </cell>
          <cell r="AJ1218" t="str">
            <v>Surgery</v>
          </cell>
          <cell r="AK1218" t="str">
            <v>Primary</v>
          </cell>
          <cell r="AN1218" t="str">
            <v>IA</v>
          </cell>
          <cell r="AO1218">
            <v>2</v>
          </cell>
          <cell r="AP1218" t="str">
            <v>T2N0</v>
          </cell>
          <cell r="AS1218" t="str">
            <v>IDC</v>
          </cell>
          <cell r="AV1218">
            <v>45609</v>
          </cell>
          <cell r="AW1218">
            <v>0.67986111111111114</v>
          </cell>
          <cell r="AX1218">
            <v>0.7416666666666667</v>
          </cell>
          <cell r="AY1218">
            <v>6.1805555555555558E-2</v>
          </cell>
          <cell r="AZ1218">
            <v>0.6479166666666667</v>
          </cell>
          <cell r="BA1218">
            <v>0.17499999999999999</v>
          </cell>
          <cell r="BB1218" t="str">
            <v>0.6-0.8*0.8-1.6*1.6-2.2</v>
          </cell>
          <cell r="BD1218" t="str">
            <v>Manual</v>
          </cell>
          <cell r="BE1218">
            <v>14</v>
          </cell>
          <cell r="BF1218" t="str">
            <v>Dharani</v>
          </cell>
          <cell r="BG1218" t="str">
            <v>Y</v>
          </cell>
        </row>
        <row r="1219">
          <cell r="A1219" t="str">
            <v>FBR1Q240328</v>
          </cell>
          <cell r="B1219">
            <v>240328</v>
          </cell>
          <cell r="C1219" t="str">
            <v>R&amp;D</v>
          </cell>
          <cell r="D1219">
            <v>45609</v>
          </cell>
          <cell r="E1219">
            <v>0.4236111111111111</v>
          </cell>
          <cell r="F1219">
            <v>45597</v>
          </cell>
          <cell r="G1219">
            <v>45609</v>
          </cell>
          <cell r="H1219">
            <v>0.75138888888888888</v>
          </cell>
          <cell r="I1219">
            <v>0.32777777777777778</v>
          </cell>
          <cell r="J1219">
            <v>4</v>
          </cell>
          <cell r="K1219" t="str">
            <v>FCB-PROTOCOL-01</v>
          </cell>
          <cell r="L1219" t="str">
            <v>JSS-028</v>
          </cell>
          <cell r="M1219" t="str">
            <v>Y</v>
          </cell>
          <cell r="P1219" t="str">
            <v>Q1 Passed</v>
          </cell>
          <cell r="Q1219" t="str">
            <v>Q1 Passed</v>
          </cell>
          <cell r="R1219" t="str">
            <v>Q1.5 Passed</v>
          </cell>
          <cell r="S1219" t="str">
            <v>Q1.5 Rejected</v>
          </cell>
          <cell r="V1219" t="str">
            <v>Tumor content 1-3%</v>
          </cell>
          <cell r="W1219" t="str">
            <v>Private Hospital</v>
          </cell>
          <cell r="X1219" t="str">
            <v>Clinic'les- Dr Ravi Krishnappa, Mysore</v>
          </cell>
          <cell r="Y1219" t="str">
            <v>JSS Hospital, Mysore</v>
          </cell>
          <cell r="Z1219" t="str">
            <v>Dr Ravi Krishnappa, Mysore</v>
          </cell>
          <cell r="AA1219" t="str">
            <v>Ca Breast</v>
          </cell>
          <cell r="AB1219" t="str">
            <v>Er + Pr + Her2 -</v>
          </cell>
          <cell r="AC1219" t="str">
            <v>Breast</v>
          </cell>
          <cell r="AD1219" t="str">
            <v>Right  Breast</v>
          </cell>
          <cell r="AE1219" t="str">
            <v>Female</v>
          </cell>
          <cell r="AF1219">
            <v>64</v>
          </cell>
          <cell r="AG1219" t="str">
            <v>N</v>
          </cell>
          <cell r="AH1219">
            <v>5.5</v>
          </cell>
          <cell r="AI1219" t="str">
            <v>Kalappa</v>
          </cell>
          <cell r="AJ1219" t="str">
            <v>Surgery</v>
          </cell>
          <cell r="AK1219" t="str">
            <v>Primary</v>
          </cell>
          <cell r="AL1219" t="str">
            <v>Chemotherapy</v>
          </cell>
          <cell r="AQ1219">
            <v>6</v>
          </cell>
          <cell r="AR1219" t="str">
            <v>NACT</v>
          </cell>
          <cell r="AV1219">
            <v>45609</v>
          </cell>
          <cell r="AW1219">
            <v>0.77083333333333337</v>
          </cell>
          <cell r="AX1219">
            <v>0.82708333333333328</v>
          </cell>
          <cell r="AY1219">
            <v>5.6250000000000001E-2</v>
          </cell>
          <cell r="AZ1219">
            <v>0.49930555555555556</v>
          </cell>
          <cell r="BA1219">
            <v>0.40347222222222223</v>
          </cell>
          <cell r="BB1219" t="str">
            <v>0.2-0.4*0.8/1.2*2.0
0.2/0.6*0.5/1.3*2.2</v>
          </cell>
          <cell r="BC1219" t="str">
            <v>0.2-0.4*1.0/1.2*1.2/1.5</v>
          </cell>
          <cell r="BD1219" t="str">
            <v>Manual</v>
          </cell>
          <cell r="BE1219">
            <v>14</v>
          </cell>
          <cell r="BF1219" t="str">
            <v xml:space="preserve">sai </v>
          </cell>
          <cell r="BG1219" t="str">
            <v>Y</v>
          </cell>
        </row>
        <row r="1220">
          <cell r="A1220" t="str">
            <v>FBR1Q240329</v>
          </cell>
          <cell r="B1220">
            <v>240329</v>
          </cell>
          <cell r="C1220" t="str">
            <v>R&amp;D</v>
          </cell>
          <cell r="D1220">
            <v>45609</v>
          </cell>
          <cell r="E1220">
            <v>0.53819444444444442</v>
          </cell>
          <cell r="F1220">
            <v>45597</v>
          </cell>
          <cell r="G1220">
            <v>45609</v>
          </cell>
          <cell r="H1220">
            <v>0.75138888888888888</v>
          </cell>
          <cell r="I1220">
            <v>0.21319444444444444</v>
          </cell>
          <cell r="J1220">
            <v>5</v>
          </cell>
          <cell r="K1220" t="str">
            <v>FCB-PROTOCOL-01</v>
          </cell>
          <cell r="L1220" t="str">
            <v>JSS-029</v>
          </cell>
          <cell r="M1220" t="str">
            <v>Y</v>
          </cell>
          <cell r="P1220" t="str">
            <v>Q1 Passed</v>
          </cell>
          <cell r="Q1220" t="str">
            <v>Q1 Rejected</v>
          </cell>
          <cell r="R1220" t="str">
            <v>Q1.5 Passed</v>
          </cell>
          <cell r="S1220" t="str">
            <v>Q1.5 Passed</v>
          </cell>
          <cell r="V1220" t="str">
            <v>Tumor content 65-95%</v>
          </cell>
          <cell r="W1220" t="str">
            <v>Private Hospital</v>
          </cell>
          <cell r="X1220" t="str">
            <v>Clinic'les- Dr Ravi Krishnappa, Mysore</v>
          </cell>
          <cell r="Y1220" t="str">
            <v>JSS Hospital, Mysore</v>
          </cell>
          <cell r="Z1220" t="str">
            <v>Dr Ravi Krishnappa, Mysore</v>
          </cell>
          <cell r="AA1220" t="str">
            <v>Ca Breast</v>
          </cell>
          <cell r="AB1220" t="str">
            <v>TNBC</v>
          </cell>
          <cell r="AC1220" t="str">
            <v>Breast</v>
          </cell>
          <cell r="AD1220" t="str">
            <v>Right  Breast</v>
          </cell>
          <cell r="AE1220" t="str">
            <v>Female</v>
          </cell>
          <cell r="AF1220">
            <v>48</v>
          </cell>
          <cell r="AG1220" t="str">
            <v>N</v>
          </cell>
          <cell r="AH1220">
            <v>5.5</v>
          </cell>
          <cell r="AI1220" t="str">
            <v>Kalappa</v>
          </cell>
          <cell r="AJ1220" t="str">
            <v>Surgery</v>
          </cell>
          <cell r="AK1220" t="str">
            <v>Proximal Lymph nodes</v>
          </cell>
          <cell r="AL1220" t="str">
            <v>Chemotherapy</v>
          </cell>
          <cell r="AO1220">
            <v>3</v>
          </cell>
          <cell r="AQ1220">
            <v>4</v>
          </cell>
          <cell r="AR1220" t="str">
            <v>AC+Pacli</v>
          </cell>
          <cell r="AV1220">
            <v>45609</v>
          </cell>
          <cell r="AW1220">
            <v>0.77222222222222225</v>
          </cell>
          <cell r="AX1220">
            <v>0.84513888888888888</v>
          </cell>
          <cell r="AY1220">
            <v>7.2916666666666671E-2</v>
          </cell>
          <cell r="AZ1220">
            <v>0.63194444444444442</v>
          </cell>
          <cell r="BA1220">
            <v>0.30694444444444446</v>
          </cell>
          <cell r="BB1220" t="str">
            <v>0.8-1.0*1.2-2.6*1.6-1.8</v>
          </cell>
          <cell r="BD1220" t="str">
            <v>Manual</v>
          </cell>
          <cell r="BE1220">
            <v>14</v>
          </cell>
          <cell r="BF1220" t="str">
            <v>Mouniss</v>
          </cell>
          <cell r="BG1220" t="str">
            <v>N</v>
          </cell>
        </row>
        <row r="1221">
          <cell r="A1221" t="str">
            <v>FBR2S240330</v>
          </cell>
          <cell r="B1221">
            <v>240330</v>
          </cell>
          <cell r="C1221" t="str">
            <v>R&amp;D</v>
          </cell>
          <cell r="D1221">
            <v>45610</v>
          </cell>
          <cell r="E1221">
            <v>0.66319444444444442</v>
          </cell>
          <cell r="F1221">
            <v>45597</v>
          </cell>
          <cell r="G1221">
            <v>45610</v>
          </cell>
          <cell r="H1221">
            <v>0.74444444444444446</v>
          </cell>
          <cell r="I1221">
            <v>8.1250000000000003E-2</v>
          </cell>
          <cell r="J1221">
            <v>2</v>
          </cell>
          <cell r="K1221" t="str">
            <v>FCB-PROTOCOL-01</v>
          </cell>
          <cell r="L1221" t="str">
            <v>VYD/327</v>
          </cell>
          <cell r="M1221" t="str">
            <v>Y</v>
          </cell>
          <cell r="P1221" t="str">
            <v>Q1 Passed</v>
          </cell>
          <cell r="Q1221" t="str">
            <v>Q1 Passed</v>
          </cell>
          <cell r="R1221" t="str">
            <v>Q1.5 Passed</v>
          </cell>
          <cell r="S1221" t="str">
            <v>Q1.5 Passed</v>
          </cell>
          <cell r="V1221" t="str">
            <v>Tumor content 3-10%</v>
          </cell>
          <cell r="W1221" t="str">
            <v>Private Hospital</v>
          </cell>
          <cell r="X1221" t="str">
            <v>Vydehi Hospital, Bangalore</v>
          </cell>
          <cell r="Y1221" t="str">
            <v>Vydehi Hospital, Bangalore</v>
          </cell>
          <cell r="Z1221" t="str">
            <v>Dr Amritha Prabha, Bangalore</v>
          </cell>
          <cell r="AA1221" t="str">
            <v>CRC</v>
          </cell>
          <cell r="AC1221" t="str">
            <v>Colon</v>
          </cell>
          <cell r="AD1221" t="str">
            <v>Traumatic Colon</v>
          </cell>
          <cell r="AE1221" t="str">
            <v>Female</v>
          </cell>
          <cell r="AF1221">
            <v>39</v>
          </cell>
          <cell r="AG1221" t="str">
            <v>N</v>
          </cell>
          <cell r="AH1221">
            <v>4.5999999999999996</v>
          </cell>
          <cell r="AI1221" t="str">
            <v>Kalappa</v>
          </cell>
          <cell r="AJ1221" t="str">
            <v>Surgery</v>
          </cell>
          <cell r="AK1221" t="str">
            <v>Primary</v>
          </cell>
          <cell r="AN1221" t="str">
            <v>IIa</v>
          </cell>
          <cell r="AO1221">
            <v>1</v>
          </cell>
          <cell r="AP1221" t="str">
            <v>T3N0</v>
          </cell>
          <cell r="AS1221" t="str">
            <v>adenocarcinoma</v>
          </cell>
          <cell r="AV1221">
            <v>45610</v>
          </cell>
          <cell r="AW1221">
            <v>0.76041666666666663</v>
          </cell>
          <cell r="AX1221">
            <v>0.91874999999999996</v>
          </cell>
          <cell r="AY1221">
            <v>0.15833333333333333</v>
          </cell>
          <cell r="AZ1221">
            <v>0.83750000000000002</v>
          </cell>
          <cell r="BA1221">
            <v>0.25555555555555554</v>
          </cell>
          <cell r="BB1221" t="str">
            <v>0.2-0.4*1.0-0.5*0.8-1.3</v>
          </cell>
          <cell r="BD1221" t="str">
            <v>Vibratome</v>
          </cell>
          <cell r="BE1221">
            <v>13</v>
          </cell>
          <cell r="BF1221" t="str">
            <v xml:space="preserve">sai </v>
          </cell>
          <cell r="BG1221" t="str">
            <v>Y</v>
          </cell>
        </row>
        <row r="1222">
          <cell r="A1222" t="str">
            <v>FBR1K240331</v>
          </cell>
          <cell r="B1222">
            <v>240331</v>
          </cell>
          <cell r="C1222" t="str">
            <v>R&amp;D</v>
          </cell>
          <cell r="D1222">
            <v>45611</v>
          </cell>
          <cell r="E1222">
            <v>0.48888888888888887</v>
          </cell>
          <cell r="F1222">
            <v>45597</v>
          </cell>
          <cell r="G1222">
            <v>45611</v>
          </cell>
          <cell r="H1222">
            <v>0.6166666666666667</v>
          </cell>
          <cell r="I1222">
            <v>0.12777777777777777</v>
          </cell>
          <cell r="J1222">
            <v>3</v>
          </cell>
          <cell r="K1222" t="str">
            <v>FCB-PROTOCOL-01</v>
          </cell>
          <cell r="L1222" t="str">
            <v>VYD/328</v>
          </cell>
          <cell r="M1222" t="str">
            <v>Y</v>
          </cell>
          <cell r="P1222" t="str">
            <v>Q1 Passed</v>
          </cell>
          <cell r="Q1222" t="str">
            <v>Q1 Passed</v>
          </cell>
          <cell r="R1222" t="str">
            <v>Q1.5 Passed</v>
          </cell>
          <cell r="S1222" t="str">
            <v>Q1.5 Passed</v>
          </cell>
          <cell r="V1222" t="str">
            <v>Tumor content 15-90%. Immune component high</v>
          </cell>
          <cell r="W1222" t="str">
            <v>Private Hospital</v>
          </cell>
          <cell r="X1222" t="str">
            <v>Vydehi Hospital, Bangalore</v>
          </cell>
          <cell r="Y1222" t="str">
            <v>Vydehi Hospital, Bangalore</v>
          </cell>
          <cell r="Z1222" t="str">
            <v>Dr Amritha Prabha, Bangalore</v>
          </cell>
          <cell r="AA1222" t="str">
            <v>HNSCC</v>
          </cell>
          <cell r="AC1222" t="str">
            <v>Tongue</v>
          </cell>
          <cell r="AD1222" t="str">
            <v>Left Lateral Tongue</v>
          </cell>
          <cell r="AE1222" t="str">
            <v>Male</v>
          </cell>
          <cell r="AF1222">
            <v>49</v>
          </cell>
          <cell r="AG1222" t="str">
            <v>N</v>
          </cell>
          <cell r="AH1222">
            <v>5.0999999999999996</v>
          </cell>
          <cell r="AI1222" t="str">
            <v>Shashi</v>
          </cell>
          <cell r="AJ1222" t="str">
            <v>Surgery</v>
          </cell>
          <cell r="AK1222" t="str">
            <v>Primary</v>
          </cell>
          <cell r="AN1222" t="str">
            <v>II</v>
          </cell>
          <cell r="AO1222">
            <v>1</v>
          </cell>
          <cell r="AP1222" t="str">
            <v>T2N0</v>
          </cell>
          <cell r="AS1222" t="str">
            <v>scc</v>
          </cell>
          <cell r="AV1222">
            <v>45611</v>
          </cell>
          <cell r="AW1222">
            <v>0.62986111111111109</v>
          </cell>
          <cell r="AX1222">
            <v>0.70694444444444449</v>
          </cell>
          <cell r="AY1222">
            <v>7.7083333333333337E-2</v>
          </cell>
          <cell r="AZ1222">
            <v>0.57916666666666672</v>
          </cell>
          <cell r="BA1222">
            <v>0.21805555555555556</v>
          </cell>
          <cell r="BB1222" t="str">
            <v>0.6-0.8*1.5-1.7*2.2-2.5</v>
          </cell>
          <cell r="BD1222" t="str">
            <v>Manual+Vibratome</v>
          </cell>
          <cell r="BE1222">
            <v>14</v>
          </cell>
          <cell r="BF1222" t="str">
            <v>Syam</v>
          </cell>
          <cell r="BG1222" t="str">
            <v>Y</v>
          </cell>
        </row>
        <row r="1223">
          <cell r="A1223" t="str">
            <v>FBR2A240332</v>
          </cell>
          <cell r="B1223">
            <v>240332</v>
          </cell>
          <cell r="C1223" t="str">
            <v>R&amp;D</v>
          </cell>
          <cell r="D1223">
            <v>45611</v>
          </cell>
          <cell r="E1223">
            <v>0.4513888888888889</v>
          </cell>
          <cell r="F1223">
            <v>45597</v>
          </cell>
          <cell r="G1223">
            <v>45611</v>
          </cell>
          <cell r="H1223">
            <v>0.63958333333333328</v>
          </cell>
          <cell r="I1223">
            <v>0.18819444444444444</v>
          </cell>
          <cell r="J1223">
            <v>10</v>
          </cell>
          <cell r="K1223" t="str">
            <v>FCB-PROTOCOL-01</v>
          </cell>
          <cell r="L1223" t="str">
            <v>JSS-030</v>
          </cell>
          <cell r="M1223" t="str">
            <v>Y</v>
          </cell>
          <cell r="P1223" t="str">
            <v>Q1 Passed</v>
          </cell>
          <cell r="Q1223" t="str">
            <v>Q1 Passed</v>
          </cell>
          <cell r="R1223" t="str">
            <v>Q1.5 Passed</v>
          </cell>
          <cell r="S1223" t="str">
            <v>Q1.5 Rejected</v>
          </cell>
          <cell r="V1223" t="str">
            <v>Tumor content 0-12%. Average 2%</v>
          </cell>
          <cell r="W1223" t="str">
            <v>Private Hospital</v>
          </cell>
          <cell r="X1223" t="str">
            <v>Clinic'les- Dr Ravi Krishnappa, Mysore</v>
          </cell>
          <cell r="Y1223" t="str">
            <v>JSS Hospital, Mysore</v>
          </cell>
          <cell r="Z1223" t="str">
            <v>Dr Ravi Krishnappa, Mysore</v>
          </cell>
          <cell r="AA1223" t="str">
            <v>Ca Ovary</v>
          </cell>
          <cell r="AC1223" t="str">
            <v>Ovary</v>
          </cell>
          <cell r="AD1223" t="str">
            <v>Left Ovary</v>
          </cell>
          <cell r="AE1223" t="str">
            <v>Female</v>
          </cell>
          <cell r="AF1223">
            <v>55</v>
          </cell>
          <cell r="AG1223" t="str">
            <v>N</v>
          </cell>
          <cell r="AH1223">
            <v>5.0999999999999996</v>
          </cell>
          <cell r="AI1223" t="str">
            <v>Kalappa</v>
          </cell>
          <cell r="AJ1223" t="str">
            <v>Surgery</v>
          </cell>
          <cell r="AK1223" t="str">
            <v>Primary</v>
          </cell>
          <cell r="AL1223" t="str">
            <v>Chemotherapy</v>
          </cell>
          <cell r="AQ1223">
            <v>6</v>
          </cell>
          <cell r="AR1223" t="str">
            <v>Pacli+Carbo</v>
          </cell>
          <cell r="AV1223">
            <v>45611</v>
          </cell>
          <cell r="AW1223">
            <v>0.65416666666666667</v>
          </cell>
          <cell r="AX1223">
            <v>0.75277777777777777</v>
          </cell>
          <cell r="AY1223">
            <v>9.8611111111111108E-2</v>
          </cell>
          <cell r="AZ1223">
            <v>0.56458333333333333</v>
          </cell>
          <cell r="BA1223">
            <v>0.30138888888888887</v>
          </cell>
          <cell r="BB1223" t="str">
            <v>0.6-0.8*1.5*2.5</v>
          </cell>
          <cell r="BD1223" t="str">
            <v>Manual+Vibratome</v>
          </cell>
          <cell r="BE1223">
            <v>14</v>
          </cell>
          <cell r="BF1223" t="str">
            <v>Dharani</v>
          </cell>
          <cell r="BG1223" t="str">
            <v>Y</v>
          </cell>
        </row>
        <row r="1224">
          <cell r="A1224" t="str">
            <v>FBR1Y240333</v>
          </cell>
          <cell r="B1224">
            <v>240333</v>
          </cell>
          <cell r="C1224" t="str">
            <v>R&amp;D</v>
          </cell>
          <cell r="D1224">
            <v>45614</v>
          </cell>
          <cell r="E1224">
            <v>0.44722222222222224</v>
          </cell>
          <cell r="F1224">
            <v>45597</v>
          </cell>
          <cell r="G1224">
            <v>45614</v>
          </cell>
          <cell r="H1224">
            <v>0.53541666666666665</v>
          </cell>
          <cell r="I1224">
            <v>8.819444444444445E-2</v>
          </cell>
          <cell r="J1224">
            <v>7</v>
          </cell>
          <cell r="K1224" t="str">
            <v>FCB-PROTOCOL-01</v>
          </cell>
          <cell r="L1224" t="str">
            <v>VYD/329</v>
          </cell>
          <cell r="M1224" t="str">
            <v>Y</v>
          </cell>
          <cell r="P1224" t="str">
            <v>Q1 Passed</v>
          </cell>
          <cell r="Q1224" t="str">
            <v>Q1 Passed</v>
          </cell>
          <cell r="R1224" t="str">
            <v>Q1.5 Passed</v>
          </cell>
          <cell r="S1224" t="str">
            <v>Q1.5 Passed</v>
          </cell>
          <cell r="V1224" t="str">
            <v>Tumor content 70-90%</v>
          </cell>
          <cell r="W1224" t="str">
            <v>Private Hospital</v>
          </cell>
          <cell r="X1224" t="str">
            <v>Vydehi Hospital, Bangalore</v>
          </cell>
          <cell r="Y1224" t="str">
            <v>Vydehi Hospital, Bangalore</v>
          </cell>
          <cell r="Z1224" t="str">
            <v>Dr Amritha Prabha, Bangalore</v>
          </cell>
          <cell r="AA1224" t="str">
            <v>HNSCC</v>
          </cell>
          <cell r="AC1224" t="str">
            <v>Buccal Mucosa</v>
          </cell>
          <cell r="AD1224" t="str">
            <v>Right Buccal Mucosa</v>
          </cell>
          <cell r="AE1224" t="str">
            <v>Male</v>
          </cell>
          <cell r="AF1224">
            <v>54</v>
          </cell>
          <cell r="AG1224" t="str">
            <v>N</v>
          </cell>
          <cell r="AH1224">
            <v>5.2</v>
          </cell>
          <cell r="AI1224" t="str">
            <v>Kalappa</v>
          </cell>
          <cell r="AJ1224" t="str">
            <v>Surgery</v>
          </cell>
          <cell r="AK1224" t="str">
            <v>Primary</v>
          </cell>
          <cell r="AN1224" t="str">
            <v>IVa</v>
          </cell>
          <cell r="AO1224">
            <v>1</v>
          </cell>
          <cell r="AP1224" t="str">
            <v>T4aN0</v>
          </cell>
          <cell r="AS1224" t="str">
            <v>scc</v>
          </cell>
          <cell r="AV1224">
            <v>45614</v>
          </cell>
          <cell r="AW1224">
            <v>0.56041666666666667</v>
          </cell>
          <cell r="AX1224">
            <v>0.63749999999999996</v>
          </cell>
          <cell r="AY1224">
            <v>7.7083333333333337E-2</v>
          </cell>
          <cell r="AZ1224">
            <v>0.5493055555555556</v>
          </cell>
          <cell r="BA1224">
            <v>0.19027777777777777</v>
          </cell>
          <cell r="BB1224" t="str">
            <v>0.8*1.2-1.3*1.5-1.6
0.4*1.0-1.1*0.5-1.1</v>
          </cell>
          <cell r="BD1224" t="str">
            <v>Manual+Vibratome</v>
          </cell>
          <cell r="BE1224">
            <v>14</v>
          </cell>
          <cell r="BF1224" t="str">
            <v>Syam</v>
          </cell>
          <cell r="BG1224" t="str">
            <v>Y</v>
          </cell>
        </row>
        <row r="1225">
          <cell r="A1225" t="str">
            <v>FBR1Y240334</v>
          </cell>
          <cell r="B1225">
            <v>240334</v>
          </cell>
          <cell r="C1225" t="str">
            <v>R&amp;D</v>
          </cell>
          <cell r="D1225">
            <v>45615</v>
          </cell>
          <cell r="E1225">
            <v>0.48888888888888887</v>
          </cell>
          <cell r="F1225">
            <v>45597</v>
          </cell>
          <cell r="G1225">
            <v>45615</v>
          </cell>
          <cell r="H1225">
            <v>0.55972222222222223</v>
          </cell>
          <cell r="I1225">
            <v>7.0833333333333331E-2</v>
          </cell>
          <cell r="J1225">
            <v>4</v>
          </cell>
          <cell r="K1225" t="str">
            <v>FCB-PROTOCOL-01</v>
          </cell>
          <cell r="L1225" t="str">
            <v>VYD/330</v>
          </cell>
          <cell r="M1225" t="str">
            <v>Y</v>
          </cell>
          <cell r="P1225" t="str">
            <v>Q1 Passed</v>
          </cell>
          <cell r="Q1225" t="str">
            <v>Q1 Passed</v>
          </cell>
          <cell r="R1225" t="str">
            <v>Q1.5 Passed</v>
          </cell>
          <cell r="S1225" t="str">
            <v>Q1.5 Passed</v>
          </cell>
          <cell r="V1225" t="str">
            <v>Tumor content 4-8%</v>
          </cell>
          <cell r="W1225" t="str">
            <v>Private Hospital</v>
          </cell>
          <cell r="X1225" t="str">
            <v>Vydehi Hospital, Bangalore</v>
          </cell>
          <cell r="Y1225" t="str">
            <v>Vydehi Hospital, Bangalore</v>
          </cell>
          <cell r="Z1225" t="str">
            <v>Dr Amritha Prabha, Bangalore</v>
          </cell>
          <cell r="AA1225" t="str">
            <v>HNSCC</v>
          </cell>
          <cell r="AC1225" t="str">
            <v>Tongue</v>
          </cell>
          <cell r="AD1225" t="str">
            <v>Left Lateral border of Tongue</v>
          </cell>
          <cell r="AE1225" t="str">
            <v>Male</v>
          </cell>
          <cell r="AF1225">
            <v>32</v>
          </cell>
          <cell r="AG1225" t="str">
            <v>N</v>
          </cell>
          <cell r="AH1225">
            <v>5.3</v>
          </cell>
          <cell r="AI1225" t="str">
            <v>Kalappa</v>
          </cell>
          <cell r="AJ1225" t="str">
            <v>Surgery</v>
          </cell>
          <cell r="AK1225" t="str">
            <v>Primary</v>
          </cell>
          <cell r="AN1225" t="str">
            <v>II</v>
          </cell>
          <cell r="AO1225">
            <v>2</v>
          </cell>
          <cell r="AP1225" t="str">
            <v>T2N0</v>
          </cell>
          <cell r="AS1225" t="str">
            <v>scc</v>
          </cell>
          <cell r="AV1225">
            <v>45615</v>
          </cell>
          <cell r="AW1225">
            <v>0.59027777777777779</v>
          </cell>
          <cell r="AX1225">
            <v>0.65625</v>
          </cell>
          <cell r="AY1225">
            <v>6.5972222222222224E-2</v>
          </cell>
          <cell r="AZ1225">
            <v>0.5854166666666667</v>
          </cell>
          <cell r="BA1225">
            <v>0.1673611111111111</v>
          </cell>
          <cell r="BB1225" t="str">
            <v>0.8*0.8-0.9*0.9-1.2</v>
          </cell>
          <cell r="BD1225" t="str">
            <v>Manual+Vibratome</v>
          </cell>
          <cell r="BE1225">
            <v>14</v>
          </cell>
          <cell r="BF1225" t="str">
            <v>Syam</v>
          </cell>
          <cell r="BG1225" t="str">
            <v>Y</v>
          </cell>
        </row>
        <row r="1226">
          <cell r="A1226" t="str">
            <v>FBR1Y240335</v>
          </cell>
          <cell r="B1226">
            <v>240335</v>
          </cell>
          <cell r="C1226" t="str">
            <v>R&amp;D</v>
          </cell>
          <cell r="D1226">
            <v>45615</v>
          </cell>
          <cell r="E1226">
            <v>0.66666666666666663</v>
          </cell>
          <cell r="F1226">
            <v>45597</v>
          </cell>
          <cell r="G1226">
            <v>45615</v>
          </cell>
          <cell r="H1226">
            <v>0.74236111111111114</v>
          </cell>
          <cell r="I1226">
            <v>7.5694444444444439E-2</v>
          </cell>
          <cell r="J1226">
            <v>13</v>
          </cell>
          <cell r="K1226" t="str">
            <v>FCB-PROTOCOL-02</v>
          </cell>
          <cell r="L1226" t="str">
            <v>HN189</v>
          </cell>
          <cell r="M1226" t="str">
            <v>Y</v>
          </cell>
          <cell r="P1226" t="str">
            <v>Q1 Passed</v>
          </cell>
          <cell r="Q1226" t="str">
            <v>Not Received</v>
          </cell>
          <cell r="R1226" t="str">
            <v>Compromised</v>
          </cell>
          <cell r="S1226" t="str">
            <v>Q1.5 Passed</v>
          </cell>
          <cell r="T1226" t="str">
            <v>Blood not collected</v>
          </cell>
          <cell r="V1226" t="str">
            <v>Tumor content ?90% in all fragments</v>
          </cell>
          <cell r="W1226" t="str">
            <v>Private Hospital</v>
          </cell>
          <cell r="X1226" t="str">
            <v>Mazumdar Shaw Medical Centre, Bangalore</v>
          </cell>
          <cell r="Y1226" t="str">
            <v>Mazumdar Shaw Medical Centre, Bangalore</v>
          </cell>
          <cell r="Z1226" t="str">
            <v>Dr Vijay Pillai, Bangalore</v>
          </cell>
          <cell r="AA1226" t="str">
            <v>HNSCC</v>
          </cell>
          <cell r="AC1226" t="str">
            <v>Tongue</v>
          </cell>
          <cell r="AD1226" t="str">
            <v>Left Lateral Tongue</v>
          </cell>
          <cell r="AE1226" t="str">
            <v>Male</v>
          </cell>
          <cell r="AF1226">
            <v>72</v>
          </cell>
          <cell r="AG1226" t="str">
            <v>N</v>
          </cell>
          <cell r="AH1226">
            <v>4.5</v>
          </cell>
          <cell r="AI1226" t="str">
            <v>Maruthi</v>
          </cell>
          <cell r="AJ1226" t="str">
            <v>Surgery</v>
          </cell>
          <cell r="AK1226" t="str">
            <v>Primary</v>
          </cell>
          <cell r="AN1226">
            <v>3</v>
          </cell>
          <cell r="AO1226">
            <v>1</v>
          </cell>
          <cell r="AP1226" t="str">
            <v>pT3pN0</v>
          </cell>
          <cell r="AS1226" t="str">
            <v>well differentiated squamous cell carcinoma</v>
          </cell>
          <cell r="AV1226">
            <v>45615</v>
          </cell>
          <cell r="AW1226">
            <v>0.75416666666666665</v>
          </cell>
          <cell r="AX1226">
            <v>0.81874999999999998</v>
          </cell>
          <cell r="AY1226">
            <v>6.458333333333334E-2</v>
          </cell>
          <cell r="AZ1226">
            <v>0.74305555555555558</v>
          </cell>
          <cell r="BA1226">
            <v>0.15208333333333332</v>
          </cell>
          <cell r="BB1226" t="str">
            <v>0.2-0.3*0.8-0.6*1.0
0.2-0.3*0.8*0.6</v>
          </cell>
          <cell r="BD1226" t="str">
            <v>Manual+Vibratome</v>
          </cell>
          <cell r="BE1226">
            <v>14</v>
          </cell>
          <cell r="BF1226" t="str">
            <v>Abdul</v>
          </cell>
          <cell r="BG1226" t="str">
            <v>N</v>
          </cell>
        </row>
        <row r="1227">
          <cell r="A1227" t="str">
            <v>FBR1Y240336</v>
          </cell>
          <cell r="B1227">
            <v>240336</v>
          </cell>
          <cell r="C1227" t="str">
            <v>R&amp;D</v>
          </cell>
          <cell r="D1227">
            <v>45615</v>
          </cell>
          <cell r="E1227">
            <v>0.48958333333333331</v>
          </cell>
          <cell r="F1227">
            <v>45597</v>
          </cell>
          <cell r="G1227">
            <v>45615</v>
          </cell>
          <cell r="H1227">
            <v>0.6743055555555556</v>
          </cell>
          <cell r="I1227">
            <v>0.18472222222222223</v>
          </cell>
          <cell r="J1227">
            <v>15</v>
          </cell>
          <cell r="K1227" t="str">
            <v>FCB-PROTOCOL-01</v>
          </cell>
          <cell r="L1227" t="str">
            <v>CLN/DBR/216</v>
          </cell>
          <cell r="M1227" t="str">
            <v>Y</v>
          </cell>
          <cell r="P1227" t="str">
            <v>Q1 Passed</v>
          </cell>
          <cell r="Q1227" t="str">
            <v>Q1 Passed</v>
          </cell>
          <cell r="R1227" t="str">
            <v>Q1.5 Passed</v>
          </cell>
          <cell r="S1227" t="str">
            <v>Q1.5 Passed</v>
          </cell>
          <cell r="V1227" t="str">
            <v>Tumor content 15-90%. Immune component high in some fragments</v>
          </cell>
          <cell r="W1227" t="str">
            <v>Private Hospital</v>
          </cell>
          <cell r="X1227" t="str">
            <v>Clinic'les- DBR &amp; SK Hospital, Tirupati</v>
          </cell>
          <cell r="Y1227" t="str">
            <v>DBR &amp; SK Hospital, Tirupati</v>
          </cell>
          <cell r="Z1227" t="str">
            <v>Dr C Jayaprakash, Tirupati</v>
          </cell>
          <cell r="AA1227" t="str">
            <v>HNSCC</v>
          </cell>
          <cell r="AC1227" t="str">
            <v>Buccal Mucosa</v>
          </cell>
          <cell r="AD1227" t="str">
            <v>Left Buccal Mucosa</v>
          </cell>
          <cell r="AE1227" t="str">
            <v>Female</v>
          </cell>
          <cell r="AF1227">
            <v>72</v>
          </cell>
          <cell r="AG1227" t="str">
            <v>N</v>
          </cell>
          <cell r="AH1227">
            <v>5.0999999999999996</v>
          </cell>
          <cell r="AI1227" t="str">
            <v>Shashi</v>
          </cell>
          <cell r="AJ1227" t="str">
            <v>Surgery</v>
          </cell>
          <cell r="AK1227" t="str">
            <v>Primary</v>
          </cell>
          <cell r="AN1227" t="str">
            <v>IVA</v>
          </cell>
          <cell r="AP1227" t="str">
            <v>T3 N2 MX</v>
          </cell>
          <cell r="AV1227">
            <v>45615</v>
          </cell>
          <cell r="AW1227">
            <v>0.84791666666666665</v>
          </cell>
          <cell r="AX1227">
            <v>0.92361111111111116</v>
          </cell>
          <cell r="AY1227">
            <v>7.5694444444444439E-2</v>
          </cell>
          <cell r="AZ1227">
            <v>0.73888888888888893</v>
          </cell>
          <cell r="BA1227">
            <v>0.43402777777777779</v>
          </cell>
          <cell r="BB1227" t="str">
            <v>0.6*1.2*1.5
0.4*1.0*1.0/1.1</v>
          </cell>
          <cell r="BD1227" t="str">
            <v>Manual+Vibratome</v>
          </cell>
          <cell r="BE1227">
            <v>14</v>
          </cell>
          <cell r="BF1227" t="str">
            <v>kuberan</v>
          </cell>
          <cell r="BG1227" t="str">
            <v>Y</v>
          </cell>
        </row>
        <row r="1228">
          <cell r="A1228" t="str">
            <v>FBR1Y240337</v>
          </cell>
          <cell r="B1228">
            <v>240337</v>
          </cell>
          <cell r="C1228" t="str">
            <v>R&amp;D</v>
          </cell>
          <cell r="D1228">
            <v>45617</v>
          </cell>
          <cell r="E1228">
            <v>0.61944444444444446</v>
          </cell>
          <cell r="F1228">
            <v>45597</v>
          </cell>
          <cell r="G1228">
            <v>45617</v>
          </cell>
          <cell r="H1228">
            <v>0.67013888888888884</v>
          </cell>
          <cell r="I1228">
            <v>5.0694444444444445E-2</v>
          </cell>
          <cell r="J1228">
            <v>4</v>
          </cell>
          <cell r="K1228" t="str">
            <v>FCB-PROTOCOL-01</v>
          </cell>
          <cell r="L1228" t="str">
            <v>VYD/331</v>
          </cell>
          <cell r="M1228" t="str">
            <v>Y</v>
          </cell>
          <cell r="P1228" t="str">
            <v>Q1 Passed</v>
          </cell>
          <cell r="Q1228" t="str">
            <v>Q1 Passed</v>
          </cell>
          <cell r="R1228" t="str">
            <v>Q1.5 Passed</v>
          </cell>
          <cell r="S1228" t="str">
            <v>Q1.5 Passed</v>
          </cell>
          <cell r="V1228" t="str">
            <v>Tumor content 85-95%</v>
          </cell>
          <cell r="W1228" t="str">
            <v>Private Hospital</v>
          </cell>
          <cell r="X1228" t="str">
            <v>Vydehi Hospital, Bangalore</v>
          </cell>
          <cell r="Y1228" t="str">
            <v>Vydehi Hospital, Bangalore</v>
          </cell>
          <cell r="Z1228" t="str">
            <v>Dr Amritha Prabha, Bangalore</v>
          </cell>
          <cell r="AA1228" t="str">
            <v>HNSCC</v>
          </cell>
          <cell r="AC1228" t="str">
            <v>Buccal Mucosa</v>
          </cell>
          <cell r="AD1228" t="str">
            <v>Left Buccal Mucosa</v>
          </cell>
          <cell r="AE1228" t="str">
            <v>Male</v>
          </cell>
          <cell r="AF1228">
            <v>44</v>
          </cell>
          <cell r="AG1228" t="str">
            <v>N</v>
          </cell>
          <cell r="AH1228">
            <v>6.2</v>
          </cell>
          <cell r="AI1228" t="str">
            <v>Shashi</v>
          </cell>
          <cell r="AJ1228" t="str">
            <v>Surgery</v>
          </cell>
          <cell r="AK1228" t="str">
            <v>Primary</v>
          </cell>
          <cell r="AN1228" t="str">
            <v>IVa</v>
          </cell>
          <cell r="AO1228">
            <v>1</v>
          </cell>
          <cell r="AP1228" t="str">
            <v>T4aN0</v>
          </cell>
          <cell r="AS1228" t="str">
            <v>scc</v>
          </cell>
          <cell r="AV1228">
            <v>45617</v>
          </cell>
          <cell r="AW1228">
            <v>0.68263888888888891</v>
          </cell>
          <cell r="AX1228">
            <v>0.75277777777777777</v>
          </cell>
          <cell r="AY1228">
            <v>7.013888888888889E-2</v>
          </cell>
          <cell r="AZ1228">
            <v>0.70208333333333328</v>
          </cell>
          <cell r="BA1228">
            <v>0.13333333333333333</v>
          </cell>
          <cell r="BB1228" t="str">
            <v>0.1-0.2*0.5*0.8
0.2-0.4*0.4-0.8*0.9-0.8
0.2-0.3*0.4-0.8*1.2
0.2*0.4*0.7</v>
          </cell>
          <cell r="BD1228" t="str">
            <v>Manual+Vibratome</v>
          </cell>
          <cell r="BE1228">
            <v>14</v>
          </cell>
          <cell r="BF1228" t="str">
            <v>Abdul</v>
          </cell>
          <cell r="BG1228" t="str">
            <v>Y</v>
          </cell>
        </row>
        <row r="1229">
          <cell r="A1229" t="str">
            <v>FBR1Q240338</v>
          </cell>
          <cell r="B1229">
            <v>240338</v>
          </cell>
          <cell r="C1229" t="str">
            <v>R&amp;D</v>
          </cell>
          <cell r="D1229">
            <v>45617</v>
          </cell>
          <cell r="E1229">
            <v>0.50694444444444442</v>
          </cell>
          <cell r="F1229">
            <v>45597</v>
          </cell>
          <cell r="G1229">
            <v>45617</v>
          </cell>
          <cell r="H1229">
            <v>0.89513888888888893</v>
          </cell>
          <cell r="I1229">
            <v>0.38819444444444445</v>
          </cell>
          <cell r="J1229">
            <v>20</v>
          </cell>
          <cell r="K1229" t="str">
            <v>FCB-PROTOCOL-01</v>
          </cell>
          <cell r="L1229" t="str">
            <v>CLN/DBR/217</v>
          </cell>
          <cell r="M1229" t="str">
            <v>Y</v>
          </cell>
          <cell r="P1229" t="str">
            <v>Q1 Passed</v>
          </cell>
          <cell r="Q1229" t="str">
            <v>Q1 Passed</v>
          </cell>
          <cell r="R1229" t="str">
            <v>Q1.5 Passed</v>
          </cell>
          <cell r="S1229" t="str">
            <v>Q1.5 Rejected</v>
          </cell>
          <cell r="V1229" t="str">
            <v>Tumor content 2-6%</v>
          </cell>
          <cell r="W1229" t="str">
            <v>Private Hospital</v>
          </cell>
          <cell r="X1229" t="str">
            <v>Clinic'les- DBR &amp; SK Hospital, Tirupati</v>
          </cell>
          <cell r="Y1229" t="str">
            <v>DBR &amp; SK Hospital, Tirupati</v>
          </cell>
          <cell r="Z1229" t="str">
            <v>Dr C Jayaprakash, Tirupati</v>
          </cell>
          <cell r="AA1229" t="str">
            <v>Ca Breast</v>
          </cell>
          <cell r="AC1229" t="str">
            <v>Breast</v>
          </cell>
          <cell r="AD1229" t="str">
            <v>Right Breast</v>
          </cell>
          <cell r="AE1229" t="str">
            <v>Female</v>
          </cell>
          <cell r="AF1229">
            <v>42</v>
          </cell>
          <cell r="AG1229" t="str">
            <v>N</v>
          </cell>
          <cell r="AH1229">
            <v>7.1</v>
          </cell>
          <cell r="AI1229" t="str">
            <v>Maruthi</v>
          </cell>
          <cell r="AJ1229" t="str">
            <v>Surgery</v>
          </cell>
          <cell r="AK1229" t="str">
            <v>Primary</v>
          </cell>
          <cell r="AN1229" t="str">
            <v>IIB</v>
          </cell>
          <cell r="AO1229">
            <v>2</v>
          </cell>
          <cell r="AP1229" t="str">
            <v>T2 N1 MX</v>
          </cell>
          <cell r="AV1229">
            <v>45618</v>
          </cell>
          <cell r="AW1229">
            <v>0.27083333333333331</v>
          </cell>
          <cell r="AX1229">
            <v>0.34930555555555554</v>
          </cell>
          <cell r="AY1229">
            <v>7.8472222222222221E-2</v>
          </cell>
          <cell r="AZ122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22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29" t="str">
            <v>0.6-1.0*2.2*2.8</v>
          </cell>
          <cell r="BD1229" t="str">
            <v>Manual</v>
          </cell>
          <cell r="BE1229">
            <v>14</v>
          </cell>
          <cell r="BF1229" t="str">
            <v>Abdul</v>
          </cell>
          <cell r="BG1229" t="str">
            <v>Y</v>
          </cell>
        </row>
        <row r="1230">
          <cell r="A1230" t="str">
            <v>FBR2A240339</v>
          </cell>
          <cell r="B1230">
            <v>240339</v>
          </cell>
          <cell r="C1230" t="str">
            <v>R&amp;D</v>
          </cell>
          <cell r="D1230">
            <v>45618</v>
          </cell>
          <cell r="E1230">
            <v>0.47152777777777777</v>
          </cell>
          <cell r="F1230">
            <v>45597</v>
          </cell>
          <cell r="G1230">
            <v>45618</v>
          </cell>
          <cell r="H1230">
            <v>0.5756944444444444</v>
          </cell>
          <cell r="I1230">
            <v>0.10416666666666667</v>
          </cell>
          <cell r="J1230">
            <v>13</v>
          </cell>
          <cell r="K1230" t="str">
            <v>FCB-PROTOCOL-02</v>
          </cell>
          <cell r="L1230" t="str">
            <v>OCO47</v>
          </cell>
          <cell r="M1230" t="str">
            <v>Y</v>
          </cell>
          <cell r="P1230" t="str">
            <v>Q1 Passed</v>
          </cell>
          <cell r="Q1230" t="str">
            <v>Q1 Rejected</v>
          </cell>
          <cell r="R1230" t="str">
            <v>Q1.5 Rejected</v>
          </cell>
          <cell r="S1230" t="str">
            <v>Q1.5 Rejected</v>
          </cell>
          <cell r="T1230" t="str">
            <v>Less volume blood</v>
          </cell>
          <cell r="V1230" t="str">
            <v>No tumor</v>
          </cell>
          <cell r="W1230" t="str">
            <v>Private Hospital</v>
          </cell>
          <cell r="X1230" t="str">
            <v>Mazumdar Shaw Medical Centre, Bangalore</v>
          </cell>
          <cell r="Y1230" t="str">
            <v>Mazumdar Shaw Medical Centre, Bangalore</v>
          </cell>
          <cell r="Z1230" t="str">
            <v>Dr Rohit Ranade, Bangalore</v>
          </cell>
          <cell r="AA1230" t="str">
            <v>Ca Ovary</v>
          </cell>
          <cell r="AC1230" t="str">
            <v>Ovary</v>
          </cell>
          <cell r="AD1230" t="str">
            <v>Right Ovary</v>
          </cell>
          <cell r="AE1230" t="str">
            <v>Female</v>
          </cell>
          <cell r="AF1230">
            <v>57</v>
          </cell>
          <cell r="AG1230" t="str">
            <v>N</v>
          </cell>
          <cell r="AH1230">
            <v>4.5</v>
          </cell>
          <cell r="AI1230" t="str">
            <v>Maruthi</v>
          </cell>
          <cell r="AJ1230" t="str">
            <v>Surgery</v>
          </cell>
          <cell r="AK1230" t="str">
            <v>Primary</v>
          </cell>
          <cell r="AL1230" t="str">
            <v>Surgery</v>
          </cell>
          <cell r="AV1230">
            <v>45618</v>
          </cell>
          <cell r="AW1230">
            <v>0.58611111111111114</v>
          </cell>
          <cell r="AX1230">
            <v>0.6875</v>
          </cell>
          <cell r="AY1230">
            <v>0.10138888888888889</v>
          </cell>
          <cell r="AZ1230">
            <v>0.58333333333333337</v>
          </cell>
          <cell r="BA1230">
            <v>0.21597222222222223</v>
          </cell>
          <cell r="BB1230" t="str">
            <v>0.2-0.4*0.1-0.2*0.1-0.2</v>
          </cell>
          <cell r="BD1230" t="str">
            <v>Vibratome</v>
          </cell>
          <cell r="BE1230">
            <v>14</v>
          </cell>
          <cell r="BF1230" t="str">
            <v>Syam</v>
          </cell>
          <cell r="BG1230" t="str">
            <v>N</v>
          </cell>
        </row>
        <row r="1231">
          <cell r="A1231" t="str">
            <v>FBR1Y240340</v>
          </cell>
          <cell r="B1231">
            <v>240340</v>
          </cell>
          <cell r="C1231" t="str">
            <v>R&amp;D</v>
          </cell>
          <cell r="D1231">
            <v>45618</v>
          </cell>
          <cell r="E1231">
            <v>0.49791666666666667</v>
          </cell>
          <cell r="F1231">
            <v>45597</v>
          </cell>
          <cell r="G1231">
            <v>45618</v>
          </cell>
          <cell r="H1231">
            <v>0.60416666666666663</v>
          </cell>
          <cell r="I1231">
            <v>0.10625</v>
          </cell>
          <cell r="J1231">
            <v>4</v>
          </cell>
          <cell r="K1231" t="str">
            <v>FCB-PROTOCOL-01</v>
          </cell>
          <cell r="L1231" t="str">
            <v>VYD/332</v>
          </cell>
          <cell r="M1231" t="str">
            <v>Y</v>
          </cell>
          <cell r="P1231" t="str">
            <v>Q1 Passed</v>
          </cell>
          <cell r="Q1231" t="str">
            <v>Q1 Passed</v>
          </cell>
          <cell r="R1231" t="str">
            <v>Q1.5 Passed</v>
          </cell>
          <cell r="S1231" t="str">
            <v>Q1.5 Passed</v>
          </cell>
          <cell r="V1231" t="str">
            <v>Tumor content 85-95%</v>
          </cell>
          <cell r="W1231" t="str">
            <v>Private Hospital</v>
          </cell>
          <cell r="X1231" t="str">
            <v>Vydehi Hospital, Bangalore</v>
          </cell>
          <cell r="Y1231" t="str">
            <v>Vydehi Hospital, Bangalore</v>
          </cell>
          <cell r="Z1231" t="str">
            <v>Dr Amritha Prabha, Bangalore</v>
          </cell>
          <cell r="AA1231" t="str">
            <v>HNSCC</v>
          </cell>
          <cell r="AC1231" t="str">
            <v>Buccal Mucosa</v>
          </cell>
          <cell r="AD1231" t="str">
            <v>Right Buccal Mucosa</v>
          </cell>
          <cell r="AE1231" t="str">
            <v>Female</v>
          </cell>
          <cell r="AF1231">
            <v>58</v>
          </cell>
          <cell r="AG1231" t="str">
            <v>N</v>
          </cell>
          <cell r="AH1231">
            <v>4.0999999999999996</v>
          </cell>
          <cell r="AI1231" t="str">
            <v>Kalappa</v>
          </cell>
          <cell r="AJ1231" t="str">
            <v>Surgery</v>
          </cell>
          <cell r="AK1231" t="str">
            <v>Primary</v>
          </cell>
          <cell r="AN1231" t="str">
            <v>IVa</v>
          </cell>
          <cell r="AO1231">
            <v>2</v>
          </cell>
          <cell r="AP1231" t="str">
            <v>T4aN1</v>
          </cell>
          <cell r="AS1231" t="str">
            <v>scc</v>
          </cell>
          <cell r="AV1231">
            <v>45618</v>
          </cell>
          <cell r="AW1231">
            <v>0.63194444444444442</v>
          </cell>
          <cell r="AX1231">
            <v>0.70486111111111116</v>
          </cell>
          <cell r="AY1231">
            <v>7.2916666666666671E-2</v>
          </cell>
          <cell r="AZ1231">
            <v>0.59861111111111109</v>
          </cell>
          <cell r="BA1231">
            <v>0.20694444444444443</v>
          </cell>
          <cell r="BB1231" t="str">
            <v>0.4-0.6*0.6-1.1*1.9-2.0</v>
          </cell>
          <cell r="BD1231" t="str">
            <v>Manual+Vibratome</v>
          </cell>
          <cell r="BE1231">
            <v>14</v>
          </cell>
          <cell r="BF1231" t="str">
            <v>Dharani</v>
          </cell>
          <cell r="BG1231" t="str">
            <v>Y</v>
          </cell>
        </row>
        <row r="1232">
          <cell r="A1232" t="str">
            <v>FBR1Y240341</v>
          </cell>
          <cell r="B1232">
            <v>240341</v>
          </cell>
          <cell r="C1232" t="str">
            <v>R&amp;D</v>
          </cell>
          <cell r="D1232">
            <v>45621</v>
          </cell>
          <cell r="E1232">
            <v>0.48958333333333331</v>
          </cell>
          <cell r="F1232">
            <v>45597</v>
          </cell>
          <cell r="G1232">
            <v>45621</v>
          </cell>
          <cell r="H1232">
            <v>0.59791666666666665</v>
          </cell>
          <cell r="I1232">
            <v>0.10833333333333334</v>
          </cell>
          <cell r="J1232">
            <v>4</v>
          </cell>
          <cell r="K1232" t="str">
            <v>FCB-PROTOCOL-01</v>
          </cell>
          <cell r="L1232" t="str">
            <v>VYD/333</v>
          </cell>
          <cell r="M1232" t="str">
            <v>Y</v>
          </cell>
          <cell r="P1232" t="str">
            <v>Q1 Passed</v>
          </cell>
          <cell r="Q1232" t="str">
            <v>Q1 Passed</v>
          </cell>
          <cell r="R1232" t="str">
            <v>Q1.5 Passed</v>
          </cell>
          <cell r="S1232" t="str">
            <v>Q1.5 Passed</v>
          </cell>
          <cell r="V1232" t="str">
            <v>Tumor content 2-30%</v>
          </cell>
          <cell r="W1232" t="str">
            <v>Private Hospital</v>
          </cell>
          <cell r="X1232" t="str">
            <v>Vydehi Hospital, Bangalore</v>
          </cell>
          <cell r="Y1232" t="str">
            <v>Vydehi Hospital, Bangalore</v>
          </cell>
          <cell r="Z1232" t="str">
            <v>Dr Amritha Prabha, Bangalore</v>
          </cell>
          <cell r="AA1232" t="str">
            <v>HNSCC</v>
          </cell>
          <cell r="AC1232" t="str">
            <v>Buccal Mucosa</v>
          </cell>
          <cell r="AD1232" t="str">
            <v>Right Buccal Mucosa</v>
          </cell>
          <cell r="AE1232" t="str">
            <v>Male</v>
          </cell>
          <cell r="AF1232">
            <v>76</v>
          </cell>
          <cell r="AG1232" t="str">
            <v>N</v>
          </cell>
          <cell r="AH1232">
            <v>3.6</v>
          </cell>
          <cell r="AI1232" t="str">
            <v>Kalappa</v>
          </cell>
          <cell r="AJ1232" t="str">
            <v>Surgery</v>
          </cell>
          <cell r="AK1232" t="str">
            <v>Primary</v>
          </cell>
          <cell r="AN1232" t="str">
            <v>IVa</v>
          </cell>
          <cell r="AO1232">
            <v>1</v>
          </cell>
          <cell r="AP1232" t="str">
            <v>T4aN0</v>
          </cell>
          <cell r="AS1232" t="str">
            <v>scc</v>
          </cell>
          <cell r="AV1232">
            <v>45621</v>
          </cell>
          <cell r="AW1232">
            <v>0.61041666666666672</v>
          </cell>
          <cell r="AX1232">
            <v>0.68680555555555556</v>
          </cell>
          <cell r="AY1232">
            <v>7.6388888888888895E-2</v>
          </cell>
          <cell r="AZ1232">
            <v>0.57847222222222228</v>
          </cell>
          <cell r="BA1232">
            <v>0.19722222222222222</v>
          </cell>
          <cell r="BB1232" t="str">
            <v>0.6-0.8*1.2-1.4*1.5</v>
          </cell>
          <cell r="BD1232" t="str">
            <v>Manual+Vibratome</v>
          </cell>
          <cell r="BE1232">
            <v>14</v>
          </cell>
          <cell r="BF1232" t="str">
            <v>Syam</v>
          </cell>
          <cell r="BG1232" t="str">
            <v>Y</v>
          </cell>
        </row>
        <row r="1233">
          <cell r="A1233" t="str">
            <v>FBR2A240342</v>
          </cell>
          <cell r="B1233">
            <v>240342</v>
          </cell>
          <cell r="C1233" t="str">
            <v>R&amp;D</v>
          </cell>
          <cell r="D1233">
            <v>45621</v>
          </cell>
          <cell r="E1233">
            <v>0.51041666666666663</v>
          </cell>
          <cell r="F1233">
            <v>45597</v>
          </cell>
          <cell r="G1233">
            <v>45621</v>
          </cell>
          <cell r="H1233">
            <v>0.65347222222222223</v>
          </cell>
          <cell r="I1233">
            <v>0.14305555555555555</v>
          </cell>
          <cell r="J1233">
            <v>10</v>
          </cell>
          <cell r="K1233" t="str">
            <v>FCB-PROTOCOL-02</v>
          </cell>
          <cell r="L1233" t="str">
            <v>OCO48</v>
          </cell>
          <cell r="M1233" t="str">
            <v>Y</v>
          </cell>
          <cell r="P1233" t="str">
            <v>Q1 Passed</v>
          </cell>
          <cell r="Q1233" t="str">
            <v>Q1 Passed</v>
          </cell>
          <cell r="R1233" t="str">
            <v>Q1.5 Passed</v>
          </cell>
          <cell r="S1233" t="str">
            <v>Q1.5 Rejected</v>
          </cell>
          <cell r="V1233" t="str">
            <v>Tumor content 0-2%. Necrosis high</v>
          </cell>
          <cell r="W1233" t="str">
            <v>Private Hospital</v>
          </cell>
          <cell r="X1233" t="str">
            <v>Mazumdar Shaw Medical Centre, Bangalore</v>
          </cell>
          <cell r="Y1233" t="str">
            <v>Mazumdar Shaw Medical Centre, Bangalore</v>
          </cell>
          <cell r="Z1233" t="str">
            <v>Dr Rohit Ranade, Bangalore</v>
          </cell>
          <cell r="AA1233" t="str">
            <v>Ca Ovary</v>
          </cell>
          <cell r="AC1233" t="str">
            <v>Ovary</v>
          </cell>
          <cell r="AD1233" t="str">
            <v>Ovary</v>
          </cell>
          <cell r="AE1233" t="str">
            <v>Female</v>
          </cell>
          <cell r="AF1233">
            <v>32</v>
          </cell>
          <cell r="AG1233" t="str">
            <v>N</v>
          </cell>
          <cell r="AH1233">
            <v>3.5</v>
          </cell>
          <cell r="AI1233" t="str">
            <v>Maruthi</v>
          </cell>
          <cell r="AJ1233" t="str">
            <v>Surgery</v>
          </cell>
          <cell r="AK1233" t="str">
            <v>Primary</v>
          </cell>
          <cell r="AL1233" t="str">
            <v>Chemotherapy</v>
          </cell>
          <cell r="AQ1233">
            <v>3</v>
          </cell>
          <cell r="AR1233" t="str">
            <v>Pacli+Carbo</v>
          </cell>
          <cell r="AV1233">
            <v>45621</v>
          </cell>
          <cell r="AW1233">
            <v>0.6694444444444444</v>
          </cell>
          <cell r="AX1233">
            <v>0.70138888888888884</v>
          </cell>
          <cell r="AY1233">
            <v>3.1944444444444442E-2</v>
          </cell>
          <cell r="AZ1233">
            <v>0.55833333333333335</v>
          </cell>
          <cell r="BA1233">
            <v>0.19097222222222221</v>
          </cell>
          <cell r="BB1233" t="str">
            <v>0.2/0.3*0.6-1.2*1.8</v>
          </cell>
          <cell r="BD1233" t="str">
            <v>Manual</v>
          </cell>
          <cell r="BE1233">
            <v>14</v>
          </cell>
          <cell r="BF1233" t="str">
            <v>kuberan</v>
          </cell>
          <cell r="BG1233" t="str">
            <v>Y</v>
          </cell>
        </row>
        <row r="1234">
          <cell r="A1234" t="str">
            <v>FBR1Y240343</v>
          </cell>
          <cell r="B1234">
            <v>240343</v>
          </cell>
          <cell r="C1234" t="str">
            <v>R&amp;D</v>
          </cell>
          <cell r="D1234">
            <v>45622</v>
          </cell>
          <cell r="E1234">
            <v>0.52777777777777779</v>
          </cell>
          <cell r="F1234">
            <v>45597</v>
          </cell>
          <cell r="G1234">
            <v>45622</v>
          </cell>
          <cell r="H1234">
            <v>0.61250000000000004</v>
          </cell>
          <cell r="I1234">
            <v>8.4722222222222227E-2</v>
          </cell>
          <cell r="J1234">
            <v>20</v>
          </cell>
          <cell r="K1234" t="str">
            <v>FCB-PROTOCOL-01</v>
          </cell>
          <cell r="L1234" t="str">
            <v>VYD/334</v>
          </cell>
          <cell r="M1234" t="str">
            <v>Y</v>
          </cell>
          <cell r="P1234" t="str">
            <v>Q1 Passed</v>
          </cell>
          <cell r="Q1234" t="str">
            <v>Q1 Passed</v>
          </cell>
          <cell r="R1234" t="str">
            <v>Q1.5 Passed</v>
          </cell>
          <cell r="S1234" t="str">
            <v>Q1.5 Passed</v>
          </cell>
          <cell r="V1234" t="str">
            <v>Tumor content 5-90%</v>
          </cell>
          <cell r="W1234" t="str">
            <v>Private Hospital</v>
          </cell>
          <cell r="X1234" t="str">
            <v>Vydehi Hospital, Bangalore</v>
          </cell>
          <cell r="Y1234" t="str">
            <v>Vydehi Hospital, Bangalore</v>
          </cell>
          <cell r="Z1234" t="str">
            <v>Dr Amritha Prabha, Bangalore</v>
          </cell>
          <cell r="AA1234" t="str">
            <v>HNSCC</v>
          </cell>
          <cell r="AC1234" t="str">
            <v>Tongue</v>
          </cell>
          <cell r="AD1234" t="str">
            <v>Left Lateral border of Tongue</v>
          </cell>
          <cell r="AE1234" t="str">
            <v>Female</v>
          </cell>
          <cell r="AF1234">
            <v>57</v>
          </cell>
          <cell r="AG1234" t="str">
            <v>N</v>
          </cell>
          <cell r="AH1234">
            <v>3.1</v>
          </cell>
          <cell r="AI1234" t="str">
            <v>Kalappa</v>
          </cell>
          <cell r="AJ1234" t="str">
            <v>Surgery</v>
          </cell>
          <cell r="AK1234" t="str">
            <v>Primary</v>
          </cell>
          <cell r="AN1234" t="str">
            <v>II</v>
          </cell>
          <cell r="AO1234">
            <v>1</v>
          </cell>
          <cell r="AP1234" t="str">
            <v>T2N0</v>
          </cell>
          <cell r="AS1234" t="str">
            <v>scc</v>
          </cell>
          <cell r="AV1234">
            <v>45622</v>
          </cell>
          <cell r="AW1234">
            <v>0.62569444444444444</v>
          </cell>
          <cell r="AX1234">
            <v>0.70902777777777781</v>
          </cell>
          <cell r="AY1234">
            <v>8.3333333333333329E-2</v>
          </cell>
          <cell r="AZ1234">
            <v>0.62430555555555556</v>
          </cell>
          <cell r="BA1234">
            <v>0.18124999999999999</v>
          </cell>
          <cell r="BB1234" t="str">
            <v>0.8*1.4*1.5-1.7</v>
          </cell>
          <cell r="BD1234" t="str">
            <v>Manual+Vibratome</v>
          </cell>
          <cell r="BE1234">
            <v>14</v>
          </cell>
          <cell r="BF1234" t="str">
            <v>Syam</v>
          </cell>
          <cell r="BG1234" t="str">
            <v>Y</v>
          </cell>
        </row>
        <row r="1235">
          <cell r="A1235" t="str">
            <v>FBR1X240344</v>
          </cell>
          <cell r="B1235">
            <v>240344</v>
          </cell>
          <cell r="C1235" t="str">
            <v>R&amp;D</v>
          </cell>
          <cell r="D1235">
            <v>45623</v>
          </cell>
          <cell r="E1235">
            <v>0.53472222222222221</v>
          </cell>
          <cell r="F1235">
            <v>45597</v>
          </cell>
          <cell r="G1235">
            <v>45623</v>
          </cell>
          <cell r="H1235">
            <v>0.69652777777777775</v>
          </cell>
          <cell r="I1235">
            <v>0.16180555555555556</v>
          </cell>
          <cell r="J1235">
            <v>10</v>
          </cell>
          <cell r="K1235" t="str">
            <v>FCB-PROTOCOL-02</v>
          </cell>
          <cell r="L1235" t="str">
            <v>HN190</v>
          </cell>
          <cell r="M1235" t="str">
            <v>Y</v>
          </cell>
          <cell r="P1235" t="str">
            <v>Q1 Passed</v>
          </cell>
          <cell r="Q1235" t="str">
            <v>Q1 Rejected</v>
          </cell>
          <cell r="R1235" t="str">
            <v>Compromised</v>
          </cell>
          <cell r="S1235" t="str">
            <v>Q1.5 Passed</v>
          </cell>
          <cell r="T1235" t="str">
            <v>Less volume blood</v>
          </cell>
          <cell r="V1235" t="str">
            <v>Tumor content 0-90%. Average tumor content 30%</v>
          </cell>
          <cell r="W1235" t="str">
            <v>Private Hospital</v>
          </cell>
          <cell r="X1235" t="str">
            <v>Mazumdar Shaw Medical Centre, Bangalore</v>
          </cell>
          <cell r="Y1235" t="str">
            <v>Mazumdar Shaw Medical Centre, Bangalore</v>
          </cell>
          <cell r="Z1235" t="str">
            <v>Dr Vijay Pillai, Bangalore</v>
          </cell>
          <cell r="AA1235" t="str">
            <v>HNSCC</v>
          </cell>
          <cell r="AC1235" t="str">
            <v>Supraglottis</v>
          </cell>
          <cell r="AD1235" t="str">
            <v>Right Supraglottis</v>
          </cell>
          <cell r="AE1235" t="str">
            <v>Male</v>
          </cell>
          <cell r="AF1235">
            <v>75</v>
          </cell>
          <cell r="AG1235" t="str">
            <v>N</v>
          </cell>
          <cell r="AH1235">
            <v>3.6</v>
          </cell>
          <cell r="AI1235" t="str">
            <v>Maruthi</v>
          </cell>
          <cell r="AJ1235" t="str">
            <v>Biopsy</v>
          </cell>
          <cell r="AK1235" t="str">
            <v>Primary</v>
          </cell>
          <cell r="AN1235" t="str">
            <v>NA</v>
          </cell>
          <cell r="AO1235" t="str">
            <v>NA</v>
          </cell>
          <cell r="AP1235" t="str">
            <v>NA</v>
          </cell>
          <cell r="AS1235" t="str">
            <v>MDSCC(Moderately Differentiated Squamous cell carcinoma)</v>
          </cell>
          <cell r="AV1235">
            <v>45623</v>
          </cell>
          <cell r="AW1235">
            <v>0.72430555555555554</v>
          </cell>
          <cell r="BB1235">
            <v>0.75694444444444442</v>
          </cell>
          <cell r="BD1235" t="str">
            <v>Manual</v>
          </cell>
          <cell r="BE1235">
            <v>14</v>
          </cell>
          <cell r="BF1235" t="str">
            <v>Pallavi</v>
          </cell>
          <cell r="BG1235" t="str">
            <v>N</v>
          </cell>
        </row>
        <row r="1236">
          <cell r="A1236" t="str">
            <v>FBR1Y240345</v>
          </cell>
          <cell r="B1236">
            <v>240345</v>
          </cell>
          <cell r="C1236" t="str">
            <v>R&amp;D</v>
          </cell>
          <cell r="D1236">
            <v>45623</v>
          </cell>
          <cell r="E1236">
            <v>0.58333333333333337</v>
          </cell>
          <cell r="F1236">
            <v>45597</v>
          </cell>
          <cell r="G1236">
            <v>45623</v>
          </cell>
          <cell r="H1236">
            <v>0.69652777777777775</v>
          </cell>
          <cell r="I1236">
            <v>0.11319444444444444</v>
          </cell>
          <cell r="J1236">
            <v>10</v>
          </cell>
          <cell r="K1236" t="str">
            <v>FCB-PROTOCOL-02</v>
          </cell>
          <cell r="L1236" t="str">
            <v>HN191</v>
          </cell>
          <cell r="M1236" t="str">
            <v>Y</v>
          </cell>
          <cell r="P1236" t="str">
            <v>Q1 Passed</v>
          </cell>
          <cell r="Q1236" t="str">
            <v>Not Received</v>
          </cell>
          <cell r="R1236" t="str">
            <v>Compromised</v>
          </cell>
          <cell r="S1236" t="str">
            <v>Q1.5 Rejected</v>
          </cell>
          <cell r="T1236" t="str">
            <v>Blood not collected</v>
          </cell>
          <cell r="V1236" t="str">
            <v>No tumor. Tissue mostly necrosed</v>
          </cell>
          <cell r="W1236" t="str">
            <v>Private Hospital</v>
          </cell>
          <cell r="X1236" t="str">
            <v>Mazumdar Shaw Medical Centre, Bangalore</v>
          </cell>
          <cell r="Y1236" t="str">
            <v>Mazumdar Shaw Medical Centre, Bangalore</v>
          </cell>
          <cell r="Z1236" t="str">
            <v>Dr Vijay Pillai, Bangalore</v>
          </cell>
          <cell r="AA1236" t="str">
            <v>HNSCC</v>
          </cell>
          <cell r="AC1236" t="str">
            <v>Retromolar Trigone</v>
          </cell>
          <cell r="AD1236" t="str">
            <v>Left Lateral Tongue</v>
          </cell>
          <cell r="AE1236" t="str">
            <v>Male</v>
          </cell>
          <cell r="AF1236">
            <v>55</v>
          </cell>
          <cell r="AG1236" t="str">
            <v>N</v>
          </cell>
          <cell r="AH1236">
            <v>3.6</v>
          </cell>
          <cell r="AI1236" t="str">
            <v>Maruthi</v>
          </cell>
          <cell r="AJ1236" t="str">
            <v>Surgery</v>
          </cell>
          <cell r="AK1236" t="str">
            <v>Primary</v>
          </cell>
          <cell r="AV1236">
            <v>45623</v>
          </cell>
          <cell r="AW1236">
            <v>0.72361111111111109</v>
          </cell>
          <cell r="AX1236">
            <v>0.76041666666666663</v>
          </cell>
          <cell r="AY1236">
            <v>3.6805555555555557E-2</v>
          </cell>
          <cell r="AZ1236">
            <v>0.64722222222222225</v>
          </cell>
          <cell r="BA1236">
            <v>0.17708333333333334</v>
          </cell>
          <cell r="BB1236" t="str">
            <v>1.2*1.8-0.8*3.2</v>
          </cell>
          <cell r="BD1236" t="str">
            <v>Manual</v>
          </cell>
          <cell r="BE1236">
            <v>14</v>
          </cell>
          <cell r="BF1236" t="str">
            <v>Abdul</v>
          </cell>
          <cell r="BG1236" t="str">
            <v>N</v>
          </cell>
        </row>
        <row r="1237">
          <cell r="A1237" t="str">
            <v>FBR2A240346</v>
          </cell>
          <cell r="B1237">
            <v>240346</v>
          </cell>
          <cell r="C1237" t="str">
            <v>R&amp;D</v>
          </cell>
          <cell r="D1237">
            <v>45623</v>
          </cell>
          <cell r="E1237">
            <v>0.47222222222222221</v>
          </cell>
          <cell r="F1237">
            <v>45597</v>
          </cell>
          <cell r="G1237">
            <v>45623</v>
          </cell>
          <cell r="H1237">
            <v>0.69861111111111107</v>
          </cell>
          <cell r="I1237">
            <v>0.22638888888888889</v>
          </cell>
          <cell r="J1237">
            <v>10</v>
          </cell>
          <cell r="K1237" t="str">
            <v>FCB-PROTOCOL-01</v>
          </cell>
          <cell r="L1237" t="str">
            <v>JSS-031</v>
          </cell>
          <cell r="M1237" t="str">
            <v>Y</v>
          </cell>
          <cell r="P1237" t="str">
            <v>Q1 Passed</v>
          </cell>
          <cell r="Q1237" t="str">
            <v>Q1 Passed</v>
          </cell>
          <cell r="R1237" t="str">
            <v>Q1.5 Passed</v>
          </cell>
          <cell r="S1237" t="str">
            <v>Q1.5 Passed</v>
          </cell>
          <cell r="V1237" t="str">
            <v>Tumor content 1-15%.</v>
          </cell>
          <cell r="W1237" t="str">
            <v>Private Hospital</v>
          </cell>
          <cell r="X1237" t="str">
            <v>Clinic'les- Dr Ravi Krishnappa, Mysore</v>
          </cell>
          <cell r="Y1237" t="str">
            <v>JSS Hospital, Mysore</v>
          </cell>
          <cell r="Z1237" t="str">
            <v>Dr Ravi Krishnappa, Mysore</v>
          </cell>
          <cell r="AA1237" t="str">
            <v>Ca Ovary</v>
          </cell>
          <cell r="AC1237" t="str">
            <v>Ovary</v>
          </cell>
          <cell r="AD1237" t="str">
            <v>Ovary</v>
          </cell>
          <cell r="AE1237" t="str">
            <v>Female</v>
          </cell>
          <cell r="AF1237">
            <v>52</v>
          </cell>
          <cell r="AG1237" t="str">
            <v>N</v>
          </cell>
          <cell r="AH1237">
            <v>6.6</v>
          </cell>
          <cell r="AI1237" t="str">
            <v>Kalappa</v>
          </cell>
          <cell r="AJ1237" t="str">
            <v>Surgery</v>
          </cell>
          <cell r="AK1237" t="str">
            <v>Primary</v>
          </cell>
          <cell r="AL1237" t="str">
            <v>Chemotherapy</v>
          </cell>
          <cell r="AQ1237">
            <v>6</v>
          </cell>
          <cell r="AR1237" t="str">
            <v>Pacli+Carbo</v>
          </cell>
          <cell r="AV1237">
            <v>45623</v>
          </cell>
          <cell r="AW1237">
            <v>0.72499999999999998</v>
          </cell>
          <cell r="AX1237">
            <v>0.80902777777777779</v>
          </cell>
          <cell r="AY1237">
            <v>8.4027777777777785E-2</v>
          </cell>
          <cell r="AZ1237">
            <v>0.58263888888888893</v>
          </cell>
          <cell r="BA1237">
            <v>0.33680555555555558</v>
          </cell>
          <cell r="BB1237" t="str">
            <v>0.2-0.6*1.4-1.7*2.9</v>
          </cell>
          <cell r="BD1237" t="str">
            <v>Vibratome</v>
          </cell>
          <cell r="BE1237">
            <v>14</v>
          </cell>
          <cell r="BF1237" t="str">
            <v xml:space="preserve">sai </v>
          </cell>
          <cell r="BG1237" t="str">
            <v>Y</v>
          </cell>
        </row>
        <row r="1238">
          <cell r="A1238" t="str">
            <v>FBR1Y240347</v>
          </cell>
          <cell r="B1238">
            <v>240347</v>
          </cell>
          <cell r="C1238" t="str">
            <v>R&amp;D</v>
          </cell>
          <cell r="D1238">
            <v>45624</v>
          </cell>
          <cell r="E1238">
            <v>0.51666666666666672</v>
          </cell>
          <cell r="F1238">
            <v>45597</v>
          </cell>
          <cell r="G1238">
            <v>45624</v>
          </cell>
          <cell r="H1238">
            <v>0.60972222222222228</v>
          </cell>
          <cell r="I1238">
            <v>9.3055555555555558E-2</v>
          </cell>
          <cell r="J1238">
            <v>4</v>
          </cell>
          <cell r="K1238" t="str">
            <v>FCB-PROTOCOL-01</v>
          </cell>
          <cell r="L1238" t="str">
            <v>VYD/335</v>
          </cell>
          <cell r="M1238" t="str">
            <v>Y</v>
          </cell>
          <cell r="P1238" t="str">
            <v>Q1 Passed</v>
          </cell>
          <cell r="Q1238" t="str">
            <v>Q1 Passed</v>
          </cell>
          <cell r="R1238" t="str">
            <v>Q1.5 Passed</v>
          </cell>
          <cell r="S1238" t="str">
            <v>Q1.5 Passed</v>
          </cell>
          <cell r="V1238" t="str">
            <v>Tumor content 60-90%</v>
          </cell>
          <cell r="W1238" t="str">
            <v>Private Hospital</v>
          </cell>
          <cell r="X1238" t="str">
            <v>Vydehi Hospital, Bangalore</v>
          </cell>
          <cell r="Y1238" t="str">
            <v>Vydehi Hospital, Bangalore</v>
          </cell>
          <cell r="Z1238" t="str">
            <v>Dr Amritha Prabha, Bangalore</v>
          </cell>
          <cell r="AA1238" t="str">
            <v>HNSCC</v>
          </cell>
          <cell r="AC1238" t="str">
            <v>Buccal Mucosa</v>
          </cell>
          <cell r="AD1238" t="str">
            <v>Right Buccal Mucosa</v>
          </cell>
          <cell r="AE1238" t="str">
            <v>Male</v>
          </cell>
          <cell r="AF1238">
            <v>41</v>
          </cell>
          <cell r="AG1238" t="str">
            <v>N</v>
          </cell>
          <cell r="AH1238">
            <v>4.3</v>
          </cell>
          <cell r="AI1238" t="str">
            <v>Maruthi</v>
          </cell>
          <cell r="AJ1238" t="str">
            <v>Surgery</v>
          </cell>
          <cell r="AK1238" t="str">
            <v>Primary</v>
          </cell>
          <cell r="AN1238" t="str">
            <v>IVa</v>
          </cell>
          <cell r="AO1238">
            <v>1</v>
          </cell>
          <cell r="AP1238" t="str">
            <v>T4aN1</v>
          </cell>
          <cell r="AS1238" t="str">
            <v>scc</v>
          </cell>
          <cell r="AV1238">
            <v>45624</v>
          </cell>
          <cell r="AW1238">
            <v>0.625</v>
          </cell>
          <cell r="AX1238">
            <v>0.7006944444444444</v>
          </cell>
          <cell r="AY1238">
            <v>7.5694444444444439E-2</v>
          </cell>
          <cell r="AZ1238">
            <v>0.60763888888888884</v>
          </cell>
          <cell r="BA1238">
            <v>0.18402777777777779</v>
          </cell>
          <cell r="BB1238" t="str">
            <v>0.4*0.6*1.6
0.6*1.0*1.4
0.2*0.8*1.4
0.1*0.6*1.0</v>
          </cell>
          <cell r="BD1238" t="str">
            <v>Manual+Vibratome</v>
          </cell>
          <cell r="BE1238">
            <v>14</v>
          </cell>
          <cell r="BF1238" t="str">
            <v>Syam</v>
          </cell>
          <cell r="BG1238" t="str">
            <v>Y</v>
          </cell>
        </row>
        <row r="1239">
          <cell r="A1239" t="str">
            <v>FBR1Y240348</v>
          </cell>
          <cell r="B1239">
            <v>240348</v>
          </cell>
          <cell r="C1239" t="str">
            <v>R&amp;D</v>
          </cell>
          <cell r="D1239">
            <v>45624</v>
          </cell>
          <cell r="E1239">
            <v>0.5</v>
          </cell>
          <cell r="F1239">
            <v>45597</v>
          </cell>
          <cell r="G1239">
            <v>45624</v>
          </cell>
          <cell r="H1239">
            <v>0.84305555555555556</v>
          </cell>
          <cell r="I1239">
            <v>0.34305555555555556</v>
          </cell>
          <cell r="J1239">
            <v>5</v>
          </cell>
          <cell r="K1239" t="str">
            <v>FCB-PROTOCOL-01</v>
          </cell>
          <cell r="L1239" t="str">
            <v>CLN/DBR/218</v>
          </cell>
          <cell r="M1239" t="str">
            <v>Y</v>
          </cell>
          <cell r="P1239" t="str">
            <v>Q1 Passed</v>
          </cell>
          <cell r="Q1239" t="str">
            <v>Q1 Passed</v>
          </cell>
          <cell r="R1239" t="str">
            <v>Q1.5 Passed</v>
          </cell>
          <cell r="S1239" t="str">
            <v>Q1.5 Passed</v>
          </cell>
          <cell r="V1239" t="str">
            <v>Tumor content 45-80%</v>
          </cell>
          <cell r="W1239" t="str">
            <v>Private Hospital</v>
          </cell>
          <cell r="X1239" t="str">
            <v>Clinic'les- DBR &amp; SK Hospital, Tirupati</v>
          </cell>
          <cell r="Y1239" t="str">
            <v>DBR &amp; SK Hospital, Tirupati</v>
          </cell>
          <cell r="Z1239" t="str">
            <v>Dr C Jayaprakash, Tirupati</v>
          </cell>
          <cell r="AA1239" t="str">
            <v>HNSCC</v>
          </cell>
          <cell r="AC1239" t="str">
            <v>Buccal Mucosa</v>
          </cell>
          <cell r="AD1239" t="str">
            <v>Left Buccal Mucosa</v>
          </cell>
          <cell r="AE1239" t="str">
            <v>Female</v>
          </cell>
          <cell r="AF1239">
            <v>55</v>
          </cell>
          <cell r="AG1239" t="str">
            <v>N</v>
          </cell>
          <cell r="AH1239">
            <v>6.9</v>
          </cell>
          <cell r="AI1239" t="str">
            <v>Kalappa</v>
          </cell>
          <cell r="AJ1239" t="str">
            <v>Surgery</v>
          </cell>
          <cell r="AK1239" t="str">
            <v>Primary</v>
          </cell>
          <cell r="AN1239" t="str">
            <v>III</v>
          </cell>
          <cell r="AP1239" t="str">
            <v>T3 N0 MX</v>
          </cell>
          <cell r="AV1239">
            <v>45624</v>
          </cell>
          <cell r="AW1239">
            <v>0.8569444444444444</v>
          </cell>
          <cell r="AX1239">
            <v>0.93333333333333335</v>
          </cell>
          <cell r="AY1239">
            <v>7.6388888888888895E-2</v>
          </cell>
          <cell r="AZ1239">
            <v>0.59027777777777779</v>
          </cell>
          <cell r="BA1239">
            <v>0.43333333333333335</v>
          </cell>
          <cell r="BB1239" t="str">
            <v>0.4-0.6*0.7-1.6*1.6-1.8</v>
          </cell>
          <cell r="BD1239" t="str">
            <v>Manual+Vibratome</v>
          </cell>
          <cell r="BE1239">
            <v>14</v>
          </cell>
          <cell r="BF1239" t="str">
            <v>Mouniss</v>
          </cell>
          <cell r="BG1239" t="str">
            <v>Y</v>
          </cell>
        </row>
        <row r="1240">
          <cell r="A1240" t="str">
            <v>FBR1Y240349</v>
          </cell>
          <cell r="B1240">
            <v>240349</v>
          </cell>
          <cell r="C1240" t="str">
            <v>R&amp;D</v>
          </cell>
          <cell r="D1240">
            <v>45625</v>
          </cell>
          <cell r="E1240">
            <v>0.48749999999999999</v>
          </cell>
          <cell r="F1240">
            <v>45597</v>
          </cell>
          <cell r="G1240">
            <v>45625</v>
          </cell>
          <cell r="H1240">
            <v>0.55069444444444449</v>
          </cell>
          <cell r="I1240">
            <v>6.3194444444444442E-2</v>
          </cell>
          <cell r="J1240">
            <v>5</v>
          </cell>
          <cell r="K1240" t="str">
            <v>FCB-PROTOCOL-01</v>
          </cell>
          <cell r="L1240" t="str">
            <v>VYD/336</v>
          </cell>
          <cell r="M1240" t="str">
            <v>Y</v>
          </cell>
          <cell r="P1240" t="str">
            <v>Q1 Passed</v>
          </cell>
          <cell r="Q1240" t="str">
            <v>Q1 Passed</v>
          </cell>
          <cell r="R1240" t="str">
            <v>Q1.5 Passed</v>
          </cell>
          <cell r="S1240" t="str">
            <v>Q1.5 Passed</v>
          </cell>
          <cell r="V1240" t="str">
            <v>Tumor content 40-96%</v>
          </cell>
          <cell r="W1240" t="str">
            <v>Private Hospital</v>
          </cell>
          <cell r="X1240" t="str">
            <v>Vydehi Hospital, Bangalore</v>
          </cell>
          <cell r="Y1240" t="str">
            <v>Vydehi Hospital, Bangalore</v>
          </cell>
          <cell r="Z1240" t="str">
            <v>Dr Amritha Prabha, Bangalore</v>
          </cell>
          <cell r="AA1240" t="str">
            <v>HNSCC</v>
          </cell>
          <cell r="AC1240" t="str">
            <v>Buccal Mucosa</v>
          </cell>
          <cell r="AD1240" t="str">
            <v>Right Buccal Mucosa</v>
          </cell>
          <cell r="AE1240" t="str">
            <v>Female</v>
          </cell>
          <cell r="AF1240">
            <v>60</v>
          </cell>
          <cell r="AG1240" t="str">
            <v>N</v>
          </cell>
          <cell r="AH1240">
            <v>4.3</v>
          </cell>
          <cell r="AI1240" t="str">
            <v>Maruthi</v>
          </cell>
          <cell r="AJ1240" t="str">
            <v>Surgery</v>
          </cell>
          <cell r="AK1240" t="str">
            <v>Local Recurrent</v>
          </cell>
          <cell r="AL1240" t="str">
            <v>Surgery</v>
          </cell>
          <cell r="AN1240" t="str">
            <v>III</v>
          </cell>
          <cell r="AO1240">
            <v>1</v>
          </cell>
          <cell r="AP1240" t="str">
            <v>rpT3N0</v>
          </cell>
          <cell r="AS1240" t="str">
            <v>scc</v>
          </cell>
          <cell r="AV1240">
            <v>45625</v>
          </cell>
          <cell r="AW1240">
            <v>0.56736111111111109</v>
          </cell>
          <cell r="AX1240">
            <v>0.64583333333333337</v>
          </cell>
          <cell r="AY1240">
            <v>7.8472222222222221E-2</v>
          </cell>
          <cell r="AZ1240">
            <v>0.58263888888888893</v>
          </cell>
          <cell r="BA1240">
            <v>0.15833333333333333</v>
          </cell>
          <cell r="BB1240" t="str">
            <v>0.15*0.2*1.3
0.6*0.6-0.9*1.7
0.6*1.0-1.2*1.2-1.4</v>
          </cell>
          <cell r="BD1240" t="str">
            <v>Manual+Vibratome</v>
          </cell>
          <cell r="BE1240">
            <v>14</v>
          </cell>
          <cell r="BF1240" t="str">
            <v>Pallavi</v>
          </cell>
          <cell r="BG1240" t="str">
            <v>Y</v>
          </cell>
        </row>
        <row r="1241">
          <cell r="A1241" t="str">
            <v>FBR2O240350</v>
          </cell>
          <cell r="B1241">
            <v>240350</v>
          </cell>
          <cell r="C1241" t="str">
            <v>R&amp;D</v>
          </cell>
          <cell r="D1241">
            <v>45629</v>
          </cell>
          <cell r="E1241">
            <v>0.62847222222222221</v>
          </cell>
          <cell r="F1241">
            <v>45627</v>
          </cell>
          <cell r="G1241">
            <v>45629</v>
          </cell>
          <cell r="H1241">
            <v>0.68888888888888888</v>
          </cell>
          <cell r="I1241">
            <v>6.0416666666666667E-2</v>
          </cell>
          <cell r="J1241">
            <v>3</v>
          </cell>
          <cell r="K1241" t="str">
            <v>FCB-PROTOCOL-01</v>
          </cell>
          <cell r="L1241" t="str">
            <v>KH-001</v>
          </cell>
          <cell r="M1241" t="str">
            <v>Y</v>
          </cell>
          <cell r="P1241" t="str">
            <v>Q1 Passed</v>
          </cell>
          <cell r="Q1241" t="str">
            <v>Q1 Passed</v>
          </cell>
          <cell r="R1241" t="str">
            <v>Q1.5 Passed</v>
          </cell>
          <cell r="S1241" t="str">
            <v>Q1.5 Passed</v>
          </cell>
          <cell r="V1241" t="str">
            <v>Tumor content 5-30%</v>
          </cell>
          <cell r="W1241" t="str">
            <v>Private Hospital</v>
          </cell>
          <cell r="X1241" t="str">
            <v>Kauvery Hospital, Elelctronic city bangalore</v>
          </cell>
          <cell r="Y1241" t="str">
            <v>Kauvery Hospital, Elelctronic city bangalore</v>
          </cell>
          <cell r="Z1241" t="str">
            <v>Dr Sreeharsha</v>
          </cell>
          <cell r="AA1241" t="str">
            <v>Prostate</v>
          </cell>
          <cell r="AC1241" t="str">
            <v>Prostate</v>
          </cell>
          <cell r="AD1241" t="str">
            <v>Prostate</v>
          </cell>
          <cell r="AE1241" t="str">
            <v>Male</v>
          </cell>
          <cell r="AF1241">
            <v>73</v>
          </cell>
          <cell r="AG1241" t="str">
            <v>N</v>
          </cell>
          <cell r="AH1241">
            <v>5.2</v>
          </cell>
          <cell r="AI1241" t="str">
            <v>Kalappa</v>
          </cell>
          <cell r="AJ1241" t="str">
            <v>Surgery</v>
          </cell>
          <cell r="AK1241" t="str">
            <v>Primary</v>
          </cell>
          <cell r="AV1241">
            <v>45629</v>
          </cell>
          <cell r="AW1241">
            <v>0.71111111111111114</v>
          </cell>
          <cell r="AX1241">
            <v>0.77430555555555558</v>
          </cell>
          <cell r="AY1241">
            <v>6.3194444444444442E-2</v>
          </cell>
          <cell r="AZ1241">
            <v>0.71388888888888891</v>
          </cell>
          <cell r="BA1241">
            <v>0.14583333333333334</v>
          </cell>
          <cell r="BB1241" t="str">
            <v>0.6*1.4*1.2</v>
          </cell>
          <cell r="BD1241" t="str">
            <v>Vibratome</v>
          </cell>
          <cell r="BE1241">
            <v>15</v>
          </cell>
          <cell r="BF1241" t="str">
            <v>Syam</v>
          </cell>
          <cell r="BG1241" t="str">
            <v>Y</v>
          </cell>
        </row>
        <row r="1242">
          <cell r="A1242" t="str">
            <v>FBR1Y240351</v>
          </cell>
          <cell r="B1242">
            <v>240351</v>
          </cell>
          <cell r="C1242" t="str">
            <v>R&amp;D</v>
          </cell>
          <cell r="D1242">
            <v>45630</v>
          </cell>
          <cell r="E1242">
            <v>0.44722222222222224</v>
          </cell>
          <cell r="F1242">
            <v>45627</v>
          </cell>
          <cell r="G1242">
            <v>45630</v>
          </cell>
          <cell r="H1242">
            <v>0.57777777777777772</v>
          </cell>
          <cell r="I1242">
            <v>0.13055555555555556</v>
          </cell>
          <cell r="J1242">
            <v>3</v>
          </cell>
          <cell r="K1242" t="str">
            <v>FCB-PROTOCOL-01</v>
          </cell>
          <cell r="L1242" t="str">
            <v>VYD/337</v>
          </cell>
          <cell r="M1242" t="str">
            <v>Y</v>
          </cell>
          <cell r="P1242" t="str">
            <v>Q1 Passed</v>
          </cell>
          <cell r="Q1242" t="str">
            <v>Q1 Passed</v>
          </cell>
          <cell r="R1242" t="str">
            <v>Q1.5 Passed</v>
          </cell>
          <cell r="S1242" t="str">
            <v>Q1.5 Passed</v>
          </cell>
          <cell r="V1242" t="str">
            <v>Tumor content 60-90%</v>
          </cell>
          <cell r="W1242" t="str">
            <v>Private Hospital</v>
          </cell>
          <cell r="X1242" t="str">
            <v>Vydehi Hospital, Bangalore</v>
          </cell>
          <cell r="Y1242" t="str">
            <v>Vydehi Hospital, Bangalore</v>
          </cell>
          <cell r="Z1242" t="str">
            <v>Dr Amritha Prabha, Bangalore</v>
          </cell>
          <cell r="AA1242" t="str">
            <v>HNSCC</v>
          </cell>
          <cell r="AC1242" t="str">
            <v>Alveolus</v>
          </cell>
          <cell r="AD1242" t="str">
            <v>Right upper Alveolus&amp;Hard palate</v>
          </cell>
          <cell r="AE1242" t="str">
            <v>Female</v>
          </cell>
          <cell r="AF1242">
            <v>56</v>
          </cell>
          <cell r="AG1242" t="str">
            <v>N</v>
          </cell>
          <cell r="AH1242">
            <v>4.7</v>
          </cell>
          <cell r="AI1242" t="str">
            <v>Kalappa</v>
          </cell>
          <cell r="AJ1242" t="str">
            <v>Surgery</v>
          </cell>
          <cell r="AK1242" t="str">
            <v>Local Recurrent</v>
          </cell>
          <cell r="AL1242" t="str">
            <v>Surgery</v>
          </cell>
          <cell r="AN1242" t="str">
            <v>IV</v>
          </cell>
          <cell r="AO1242">
            <v>1</v>
          </cell>
          <cell r="AP1242" t="str">
            <v>rpT4N3b</v>
          </cell>
          <cell r="AV1242">
            <v>45630</v>
          </cell>
          <cell r="AW1242">
            <v>0.59375</v>
          </cell>
          <cell r="AX1242">
            <v>0.66597222222222219</v>
          </cell>
          <cell r="AY1242">
            <v>7.2222222222222215E-2</v>
          </cell>
          <cell r="AZ1242">
            <v>0.53541666666666665</v>
          </cell>
          <cell r="BA1242">
            <v>0.21875</v>
          </cell>
          <cell r="BB1242" t="str">
            <v>0.5-0.6*1.4*1.2</v>
          </cell>
          <cell r="BD1242" t="str">
            <v>Vibratome</v>
          </cell>
          <cell r="BE1242">
            <v>15</v>
          </cell>
          <cell r="BF1242" t="str">
            <v>Pallavi</v>
          </cell>
          <cell r="BG1242" t="str">
            <v>Y</v>
          </cell>
        </row>
        <row r="1243">
          <cell r="A1243" t="str">
            <v>FBR1Y240352</v>
          </cell>
          <cell r="B1243">
            <v>240352</v>
          </cell>
          <cell r="C1243" t="str">
            <v>R&amp;D</v>
          </cell>
          <cell r="D1243">
            <v>45630</v>
          </cell>
          <cell r="E1243">
            <v>0.58333333333333337</v>
          </cell>
          <cell r="F1243">
            <v>45627</v>
          </cell>
          <cell r="G1243">
            <v>45630</v>
          </cell>
          <cell r="I124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K1243" t="str">
            <v>FCB-PROTOCOL-02</v>
          </cell>
          <cell r="L1243" t="str">
            <v>HN192</v>
          </cell>
          <cell r="M1243" t="str">
            <v>Y</v>
          </cell>
          <cell r="P1243" t="str">
            <v>Q1 Passed</v>
          </cell>
          <cell r="Q1243" t="str">
            <v>Not Received</v>
          </cell>
          <cell r="R1243" t="str">
            <v>Compromised</v>
          </cell>
          <cell r="S1243" t="str">
            <v>Q1.5 Passed</v>
          </cell>
          <cell r="T1243" t="str">
            <v>Blood not collected</v>
          </cell>
          <cell r="V1243" t="str">
            <v>Tumor content 0-65%. Average tumor content 25%</v>
          </cell>
          <cell r="W1243" t="str">
            <v>Private Hospital</v>
          </cell>
          <cell r="X1243" t="str">
            <v>Mazumdar Shaw Medical Centre, Bangalore</v>
          </cell>
          <cell r="Y1243" t="str">
            <v>Mazumdar Shaw Medical Centre, Bangalore</v>
          </cell>
          <cell r="Z1243" t="str">
            <v>Dr Vijay Pillai, Bangalore</v>
          </cell>
          <cell r="AA1243" t="str">
            <v>HNSCC</v>
          </cell>
          <cell r="AC1243" t="str">
            <v>Alveolus</v>
          </cell>
          <cell r="AD1243" t="str">
            <v>Left Lower Alveolus</v>
          </cell>
          <cell r="AE1243" t="str">
            <v>Male</v>
          </cell>
          <cell r="AF1243">
            <v>60</v>
          </cell>
          <cell r="AG1243" t="str">
            <v>N</v>
          </cell>
          <cell r="AH1243">
            <v>3.9</v>
          </cell>
          <cell r="AI1243" t="str">
            <v>Kalappa</v>
          </cell>
          <cell r="AJ1243" t="str">
            <v>Surgery</v>
          </cell>
          <cell r="AK1243" t="str">
            <v>Primary</v>
          </cell>
          <cell r="AN1243">
            <v>4</v>
          </cell>
          <cell r="AO1243">
            <v>1</v>
          </cell>
          <cell r="AP1243" t="str">
            <v>pT4a N1</v>
          </cell>
          <cell r="AS1243" t="str">
            <v>well differentiated squamous cell carcinoma</v>
          </cell>
          <cell r="AV1243">
            <v>45630</v>
          </cell>
          <cell r="AW1243">
            <v>0.71319444444444446</v>
          </cell>
          <cell r="AX1243">
            <v>0.74097222222222225</v>
          </cell>
          <cell r="AY1243">
            <v>2.7777777777777776E-2</v>
          </cell>
          <cell r="AZ1243">
            <v>0.32430555555555557</v>
          </cell>
          <cell r="BA1243">
            <v>0.15763888888888888</v>
          </cell>
          <cell r="BB1243" t="str">
            <v>0.2*0.4*0.7
0.2*0.6*0.6</v>
          </cell>
          <cell r="BD1243" t="str">
            <v>Manual</v>
          </cell>
          <cell r="BE1243">
            <v>15</v>
          </cell>
          <cell r="BF1243" t="str">
            <v>Abdul</v>
          </cell>
          <cell r="BG1243" t="str">
            <v>N</v>
          </cell>
        </row>
        <row r="1244">
          <cell r="A1244" t="str">
            <v>FBR2Q240353</v>
          </cell>
          <cell r="B1244">
            <v>240353</v>
          </cell>
          <cell r="C1244" t="str">
            <v>R&amp;D</v>
          </cell>
          <cell r="D1244">
            <v>45630</v>
          </cell>
          <cell r="E1244">
            <v>0.50347222222222221</v>
          </cell>
          <cell r="F1244">
            <v>45627</v>
          </cell>
          <cell r="G1244">
            <v>45630</v>
          </cell>
          <cell r="H1244">
            <v>0.85486111111111107</v>
          </cell>
          <cell r="I1244">
            <v>0.35138888888888886</v>
          </cell>
          <cell r="J1244">
            <v>10</v>
          </cell>
          <cell r="K1244" t="str">
            <v>FCB-PROTOCOL-01</v>
          </cell>
          <cell r="L1244" t="str">
            <v>CLN/DBR/219</v>
          </cell>
          <cell r="M1244" t="str">
            <v>Y</v>
          </cell>
          <cell r="P1244" t="str">
            <v>Q1 Passed</v>
          </cell>
          <cell r="Q1244" t="str">
            <v>Q1 Passed</v>
          </cell>
          <cell r="R1244" t="str">
            <v>Q1.5 Passed</v>
          </cell>
          <cell r="S1244" t="str">
            <v>Q1.5 Passed</v>
          </cell>
          <cell r="V1244" t="str">
            <v>A:Tumor content 0-90%. Average tumor content 70%
B:Tumor content 0-90%. Average tumor content 75%</v>
          </cell>
          <cell r="W1244" t="str">
            <v>Private Hospital</v>
          </cell>
          <cell r="X1244" t="str">
            <v>Clinic'les- DBR &amp; SK Hospital, Tirupati</v>
          </cell>
          <cell r="Y1244" t="str">
            <v>DBR &amp; SK Hospital, Tirupati</v>
          </cell>
          <cell r="Z1244" t="str">
            <v>Dr C Jayaprakash, Tirupati</v>
          </cell>
          <cell r="AA1244" t="str">
            <v>HNSCC</v>
          </cell>
          <cell r="AC1244" t="str">
            <v>Tongue</v>
          </cell>
          <cell r="AD1244" t="str">
            <v>Tongue</v>
          </cell>
          <cell r="AE1244" t="str">
            <v>Female</v>
          </cell>
          <cell r="AF1244">
            <v>74</v>
          </cell>
          <cell r="AG1244" t="str">
            <v>N</v>
          </cell>
          <cell r="AH1244">
            <v>7.1</v>
          </cell>
          <cell r="AI1244" t="str">
            <v>Maruthi</v>
          </cell>
          <cell r="AJ1244" t="str">
            <v>Surgery</v>
          </cell>
          <cell r="AK1244" t="str">
            <v>Primary</v>
          </cell>
          <cell r="AN1244" t="str">
            <v>IVA</v>
          </cell>
          <cell r="AP1244" t="str">
            <v>T2 N3b MX</v>
          </cell>
          <cell r="AV1244">
            <v>45630</v>
          </cell>
          <cell r="AW1244">
            <v>0.8666666666666667</v>
          </cell>
          <cell r="AX1244">
            <v>0.91388888888888886</v>
          </cell>
          <cell r="AY1244">
            <v>4.7222222222222221E-2</v>
          </cell>
          <cell r="AZ1244">
            <v>0.5625</v>
          </cell>
          <cell r="BA1244">
            <v>0.41041666666666665</v>
          </cell>
          <cell r="BB1244" t="str">
            <v>0.5-0.6*2.0*1.7</v>
          </cell>
          <cell r="BD1244" t="str">
            <v>Vibratome</v>
          </cell>
          <cell r="BE1244">
            <v>15</v>
          </cell>
          <cell r="BF1244" t="str">
            <v>Abdul</v>
          </cell>
          <cell r="BG1244" t="str">
            <v>Y</v>
          </cell>
        </row>
        <row r="1245">
          <cell r="A1245" t="str">
            <v>FBR1K240354</v>
          </cell>
          <cell r="B1245">
            <v>240354</v>
          </cell>
          <cell r="C1245" t="str">
            <v>R&amp;D</v>
          </cell>
          <cell r="D1245">
            <v>45635</v>
          </cell>
          <cell r="E1245">
            <v>0.44722222222222224</v>
          </cell>
          <cell r="F1245">
            <v>45627</v>
          </cell>
          <cell r="G1245">
            <v>45635</v>
          </cell>
          <cell r="H1245">
            <v>0.55486111111111114</v>
          </cell>
          <cell r="I1245">
            <v>0.1076388888888889</v>
          </cell>
          <cell r="J1245">
            <v>3</v>
          </cell>
          <cell r="K1245" t="str">
            <v>FCB-PROTOCOL-01</v>
          </cell>
          <cell r="L1245" t="str">
            <v>VYD/338</v>
          </cell>
          <cell r="M1245" t="str">
            <v>Y</v>
          </cell>
          <cell r="P1245" t="str">
            <v>Q1 Passed</v>
          </cell>
          <cell r="Q1245" t="str">
            <v>Q1 Passed</v>
          </cell>
          <cell r="R1245" t="str">
            <v>Q1.5 Passed</v>
          </cell>
          <cell r="S1245" t="str">
            <v>Q1.5 Passed</v>
          </cell>
          <cell r="V1245" t="str">
            <v>Tumor content 12-80%. Immune component high</v>
          </cell>
          <cell r="W1245" t="str">
            <v>Private Hospital</v>
          </cell>
          <cell r="X1245" t="str">
            <v>Vydehi Hospital, Bangalore</v>
          </cell>
          <cell r="Y1245" t="str">
            <v>Vydehi Hospital, Bangalore</v>
          </cell>
          <cell r="Z1245" t="str">
            <v>Dr Amritha Prabha, Bangalore</v>
          </cell>
          <cell r="AA1245" t="str">
            <v>HNSCC</v>
          </cell>
          <cell r="AC1245" t="str">
            <v>Tongue</v>
          </cell>
          <cell r="AD1245" t="str">
            <v>Right Lateral Border of Tongue</v>
          </cell>
          <cell r="AE1245" t="str">
            <v>Female</v>
          </cell>
          <cell r="AF1245">
            <v>50</v>
          </cell>
          <cell r="AG1245" t="str">
            <v>N</v>
          </cell>
          <cell r="AH1245">
            <v>4.5</v>
          </cell>
          <cell r="AI1245" t="str">
            <v>Kalappa</v>
          </cell>
          <cell r="AJ1245" t="str">
            <v>Surgery</v>
          </cell>
          <cell r="AK1245" t="str">
            <v>Primary</v>
          </cell>
          <cell r="AL1245" t="str">
            <v>Surgery</v>
          </cell>
          <cell r="AN1245" t="str">
            <v>IV</v>
          </cell>
          <cell r="AO1245">
            <v>2</v>
          </cell>
          <cell r="AP1245" t="str">
            <v>T2N2b</v>
          </cell>
          <cell r="AV1245">
            <v>45635</v>
          </cell>
          <cell r="AW1245">
            <v>0.57222222222222219</v>
          </cell>
          <cell r="AX1245">
            <v>0.65902777777777777</v>
          </cell>
          <cell r="AY1245">
            <v>8.6805555555555552E-2</v>
          </cell>
          <cell r="AZ1245">
            <v>0.55138888888888893</v>
          </cell>
          <cell r="BA1245">
            <v>0.21180555555555555</v>
          </cell>
          <cell r="BB1245" t="str">
            <v>0.8*0.9*1.3</v>
          </cell>
          <cell r="BD1245" t="str">
            <v>Vibratome</v>
          </cell>
          <cell r="BE1245">
            <v>15</v>
          </cell>
          <cell r="BF1245" t="str">
            <v>Syam</v>
          </cell>
          <cell r="BG1245" t="str">
            <v>Y</v>
          </cell>
        </row>
        <row r="1246">
          <cell r="A1246" t="str">
            <v>FBR2L240355</v>
          </cell>
          <cell r="B1246">
            <v>240355</v>
          </cell>
          <cell r="C1246" t="str">
            <v>R&amp;D</v>
          </cell>
          <cell r="D1246">
            <v>45636</v>
          </cell>
          <cell r="E1246">
            <v>0.45416666666666666</v>
          </cell>
          <cell r="F1246">
            <v>45627</v>
          </cell>
          <cell r="G1246">
            <v>45636</v>
          </cell>
          <cell r="H1246">
            <v>0.5444444444444444</v>
          </cell>
          <cell r="I1246">
            <v>9.0277777777777776E-2</v>
          </cell>
          <cell r="J1246">
            <v>1</v>
          </cell>
          <cell r="K1246" t="str">
            <v>FCB-PROTOCOL-01</v>
          </cell>
          <cell r="L1246" t="str">
            <v>VYD/339</v>
          </cell>
          <cell r="M1246" t="str">
            <v>Y</v>
          </cell>
          <cell r="P1246" t="str">
            <v>Q1 Passed</v>
          </cell>
          <cell r="Q1246" t="str">
            <v>Q1 Passed</v>
          </cell>
          <cell r="R1246" t="str">
            <v>Q1.5 Passed</v>
          </cell>
          <cell r="S1246" t="str">
            <v>Q1.5 Passed</v>
          </cell>
          <cell r="V1246" t="str">
            <v>Tumor content 6-80%.</v>
          </cell>
          <cell r="W1246" t="str">
            <v>Private Hospital</v>
          </cell>
          <cell r="X1246" t="str">
            <v>Vydehi Hospital, Bangalore</v>
          </cell>
          <cell r="Y1246" t="str">
            <v>Vydehi Hospital, Bangalore</v>
          </cell>
          <cell r="Z1246" t="str">
            <v>Dr Amritha Prabha, Bangalore</v>
          </cell>
          <cell r="AA1246" t="str">
            <v>HNSCC</v>
          </cell>
          <cell r="AC1246" t="str">
            <v>Buccal Mucosa</v>
          </cell>
          <cell r="AD1246" t="str">
            <v>Left Buccal Mucosa</v>
          </cell>
          <cell r="AE1246" t="str">
            <v>Female</v>
          </cell>
          <cell r="AF1246">
            <v>59</v>
          </cell>
          <cell r="AG1246" t="str">
            <v>N</v>
          </cell>
          <cell r="AH1246">
            <v>3.9</v>
          </cell>
          <cell r="AI1246" t="str">
            <v>Kalappa</v>
          </cell>
          <cell r="AJ1246" t="str">
            <v>Surgery</v>
          </cell>
          <cell r="AK1246" t="str">
            <v>Primary</v>
          </cell>
          <cell r="AN1246" t="str">
            <v>II</v>
          </cell>
          <cell r="AO1246">
            <v>2</v>
          </cell>
          <cell r="AP1246" t="str">
            <v>T2N0</v>
          </cell>
          <cell r="AV1246">
            <v>45636</v>
          </cell>
          <cell r="AW1246">
            <v>0.57986111111111116</v>
          </cell>
          <cell r="AX1246">
            <v>0.67152777777777772</v>
          </cell>
          <cell r="AY1246">
            <v>9.166666666666666E-2</v>
          </cell>
          <cell r="AZ1246">
            <v>0.58125000000000004</v>
          </cell>
          <cell r="BA1246">
            <v>0.21736111111111112</v>
          </cell>
          <cell r="BB1246" t="str">
            <v>0.2-0.4*1.1-1.5*1.0
0.2-0.6*1.6-1.7*0.7-0.8</v>
          </cell>
          <cell r="BD1246" t="str">
            <v>Vibratome</v>
          </cell>
          <cell r="BE1246">
            <v>14</v>
          </cell>
          <cell r="BF1246" t="str">
            <v>Mouniss</v>
          </cell>
          <cell r="BG1246" t="str">
            <v>Y</v>
          </cell>
        </row>
        <row r="1247">
          <cell r="A1247" t="str">
            <v>FBR1Y240355</v>
          </cell>
          <cell r="B1247">
            <v>240355</v>
          </cell>
          <cell r="C1247" t="str">
            <v>R&amp;D</v>
          </cell>
          <cell r="D1247">
            <v>45636</v>
          </cell>
          <cell r="E1247">
            <v>0.45416666666666666</v>
          </cell>
          <cell r="F1247">
            <v>45627</v>
          </cell>
          <cell r="G1247">
            <v>45636</v>
          </cell>
          <cell r="H1247">
            <v>0.5444444444444444</v>
          </cell>
          <cell r="I1247">
            <v>9.0277777777777776E-2</v>
          </cell>
          <cell r="J1247">
            <v>1</v>
          </cell>
          <cell r="K1247" t="str">
            <v>FCB-PROTOCOL-01</v>
          </cell>
          <cell r="L1247" t="str">
            <v>VYD/339</v>
          </cell>
          <cell r="M1247" t="str">
            <v>Y</v>
          </cell>
          <cell r="P1247" t="str">
            <v>Q1 Passed</v>
          </cell>
          <cell r="Q1247" t="str">
            <v>Q1 Passed</v>
          </cell>
          <cell r="R1247" t="str">
            <v>Q1.5 Passed</v>
          </cell>
          <cell r="S1247" t="str">
            <v>Q1.5 Passed</v>
          </cell>
          <cell r="V1247" t="str">
            <v>Tumor content 40-85%.</v>
          </cell>
          <cell r="W1247" t="str">
            <v>Private Hospital</v>
          </cell>
          <cell r="X1247" t="str">
            <v>Vydehi Hospital, Bangalore</v>
          </cell>
          <cell r="Y1247" t="str">
            <v>Vydehi Hospital, Bangalore</v>
          </cell>
          <cell r="Z1247" t="str">
            <v>Dr Amritha Prabha, Bangalore</v>
          </cell>
          <cell r="AA1247" t="str">
            <v>HNSCC</v>
          </cell>
          <cell r="AC1247" t="str">
            <v>Buccal Mucosa</v>
          </cell>
          <cell r="AD1247" t="str">
            <v>Left Buccal Mucosa</v>
          </cell>
          <cell r="AE1247" t="str">
            <v>Female</v>
          </cell>
          <cell r="AF1247">
            <v>59</v>
          </cell>
          <cell r="AG1247" t="str">
            <v>N</v>
          </cell>
          <cell r="AH1247">
            <v>3.9</v>
          </cell>
          <cell r="AI1247" t="str">
            <v>Kalappa</v>
          </cell>
          <cell r="AJ1247" t="str">
            <v>Surgery</v>
          </cell>
          <cell r="AK1247" t="str">
            <v>Primary</v>
          </cell>
          <cell r="AN1247" t="str">
            <v>II</v>
          </cell>
          <cell r="AO1247">
            <v>2</v>
          </cell>
          <cell r="AP1247" t="str">
            <v>T2N0</v>
          </cell>
          <cell r="AV1247">
            <v>45636</v>
          </cell>
          <cell r="AW1247">
            <v>0.57986111111111116</v>
          </cell>
          <cell r="AX1247">
            <v>0.69791666666666663</v>
          </cell>
          <cell r="AY1247">
            <v>0.11805555555555555</v>
          </cell>
          <cell r="AZ1247">
            <v>0.60763888888888884</v>
          </cell>
          <cell r="BA1247">
            <v>0.24374999999999999</v>
          </cell>
          <cell r="BB1247" t="str">
            <v>0.2-0.4*1.0*1.1-1.5</v>
          </cell>
          <cell r="BD1247" t="str">
            <v>Vibratome</v>
          </cell>
          <cell r="BE1247">
            <v>15</v>
          </cell>
          <cell r="BF1247" t="str">
            <v>Mouniss</v>
          </cell>
          <cell r="BG1247" t="str">
            <v>Y</v>
          </cell>
        </row>
        <row r="1248">
          <cell r="A1248" t="str">
            <v>FBR1Y240356</v>
          </cell>
          <cell r="B1248">
            <v>240356</v>
          </cell>
          <cell r="C1248" t="str">
            <v>R&amp;D</v>
          </cell>
          <cell r="D1248">
            <v>45636</v>
          </cell>
          <cell r="E1248">
            <v>0.46875</v>
          </cell>
          <cell r="F1248">
            <v>45627</v>
          </cell>
          <cell r="G1248">
            <v>45636</v>
          </cell>
          <cell r="H1248">
            <v>0.5756944444444444</v>
          </cell>
          <cell r="I1248">
            <v>0.10694444444444444</v>
          </cell>
          <cell r="J1248">
            <v>10</v>
          </cell>
          <cell r="K1248" t="str">
            <v>FCB-PROTOCOL-02</v>
          </cell>
          <cell r="L1248" t="str">
            <v>HN193</v>
          </cell>
          <cell r="M1248" t="str">
            <v>Y</v>
          </cell>
          <cell r="P1248" t="str">
            <v>Q1 Passed</v>
          </cell>
          <cell r="Q1248" t="str">
            <v>Not Received</v>
          </cell>
          <cell r="R1248" t="str">
            <v>Compromised</v>
          </cell>
          <cell r="S1248" t="str">
            <v>Q1.5 Passed</v>
          </cell>
          <cell r="T1248" t="str">
            <v>Blood not collected</v>
          </cell>
          <cell r="V1248" t="str">
            <v>Tumor content 80-90%</v>
          </cell>
          <cell r="W1248" t="str">
            <v>Private Hospital</v>
          </cell>
          <cell r="X1248" t="str">
            <v>Mazumdar Shaw Medical Centre, Bangalore</v>
          </cell>
          <cell r="Y1248" t="str">
            <v>Mazumdar Shaw Medical Centre, Bangalore</v>
          </cell>
          <cell r="Z1248" t="str">
            <v>Dr Vijay Pillai, Bangalore</v>
          </cell>
          <cell r="AA1248" t="str">
            <v>HNSCC</v>
          </cell>
          <cell r="AC1248" t="str">
            <v>Tongue</v>
          </cell>
          <cell r="AD1248" t="str">
            <v>Right Tongue</v>
          </cell>
          <cell r="AE1248" t="str">
            <v>Male</v>
          </cell>
          <cell r="AF1248">
            <v>65</v>
          </cell>
          <cell r="AG1248" t="str">
            <v>N</v>
          </cell>
          <cell r="AH1248">
            <v>4.5</v>
          </cell>
          <cell r="AI1248" t="str">
            <v>Maruthi</v>
          </cell>
          <cell r="AJ1248" t="str">
            <v>Surgery</v>
          </cell>
          <cell r="AK1248" t="str">
            <v>Primary</v>
          </cell>
          <cell r="AV1248">
            <v>45636</v>
          </cell>
          <cell r="AW1248">
            <v>0.59513888888888888</v>
          </cell>
          <cell r="AX1248">
            <v>0.64652777777777781</v>
          </cell>
          <cell r="AY1248">
            <v>5.1388888888888887E-2</v>
          </cell>
          <cell r="AZ1248">
            <v>0.5395833333333333</v>
          </cell>
          <cell r="BA1248">
            <v>0.17777777777777778</v>
          </cell>
          <cell r="BB1248" t="str">
            <v>0.4*0.9*1.1
0.3*0.5*0.7
0.2*0.4*0.5</v>
          </cell>
          <cell r="BD1248" t="str">
            <v>Manual</v>
          </cell>
          <cell r="BE1248">
            <v>15</v>
          </cell>
          <cell r="BF1248" t="str">
            <v>Dharani</v>
          </cell>
          <cell r="BG1248" t="str">
            <v>N</v>
          </cell>
        </row>
        <row r="1249">
          <cell r="A1249" t="str">
            <v>FBR2S240357</v>
          </cell>
          <cell r="B1249">
            <v>240357</v>
          </cell>
          <cell r="C1249" t="str">
            <v>R&amp;D</v>
          </cell>
          <cell r="D1249">
            <v>45636</v>
          </cell>
          <cell r="E1249">
            <v>0.60416666666666663</v>
          </cell>
          <cell r="F1249">
            <v>45627</v>
          </cell>
          <cell r="G1249">
            <v>45636</v>
          </cell>
          <cell r="H1249">
            <v>0.94305555555555554</v>
          </cell>
          <cell r="I1249">
            <v>0.33888888888888891</v>
          </cell>
          <cell r="J1249">
            <v>10</v>
          </cell>
          <cell r="K1249" t="str">
            <v>FCB-PROTOCOL-01</v>
          </cell>
          <cell r="L1249" t="str">
            <v>CLN/DBR/220</v>
          </cell>
          <cell r="M1249" t="str">
            <v>Y</v>
          </cell>
          <cell r="P1249" t="str">
            <v>Q1 Passed</v>
          </cell>
          <cell r="Q1249" t="str">
            <v>Q1 Passed</v>
          </cell>
          <cell r="R1249" t="str">
            <v>Q1.5 Passed</v>
          </cell>
          <cell r="S1249" t="str">
            <v>Q1.5 Rejected</v>
          </cell>
          <cell r="V1249" t="str">
            <v>No tumor. Fragments mostly necrosed</v>
          </cell>
          <cell r="W1249" t="str">
            <v>Private Hospital</v>
          </cell>
          <cell r="X1249" t="str">
            <v>Clinic'les- DBR &amp; SK Hospital, Tirupati</v>
          </cell>
          <cell r="Y1249" t="str">
            <v>DBR &amp; SK Hospital, Tirupati</v>
          </cell>
          <cell r="Z1249" t="str">
            <v>Dr C Jayaprakash, Tirupati</v>
          </cell>
          <cell r="AA1249" t="str">
            <v>CRC</v>
          </cell>
          <cell r="AC1249" t="str">
            <v>Rectum</v>
          </cell>
          <cell r="AD1249" t="str">
            <v>Rectum</v>
          </cell>
          <cell r="AE1249" t="str">
            <v>Female</v>
          </cell>
          <cell r="AF1249">
            <v>46</v>
          </cell>
          <cell r="AG1249" t="str">
            <v>N</v>
          </cell>
          <cell r="AH1249">
            <v>6.7</v>
          </cell>
          <cell r="AI1249" t="str">
            <v>Kalappa</v>
          </cell>
          <cell r="AJ1249" t="str">
            <v>Surgery</v>
          </cell>
          <cell r="AK1249" t="str">
            <v>Primary</v>
          </cell>
          <cell r="AL1249" t="str">
            <v>Radiotherapy</v>
          </cell>
          <cell r="AV1249">
            <v>45637</v>
          </cell>
          <cell r="AW1249">
            <v>0.29166666666666669</v>
          </cell>
          <cell r="AX1249">
            <v>0.36249999999999999</v>
          </cell>
          <cell r="AY1249">
            <v>7.0833333333333331E-2</v>
          </cell>
          <cell r="AZ1249">
            <v>2.361111111111111E-2</v>
          </cell>
          <cell r="BA124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49" t="str">
            <v>0.6*2.2*3.6-3.8
0.6-0.8*1.2-1.3*1.6-1.8
0.6*1.4-1.6*1.6-1.8</v>
          </cell>
          <cell r="BD1249" t="str">
            <v>Manual</v>
          </cell>
          <cell r="BE1249">
            <v>13</v>
          </cell>
          <cell r="BF1249" t="str">
            <v>Dharani</v>
          </cell>
          <cell r="BG1249" t="str">
            <v>Y</v>
          </cell>
        </row>
        <row r="1250">
          <cell r="A1250" t="str">
            <v>FBR1Y240358</v>
          </cell>
          <cell r="B1250">
            <v>240358</v>
          </cell>
          <cell r="C1250" t="str">
            <v>R&amp;D</v>
          </cell>
          <cell r="D1250">
            <v>45637</v>
          </cell>
          <cell r="E1250">
            <v>0.47569444444444442</v>
          </cell>
          <cell r="F1250">
            <v>45627</v>
          </cell>
          <cell r="G1250">
            <v>45637</v>
          </cell>
          <cell r="H1250">
            <v>0.64652777777777781</v>
          </cell>
          <cell r="I1250">
            <v>0.17083333333333334</v>
          </cell>
          <cell r="J1250">
            <v>10</v>
          </cell>
          <cell r="K1250" t="str">
            <v>FCB-PROTOCOL-01</v>
          </cell>
          <cell r="L1250" t="str">
            <v>VYD/340</v>
          </cell>
          <cell r="M1250" t="str">
            <v>Y</v>
          </cell>
          <cell r="P1250" t="str">
            <v>Q1 Passed</v>
          </cell>
          <cell r="Q1250" t="str">
            <v>Q1 Passed</v>
          </cell>
          <cell r="R1250" t="str">
            <v>Q1.5 Passed</v>
          </cell>
          <cell r="S1250" t="str">
            <v>Q1.5 Passed</v>
          </cell>
          <cell r="V1250" t="str">
            <v>Tumor content 40-90%</v>
          </cell>
          <cell r="W1250" t="str">
            <v>Private Hospital</v>
          </cell>
          <cell r="X1250" t="str">
            <v>Vydehi Hospital, Bangalore</v>
          </cell>
          <cell r="Y1250" t="str">
            <v>Vydehi Hospital, Bangalore</v>
          </cell>
          <cell r="Z1250" t="str">
            <v>Dr Amritha Prabha, Bangalore</v>
          </cell>
          <cell r="AA1250" t="str">
            <v>HNSCC</v>
          </cell>
          <cell r="AC1250" t="str">
            <v>Buccal Mucosa</v>
          </cell>
          <cell r="AD1250" t="str">
            <v>Left Buccal Mucosa</v>
          </cell>
          <cell r="AE1250" t="str">
            <v>Female</v>
          </cell>
          <cell r="AF1250">
            <v>49</v>
          </cell>
          <cell r="AG1250" t="str">
            <v>N</v>
          </cell>
          <cell r="AH1250">
            <v>4.0999999999999996</v>
          </cell>
          <cell r="AI1250" t="str">
            <v>Kalappa</v>
          </cell>
          <cell r="AJ1250" t="str">
            <v>Surgery</v>
          </cell>
          <cell r="AK1250" t="str">
            <v>Primary</v>
          </cell>
          <cell r="AN1250" t="str">
            <v>II</v>
          </cell>
          <cell r="AO1250">
            <v>1</v>
          </cell>
          <cell r="AP1250" t="str">
            <v>T2N0</v>
          </cell>
          <cell r="AV1250">
            <v>45637</v>
          </cell>
          <cell r="AW1250">
            <v>0.66597222222222219</v>
          </cell>
          <cell r="AX1250">
            <v>0.73055555555555551</v>
          </cell>
          <cell r="AY1250">
            <v>6.458333333333334E-2</v>
          </cell>
          <cell r="AZ1250">
            <v>0.55972222222222223</v>
          </cell>
          <cell r="BA1250">
            <v>0.25486111111111109</v>
          </cell>
          <cell r="BB1250" t="str">
            <v>0.7/0.8*0.4-1.2*1.6</v>
          </cell>
          <cell r="BD1250" t="str">
            <v>Vibratome</v>
          </cell>
          <cell r="BE1250">
            <v>15</v>
          </cell>
          <cell r="BF1250" t="str">
            <v>kuberan</v>
          </cell>
          <cell r="BG1250" t="str">
            <v>Y</v>
          </cell>
        </row>
        <row r="1251">
          <cell r="A1251" t="str">
            <v>FBR2Q240358</v>
          </cell>
          <cell r="B1251">
            <v>240358</v>
          </cell>
          <cell r="C1251" t="str">
            <v>R&amp;D</v>
          </cell>
          <cell r="D1251">
            <v>45637</v>
          </cell>
          <cell r="E1251">
            <v>0.47569444444444442</v>
          </cell>
          <cell r="F1251">
            <v>45627</v>
          </cell>
          <cell r="G1251">
            <v>45637</v>
          </cell>
          <cell r="H1251">
            <v>0.64652777777777781</v>
          </cell>
          <cell r="I1251">
            <v>0.17083333333333334</v>
          </cell>
          <cell r="J1251">
            <v>10</v>
          </cell>
          <cell r="K1251" t="str">
            <v>FCB-PROTOCOL-01</v>
          </cell>
          <cell r="L1251" t="str">
            <v>VYD/340</v>
          </cell>
          <cell r="M1251" t="str">
            <v>Y</v>
          </cell>
          <cell r="P1251" t="str">
            <v>Q1 Passed</v>
          </cell>
          <cell r="Q1251" t="str">
            <v>Q1 Passed</v>
          </cell>
          <cell r="R1251" t="str">
            <v>Q1.5 Passed</v>
          </cell>
          <cell r="S1251" t="str">
            <v>Q1.5 Passed</v>
          </cell>
          <cell r="V1251" t="str">
            <v>Tumor content 70-95%</v>
          </cell>
          <cell r="W1251" t="str">
            <v>Private Hospital</v>
          </cell>
          <cell r="X1251" t="str">
            <v>Vydehi Hospital, Bangalore</v>
          </cell>
          <cell r="Y1251" t="str">
            <v>Vydehi Hospital, Bangalore</v>
          </cell>
          <cell r="Z1251" t="str">
            <v>Dr Amritha Prabha, Bangalore</v>
          </cell>
          <cell r="AA1251" t="str">
            <v>HNSCC</v>
          </cell>
          <cell r="AC1251" t="str">
            <v>Buccal Mucosa</v>
          </cell>
          <cell r="AD1251" t="str">
            <v>Left Buccal Mucosa</v>
          </cell>
          <cell r="AE1251" t="str">
            <v>Female</v>
          </cell>
          <cell r="AF1251">
            <v>49</v>
          </cell>
          <cell r="AG1251" t="str">
            <v>N</v>
          </cell>
          <cell r="AH1251">
            <v>4.0999999999999996</v>
          </cell>
          <cell r="AI1251" t="str">
            <v>Kalappa</v>
          </cell>
          <cell r="AJ1251" t="str">
            <v>Surgery</v>
          </cell>
          <cell r="AK1251" t="str">
            <v>Primary</v>
          </cell>
          <cell r="AN1251" t="str">
            <v>II</v>
          </cell>
          <cell r="AO1251">
            <v>1</v>
          </cell>
          <cell r="AP1251" t="str">
            <v>T2N0</v>
          </cell>
          <cell r="AV1251">
            <v>45637</v>
          </cell>
          <cell r="AW1251">
            <v>0.66597222222222219</v>
          </cell>
          <cell r="AX1251">
            <v>0.73055555555555551</v>
          </cell>
          <cell r="AY1251">
            <v>6.458333333333334E-2</v>
          </cell>
          <cell r="AZ1251">
            <v>0.55972222222222223</v>
          </cell>
          <cell r="BA1251">
            <v>0.25486111111111109</v>
          </cell>
          <cell r="BB1251" t="str">
            <v>0.7-0.8*0.4-1.2*1.6</v>
          </cell>
          <cell r="BD1251" t="str">
            <v>Vibratome</v>
          </cell>
          <cell r="BE1251">
            <v>15</v>
          </cell>
          <cell r="BF1251" t="str">
            <v>kuberan</v>
          </cell>
          <cell r="BG1251" t="str">
            <v>Y</v>
          </cell>
        </row>
        <row r="1252">
          <cell r="A1252" t="str">
            <v>FBR1Y240359</v>
          </cell>
          <cell r="B1252">
            <v>240359</v>
          </cell>
          <cell r="C1252" t="str">
            <v>R&amp;D</v>
          </cell>
          <cell r="D1252">
            <v>45639</v>
          </cell>
          <cell r="E1252">
            <v>0.54027777777777775</v>
          </cell>
          <cell r="F1252">
            <v>45627</v>
          </cell>
          <cell r="G1252">
            <v>45639</v>
          </cell>
          <cell r="H1252">
            <v>0.60416666666666663</v>
          </cell>
          <cell r="I1252">
            <v>6.3888888888888884E-2</v>
          </cell>
          <cell r="J1252">
            <v>3</v>
          </cell>
          <cell r="K1252" t="str">
            <v>FCB-PROTOCOL-01</v>
          </cell>
          <cell r="L1252" t="str">
            <v>VYD/341</v>
          </cell>
          <cell r="M1252" t="str">
            <v>Y</v>
          </cell>
          <cell r="P1252" t="str">
            <v>Q1 Passed</v>
          </cell>
          <cell r="Q1252" t="str">
            <v>Q1 Passed</v>
          </cell>
          <cell r="R1252" t="str">
            <v>Q1.5 Passed</v>
          </cell>
          <cell r="S1252" t="str">
            <v>Q1.5 Passed</v>
          </cell>
          <cell r="V1252" t="str">
            <v>Tumor content 60-90%</v>
          </cell>
          <cell r="W1252" t="str">
            <v>Private Hospital</v>
          </cell>
          <cell r="X1252" t="str">
            <v>Vydehi Hospital, Bangalore</v>
          </cell>
          <cell r="Y1252" t="str">
            <v>Vydehi Hospital, Bangalore</v>
          </cell>
          <cell r="Z1252" t="str">
            <v>Dr Amritha Prabha, Bangalore</v>
          </cell>
          <cell r="AA1252" t="str">
            <v>HNSCC</v>
          </cell>
          <cell r="AC1252" t="str">
            <v>Buccal Mucosa</v>
          </cell>
          <cell r="AD1252" t="str">
            <v>Left Buccal Mucosa</v>
          </cell>
          <cell r="AE1252" t="str">
            <v>Male</v>
          </cell>
          <cell r="AF1252">
            <v>39</v>
          </cell>
          <cell r="AG1252" t="str">
            <v>N</v>
          </cell>
          <cell r="AH1252">
            <v>4.5999999999999996</v>
          </cell>
          <cell r="AI1252" t="str">
            <v>Maruthi</v>
          </cell>
          <cell r="AJ1252" t="str">
            <v>Surgery</v>
          </cell>
          <cell r="AK1252" t="str">
            <v>Primary</v>
          </cell>
          <cell r="AN1252" t="str">
            <v>IV</v>
          </cell>
          <cell r="AO1252">
            <v>2</v>
          </cell>
          <cell r="AP1252" t="str">
            <v>T2N2b</v>
          </cell>
          <cell r="AV1252">
            <v>45639</v>
          </cell>
          <cell r="AW1252">
            <v>0.61944444444444446</v>
          </cell>
          <cell r="AX1252">
            <v>0.69166666666666665</v>
          </cell>
          <cell r="AY1252">
            <v>7.2222222222222215E-2</v>
          </cell>
          <cell r="AZ1252">
            <v>0.62777777777777777</v>
          </cell>
          <cell r="BA1252">
            <v>0.15138888888888888</v>
          </cell>
          <cell r="BB1252" t="str">
            <v>0.6*1.4*1.6</v>
          </cell>
          <cell r="BD1252" t="str">
            <v>Vibratome</v>
          </cell>
          <cell r="BE1252">
            <v>15</v>
          </cell>
          <cell r="BF1252" t="str">
            <v>Pallavi</v>
          </cell>
          <cell r="BG1252" t="str">
            <v>Y</v>
          </cell>
        </row>
        <row r="1253">
          <cell r="A1253" t="str">
            <v>FBR1K240360</v>
          </cell>
          <cell r="B1253">
            <v>240360</v>
          </cell>
          <cell r="C1253" t="str">
            <v>R&amp;D</v>
          </cell>
          <cell r="D1253">
            <v>45639</v>
          </cell>
          <cell r="E1253">
            <v>0.52430555555555558</v>
          </cell>
          <cell r="F1253">
            <v>45627</v>
          </cell>
          <cell r="G1253">
            <v>45639</v>
          </cell>
          <cell r="H1253">
            <v>0.87847222222222221</v>
          </cell>
          <cell r="I1253">
            <v>0.35416666666666669</v>
          </cell>
          <cell r="J1253">
            <v>5</v>
          </cell>
          <cell r="K1253" t="str">
            <v>FCB-PROTOCOL-01</v>
          </cell>
          <cell r="L1253" t="str">
            <v>CLN/DBR/221</v>
          </cell>
          <cell r="M1253" t="str">
            <v>Y</v>
          </cell>
          <cell r="P1253" t="str">
            <v>Q1 Passed</v>
          </cell>
          <cell r="Q1253" t="str">
            <v>Q1 Passed</v>
          </cell>
          <cell r="R1253" t="str">
            <v>Q1.5 Passed</v>
          </cell>
          <cell r="S1253" t="str">
            <v>Q1.5 Passed</v>
          </cell>
          <cell r="V1253" t="str">
            <v>Tumor content 40-90%</v>
          </cell>
          <cell r="W1253" t="str">
            <v>Private Hospital</v>
          </cell>
          <cell r="X1253" t="str">
            <v>Clinic'les- DBR &amp; SK Hospital, Tirupati</v>
          </cell>
          <cell r="Y1253" t="str">
            <v>DBR &amp; SK Hospital, Tirupati</v>
          </cell>
          <cell r="Z1253" t="str">
            <v>Dr C Jayaprakash, Tirupati</v>
          </cell>
          <cell r="AA1253" t="str">
            <v>HNSCC</v>
          </cell>
          <cell r="AC1253" t="str">
            <v>Buccal Mucosa</v>
          </cell>
          <cell r="AD1253" t="str">
            <v>Left Buccal Mucosa</v>
          </cell>
          <cell r="AE1253" t="str">
            <v>Female</v>
          </cell>
          <cell r="AF1253">
            <v>59</v>
          </cell>
          <cell r="AG1253" t="str">
            <v>N</v>
          </cell>
          <cell r="AH1253">
            <v>6.3</v>
          </cell>
          <cell r="AI1253" t="str">
            <v>Kalappa</v>
          </cell>
          <cell r="AJ1253" t="str">
            <v>Surgery</v>
          </cell>
          <cell r="AK1253" t="str">
            <v>Primary</v>
          </cell>
          <cell r="AN1253" t="str">
            <v>IVA</v>
          </cell>
          <cell r="AP1253" t="str">
            <v>T4a N2 MX</v>
          </cell>
          <cell r="AV1253">
            <v>45640</v>
          </cell>
          <cell r="AW1253">
            <v>0.28888888888888886</v>
          </cell>
          <cell r="AX1253">
            <v>0.35625000000000001</v>
          </cell>
          <cell r="AY1253">
            <v>6.7361111111111108E-2</v>
          </cell>
          <cell r="AZ1253">
            <v>2.0833333333333333E-3</v>
          </cell>
          <cell r="BA125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53" t="str">
            <v>0.2-0.3*1.4*2.4
0.2-0.3*0.8*1.0</v>
          </cell>
          <cell r="BD1253" t="str">
            <v>Vibratome</v>
          </cell>
          <cell r="BE1253">
            <v>15</v>
          </cell>
          <cell r="BF1253" t="str">
            <v>Dharani</v>
          </cell>
          <cell r="BG1253" t="str">
            <v>N</v>
          </cell>
        </row>
        <row r="1254">
          <cell r="A1254" t="str">
            <v>FBR2S240361</v>
          </cell>
          <cell r="B1254">
            <v>240361</v>
          </cell>
          <cell r="C1254" t="str">
            <v>R&amp;D</v>
          </cell>
          <cell r="D1254">
            <v>45652</v>
          </cell>
          <cell r="E1254">
            <v>0.46527777777777779</v>
          </cell>
          <cell r="F1254">
            <v>45627</v>
          </cell>
          <cell r="G1254">
            <v>45652</v>
          </cell>
          <cell r="H1254">
            <v>0.59166666666666667</v>
          </cell>
          <cell r="I1254">
            <v>0.12638888888888888</v>
          </cell>
          <cell r="J1254">
            <v>5</v>
          </cell>
          <cell r="K1254" t="str">
            <v>FCB-PROTOCOL-01</v>
          </cell>
          <cell r="L1254" t="str">
            <v>VYD/342</v>
          </cell>
          <cell r="M1254" t="str">
            <v>Y</v>
          </cell>
          <cell r="P1254" t="str">
            <v>Q1 Passed</v>
          </cell>
          <cell r="Q1254" t="str">
            <v>Q1 Passed</v>
          </cell>
          <cell r="R1254" t="str">
            <v>Q1.5 Passed</v>
          </cell>
          <cell r="S1254" t="str">
            <v>Q1.5 Passed</v>
          </cell>
          <cell r="V1254" t="str">
            <v>Tumor content 6-65%</v>
          </cell>
          <cell r="W1254" t="str">
            <v>Private Hospital</v>
          </cell>
          <cell r="X1254" t="str">
            <v>Vydehi Hospital, Bangalore</v>
          </cell>
          <cell r="Y1254" t="str">
            <v>Vydehi Hospital, Bangalore</v>
          </cell>
          <cell r="Z1254" t="str">
            <v>Dr Amritha Prabha, Bangalore</v>
          </cell>
          <cell r="AA1254" t="str">
            <v>CRC</v>
          </cell>
          <cell r="AC1254" t="str">
            <v>Colon</v>
          </cell>
          <cell r="AD1254" t="str">
            <v>Transverse colon</v>
          </cell>
          <cell r="AE1254" t="str">
            <v>Male</v>
          </cell>
          <cell r="AF1254">
            <v>53</v>
          </cell>
          <cell r="AG1254" t="str">
            <v>N</v>
          </cell>
          <cell r="AH1254">
            <v>6.5</v>
          </cell>
          <cell r="AI1254" t="str">
            <v>Shashi</v>
          </cell>
          <cell r="AJ1254" t="str">
            <v>Surgery</v>
          </cell>
          <cell r="AK1254" t="str">
            <v>Primary</v>
          </cell>
          <cell r="AN1254" t="str">
            <v>IIIB</v>
          </cell>
          <cell r="AO1254">
            <v>3</v>
          </cell>
          <cell r="AP1254" t="str">
            <v>T4aN1c</v>
          </cell>
          <cell r="AS1254" t="str">
            <v>Adeno carcinoma poorly differentiated carcinoma</v>
          </cell>
          <cell r="AV1254">
            <v>45652</v>
          </cell>
          <cell r="AW1254">
            <v>0.61597222222222225</v>
          </cell>
          <cell r="AX1254">
            <v>0.7729166666666667</v>
          </cell>
          <cell r="AY1254">
            <v>0.15694444444444444</v>
          </cell>
          <cell r="AZ1254">
            <v>0.64652777777777781</v>
          </cell>
          <cell r="BA1254">
            <v>0.30763888888888891</v>
          </cell>
          <cell r="BB1254" t="str">
            <v>0.5-0.6*1.8*2.0-2.4</v>
          </cell>
          <cell r="BD1254" t="str">
            <v>Vibratome</v>
          </cell>
          <cell r="BE1254">
            <v>13</v>
          </cell>
          <cell r="BF1254" t="str">
            <v>kuberan</v>
          </cell>
          <cell r="BG1254" t="str">
            <v>Y</v>
          </cell>
        </row>
        <row r="1255">
          <cell r="A1255" t="str">
            <v>FBR1Y240362</v>
          </cell>
          <cell r="B1255">
            <v>240362</v>
          </cell>
          <cell r="C1255" t="str">
            <v>R&amp;D</v>
          </cell>
          <cell r="D1255">
            <v>45653</v>
          </cell>
          <cell r="E1255">
            <v>0.53125</v>
          </cell>
          <cell r="F1255">
            <v>45627</v>
          </cell>
          <cell r="G1255">
            <v>45653</v>
          </cell>
          <cell r="H1255">
            <v>0.64722222222222225</v>
          </cell>
          <cell r="I1255">
            <v>0.11597222222222223</v>
          </cell>
          <cell r="J1255">
            <v>0</v>
          </cell>
          <cell r="K1255" t="str">
            <v>FCB-PROTOCOL-01</v>
          </cell>
          <cell r="L1255" t="str">
            <v>VYD/343</v>
          </cell>
          <cell r="M1255" t="str">
            <v>Y</v>
          </cell>
          <cell r="P1255" t="str">
            <v>Q1 Passed</v>
          </cell>
          <cell r="Q1255" t="str">
            <v>Q1 Passed</v>
          </cell>
          <cell r="R1255" t="str">
            <v>Q1.5 Passed</v>
          </cell>
          <cell r="S1255" t="str">
            <v>Q1.5 Passed</v>
          </cell>
          <cell r="V1255" t="str">
            <v>Tumor content 5-65%  </v>
          </cell>
          <cell r="W1255" t="str">
            <v>Private Hospital</v>
          </cell>
          <cell r="X1255" t="str">
            <v>Vydehi Hospital, Bangalore</v>
          </cell>
          <cell r="Y1255" t="str">
            <v>Vydehi Hospital, Bangalore</v>
          </cell>
          <cell r="Z1255" t="str">
            <v>Dr Amritha Prabha, Bangalore</v>
          </cell>
          <cell r="AA1255" t="str">
            <v>HNSCC</v>
          </cell>
          <cell r="AC1255" t="str">
            <v>Alveolus</v>
          </cell>
          <cell r="AD1255" t="str">
            <v>Left upper alveolus and Buccal Mucosa</v>
          </cell>
          <cell r="AE1255" t="str">
            <v>Male</v>
          </cell>
          <cell r="AF1255">
            <v>48</v>
          </cell>
          <cell r="AG1255" t="str">
            <v>N</v>
          </cell>
          <cell r="AH1255">
            <v>5.6</v>
          </cell>
          <cell r="AI1255" t="str">
            <v>Shashi</v>
          </cell>
          <cell r="AJ1255" t="str">
            <v>Surgery</v>
          </cell>
          <cell r="AK1255" t="str">
            <v>Primary</v>
          </cell>
          <cell r="AN1255" t="str">
            <v>IV</v>
          </cell>
          <cell r="AO1255">
            <v>3</v>
          </cell>
          <cell r="AP1255" t="str">
            <v>T4aN2b</v>
          </cell>
          <cell r="AV1255">
            <v>45653</v>
          </cell>
          <cell r="AW1255">
            <v>0.66180555555555554</v>
          </cell>
          <cell r="AX1255">
            <v>0.73958333333333337</v>
          </cell>
          <cell r="AY1255">
            <v>7.7777777777777779E-2</v>
          </cell>
          <cell r="AZ1255">
            <v>0.62361111111111112</v>
          </cell>
          <cell r="BA1255">
            <v>0.20833333333333334</v>
          </cell>
          <cell r="BB1255" t="str">
            <v>0.6-0.8*0.9-1.2*1.4-1.6
0.2*0.5-0.7*0.4-0.8
0.2*0.5-0.8*0.6-0.9
0.3*0.4-0.8*0.8-0.9</v>
          </cell>
          <cell r="BD1255" t="str">
            <v>Vibratome</v>
          </cell>
          <cell r="BE1255">
            <v>15</v>
          </cell>
          <cell r="BF1255" t="str">
            <v>Mouniss</v>
          </cell>
          <cell r="BG1255" t="str">
            <v>Y</v>
          </cell>
        </row>
        <row r="1256">
          <cell r="A1256" t="str">
            <v>FBR2S240363</v>
          </cell>
          <cell r="B1256">
            <v>240363</v>
          </cell>
          <cell r="C1256" t="str">
            <v>R&amp;D</v>
          </cell>
          <cell r="D1256">
            <v>45653</v>
          </cell>
          <cell r="E1256">
            <v>0.56944444444444442</v>
          </cell>
          <cell r="F1256">
            <v>45627</v>
          </cell>
          <cell r="G1256">
            <v>45653</v>
          </cell>
          <cell r="H1256">
            <v>0.90208333333333335</v>
          </cell>
          <cell r="I1256">
            <v>0.33263888888888887</v>
          </cell>
          <cell r="J1256">
            <v>10</v>
          </cell>
          <cell r="K1256" t="str">
            <v>FCB-PROTOCOL-01</v>
          </cell>
          <cell r="L1256" t="str">
            <v>CLN/DBR/222</v>
          </cell>
          <cell r="M1256" t="str">
            <v>Y</v>
          </cell>
          <cell r="P1256" t="str">
            <v>Q1 Passed</v>
          </cell>
          <cell r="Q1256" t="str">
            <v>Q1 Passed</v>
          </cell>
          <cell r="R1256" t="str">
            <v>Q1.5 Passed</v>
          </cell>
          <cell r="S1256" t="str">
            <v>Q1.5 Passed</v>
          </cell>
          <cell r="V1256" t="str">
            <v>A:Tumor content 0-70%.Average tumor content 35%
B:Tumor content 0-80%.Average tumor content 30%</v>
          </cell>
          <cell r="W1256" t="str">
            <v>Private Hospital</v>
          </cell>
          <cell r="X1256" t="str">
            <v>Clinic'les- DBR &amp; SK Hospital, Tirupati</v>
          </cell>
          <cell r="Y1256" t="str">
            <v>DBR &amp; SK Hospital, Tirupati</v>
          </cell>
          <cell r="Z1256" t="str">
            <v>Dr C Jayaprakash, Tirupati</v>
          </cell>
          <cell r="AA1256" t="str">
            <v>CRC</v>
          </cell>
          <cell r="AC1256" t="str">
            <v>Colon</v>
          </cell>
          <cell r="AD1256" t="str">
            <v>Colon</v>
          </cell>
          <cell r="AE1256" t="str">
            <v>Male</v>
          </cell>
          <cell r="AF1256">
            <v>54</v>
          </cell>
          <cell r="AG1256" t="str">
            <v>N</v>
          </cell>
          <cell r="AH1256">
            <v>6.4</v>
          </cell>
          <cell r="AI1256" t="str">
            <v>Kalappa</v>
          </cell>
          <cell r="AJ1256" t="str">
            <v>Surgery</v>
          </cell>
          <cell r="AK1256" t="str">
            <v>Primary</v>
          </cell>
          <cell r="AN1256" t="str">
            <v>IIIC</v>
          </cell>
          <cell r="AP1256" t="str">
            <v>T4a N2b MX</v>
          </cell>
          <cell r="AV1256">
            <v>45654</v>
          </cell>
          <cell r="AW1256">
            <v>0.30416666666666664</v>
          </cell>
          <cell r="AX1256">
            <v>0.4375</v>
          </cell>
          <cell r="AY1256">
            <v>0.13333333333333333</v>
          </cell>
          <cell r="AZ1256">
            <v>0.10486111111111111</v>
          </cell>
          <cell r="BA125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56" t="str">
            <v>1.2*1.0-1.8*0.8-2.8</v>
          </cell>
          <cell r="BD1256" t="str">
            <v>Vibratome</v>
          </cell>
          <cell r="BE1256">
            <v>13</v>
          </cell>
          <cell r="BF1256" t="str">
            <v>chandan</v>
          </cell>
          <cell r="BG1256" t="str">
            <v>Y</v>
          </cell>
        </row>
        <row r="1257">
          <cell r="A1257" t="str">
            <v>FBB1M250001</v>
          </cell>
          <cell r="B1257">
            <v>250001</v>
          </cell>
          <cell r="C1257" t="str">
            <v>Biopharma</v>
          </cell>
          <cell r="D1257">
            <v>45659</v>
          </cell>
          <cell r="E1257">
            <v>0.52777777777777779</v>
          </cell>
          <cell r="F1257">
            <v>45658</v>
          </cell>
          <cell r="G1257">
            <v>45659</v>
          </cell>
          <cell r="H1257">
            <v>0.90208333333333335</v>
          </cell>
          <cell r="I1257">
            <v>0.37430555555555556</v>
          </cell>
          <cell r="J1257">
            <v>5</v>
          </cell>
          <cell r="K1257" t="str">
            <v>FCB-PROTOCOL-01</v>
          </cell>
          <cell r="L1257" t="str">
            <v>CLN/DBR/223</v>
          </cell>
          <cell r="M1257" t="str">
            <v>Y</v>
          </cell>
          <cell r="N1257" t="str">
            <v>BP011 (1M)</v>
          </cell>
          <cell r="O1257" t="str">
            <v>Biopharma</v>
          </cell>
          <cell r="P1257" t="str">
            <v>Q1 Passed</v>
          </cell>
          <cell r="Q1257" t="str">
            <v>Q1 Passed</v>
          </cell>
          <cell r="R1257" t="str">
            <v>Q1.5 Passed</v>
          </cell>
          <cell r="S1257" t="str">
            <v>Qualified</v>
          </cell>
          <cell r="T1257" t="str">
            <v>Nil</v>
          </cell>
          <cell r="U1257" t="str">
            <v>NA</v>
          </cell>
          <cell r="V1257" t="str">
            <v>Tumor content 40-70% with high immune content in some fragments</v>
          </cell>
          <cell r="W1257" t="str">
            <v>Private Hospital</v>
          </cell>
          <cell r="X1257" t="str">
            <v>Clinic'les- DBR &amp; SK Hospital, Tirupati</v>
          </cell>
          <cell r="Y1257" t="str">
            <v>DBR &amp; SK Hospital, Tirupati</v>
          </cell>
          <cell r="Z1257" t="str">
            <v>Dr C Jayaprakash, Tirupati</v>
          </cell>
          <cell r="AA1257" t="str">
            <v>HNSCC</v>
          </cell>
          <cell r="AB1257" t="str">
            <v>NA</v>
          </cell>
          <cell r="AC1257" t="str">
            <v>Buccal Mucosa</v>
          </cell>
          <cell r="AD1257" t="str">
            <v>Left Buccal Mucosa</v>
          </cell>
          <cell r="AE1257" t="str">
            <v>Female</v>
          </cell>
          <cell r="AF1257">
            <v>56</v>
          </cell>
          <cell r="AG1257" t="str">
            <v>N</v>
          </cell>
          <cell r="AH1257">
            <v>6.5</v>
          </cell>
          <cell r="AI1257" t="str">
            <v>Maruti</v>
          </cell>
          <cell r="AJ1257" t="str">
            <v>Surgery</v>
          </cell>
          <cell r="AK1257" t="str">
            <v>Primary</v>
          </cell>
          <cell r="AL1257" t="str">
            <v>NA</v>
          </cell>
          <cell r="AN1257" t="str">
            <v>IVb</v>
          </cell>
          <cell r="AP1257" t="str">
            <v>T4a N3b MX</v>
          </cell>
          <cell r="AS1257" t="str">
            <v>SSC</v>
          </cell>
          <cell r="AV1257">
            <v>45659</v>
          </cell>
          <cell r="AW1257">
            <v>0.91388888888888886</v>
          </cell>
          <cell r="AX1257">
            <v>0.99097222222222225</v>
          </cell>
          <cell r="AY1257">
            <v>7.7083333333333337E-2</v>
          </cell>
          <cell r="AZ1257">
            <v>0.6166666666666667</v>
          </cell>
          <cell r="BA1257">
            <v>0.46319444444444446</v>
          </cell>
          <cell r="BB1257" t="str">
            <v>0.2-0.6*0.9*2.4</v>
          </cell>
          <cell r="BC1257" t="str">
            <v>NA</v>
          </cell>
          <cell r="BD1257" t="str">
            <v>Vibratome</v>
          </cell>
          <cell r="BE1257">
            <v>15</v>
          </cell>
          <cell r="BF1257" t="str">
            <v xml:space="preserve">sai </v>
          </cell>
          <cell r="BG1257" t="str">
            <v>Y</v>
          </cell>
        </row>
        <row r="1258">
          <cell r="A1258" t="str">
            <v>FBB1M250002</v>
          </cell>
          <cell r="B1258">
            <v>250002</v>
          </cell>
          <cell r="C1258" t="str">
            <v>Biopharma</v>
          </cell>
          <cell r="D1258">
            <v>45661</v>
          </cell>
          <cell r="E1258">
            <v>0.51388888888888884</v>
          </cell>
          <cell r="F1258">
            <v>45658</v>
          </cell>
          <cell r="G1258">
            <v>45661</v>
          </cell>
          <cell r="H1258">
            <v>0.88055555555555554</v>
          </cell>
          <cell r="I1258">
            <v>0.36666666666666664</v>
          </cell>
          <cell r="J1258">
            <v>5</v>
          </cell>
          <cell r="K1258" t="str">
            <v>FCB-PROTOCOL-01</v>
          </cell>
          <cell r="L1258" t="str">
            <v>CLN/DBR/224</v>
          </cell>
          <cell r="M1258" t="str">
            <v>Y</v>
          </cell>
          <cell r="N1258" t="str">
            <v>BP011 (1M)</v>
          </cell>
          <cell r="O1258" t="str">
            <v>Biopharma</v>
          </cell>
          <cell r="P1258" t="str">
            <v>Q1 Passed</v>
          </cell>
          <cell r="Q1258" t="str">
            <v>Q1 Passed</v>
          </cell>
          <cell r="R1258" t="str">
            <v>Q1.5 Passed</v>
          </cell>
          <cell r="S1258" t="str">
            <v>Qualified</v>
          </cell>
          <cell r="T1258" t="str">
            <v>Nil</v>
          </cell>
          <cell r="U1258" t="str">
            <v>NA</v>
          </cell>
          <cell r="V1258" t="str">
            <v>Tumor content 70-92%</v>
          </cell>
          <cell r="W1258" t="str">
            <v>Private Hospital</v>
          </cell>
          <cell r="X1258" t="str">
            <v>Clinic'les- DBR &amp; SK Hospital, Tirupati</v>
          </cell>
          <cell r="Y1258" t="str">
            <v>DBR &amp; SK Hospital, Tirupati</v>
          </cell>
          <cell r="Z1258" t="str">
            <v>Dr C Jayaprakash, Tirupati</v>
          </cell>
          <cell r="AA1258" t="str">
            <v>HNSCC</v>
          </cell>
          <cell r="AB1258" t="str">
            <v>NA</v>
          </cell>
          <cell r="AC1258" t="str">
            <v>Buccal Mucosa</v>
          </cell>
          <cell r="AD1258" t="str">
            <v>Right Buccal Mucosa</v>
          </cell>
          <cell r="AE1258" t="str">
            <v>Female</v>
          </cell>
          <cell r="AF1258">
            <v>76</v>
          </cell>
          <cell r="AG1258" t="str">
            <v>N</v>
          </cell>
          <cell r="AH1258">
            <v>6.2</v>
          </cell>
          <cell r="AI1258" t="str">
            <v>Maruthi</v>
          </cell>
          <cell r="AJ1258" t="str">
            <v>Surgery</v>
          </cell>
          <cell r="AK1258" t="str">
            <v>Primary</v>
          </cell>
          <cell r="AL1258" t="str">
            <v>NA</v>
          </cell>
          <cell r="AN1258" t="str">
            <v>III</v>
          </cell>
          <cell r="AP1258" t="str">
            <v>T3 N1 MX</v>
          </cell>
          <cell r="AS1258" t="str">
            <v>SSC</v>
          </cell>
          <cell r="AV1258">
            <v>45661</v>
          </cell>
          <cell r="AW1258">
            <v>0.8930555555555556</v>
          </cell>
          <cell r="AX1258">
            <v>0.97291666666666665</v>
          </cell>
          <cell r="AY1258">
            <v>7.9861111111111105E-2</v>
          </cell>
          <cell r="AZ1258">
            <v>0.60624999999999996</v>
          </cell>
          <cell r="BA1258">
            <v>0.45902777777777776</v>
          </cell>
          <cell r="BB1258" t="str">
            <v>0.4-0.8*0.6-1.4*2.2</v>
          </cell>
          <cell r="BC1258" t="str">
            <v>NA</v>
          </cell>
          <cell r="BD1258" t="str">
            <v>Vibratome</v>
          </cell>
          <cell r="BE1258">
            <v>15</v>
          </cell>
          <cell r="BF1258" t="str">
            <v>Mouniss</v>
          </cell>
          <cell r="BG1258" t="str">
            <v>Y</v>
          </cell>
        </row>
        <row r="1259">
          <cell r="A1259" t="str">
            <v>FBR1Y250003</v>
          </cell>
          <cell r="B1259">
            <v>250003</v>
          </cell>
          <cell r="C1259" t="str">
            <v>R&amp;D</v>
          </cell>
          <cell r="D1259">
            <v>45663</v>
          </cell>
          <cell r="E1259">
            <v>0.53125</v>
          </cell>
          <cell r="F1259">
            <v>45658</v>
          </cell>
          <cell r="G1259">
            <v>45663</v>
          </cell>
          <cell r="H1259">
            <v>0.61458333333333337</v>
          </cell>
          <cell r="I1259">
            <v>8.3333333333333329E-2</v>
          </cell>
          <cell r="J1259">
            <v>3</v>
          </cell>
          <cell r="K1259" t="str">
            <v>FCB-PROTOCOL-01</v>
          </cell>
          <cell r="L1259" t="str">
            <v>VYD/344</v>
          </cell>
          <cell r="M1259" t="str">
            <v>Y</v>
          </cell>
          <cell r="N1259" t="str">
            <v>CCS Study (1Y)</v>
          </cell>
          <cell r="O1259" t="str">
            <v>Internal R&amp;D</v>
          </cell>
          <cell r="P1259" t="str">
            <v>Q1 Passed</v>
          </cell>
          <cell r="Q1259" t="str">
            <v>Q1 Passed</v>
          </cell>
          <cell r="R1259" t="str">
            <v>Q1.5 Passed</v>
          </cell>
          <cell r="S1259" t="str">
            <v>Qualified</v>
          </cell>
          <cell r="T1259" t="str">
            <v>Nil</v>
          </cell>
          <cell r="U1259" t="str">
            <v>NA</v>
          </cell>
          <cell r="V1259" t="str">
            <v>Tumor content 0-90% . Average tumor content 60%.</v>
          </cell>
          <cell r="W1259" t="str">
            <v>Private Hospital</v>
          </cell>
          <cell r="X1259" t="str">
            <v>Vydehi Hospital, Bangalore</v>
          </cell>
          <cell r="Y1259" t="str">
            <v>Vydehi Hospital, Bangalore</v>
          </cell>
          <cell r="Z1259" t="str">
            <v>Dr Amritha Prabha, Bangalore</v>
          </cell>
          <cell r="AA1259" t="str">
            <v>HNSCC</v>
          </cell>
          <cell r="AB1259" t="str">
            <v>NA</v>
          </cell>
          <cell r="AC1259" t="str">
            <v>Buccal Mucosa</v>
          </cell>
          <cell r="AD1259" t="str">
            <v>Right Buccal Mucosa</v>
          </cell>
          <cell r="AE1259" t="str">
            <v>Female</v>
          </cell>
          <cell r="AF1259">
            <v>49</v>
          </cell>
          <cell r="AG1259" t="str">
            <v>N</v>
          </cell>
          <cell r="AH1259">
            <v>5.8</v>
          </cell>
          <cell r="AI1259" t="str">
            <v>Shashi</v>
          </cell>
          <cell r="AJ1259" t="str">
            <v>Surgery</v>
          </cell>
          <cell r="AK1259" t="str">
            <v>Primary</v>
          </cell>
          <cell r="AL1259" t="str">
            <v>NA</v>
          </cell>
          <cell r="AV1259">
            <v>45663</v>
          </cell>
          <cell r="AW1259">
            <v>0.6333333333333333</v>
          </cell>
          <cell r="AX1259">
            <v>0.69444444444444442</v>
          </cell>
          <cell r="AY1259">
            <v>6.1111111111111109E-2</v>
          </cell>
          <cell r="AZ1259">
            <v>0.61111111111111116</v>
          </cell>
          <cell r="BA1259">
            <v>0.16319444444444445</v>
          </cell>
          <cell r="BB1259" t="str">
            <v>0.2*0.2-0.5*1.0
0.2*0.4-0.5*1.0</v>
          </cell>
          <cell r="BC1259" t="str">
            <v>NA</v>
          </cell>
          <cell r="BD1259" t="str">
            <v>Manual</v>
          </cell>
          <cell r="BE1259">
            <v>15</v>
          </cell>
          <cell r="BF1259" t="str">
            <v>Abdul</v>
          </cell>
          <cell r="BG1259" t="str">
            <v>Y</v>
          </cell>
        </row>
        <row r="1260">
          <cell r="A1260" t="str">
            <v>FBR2H250003</v>
          </cell>
          <cell r="B1260">
            <v>250003</v>
          </cell>
          <cell r="C1260" t="str">
            <v>R&amp;D</v>
          </cell>
          <cell r="D1260">
            <v>45663</v>
          </cell>
          <cell r="E1260">
            <v>0.53125</v>
          </cell>
          <cell r="F1260">
            <v>45658</v>
          </cell>
          <cell r="G1260">
            <v>45663</v>
          </cell>
          <cell r="H1260">
            <v>0.61458333333333337</v>
          </cell>
          <cell r="I1260">
            <v>8.3333333333333329E-2</v>
          </cell>
          <cell r="J1260">
            <v>3</v>
          </cell>
          <cell r="K1260" t="str">
            <v>FCB-PROTOCOL-01</v>
          </cell>
          <cell r="L1260" t="str">
            <v>VYD/344</v>
          </cell>
          <cell r="M1260" t="str">
            <v>Y</v>
          </cell>
          <cell r="N1260" t="str">
            <v>PCR (2H)</v>
          </cell>
          <cell r="O1260" t="str">
            <v>Internal R&amp;D</v>
          </cell>
          <cell r="P1260" t="str">
            <v>Q1 Passed</v>
          </cell>
          <cell r="Q1260" t="str">
            <v>Q1 Passed</v>
          </cell>
          <cell r="R1260" t="str">
            <v>Q1.5 Passed</v>
          </cell>
          <cell r="S1260" t="str">
            <v>Qualified</v>
          </cell>
          <cell r="T1260" t="str">
            <v>Nil</v>
          </cell>
          <cell r="U1260" t="str">
            <v>NA</v>
          </cell>
          <cell r="V1260" t="str">
            <v>Tumor content 0-90% . Average tumor content 60%.</v>
          </cell>
          <cell r="W1260" t="str">
            <v>Private Hospital</v>
          </cell>
          <cell r="X1260" t="str">
            <v>Vydehi Hospital, Bangalore</v>
          </cell>
          <cell r="Y1260" t="str">
            <v>Vydehi Hospital, Bangalore</v>
          </cell>
          <cell r="Z1260" t="str">
            <v>Dr Amritha Prabha, Bangalore</v>
          </cell>
          <cell r="AA1260" t="str">
            <v>HNSCC</v>
          </cell>
          <cell r="AB1260" t="str">
            <v>NA</v>
          </cell>
          <cell r="AC1260" t="str">
            <v>Buccal Mucosa</v>
          </cell>
          <cell r="AD1260" t="str">
            <v>Right Buccal Mucosa</v>
          </cell>
          <cell r="AE1260" t="str">
            <v>Female</v>
          </cell>
          <cell r="AF1260">
            <v>49</v>
          </cell>
          <cell r="AG1260" t="str">
            <v>N</v>
          </cell>
          <cell r="AH1260">
            <v>5.8</v>
          </cell>
          <cell r="AI1260" t="str">
            <v>Shashi</v>
          </cell>
          <cell r="AJ1260" t="str">
            <v>Surgery</v>
          </cell>
          <cell r="AK1260" t="str">
            <v>Primary</v>
          </cell>
          <cell r="AL1260" t="str">
            <v>NA</v>
          </cell>
          <cell r="AV1260">
            <v>45663</v>
          </cell>
          <cell r="AW1260">
            <v>0.6333333333333333</v>
          </cell>
          <cell r="AX1260">
            <v>0.69444444444444442</v>
          </cell>
          <cell r="AY1260">
            <v>6.1111111111111109E-2</v>
          </cell>
          <cell r="AZ1260">
            <v>0.61111111111111116</v>
          </cell>
          <cell r="BA1260">
            <v>0.16319444444444445</v>
          </cell>
          <cell r="BB1260" t="str">
            <v>0.2*0.2-0.5*1.0
0.2*0.4-0.5*1.0</v>
          </cell>
          <cell r="BC1260" t="str">
            <v>NA</v>
          </cell>
          <cell r="BD1260" t="str">
            <v>Manual</v>
          </cell>
          <cell r="BE1260">
            <v>15</v>
          </cell>
          <cell r="BF1260" t="str">
            <v>Abdul</v>
          </cell>
          <cell r="BG1260" t="str">
            <v>Y</v>
          </cell>
        </row>
        <row r="1261">
          <cell r="A1261" t="str">
            <v>FBR2A250004</v>
          </cell>
          <cell r="B1261">
            <v>250004</v>
          </cell>
          <cell r="C1261" t="str">
            <v>R&amp;D</v>
          </cell>
          <cell r="D1261">
            <v>45663</v>
          </cell>
          <cell r="E1261">
            <v>0.47916666666666669</v>
          </cell>
          <cell r="F1261">
            <v>45658</v>
          </cell>
          <cell r="G1261">
            <v>45663</v>
          </cell>
          <cell r="H1261">
            <v>0.64444444444444449</v>
          </cell>
          <cell r="I1261">
            <v>0.16527777777777777</v>
          </cell>
          <cell r="J1261">
            <v>30</v>
          </cell>
          <cell r="K1261" t="str">
            <v>FCB-PROTOCOL-02</v>
          </cell>
          <cell r="L1261" t="str">
            <v>OC049</v>
          </cell>
          <cell r="M1261" t="str">
            <v>Y</v>
          </cell>
          <cell r="N1261" t="str">
            <v>Ovary CC (2A)</v>
          </cell>
          <cell r="O1261" t="str">
            <v>Internal R&amp;D</v>
          </cell>
          <cell r="P1261" t="str">
            <v>Q1 Passed</v>
          </cell>
          <cell r="Q1261" t="str">
            <v>Not Received</v>
          </cell>
          <cell r="R1261" t="str">
            <v>Compromised</v>
          </cell>
          <cell r="S1261" t="str">
            <v>Rejected</v>
          </cell>
          <cell r="T1261" t="str">
            <v>Nil</v>
          </cell>
          <cell r="U1261" t="str">
            <v>NA</v>
          </cell>
          <cell r="V1261" t="str">
            <v>Most fragments show &lt;5% glands which appear benign/borderline</v>
          </cell>
          <cell r="W1261" t="str">
            <v>Private Hospital</v>
          </cell>
          <cell r="X1261" t="str">
            <v>Mazumdar Shaw Medical Centre, Bangalore</v>
          </cell>
          <cell r="Y1261" t="str">
            <v>Mazumdar Shaw Medical Centre, Bangalore</v>
          </cell>
          <cell r="Z1261" t="str">
            <v>Dr Rohit Ranade, Bangalore</v>
          </cell>
          <cell r="AA1261" t="str">
            <v>Ca Ovary</v>
          </cell>
          <cell r="AB1261" t="str">
            <v>NA</v>
          </cell>
          <cell r="AC1261" t="str">
            <v>Ovary</v>
          </cell>
          <cell r="AD1261" t="str">
            <v>Left Ovary</v>
          </cell>
          <cell r="AE1261" t="str">
            <v>Female</v>
          </cell>
          <cell r="AF1261">
            <v>60</v>
          </cell>
          <cell r="AG1261" t="str">
            <v>N</v>
          </cell>
          <cell r="AH1261">
            <v>4.8</v>
          </cell>
          <cell r="AI1261" t="str">
            <v>Maruthi</v>
          </cell>
          <cell r="AJ1261" t="str">
            <v>Surgery</v>
          </cell>
          <cell r="AK1261" t="str">
            <v>Primary</v>
          </cell>
          <cell r="AL1261" t="str">
            <v>NA</v>
          </cell>
          <cell r="AV1261">
            <v>45663</v>
          </cell>
          <cell r="AW1261">
            <v>0.66736111111111107</v>
          </cell>
          <cell r="AX1261">
            <v>0.71527777777777779</v>
          </cell>
          <cell r="AY1261">
            <v>4.791666666666667E-2</v>
          </cell>
          <cell r="AZ1261">
            <v>0.55000000000000004</v>
          </cell>
          <cell r="BA1261">
            <v>0.2361111111111111</v>
          </cell>
          <cell r="BB1261" t="str">
            <v>0.4*0.8-1.0*1.8</v>
          </cell>
          <cell r="BC1261" t="str">
            <v>NA</v>
          </cell>
          <cell r="BD1261" t="str">
            <v>Manual</v>
          </cell>
          <cell r="BE1261">
            <v>15</v>
          </cell>
          <cell r="BF1261" t="str">
            <v>Pallavi</v>
          </cell>
          <cell r="BG1261" t="str">
            <v>N</v>
          </cell>
        </row>
        <row r="1262">
          <cell r="A1262" t="str">
            <v>FBR1Y250005</v>
          </cell>
          <cell r="B1262">
            <v>250005</v>
          </cell>
          <cell r="C1262" t="str">
            <v>R&amp;D</v>
          </cell>
          <cell r="D1262">
            <v>45664</v>
          </cell>
          <cell r="E1262">
            <v>0.52847222222222223</v>
          </cell>
          <cell r="F1262">
            <v>45658</v>
          </cell>
          <cell r="G1262">
            <v>45664</v>
          </cell>
          <cell r="H1262">
            <v>0.6645833333333333</v>
          </cell>
          <cell r="I1262">
            <v>0.1361111111111111</v>
          </cell>
          <cell r="J1262">
            <v>19</v>
          </cell>
          <cell r="K1262" t="str">
            <v>FCB-PROTOCOL-02</v>
          </cell>
          <cell r="L1262" t="str">
            <v>HN194</v>
          </cell>
          <cell r="M1262" t="str">
            <v>Y</v>
          </cell>
          <cell r="N1262" t="str">
            <v>CCS Study (1Y)</v>
          </cell>
          <cell r="O1262" t="str">
            <v>Internal R&amp;D</v>
          </cell>
          <cell r="P1262" t="str">
            <v>Q1 Passed</v>
          </cell>
          <cell r="Q1262" t="str">
            <v>Not Received</v>
          </cell>
          <cell r="R1262" t="str">
            <v>Compromised</v>
          </cell>
          <cell r="S1262" t="str">
            <v>Qualified</v>
          </cell>
          <cell r="T1262" t="str">
            <v>Nil</v>
          </cell>
          <cell r="U1262" t="str">
            <v>NA</v>
          </cell>
          <cell r="V1262" t="str">
            <v>Most fragments show superficial epithelium. Some fragments show 2-30% tumor cells</v>
          </cell>
          <cell r="W1262" t="str">
            <v>Private Hospital</v>
          </cell>
          <cell r="X1262" t="str">
            <v>Mazumdar Shaw Medical Centre, Bangalore</v>
          </cell>
          <cell r="Y1262" t="str">
            <v>Mazumdar Shaw Medical Centre, Bangalore</v>
          </cell>
          <cell r="Z1262" t="str">
            <v>Dr Vijay Pillai, Bangalore</v>
          </cell>
          <cell r="AA1262" t="str">
            <v>HNSCC</v>
          </cell>
          <cell r="AB1262" t="str">
            <v>NA</v>
          </cell>
          <cell r="AC1262" t="str">
            <v>Alveolus</v>
          </cell>
          <cell r="AD1262" t="str">
            <v>Right Alveolus</v>
          </cell>
          <cell r="AE1262" t="str">
            <v>Male</v>
          </cell>
          <cell r="AF1262">
            <v>68</v>
          </cell>
          <cell r="AG1262" t="str">
            <v>N</v>
          </cell>
          <cell r="AH1262">
            <v>4.5999999999999996</v>
          </cell>
          <cell r="AI1262" t="str">
            <v>Kalappa</v>
          </cell>
          <cell r="AJ1262" t="str">
            <v>Surgery</v>
          </cell>
          <cell r="AK1262" t="str">
            <v>Primary</v>
          </cell>
          <cell r="AL1262" t="str">
            <v>NA</v>
          </cell>
          <cell r="AV1262">
            <v>45664</v>
          </cell>
          <cell r="AW1262">
            <v>0.67500000000000004</v>
          </cell>
          <cell r="AX1262">
            <v>0.73055555555555551</v>
          </cell>
          <cell r="AY1262">
            <v>5.5555555555555552E-2</v>
          </cell>
          <cell r="AZ1262">
            <v>0.59444444444444444</v>
          </cell>
          <cell r="BA1262">
            <v>0.20208333333333334</v>
          </cell>
          <cell r="BB1262" t="str">
            <v>0.8*1.2*1.6</v>
          </cell>
          <cell r="BC1262" t="str">
            <v>NA</v>
          </cell>
          <cell r="BD1262" t="str">
            <v>Vibratome</v>
          </cell>
          <cell r="BE1262">
            <v>15</v>
          </cell>
          <cell r="BF1262" t="str">
            <v>Syam</v>
          </cell>
          <cell r="BG1262" t="str">
            <v>N</v>
          </cell>
        </row>
        <row r="1263">
          <cell r="A1263" t="str">
            <v>FBR1K250006</v>
          </cell>
          <cell r="B1263">
            <v>250006</v>
          </cell>
          <cell r="C1263" t="str">
            <v>R&amp;D</v>
          </cell>
          <cell r="D1263">
            <v>45664</v>
          </cell>
          <cell r="E1263">
            <v>0.54583333333333328</v>
          </cell>
          <cell r="F1263">
            <v>45658</v>
          </cell>
          <cell r="G1263">
            <v>45664</v>
          </cell>
          <cell r="H1263">
            <v>0.69027777777777777</v>
          </cell>
          <cell r="I1263">
            <v>0.14444444444444443</v>
          </cell>
          <cell r="J1263">
            <v>4</v>
          </cell>
          <cell r="K1263" t="str">
            <v>FCB-PROTOCOL-01</v>
          </cell>
          <cell r="L1263" t="str">
            <v>VYD/345</v>
          </cell>
          <cell r="M1263" t="str">
            <v>Y</v>
          </cell>
          <cell r="N1263" t="str">
            <v>DMS_v4(1K)</v>
          </cell>
          <cell r="O1263" t="str">
            <v>Internal R&amp;D</v>
          </cell>
          <cell r="P1263" t="str">
            <v>Q1 Passed</v>
          </cell>
          <cell r="Q1263" t="str">
            <v>Q1 Passed</v>
          </cell>
          <cell r="R1263" t="str">
            <v>Q1.5 Passed</v>
          </cell>
          <cell r="S1263" t="str">
            <v>Qualified</v>
          </cell>
          <cell r="T1263" t="str">
            <v>Nil</v>
          </cell>
          <cell r="U1263" t="str">
            <v>NA</v>
          </cell>
          <cell r="V1263" t="str">
            <v>Tumor content 35-90%.</v>
          </cell>
          <cell r="W1263" t="str">
            <v>Private Hospital</v>
          </cell>
          <cell r="X1263" t="str">
            <v>Vydehi Hospital, Bangalore</v>
          </cell>
          <cell r="Y1263" t="str">
            <v>Vydehi Hospital, Bangalore</v>
          </cell>
          <cell r="Z1263" t="str">
            <v>Dr Amritha Prabha, Bangalore</v>
          </cell>
          <cell r="AA1263" t="str">
            <v>HNSCC</v>
          </cell>
          <cell r="AB1263" t="str">
            <v>NA</v>
          </cell>
          <cell r="AC1263" t="str">
            <v>Buccal Mucosa</v>
          </cell>
          <cell r="AD1263" t="str">
            <v>Left Buccal Mucosa</v>
          </cell>
          <cell r="AE1263" t="str">
            <v>Male</v>
          </cell>
          <cell r="AF1263">
            <v>68</v>
          </cell>
          <cell r="AG1263" t="str">
            <v>N</v>
          </cell>
          <cell r="AH1263">
            <v>5.8</v>
          </cell>
          <cell r="AI1263" t="str">
            <v>Maruthi</v>
          </cell>
          <cell r="AJ1263" t="str">
            <v>Surgery</v>
          </cell>
          <cell r="AK1263" t="str">
            <v>Primary</v>
          </cell>
          <cell r="AL1263" t="str">
            <v>NA</v>
          </cell>
          <cell r="AV1263">
            <v>45664</v>
          </cell>
          <cell r="AW1263">
            <v>0.70416666666666672</v>
          </cell>
          <cell r="AX1263">
            <v>0.78819444444444442</v>
          </cell>
          <cell r="AY1263">
            <v>8.4027777777777785E-2</v>
          </cell>
          <cell r="AZ1263">
            <v>0.64375000000000004</v>
          </cell>
          <cell r="BA1263">
            <v>0.24236111111111111</v>
          </cell>
          <cell r="BB1263" t="str">
            <v>0.4*0.6*0.9
0.2*1.0*1.2
0.6*0.8*1.0
0.6*1.0*1.8</v>
          </cell>
          <cell r="BC1263" t="str">
            <v>NA</v>
          </cell>
          <cell r="BD1263" t="str">
            <v>Vibratome</v>
          </cell>
          <cell r="BE1263">
            <v>15</v>
          </cell>
          <cell r="BF1263" t="str">
            <v>chandan</v>
          </cell>
          <cell r="BG1263" t="str">
            <v>Y</v>
          </cell>
        </row>
        <row r="1264">
          <cell r="A1264" t="str">
            <v>FBR1J250007</v>
          </cell>
          <cell r="B1264">
            <v>250007</v>
          </cell>
          <cell r="C1264" t="str">
            <v>R&amp;D</v>
          </cell>
          <cell r="D1264">
            <v>45664</v>
          </cell>
          <cell r="E1264">
            <v>0.54166666666666663</v>
          </cell>
          <cell r="F1264">
            <v>45658</v>
          </cell>
          <cell r="G1264">
            <v>45664</v>
          </cell>
          <cell r="H1264">
            <v>0.87916666666666665</v>
          </cell>
          <cell r="I1264">
            <v>0.33750000000000002</v>
          </cell>
          <cell r="J1264">
            <v>10</v>
          </cell>
          <cell r="K1264" t="str">
            <v>FCB-PROTOCOL-01</v>
          </cell>
          <cell r="L1264" t="str">
            <v>CLN/DBR/225</v>
          </cell>
          <cell r="M1264" t="str">
            <v>Y</v>
          </cell>
          <cell r="N1264" t="str">
            <v>COS_v3.0-Gastric (1J)</v>
          </cell>
          <cell r="O1264" t="str">
            <v>Internal R&amp;D</v>
          </cell>
          <cell r="P1264" t="str">
            <v>Q1 Passed</v>
          </cell>
          <cell r="Q1264" t="str">
            <v>Q1 Rejected</v>
          </cell>
          <cell r="R1264" t="str">
            <v>Compromised</v>
          </cell>
          <cell r="S1264" t="str">
            <v>Qualified</v>
          </cell>
          <cell r="T1264" t="str">
            <v>Blood Hemolysed</v>
          </cell>
          <cell r="U1264" t="str">
            <v>NA</v>
          </cell>
          <cell r="V1264" t="str">
            <v>Tumor content 2-45%.</v>
          </cell>
          <cell r="W1264" t="str">
            <v>Private Hospital</v>
          </cell>
          <cell r="X1264" t="str">
            <v>Clinic'les- DBR &amp; SK Hospital, Tirupati</v>
          </cell>
          <cell r="Y1264" t="str">
            <v>DBR &amp; SK Hospital, Tirupati</v>
          </cell>
          <cell r="Z1264" t="str">
            <v>Dr C Jayaprakash, Tirupati</v>
          </cell>
          <cell r="AA1264" t="str">
            <v>GI</v>
          </cell>
          <cell r="AB1264" t="str">
            <v>NA</v>
          </cell>
          <cell r="AC1264" t="str">
            <v>Stomach</v>
          </cell>
          <cell r="AD1264" t="str">
            <v>Stomach</v>
          </cell>
          <cell r="AE1264" t="str">
            <v>Male</v>
          </cell>
          <cell r="AF1264">
            <v>31</v>
          </cell>
          <cell r="AG1264" t="str">
            <v>N</v>
          </cell>
          <cell r="AH1264">
            <v>5.6</v>
          </cell>
          <cell r="AI1264" t="str">
            <v>Shashi</v>
          </cell>
          <cell r="AJ1264" t="str">
            <v>Surgery</v>
          </cell>
          <cell r="AK1264" t="str">
            <v>Primary</v>
          </cell>
          <cell r="AL1264" t="str">
            <v>NA</v>
          </cell>
          <cell r="AN1264" t="str">
            <v>IIb</v>
          </cell>
          <cell r="AP1264" t="str">
            <v>T2 N2 MX</v>
          </cell>
          <cell r="AS1264" t="str">
            <v>Adenocarcinoma</v>
          </cell>
          <cell r="AV1264">
            <v>45664</v>
          </cell>
          <cell r="AW1264">
            <v>0.91527777777777775</v>
          </cell>
          <cell r="AX1264">
            <v>2.0833333333333333E-3</v>
          </cell>
          <cell r="AY1264">
            <v>8.6805555555555552E-2</v>
          </cell>
          <cell r="AZ1264">
            <v>0.6645833333333333</v>
          </cell>
          <cell r="BA1264">
            <v>0.46041666666666664</v>
          </cell>
          <cell r="BB1264" t="str">
            <v>0.4-0.9*1.1*1.6
0.2-0.8*1.2*1.8</v>
          </cell>
          <cell r="BC1264" t="str">
            <v>NA</v>
          </cell>
          <cell r="BD1264" t="str">
            <v>Manual</v>
          </cell>
          <cell r="BE1264">
            <v>15</v>
          </cell>
          <cell r="BF1264" t="str">
            <v>Mouniss</v>
          </cell>
          <cell r="BG1264" t="str">
            <v>N</v>
          </cell>
        </row>
        <row r="1265">
          <cell r="A1265" t="str">
            <v>FBR1Y250008</v>
          </cell>
          <cell r="B1265">
            <v>250008</v>
          </cell>
          <cell r="C1265" t="str">
            <v>R&amp;D</v>
          </cell>
          <cell r="D1265">
            <v>45665</v>
          </cell>
          <cell r="E1265">
            <v>0.47222222222222221</v>
          </cell>
          <cell r="F1265">
            <v>45658</v>
          </cell>
          <cell r="G1265">
            <v>45665</v>
          </cell>
          <cell r="H1265">
            <v>0.58333333333333337</v>
          </cell>
          <cell r="I1265">
            <v>0.1111111111111111</v>
          </cell>
          <cell r="J1265">
            <v>25</v>
          </cell>
          <cell r="K1265" t="str">
            <v>FCB-PROTOCOL-02</v>
          </cell>
          <cell r="L1265" t="str">
            <v>HN195</v>
          </cell>
          <cell r="M1265" t="str">
            <v>Y</v>
          </cell>
          <cell r="N1265" t="str">
            <v>CCS Study (1Y)</v>
          </cell>
          <cell r="O1265" t="str">
            <v>Internal R&amp;D</v>
          </cell>
          <cell r="P1265" t="str">
            <v>Q1 Passed</v>
          </cell>
          <cell r="Q1265" t="str">
            <v>Q1 Rejected</v>
          </cell>
          <cell r="R1265" t="str">
            <v>Compromised</v>
          </cell>
          <cell r="S1265" t="str">
            <v>Qualified</v>
          </cell>
          <cell r="T1265" t="str">
            <v>Low blood volume</v>
          </cell>
          <cell r="U1265" t="str">
            <v>NA</v>
          </cell>
          <cell r="V1265" t="str">
            <v>Tumor content 15-80</v>
          </cell>
          <cell r="W1265" t="str">
            <v>Private Hospital</v>
          </cell>
          <cell r="X1265" t="str">
            <v>Mazumdar Shaw Medical Centre, Bangalore</v>
          </cell>
          <cell r="Y1265" t="str">
            <v>Mazumdar Shaw Medical Centre, Bangalore</v>
          </cell>
          <cell r="Z1265" t="str">
            <v>Dr Vijay Pillai, Bangalore</v>
          </cell>
          <cell r="AA1265" t="str">
            <v>HNSCC</v>
          </cell>
          <cell r="AB1265" t="str">
            <v>NA</v>
          </cell>
          <cell r="AC1265" t="str">
            <v>GBS</v>
          </cell>
          <cell r="AD1265" t="str">
            <v>Right Lower GBS</v>
          </cell>
          <cell r="AE1265" t="str">
            <v>Male</v>
          </cell>
          <cell r="AF1265">
            <v>37</v>
          </cell>
          <cell r="AG1265" t="str">
            <v>N</v>
          </cell>
          <cell r="AH1265">
            <v>4.8</v>
          </cell>
          <cell r="AI1265" t="str">
            <v>Kalappa</v>
          </cell>
          <cell r="AJ1265" t="str">
            <v>Surgery</v>
          </cell>
          <cell r="AK1265" t="str">
            <v>Primary</v>
          </cell>
          <cell r="AL1265" t="str">
            <v>NA</v>
          </cell>
          <cell r="AV1265">
            <v>45665</v>
          </cell>
          <cell r="AW1265">
            <v>0.60416666666666663</v>
          </cell>
          <cell r="AX1265">
            <v>0.66319444444444442</v>
          </cell>
          <cell r="AY1265">
            <v>5.9027777777777776E-2</v>
          </cell>
          <cell r="AZ1265">
            <v>0.55208333333333337</v>
          </cell>
          <cell r="BA1265">
            <v>0.19097222222222221</v>
          </cell>
          <cell r="BB1265" t="str">
            <v>0.2*0.5-0.6*0.8-0.9</v>
          </cell>
          <cell r="BC1265" t="str">
            <v>NA</v>
          </cell>
          <cell r="BD1265" t="str">
            <v>Vibratome</v>
          </cell>
          <cell r="BE1265">
            <v>15</v>
          </cell>
          <cell r="BF1265" t="str">
            <v>Syam</v>
          </cell>
          <cell r="BG1265" t="str">
            <v>N</v>
          </cell>
        </row>
        <row r="1266">
          <cell r="A1266" t="str">
            <v>FBR1J250009</v>
          </cell>
          <cell r="B1266">
            <v>250009</v>
          </cell>
          <cell r="C1266" t="str">
            <v>R&amp;D</v>
          </cell>
          <cell r="D1266">
            <v>45666</v>
          </cell>
          <cell r="E1266">
            <v>0.58125000000000004</v>
          </cell>
          <cell r="F1266">
            <v>45658</v>
          </cell>
          <cell r="G1266">
            <v>45666</v>
          </cell>
          <cell r="H1266">
            <v>0.63055555555555554</v>
          </cell>
          <cell r="I1266">
            <v>4.9305555555555554E-2</v>
          </cell>
          <cell r="J1266">
            <v>2</v>
          </cell>
          <cell r="K1266" t="str">
            <v>FCB-PROTOCOL-01</v>
          </cell>
          <cell r="L1266" t="str">
            <v>CLN/PRA/281</v>
          </cell>
          <cell r="M1266" t="str">
            <v>Y</v>
          </cell>
          <cell r="N1266" t="str">
            <v>COS_v3.0-Gastric (1J)</v>
          </cell>
          <cell r="O1266" t="str">
            <v>Internal R&amp;D</v>
          </cell>
          <cell r="P1266" t="str">
            <v>Q1 Passed</v>
          </cell>
          <cell r="Q1266" t="str">
            <v>Q1 Passed</v>
          </cell>
          <cell r="R1266" t="str">
            <v>Q1.5 Passed</v>
          </cell>
          <cell r="S1266" t="str">
            <v>Qualified</v>
          </cell>
          <cell r="T1266" t="str">
            <v>Nil</v>
          </cell>
          <cell r="U1266" t="str">
            <v>NA</v>
          </cell>
          <cell r="V1266" t="str">
            <v>Tumor content 0-15%.Average tumor content 7%</v>
          </cell>
          <cell r="W1266" t="str">
            <v>Private Hospital</v>
          </cell>
          <cell r="X1266" t="str">
            <v>Dr Prakash BV, Bangalore</v>
          </cell>
          <cell r="Y1266" t="str">
            <v>Leelavathy</v>
          </cell>
          <cell r="Z1266" t="str">
            <v>Dr Prakash BV, Bangalore</v>
          </cell>
          <cell r="AA1266" t="str">
            <v>GI</v>
          </cell>
          <cell r="AB1266" t="str">
            <v>NA</v>
          </cell>
          <cell r="AC1266" t="str">
            <v>Stomach</v>
          </cell>
          <cell r="AD1266" t="str">
            <v>Stomach</v>
          </cell>
          <cell r="AE1266" t="str">
            <v>Male</v>
          </cell>
          <cell r="AF1266">
            <v>60</v>
          </cell>
          <cell r="AG1266" t="str">
            <v>N</v>
          </cell>
          <cell r="AH1266">
            <v>4.8</v>
          </cell>
          <cell r="AI1266" t="str">
            <v>Kalappa</v>
          </cell>
          <cell r="AJ1266" t="str">
            <v>Surgery</v>
          </cell>
          <cell r="AK1266" t="str">
            <v>Primary</v>
          </cell>
          <cell r="AL1266" t="str">
            <v>Chemotherapy</v>
          </cell>
          <cell r="AN1266" t="str">
            <v>III</v>
          </cell>
          <cell r="AO1266">
            <v>1</v>
          </cell>
          <cell r="AP1266" t="str">
            <v>pT3N1</v>
          </cell>
          <cell r="AV1266">
            <v>45666</v>
          </cell>
          <cell r="AW1266">
            <v>0.69027777777777777</v>
          </cell>
          <cell r="AX1266">
            <v>0.73472222222222228</v>
          </cell>
          <cell r="AY1266">
            <v>4.4444444444444446E-2</v>
          </cell>
          <cell r="AZ1266">
            <v>0.68541666666666667</v>
          </cell>
          <cell r="BA1266">
            <v>0.15347222222222223</v>
          </cell>
          <cell r="BB1266" t="str">
            <v>0.6*0.4-1.5*2.2-3.1</v>
          </cell>
          <cell r="BC1266" t="str">
            <v>NA</v>
          </cell>
          <cell r="BD1266" t="str">
            <v>Manual</v>
          </cell>
          <cell r="BE1266">
            <v>15</v>
          </cell>
          <cell r="BF1266" t="str">
            <v>Syam</v>
          </cell>
          <cell r="BG1266" t="str">
            <v>Y</v>
          </cell>
        </row>
        <row r="1267">
          <cell r="A1267" t="str">
            <v>FBB1M250010</v>
          </cell>
          <cell r="B1267">
            <v>250010</v>
          </cell>
          <cell r="C1267" t="str">
            <v>Biopharma</v>
          </cell>
          <cell r="D1267">
            <v>45666</v>
          </cell>
          <cell r="E1267">
            <v>0.58402777777777781</v>
          </cell>
          <cell r="F1267">
            <v>45658</v>
          </cell>
          <cell r="G1267">
            <v>45666</v>
          </cell>
          <cell r="H1267">
            <v>0.68611111111111112</v>
          </cell>
          <cell r="I1267">
            <v>0.10208333333333333</v>
          </cell>
          <cell r="J1267">
            <v>19</v>
          </cell>
          <cell r="K1267" t="str">
            <v>FCB-PROTOCOL-02</v>
          </cell>
          <cell r="L1267" t="str">
            <v>HN196</v>
          </cell>
          <cell r="M1267" t="str">
            <v>Y</v>
          </cell>
          <cell r="N1267" t="str">
            <v>BP011 (1M)</v>
          </cell>
          <cell r="O1267" t="str">
            <v>Biopharma</v>
          </cell>
          <cell r="P1267" t="str">
            <v>Q1 Passed</v>
          </cell>
          <cell r="Q1267" t="str">
            <v>Q1 Passed</v>
          </cell>
          <cell r="R1267" t="str">
            <v>Q1.5 Passed</v>
          </cell>
          <cell r="S1267" t="str">
            <v>Qualified</v>
          </cell>
          <cell r="T1267" t="str">
            <v>Nil</v>
          </cell>
          <cell r="U1267" t="str">
            <v>NA</v>
          </cell>
          <cell r="V1267" t="str">
            <v>Tumor content 65-90%</v>
          </cell>
          <cell r="W1267" t="str">
            <v>Private Hospital</v>
          </cell>
          <cell r="X1267" t="str">
            <v>Mazumdar Shaw Medical Centre, Bangalore</v>
          </cell>
          <cell r="Y1267" t="str">
            <v>Mazumdar Shaw Medical Centre, Bangalore</v>
          </cell>
          <cell r="Z1267" t="str">
            <v>Dr Vijay Pillai, Bangalore</v>
          </cell>
          <cell r="AA1267" t="str">
            <v>HNSCC</v>
          </cell>
          <cell r="AB1267" t="str">
            <v>NA</v>
          </cell>
          <cell r="AC1267" t="str">
            <v>Maxilla</v>
          </cell>
          <cell r="AD1267" t="str">
            <v>Left Posterior Maxilla</v>
          </cell>
          <cell r="AE1267" t="str">
            <v>Female</v>
          </cell>
          <cell r="AF1267">
            <v>57</v>
          </cell>
          <cell r="AG1267" t="str">
            <v>N</v>
          </cell>
          <cell r="AH1267">
            <v>5.8</v>
          </cell>
          <cell r="AI1267" t="str">
            <v>Maruti</v>
          </cell>
          <cell r="AJ1267" t="str">
            <v>Surgery</v>
          </cell>
          <cell r="AK1267" t="str">
            <v>Primary</v>
          </cell>
          <cell r="AL1267" t="str">
            <v>NA</v>
          </cell>
          <cell r="AN1267" t="str">
            <v>IV</v>
          </cell>
          <cell r="AV1267">
            <v>45666</v>
          </cell>
          <cell r="AW1267">
            <v>0.70833333333333337</v>
          </cell>
          <cell r="AX1267">
            <v>0.79166666666666663</v>
          </cell>
          <cell r="AY1267">
            <v>8.3333333333333329E-2</v>
          </cell>
          <cell r="AZ1267">
            <v>0.68958333333333333</v>
          </cell>
          <cell r="BA1267">
            <v>0.2076388888888889</v>
          </cell>
          <cell r="BB1267" t="str">
            <v>0.3-0.9*1.0-1.6*1.2-1.4</v>
          </cell>
          <cell r="BC1267" t="str">
            <v>NA</v>
          </cell>
          <cell r="BD1267" t="str">
            <v>Vibratome</v>
          </cell>
          <cell r="BE1267">
            <v>15</v>
          </cell>
          <cell r="BF1267" t="str">
            <v>Mouniss</v>
          </cell>
          <cell r="BG1267" t="str">
            <v>Y</v>
          </cell>
        </row>
        <row r="1268">
          <cell r="A1268" t="str">
            <v>FBR1K250010</v>
          </cell>
          <cell r="B1268">
            <v>250010</v>
          </cell>
          <cell r="C1268" t="str">
            <v>R&amp;D</v>
          </cell>
          <cell r="D1268">
            <v>45666</v>
          </cell>
          <cell r="E1268">
            <v>0.58402777777777781</v>
          </cell>
          <cell r="F1268">
            <v>45658</v>
          </cell>
          <cell r="G1268">
            <v>45666</v>
          </cell>
          <cell r="H1268">
            <v>0.68611111111111112</v>
          </cell>
          <cell r="I1268">
            <v>0.10208333333333333</v>
          </cell>
          <cell r="J1268">
            <v>19</v>
          </cell>
          <cell r="K1268" t="str">
            <v>FCB-PROTOCOL-02</v>
          </cell>
          <cell r="L1268" t="str">
            <v>HN196</v>
          </cell>
          <cell r="M1268" t="str">
            <v>Y</v>
          </cell>
          <cell r="N1268" t="str">
            <v>DMS_v4(1K)</v>
          </cell>
          <cell r="O1268" t="str">
            <v>Internal R&amp;D</v>
          </cell>
          <cell r="P1268" t="str">
            <v>Q1 Passed</v>
          </cell>
          <cell r="Q1268" t="str">
            <v>Q1 Passed</v>
          </cell>
          <cell r="R1268" t="str">
            <v>Q1.5 Passed</v>
          </cell>
          <cell r="S1268" t="str">
            <v>Qualified</v>
          </cell>
          <cell r="T1268" t="str">
            <v>Nil</v>
          </cell>
          <cell r="U1268" t="str">
            <v>NA</v>
          </cell>
          <cell r="V1268" t="str">
            <v>Tumor content 70-90%</v>
          </cell>
          <cell r="W1268" t="str">
            <v>Private Hospital</v>
          </cell>
          <cell r="X1268" t="str">
            <v>Mazumdar Shaw Medical Centre, Bangalore</v>
          </cell>
          <cell r="Y1268" t="str">
            <v>Mazumdar Shaw Medical Centre, Bangalore</v>
          </cell>
          <cell r="Z1268" t="str">
            <v>Dr Vijay Pillai, Bangalore</v>
          </cell>
          <cell r="AA1268" t="str">
            <v>HNSCC</v>
          </cell>
          <cell r="AB1268" t="str">
            <v>NA</v>
          </cell>
          <cell r="AC1268" t="str">
            <v>Maxilla</v>
          </cell>
          <cell r="AD1268" t="str">
            <v>Left Posterior Maxilla</v>
          </cell>
          <cell r="AE1268" t="str">
            <v>Female</v>
          </cell>
          <cell r="AF1268">
            <v>57</v>
          </cell>
          <cell r="AG1268" t="str">
            <v>N</v>
          </cell>
          <cell r="AH1268">
            <v>5.8</v>
          </cell>
          <cell r="AI1268" t="str">
            <v>Maruti</v>
          </cell>
          <cell r="AJ1268" t="str">
            <v>Surgery</v>
          </cell>
          <cell r="AK1268" t="str">
            <v>Primary</v>
          </cell>
          <cell r="AL1268" t="str">
            <v>NA</v>
          </cell>
          <cell r="AN1268" t="str">
            <v>IV</v>
          </cell>
          <cell r="AV1268">
            <v>45666</v>
          </cell>
          <cell r="AW1268">
            <v>0.70833333333333337</v>
          </cell>
          <cell r="AX1268">
            <v>0.82291666666666663</v>
          </cell>
          <cell r="AY1268">
            <v>0.11458333333333333</v>
          </cell>
          <cell r="AZ1268">
            <v>0.72083333333333333</v>
          </cell>
          <cell r="BA1268">
            <v>0.2388888888888889</v>
          </cell>
          <cell r="BB1268" t="str">
            <v>0.3-0.9*1.0-1.6*1.2-1.4</v>
          </cell>
          <cell r="BC1268" t="str">
            <v>NA</v>
          </cell>
          <cell r="BD1268" t="str">
            <v>Vibratome</v>
          </cell>
          <cell r="BE1268">
            <v>15</v>
          </cell>
          <cell r="BF1268" t="str">
            <v>Mouniss</v>
          </cell>
          <cell r="BG1268" t="str">
            <v>Y</v>
          </cell>
        </row>
        <row r="1269">
          <cell r="A1269" t="str">
            <v>FBR2F250010</v>
          </cell>
          <cell r="B1269">
            <v>250010</v>
          </cell>
          <cell r="C1269" t="str">
            <v>R&amp;D</v>
          </cell>
          <cell r="D1269">
            <v>45666</v>
          </cell>
          <cell r="E1269">
            <v>0.58402777777777781</v>
          </cell>
          <cell r="F1269">
            <v>45658</v>
          </cell>
          <cell r="G1269">
            <v>45666</v>
          </cell>
          <cell r="H1269">
            <v>0.68611111111111112</v>
          </cell>
          <cell r="I1269">
            <v>0.10208333333333333</v>
          </cell>
          <cell r="J1269">
            <v>19</v>
          </cell>
          <cell r="K1269" t="str">
            <v>FCB-PROTOCOL-02</v>
          </cell>
          <cell r="L1269" t="str">
            <v>HN196</v>
          </cell>
          <cell r="M1269" t="str">
            <v>Y</v>
          </cell>
          <cell r="N1269" t="str">
            <v>ECR (2F)</v>
          </cell>
          <cell r="O1269" t="str">
            <v>Internal R&amp;D</v>
          </cell>
          <cell r="P1269" t="str">
            <v>Q1 Passed</v>
          </cell>
          <cell r="Q1269" t="str">
            <v>Q1 Passed</v>
          </cell>
          <cell r="R1269" t="str">
            <v>Q1.5 Passed</v>
          </cell>
          <cell r="S1269" t="str">
            <v>Qualified</v>
          </cell>
          <cell r="T1269" t="str">
            <v>Nil</v>
          </cell>
          <cell r="U1269" t="str">
            <v>NA</v>
          </cell>
          <cell r="V1269" t="str">
            <v>Tumor content 70-90%</v>
          </cell>
          <cell r="W1269" t="str">
            <v>Private Hospital</v>
          </cell>
          <cell r="X1269" t="str">
            <v>Mazumdar Shaw Medical Centre, Bangalore</v>
          </cell>
          <cell r="Y1269" t="str">
            <v>Mazumdar Shaw Medical Centre, Bangalore</v>
          </cell>
          <cell r="Z1269" t="str">
            <v>Dr Vijay Pillai, Bangalore</v>
          </cell>
          <cell r="AA1269" t="str">
            <v>HNSCC</v>
          </cell>
          <cell r="AB1269" t="str">
            <v>NA</v>
          </cell>
          <cell r="AC1269" t="str">
            <v>Maxilla</v>
          </cell>
          <cell r="AD1269" t="str">
            <v>Left Posterior Maxilla</v>
          </cell>
          <cell r="AE1269" t="str">
            <v>Female</v>
          </cell>
          <cell r="AF1269">
            <v>57</v>
          </cell>
          <cell r="AG1269" t="str">
            <v>N</v>
          </cell>
          <cell r="AH1269">
            <v>5.8</v>
          </cell>
          <cell r="AI1269" t="str">
            <v>Maruti</v>
          </cell>
          <cell r="AJ1269" t="str">
            <v>Surgery</v>
          </cell>
          <cell r="AK1269" t="str">
            <v>Primary</v>
          </cell>
          <cell r="AL1269" t="str">
            <v>NA</v>
          </cell>
          <cell r="AN1269" t="str">
            <v>IV</v>
          </cell>
          <cell r="AV1269">
            <v>45666</v>
          </cell>
          <cell r="AW1269">
            <v>0.70833333333333337</v>
          </cell>
          <cell r="AX1269">
            <v>0.82291666666666663</v>
          </cell>
          <cell r="AY1269">
            <v>0.11458333333333333</v>
          </cell>
          <cell r="AZ1269">
            <v>0.72083333333333333</v>
          </cell>
          <cell r="BA1269">
            <v>0.2388888888888889</v>
          </cell>
          <cell r="BB1269" t="str">
            <v>0.3-0.9*1.0-1.6*1.2-1.4</v>
          </cell>
          <cell r="BC1269" t="str">
            <v>NA</v>
          </cell>
          <cell r="BD1269" t="str">
            <v>Vibratome</v>
          </cell>
          <cell r="BE1269">
            <v>15</v>
          </cell>
          <cell r="BF1269" t="str">
            <v>Mouniss</v>
          </cell>
          <cell r="BG1269" t="str">
            <v>Y</v>
          </cell>
        </row>
        <row r="1270">
          <cell r="A1270" t="str">
            <v>FBB1M250011</v>
          </cell>
          <cell r="B1270">
            <v>250011</v>
          </cell>
          <cell r="C1270" t="str">
            <v>Biopharma</v>
          </cell>
          <cell r="D1270">
            <v>45667</v>
          </cell>
          <cell r="E1270">
            <v>0.45555555555555555</v>
          </cell>
          <cell r="F1270">
            <v>45658</v>
          </cell>
          <cell r="G1270">
            <v>45667</v>
          </cell>
          <cell r="H1270">
            <v>0.59513888888888888</v>
          </cell>
          <cell r="I1270">
            <v>0.13958333333333334</v>
          </cell>
          <cell r="J1270">
            <v>2</v>
          </cell>
          <cell r="K1270" t="str">
            <v>FCB-PROTOCOL-01</v>
          </cell>
          <cell r="L1270" t="str">
            <v>VYD/346</v>
          </cell>
          <cell r="M1270" t="str">
            <v>Y</v>
          </cell>
          <cell r="N1270" t="str">
            <v>BP011 (1M)</v>
          </cell>
          <cell r="O1270" t="str">
            <v>Biopharma</v>
          </cell>
          <cell r="P1270" t="str">
            <v>Q1 Passed</v>
          </cell>
          <cell r="Q1270" t="str">
            <v>Q1 Passed</v>
          </cell>
          <cell r="R1270" t="str">
            <v>Q1.5 Passed</v>
          </cell>
          <cell r="S1270" t="str">
            <v>Qualified</v>
          </cell>
          <cell r="T1270" t="str">
            <v>Nil</v>
          </cell>
          <cell r="U1270" t="str">
            <v>NA</v>
          </cell>
          <cell r="V1270" t="str">
            <v>Tumor content 12-85%.</v>
          </cell>
          <cell r="W1270" t="str">
            <v>Private Hospital</v>
          </cell>
          <cell r="X1270" t="str">
            <v>Vydehi Hospital, Bangalore</v>
          </cell>
          <cell r="Y1270" t="str">
            <v>Vydehi Hospital, Bangalore</v>
          </cell>
          <cell r="Z1270" t="str">
            <v>Dr Amritha Prabha, Bangalore</v>
          </cell>
          <cell r="AA1270" t="str">
            <v>HNSCC</v>
          </cell>
          <cell r="AB1270" t="str">
            <v>NA</v>
          </cell>
          <cell r="AC1270" t="str">
            <v>Buccal Mucosa</v>
          </cell>
          <cell r="AD1270" t="str">
            <v>Left Buccal Mucosa</v>
          </cell>
          <cell r="AE1270" t="str">
            <v>Male</v>
          </cell>
          <cell r="AF1270">
            <v>79</v>
          </cell>
          <cell r="AG1270" t="str">
            <v>N</v>
          </cell>
          <cell r="AH1270">
            <v>5.3</v>
          </cell>
          <cell r="AI1270" t="str">
            <v>Kalappa</v>
          </cell>
          <cell r="AJ1270" t="str">
            <v>Surgery</v>
          </cell>
          <cell r="AK1270" t="str">
            <v>Primary</v>
          </cell>
          <cell r="AL1270" t="str">
            <v>NA</v>
          </cell>
          <cell r="AV1270">
            <v>45667</v>
          </cell>
          <cell r="AW1270">
            <v>0.60972222222222228</v>
          </cell>
          <cell r="AX1270">
            <v>0.67986111111111114</v>
          </cell>
          <cell r="AY1270">
            <v>7.013888888888889E-2</v>
          </cell>
          <cell r="AZ1270">
            <v>0.54027777777777775</v>
          </cell>
          <cell r="BA1270">
            <v>0.22430555555555556</v>
          </cell>
          <cell r="BB1270" t="str">
            <v>0.6*0.8*0.8</v>
          </cell>
          <cell r="BC1270" t="str">
            <v>NA</v>
          </cell>
          <cell r="BD1270" t="str">
            <v>Vibratome</v>
          </cell>
          <cell r="BE1270">
            <v>15</v>
          </cell>
          <cell r="BF1270" t="str">
            <v>Dharani</v>
          </cell>
          <cell r="BG1270" t="str">
            <v>Y</v>
          </cell>
        </row>
        <row r="1271">
          <cell r="A1271" t="str">
            <v>FBR2O250012</v>
          </cell>
          <cell r="B1271">
            <v>250012</v>
          </cell>
          <cell r="C1271" t="str">
            <v>R&amp;D</v>
          </cell>
          <cell r="D1271">
            <v>45667</v>
          </cell>
          <cell r="E1271">
            <v>0.5</v>
          </cell>
          <cell r="F1271">
            <v>45658</v>
          </cell>
          <cell r="G1271">
            <v>45667</v>
          </cell>
          <cell r="H1271">
            <v>0.67222222222222228</v>
          </cell>
          <cell r="I1271">
            <v>0.17222222222222222</v>
          </cell>
          <cell r="J1271">
            <v>0</v>
          </cell>
          <cell r="K1271" t="str">
            <v>FCB-PROTOCOL-01</v>
          </cell>
          <cell r="L1271" t="str">
            <v>KH-002</v>
          </cell>
          <cell r="M1271" t="str">
            <v>Y</v>
          </cell>
          <cell r="N1271" t="str">
            <v>Prostate Biopsy (2O)</v>
          </cell>
          <cell r="O1271" t="str">
            <v>Internal R&amp;D</v>
          </cell>
          <cell r="P1271" t="str">
            <v>Q1 Passed</v>
          </cell>
          <cell r="Q1271" t="str">
            <v>Q1 Passed</v>
          </cell>
          <cell r="R1271" t="str">
            <v>Q1.5 Passed</v>
          </cell>
          <cell r="S1271" t="str">
            <v>Qualified</v>
          </cell>
          <cell r="T1271" t="str">
            <v>Nil</v>
          </cell>
          <cell r="U1271" t="str">
            <v>NA</v>
          </cell>
          <cell r="V1271" t="str">
            <v>35% tumor in one explant only, others no tumor</v>
          </cell>
          <cell r="W1271" t="str">
            <v>Private Hospital</v>
          </cell>
          <cell r="X1271" t="str">
            <v>Kauvery Hospital, Elelctronic city bangalore</v>
          </cell>
          <cell r="Y1271" t="str">
            <v>Kauvery Hospital, Elelctronic city bangalore</v>
          </cell>
          <cell r="Z1271" t="str">
            <v>Dr Sreeharsha</v>
          </cell>
          <cell r="AA1271" t="str">
            <v>RCC</v>
          </cell>
          <cell r="AB1271" t="str">
            <v>NA</v>
          </cell>
          <cell r="AC1271" t="str">
            <v>Prostate</v>
          </cell>
          <cell r="AD1271" t="str">
            <v>Prostate</v>
          </cell>
          <cell r="AE1271" t="str">
            <v>Male</v>
          </cell>
          <cell r="AF1271">
            <v>90</v>
          </cell>
          <cell r="AG1271" t="str">
            <v>N</v>
          </cell>
          <cell r="AH1271">
            <v>6.1</v>
          </cell>
          <cell r="AI1271" t="str">
            <v>Maruthi</v>
          </cell>
          <cell r="AJ1271" t="str">
            <v>Biopsy</v>
          </cell>
          <cell r="AK1271" t="str">
            <v>Primary</v>
          </cell>
          <cell r="AL1271" t="str">
            <v>NA</v>
          </cell>
          <cell r="AV1271">
            <v>45667</v>
          </cell>
          <cell r="AW1271">
            <v>0.68819444444444444</v>
          </cell>
          <cell r="AX1271">
            <v>0.71875</v>
          </cell>
          <cell r="AY1271">
            <v>3.0555555555555555E-2</v>
          </cell>
          <cell r="AZ1271">
            <v>0.54652777777777772</v>
          </cell>
          <cell r="BA1271">
            <v>0.21875</v>
          </cell>
          <cell r="BB1271" t="str">
            <v>0.1-1.2, 6, 8, 4</v>
          </cell>
          <cell r="BC1271" t="str">
            <v>NA</v>
          </cell>
          <cell r="BD1271" t="str">
            <v>Manual</v>
          </cell>
          <cell r="BE1271">
            <v>15</v>
          </cell>
          <cell r="BF1271" t="str">
            <v>Syam</v>
          </cell>
          <cell r="BG1271" t="str">
            <v>Y</v>
          </cell>
        </row>
        <row r="1272">
          <cell r="A1272" t="str">
            <v>FBB1M250013</v>
          </cell>
          <cell r="B1272">
            <v>250013</v>
          </cell>
          <cell r="C1272" t="str">
            <v>Biopharma</v>
          </cell>
          <cell r="D1272">
            <v>45667</v>
          </cell>
          <cell r="E1272">
            <v>0.64236111111111116</v>
          </cell>
          <cell r="F1272">
            <v>45658</v>
          </cell>
          <cell r="G1272">
            <v>45667</v>
          </cell>
          <cell r="H1272">
            <v>0.6875</v>
          </cell>
          <cell r="I1272">
            <v>4.5138888888888888E-2</v>
          </cell>
          <cell r="J1272">
            <v>3</v>
          </cell>
          <cell r="K1272" t="str">
            <v>FCB-PROTOCOL-01</v>
          </cell>
          <cell r="L1272" t="str">
            <v>CLN/PRA/282</v>
          </cell>
          <cell r="M1272" t="str">
            <v>Y</v>
          </cell>
          <cell r="N1272" t="str">
            <v>BP011 (1M)</v>
          </cell>
          <cell r="O1272" t="str">
            <v>Biopharma</v>
          </cell>
          <cell r="P1272" t="str">
            <v>Q1 Passed</v>
          </cell>
          <cell r="Q1272" t="str">
            <v>Q1 Passed</v>
          </cell>
          <cell r="R1272" t="str">
            <v>Q1.5 Rejected</v>
          </cell>
          <cell r="S1272" t="str">
            <v>Rejected</v>
          </cell>
          <cell r="T1272" t="str">
            <v>Nil</v>
          </cell>
          <cell r="U1272" t="str">
            <v>NA</v>
          </cell>
          <cell r="V1272" t="str">
            <v>Most fragments show reactive stromal cells and immune cells. No tumor</v>
          </cell>
          <cell r="W1272" t="str">
            <v>Private Hospital</v>
          </cell>
          <cell r="X1272" t="str">
            <v>Dr Prakash BV, Bangalore</v>
          </cell>
          <cell r="Y1272" t="str">
            <v>Mallige</v>
          </cell>
          <cell r="Z1272" t="str">
            <v>Dr Prakash BV, Bangalore</v>
          </cell>
          <cell r="AA1272" t="str">
            <v>HNSCC</v>
          </cell>
          <cell r="AB1272" t="str">
            <v>NA</v>
          </cell>
          <cell r="AC1272" t="str">
            <v>Hyphopharynx</v>
          </cell>
          <cell r="AD1272" t="str">
            <v>Hyphopharynx</v>
          </cell>
          <cell r="AE1272" t="str">
            <v>Female</v>
          </cell>
          <cell r="AF1272">
            <v>60</v>
          </cell>
          <cell r="AG1272" t="str">
            <v>N</v>
          </cell>
          <cell r="AH1272">
            <v>6.3</v>
          </cell>
          <cell r="AI1272" t="str">
            <v>Shashi</v>
          </cell>
          <cell r="AJ1272" t="str">
            <v>Surgery</v>
          </cell>
          <cell r="AK1272" t="str">
            <v>Primary</v>
          </cell>
          <cell r="AL1272" t="str">
            <v>NA</v>
          </cell>
          <cell r="AN1272" t="str">
            <v>III</v>
          </cell>
          <cell r="AO1272" t="str">
            <v>II</v>
          </cell>
          <cell r="AP1272" t="str">
            <v>pT3N0M0</v>
          </cell>
          <cell r="AV1272">
            <v>45667</v>
          </cell>
          <cell r="AW1272">
            <v>0.69861111111111107</v>
          </cell>
          <cell r="AX1272">
            <v>0.77986111111111112</v>
          </cell>
          <cell r="AY1272">
            <v>8.1250000000000003E-2</v>
          </cell>
          <cell r="AZ1272">
            <v>0.73472222222222228</v>
          </cell>
          <cell r="BA1272">
            <v>0.13750000000000001</v>
          </cell>
          <cell r="BB1272" t="str">
            <v>0.8-1.4*1.0-1.4*1.8-2.6</v>
          </cell>
          <cell r="BC1272" t="str">
            <v>NA</v>
          </cell>
          <cell r="BD1272" t="str">
            <v>Vibratome</v>
          </cell>
          <cell r="BE1272">
            <v>15</v>
          </cell>
          <cell r="BF1272" t="str">
            <v>Mouniss</v>
          </cell>
          <cell r="BG1272" t="str">
            <v>Y</v>
          </cell>
        </row>
        <row r="1273">
          <cell r="A1273" t="str">
            <v>FBR2O250014</v>
          </cell>
          <cell r="B1273">
            <v>250014</v>
          </cell>
          <cell r="C1273" t="str">
            <v>R&amp;D</v>
          </cell>
          <cell r="D1273">
            <v>45668</v>
          </cell>
          <cell r="E1273">
            <v>0.45833333333333331</v>
          </cell>
          <cell r="F1273">
            <v>45658</v>
          </cell>
          <cell r="G1273">
            <v>45668</v>
          </cell>
          <cell r="H1273">
            <v>0.63402777777777775</v>
          </cell>
          <cell r="I1273">
            <v>0.17569444444444443</v>
          </cell>
          <cell r="J1273">
            <v>30</v>
          </cell>
          <cell r="K1273" t="str">
            <v>FCB-PROTOCOL-01</v>
          </cell>
          <cell r="L1273" t="str">
            <v>KH-003</v>
          </cell>
          <cell r="M1273" t="str">
            <v>Y</v>
          </cell>
          <cell r="N1273" t="str">
            <v>Prostate Biopsy (2O)</v>
          </cell>
          <cell r="O1273" t="str">
            <v>Internal R&amp;D</v>
          </cell>
          <cell r="P1273" t="str">
            <v>Q1 Passed</v>
          </cell>
          <cell r="Q1273" t="str">
            <v>Q1 Passed</v>
          </cell>
          <cell r="R1273" t="str">
            <v>Q1.5 Rejected</v>
          </cell>
          <cell r="S1273" t="str">
            <v>Rejected</v>
          </cell>
          <cell r="T1273" t="str">
            <v>Nil</v>
          </cell>
          <cell r="U1273" t="str">
            <v>NA</v>
          </cell>
          <cell r="V1273" t="str">
            <v>Fragments show benign glands, no tumor</v>
          </cell>
          <cell r="W1273" t="str">
            <v>Private Hospital</v>
          </cell>
          <cell r="X1273" t="str">
            <v>Kauvery Hospital, Elelctronic city bangalore</v>
          </cell>
          <cell r="Y1273" t="str">
            <v>Kauvery Hospital, Elelctronic city bangalore</v>
          </cell>
          <cell r="Z1273" t="str">
            <v>Dr Sreeharsha</v>
          </cell>
          <cell r="AA1273" t="str">
            <v>RCC</v>
          </cell>
          <cell r="AB1273" t="str">
            <v>NA</v>
          </cell>
          <cell r="AC1273" t="str">
            <v>Prostate</v>
          </cell>
          <cell r="AD1273" t="str">
            <v>Prostate</v>
          </cell>
          <cell r="AE1273" t="str">
            <v>Male</v>
          </cell>
          <cell r="AF1273">
            <v>69</v>
          </cell>
          <cell r="AG1273" t="str">
            <v>N</v>
          </cell>
          <cell r="AH1273">
            <v>5.6</v>
          </cell>
          <cell r="AI1273" t="str">
            <v>Maruthi</v>
          </cell>
          <cell r="AJ1273" t="str">
            <v>Surgery</v>
          </cell>
          <cell r="AK1273" t="str">
            <v>Primary</v>
          </cell>
          <cell r="AL1273" t="str">
            <v>NA</v>
          </cell>
          <cell r="AV1273">
            <v>45668</v>
          </cell>
          <cell r="AW1273">
            <v>0.65138888888888891</v>
          </cell>
          <cell r="AX1273">
            <v>0.71805555555555556</v>
          </cell>
          <cell r="AY1273">
            <v>6.6666666666666666E-2</v>
          </cell>
          <cell r="AZ1273">
            <v>0.54236111111111107</v>
          </cell>
          <cell r="BA1273">
            <v>0.25972222222222224</v>
          </cell>
          <cell r="BB1273" t="str">
            <v>0.4-0.7*1.2*1.4</v>
          </cell>
          <cell r="BC1273" t="str">
            <v>NA</v>
          </cell>
          <cell r="BD1273" t="str">
            <v>Vibratome</v>
          </cell>
          <cell r="BE1273">
            <v>15</v>
          </cell>
          <cell r="BF1273" t="str">
            <v>Dharani</v>
          </cell>
          <cell r="BG1273" t="str">
            <v>Y</v>
          </cell>
        </row>
        <row r="1274">
          <cell r="A1274" t="str">
            <v>FBB1M250015</v>
          </cell>
          <cell r="B1274">
            <v>250015</v>
          </cell>
          <cell r="C1274" t="str">
            <v>Biopharma</v>
          </cell>
          <cell r="D1274">
            <v>45670</v>
          </cell>
          <cell r="E1274">
            <v>0.48194444444444445</v>
          </cell>
          <cell r="F1274">
            <v>45658</v>
          </cell>
          <cell r="G1274">
            <v>45670</v>
          </cell>
          <cell r="H1274">
            <v>0.61805555555555558</v>
          </cell>
          <cell r="I1274">
            <v>0.1361111111111111</v>
          </cell>
          <cell r="J1274">
            <v>3</v>
          </cell>
          <cell r="K1274" t="str">
            <v>FCB-PROTOCOL-01</v>
          </cell>
          <cell r="L1274" t="str">
            <v>VYD/347</v>
          </cell>
          <cell r="M1274" t="str">
            <v>Y</v>
          </cell>
          <cell r="N1274" t="str">
            <v>BP011 (1M)</v>
          </cell>
          <cell r="O1274" t="str">
            <v>Biopharma</v>
          </cell>
          <cell r="P1274" t="str">
            <v>Q1 Passed</v>
          </cell>
          <cell r="Q1274" t="str">
            <v>Q1 Passed</v>
          </cell>
          <cell r="R1274" t="str">
            <v>Q1.5 Passed</v>
          </cell>
          <cell r="S1274" t="str">
            <v>Qualified</v>
          </cell>
          <cell r="T1274" t="str">
            <v>Nil</v>
          </cell>
          <cell r="U1274" t="str">
            <v>NA</v>
          </cell>
          <cell r="V1274" t="str">
            <v>Tumor content 0-65%. Average tumor content 25%</v>
          </cell>
          <cell r="W1274" t="str">
            <v>Private Hospital</v>
          </cell>
          <cell r="X1274" t="str">
            <v>Vydehi Hospital, Bangalore</v>
          </cell>
          <cell r="Y1274" t="str">
            <v>Vydehi Hospital, Bangalore</v>
          </cell>
          <cell r="Z1274" t="str">
            <v>Dr Amritha Prabha, Bangalore</v>
          </cell>
          <cell r="AA1274" t="str">
            <v>HNSCC</v>
          </cell>
          <cell r="AB1274" t="str">
            <v>NA</v>
          </cell>
          <cell r="AC1274" t="str">
            <v>Buccal Mucosa</v>
          </cell>
          <cell r="AD1274" t="str">
            <v>Left Buccal Mucosa</v>
          </cell>
          <cell r="AE1274" t="str">
            <v>Female</v>
          </cell>
          <cell r="AF1274">
            <v>51</v>
          </cell>
          <cell r="AG1274" t="str">
            <v>N</v>
          </cell>
          <cell r="AH1274">
            <v>5.3</v>
          </cell>
          <cell r="AI1274" t="str">
            <v>Maruthi</v>
          </cell>
          <cell r="AJ1274" t="str">
            <v>Surgery</v>
          </cell>
          <cell r="AK1274" t="str">
            <v>Primary</v>
          </cell>
          <cell r="AL1274" t="str">
            <v>Surgery</v>
          </cell>
          <cell r="AV1274">
            <v>45670</v>
          </cell>
          <cell r="AW1274">
            <v>0.63124999999999998</v>
          </cell>
          <cell r="AX1274">
            <v>0.71388888888888891</v>
          </cell>
          <cell r="AY1274">
            <v>8.2638888888888887E-2</v>
          </cell>
          <cell r="AZ1274">
            <v>0.57777777777777772</v>
          </cell>
          <cell r="BA1274">
            <v>0.23194444444444445</v>
          </cell>
          <cell r="BB1274" t="str">
            <v>0.6-0.9*1.6*1.8</v>
          </cell>
          <cell r="BC1274" t="str">
            <v>0.6-0.4*1.6*1.4</v>
          </cell>
          <cell r="BD1274" t="str">
            <v>Vibratome</v>
          </cell>
          <cell r="BE1274">
            <v>15</v>
          </cell>
          <cell r="BF1274" t="str">
            <v>Syam</v>
          </cell>
          <cell r="BG1274" t="str">
            <v>Y</v>
          </cell>
        </row>
        <row r="1275">
          <cell r="A1275" t="str">
            <v>FBR2S250016</v>
          </cell>
          <cell r="B1275">
            <v>250016</v>
          </cell>
          <cell r="C1275" t="str">
            <v>R&amp;D</v>
          </cell>
          <cell r="D1275">
            <v>45670</v>
          </cell>
          <cell r="E1275">
            <v>0.61250000000000004</v>
          </cell>
          <cell r="F1275">
            <v>45658</v>
          </cell>
          <cell r="G1275">
            <v>45670</v>
          </cell>
          <cell r="H1275">
            <v>0.65208333333333335</v>
          </cell>
          <cell r="I1275">
            <v>3.9583333333333331E-2</v>
          </cell>
          <cell r="J1275">
            <v>3</v>
          </cell>
          <cell r="K1275" t="str">
            <v>FCB-PROTOCOL-01</v>
          </cell>
          <cell r="L1275" t="str">
            <v>CLN/PRA/283</v>
          </cell>
          <cell r="M1275" t="str">
            <v>Y</v>
          </cell>
          <cell r="N1275" t="str">
            <v>Cos V1 (2S)</v>
          </cell>
          <cell r="O1275" t="str">
            <v>Internal R&amp;D</v>
          </cell>
          <cell r="P1275" t="str">
            <v>Q1 Passed</v>
          </cell>
          <cell r="Q1275" t="str">
            <v>Q1 Passed</v>
          </cell>
          <cell r="R1275" t="str">
            <v>Q1.5 Rejected</v>
          </cell>
          <cell r="S1275" t="str">
            <v>Rejected</v>
          </cell>
          <cell r="T1275" t="str">
            <v>Contaminated</v>
          </cell>
          <cell r="U1275" t="str">
            <v>NA</v>
          </cell>
          <cell r="V1275" t="str">
            <v>Tumor content 0-45%. Average tumor content 25%</v>
          </cell>
          <cell r="W1275" t="str">
            <v>Private Hospital</v>
          </cell>
          <cell r="X1275" t="str">
            <v>Dr Prakash BV, Bangalore</v>
          </cell>
          <cell r="Y1275" t="str">
            <v>Mallige</v>
          </cell>
          <cell r="Z1275" t="str">
            <v>Dr Prakash BV, Bangalore</v>
          </cell>
          <cell r="AA1275" t="str">
            <v>CRC</v>
          </cell>
          <cell r="AC1275" t="str">
            <v>Sigmoid Colon</v>
          </cell>
          <cell r="AD1275" t="str">
            <v>Sigmoid Colon</v>
          </cell>
          <cell r="AE1275" t="str">
            <v>Female</v>
          </cell>
          <cell r="AF1275">
            <v>50</v>
          </cell>
          <cell r="AG1275" t="str">
            <v>N</v>
          </cell>
          <cell r="AH1275">
            <v>6.1</v>
          </cell>
          <cell r="AI1275" t="str">
            <v>Shashi</v>
          </cell>
          <cell r="AJ1275" t="str">
            <v>Surgery</v>
          </cell>
          <cell r="AK1275" t="str">
            <v>Primary</v>
          </cell>
          <cell r="AL1275" t="str">
            <v>NA</v>
          </cell>
          <cell r="AN1275" t="str">
            <v>III</v>
          </cell>
          <cell r="AO1275" t="str">
            <v>II</v>
          </cell>
          <cell r="AP1275" t="str">
            <v>pT4N0M0</v>
          </cell>
          <cell r="AV1275">
            <v>45670</v>
          </cell>
          <cell r="AW1275">
            <v>0.66874999999999996</v>
          </cell>
          <cell r="AX1275">
            <v>0.77430555555555558</v>
          </cell>
          <cell r="AY1275">
            <v>0.10555555555555556</v>
          </cell>
          <cell r="AZ1275">
            <v>0.73472222222222228</v>
          </cell>
          <cell r="BA1275">
            <v>0.16180555555555556</v>
          </cell>
          <cell r="BB1275" t="str">
            <v>1.0*1.2*1.6</v>
          </cell>
          <cell r="BC1275" t="str">
            <v>NA</v>
          </cell>
          <cell r="BD1275" t="str">
            <v>Vibratome</v>
          </cell>
          <cell r="BE1275">
            <v>13</v>
          </cell>
          <cell r="BF1275" t="str">
            <v>Abdul</v>
          </cell>
          <cell r="BG1275" t="str">
            <v>Y</v>
          </cell>
        </row>
        <row r="1276">
          <cell r="A1276" t="str">
            <v>FBR2S250017</v>
          </cell>
          <cell r="B1276">
            <v>250017</v>
          </cell>
          <cell r="C1276" t="str">
            <v>R&amp;D</v>
          </cell>
          <cell r="D1276">
            <v>45670</v>
          </cell>
          <cell r="E1276">
            <v>0.86041666666666672</v>
          </cell>
          <cell r="F1276">
            <v>45658</v>
          </cell>
          <cell r="G1276">
            <v>45670</v>
          </cell>
          <cell r="H1276">
            <v>0.91180555555555554</v>
          </cell>
          <cell r="I1276">
            <v>5.1388888888888887E-2</v>
          </cell>
          <cell r="J1276">
            <v>1</v>
          </cell>
          <cell r="K1276" t="str">
            <v>FCB-PROTOCOL-01</v>
          </cell>
          <cell r="L1276" t="str">
            <v>VYD/348</v>
          </cell>
          <cell r="M1276" t="str">
            <v>Y</v>
          </cell>
          <cell r="N1276" t="str">
            <v>Cos V1 (2S)</v>
          </cell>
          <cell r="O1276" t="str">
            <v>Internal R&amp;D</v>
          </cell>
          <cell r="P1276" t="str">
            <v>Q1 Passed</v>
          </cell>
          <cell r="Q1276" t="str">
            <v>Q1 Passed</v>
          </cell>
          <cell r="R1276" t="str">
            <v>Q1.5 Rejected</v>
          </cell>
          <cell r="S1276" t="str">
            <v>Rejected</v>
          </cell>
          <cell r="T1276" t="str">
            <v>Contaminated</v>
          </cell>
          <cell r="U1276" t="str">
            <v>NA</v>
          </cell>
          <cell r="V1276" t="str">
            <v>Tumor content 2-60%</v>
          </cell>
          <cell r="W1276" t="str">
            <v>Private Hospital</v>
          </cell>
          <cell r="X1276" t="str">
            <v>Vydehi Hospital, Bangalore</v>
          </cell>
          <cell r="Y1276" t="str">
            <v>Vydehi Hospital, Bangalore</v>
          </cell>
          <cell r="Z1276" t="str">
            <v>Dr Amritha Prabha, Bangalore</v>
          </cell>
          <cell r="AA1276" t="str">
            <v>CRC</v>
          </cell>
          <cell r="AC1276" t="str">
            <v>Ascending Colon</v>
          </cell>
          <cell r="AD1276" t="str">
            <v>Ascending Colon</v>
          </cell>
          <cell r="AE1276" t="str">
            <v>Female</v>
          </cell>
          <cell r="AF1276">
            <v>43</v>
          </cell>
          <cell r="AG1276" t="str">
            <v>N</v>
          </cell>
          <cell r="AH1276">
            <v>6.8</v>
          </cell>
          <cell r="AI1276" t="str">
            <v>Maruthi</v>
          </cell>
          <cell r="AJ1276" t="str">
            <v>Surgery</v>
          </cell>
          <cell r="AK1276" t="str">
            <v>Primary</v>
          </cell>
          <cell r="AL1276" t="str">
            <v>NA</v>
          </cell>
          <cell r="AV1276">
            <v>45671</v>
          </cell>
          <cell r="AW1276">
            <v>0.3298611111111111</v>
          </cell>
          <cell r="AX1276">
            <v>0.41249999999999998</v>
          </cell>
          <cell r="AY1276">
            <v>8.2638888888888887E-2</v>
          </cell>
          <cell r="AZ1276">
            <v>0.3611111111111111</v>
          </cell>
          <cell r="BA127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76" t="str">
            <v>0.8-1.0
0.8-0.6</v>
          </cell>
          <cell r="BC1276" t="str">
            <v>NA</v>
          </cell>
          <cell r="BD1276" t="str">
            <v>Vibratome</v>
          </cell>
          <cell r="BE1276">
            <v>13</v>
          </cell>
          <cell r="BF1276" t="str">
            <v>Syam</v>
          </cell>
          <cell r="BG1276" t="str">
            <v>Y</v>
          </cell>
        </row>
        <row r="1277">
          <cell r="A1277" t="str">
            <v>FBR1Y250018</v>
          </cell>
          <cell r="B1277">
            <v>250018</v>
          </cell>
          <cell r="C1277" t="str">
            <v>R&amp;D</v>
          </cell>
          <cell r="D1277">
            <v>45672</v>
          </cell>
          <cell r="E1277">
            <v>0.40625</v>
          </cell>
          <cell r="F1277">
            <v>45658</v>
          </cell>
          <cell r="G1277">
            <v>45672</v>
          </cell>
          <cell r="H1277">
            <v>0.52361111111111114</v>
          </cell>
          <cell r="I1277">
            <v>0.11736111111111111</v>
          </cell>
          <cell r="J1277">
            <v>5</v>
          </cell>
          <cell r="K1277" t="str">
            <v>FCB-PROTOCOL-01</v>
          </cell>
          <cell r="L1277" t="str">
            <v>VYD/349</v>
          </cell>
          <cell r="M1277" t="str">
            <v>Y</v>
          </cell>
          <cell r="N1277" t="str">
            <v>CCS Study (1Y)</v>
          </cell>
          <cell r="O1277" t="str">
            <v>Internal R&amp;D</v>
          </cell>
          <cell r="P1277" t="str">
            <v>Q1 Passed</v>
          </cell>
          <cell r="Q1277" t="str">
            <v>Q1 Passed</v>
          </cell>
          <cell r="R1277" t="str">
            <v>Q1.5 Passed</v>
          </cell>
          <cell r="S1277" t="str">
            <v>Qualified</v>
          </cell>
          <cell r="T1277" t="str">
            <v>Nil</v>
          </cell>
          <cell r="U1277" t="str">
            <v>NA</v>
          </cell>
          <cell r="V1277" t="str">
            <v>Tumor content 0-38%. Average tumor content 8%</v>
          </cell>
          <cell r="W1277" t="str">
            <v>Private Hospital</v>
          </cell>
          <cell r="X1277" t="str">
            <v>Vydehi Hospital, Bangalore</v>
          </cell>
          <cell r="Y1277" t="str">
            <v>Vydehi Hospital, Bangalore</v>
          </cell>
          <cell r="Z1277" t="str">
            <v>Dr Amritha Prabha, Bangalore</v>
          </cell>
          <cell r="AA1277" t="str">
            <v>HNSCC</v>
          </cell>
          <cell r="AB1277" t="str">
            <v>NA</v>
          </cell>
          <cell r="AC1277" t="str">
            <v>Central Arch</v>
          </cell>
          <cell r="AD1277" t="str">
            <v>Central Arch</v>
          </cell>
          <cell r="AE1277" t="str">
            <v>Male</v>
          </cell>
          <cell r="AF1277">
            <v>61</v>
          </cell>
          <cell r="AG1277" t="str">
            <v>N</v>
          </cell>
          <cell r="AH1277">
            <v>5.0999999999999996</v>
          </cell>
          <cell r="AI1277" t="str">
            <v>Maruthi</v>
          </cell>
          <cell r="AJ1277" t="str">
            <v>Surgery</v>
          </cell>
          <cell r="AK1277" t="str">
            <v>Primary</v>
          </cell>
          <cell r="AL1277" t="str">
            <v>NA</v>
          </cell>
          <cell r="AV1277">
            <v>45672</v>
          </cell>
          <cell r="AW1277">
            <v>0.54722222222222228</v>
          </cell>
          <cell r="AX1277">
            <v>0.61458333333333337</v>
          </cell>
          <cell r="AY1277">
            <v>6.7361111111111108E-2</v>
          </cell>
          <cell r="AZ1277">
            <v>0.49722222222222223</v>
          </cell>
          <cell r="BA1277">
            <v>0.20833333333333334</v>
          </cell>
          <cell r="BB1277" t="str">
            <v>0.4*0.6/0.8*0.6</v>
          </cell>
          <cell r="BC1277" t="str">
            <v>NA</v>
          </cell>
          <cell r="BD1277" t="str">
            <v>Vibratome</v>
          </cell>
          <cell r="BE1277">
            <v>15</v>
          </cell>
          <cell r="BF1277" t="str">
            <v>chandan</v>
          </cell>
          <cell r="BG1277" t="str">
            <v>Y</v>
          </cell>
        </row>
        <row r="1278">
          <cell r="A1278" t="str">
            <v>FBR1J250019</v>
          </cell>
          <cell r="B1278">
            <v>250019</v>
          </cell>
          <cell r="C1278" t="str">
            <v>R&amp;D</v>
          </cell>
          <cell r="D1278">
            <v>45673</v>
          </cell>
          <cell r="E1278">
            <v>0.54652777777777772</v>
          </cell>
          <cell r="F1278">
            <v>45658</v>
          </cell>
          <cell r="G1278">
            <v>45673</v>
          </cell>
          <cell r="H1278">
            <v>0.59513888888888888</v>
          </cell>
          <cell r="I1278">
            <v>4.8611111111111112E-2</v>
          </cell>
          <cell r="J1278">
            <v>3</v>
          </cell>
          <cell r="K1278" t="str">
            <v>FCB-PROTOCOL-01</v>
          </cell>
          <cell r="L1278" t="str">
            <v>CLN/PRA/284</v>
          </cell>
          <cell r="M1278" t="str">
            <v>Y</v>
          </cell>
          <cell r="N1278" t="str">
            <v>COS_v3.0-Gastric (1J)</v>
          </cell>
          <cell r="O1278" t="str">
            <v>Internal R&amp;D</v>
          </cell>
          <cell r="P1278" t="str">
            <v>Q1 Passed</v>
          </cell>
          <cell r="Q1278" t="str">
            <v>Q1 Passed</v>
          </cell>
          <cell r="R1278" t="str">
            <v>Q1.5 Passed</v>
          </cell>
          <cell r="S1278" t="str">
            <v>Qualified</v>
          </cell>
          <cell r="T1278" t="str">
            <v>Nil</v>
          </cell>
          <cell r="U1278" t="str">
            <v>NA</v>
          </cell>
          <cell r="V1278" t="str">
            <v>Tumor content 0-65%. Average tumor content 18%</v>
          </cell>
          <cell r="W1278" t="str">
            <v>Private Hospital</v>
          </cell>
          <cell r="X1278" t="str">
            <v>Dr Prakash BV, Bangalore</v>
          </cell>
          <cell r="Y1278" t="str">
            <v>Sri Lakshmi Hospital, Bangalore</v>
          </cell>
          <cell r="Z1278" t="str">
            <v>Dr Prakash BV, Bangalore</v>
          </cell>
          <cell r="AA1278" t="str">
            <v>GI</v>
          </cell>
          <cell r="AB1278" t="str">
            <v>NA</v>
          </cell>
          <cell r="AC1278" t="str">
            <v>Antrum of Stomach</v>
          </cell>
          <cell r="AD1278" t="str">
            <v>Antrum of Stomach</v>
          </cell>
          <cell r="AE1278" t="str">
            <v>Male</v>
          </cell>
          <cell r="AF1278">
            <v>60</v>
          </cell>
          <cell r="AG1278" t="str">
            <v>N</v>
          </cell>
          <cell r="AH1278">
            <v>4.2</v>
          </cell>
          <cell r="AI1278" t="str">
            <v>Kalappa</v>
          </cell>
          <cell r="AJ1278" t="str">
            <v>Surgery</v>
          </cell>
          <cell r="AK1278" t="str">
            <v>Primary</v>
          </cell>
          <cell r="AL1278" t="str">
            <v>NA</v>
          </cell>
          <cell r="AN1278" t="str">
            <v>II</v>
          </cell>
          <cell r="AO1278" t="str">
            <v>II</v>
          </cell>
          <cell r="AP1278" t="str">
            <v>pT2N1M0</v>
          </cell>
          <cell r="AS1278" t="str">
            <v>Adenocarcinoma</v>
          </cell>
          <cell r="AV1278">
            <v>45673</v>
          </cell>
          <cell r="AW1278">
            <v>0.61388888888888893</v>
          </cell>
          <cell r="AX1278">
            <v>0.66666666666666663</v>
          </cell>
          <cell r="AY1278">
            <v>5.2777777777777778E-2</v>
          </cell>
          <cell r="AZ1278">
            <v>0.61805555555555558</v>
          </cell>
          <cell r="BA1278">
            <v>0.12013888888888889</v>
          </cell>
          <cell r="BB1278" t="str">
            <v>0.8*0.4-1.6*2.8
0.4*0.4-1.8*3.2</v>
          </cell>
          <cell r="BC1278" t="str">
            <v>NA</v>
          </cell>
          <cell r="BD1278" t="str">
            <v>Manual</v>
          </cell>
          <cell r="BE1278">
            <v>15</v>
          </cell>
          <cell r="BF1278" t="str">
            <v>Pallavi</v>
          </cell>
          <cell r="BG1278" t="str">
            <v>Y</v>
          </cell>
        </row>
        <row r="1279">
          <cell r="A1279" t="str">
            <v>FBR2A250020</v>
          </cell>
          <cell r="B1279">
            <v>250020</v>
          </cell>
          <cell r="C1279" t="str">
            <v>R&amp;D</v>
          </cell>
          <cell r="D1279">
            <v>45673</v>
          </cell>
          <cell r="E1279">
            <v>0.51736111111111116</v>
          </cell>
          <cell r="F1279">
            <v>45658</v>
          </cell>
          <cell r="G1279">
            <v>45673</v>
          </cell>
          <cell r="H1279">
            <v>0.68263888888888891</v>
          </cell>
          <cell r="I1279">
            <v>0.16527777777777777</v>
          </cell>
          <cell r="J1279">
            <v>5</v>
          </cell>
          <cell r="K1279" t="str">
            <v>FCB-PROTOCOL-02</v>
          </cell>
          <cell r="L1279" t="str">
            <v>OC050</v>
          </cell>
          <cell r="M1279" t="str">
            <v>Y</v>
          </cell>
          <cell r="N1279" t="str">
            <v>Ovary CC (2A)</v>
          </cell>
          <cell r="O1279" t="str">
            <v>Internal R&amp;D</v>
          </cell>
          <cell r="P1279" t="str">
            <v>Q1 Passed</v>
          </cell>
          <cell r="Q1279" t="str">
            <v>Q1 Passed</v>
          </cell>
          <cell r="R1279" t="str">
            <v>Q1.5 Passed</v>
          </cell>
          <cell r="S1279" t="str">
            <v>Rejected</v>
          </cell>
          <cell r="T1279" t="str">
            <v>Nil</v>
          </cell>
          <cell r="U1279" t="str">
            <v>NA</v>
          </cell>
          <cell r="V1279" t="str">
            <v>No tumor</v>
          </cell>
          <cell r="W1279" t="str">
            <v>Private Hospital</v>
          </cell>
          <cell r="X1279" t="str">
            <v>Mazumdar Shaw Medical Centre, Bangalore</v>
          </cell>
          <cell r="Y1279" t="str">
            <v>Mazumdar Shaw Medical Centre, Bangalore</v>
          </cell>
          <cell r="Z1279" t="str">
            <v>Dr Rohit Ranade, Bangalore</v>
          </cell>
          <cell r="AA1279" t="str">
            <v>Ca Ovary</v>
          </cell>
          <cell r="AB1279" t="str">
            <v>NA</v>
          </cell>
          <cell r="AC1279" t="str">
            <v xml:space="preserve">Peritoneal </v>
          </cell>
          <cell r="AD1279" t="str">
            <v>Metastatic Peritoneal Deposit</v>
          </cell>
          <cell r="AE1279" t="str">
            <v>Female</v>
          </cell>
          <cell r="AF1279">
            <v>52</v>
          </cell>
          <cell r="AG1279" t="str">
            <v>N</v>
          </cell>
          <cell r="AH1279">
            <v>5.5</v>
          </cell>
          <cell r="AI1279" t="str">
            <v>Kalappa</v>
          </cell>
          <cell r="AJ1279" t="str">
            <v>Surgery</v>
          </cell>
          <cell r="AK1279" t="str">
            <v>Local Recurrent</v>
          </cell>
          <cell r="AL1279" t="str">
            <v>Chemotherapy</v>
          </cell>
          <cell r="AQ1279">
            <v>3</v>
          </cell>
          <cell r="AR1279" t="str">
            <v>Carboplatin +Paclitaxel, Lipodox+Carboplatin</v>
          </cell>
          <cell r="AS1279" t="str">
            <v>High Grade Serous Carcinoma</v>
          </cell>
          <cell r="AV1279">
            <v>45673</v>
          </cell>
          <cell r="AW1279">
            <v>0.69791666666666663</v>
          </cell>
          <cell r="AX1279">
            <v>0.76736111111111116</v>
          </cell>
          <cell r="AY1279">
            <v>6.9444444444444448E-2</v>
          </cell>
          <cell r="AZ1279">
            <v>0.6020833333333333</v>
          </cell>
          <cell r="BA1279">
            <v>0.25</v>
          </cell>
          <cell r="BB1279" t="str">
            <v>0.2*1.0*1.4</v>
          </cell>
          <cell r="BC1279" t="str">
            <v>NA</v>
          </cell>
          <cell r="BD1279" t="str">
            <v>Manual</v>
          </cell>
          <cell r="BE1279">
            <v>15</v>
          </cell>
          <cell r="BF1279" t="str">
            <v>chandan</v>
          </cell>
          <cell r="BG1279" t="str">
            <v>Y</v>
          </cell>
        </row>
        <row r="1280">
          <cell r="A1280" t="str">
            <v>FBR2S250021</v>
          </cell>
          <cell r="B1280">
            <v>250021</v>
          </cell>
          <cell r="C1280" t="str">
            <v>R&amp;D</v>
          </cell>
          <cell r="D1280">
            <v>45673</v>
          </cell>
          <cell r="E1280">
            <v>0.57361111111111107</v>
          </cell>
          <cell r="F1280">
            <v>45658</v>
          </cell>
          <cell r="G1280">
            <v>45673</v>
          </cell>
          <cell r="H1280">
            <v>0.68819444444444444</v>
          </cell>
          <cell r="I1280">
            <v>0.11458333333333333</v>
          </cell>
          <cell r="J1280">
            <v>1</v>
          </cell>
          <cell r="K1280" t="str">
            <v>FCB-PROTOCOL-01</v>
          </cell>
          <cell r="L1280" t="str">
            <v>VYD/350</v>
          </cell>
          <cell r="M1280" t="str">
            <v>Y</v>
          </cell>
          <cell r="N1280" t="str">
            <v>Cos V1 (2S)</v>
          </cell>
          <cell r="O1280" t="str">
            <v>Internal R&amp;D</v>
          </cell>
          <cell r="P1280" t="str">
            <v>Q1 Passed</v>
          </cell>
          <cell r="Q1280" t="str">
            <v>Q1 Passed</v>
          </cell>
          <cell r="R1280" t="str">
            <v>Q1.5 Passed</v>
          </cell>
          <cell r="S1280" t="str">
            <v>Qualified</v>
          </cell>
          <cell r="T1280" t="str">
            <v>Nil</v>
          </cell>
          <cell r="U1280" t="str">
            <v>NA</v>
          </cell>
          <cell r="V1280" t="str">
            <v>Tumor content 45-75%</v>
          </cell>
          <cell r="W1280" t="str">
            <v>Private Hospital</v>
          </cell>
          <cell r="X1280" t="str">
            <v>Vydehi Hospital, Bangalore</v>
          </cell>
          <cell r="Y1280" t="str">
            <v>Vydehi Hospital, Bangalore</v>
          </cell>
          <cell r="Z1280" t="str">
            <v>Dr Amritha Prabha, Bangalore</v>
          </cell>
          <cell r="AA1280" t="str">
            <v>CRC</v>
          </cell>
          <cell r="AB1280" t="str">
            <v>NA</v>
          </cell>
          <cell r="AC1280" t="str">
            <v>Colon</v>
          </cell>
          <cell r="AD1280" t="str">
            <v>Splenic Flexure</v>
          </cell>
          <cell r="AE1280" t="str">
            <v>Male</v>
          </cell>
          <cell r="AF1280">
            <v>60</v>
          </cell>
          <cell r="AG1280" t="str">
            <v>N</v>
          </cell>
          <cell r="AH1280">
            <v>6.1</v>
          </cell>
          <cell r="AI1280" t="str">
            <v>Shashi</v>
          </cell>
          <cell r="AJ1280" t="str">
            <v>Surgery</v>
          </cell>
          <cell r="AK1280" t="str">
            <v>Primary</v>
          </cell>
          <cell r="AL1280" t="str">
            <v>NA</v>
          </cell>
          <cell r="AV1280">
            <v>45673</v>
          </cell>
          <cell r="AW1280">
            <v>0.70486111111111116</v>
          </cell>
          <cell r="AX1280">
            <v>0.78611111111111109</v>
          </cell>
          <cell r="AY1280">
            <v>8.1250000000000003E-2</v>
          </cell>
          <cell r="AZ1280">
            <v>0.67152777777777772</v>
          </cell>
          <cell r="BA1280">
            <v>0.21249999999999999</v>
          </cell>
          <cell r="BB1280" t="str">
            <v>0.4-0.6*0.8-1.6*2.0-2.6
0.4-0.6*1.8-2.3*3.4
0.4-0.6*0.8-1.3*1.4</v>
          </cell>
          <cell r="BC1280" t="str">
            <v>NA</v>
          </cell>
          <cell r="BD1280" t="str">
            <v>Manual</v>
          </cell>
          <cell r="BE1280">
            <v>13</v>
          </cell>
          <cell r="BF1280" t="str">
            <v>Syam</v>
          </cell>
          <cell r="BG1280" t="str">
            <v>Y</v>
          </cell>
        </row>
        <row r="1281">
          <cell r="A1281" t="str">
            <v>FBR2A250022</v>
          </cell>
          <cell r="B1281">
            <v>250022</v>
          </cell>
          <cell r="C1281" t="str">
            <v>R&amp;D</v>
          </cell>
          <cell r="D1281">
            <v>45679</v>
          </cell>
          <cell r="E1281">
            <v>0.44791666666666669</v>
          </cell>
          <cell r="F1281">
            <v>45658</v>
          </cell>
          <cell r="G1281">
            <v>45679</v>
          </cell>
          <cell r="H1281">
            <v>0.66180555555555554</v>
          </cell>
          <cell r="I1281">
            <v>0.21388888888888888</v>
          </cell>
          <cell r="J1281">
            <v>5</v>
          </cell>
          <cell r="K1281" t="str">
            <v>FCB-PROTOCOL-01</v>
          </cell>
          <cell r="L1281" t="str">
            <v>JSS-032</v>
          </cell>
          <cell r="M1281" t="str">
            <v>Y</v>
          </cell>
          <cell r="N1281" t="str">
            <v>Ovary CC (2A)</v>
          </cell>
          <cell r="O1281" t="str">
            <v>Internal R&amp;D</v>
          </cell>
          <cell r="P1281" t="str">
            <v>Q1 Passed</v>
          </cell>
          <cell r="Q1281" t="str">
            <v>Q1 Passed</v>
          </cell>
          <cell r="R1281" t="str">
            <v>Q1.5 Passed</v>
          </cell>
          <cell r="S1281" t="str">
            <v>Qualified</v>
          </cell>
          <cell r="T1281" t="str">
            <v>Nil</v>
          </cell>
          <cell r="U1281" t="str">
            <v>NA</v>
          </cell>
          <cell r="V1281" t="str">
            <v>Tumor content 0-85%.</v>
          </cell>
          <cell r="W1281" t="str">
            <v>Private Hospital</v>
          </cell>
          <cell r="X1281" t="str">
            <v>Dr Ravi Krishnappa, Mysore</v>
          </cell>
          <cell r="Y1281" t="str">
            <v>JSS Hospital, Mysore</v>
          </cell>
          <cell r="Z1281" t="str">
            <v>Dr Ravi Krishnappa, Mysore</v>
          </cell>
          <cell r="AA1281" t="str">
            <v>Ca Ovary</v>
          </cell>
          <cell r="AB1281" t="str">
            <v>NA</v>
          </cell>
          <cell r="AC1281" t="str">
            <v>Ovary</v>
          </cell>
          <cell r="AD1281" t="str">
            <v>Left Ovary</v>
          </cell>
          <cell r="AE1281" t="str">
            <v>Female</v>
          </cell>
          <cell r="AF1281">
            <v>42</v>
          </cell>
          <cell r="AG1281" t="str">
            <v>N</v>
          </cell>
          <cell r="AH1281">
            <v>6.7</v>
          </cell>
          <cell r="AI1281" t="str">
            <v>Kalappa</v>
          </cell>
          <cell r="AJ1281" t="str">
            <v>Surgery</v>
          </cell>
          <cell r="AK1281" t="str">
            <v>Primary</v>
          </cell>
          <cell r="AL1281" t="str">
            <v>NA</v>
          </cell>
          <cell r="AV1281">
            <v>45679</v>
          </cell>
          <cell r="AW1281">
            <v>0.68263888888888891</v>
          </cell>
          <cell r="AX1281">
            <v>0.75486111111111109</v>
          </cell>
          <cell r="AY1281">
            <v>7.2222222222222215E-2</v>
          </cell>
          <cell r="AZ1281">
            <v>0.54097222222222219</v>
          </cell>
          <cell r="BA1281">
            <v>0.30694444444444446</v>
          </cell>
          <cell r="BB1281" t="str">
            <v>1.8*0.6-2.2*4.2
1.4*1.4-2.0*2.2
1,0*0.4-1.2*2.8</v>
          </cell>
          <cell r="BC1281" t="str">
            <v>NA</v>
          </cell>
          <cell r="BD1281" t="str">
            <v>Manual</v>
          </cell>
          <cell r="BE1281">
            <v>15</v>
          </cell>
          <cell r="BF1281" t="str">
            <v>Abdul</v>
          </cell>
          <cell r="BG1281" t="str">
            <v>Y</v>
          </cell>
        </row>
        <row r="1282">
          <cell r="A1282" t="str">
            <v>FBB1M250023</v>
          </cell>
          <cell r="B1282">
            <v>250023</v>
          </cell>
          <cell r="C1282" t="str">
            <v>Biopharma</v>
          </cell>
          <cell r="D1282">
            <v>45682</v>
          </cell>
          <cell r="E1282">
            <v>0.44791666666666669</v>
          </cell>
          <cell r="F1282">
            <v>45658</v>
          </cell>
          <cell r="G1282">
            <v>45682</v>
          </cell>
          <cell r="H1282">
            <v>0.67083333333333328</v>
          </cell>
          <cell r="I1282">
            <v>0.22291666666666668</v>
          </cell>
          <cell r="J1282">
            <v>0</v>
          </cell>
          <cell r="K1282" t="str">
            <v>FCB-PROTOCOL-01</v>
          </cell>
          <cell r="L1282" t="str">
            <v>CLN/PRA/285</v>
          </cell>
          <cell r="M1282" t="str">
            <v>Y</v>
          </cell>
          <cell r="N1282" t="str">
            <v>BP011 (1M)</v>
          </cell>
          <cell r="O1282" t="str">
            <v>Biopharma</v>
          </cell>
          <cell r="P1282" t="str">
            <v>Q1 Passed</v>
          </cell>
          <cell r="Q1282" t="str">
            <v>Q1 Passed</v>
          </cell>
          <cell r="R1282" t="str">
            <v>Compromised</v>
          </cell>
          <cell r="S1282" t="str">
            <v>Qualified</v>
          </cell>
          <cell r="T1282" t="str">
            <v>Buffer Volume 16ml</v>
          </cell>
          <cell r="U1282" t="str">
            <v>NA</v>
          </cell>
          <cell r="V1282" t="str">
            <v>Tumor content 2-75%.Pyknosis high 2/3</v>
          </cell>
          <cell r="W1282" t="str">
            <v>Private Hospital</v>
          </cell>
          <cell r="X1282" t="str">
            <v>Dr Prakash BV, Bangalore</v>
          </cell>
          <cell r="Y1282" t="str">
            <v>Sri Lakshmi Hospital, Bangalore</v>
          </cell>
          <cell r="Z1282" t="str">
            <v>Dr Prakash BV, Bangalore</v>
          </cell>
          <cell r="AA1282" t="str">
            <v>HNSCC</v>
          </cell>
          <cell r="AC1282" t="str">
            <v>Tongue</v>
          </cell>
          <cell r="AD1282" t="str">
            <v>Tongue</v>
          </cell>
          <cell r="AE1282" t="str">
            <v>Male</v>
          </cell>
          <cell r="AF1282">
            <v>50</v>
          </cell>
          <cell r="AG1282" t="str">
            <v>N</v>
          </cell>
          <cell r="AH1282">
            <v>6.1</v>
          </cell>
          <cell r="AI1282" t="str">
            <v>Shashi</v>
          </cell>
          <cell r="AJ1282" t="str">
            <v>Surgery</v>
          </cell>
          <cell r="AK1282" t="str">
            <v>Primary</v>
          </cell>
          <cell r="AL1282" t="str">
            <v>NA</v>
          </cell>
          <cell r="AN1282" t="str">
            <v>IVa</v>
          </cell>
          <cell r="AP1282" t="str">
            <v>pT3N1</v>
          </cell>
          <cell r="AV1282">
            <v>45682</v>
          </cell>
          <cell r="AW1282">
            <v>0.68472222222222223</v>
          </cell>
          <cell r="AX1282">
            <v>0.76458333333333328</v>
          </cell>
          <cell r="AY1282">
            <v>7.9861111111111105E-2</v>
          </cell>
          <cell r="AZ1282">
            <v>0.54166666666666663</v>
          </cell>
          <cell r="BA1282">
            <v>0.31666666666666665</v>
          </cell>
          <cell r="BB1282" t="str">
            <v>0.6-0.8*0.4-1.3*1.6-2.1</v>
          </cell>
          <cell r="BC1282" t="str">
            <v>NA</v>
          </cell>
          <cell r="BD1282" t="str">
            <v>Vibratome</v>
          </cell>
          <cell r="BE1282">
            <v>15</v>
          </cell>
          <cell r="BF1282" t="str">
            <v>Mouniss</v>
          </cell>
          <cell r="BG1282" t="str">
            <v>Y</v>
          </cell>
        </row>
        <row r="1283">
          <cell r="A1283" t="str">
            <v>FBR2F250024</v>
          </cell>
          <cell r="B1283">
            <v>250024</v>
          </cell>
          <cell r="C1283" t="str">
            <v>R&amp;D</v>
          </cell>
          <cell r="D1283">
            <v>45682</v>
          </cell>
          <cell r="E1283">
            <v>0.52430555555555558</v>
          </cell>
          <cell r="F1283">
            <v>45658</v>
          </cell>
          <cell r="G1283">
            <v>45682</v>
          </cell>
          <cell r="H1283">
            <v>0.67083333333333328</v>
          </cell>
          <cell r="I1283">
            <v>0.14652777777777778</v>
          </cell>
          <cell r="J1283">
            <v>0</v>
          </cell>
          <cell r="K1283" t="str">
            <v>FCB-PROTOCOL-01</v>
          </cell>
          <cell r="L1283" t="str">
            <v>CLN/PRA/286</v>
          </cell>
          <cell r="M1283" t="str">
            <v>Y</v>
          </cell>
          <cell r="N1283" t="str">
            <v>ECR (2F)</v>
          </cell>
          <cell r="O1283" t="str">
            <v>Internal R&amp;D</v>
          </cell>
          <cell r="P1283" t="str">
            <v>Q1 Passed</v>
          </cell>
          <cell r="Q1283" t="str">
            <v>Q1 Rejected</v>
          </cell>
          <cell r="R1283" t="str">
            <v>Compromised</v>
          </cell>
          <cell r="S1283" t="str">
            <v>Qualified</v>
          </cell>
          <cell r="T1283" t="str">
            <v>Blood Clotted</v>
          </cell>
          <cell r="U1283" t="str">
            <v>NA</v>
          </cell>
          <cell r="V1283" t="str">
            <v>Tumor content 80-90%</v>
          </cell>
          <cell r="W1283" t="str">
            <v>Private Hospital</v>
          </cell>
          <cell r="X1283" t="str">
            <v>Dr Prakash BV, Bangalore</v>
          </cell>
          <cell r="Y1283" t="str">
            <v>Sri Lakshmi Hospital, Bangalore</v>
          </cell>
          <cell r="Z1283" t="str">
            <v>Dr Prakash BV, Bangalore</v>
          </cell>
          <cell r="AA1283" t="str">
            <v>HNSCC</v>
          </cell>
          <cell r="AC1283" t="str">
            <v>Tongue</v>
          </cell>
          <cell r="AD1283" t="str">
            <v>Tongue</v>
          </cell>
          <cell r="AE1283" t="str">
            <v>Male</v>
          </cell>
          <cell r="AF1283">
            <v>40</v>
          </cell>
          <cell r="AG1283" t="str">
            <v>N</v>
          </cell>
          <cell r="AH1283">
            <v>6.1</v>
          </cell>
          <cell r="AI1283" t="str">
            <v>Shashi</v>
          </cell>
          <cell r="AJ1283" t="str">
            <v>Surgery</v>
          </cell>
          <cell r="AK1283" t="str">
            <v>Primary</v>
          </cell>
          <cell r="AL1283" t="str">
            <v>NA</v>
          </cell>
          <cell r="AN1283" t="str">
            <v>II</v>
          </cell>
          <cell r="AP1283" t="str">
            <v>pT2N0</v>
          </cell>
          <cell r="AV1283">
            <v>45682</v>
          </cell>
          <cell r="AW1283">
            <v>0.68611111111111112</v>
          </cell>
          <cell r="AY128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128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283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83" t="str">
            <v>0.5/0.6*0.8/0.9*1.2/1.3</v>
          </cell>
          <cell r="BC1283" t="str">
            <v>NA</v>
          </cell>
          <cell r="BD1283" t="str">
            <v>Vibratome</v>
          </cell>
          <cell r="BE1283">
            <v>15</v>
          </cell>
          <cell r="BF1283" t="str">
            <v>Kowshik</v>
          </cell>
          <cell r="BG1283" t="str">
            <v>Y</v>
          </cell>
        </row>
        <row r="1284">
          <cell r="A1284" t="str">
            <v>FBR1Y250025</v>
          </cell>
          <cell r="B1284">
            <v>250025</v>
          </cell>
          <cell r="C1284" t="str">
            <v>R&amp;D</v>
          </cell>
          <cell r="D1284">
            <v>45684</v>
          </cell>
          <cell r="E1284">
            <v>0.43125000000000002</v>
          </cell>
          <cell r="F1284">
            <v>45658</v>
          </cell>
          <cell r="G1284">
            <v>45684</v>
          </cell>
          <cell r="H1284">
            <v>0.57499999999999996</v>
          </cell>
          <cell r="I1284">
            <v>0.14374999999999999</v>
          </cell>
          <cell r="J1284">
            <v>5</v>
          </cell>
          <cell r="K1284" t="str">
            <v>FCB-PROTOCOL-01</v>
          </cell>
          <cell r="L1284" t="str">
            <v>VYD/351</v>
          </cell>
          <cell r="M1284" t="str">
            <v>Y</v>
          </cell>
          <cell r="N1284" t="str">
            <v>CCS Study (1Y)</v>
          </cell>
          <cell r="O1284" t="str">
            <v>Internal R&amp;D</v>
          </cell>
          <cell r="P1284" t="str">
            <v>Q1 Passed</v>
          </cell>
          <cell r="Q1284" t="str">
            <v>Q1 Passed</v>
          </cell>
          <cell r="R1284" t="str">
            <v>Q1.5 Passed</v>
          </cell>
          <cell r="S1284" t="str">
            <v>Qualified</v>
          </cell>
          <cell r="T1284" t="str">
            <v>Nil</v>
          </cell>
          <cell r="U1284" t="str">
            <v>NA</v>
          </cell>
          <cell r="V1284" t="str">
            <v>Tumor content 5-80%</v>
          </cell>
          <cell r="W1284" t="str">
            <v>Private Hospital</v>
          </cell>
          <cell r="X1284" t="str">
            <v>Vydehi Hospital, Bangalore</v>
          </cell>
          <cell r="Y1284" t="str">
            <v>Vydehi Hospital, Bangalore</v>
          </cell>
          <cell r="Z1284" t="str">
            <v>Dr Amritha Prabha, Bangalore</v>
          </cell>
          <cell r="AA1284" t="str">
            <v>HNSCC</v>
          </cell>
          <cell r="AB1284" t="str">
            <v>NA</v>
          </cell>
          <cell r="AC1284" t="str">
            <v>Buccal Mucosa</v>
          </cell>
          <cell r="AD1284" t="str">
            <v>Right Buccal Mucosa</v>
          </cell>
          <cell r="AE1284" t="str">
            <v>Male</v>
          </cell>
          <cell r="AF1284">
            <v>47</v>
          </cell>
          <cell r="AG1284" t="str">
            <v>N</v>
          </cell>
          <cell r="AH1284">
            <v>4.7</v>
          </cell>
          <cell r="AI1284" t="str">
            <v>Kalappa</v>
          </cell>
          <cell r="AJ1284" t="str">
            <v>Surgery</v>
          </cell>
          <cell r="AK1284" t="str">
            <v>Primary</v>
          </cell>
          <cell r="AL1284" t="str">
            <v>NA</v>
          </cell>
          <cell r="AV1284">
            <v>45684</v>
          </cell>
          <cell r="AW1284">
            <v>0.59444444444444444</v>
          </cell>
          <cell r="AX1284">
            <v>0.66319444444444442</v>
          </cell>
          <cell r="AY1284">
            <v>6.8750000000000006E-2</v>
          </cell>
          <cell r="AZ1284">
            <v>0.51944444444444449</v>
          </cell>
          <cell r="BA1284">
            <v>0.23194444444444445</v>
          </cell>
          <cell r="BB1284" t="str">
            <v>0.8*1.4*1.7</v>
          </cell>
          <cell r="BC1284" t="str">
            <v>NA</v>
          </cell>
          <cell r="BD1284" t="str">
            <v>Vibratome</v>
          </cell>
          <cell r="BE1284">
            <v>15</v>
          </cell>
          <cell r="BF1284" t="str">
            <v>Syam</v>
          </cell>
          <cell r="BG1284" t="str">
            <v>Y</v>
          </cell>
        </row>
        <row r="1285">
          <cell r="A1285" t="str">
            <v>FBR2Q250026</v>
          </cell>
          <cell r="B1285">
            <v>250026</v>
          </cell>
          <cell r="C1285" t="str">
            <v>R&amp;D</v>
          </cell>
          <cell r="D1285">
            <v>45685</v>
          </cell>
          <cell r="E1285">
            <v>0.40069444444444446</v>
          </cell>
          <cell r="F1285">
            <v>45658</v>
          </cell>
          <cell r="G1285">
            <v>45685</v>
          </cell>
          <cell r="H1285">
            <v>0.57638888888888884</v>
          </cell>
          <cell r="I1285">
            <v>0.17569444444444443</v>
          </cell>
          <cell r="J1285">
            <v>3</v>
          </cell>
          <cell r="K1285" t="str">
            <v>FCB-PROTOCOL-01</v>
          </cell>
          <cell r="L1285" t="str">
            <v>VYD/352</v>
          </cell>
          <cell r="M1285" t="str">
            <v>Y</v>
          </cell>
          <cell r="N1285" t="str">
            <v>MFS (2Q)</v>
          </cell>
          <cell r="O1285" t="str">
            <v>Internal R&amp;D</v>
          </cell>
          <cell r="P1285" t="str">
            <v>Q1 Passed</v>
          </cell>
          <cell r="Q1285" t="str">
            <v>Q1 Passed</v>
          </cell>
          <cell r="R1285" t="str">
            <v>Q1.5 Passed</v>
          </cell>
          <cell r="S1285" t="str">
            <v>Qualified</v>
          </cell>
          <cell r="T1285" t="str">
            <v>Nil</v>
          </cell>
          <cell r="U1285" t="str">
            <v>NA</v>
          </cell>
          <cell r="V1285" t="str">
            <v>Tumor content 0-90%. Average tumor content 56%</v>
          </cell>
          <cell r="W1285" t="str">
            <v>Private Hospital</v>
          </cell>
          <cell r="X1285" t="str">
            <v>Vydehi Hospital, Bangalore</v>
          </cell>
          <cell r="Y1285" t="str">
            <v>Vydehi Hospital, Bangalore</v>
          </cell>
          <cell r="Z1285" t="str">
            <v>Dr Amritha Prabha, Bangalore</v>
          </cell>
          <cell r="AA1285" t="str">
            <v>HNSCC</v>
          </cell>
          <cell r="AB1285" t="str">
            <v>NA</v>
          </cell>
          <cell r="AC1285" t="str">
            <v>Buccal Mucosa</v>
          </cell>
          <cell r="AD1285" t="str">
            <v>Right Buccal Mucosa</v>
          </cell>
          <cell r="AE1285" t="str">
            <v>Male</v>
          </cell>
          <cell r="AF1285">
            <v>41</v>
          </cell>
          <cell r="AG1285" t="str">
            <v>N</v>
          </cell>
          <cell r="AH1285">
            <v>4.7</v>
          </cell>
          <cell r="AI1285" t="str">
            <v>Maruthi</v>
          </cell>
          <cell r="AJ1285" t="str">
            <v>Surgery</v>
          </cell>
          <cell r="AK1285" t="str">
            <v>Primary</v>
          </cell>
          <cell r="AL1285" t="str">
            <v>NA</v>
          </cell>
          <cell r="AV1285">
            <v>45685</v>
          </cell>
          <cell r="AW1285">
            <v>0.6</v>
          </cell>
          <cell r="AX1285">
            <v>0.68194444444444446</v>
          </cell>
          <cell r="AY1285">
            <v>8.1944444444444445E-2</v>
          </cell>
          <cell r="AZ1285">
            <v>0.50624999999999998</v>
          </cell>
          <cell r="BA1285">
            <v>0.28125</v>
          </cell>
          <cell r="BB1285" t="str">
            <v>0.4-0.6*0.6-0.8*1.4
0.2-0.4*0.4-0.6*0.8</v>
          </cell>
          <cell r="BC1285" t="str">
            <v>NA</v>
          </cell>
          <cell r="BD1285" t="str">
            <v>Vibratome</v>
          </cell>
          <cell r="BE1285">
            <v>15</v>
          </cell>
          <cell r="BF1285" t="str">
            <v>Mouniss</v>
          </cell>
          <cell r="BG1285" t="str">
            <v>Y</v>
          </cell>
        </row>
        <row r="1286">
          <cell r="A1286" t="str">
            <v>FBR2A250027</v>
          </cell>
          <cell r="B1286">
            <v>250027</v>
          </cell>
          <cell r="C1286" t="str">
            <v>R&amp;D</v>
          </cell>
          <cell r="D1286">
            <v>45686</v>
          </cell>
          <cell r="E1286">
            <v>0.53680555555555554</v>
          </cell>
          <cell r="F1286">
            <v>45658</v>
          </cell>
          <cell r="G1286">
            <v>45686</v>
          </cell>
          <cell r="H1286">
            <v>0.53819444444444442</v>
          </cell>
          <cell r="I1286">
            <v>1.3888888888888889E-3</v>
          </cell>
          <cell r="J1286">
            <v>2</v>
          </cell>
          <cell r="K1286" t="str">
            <v>FCB-PROTOCOL-01</v>
          </cell>
          <cell r="L1286" t="str">
            <v>CLN/PRA/287</v>
          </cell>
          <cell r="M1286" t="str">
            <v>Y</v>
          </cell>
          <cell r="N1286" t="str">
            <v>Ovary CC (2A)</v>
          </cell>
          <cell r="O1286" t="str">
            <v>Internal R&amp;D</v>
          </cell>
          <cell r="P1286" t="str">
            <v>Q1 Passed</v>
          </cell>
          <cell r="Q1286" t="str">
            <v>Q1 Passed</v>
          </cell>
          <cell r="R1286" t="str">
            <v>Q1.5 Passed</v>
          </cell>
          <cell r="S1286" t="str">
            <v>Qualified</v>
          </cell>
          <cell r="T1286" t="str">
            <v>Nil</v>
          </cell>
          <cell r="U1286" t="str">
            <v>NA</v>
          </cell>
          <cell r="V1286" t="str">
            <v>Tumor content 3-20%</v>
          </cell>
          <cell r="W1286" t="str">
            <v>Private Hospital</v>
          </cell>
          <cell r="X1286" t="str">
            <v>Dr Prakash BV, Bangalore</v>
          </cell>
          <cell r="Y1286" t="str">
            <v>Sri Lakshmi Hospital, Bangalore</v>
          </cell>
          <cell r="Z1286" t="str">
            <v>Dr Prakash BV, Bangalore</v>
          </cell>
          <cell r="AA1286" t="str">
            <v>Ca Ovary</v>
          </cell>
          <cell r="AB1286" t="str">
            <v>NA</v>
          </cell>
          <cell r="AC1286" t="str">
            <v>Ovary</v>
          </cell>
          <cell r="AD1286" t="str">
            <v>Right Ovary</v>
          </cell>
          <cell r="AE1286" t="str">
            <v>Female</v>
          </cell>
          <cell r="AF1286">
            <v>27</v>
          </cell>
          <cell r="AG1286" t="str">
            <v>N</v>
          </cell>
          <cell r="AH1286">
            <v>6.2</v>
          </cell>
          <cell r="AI1286" t="str">
            <v>Kalappa</v>
          </cell>
          <cell r="AJ1286" t="str">
            <v>Surgery</v>
          </cell>
          <cell r="AK1286" t="str">
            <v>Primary</v>
          </cell>
          <cell r="AL1286" t="str">
            <v>Chemotherapy</v>
          </cell>
          <cell r="AN1286" t="str">
            <v>III</v>
          </cell>
          <cell r="AO1286">
            <v>2</v>
          </cell>
          <cell r="AP1286" t="str">
            <v>pT3N0M0</v>
          </cell>
          <cell r="AQ1286">
            <v>6</v>
          </cell>
          <cell r="AR1286" t="str">
            <v>Paclitaxel+Carboplatin</v>
          </cell>
          <cell r="AV1286">
            <v>45686</v>
          </cell>
          <cell r="AW1286">
            <v>0.63680555555555551</v>
          </cell>
          <cell r="AX1286">
            <v>0.73541666666666672</v>
          </cell>
          <cell r="AY1286">
            <v>9.8611111111111108E-2</v>
          </cell>
          <cell r="AZ1286">
            <v>0.73402777777777772</v>
          </cell>
          <cell r="BA1286">
            <v>0.1986111111111111</v>
          </cell>
          <cell r="BB1286" t="str">
            <v>0.8/1.2*1.6*2.8/3.2</v>
          </cell>
          <cell r="BC1286" t="str">
            <v>0.8/1.2*1.6*1.6/1.4
0.8/1.0*1.6*1.0/1.2</v>
          </cell>
          <cell r="BD1286" t="str">
            <v>Vibratome</v>
          </cell>
          <cell r="BE1286">
            <v>15</v>
          </cell>
          <cell r="BF1286" t="str">
            <v>chandan</v>
          </cell>
          <cell r="BG1286" t="str">
            <v>Y</v>
          </cell>
        </row>
        <row r="1287">
          <cell r="A1287" t="str">
            <v>FBR2A250028</v>
          </cell>
          <cell r="B1287">
            <v>250028</v>
          </cell>
          <cell r="C1287" t="str">
            <v>R&amp;D</v>
          </cell>
          <cell r="D1287">
            <v>45686</v>
          </cell>
          <cell r="E1287">
            <v>0.5625</v>
          </cell>
          <cell r="F1287">
            <v>45658</v>
          </cell>
          <cell r="G1287">
            <v>45686</v>
          </cell>
          <cell r="H1287">
            <v>0.80347222222222225</v>
          </cell>
          <cell r="I1287">
            <v>0.24097222222222223</v>
          </cell>
          <cell r="J1287">
            <v>10</v>
          </cell>
          <cell r="K1287" t="str">
            <v>FCB-PROTOCOL-01</v>
          </cell>
          <cell r="L1287" t="str">
            <v>JSS-033</v>
          </cell>
          <cell r="M1287" t="str">
            <v>Y</v>
          </cell>
          <cell r="N1287" t="str">
            <v>Ovary CC (2A)</v>
          </cell>
          <cell r="O1287" t="str">
            <v>Internal R&amp;D</v>
          </cell>
          <cell r="P1287" t="str">
            <v>Q1 Passed</v>
          </cell>
          <cell r="Q1287" t="str">
            <v>Q1 Rejected</v>
          </cell>
          <cell r="R1287" t="str">
            <v>Compromised</v>
          </cell>
          <cell r="S1287" t="str">
            <v>Qualified</v>
          </cell>
          <cell r="T1287" t="str">
            <v>Blood Clotted</v>
          </cell>
          <cell r="U1287" t="str">
            <v>NA</v>
          </cell>
          <cell r="V1287" t="str">
            <v>Tumor content 15-75%</v>
          </cell>
          <cell r="W1287" t="str">
            <v>Private Hospital</v>
          </cell>
          <cell r="X1287" t="str">
            <v>Dr Ravi Krishnappa, Mysore</v>
          </cell>
          <cell r="Y1287" t="str">
            <v>JSS Hospital, Mysore</v>
          </cell>
          <cell r="Z1287" t="str">
            <v>Dr Ravi Krishnappa, Mysore</v>
          </cell>
          <cell r="AA1287" t="str">
            <v>Ca Ovary</v>
          </cell>
          <cell r="AC1287" t="str">
            <v>Ovary</v>
          </cell>
          <cell r="AD1287" t="str">
            <v>Left Ovary</v>
          </cell>
          <cell r="AE1287" t="str">
            <v>Female</v>
          </cell>
          <cell r="AF1287">
            <v>52</v>
          </cell>
          <cell r="AG1287" t="str">
            <v>N</v>
          </cell>
          <cell r="AH1287">
            <v>6.1</v>
          </cell>
          <cell r="AI1287" t="str">
            <v>Shashi</v>
          </cell>
          <cell r="AJ1287" t="str">
            <v>Surgery</v>
          </cell>
          <cell r="AK1287" t="str">
            <v>Primary</v>
          </cell>
          <cell r="AL1287" t="str">
            <v>NA</v>
          </cell>
          <cell r="AV1287">
            <v>45686</v>
          </cell>
          <cell r="AW1287">
            <v>0.81805555555555554</v>
          </cell>
          <cell r="AX1287">
            <v>0.88888888888888884</v>
          </cell>
          <cell r="AY1287">
            <v>7.0833333333333331E-2</v>
          </cell>
          <cell r="AZ1287">
            <v>0.6479166666666667</v>
          </cell>
          <cell r="BA1287">
            <v>0.3263888888888889</v>
          </cell>
          <cell r="BB1287" t="str">
            <v>1.4*1.8*2.6</v>
          </cell>
          <cell r="BC1287" t="str">
            <v>0.8*0.8-1.2*2.6
0.6*1.0*2.5</v>
          </cell>
          <cell r="BD1287" t="str">
            <v>Vibratome</v>
          </cell>
          <cell r="BE1287">
            <v>15</v>
          </cell>
          <cell r="BF1287" t="str">
            <v>Dharani</v>
          </cell>
          <cell r="BG1287" t="str">
            <v>N</v>
          </cell>
        </row>
        <row r="1288">
          <cell r="A1288" t="str">
            <v>FBR1K250029</v>
          </cell>
          <cell r="B1288">
            <v>250029</v>
          </cell>
          <cell r="C1288" t="str">
            <v>R&amp;D</v>
          </cell>
          <cell r="D1288">
            <v>45688</v>
          </cell>
          <cell r="E1288">
            <v>0.46180555555555558</v>
          </cell>
          <cell r="F1288">
            <v>45658</v>
          </cell>
          <cell r="G1288">
            <v>45688</v>
          </cell>
          <cell r="H1288">
            <v>0.58125000000000004</v>
          </cell>
          <cell r="I1288">
            <v>0.11944444444444445</v>
          </cell>
          <cell r="J1288">
            <v>2</v>
          </cell>
          <cell r="K1288" t="str">
            <v>FCB-PROTOCOL-01</v>
          </cell>
          <cell r="L1288" t="str">
            <v>VYD/353</v>
          </cell>
          <cell r="M1288" t="str">
            <v>Y</v>
          </cell>
          <cell r="N1288" t="str">
            <v>DMS_v4(1K)</v>
          </cell>
          <cell r="O1288" t="str">
            <v>Internal R&amp;D</v>
          </cell>
          <cell r="P1288" t="str">
            <v>Q1 Passed</v>
          </cell>
          <cell r="Q1288" t="str">
            <v>Q1 Passed</v>
          </cell>
          <cell r="R1288" t="str">
            <v>Q1.5 Passed</v>
          </cell>
          <cell r="S1288" t="str">
            <v>Qualified</v>
          </cell>
          <cell r="T1288" t="str">
            <v>Nil</v>
          </cell>
          <cell r="U1288" t="str">
            <v>NA</v>
          </cell>
          <cell r="V1288" t="str">
            <v>Tumor content 55-88%</v>
          </cell>
          <cell r="W1288" t="str">
            <v>Private Hospital</v>
          </cell>
          <cell r="X1288" t="str">
            <v>Vydehi Hospital, Bangalore</v>
          </cell>
          <cell r="Y1288" t="str">
            <v>Vydehi Hospital, Bangalore</v>
          </cell>
          <cell r="Z1288" t="str">
            <v>Dr Amritha Prabha, Bangalore</v>
          </cell>
          <cell r="AA1288" t="str">
            <v>HNSCC</v>
          </cell>
          <cell r="AB1288" t="str">
            <v>NA</v>
          </cell>
          <cell r="AC1288" t="str">
            <v>Buccal Mucosa</v>
          </cell>
          <cell r="AD1288" t="str">
            <v>Right Buccal Mucosa</v>
          </cell>
          <cell r="AE1288" t="str">
            <v>Male</v>
          </cell>
          <cell r="AF1288">
            <v>49</v>
          </cell>
          <cell r="AG1288" t="str">
            <v>N</v>
          </cell>
          <cell r="AH1288">
            <v>4.8</v>
          </cell>
          <cell r="AI1288" t="str">
            <v>Kalappa</v>
          </cell>
          <cell r="AJ1288" t="str">
            <v>Surgery</v>
          </cell>
          <cell r="AK1288" t="str">
            <v>Primary</v>
          </cell>
          <cell r="AL1288" t="str">
            <v>NA</v>
          </cell>
          <cell r="AV1288">
            <v>45688</v>
          </cell>
          <cell r="AW1288">
            <v>0.68888888888888888</v>
          </cell>
          <cell r="AX1288">
            <v>0.75486111111111109</v>
          </cell>
          <cell r="AY1288">
            <v>6.5972222222222224E-2</v>
          </cell>
          <cell r="AZ1288">
            <v>0.63541666666666663</v>
          </cell>
          <cell r="BA1288">
            <v>0.29305555555555557</v>
          </cell>
          <cell r="BB1288" t="str">
            <v>0.8*0.8/1.0*1.4/1.6</v>
          </cell>
          <cell r="BC1288" t="str">
            <v>NA</v>
          </cell>
          <cell r="BD1288" t="str">
            <v>Vibratome</v>
          </cell>
          <cell r="BE1288">
            <v>15</v>
          </cell>
          <cell r="BF1288" t="str">
            <v>chandan</v>
          </cell>
          <cell r="BG1288" t="str">
            <v>Y</v>
          </cell>
        </row>
        <row r="1289">
          <cell r="A1289" t="str">
            <v>FBR2F250030</v>
          </cell>
          <cell r="B1289">
            <v>250030</v>
          </cell>
          <cell r="C1289" t="str">
            <v>R&amp;D</v>
          </cell>
          <cell r="D1289">
            <v>45692</v>
          </cell>
          <cell r="E1289">
            <v>0.36666666666666664</v>
          </cell>
          <cell r="F1289">
            <v>45689</v>
          </cell>
          <cell r="G1289">
            <v>45692</v>
          </cell>
          <cell r="H1289">
            <v>0.5</v>
          </cell>
          <cell r="I1289">
            <v>0.13333333333333333</v>
          </cell>
          <cell r="J1289">
            <v>17</v>
          </cell>
          <cell r="K1289" t="str">
            <v>FCB-PROTOCOL-01</v>
          </cell>
          <cell r="L1289" t="str">
            <v>CLN/PRA/288</v>
          </cell>
          <cell r="M1289" t="str">
            <v>Y</v>
          </cell>
          <cell r="N1289" t="str">
            <v>ECR (2F)</v>
          </cell>
          <cell r="O1289" t="str">
            <v>Internal R&amp;D</v>
          </cell>
          <cell r="P1289" t="str">
            <v>Q1 Rejected</v>
          </cell>
          <cell r="Q1289" t="str">
            <v>Q1 Passed</v>
          </cell>
          <cell r="R1289" t="str">
            <v>Q1.5 Rejected</v>
          </cell>
          <cell r="S1289" t="str">
            <v>Rejected</v>
          </cell>
          <cell r="T1289" t="str">
            <v>Not Fit For Vibrotome</v>
          </cell>
          <cell r="U1289" t="str">
            <v>NA</v>
          </cell>
          <cell r="V1289" t="str">
            <v>Tumor content 0-85%.Tumor in one explant only.</v>
          </cell>
          <cell r="W1289" t="str">
            <v>Private Hospital</v>
          </cell>
          <cell r="X1289" t="str">
            <v>Dr Prakash BV, Bangalore</v>
          </cell>
          <cell r="Y1289" t="str">
            <v>Sri Lakshmi Hospital, Bangalore</v>
          </cell>
          <cell r="Z1289" t="str">
            <v>Dr Prakash BV, Bangalore</v>
          </cell>
          <cell r="AA1289" t="str">
            <v>HNSCC</v>
          </cell>
          <cell r="AC1289" t="str">
            <v>RMT</v>
          </cell>
          <cell r="AD1289" t="str">
            <v>Left RMT</v>
          </cell>
          <cell r="AE1289" t="str">
            <v>Male</v>
          </cell>
          <cell r="AF1289">
            <v>37</v>
          </cell>
          <cell r="AG1289" t="str">
            <v>N</v>
          </cell>
          <cell r="AH1289">
            <v>6.4</v>
          </cell>
          <cell r="AI1289" t="str">
            <v>Shashi</v>
          </cell>
          <cell r="AJ1289" t="str">
            <v>Surgery</v>
          </cell>
          <cell r="AK1289" t="str">
            <v>Primary</v>
          </cell>
          <cell r="AL1289" t="str">
            <v>NA</v>
          </cell>
          <cell r="AV1289">
            <v>45692</v>
          </cell>
          <cell r="AW1289">
            <v>0.51458333333333328</v>
          </cell>
          <cell r="AY12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12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2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89" t="str">
            <v>0.4-0.6*0.5-1.8*2.4</v>
          </cell>
          <cell r="BC1289" t="str">
            <v>NA</v>
          </cell>
          <cell r="BD1289" t="str">
            <v>Vibratome</v>
          </cell>
          <cell r="BE1289">
            <v>14</v>
          </cell>
          <cell r="BF1289" t="str">
            <v>Syam</v>
          </cell>
          <cell r="BG1289" t="str">
            <v>Y</v>
          </cell>
        </row>
        <row r="1290">
          <cell r="A1290" t="str">
            <v>FBR1K250031</v>
          </cell>
          <cell r="B1290">
            <v>250031</v>
          </cell>
          <cell r="C1290" t="str">
            <v>R&amp;D</v>
          </cell>
          <cell r="D1290">
            <v>45692</v>
          </cell>
          <cell r="E1290">
            <v>0.50694444444444442</v>
          </cell>
          <cell r="F1290">
            <v>45689</v>
          </cell>
          <cell r="G1290">
            <v>45692</v>
          </cell>
          <cell r="H1290">
            <v>0.55972222222222223</v>
          </cell>
          <cell r="I1290">
            <v>5.2777777777777778E-2</v>
          </cell>
          <cell r="J1290">
            <v>2</v>
          </cell>
          <cell r="K1290" t="str">
            <v>FCB-PROTOCOL-01</v>
          </cell>
          <cell r="L1290" t="str">
            <v>VYD/354</v>
          </cell>
          <cell r="M1290" t="str">
            <v>Y</v>
          </cell>
          <cell r="N1290" t="str">
            <v>DMS_v4(1K)</v>
          </cell>
          <cell r="O1290" t="str">
            <v>Internal R&amp;D</v>
          </cell>
          <cell r="P1290" t="str">
            <v>Q1 Passed</v>
          </cell>
          <cell r="Q1290" t="str">
            <v>Q1 Passed</v>
          </cell>
          <cell r="R1290" t="str">
            <v>Q1.5 Passed</v>
          </cell>
          <cell r="S1290" t="str">
            <v>Qualified</v>
          </cell>
          <cell r="T1290" t="str">
            <v>Nil</v>
          </cell>
          <cell r="U1290" t="str">
            <v>NA</v>
          </cell>
          <cell r="V1290" t="str">
            <v>Tumor content 75-85%</v>
          </cell>
          <cell r="W1290" t="str">
            <v>Private Hospital</v>
          </cell>
          <cell r="X1290" t="str">
            <v>Vydehi Hospital, Bangalore</v>
          </cell>
          <cell r="Y1290" t="str">
            <v>Vydehi Hospital, Bangalore</v>
          </cell>
          <cell r="Z1290" t="str">
            <v>Dr Amritha Prabha, Bangalore</v>
          </cell>
          <cell r="AA1290" t="str">
            <v>HNSCC</v>
          </cell>
          <cell r="AB1290" t="str">
            <v>NA</v>
          </cell>
          <cell r="AC1290" t="str">
            <v>Buccal Mucosa</v>
          </cell>
          <cell r="AD1290" t="str">
            <v>Left Buccal Mucosa</v>
          </cell>
          <cell r="AE1290" t="str">
            <v>Female</v>
          </cell>
          <cell r="AF1290">
            <v>54</v>
          </cell>
          <cell r="AG1290" t="str">
            <v>N</v>
          </cell>
          <cell r="AH1290">
            <v>5.8</v>
          </cell>
          <cell r="AI1290" t="str">
            <v>Kalappa</v>
          </cell>
          <cell r="AJ1290" t="str">
            <v>Surgery</v>
          </cell>
          <cell r="AK1290" t="str">
            <v>Primary</v>
          </cell>
          <cell r="AL1290" t="str">
            <v>NA</v>
          </cell>
          <cell r="AN1290" t="str">
            <v>III</v>
          </cell>
          <cell r="AO1290">
            <v>2</v>
          </cell>
          <cell r="AP1290" t="str">
            <v>pT3N0</v>
          </cell>
          <cell r="AV1290">
            <v>45692</v>
          </cell>
          <cell r="AW1290">
            <v>0.61875000000000002</v>
          </cell>
          <cell r="AX1290">
            <v>0.77222222222222225</v>
          </cell>
          <cell r="AY1290">
            <v>0.15347222222222223</v>
          </cell>
          <cell r="AZ1290">
            <v>0.71944444444444444</v>
          </cell>
          <cell r="BA1290">
            <v>0.26527777777777778</v>
          </cell>
          <cell r="BB1290" t="str">
            <v>0.2-0.4*2.8*3.4
0.2-0.7*2.6*1.8</v>
          </cell>
          <cell r="BC1290" t="str">
            <v>0.2-0.7*1.6*1.4
0.2-0.7*1.0-1.8*2.0
0.2-0.3*1.6*1.8
0.1-0.3*0.4-1.2*1.6</v>
          </cell>
          <cell r="BD1290" t="str">
            <v>Vibratome</v>
          </cell>
          <cell r="BE1290">
            <v>15</v>
          </cell>
          <cell r="BF1290" t="str">
            <v>Mouniss</v>
          </cell>
          <cell r="BG1290" t="str">
            <v>Y</v>
          </cell>
        </row>
        <row r="1291">
          <cell r="A1291">
            <v>250032</v>
          </cell>
          <cell r="B1291">
            <v>250032</v>
          </cell>
          <cell r="C1291" t="str">
            <v>R&amp;D</v>
          </cell>
          <cell r="D1291">
            <v>45694</v>
          </cell>
          <cell r="E1291">
            <v>0.46944444444444444</v>
          </cell>
          <cell r="F1291">
            <v>45689</v>
          </cell>
          <cell r="G1291">
            <v>45694</v>
          </cell>
          <cell r="H1291">
            <v>0.54513888888888884</v>
          </cell>
          <cell r="I1291">
            <v>7.5694444444444439E-2</v>
          </cell>
          <cell r="J1291">
            <v>4</v>
          </cell>
          <cell r="K1291" t="str">
            <v>FCB-PROTOCOL-01</v>
          </cell>
          <cell r="L1291" t="str">
            <v>VYD/355</v>
          </cell>
          <cell r="M1291" t="str">
            <v>Y</v>
          </cell>
          <cell r="N1291" t="str">
            <v>BioBank</v>
          </cell>
          <cell r="O1291" t="str">
            <v>Internal R&amp;D</v>
          </cell>
          <cell r="P1291" t="str">
            <v>Q1 Rejected</v>
          </cell>
          <cell r="Q1291" t="str">
            <v>Q1 Passed</v>
          </cell>
          <cell r="R1291" t="str">
            <v>Q1.5 Rejected</v>
          </cell>
          <cell r="S1291" t="str">
            <v>Rejected</v>
          </cell>
          <cell r="T1291" t="str">
            <v>Infected Patient</v>
          </cell>
          <cell r="U1291" t="str">
            <v>NA</v>
          </cell>
          <cell r="V1291" t="str">
            <v>Tumor content 40-85%</v>
          </cell>
          <cell r="W1291" t="str">
            <v>Private Hospital</v>
          </cell>
          <cell r="X1291" t="str">
            <v>Vydehi Hospital, Bangalore</v>
          </cell>
          <cell r="Y1291" t="str">
            <v>Vydehi Hospital, Bangalore</v>
          </cell>
          <cell r="Z1291" t="str">
            <v>Dr Amritha Prabha, Bangalore</v>
          </cell>
          <cell r="AA1291" t="str">
            <v>HNSCC</v>
          </cell>
          <cell r="AC1291" t="str">
            <v>GBS</v>
          </cell>
          <cell r="AD1291" t="str">
            <v>Left Lower GBS</v>
          </cell>
          <cell r="AE1291" t="str">
            <v>Male</v>
          </cell>
          <cell r="AF1291">
            <v>46</v>
          </cell>
          <cell r="AG1291" t="str">
            <v>Y</v>
          </cell>
          <cell r="AH1291">
            <v>6.5</v>
          </cell>
          <cell r="AI1291" t="str">
            <v>Kalappa</v>
          </cell>
          <cell r="AJ1291" t="str">
            <v>Surgery</v>
          </cell>
          <cell r="AK1291" t="str">
            <v>Primary</v>
          </cell>
          <cell r="AL1291" t="str">
            <v>NA</v>
          </cell>
          <cell r="AV1291">
            <v>45694</v>
          </cell>
          <cell r="AY1291">
            <v>0</v>
          </cell>
          <cell r="AZ129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29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C1291" t="str">
            <v>NA</v>
          </cell>
        </row>
        <row r="1292">
          <cell r="A1292" t="str">
            <v>FBR1K250033</v>
          </cell>
          <cell r="B1292">
            <v>250033</v>
          </cell>
          <cell r="C1292" t="str">
            <v>R&amp;D</v>
          </cell>
          <cell r="D1292">
            <v>45694</v>
          </cell>
          <cell r="E1292">
            <v>0.52430555555555558</v>
          </cell>
          <cell r="F1292">
            <v>45689</v>
          </cell>
          <cell r="G1292">
            <v>45694</v>
          </cell>
          <cell r="H1292">
            <v>0.875</v>
          </cell>
          <cell r="I1292">
            <v>0.35069444444444442</v>
          </cell>
          <cell r="J1292">
            <v>10</v>
          </cell>
          <cell r="K1292" t="str">
            <v>FCB-PROTOCOL-01</v>
          </cell>
          <cell r="L1292" t="str">
            <v>CLN/DBR/226</v>
          </cell>
          <cell r="M1292" t="str">
            <v>Y</v>
          </cell>
          <cell r="N1292" t="str">
            <v>DMS_v4(1K)</v>
          </cell>
          <cell r="O1292" t="str">
            <v>Internal R&amp;D</v>
          </cell>
          <cell r="P1292" t="str">
            <v>Q1 Passed</v>
          </cell>
          <cell r="Q1292" t="str">
            <v>Q1 Passed</v>
          </cell>
          <cell r="R1292" t="str">
            <v>Q1.5 Passed</v>
          </cell>
          <cell r="S1292" t="str">
            <v>Qualified</v>
          </cell>
          <cell r="T1292" t="str">
            <v>Nil</v>
          </cell>
          <cell r="U1292" t="str">
            <v>NA</v>
          </cell>
          <cell r="V1292" t="str">
            <v>Tumor content 45-65%</v>
          </cell>
          <cell r="W1292" t="str">
            <v>Private Hospital</v>
          </cell>
          <cell r="X1292" t="str">
            <v>Clinic'les- DBR &amp; SK Hospital, Tirupati</v>
          </cell>
          <cell r="Y1292" t="str">
            <v>DBR &amp; SK Hospital, Tirupati</v>
          </cell>
          <cell r="Z1292" t="str">
            <v>Dr C Jayaprakash, Tirupati</v>
          </cell>
          <cell r="AA1292" t="str">
            <v>HNSCC</v>
          </cell>
          <cell r="AB1292" t="str">
            <v>NA</v>
          </cell>
          <cell r="AC1292" t="str">
            <v>Buccal Mucosa</v>
          </cell>
          <cell r="AD1292" t="str">
            <v>Right Buccal Mucosa</v>
          </cell>
          <cell r="AE1292" t="str">
            <v>Male</v>
          </cell>
          <cell r="AF1292">
            <v>84</v>
          </cell>
          <cell r="AG1292" t="str">
            <v>N</v>
          </cell>
          <cell r="AH1292">
            <v>5.9</v>
          </cell>
          <cell r="AI1292" t="str">
            <v>Shashi</v>
          </cell>
          <cell r="AJ1292" t="str">
            <v>Surgery</v>
          </cell>
          <cell r="AK1292" t="str">
            <v>Primary</v>
          </cell>
          <cell r="AL1292" t="str">
            <v>NA</v>
          </cell>
          <cell r="AN1292" t="str">
            <v>IVb</v>
          </cell>
          <cell r="AP1292" t="str">
            <v>T4b N0 MX</v>
          </cell>
          <cell r="AS1292" t="str">
            <v>SSC</v>
          </cell>
          <cell r="AV1292">
            <v>45694</v>
          </cell>
          <cell r="AW1292">
            <v>0.90625</v>
          </cell>
          <cell r="AX1292">
            <v>0.97638888888888886</v>
          </cell>
          <cell r="AY1292">
            <v>7.013888888888889E-2</v>
          </cell>
          <cell r="AZ1292">
            <v>0.62569444444444444</v>
          </cell>
          <cell r="BA1292">
            <v>0.45208333333333334</v>
          </cell>
          <cell r="BB1292" t="str">
            <v>0.4-0.8*1.4*1.0-1.4
0.1-0.2*0.4-0.6*0.8
0.2*0.6-1.0*1.0-1.2</v>
          </cell>
          <cell r="BC1292" t="str">
            <v>NA</v>
          </cell>
          <cell r="BD1292" t="str">
            <v>Vibratome</v>
          </cell>
          <cell r="BE1292">
            <v>14</v>
          </cell>
          <cell r="BF1292" t="str">
            <v>Dharani</v>
          </cell>
          <cell r="BG1292" t="str">
            <v>Y</v>
          </cell>
        </row>
        <row r="1293">
          <cell r="A1293" t="str">
            <v>FBR1K250034</v>
          </cell>
          <cell r="B1293">
            <v>250034</v>
          </cell>
          <cell r="C1293" t="str">
            <v>R&amp;D</v>
          </cell>
          <cell r="D1293">
            <v>45695</v>
          </cell>
          <cell r="E1293">
            <v>0.49583333333333335</v>
          </cell>
          <cell r="F1293">
            <v>45689</v>
          </cell>
          <cell r="G1293">
            <v>45695</v>
          </cell>
          <cell r="H1293">
            <v>0.56805555555555554</v>
          </cell>
          <cell r="I1293">
            <v>7.2222222222222215E-2</v>
          </cell>
          <cell r="J1293">
            <v>1</v>
          </cell>
          <cell r="K1293" t="str">
            <v>FCB-PROTOCOL-01</v>
          </cell>
          <cell r="L1293" t="str">
            <v>VYD/356</v>
          </cell>
          <cell r="M1293" t="str">
            <v>Y</v>
          </cell>
          <cell r="N1293" t="str">
            <v>DMS_v4(1K)</v>
          </cell>
          <cell r="O1293" t="str">
            <v>Internal R&amp;D</v>
          </cell>
          <cell r="P1293" t="str">
            <v>Q1 Passed</v>
          </cell>
          <cell r="Q1293" t="str">
            <v>Q1 Passed</v>
          </cell>
          <cell r="R1293" t="str">
            <v>Q1.5 Passed</v>
          </cell>
          <cell r="S1293" t="str">
            <v>Qualified</v>
          </cell>
          <cell r="T1293" t="str">
            <v>Nil</v>
          </cell>
          <cell r="U1293" t="str">
            <v>NA</v>
          </cell>
          <cell r="V1293" t="str">
            <v>Tumor content 45-88%</v>
          </cell>
          <cell r="W1293" t="str">
            <v>Private Hospital</v>
          </cell>
          <cell r="X1293" t="str">
            <v>Vydehi Hospital, Bangalore</v>
          </cell>
          <cell r="Y1293" t="str">
            <v>Vydehi Hospital, Bangalore</v>
          </cell>
          <cell r="Z1293" t="str">
            <v>Dr Amritha Prabha, Bangalore</v>
          </cell>
          <cell r="AA1293" t="str">
            <v>HNSCC</v>
          </cell>
          <cell r="AB1293" t="str">
            <v>NA</v>
          </cell>
          <cell r="AC1293" t="str">
            <v>Buccal Mucosa</v>
          </cell>
          <cell r="AD1293" t="str">
            <v>Left Buccal Mucosa</v>
          </cell>
          <cell r="AE1293" t="str">
            <v>Female</v>
          </cell>
          <cell r="AF1293">
            <v>48</v>
          </cell>
          <cell r="AG1293" t="str">
            <v>N</v>
          </cell>
          <cell r="AH1293">
            <v>5.7</v>
          </cell>
          <cell r="AI1293" t="str">
            <v>Kalappa</v>
          </cell>
          <cell r="AJ1293" t="str">
            <v>Surgery</v>
          </cell>
          <cell r="AK1293" t="str">
            <v>Primary</v>
          </cell>
          <cell r="AL1293" t="str">
            <v>NA</v>
          </cell>
          <cell r="AN1293" t="str">
            <v>III</v>
          </cell>
          <cell r="AO1293">
            <v>2</v>
          </cell>
          <cell r="AP1293" t="str">
            <v>T3N0</v>
          </cell>
          <cell r="AV1293">
            <v>45695</v>
          </cell>
          <cell r="AW1293">
            <v>0.59097222222222223</v>
          </cell>
          <cell r="AX1293">
            <v>0.65555555555555556</v>
          </cell>
          <cell r="AY1293">
            <v>6.458333333333334E-2</v>
          </cell>
          <cell r="AZ1293">
            <v>0.58333333333333337</v>
          </cell>
          <cell r="BA1293">
            <v>0.15972222222222221</v>
          </cell>
          <cell r="BB1293" t="str">
            <v>0.6*1.2*1.8</v>
          </cell>
          <cell r="BC1293" t="str">
            <v>NA</v>
          </cell>
          <cell r="BD1293" t="str">
            <v>Vibratome</v>
          </cell>
          <cell r="BE1293">
            <v>14</v>
          </cell>
          <cell r="BF1293" t="str">
            <v>kuberan</v>
          </cell>
          <cell r="BG1293" t="str">
            <v>Y</v>
          </cell>
        </row>
        <row r="1294">
          <cell r="A1294" t="str">
            <v>FBR1K250035</v>
          </cell>
          <cell r="B1294">
            <v>250035</v>
          </cell>
          <cell r="C1294" t="str">
            <v>R&amp;D</v>
          </cell>
          <cell r="D1294">
            <v>45695</v>
          </cell>
          <cell r="E1294">
            <v>0.49305555555555558</v>
          </cell>
          <cell r="F1294">
            <v>45689</v>
          </cell>
          <cell r="G1294">
            <v>45695</v>
          </cell>
          <cell r="H1294">
            <v>0.90694444444444444</v>
          </cell>
          <cell r="I1294">
            <v>0.41388888888888886</v>
          </cell>
          <cell r="J1294">
            <v>10</v>
          </cell>
          <cell r="K1294" t="str">
            <v>FCB-PROTOCOL-01</v>
          </cell>
          <cell r="L1294" t="str">
            <v>CLN/DBR/227</v>
          </cell>
          <cell r="M1294" t="str">
            <v>Y</v>
          </cell>
          <cell r="N1294" t="str">
            <v>DMS_v4(1K)</v>
          </cell>
          <cell r="O1294" t="str">
            <v>Internal R&amp;D</v>
          </cell>
          <cell r="P1294" t="str">
            <v>Q1 Passed</v>
          </cell>
          <cell r="Q1294" t="str">
            <v>Q1 Passed</v>
          </cell>
          <cell r="R1294" t="str">
            <v>Q1.5 Passed</v>
          </cell>
          <cell r="S1294" t="str">
            <v>Qualified</v>
          </cell>
          <cell r="T1294" t="str">
            <v>Nil</v>
          </cell>
          <cell r="U1294" t="str">
            <v>NA</v>
          </cell>
          <cell r="V1294" t="str">
            <v>Tumor content 35-75% with high immune component</v>
          </cell>
          <cell r="W1294" t="str">
            <v>Private Hospital</v>
          </cell>
          <cell r="X1294" t="str">
            <v>Clinic'les- DBR &amp; SK Hospital, Tirupati</v>
          </cell>
          <cell r="Y1294" t="str">
            <v>DBR &amp; SK Hospital, Tirupati</v>
          </cell>
          <cell r="Z1294" t="str">
            <v>Dr C Jayaprakash, Tirupati</v>
          </cell>
          <cell r="AA1294" t="str">
            <v>HNSCC</v>
          </cell>
          <cell r="AB1294" t="str">
            <v>NA</v>
          </cell>
          <cell r="AC1294" t="str">
            <v>Tongue</v>
          </cell>
          <cell r="AD1294" t="str">
            <v>Tongue</v>
          </cell>
          <cell r="AE1294" t="str">
            <v>Female</v>
          </cell>
          <cell r="AF1294">
            <v>53</v>
          </cell>
          <cell r="AG1294" t="str">
            <v>N</v>
          </cell>
          <cell r="AH1294">
            <v>6.2</v>
          </cell>
          <cell r="AI1294" t="str">
            <v>Maruthi</v>
          </cell>
          <cell r="AJ1294" t="str">
            <v>Surgery</v>
          </cell>
          <cell r="AK1294" t="str">
            <v>Primary</v>
          </cell>
          <cell r="AL1294" t="str">
            <v>NA</v>
          </cell>
          <cell r="AN1294" t="str">
            <v>III</v>
          </cell>
          <cell r="AP1294" t="str">
            <v>T3 N0 MX</v>
          </cell>
          <cell r="AS1294" t="str">
            <v>SSC</v>
          </cell>
          <cell r="AV1294">
            <v>45696</v>
          </cell>
          <cell r="AW1294">
            <v>0.28819444444444442</v>
          </cell>
          <cell r="AX1294">
            <v>0.35902777777777778</v>
          </cell>
          <cell r="AY1294">
            <v>7.0833333333333331E-2</v>
          </cell>
          <cell r="AZ1294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294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294" t="str">
            <v>0.8*0.9*2.0</v>
          </cell>
          <cell r="BC1294" t="str">
            <v>NA</v>
          </cell>
          <cell r="BD1294" t="str">
            <v>Vibratome</v>
          </cell>
          <cell r="BE1294">
            <v>14</v>
          </cell>
          <cell r="BF1294" t="str">
            <v>kuberan</v>
          </cell>
          <cell r="BG1294" t="str">
            <v>Y</v>
          </cell>
        </row>
        <row r="1295">
          <cell r="A1295" t="str">
            <v>FBR1K250036</v>
          </cell>
          <cell r="B1295">
            <v>250036</v>
          </cell>
          <cell r="C1295" t="str">
            <v>R&amp;D</v>
          </cell>
          <cell r="D1295">
            <v>45701</v>
          </cell>
          <cell r="E1295">
            <v>0.35625000000000001</v>
          </cell>
          <cell r="F1295">
            <v>45689</v>
          </cell>
          <cell r="G1295">
            <v>45701</v>
          </cell>
          <cell r="H1295">
            <v>0.62361111111111112</v>
          </cell>
          <cell r="I1295">
            <v>0.2673611111111111</v>
          </cell>
          <cell r="J1295">
            <v>7</v>
          </cell>
          <cell r="K1295" t="str">
            <v>FCB-PROTOCOL-01</v>
          </cell>
          <cell r="L1295" t="str">
            <v>CLN/PRA/289</v>
          </cell>
          <cell r="M1295" t="str">
            <v>Y</v>
          </cell>
          <cell r="N1295" t="str">
            <v>DMS_v4(1K)</v>
          </cell>
          <cell r="O1295" t="str">
            <v>Internal R&amp;D</v>
          </cell>
          <cell r="P1295" t="str">
            <v>Q1 Passed</v>
          </cell>
          <cell r="Q1295" t="str">
            <v>Q1 Passed</v>
          </cell>
          <cell r="R1295" t="str">
            <v>Q1 Passed</v>
          </cell>
          <cell r="S1295" t="str">
            <v>Q1 Passed</v>
          </cell>
          <cell r="T1295" t="str">
            <v>Nil</v>
          </cell>
          <cell r="U1295" t="str">
            <v>NA</v>
          </cell>
          <cell r="V1295" t="str">
            <v>Tumor content 12-75%</v>
          </cell>
          <cell r="W1295" t="str">
            <v>Private Hospital</v>
          </cell>
          <cell r="X1295" t="str">
            <v>Dr Prakash BV, Bangalore</v>
          </cell>
          <cell r="Y1295" t="str">
            <v>Sri Lakshmi Hospital, Bangalore</v>
          </cell>
          <cell r="Z1295" t="str">
            <v>Dr Prakash BV, Bangalore</v>
          </cell>
          <cell r="AA1295" t="str">
            <v>HNSCC</v>
          </cell>
          <cell r="AB1295" t="str">
            <v>NA</v>
          </cell>
          <cell r="AC1295" t="str">
            <v>RMT</v>
          </cell>
          <cell r="AD1295" t="str">
            <v>Left RMT</v>
          </cell>
          <cell r="AE1295" t="str">
            <v>Male</v>
          </cell>
          <cell r="AF1295">
            <v>49</v>
          </cell>
          <cell r="AG1295" t="str">
            <v>N</v>
          </cell>
          <cell r="AH1295">
            <v>6.5</v>
          </cell>
          <cell r="AI1295" t="str">
            <v>Kalappa</v>
          </cell>
          <cell r="AJ1295" t="str">
            <v>Surgery</v>
          </cell>
          <cell r="AK1295" t="str">
            <v>Primary</v>
          </cell>
          <cell r="AL1295" t="str">
            <v>NA</v>
          </cell>
          <cell r="AN1295" t="str">
            <v>IVa</v>
          </cell>
          <cell r="AO1295">
            <v>2</v>
          </cell>
          <cell r="AP1295" t="str">
            <v>pT4aN0M0</v>
          </cell>
          <cell r="AS1295" t="str">
            <v>SCC</v>
          </cell>
          <cell r="AV1295">
            <v>45701</v>
          </cell>
          <cell r="AW1295">
            <v>0.64583333333333337</v>
          </cell>
          <cell r="AX1295">
            <v>0.73750000000000004</v>
          </cell>
          <cell r="AY1295">
            <v>9.166666666666666E-2</v>
          </cell>
          <cell r="AZ1295">
            <v>0.47013888888888888</v>
          </cell>
          <cell r="BA1295">
            <v>0.38124999999999998</v>
          </cell>
          <cell r="BB1295" t="str">
            <v>0.4*2.4*0.9-1.5</v>
          </cell>
          <cell r="BC1295" t="str">
            <v>NA</v>
          </cell>
          <cell r="BD1295" t="str">
            <v>Vibratome</v>
          </cell>
          <cell r="BE1295">
            <v>14</v>
          </cell>
          <cell r="BF1295" t="str">
            <v>Abdul</v>
          </cell>
          <cell r="BG1295" t="str">
            <v>Y</v>
          </cell>
        </row>
        <row r="1296">
          <cell r="A1296" t="str">
            <v>FBR1K250037</v>
          </cell>
          <cell r="B1296">
            <v>250037</v>
          </cell>
          <cell r="C1296" t="str">
            <v>R&amp;D</v>
          </cell>
          <cell r="D1296">
            <v>45701</v>
          </cell>
          <cell r="E1296">
            <v>0.52430555555555558</v>
          </cell>
          <cell r="F1296">
            <v>45689</v>
          </cell>
          <cell r="G1296">
            <v>45701</v>
          </cell>
          <cell r="H1296">
            <v>0.62361111111111112</v>
          </cell>
          <cell r="I1296">
            <v>9.930555555555555E-2</v>
          </cell>
          <cell r="J1296">
            <v>10</v>
          </cell>
          <cell r="K1296" t="str">
            <v>FCB-PROTOCOL-01</v>
          </cell>
          <cell r="L1296" t="str">
            <v>CLN/PRA/290</v>
          </cell>
          <cell r="M1296" t="str">
            <v>Y</v>
          </cell>
          <cell r="N1296" t="str">
            <v>DMS_v4(1K)</v>
          </cell>
          <cell r="O1296" t="str">
            <v>Internal R&amp;D</v>
          </cell>
          <cell r="P1296" t="str">
            <v>Q1 Passed</v>
          </cell>
          <cell r="Q1296" t="str">
            <v>Q1 Passed</v>
          </cell>
          <cell r="R1296" t="str">
            <v>Q1 Passed</v>
          </cell>
          <cell r="S1296" t="str">
            <v>Q1 Passed</v>
          </cell>
          <cell r="T1296" t="str">
            <v>Nil</v>
          </cell>
          <cell r="U1296" t="str">
            <v>NA</v>
          </cell>
          <cell r="V1296" t="str">
            <v>Tumor content 12-60%</v>
          </cell>
          <cell r="W1296" t="str">
            <v>Private Hospital</v>
          </cell>
          <cell r="X1296" t="str">
            <v>Dr Prakash BV, Bangalore</v>
          </cell>
          <cell r="Y1296" t="str">
            <v>Sri Lakshmi Hospital, Bangalore</v>
          </cell>
          <cell r="Z1296" t="str">
            <v>Dr Prakash BV, Bangalore</v>
          </cell>
          <cell r="AA1296" t="str">
            <v>HNSCC</v>
          </cell>
          <cell r="AB1296" t="str">
            <v>NA</v>
          </cell>
          <cell r="AC1296" t="str">
            <v>Tongue</v>
          </cell>
          <cell r="AD1296" t="str">
            <v>Right Lateral Tongue</v>
          </cell>
          <cell r="AE1296" t="str">
            <v>Male</v>
          </cell>
          <cell r="AF1296">
            <v>62</v>
          </cell>
          <cell r="AG1296" t="str">
            <v>N</v>
          </cell>
          <cell r="AH1296">
            <v>6.5</v>
          </cell>
          <cell r="AI1296" t="str">
            <v>Kalappa</v>
          </cell>
          <cell r="AJ1296" t="str">
            <v>Surgery</v>
          </cell>
          <cell r="AK1296" t="str">
            <v>Primary</v>
          </cell>
          <cell r="AL1296" t="str">
            <v>NA</v>
          </cell>
          <cell r="AN1296" t="str">
            <v>IVa</v>
          </cell>
          <cell r="AO1296">
            <v>3</v>
          </cell>
          <cell r="AP1296" t="str">
            <v>pT2N2bM0</v>
          </cell>
          <cell r="AS1296" t="str">
            <v>SCC</v>
          </cell>
          <cell r="AV1296">
            <v>45701</v>
          </cell>
          <cell r="AW1296">
            <v>0.64375000000000004</v>
          </cell>
          <cell r="AX1296">
            <v>0.70972222222222225</v>
          </cell>
          <cell r="AY1296">
            <v>6.5972222222222224E-2</v>
          </cell>
          <cell r="AZ1296">
            <v>0.61041666666666672</v>
          </cell>
          <cell r="BA1296">
            <v>0.18541666666666667</v>
          </cell>
          <cell r="BB1296" t="str">
            <v>0.2-0.4*0.8*2.3</v>
          </cell>
          <cell r="BC1296" t="str">
            <v>NA</v>
          </cell>
          <cell r="BD1296" t="str">
            <v>Vibratome</v>
          </cell>
          <cell r="BE1296">
            <v>14</v>
          </cell>
          <cell r="BF1296" t="str">
            <v>Syam</v>
          </cell>
          <cell r="BG1296" t="str">
            <v>Y</v>
          </cell>
        </row>
        <row r="1297">
          <cell r="A1297">
            <v>250038</v>
          </cell>
          <cell r="B1297">
            <v>250038</v>
          </cell>
          <cell r="C1297" t="str">
            <v>R&amp;D</v>
          </cell>
          <cell r="D1297">
            <v>45701</v>
          </cell>
          <cell r="E1297">
            <v>0.64236111111111116</v>
          </cell>
          <cell r="F1297">
            <v>45689</v>
          </cell>
          <cell r="G1297">
            <v>45701</v>
          </cell>
          <cell r="H1297">
            <v>0.69166666666666665</v>
          </cell>
          <cell r="I1297">
            <v>4.9305555555555554E-2</v>
          </cell>
          <cell r="J1297">
            <v>5</v>
          </cell>
          <cell r="K1297" t="str">
            <v>FCB-PROTOCOL-01</v>
          </cell>
          <cell r="L1297" t="str">
            <v>CLN/PRA/291</v>
          </cell>
          <cell r="M1297" t="str">
            <v>Y</v>
          </cell>
          <cell r="N1297" t="str">
            <v>BioBank</v>
          </cell>
          <cell r="O1297" t="str">
            <v>Internal R&amp;D</v>
          </cell>
          <cell r="P1297" t="str">
            <v>Q1 Passed</v>
          </cell>
          <cell r="Q1297" t="str">
            <v>Q1 Passed</v>
          </cell>
          <cell r="R1297" t="str">
            <v>Q1.5 Rejected</v>
          </cell>
          <cell r="S1297" t="str">
            <v>Rejected</v>
          </cell>
          <cell r="T1297" t="str">
            <v>Not Fit For Vibrotome</v>
          </cell>
          <cell r="U1297" t="str">
            <v>NA</v>
          </cell>
          <cell r="V1297" t="str">
            <v>FFPE</v>
          </cell>
          <cell r="W1297" t="str">
            <v>Private Hospital</v>
          </cell>
          <cell r="X1297" t="str">
            <v>Dr Prakash BV, Bangalore</v>
          </cell>
          <cell r="Y1297" t="str">
            <v>Sri Lakshmi Hospital, Bangalore</v>
          </cell>
          <cell r="Z1297" t="str">
            <v>Dr Prakash BV, Bangalore</v>
          </cell>
          <cell r="AA1297" t="str">
            <v>HNSCC</v>
          </cell>
          <cell r="AC1297" t="str">
            <v>Soft palate</v>
          </cell>
          <cell r="AD1297" t="str">
            <v>Soft Palate</v>
          </cell>
          <cell r="AE1297" t="str">
            <v>Female</v>
          </cell>
          <cell r="AF1297">
            <v>63</v>
          </cell>
          <cell r="AG1297" t="str">
            <v>N</v>
          </cell>
          <cell r="AH1297">
            <v>5.8</v>
          </cell>
          <cell r="AI1297" t="str">
            <v>Shashi</v>
          </cell>
          <cell r="AJ1297" t="str">
            <v>Surgery</v>
          </cell>
          <cell r="AK1297" t="str">
            <v>Primary</v>
          </cell>
          <cell r="AL1297" t="str">
            <v>NA</v>
          </cell>
          <cell r="AN1297" t="str">
            <v>IVa</v>
          </cell>
          <cell r="AO1297">
            <v>2</v>
          </cell>
          <cell r="AP1297" t="str">
            <v>pT3N1M0</v>
          </cell>
          <cell r="AS1297" t="str">
            <v>SCC</v>
          </cell>
          <cell r="AV1297">
            <v>45701</v>
          </cell>
          <cell r="AW1297">
            <v>0.71458333333333335</v>
          </cell>
          <cell r="AX1297" t="str">
            <v>NA</v>
          </cell>
          <cell r="BB1297" t="str">
            <v>0.2-0.3*0.4-1.4*2.6</v>
          </cell>
          <cell r="BC1297" t="str">
            <v>NA</v>
          </cell>
          <cell r="BD1297" t="str">
            <v>Vibratome</v>
          </cell>
          <cell r="BE1297">
            <v>14</v>
          </cell>
          <cell r="BF1297" t="str">
            <v xml:space="preserve">sai </v>
          </cell>
          <cell r="BG1297" t="str">
            <v>Y</v>
          </cell>
        </row>
        <row r="1298">
          <cell r="A1298" t="str">
            <v>FBR1J250039</v>
          </cell>
          <cell r="B1298">
            <v>250039</v>
          </cell>
          <cell r="C1298" t="str">
            <v>R&amp;D</v>
          </cell>
          <cell r="D1298">
            <v>45702</v>
          </cell>
          <cell r="E1298">
            <v>0.51666666666666672</v>
          </cell>
          <cell r="F1298">
            <v>45689</v>
          </cell>
          <cell r="G1298">
            <v>45702</v>
          </cell>
          <cell r="H1298">
            <v>0.51666666666666672</v>
          </cell>
          <cell r="I1298">
            <v>0</v>
          </cell>
          <cell r="J1298">
            <v>6</v>
          </cell>
          <cell r="K1298" t="str">
            <v>FCB-PROTOCOL-01</v>
          </cell>
          <cell r="L1298" t="str">
            <v>CLN/PRA/292</v>
          </cell>
          <cell r="M1298" t="str">
            <v>Y</v>
          </cell>
          <cell r="N1298" t="str">
            <v>COS_v3.0-Gastric (1J)</v>
          </cell>
          <cell r="O1298" t="str">
            <v>Internal R&amp;D</v>
          </cell>
          <cell r="P1298" t="str">
            <v>Q1 Passed</v>
          </cell>
          <cell r="Q1298" t="str">
            <v>Q1 Passed</v>
          </cell>
          <cell r="R1298" t="str">
            <v>Q1.5 Passed</v>
          </cell>
          <cell r="S1298" t="str">
            <v>Qualified</v>
          </cell>
          <cell r="T1298" t="str">
            <v>Nil</v>
          </cell>
          <cell r="U1298" t="str">
            <v>NA</v>
          </cell>
          <cell r="V1298" t="str">
            <v>Tumor content 2-8%</v>
          </cell>
          <cell r="W1298" t="str">
            <v>Private Hospital</v>
          </cell>
          <cell r="X1298" t="str">
            <v>Dr Prakash BV, Bangalore</v>
          </cell>
          <cell r="Y1298" t="str">
            <v>Sri Lakshmi Hospital, Bangalore</v>
          </cell>
          <cell r="Z1298" t="str">
            <v>Dr Prakash BV, Bangalore</v>
          </cell>
          <cell r="AA1298" t="str">
            <v>GI</v>
          </cell>
          <cell r="AB1298" t="str">
            <v>NA</v>
          </cell>
          <cell r="AC1298" t="str">
            <v>Stomach</v>
          </cell>
          <cell r="AD1298" t="str">
            <v>OG Junction / Fundus of Stomach</v>
          </cell>
          <cell r="AE1298" t="str">
            <v>Female</v>
          </cell>
          <cell r="AF1298">
            <v>60</v>
          </cell>
          <cell r="AG1298" t="str">
            <v>N</v>
          </cell>
          <cell r="AH1298">
            <v>5.9</v>
          </cell>
          <cell r="AI1298" t="str">
            <v>Kalappa</v>
          </cell>
          <cell r="AJ1298" t="str">
            <v>Surgery</v>
          </cell>
          <cell r="AK1298" t="str">
            <v>Primary</v>
          </cell>
          <cell r="AL1298" t="str">
            <v>NA</v>
          </cell>
          <cell r="AN1298" t="str">
            <v>II</v>
          </cell>
          <cell r="AO1298">
            <v>2</v>
          </cell>
          <cell r="AP1298" t="str">
            <v>pT2N1M0</v>
          </cell>
          <cell r="AS1298" t="str">
            <v>Adenocarcinoma</v>
          </cell>
          <cell r="AV1298">
            <v>45702</v>
          </cell>
          <cell r="AW1298">
            <v>0.71180555555555558</v>
          </cell>
          <cell r="AX1298">
            <v>0.75555555555555554</v>
          </cell>
          <cell r="AY1298">
            <v>4.3749999999999997E-2</v>
          </cell>
          <cell r="AZ1298">
            <v>0.75555555555555554</v>
          </cell>
          <cell r="BA1298">
            <v>0.2388888888888889</v>
          </cell>
          <cell r="BB1298" t="str">
            <v>0.2*0.2-0.5*0.7
0.3*0.3-0.6*0.8
0.2-0.3*0.8-1.1*0.6-1.4</v>
          </cell>
          <cell r="BC1298" t="str">
            <v>NA</v>
          </cell>
          <cell r="BD1298" t="str">
            <v>Manual</v>
          </cell>
          <cell r="BE1298">
            <v>13</v>
          </cell>
          <cell r="BF1298" t="str">
            <v>Mouniss</v>
          </cell>
          <cell r="BG1298" t="str">
            <v>Y</v>
          </cell>
        </row>
        <row r="1299">
          <cell r="A1299">
            <v>250040</v>
          </cell>
          <cell r="B1299">
            <v>250040</v>
          </cell>
          <cell r="C1299" t="str">
            <v>R&amp;D</v>
          </cell>
          <cell r="D1299">
            <v>45702</v>
          </cell>
          <cell r="E1299">
            <v>0.50347222222222221</v>
          </cell>
          <cell r="F1299">
            <v>45689</v>
          </cell>
          <cell r="G1299">
            <v>45702</v>
          </cell>
          <cell r="H1299">
            <v>0.8618055555555556</v>
          </cell>
          <cell r="I1299">
            <v>0.35833333333333334</v>
          </cell>
          <cell r="J1299">
            <v>10</v>
          </cell>
          <cell r="K1299" t="str">
            <v>FCB-PROTOCOL-01</v>
          </cell>
          <cell r="L1299" t="str">
            <v>CLN/DBR/228</v>
          </cell>
          <cell r="M1299" t="str">
            <v>Y</v>
          </cell>
          <cell r="N1299" t="str">
            <v>BioBank</v>
          </cell>
          <cell r="O1299" t="str">
            <v>Internal R&amp;D</v>
          </cell>
          <cell r="P1299" t="str">
            <v>Q1 Passed</v>
          </cell>
          <cell r="Q1299" t="str">
            <v>Q1 Passed</v>
          </cell>
          <cell r="R1299" t="str">
            <v>Q1.5 Rejected</v>
          </cell>
          <cell r="S1299" t="str">
            <v>Rejected</v>
          </cell>
          <cell r="T1299" t="str">
            <v>Nil</v>
          </cell>
          <cell r="U1299" t="str">
            <v>NA</v>
          </cell>
          <cell r="V1299" t="str">
            <v>FFPE</v>
          </cell>
          <cell r="W1299" t="str">
            <v>Private Hospital</v>
          </cell>
          <cell r="X1299" t="str">
            <v>Clinic'les- DBR &amp; SK Hospital, Tirupati</v>
          </cell>
          <cell r="Y1299" t="str">
            <v>DBR &amp; SK Hospital, Tirupati</v>
          </cell>
          <cell r="Z1299" t="str">
            <v>Dr C Jayaprakash, Tirupati</v>
          </cell>
          <cell r="AA1299" t="str">
            <v>HNSCC</v>
          </cell>
          <cell r="AB1299" t="str">
            <v>NA</v>
          </cell>
          <cell r="AC1299" t="str">
            <v>Buccal Mucosa</v>
          </cell>
          <cell r="AD1299" t="str">
            <v>Right Buccal Mucosa</v>
          </cell>
          <cell r="AE1299" t="str">
            <v>Female</v>
          </cell>
          <cell r="AF1299">
            <v>59</v>
          </cell>
          <cell r="AG1299" t="str">
            <v>N</v>
          </cell>
          <cell r="AH1299">
            <v>6.3</v>
          </cell>
          <cell r="AI1299" t="str">
            <v>Maruthi</v>
          </cell>
          <cell r="AJ1299" t="str">
            <v>Surgery</v>
          </cell>
          <cell r="AK1299" t="str">
            <v>Primary</v>
          </cell>
          <cell r="AL1299" t="str">
            <v>NA</v>
          </cell>
          <cell r="AN1299" t="str">
            <v>IVb</v>
          </cell>
          <cell r="AP1299" t="str">
            <v xml:space="preserve">T4b N0 MX </v>
          </cell>
          <cell r="AS1299" t="str">
            <v>SCC</v>
          </cell>
          <cell r="AV1299">
            <v>45702</v>
          </cell>
          <cell r="AW1299">
            <v>0.87847222222222221</v>
          </cell>
          <cell r="BB1299" t="str">
            <v>0.6/0.8*1.0*2.0/1.8</v>
          </cell>
          <cell r="BC1299" t="str">
            <v>NA</v>
          </cell>
          <cell r="BD1299" t="str">
            <v>Vibratome</v>
          </cell>
          <cell r="BE1299">
            <v>15</v>
          </cell>
          <cell r="BF1299" t="str">
            <v>chandan</v>
          </cell>
          <cell r="BG1299" t="str">
            <v>Y</v>
          </cell>
        </row>
        <row r="1300">
          <cell r="A1300" t="str">
            <v>FBR2S250041</v>
          </cell>
          <cell r="B1300">
            <v>250041</v>
          </cell>
          <cell r="C1300" t="str">
            <v>R&amp;D</v>
          </cell>
          <cell r="D1300">
            <v>45705</v>
          </cell>
          <cell r="E1300">
            <v>0.59166666666666667</v>
          </cell>
          <cell r="F1300">
            <v>45689</v>
          </cell>
          <cell r="G1300">
            <v>45705</v>
          </cell>
          <cell r="H1300">
            <v>0.63194444444444442</v>
          </cell>
          <cell r="I1300">
            <v>4.027777777777778E-2</v>
          </cell>
          <cell r="J1300">
            <v>3</v>
          </cell>
          <cell r="K1300" t="str">
            <v>FCB-PROTOCOL-01</v>
          </cell>
          <cell r="L1300" t="str">
            <v>CLN/PRA/293</v>
          </cell>
          <cell r="M1300" t="str">
            <v>Y</v>
          </cell>
          <cell r="N1300" t="str">
            <v>Cos V1 (2S)</v>
          </cell>
          <cell r="O1300" t="str">
            <v>Internal R&amp;D</v>
          </cell>
          <cell r="P1300" t="str">
            <v>Q1 Passed</v>
          </cell>
          <cell r="Q1300" t="str">
            <v>Q1 Passed</v>
          </cell>
          <cell r="R1300" t="str">
            <v>Q1.5 Passed</v>
          </cell>
          <cell r="S1300" t="str">
            <v>Qualified</v>
          </cell>
          <cell r="T1300" t="str">
            <v>Nil</v>
          </cell>
          <cell r="U1300" t="str">
            <v>NA</v>
          </cell>
          <cell r="V1300" t="str">
            <v>Tumor content 15-60%   Signet ring cell carcinoma</v>
          </cell>
          <cell r="W1300" t="str">
            <v>Private Hospital</v>
          </cell>
          <cell r="X1300" t="str">
            <v>Dr Prakash BV, Bangalore</v>
          </cell>
          <cell r="Y1300" t="str">
            <v>Sri Lakshmi Hospital, Bangalore</v>
          </cell>
          <cell r="Z1300" t="str">
            <v>Dr Prakash BV, Bangalore</v>
          </cell>
          <cell r="AA1300" t="str">
            <v>CRC</v>
          </cell>
          <cell r="AB1300" t="str">
            <v>NA</v>
          </cell>
          <cell r="AC1300" t="str">
            <v>Rectosigmoid</v>
          </cell>
          <cell r="AD1300" t="str">
            <v>Rectosigmoid</v>
          </cell>
          <cell r="AE1300" t="str">
            <v>Male</v>
          </cell>
          <cell r="AF1300">
            <v>50</v>
          </cell>
          <cell r="AG1300" t="str">
            <v>N</v>
          </cell>
          <cell r="AH1300">
            <v>6.8</v>
          </cell>
          <cell r="AI1300" t="str">
            <v>Shashi</v>
          </cell>
          <cell r="AJ1300" t="str">
            <v>Surgery</v>
          </cell>
          <cell r="AK1300" t="str">
            <v>Primary</v>
          </cell>
          <cell r="AL1300" t="str">
            <v>NA</v>
          </cell>
          <cell r="AN1300" t="str">
            <v>III</v>
          </cell>
          <cell r="AO1300">
            <v>2</v>
          </cell>
          <cell r="AP1300" t="str">
            <v>pT3N1M0</v>
          </cell>
          <cell r="AS1300" t="str">
            <v>SCC</v>
          </cell>
          <cell r="AV1300">
            <v>45705</v>
          </cell>
          <cell r="AW1300">
            <v>0.64652777777777781</v>
          </cell>
          <cell r="AX1300">
            <v>0.73472222222222228</v>
          </cell>
          <cell r="AY1300">
            <v>8.819444444444445E-2</v>
          </cell>
          <cell r="AZ1300">
            <v>0.69444444444444442</v>
          </cell>
          <cell r="BA1300">
            <v>0.14305555555555555</v>
          </cell>
          <cell r="BB1300" t="str">
            <v>1.0*1.4*1.8
1.2*2.8*2.8-3.0</v>
          </cell>
          <cell r="BC1300" t="str">
            <v>NA</v>
          </cell>
          <cell r="BD1300" t="str">
            <v>Vibratome</v>
          </cell>
          <cell r="BE1300">
            <v>13</v>
          </cell>
          <cell r="BF1300" t="str">
            <v>Syam</v>
          </cell>
          <cell r="BG1300" t="str">
            <v>Y</v>
          </cell>
        </row>
        <row r="1301">
          <cell r="A1301" t="str">
            <v>FBR1K250042</v>
          </cell>
          <cell r="B1301">
            <v>250042</v>
          </cell>
          <cell r="C1301" t="str">
            <v>R&amp;D</v>
          </cell>
          <cell r="D1301">
            <v>45708</v>
          </cell>
          <cell r="E1301">
            <v>0.42638888888888887</v>
          </cell>
          <cell r="F1301">
            <v>45689</v>
          </cell>
          <cell r="G1301">
            <v>45708</v>
          </cell>
          <cell r="H1301">
            <v>0.57847222222222228</v>
          </cell>
          <cell r="I1301">
            <v>0.15208333333333332</v>
          </cell>
          <cell r="J1301">
            <v>1</v>
          </cell>
          <cell r="K1301" t="str">
            <v>FCB-PROTOCOL-01</v>
          </cell>
          <cell r="L1301" t="str">
            <v>VYD/357</v>
          </cell>
          <cell r="M1301" t="str">
            <v>Y</v>
          </cell>
          <cell r="N1301" t="str">
            <v>DMS_v4(1K)</v>
          </cell>
          <cell r="O1301" t="str">
            <v>Internal R&amp;D</v>
          </cell>
          <cell r="P1301" t="str">
            <v>Q1 Passed</v>
          </cell>
          <cell r="Q1301" t="str">
            <v>Q1 Passed</v>
          </cell>
          <cell r="R1301" t="str">
            <v>Q1.5 Passed</v>
          </cell>
          <cell r="S1301" t="str">
            <v>Qualified</v>
          </cell>
          <cell r="T1301" t="str">
            <v>Nil</v>
          </cell>
          <cell r="U1301" t="str">
            <v>NA</v>
          </cell>
          <cell r="V1301" t="str">
            <v>Tumor content 5-65%.</v>
          </cell>
          <cell r="W1301" t="str">
            <v>Private Hospital</v>
          </cell>
          <cell r="X1301" t="str">
            <v>Vydehi Hospital, Bangalore</v>
          </cell>
          <cell r="Y1301" t="str">
            <v>Vydehi Hospital, Bangalore</v>
          </cell>
          <cell r="Z1301" t="str">
            <v>Dr Amritha Prabha, Bangalore</v>
          </cell>
          <cell r="AA1301" t="str">
            <v>HNSCC</v>
          </cell>
          <cell r="AB1301" t="str">
            <v>NA</v>
          </cell>
          <cell r="AC1301" t="str">
            <v>Supraglottis</v>
          </cell>
          <cell r="AD1301" t="str">
            <v>Left Supraglottis</v>
          </cell>
          <cell r="AE1301" t="str">
            <v>Male</v>
          </cell>
          <cell r="AF1301">
            <v>75</v>
          </cell>
          <cell r="AG1301" t="str">
            <v>N</v>
          </cell>
          <cell r="AH1301">
            <v>5.2</v>
          </cell>
          <cell r="AI1301" t="str">
            <v>Kalappa</v>
          </cell>
          <cell r="AJ1301" t="str">
            <v>Surgery</v>
          </cell>
          <cell r="AK1301" t="str">
            <v>Primary</v>
          </cell>
          <cell r="AL1301" t="str">
            <v>Radiotherapy</v>
          </cell>
          <cell r="AN1301" t="str">
            <v>III</v>
          </cell>
          <cell r="AO1301">
            <v>2</v>
          </cell>
          <cell r="AP1301" t="str">
            <v>ypT3N0</v>
          </cell>
          <cell r="AV1301">
            <v>45708</v>
          </cell>
          <cell r="AW1301">
            <v>0.61111111111111116</v>
          </cell>
          <cell r="AX1301">
            <v>0.70694444444444449</v>
          </cell>
          <cell r="AY1301">
            <v>9.583333333333334E-2</v>
          </cell>
          <cell r="AZ1301">
            <v>0.55486111111111114</v>
          </cell>
          <cell r="BA1301">
            <v>0.28055555555555556</v>
          </cell>
          <cell r="BB1301" t="str">
            <v>0.4-0.5*0.2-0.9*1.0-1.8</v>
          </cell>
          <cell r="BC1301" t="str">
            <v>NA</v>
          </cell>
          <cell r="BD1301" t="str">
            <v>Vibratome</v>
          </cell>
          <cell r="BE1301">
            <v>14</v>
          </cell>
          <cell r="BF1301" t="str">
            <v>Mouniss</v>
          </cell>
          <cell r="BG1301" t="str">
            <v>Y</v>
          </cell>
        </row>
        <row r="1302">
          <cell r="A1302" t="str">
            <v>FBR2S250043</v>
          </cell>
          <cell r="B1302">
            <v>250043</v>
          </cell>
          <cell r="C1302" t="str">
            <v>R&amp;D</v>
          </cell>
          <cell r="D1302">
            <v>45712</v>
          </cell>
          <cell r="E1302">
            <v>0.61597222222222225</v>
          </cell>
          <cell r="F1302">
            <v>45689</v>
          </cell>
          <cell r="G1302">
            <v>45712</v>
          </cell>
          <cell r="H1302">
            <v>0.68680555555555556</v>
          </cell>
          <cell r="I1302">
            <v>7.0833333333333331E-2</v>
          </cell>
          <cell r="J1302">
            <v>3</v>
          </cell>
          <cell r="K1302" t="str">
            <v>FCB-PROTOCOL-01</v>
          </cell>
          <cell r="L1302" t="str">
            <v>CLN/PRA/294</v>
          </cell>
          <cell r="M1302" t="str">
            <v>Y</v>
          </cell>
          <cell r="N1302" t="str">
            <v>Cos V1 (2S)</v>
          </cell>
          <cell r="O1302" t="str">
            <v>Internal R&amp;D</v>
          </cell>
          <cell r="P1302" t="str">
            <v>Q1 Passed</v>
          </cell>
          <cell r="Q1302" t="str">
            <v>Q1 Passed</v>
          </cell>
          <cell r="R1302" t="str">
            <v>Q1.5 Passed</v>
          </cell>
          <cell r="S1302" t="str">
            <v>Qualified</v>
          </cell>
          <cell r="T1302" t="str">
            <v>Nil</v>
          </cell>
          <cell r="U1302" t="str">
            <v>NA</v>
          </cell>
          <cell r="V1302" t="str">
            <v>Tumor content 8-55%</v>
          </cell>
          <cell r="W1302" t="str">
            <v>Private Hospital</v>
          </cell>
          <cell r="X1302" t="str">
            <v>Dr Prakash BV, Bangalore</v>
          </cell>
          <cell r="Y1302" t="str">
            <v>Sri Lakshmi Hospital, Bangalore</v>
          </cell>
          <cell r="Z1302" t="str">
            <v>Dr Prakash BV, Bangalore</v>
          </cell>
          <cell r="AA1302" t="str">
            <v>CRC</v>
          </cell>
          <cell r="AB1302" t="str">
            <v>NA</v>
          </cell>
          <cell r="AC1302" t="str">
            <v>Rectosigmoid</v>
          </cell>
          <cell r="AD1302" t="str">
            <v>Rectosigmoid</v>
          </cell>
          <cell r="AE1302" t="str">
            <v>Male</v>
          </cell>
          <cell r="AF1302">
            <v>56</v>
          </cell>
          <cell r="AG1302" t="str">
            <v>N</v>
          </cell>
          <cell r="AH1302">
            <v>5.8</v>
          </cell>
          <cell r="AI1302" t="str">
            <v>Kalappa</v>
          </cell>
          <cell r="AJ1302" t="str">
            <v>Surgery</v>
          </cell>
          <cell r="AK1302" t="str">
            <v>Primary</v>
          </cell>
          <cell r="AL1302" t="str">
            <v>NA</v>
          </cell>
          <cell r="AN1302" t="str">
            <v>II</v>
          </cell>
          <cell r="AO1302">
            <v>2</v>
          </cell>
          <cell r="AP1302" t="str">
            <v>pT2N1M0</v>
          </cell>
          <cell r="AS1302" t="str">
            <v>Adenocarcinoma</v>
          </cell>
          <cell r="AV1302">
            <v>45712</v>
          </cell>
          <cell r="AW1302">
            <v>0.70347222222222228</v>
          </cell>
          <cell r="AX1302">
            <v>0.76944444444444449</v>
          </cell>
          <cell r="AY1302">
            <v>6.5972222222222224E-2</v>
          </cell>
          <cell r="AZ1302">
            <v>0.69861111111111107</v>
          </cell>
          <cell r="BA1302">
            <v>0.15347222222222223</v>
          </cell>
          <cell r="BB1302" t="str">
            <v>0.6*0.8-1.3*2.0</v>
          </cell>
          <cell r="BC1302" t="str">
            <v>NA</v>
          </cell>
          <cell r="BD1302" t="str">
            <v>Vibratome</v>
          </cell>
          <cell r="BE1302">
            <v>13</v>
          </cell>
          <cell r="BF1302" t="str">
            <v>Dharani</v>
          </cell>
          <cell r="BG1302" t="str">
            <v>Y</v>
          </cell>
        </row>
        <row r="1303">
          <cell r="A1303" t="str">
            <v>FBR1K250044</v>
          </cell>
          <cell r="B1303">
            <v>250044</v>
          </cell>
          <cell r="C1303" t="str">
            <v>R&amp;D</v>
          </cell>
          <cell r="D1303">
            <v>45713</v>
          </cell>
          <cell r="E1303">
            <v>0.46180555555555558</v>
          </cell>
          <cell r="F1303">
            <v>45689</v>
          </cell>
          <cell r="G1303">
            <v>45713</v>
          </cell>
          <cell r="H1303">
            <v>0.59097222222222223</v>
          </cell>
          <cell r="I1303">
            <v>0.12916666666666668</v>
          </cell>
          <cell r="J1303">
            <v>2</v>
          </cell>
          <cell r="K1303" t="str">
            <v>FCB-PROTOCOL-01</v>
          </cell>
          <cell r="L1303" t="str">
            <v>VYD/358</v>
          </cell>
          <cell r="M1303" t="str">
            <v>Y</v>
          </cell>
          <cell r="N1303" t="str">
            <v>DMS_v4(1K)</v>
          </cell>
          <cell r="O1303" t="str">
            <v>Internal R&amp;D</v>
          </cell>
          <cell r="P1303" t="str">
            <v>Q1 Passed</v>
          </cell>
          <cell r="Q1303" t="str">
            <v>Q1 Passed</v>
          </cell>
          <cell r="R1303" t="str">
            <v>Q1.5 Passed</v>
          </cell>
          <cell r="S1303" t="str">
            <v>Qualified</v>
          </cell>
          <cell r="T1303" t="str">
            <v>Nil</v>
          </cell>
          <cell r="U1303" t="str">
            <v>NA</v>
          </cell>
          <cell r="V1303" t="str">
            <v>Tumor content 40-85%</v>
          </cell>
          <cell r="W1303" t="str">
            <v>Private Hospital</v>
          </cell>
          <cell r="X1303" t="str">
            <v>Vydehi Hospital, Bangalore</v>
          </cell>
          <cell r="Y1303" t="str">
            <v>Vydehi Hospital, Bangalore</v>
          </cell>
          <cell r="Z1303" t="str">
            <v>Dr Amritha Prabha, Bangalore</v>
          </cell>
          <cell r="AA1303" t="str">
            <v>HNSCC</v>
          </cell>
          <cell r="AB1303" t="str">
            <v>NA</v>
          </cell>
          <cell r="AC1303" t="str">
            <v>Buccal Mucosa</v>
          </cell>
          <cell r="AD1303" t="str">
            <v>Right Buccal Mucosa</v>
          </cell>
          <cell r="AE1303" t="str">
            <v>Male</v>
          </cell>
          <cell r="AF1303">
            <v>35</v>
          </cell>
          <cell r="AG1303" t="str">
            <v>N</v>
          </cell>
          <cell r="AH1303">
            <v>5.3</v>
          </cell>
          <cell r="AI1303" t="str">
            <v>Maruthi</v>
          </cell>
          <cell r="AJ1303" t="str">
            <v>Surgery</v>
          </cell>
          <cell r="AK1303" t="str">
            <v>Primary</v>
          </cell>
          <cell r="AL1303" t="str">
            <v>Surgery</v>
          </cell>
          <cell r="AN1303" t="str">
            <v>IV</v>
          </cell>
          <cell r="AO1303">
            <v>2</v>
          </cell>
          <cell r="AP1303" t="str">
            <v>T4aN0</v>
          </cell>
          <cell r="AV1303">
            <v>45713</v>
          </cell>
          <cell r="AW1303">
            <v>0.60972222222222228</v>
          </cell>
          <cell r="AX1303">
            <v>0.67638888888888893</v>
          </cell>
          <cell r="AY1303">
            <v>6.6666666666666666E-2</v>
          </cell>
          <cell r="AZ1303">
            <v>0.54722222222222228</v>
          </cell>
          <cell r="BA1303">
            <v>0.21458333333333332</v>
          </cell>
          <cell r="BB1303" t="str">
            <v>0.8*1.1*1.4-1.7
0.6*1.0*0.8-1.3</v>
          </cell>
          <cell r="BC1303" t="str">
            <v>NA</v>
          </cell>
          <cell r="BD1303" t="str">
            <v>Vibratome</v>
          </cell>
          <cell r="BE1303">
            <v>14</v>
          </cell>
          <cell r="BF1303" t="str">
            <v>Syam</v>
          </cell>
          <cell r="BG1303" t="str">
            <v>Y</v>
          </cell>
        </row>
        <row r="1304">
          <cell r="A1304" t="str">
            <v>FBR1K250045</v>
          </cell>
          <cell r="B1304">
            <v>250045</v>
          </cell>
          <cell r="C1304" t="str">
            <v>R&amp;D</v>
          </cell>
          <cell r="D1304">
            <v>45713</v>
          </cell>
          <cell r="E1304">
            <v>0.52569444444444446</v>
          </cell>
          <cell r="F1304">
            <v>45689</v>
          </cell>
          <cell r="G1304">
            <v>45713</v>
          </cell>
          <cell r="H1304">
            <v>0.61527777777777781</v>
          </cell>
          <cell r="I1304">
            <v>8.9583333333333334E-2</v>
          </cell>
          <cell r="J1304">
            <v>3</v>
          </cell>
          <cell r="K1304" t="str">
            <v>FCB-PROTOCOL-01</v>
          </cell>
          <cell r="L1304" t="str">
            <v>CLN/PRA/295</v>
          </cell>
          <cell r="M1304" t="str">
            <v>Y</v>
          </cell>
          <cell r="N1304" t="str">
            <v>DMS_v4(1K)</v>
          </cell>
          <cell r="O1304" t="str">
            <v>Internal R&amp;D</v>
          </cell>
          <cell r="P1304" t="str">
            <v>Q1 Passed</v>
          </cell>
          <cell r="Q1304" t="str">
            <v>Q1 Passed</v>
          </cell>
          <cell r="R1304" t="str">
            <v>Q1.5 Passed</v>
          </cell>
          <cell r="S1304" t="str">
            <v>Qualified</v>
          </cell>
          <cell r="T1304" t="str">
            <v>Nil</v>
          </cell>
          <cell r="U1304" t="str">
            <v>NA</v>
          </cell>
          <cell r="V1304" t="str">
            <v>Tumor content 30-80%</v>
          </cell>
          <cell r="W1304" t="str">
            <v>Private Hospital</v>
          </cell>
          <cell r="X1304" t="str">
            <v>Dr Prakash BV, Bangalore</v>
          </cell>
          <cell r="Y1304" t="str">
            <v>Sri Lakshmi Hospital, Bangalore</v>
          </cell>
          <cell r="Z1304" t="str">
            <v>Dr Prakash BV, Bangalore</v>
          </cell>
          <cell r="AA1304" t="str">
            <v>HNSCC</v>
          </cell>
          <cell r="AB1304" t="str">
            <v>NA</v>
          </cell>
          <cell r="AC1304" t="str">
            <v>Buccal Mucosa</v>
          </cell>
          <cell r="AD1304" t="str">
            <v>Left Buccal Mucosa</v>
          </cell>
          <cell r="AE1304" t="str">
            <v>Male</v>
          </cell>
          <cell r="AF1304">
            <v>47</v>
          </cell>
          <cell r="AG1304" t="str">
            <v>N</v>
          </cell>
          <cell r="AH1304">
            <v>5.9</v>
          </cell>
          <cell r="AI1304" t="str">
            <v>Kalappa</v>
          </cell>
          <cell r="AJ1304" t="str">
            <v>Surgery</v>
          </cell>
          <cell r="AK1304" t="str">
            <v>Primary</v>
          </cell>
          <cell r="AL1304" t="str">
            <v>NA</v>
          </cell>
          <cell r="AN1304" t="str">
            <v xml:space="preserve">IVa </v>
          </cell>
          <cell r="AO1304">
            <v>2</v>
          </cell>
          <cell r="AP1304" t="str">
            <v>pT4aN2bM0</v>
          </cell>
          <cell r="AS1304" t="str">
            <v>SCC</v>
          </cell>
          <cell r="AV1304">
            <v>45713</v>
          </cell>
          <cell r="AW1304">
            <v>0.62986111111111109</v>
          </cell>
          <cell r="AX1304">
            <v>0.73263888888888884</v>
          </cell>
          <cell r="AY1304">
            <v>0.10277777777777777</v>
          </cell>
          <cell r="AZ1304">
            <v>0.6430555555555556</v>
          </cell>
          <cell r="BA1304">
            <v>0.20694444444444443</v>
          </cell>
          <cell r="BB1304" t="str">
            <v>0.1-0.2*0.8-1.0*4.2
0.2-0.4*0.8-1.0*0.8-1.0
0.2*0.4-0.6*0.8
0.2-0.4*0.6-1.0*1.0-1.2</v>
          </cell>
          <cell r="BC1304" t="str">
            <v>0.2*0.6-0.8*1.2
0.2-0.3*0.6*1.0
0.2*0.6*0.8
0.2-0.3*0.4-0.5*0.6</v>
          </cell>
          <cell r="BD1304" t="str">
            <v>Vibratome</v>
          </cell>
          <cell r="BE1304">
            <v>14</v>
          </cell>
          <cell r="BF1304" t="str">
            <v xml:space="preserve">sai </v>
          </cell>
          <cell r="BG1304" t="str">
            <v>Y</v>
          </cell>
        </row>
        <row r="1305">
          <cell r="A1305" t="str">
            <v>FBR2O250046</v>
          </cell>
          <cell r="B1305">
            <v>250046</v>
          </cell>
          <cell r="C1305" t="str">
            <v>R&amp;D</v>
          </cell>
          <cell r="D1305">
            <v>45713</v>
          </cell>
          <cell r="E1305">
            <v>0.58333333333333337</v>
          </cell>
          <cell r="F1305">
            <v>45689</v>
          </cell>
          <cell r="G1305">
            <v>45713</v>
          </cell>
          <cell r="H1305">
            <v>0.68125000000000002</v>
          </cell>
          <cell r="I1305">
            <v>9.7916666666666666E-2</v>
          </cell>
          <cell r="J1305">
            <v>5</v>
          </cell>
          <cell r="K1305" t="str">
            <v>FCB-PROTOCOL-01</v>
          </cell>
          <cell r="L1305" t="str">
            <v>KH-004</v>
          </cell>
          <cell r="M1305" t="str">
            <v>Y</v>
          </cell>
          <cell r="N1305" t="str">
            <v>Prostate Biopsy (2O)</v>
          </cell>
          <cell r="O1305" t="str">
            <v>Internal R&amp;D</v>
          </cell>
          <cell r="P1305" t="str">
            <v>Q1 Passed</v>
          </cell>
          <cell r="Q1305" t="str">
            <v>Q1 Passed</v>
          </cell>
          <cell r="R1305" t="str">
            <v>Q1.5 Passed</v>
          </cell>
          <cell r="S1305" t="str">
            <v>Qualified</v>
          </cell>
          <cell r="T1305" t="str">
            <v>Nil</v>
          </cell>
          <cell r="U1305" t="str">
            <v>NA</v>
          </cell>
          <cell r="V1305" t="str">
            <v>Tumor seen only in 2 or 3 explants upto 8%. Others no tumor</v>
          </cell>
          <cell r="W1305" t="str">
            <v>Private Hospital</v>
          </cell>
          <cell r="X1305" t="str">
            <v>Kauvery Hospital, Elelctronic city bangalore</v>
          </cell>
          <cell r="Y1305" t="str">
            <v>Kauvery Hospital, Elelctronic city bangalore</v>
          </cell>
          <cell r="Z1305" t="str">
            <v>Dr Sreeharsha</v>
          </cell>
          <cell r="AA1305" t="str">
            <v>Prostate</v>
          </cell>
          <cell r="AC1305" t="str">
            <v>Prostate</v>
          </cell>
          <cell r="AD1305" t="str">
            <v>TURP Chip</v>
          </cell>
          <cell r="AE1305" t="str">
            <v>Male</v>
          </cell>
          <cell r="AF1305">
            <v>80</v>
          </cell>
          <cell r="AG1305" t="str">
            <v>N</v>
          </cell>
          <cell r="AH1305">
            <v>5.5</v>
          </cell>
          <cell r="AI1305" t="str">
            <v>Shashi</v>
          </cell>
          <cell r="AJ1305" t="str">
            <v>Surgery</v>
          </cell>
          <cell r="AK1305" t="str">
            <v>Primary</v>
          </cell>
          <cell r="AL1305" t="str">
            <v>NA</v>
          </cell>
          <cell r="AV1305">
            <v>45713</v>
          </cell>
          <cell r="AW1305">
            <v>0.71180555555555558</v>
          </cell>
          <cell r="AX1305">
            <v>0.77569444444444446</v>
          </cell>
          <cell r="AY1305">
            <v>6.3888888888888884E-2</v>
          </cell>
          <cell r="AZ1305">
            <v>0.67777777777777781</v>
          </cell>
          <cell r="BA1305">
            <v>0.19236111111111112</v>
          </cell>
          <cell r="BB1305" t="str">
            <v>0.1-0.2*0.2-0.4, Approx 50pcs</v>
          </cell>
          <cell r="BC1305" t="str">
            <v>NA</v>
          </cell>
          <cell r="BD1305" t="str">
            <v>Manual</v>
          </cell>
          <cell r="BE1305">
            <v>14</v>
          </cell>
          <cell r="BF1305" t="str">
            <v>Abdul</v>
          </cell>
          <cell r="BG1305" t="str">
            <v>Y</v>
          </cell>
        </row>
        <row r="1306">
          <cell r="A1306" t="str">
            <v>FBR2S250047</v>
          </cell>
          <cell r="B1306">
            <v>250047</v>
          </cell>
          <cell r="C1306" t="str">
            <v>R&amp;D</v>
          </cell>
          <cell r="D1306">
            <v>45713</v>
          </cell>
          <cell r="E1306">
            <v>0.67500000000000004</v>
          </cell>
          <cell r="F1306">
            <v>45689</v>
          </cell>
          <cell r="G1306">
            <v>45713</v>
          </cell>
          <cell r="H1306">
            <v>0.71597222222222223</v>
          </cell>
          <cell r="I1306">
            <v>4.0972222222222222E-2</v>
          </cell>
          <cell r="J1306">
            <v>3</v>
          </cell>
          <cell r="K1306" t="str">
            <v>FCB-PROTOCOL-01</v>
          </cell>
          <cell r="L1306" t="str">
            <v>CLN/PRA/296</v>
          </cell>
          <cell r="M1306" t="str">
            <v>Y</v>
          </cell>
          <cell r="N1306" t="str">
            <v>Cos V1 (2S)</v>
          </cell>
          <cell r="O1306" t="str">
            <v>Internal R&amp;D</v>
          </cell>
          <cell r="P1306" t="str">
            <v>Q1 Passed</v>
          </cell>
          <cell r="Q1306" t="str">
            <v>Q1 Passed</v>
          </cell>
          <cell r="R1306" t="str">
            <v>Q1.5 Passed</v>
          </cell>
          <cell r="S1306" t="str">
            <v>Qualified</v>
          </cell>
          <cell r="T1306" t="str">
            <v>Nil</v>
          </cell>
          <cell r="U1306" t="str">
            <v>NA</v>
          </cell>
          <cell r="V1306" t="str">
            <v>Tumor content 15-55%</v>
          </cell>
          <cell r="W1306" t="str">
            <v>Private Hospital</v>
          </cell>
          <cell r="X1306" t="str">
            <v>Dr Prakash BV, Bangalore</v>
          </cell>
          <cell r="Y1306" t="str">
            <v>Mallige Hospital</v>
          </cell>
          <cell r="Z1306" t="str">
            <v>Dr Prakash BV, Bangalore</v>
          </cell>
          <cell r="AA1306" t="str">
            <v>CRC</v>
          </cell>
          <cell r="AB1306" t="str">
            <v>NA</v>
          </cell>
          <cell r="AC1306" t="str">
            <v>Rectosigmoid</v>
          </cell>
          <cell r="AD1306" t="str">
            <v>Rectosigmoid</v>
          </cell>
          <cell r="AE1306" t="str">
            <v>Female</v>
          </cell>
          <cell r="AF1306">
            <v>56</v>
          </cell>
          <cell r="AG1306" t="str">
            <v>N</v>
          </cell>
          <cell r="AH1306">
            <v>5.3</v>
          </cell>
          <cell r="AI1306" t="str">
            <v>Kalappa</v>
          </cell>
          <cell r="AJ1306" t="str">
            <v>Surgery</v>
          </cell>
          <cell r="AK1306" t="str">
            <v>Primary</v>
          </cell>
          <cell r="AL1306" t="str">
            <v>NA</v>
          </cell>
          <cell r="AN1306" t="str">
            <v xml:space="preserve">IV </v>
          </cell>
          <cell r="AO1306">
            <v>2</v>
          </cell>
          <cell r="AP1306" t="str">
            <v>pT4N1M0</v>
          </cell>
          <cell r="AS1306" t="str">
            <v>Adenocarcinoma</v>
          </cell>
          <cell r="AV1306">
            <v>45713</v>
          </cell>
          <cell r="AW1306">
            <v>0.73958333333333337</v>
          </cell>
          <cell r="AX1306">
            <v>0.82291666666666663</v>
          </cell>
          <cell r="AY1306">
            <v>8.3333333333333329E-2</v>
          </cell>
          <cell r="AZ1306">
            <v>0.78194444444444444</v>
          </cell>
          <cell r="BA1306">
            <v>0.14791666666666667</v>
          </cell>
          <cell r="BB1306" t="str">
            <v>0.4-0.8*2.0-2.6*2.8</v>
          </cell>
          <cell r="BC1306" t="str">
            <v>NA</v>
          </cell>
          <cell r="BD1306" t="str">
            <v>Vibratome</v>
          </cell>
          <cell r="BE1306">
            <v>13</v>
          </cell>
          <cell r="BF1306" t="str">
            <v>Dharani</v>
          </cell>
          <cell r="BG1306" t="str">
            <v>N</v>
          </cell>
        </row>
        <row r="1307">
          <cell r="A1307" t="str">
            <v>FBR1K250048</v>
          </cell>
          <cell r="B1307">
            <v>250048</v>
          </cell>
          <cell r="C1307" t="str">
            <v>R&amp;D</v>
          </cell>
          <cell r="D1307">
            <v>45719</v>
          </cell>
          <cell r="E1307">
            <v>0.41875000000000001</v>
          </cell>
          <cell r="F1307">
            <v>45717</v>
          </cell>
          <cell r="G1307">
            <v>45719</v>
          </cell>
          <cell r="H1307">
            <v>0.69513888888888886</v>
          </cell>
          <cell r="I1307">
            <v>0.27638888888888891</v>
          </cell>
          <cell r="J1307">
            <v>1</v>
          </cell>
          <cell r="K1307" t="str">
            <v>FCB-PROTOCOL-01</v>
          </cell>
          <cell r="L1307" t="str">
            <v>VYD/359</v>
          </cell>
          <cell r="M1307" t="str">
            <v>Y</v>
          </cell>
          <cell r="N1307" t="str">
            <v>DMS_v4(1K)</v>
          </cell>
          <cell r="O1307" t="str">
            <v>Internal R&amp;D</v>
          </cell>
          <cell r="P1307" t="str">
            <v>Q1 Passed</v>
          </cell>
          <cell r="Q1307" t="str">
            <v>Q1 Passed</v>
          </cell>
          <cell r="R1307" t="str">
            <v>Q1.5 Passed</v>
          </cell>
          <cell r="S1307" t="str">
            <v>Qualified</v>
          </cell>
          <cell r="T1307" t="str">
            <v>Nil</v>
          </cell>
          <cell r="U1307" t="str">
            <v>NA</v>
          </cell>
          <cell r="V1307" t="str">
            <v>Tumor content 60-90%</v>
          </cell>
          <cell r="W1307" t="str">
            <v>Private Hospital</v>
          </cell>
          <cell r="X1307" t="str">
            <v>Vydehi Hospital, Bangalore</v>
          </cell>
          <cell r="Y1307" t="str">
            <v>Vydehi Hospital, Bangalore</v>
          </cell>
          <cell r="Z1307" t="str">
            <v>Dr Amritha Prabha, Bangalore</v>
          </cell>
          <cell r="AA1307" t="str">
            <v>HNSCC</v>
          </cell>
          <cell r="AB1307" t="str">
            <v>NA</v>
          </cell>
          <cell r="AC1307" t="str">
            <v>Buccal Mucosa</v>
          </cell>
          <cell r="AD1307" t="str">
            <v>Right Buccal Mucosa</v>
          </cell>
          <cell r="AE1307" t="str">
            <v>Female</v>
          </cell>
          <cell r="AF1307">
            <v>54</v>
          </cell>
          <cell r="AG1307" t="str">
            <v>N</v>
          </cell>
          <cell r="AH1307">
            <v>5.8</v>
          </cell>
          <cell r="AI1307" t="str">
            <v>Maruthi</v>
          </cell>
          <cell r="AJ1307" t="str">
            <v>Surgery</v>
          </cell>
          <cell r="AK1307" t="str">
            <v>Primary</v>
          </cell>
          <cell r="AL1307" t="str">
            <v>NA</v>
          </cell>
          <cell r="AN1307" t="str">
            <v>III</v>
          </cell>
          <cell r="AO1307">
            <v>1</v>
          </cell>
          <cell r="AP1307" t="str">
            <v>T3N1</v>
          </cell>
          <cell r="AS1307" t="str">
            <v>SCC</v>
          </cell>
          <cell r="AV1307">
            <v>45719</v>
          </cell>
          <cell r="AW1307">
            <v>0.7055555555555556</v>
          </cell>
          <cell r="AX1307">
            <v>0.76597222222222228</v>
          </cell>
          <cell r="AY1307">
            <v>6.0416666666666667E-2</v>
          </cell>
          <cell r="AZ1307">
            <v>0.48958333333333331</v>
          </cell>
          <cell r="BA1307">
            <v>0.34722222222222221</v>
          </cell>
          <cell r="BB1307" t="str">
            <v>0.6-0.8*1.6*1.8</v>
          </cell>
          <cell r="BC1307" t="str">
            <v>NA</v>
          </cell>
          <cell r="BD1307" t="str">
            <v>Vibratome</v>
          </cell>
          <cell r="BE1307">
            <v>14</v>
          </cell>
          <cell r="BF1307" t="str">
            <v>chandan</v>
          </cell>
          <cell r="BG1307" t="str">
            <v>Y</v>
          </cell>
        </row>
        <row r="1308">
          <cell r="A1308" t="str">
            <v>FBR1K250049</v>
          </cell>
          <cell r="B1308">
            <v>250049</v>
          </cell>
          <cell r="C1308" t="str">
            <v>R&amp;D</v>
          </cell>
          <cell r="D1308">
            <v>45722</v>
          </cell>
          <cell r="E1308">
            <v>0.31597222222222221</v>
          </cell>
          <cell r="F1308">
            <v>45717</v>
          </cell>
          <cell r="G1308">
            <v>45722</v>
          </cell>
          <cell r="H1308">
            <v>0.5444444444444444</v>
          </cell>
          <cell r="I1308">
            <v>0.22847222222222222</v>
          </cell>
          <cell r="J1308">
            <v>3</v>
          </cell>
          <cell r="K1308" t="str">
            <v>FCB-PROTOCOL-01</v>
          </cell>
          <cell r="L1308" t="str">
            <v>CLN/PRA/297</v>
          </cell>
          <cell r="M1308" t="str">
            <v>Y</v>
          </cell>
          <cell r="N1308" t="str">
            <v>DMS_v4(1K)</v>
          </cell>
          <cell r="O1308" t="str">
            <v>Internal R&amp;D</v>
          </cell>
          <cell r="P1308" t="str">
            <v>Q1 Passed</v>
          </cell>
          <cell r="Q1308" t="str">
            <v>Q1 Passed</v>
          </cell>
          <cell r="R1308" t="str">
            <v>Q1.5 Passed</v>
          </cell>
          <cell r="S1308" t="str">
            <v>Qualified</v>
          </cell>
          <cell r="T1308" t="str">
            <v>Nil</v>
          </cell>
          <cell r="U1308" t="str">
            <v>NA</v>
          </cell>
          <cell r="V1308" t="str">
            <v>tumor content 40-80%</v>
          </cell>
          <cell r="W1308" t="str">
            <v>Private Hospital</v>
          </cell>
          <cell r="X1308" t="str">
            <v>Dr Prakash BV, Bangalore</v>
          </cell>
          <cell r="Y1308" t="str">
            <v>Belaku Hospital</v>
          </cell>
          <cell r="Z1308" t="str">
            <v>Dr Prakash BV, Bangalore</v>
          </cell>
          <cell r="AA1308" t="str">
            <v>HNSCC</v>
          </cell>
          <cell r="AB1308" t="str">
            <v>NA</v>
          </cell>
          <cell r="AC1308" t="str">
            <v>Tongue</v>
          </cell>
          <cell r="AD1308" t="str">
            <v>Tongue</v>
          </cell>
          <cell r="AE1308" t="str">
            <v>Male</v>
          </cell>
          <cell r="AF1308">
            <v>61</v>
          </cell>
          <cell r="AG1308" t="str">
            <v>N</v>
          </cell>
          <cell r="AH1308">
            <v>6.1</v>
          </cell>
          <cell r="AI1308" t="str">
            <v>Shashi</v>
          </cell>
          <cell r="AJ1308" t="str">
            <v>Surgery</v>
          </cell>
          <cell r="AK1308" t="str">
            <v>Primary</v>
          </cell>
          <cell r="AL1308" t="str">
            <v>NA</v>
          </cell>
          <cell r="AV1308">
            <v>45722</v>
          </cell>
          <cell r="AW1308">
            <v>0.57777777777777772</v>
          </cell>
          <cell r="AX1308">
            <v>0.65625</v>
          </cell>
          <cell r="AY1308">
            <v>7.8472222222222221E-2</v>
          </cell>
          <cell r="AZ1308">
            <v>0.42777777777777776</v>
          </cell>
          <cell r="BA1308">
            <v>0.34027777777777779</v>
          </cell>
          <cell r="BB1308" t="str">
            <v>1.0*0.8-1.5*2.8</v>
          </cell>
          <cell r="BC1308" t="str">
            <v>NA</v>
          </cell>
          <cell r="BD1308" t="str">
            <v>Vibratome</v>
          </cell>
          <cell r="BE1308">
            <v>15</v>
          </cell>
          <cell r="BF1308" t="str">
            <v>Syam</v>
          </cell>
          <cell r="BG1308" t="str">
            <v>Y</v>
          </cell>
        </row>
        <row r="1309">
          <cell r="A1309" t="str">
            <v>FBR1K250050</v>
          </cell>
          <cell r="B1309">
            <v>250050</v>
          </cell>
          <cell r="C1309" t="str">
            <v>R&amp;D</v>
          </cell>
          <cell r="D1309">
            <v>45726</v>
          </cell>
          <cell r="E1309">
            <v>0.3659722222222222</v>
          </cell>
          <cell r="F1309">
            <v>45717</v>
          </cell>
          <cell r="G1309">
            <v>45726</v>
          </cell>
          <cell r="H1309">
            <v>0.58125000000000004</v>
          </cell>
          <cell r="I1309">
            <v>0.21527777777777779</v>
          </cell>
          <cell r="J1309">
            <v>3</v>
          </cell>
          <cell r="K1309" t="str">
            <v>FCB-PROTOCOL-01</v>
          </cell>
          <cell r="L1309" t="str">
            <v>CLN/PRA/298</v>
          </cell>
          <cell r="M1309" t="str">
            <v>Y</v>
          </cell>
          <cell r="N1309" t="str">
            <v>DMS_v4(1K)</v>
          </cell>
          <cell r="O1309" t="str">
            <v>Internal R&amp;D</v>
          </cell>
          <cell r="P1309" t="str">
            <v>Q1 Passed</v>
          </cell>
          <cell r="Q1309" t="str">
            <v>Q1 Passed</v>
          </cell>
          <cell r="R1309" t="str">
            <v>Q1.5 Passed</v>
          </cell>
          <cell r="S1309" t="str">
            <v>Qualified</v>
          </cell>
          <cell r="T1309" t="str">
            <v>Nil</v>
          </cell>
          <cell r="U1309" t="str">
            <v>NA</v>
          </cell>
          <cell r="V1309" t="str">
            <v>Tumor content 40-65%.</v>
          </cell>
          <cell r="W1309" t="str">
            <v>Private Hospital</v>
          </cell>
          <cell r="X1309" t="str">
            <v>Dr Prakash BV, Bangalore</v>
          </cell>
          <cell r="Y1309" t="str">
            <v>Sri Lakshmi Hospital, Bangalore</v>
          </cell>
          <cell r="Z1309" t="str">
            <v>Dr Prakash BV, Bangalore</v>
          </cell>
          <cell r="AA1309" t="str">
            <v>HNSCC</v>
          </cell>
          <cell r="AB1309" t="str">
            <v>NA</v>
          </cell>
          <cell r="AC1309" t="str">
            <v>Buccal Mucosa</v>
          </cell>
          <cell r="AD1309" t="str">
            <v>Right  Buccal Mucosa</v>
          </cell>
          <cell r="AE1309" t="str">
            <v>Female</v>
          </cell>
          <cell r="AF1309">
            <v>60</v>
          </cell>
          <cell r="AG1309" t="str">
            <v>N</v>
          </cell>
          <cell r="AH1309">
            <v>5.6</v>
          </cell>
          <cell r="AI1309" t="str">
            <v>Maruthi</v>
          </cell>
          <cell r="AJ1309" t="str">
            <v>Surgery</v>
          </cell>
          <cell r="AK1309" t="str">
            <v>Primary</v>
          </cell>
          <cell r="AL1309" t="str">
            <v>NA</v>
          </cell>
          <cell r="AN1309" t="str">
            <v>IVa</v>
          </cell>
          <cell r="AP1309" t="str">
            <v>pT4aN0M0</v>
          </cell>
          <cell r="AS1309" t="str">
            <v>SCC</v>
          </cell>
          <cell r="AV1309">
            <v>45726</v>
          </cell>
          <cell r="AW1309">
            <v>0.6</v>
          </cell>
          <cell r="AX1309">
            <v>0.65763888888888888</v>
          </cell>
          <cell r="AY1309">
            <v>5.7638888888888892E-2</v>
          </cell>
          <cell r="AZ1309">
            <v>0.44236111111111109</v>
          </cell>
          <cell r="BA1309">
            <v>0.29166666666666669</v>
          </cell>
          <cell r="BB1309" t="str">
            <v>1.5&amp;0.4*2.2*2.6-2.0</v>
          </cell>
          <cell r="BC1309" t="str">
            <v>NA</v>
          </cell>
          <cell r="BD1309" t="str">
            <v>Vibratome</v>
          </cell>
          <cell r="BE1309">
            <v>15</v>
          </cell>
          <cell r="BF1309" t="str">
            <v>Syam</v>
          </cell>
          <cell r="BG1309" t="str">
            <v>Y</v>
          </cell>
        </row>
        <row r="1310">
          <cell r="A1310" t="str">
            <v>FBR1Y250051</v>
          </cell>
          <cell r="B1310">
            <v>250051</v>
          </cell>
          <cell r="C1310" t="str">
            <v>R&amp;D</v>
          </cell>
          <cell r="D1310">
            <v>45726</v>
          </cell>
          <cell r="E1310">
            <v>0.53541666666666665</v>
          </cell>
          <cell r="F1310">
            <v>45717</v>
          </cell>
          <cell r="G1310">
            <v>45726</v>
          </cell>
          <cell r="H1310">
            <v>0.65347222222222223</v>
          </cell>
          <cell r="I1310">
            <v>0.11805555555555555</v>
          </cell>
          <cell r="J1310">
            <v>4</v>
          </cell>
          <cell r="K1310" t="str">
            <v>FCB-PROTOCOL-01</v>
          </cell>
          <cell r="L1310" t="str">
            <v>VYD/360</v>
          </cell>
          <cell r="M1310" t="str">
            <v>Y</v>
          </cell>
          <cell r="N1310" t="str">
            <v>CCS Study (1Y)</v>
          </cell>
          <cell r="O1310" t="str">
            <v>Internal R&amp;D</v>
          </cell>
          <cell r="P1310" t="str">
            <v>Q1 Passed</v>
          </cell>
          <cell r="Q1310" t="str">
            <v>Q1 Passed</v>
          </cell>
          <cell r="R1310" t="str">
            <v>Q1.5 Passed</v>
          </cell>
          <cell r="S1310" t="str">
            <v>Qualified</v>
          </cell>
          <cell r="T1310" t="str">
            <v>Nil</v>
          </cell>
          <cell r="U1310" t="str">
            <v>NA</v>
          </cell>
          <cell r="V1310" t="str">
            <v>Tumor content 0-65%. Average tumor content 16%</v>
          </cell>
          <cell r="W1310" t="str">
            <v>Private Hospital</v>
          </cell>
          <cell r="X1310" t="str">
            <v>Vydehi Hospital, Bangalore</v>
          </cell>
          <cell r="Y1310" t="str">
            <v>Vydehi Hospital, Bangalore</v>
          </cell>
          <cell r="Z1310" t="str">
            <v>Dr Amritha Prabha, Bangalore</v>
          </cell>
          <cell r="AA1310" t="str">
            <v>HNSCC</v>
          </cell>
          <cell r="AB1310" t="str">
            <v>NA</v>
          </cell>
          <cell r="AC1310" t="str">
            <v>Tongue</v>
          </cell>
          <cell r="AD1310" t="str">
            <v>Left Lateral border of Tongue</v>
          </cell>
          <cell r="AE1310" t="str">
            <v>Male</v>
          </cell>
          <cell r="AF1310">
            <v>34</v>
          </cell>
          <cell r="AG1310" t="str">
            <v>N</v>
          </cell>
          <cell r="AH1310">
            <v>5.7</v>
          </cell>
          <cell r="AI1310" t="str">
            <v>Kalappa</v>
          </cell>
          <cell r="AJ1310" t="str">
            <v>Surgery</v>
          </cell>
          <cell r="AK1310" t="str">
            <v>Primary</v>
          </cell>
          <cell r="AL1310" t="str">
            <v>Chemotherapy</v>
          </cell>
          <cell r="AN1310" t="str">
            <v>II</v>
          </cell>
          <cell r="AO1310">
            <v>2</v>
          </cell>
          <cell r="AP1310" t="str">
            <v>ypT2N0</v>
          </cell>
          <cell r="AR1310" t="str">
            <v>Paclitaxel, Carboplatin, Gefitinib</v>
          </cell>
          <cell r="AS1310" t="str">
            <v>SCC</v>
          </cell>
          <cell r="AV1310">
            <v>45726</v>
          </cell>
          <cell r="AW1310">
            <v>0.69027777777777777</v>
          </cell>
          <cell r="AX1310">
            <v>0.7729166666666667</v>
          </cell>
          <cell r="AY1310">
            <v>8.2638888888888887E-2</v>
          </cell>
          <cell r="AZ1310">
            <v>0.65486111111111112</v>
          </cell>
          <cell r="BA1310">
            <v>0.23749999999999999</v>
          </cell>
          <cell r="BB1310" t="str">
            <v>0.4*1.0*12-0.8</v>
          </cell>
          <cell r="BC1310" t="str">
            <v>NA</v>
          </cell>
          <cell r="BD1310" t="str">
            <v>Vibratome</v>
          </cell>
          <cell r="BE1310">
            <v>15</v>
          </cell>
          <cell r="BF1310" t="str">
            <v>Syam</v>
          </cell>
          <cell r="BG1310" t="str">
            <v>Y</v>
          </cell>
        </row>
        <row r="1311">
          <cell r="A1311" t="str">
            <v>FBR2S240052</v>
          </cell>
          <cell r="B1311">
            <v>250052</v>
          </cell>
          <cell r="C1311" t="str">
            <v>R&amp;D</v>
          </cell>
          <cell r="D1311">
            <v>45726</v>
          </cell>
          <cell r="E1311">
            <v>0.57638888888888884</v>
          </cell>
          <cell r="F1311">
            <v>45717</v>
          </cell>
          <cell r="G1311">
            <v>45726</v>
          </cell>
          <cell r="H1311">
            <v>0.65347222222222223</v>
          </cell>
          <cell r="I1311">
            <v>7.7083333333333337E-2</v>
          </cell>
          <cell r="J1311">
            <v>10</v>
          </cell>
          <cell r="K1311" t="str">
            <v>FCB-PROTOCOL-01</v>
          </cell>
          <cell r="L1311" t="str">
            <v>VYD/361</v>
          </cell>
          <cell r="M1311" t="str">
            <v>Y</v>
          </cell>
          <cell r="N1311" t="str">
            <v>Cos V1 (2S)</v>
          </cell>
          <cell r="O1311" t="str">
            <v>Internal R&amp;D</v>
          </cell>
          <cell r="P1311" t="str">
            <v>Q1 Passed</v>
          </cell>
          <cell r="Q1311" t="str">
            <v>Q1 Passed</v>
          </cell>
          <cell r="R1311" t="str">
            <v>Q1.5 Passed</v>
          </cell>
          <cell r="S1311" t="str">
            <v>Qualified</v>
          </cell>
          <cell r="T1311" t="str">
            <v>Contaminated</v>
          </cell>
          <cell r="U1311" t="str">
            <v>NA</v>
          </cell>
          <cell r="V1311" t="str">
            <v>Tumor content 3-85%</v>
          </cell>
          <cell r="W1311" t="str">
            <v>Private Hospital</v>
          </cell>
          <cell r="X1311" t="str">
            <v>Vydehi Hospital, Bangalore</v>
          </cell>
          <cell r="Y1311" t="str">
            <v>Vydehi Hospital, Bangalore</v>
          </cell>
          <cell r="Z1311" t="str">
            <v>Dr Amritha Prabha, Bangalore</v>
          </cell>
          <cell r="AA1311" t="str">
            <v>CRC</v>
          </cell>
          <cell r="AC1311" t="str">
            <v>Rectum</v>
          </cell>
          <cell r="AD1311" t="str">
            <v>Lower Rectum</v>
          </cell>
          <cell r="AE1311" t="str">
            <v>Female</v>
          </cell>
          <cell r="AF1311">
            <v>62</v>
          </cell>
          <cell r="AG1311" t="str">
            <v>N</v>
          </cell>
          <cell r="AH1311">
            <v>5.7</v>
          </cell>
          <cell r="AI1311" t="str">
            <v>Kalappa</v>
          </cell>
          <cell r="AJ1311" t="str">
            <v>Surgery</v>
          </cell>
          <cell r="AK1311" t="str">
            <v>Primary</v>
          </cell>
          <cell r="AL1311" t="str">
            <v>NA</v>
          </cell>
          <cell r="AV1311">
            <v>45726</v>
          </cell>
          <cell r="AW1311">
            <v>0.67777777777777781</v>
          </cell>
          <cell r="AX1311">
            <v>0.72916666666666663</v>
          </cell>
          <cell r="AY1311">
            <v>5.1388888888888887E-2</v>
          </cell>
          <cell r="AZ1311">
            <v>0.65208333333333335</v>
          </cell>
          <cell r="BA1311">
            <v>0.15277777777777779</v>
          </cell>
          <cell r="BB1311" t="str">
            <v>0.4*0.6*1.0
0.2*0.4*0.6
0.4/0.5*0.8*0.8</v>
          </cell>
          <cell r="BC1311" t="str">
            <v>NA</v>
          </cell>
          <cell r="BD1311" t="str">
            <v>Manual</v>
          </cell>
          <cell r="BE1311">
            <v>13</v>
          </cell>
          <cell r="BF1311" t="str">
            <v>chandan</v>
          </cell>
          <cell r="BG1311" t="str">
            <v>Y</v>
          </cell>
        </row>
        <row r="1312">
          <cell r="A1312" t="str">
            <v>FBR1K250053</v>
          </cell>
          <cell r="B1312">
            <v>250053</v>
          </cell>
          <cell r="C1312" t="str">
            <v>R&amp;D</v>
          </cell>
          <cell r="D1312">
            <v>45727</v>
          </cell>
          <cell r="E1312">
            <v>0.49861111111111112</v>
          </cell>
          <cell r="F1312">
            <v>45717</v>
          </cell>
          <cell r="G1312">
            <v>45880</v>
          </cell>
          <cell r="H1312">
            <v>0.59791666666666665</v>
          </cell>
          <cell r="I1312">
            <v>9.930555555555555E-2</v>
          </cell>
          <cell r="J1312">
            <v>3</v>
          </cell>
          <cell r="K1312" t="str">
            <v>FCB-PROTOCOL-01</v>
          </cell>
          <cell r="L1312" t="str">
            <v>VYD/362</v>
          </cell>
          <cell r="M1312" t="str">
            <v>Y</v>
          </cell>
          <cell r="N1312" t="str">
            <v>DMS_v4(1K)</v>
          </cell>
          <cell r="O1312" t="str">
            <v>Internal R&amp;D</v>
          </cell>
          <cell r="P1312" t="str">
            <v>Q1 Passed</v>
          </cell>
          <cell r="Q1312" t="str">
            <v>Q1 Passed</v>
          </cell>
          <cell r="R1312" t="str">
            <v>Q1.5 Passed</v>
          </cell>
          <cell r="S1312" t="str">
            <v>Qualified</v>
          </cell>
          <cell r="T1312" t="str">
            <v>Nil</v>
          </cell>
          <cell r="U1312" t="str">
            <v>NA</v>
          </cell>
          <cell r="V1312" t="str">
            <v>Tumor content 8-95%</v>
          </cell>
          <cell r="W1312" t="str">
            <v>Private Hospital</v>
          </cell>
          <cell r="X1312" t="str">
            <v>Vydehi Hospital, Bangalore</v>
          </cell>
          <cell r="Y1312" t="str">
            <v>Vydehi Hospital, Bangalore</v>
          </cell>
          <cell r="Z1312" t="str">
            <v>Dr Amritha Prabha, Bangalore</v>
          </cell>
          <cell r="AA1312" t="str">
            <v>HNSCC</v>
          </cell>
          <cell r="AB1312" t="str">
            <v>NA</v>
          </cell>
          <cell r="AC1312" t="str">
            <v>Buccal Mucosa</v>
          </cell>
          <cell r="AD1312" t="str">
            <v>Left Buccal Mucosa</v>
          </cell>
          <cell r="AE1312" t="str">
            <v>Female</v>
          </cell>
          <cell r="AF1312">
            <v>42</v>
          </cell>
          <cell r="AG1312" t="str">
            <v>N</v>
          </cell>
          <cell r="AH1312">
            <v>5.0999999999999996</v>
          </cell>
          <cell r="AI1312" t="str">
            <v>Kalappa</v>
          </cell>
          <cell r="AJ1312" t="str">
            <v>Surgery</v>
          </cell>
          <cell r="AK1312" t="str">
            <v>Primary</v>
          </cell>
          <cell r="AL1312" t="str">
            <v>NA</v>
          </cell>
          <cell r="AN1312" t="str">
            <v>IV</v>
          </cell>
          <cell r="AO1312">
            <v>1</v>
          </cell>
          <cell r="AP1312" t="str">
            <v>T4aN3b</v>
          </cell>
          <cell r="AS1312" t="str">
            <v>SCC</v>
          </cell>
          <cell r="AV1312">
            <v>45727</v>
          </cell>
          <cell r="AW1312">
            <v>0.61111111111111116</v>
          </cell>
          <cell r="AX1312">
            <v>0.68194444444444446</v>
          </cell>
          <cell r="AY1312">
            <v>7.0833333333333331E-2</v>
          </cell>
          <cell r="AZ1312">
            <v>0.58263888888888893</v>
          </cell>
          <cell r="BA1312">
            <v>0.18333333333333332</v>
          </cell>
          <cell r="BB1312" t="str">
            <v>1.0*0.8-1.4*1.2-1.6
0.4*1.2*1.2-1.3</v>
          </cell>
          <cell r="BC1312" t="str">
            <v>NA</v>
          </cell>
          <cell r="BD1312" t="str">
            <v>Vibratome</v>
          </cell>
          <cell r="BE1312">
            <v>15</v>
          </cell>
          <cell r="BF1312" t="str">
            <v>Syam</v>
          </cell>
          <cell r="BG1312" t="str">
            <v>Y</v>
          </cell>
        </row>
        <row r="1313">
          <cell r="A1313">
            <v>250054</v>
          </cell>
          <cell r="B1313">
            <v>250054</v>
          </cell>
          <cell r="C1313" t="str">
            <v>R&amp;D</v>
          </cell>
          <cell r="D1313">
            <v>45363</v>
          </cell>
          <cell r="E1313">
            <v>0.50486111111111109</v>
          </cell>
          <cell r="F1313">
            <v>45717</v>
          </cell>
          <cell r="G1313">
            <v>45728</v>
          </cell>
          <cell r="H1313">
            <v>0.61736111111111114</v>
          </cell>
          <cell r="I1313">
            <v>0.1125</v>
          </cell>
          <cell r="J1313">
            <v>3</v>
          </cell>
          <cell r="K1313" t="str">
            <v>FCB-PROTOCOL-01</v>
          </cell>
          <cell r="L1313" t="str">
            <v>CLN/PRA/299</v>
          </cell>
          <cell r="M1313" t="str">
            <v>Y</v>
          </cell>
          <cell r="N1313" t="str">
            <v>No Study</v>
          </cell>
          <cell r="O1313" t="str">
            <v>Internal R&amp;D</v>
          </cell>
          <cell r="P1313" t="str">
            <v>Q1 Rejected</v>
          </cell>
          <cell r="Q1313" t="str">
            <v>Q1 Passed</v>
          </cell>
          <cell r="R1313" t="str">
            <v>Q1.5 Rejected</v>
          </cell>
          <cell r="S1313" t="str">
            <v>Rejected</v>
          </cell>
          <cell r="T1313" t="str">
            <v>Not Fit For Vibrotome</v>
          </cell>
          <cell r="U1313" t="str">
            <v>NA</v>
          </cell>
          <cell r="V1313" t="str">
            <v>FFPE</v>
          </cell>
          <cell r="W1313" t="str">
            <v>Private Hospital</v>
          </cell>
          <cell r="X1313" t="str">
            <v>Dr Prakash BV, Bangalore</v>
          </cell>
          <cell r="Y1313" t="str">
            <v>Sri Lakshmi Hospital, Bangalore</v>
          </cell>
          <cell r="Z1313" t="str">
            <v>Dr Prakash BV, Bangalore</v>
          </cell>
          <cell r="AA1313" t="str">
            <v>HNSCC</v>
          </cell>
          <cell r="AC1313" t="str">
            <v xml:space="preserve">GBS + Buccal Mucosa </v>
          </cell>
          <cell r="AD1313" t="str">
            <v>Left GBS + Left Buccal Mucosa</v>
          </cell>
          <cell r="AE1313" t="str">
            <v>Female</v>
          </cell>
          <cell r="AF1313">
            <v>60</v>
          </cell>
          <cell r="AG1313" t="str">
            <v>N</v>
          </cell>
          <cell r="AH1313">
            <v>5.3</v>
          </cell>
          <cell r="AI1313" t="str">
            <v>Kalappa</v>
          </cell>
          <cell r="AJ1313" t="str">
            <v>Surgery</v>
          </cell>
          <cell r="AK1313" t="str">
            <v>Primary</v>
          </cell>
          <cell r="AL1313" t="str">
            <v>NA</v>
          </cell>
          <cell r="AS1313" t="str">
            <v>SCC</v>
          </cell>
          <cell r="AV1313">
            <v>45363</v>
          </cell>
          <cell r="AW1313">
            <v>0.63194444444444442</v>
          </cell>
          <cell r="BC1313" t="str">
            <v>NA</v>
          </cell>
          <cell r="BD1313" t="str">
            <v>Vibratome</v>
          </cell>
          <cell r="BE1313">
            <v>15</v>
          </cell>
          <cell r="BF1313" t="str">
            <v>Syam</v>
          </cell>
          <cell r="BG1313" t="str">
            <v>Y</v>
          </cell>
        </row>
        <row r="1314">
          <cell r="A1314" t="str">
            <v>FBR1K250055</v>
          </cell>
          <cell r="B1314">
            <v>250055</v>
          </cell>
          <cell r="C1314" t="str">
            <v>R&amp;D</v>
          </cell>
          <cell r="D1314">
            <v>45729</v>
          </cell>
          <cell r="E1314">
            <v>0.38750000000000001</v>
          </cell>
          <cell r="F1314">
            <v>45717</v>
          </cell>
          <cell r="G1314">
            <v>45729</v>
          </cell>
          <cell r="H1314">
            <v>0.55277777777777781</v>
          </cell>
          <cell r="I1314">
            <v>0.16527777777777777</v>
          </cell>
          <cell r="J1314">
            <v>4</v>
          </cell>
          <cell r="K1314" t="str">
            <v>FCB-PROTOCOL-01</v>
          </cell>
          <cell r="L1314" t="str">
            <v>CLN/PRA/300</v>
          </cell>
          <cell r="M1314" t="str">
            <v>Y</v>
          </cell>
          <cell r="N1314" t="str">
            <v>DMS_v4(1K)</v>
          </cell>
          <cell r="O1314" t="str">
            <v>Internal R&amp;D</v>
          </cell>
          <cell r="P1314" t="str">
            <v>Q1 Passed</v>
          </cell>
          <cell r="Q1314" t="str">
            <v>Q1 Passed</v>
          </cell>
          <cell r="R1314" t="str">
            <v>Q1.5 Passed</v>
          </cell>
          <cell r="S1314" t="str">
            <v>Qualified</v>
          </cell>
          <cell r="T1314" t="str">
            <v>Nil</v>
          </cell>
          <cell r="U1314" t="str">
            <v>NA</v>
          </cell>
          <cell r="V1314" t="str">
            <v>Tumor content 30-65%.</v>
          </cell>
          <cell r="W1314" t="str">
            <v>Private Hospital</v>
          </cell>
          <cell r="X1314" t="str">
            <v>Dr Prakash BV, Bangalore</v>
          </cell>
          <cell r="Y1314" t="str">
            <v>Sri Lakshmi Hospital, Bangalore</v>
          </cell>
          <cell r="Z1314" t="str">
            <v>Dr Prakash BV, Bangalore</v>
          </cell>
          <cell r="AA1314" t="str">
            <v>HNSCC</v>
          </cell>
          <cell r="AB1314" t="str">
            <v>NA</v>
          </cell>
          <cell r="AC1314" t="str">
            <v>Tongue</v>
          </cell>
          <cell r="AD1314" t="str">
            <v>Left Lateral border of Tongue</v>
          </cell>
          <cell r="AE1314" t="str">
            <v>Male</v>
          </cell>
          <cell r="AF1314">
            <v>60</v>
          </cell>
          <cell r="AG1314" t="str">
            <v>N</v>
          </cell>
          <cell r="AH1314">
            <v>5.9</v>
          </cell>
          <cell r="AI1314" t="str">
            <v>Shashi</v>
          </cell>
          <cell r="AJ1314" t="str">
            <v>Surgery</v>
          </cell>
          <cell r="AK1314" t="str">
            <v>Primary</v>
          </cell>
          <cell r="AL1314" t="str">
            <v>NA</v>
          </cell>
          <cell r="AN1314" t="str">
            <v>II</v>
          </cell>
          <cell r="AO1314">
            <v>2</v>
          </cell>
          <cell r="AP1314" t="str">
            <v>pT2N1M0</v>
          </cell>
          <cell r="AS1314" t="str">
            <v>SCC</v>
          </cell>
          <cell r="AV1314">
            <v>45729</v>
          </cell>
          <cell r="AW1314">
            <v>0.56874999999999998</v>
          </cell>
          <cell r="AX1314">
            <v>0.63611111111111107</v>
          </cell>
          <cell r="AY1314">
            <v>6.7361111111111108E-2</v>
          </cell>
          <cell r="AZ1314">
            <v>0.47083333333333333</v>
          </cell>
          <cell r="BA1314">
            <v>0.24861111111111112</v>
          </cell>
          <cell r="BB1314" t="str">
            <v>0.6*1.6-2.0*2.6</v>
          </cell>
          <cell r="BC1314" t="str">
            <v>NA</v>
          </cell>
          <cell r="BD1314" t="str">
            <v>Vibratome</v>
          </cell>
          <cell r="BE1314">
            <v>15</v>
          </cell>
          <cell r="BF1314" t="str">
            <v>Syam</v>
          </cell>
          <cell r="BG1314" t="str">
            <v>Y</v>
          </cell>
        </row>
        <row r="1315">
          <cell r="A1315" t="str">
            <v>FBR1K250056</v>
          </cell>
          <cell r="B1315">
            <v>250056</v>
          </cell>
          <cell r="C1315" t="str">
            <v>R&amp;D</v>
          </cell>
          <cell r="D1315">
            <v>45729</v>
          </cell>
          <cell r="E1315">
            <v>0.47291666666666665</v>
          </cell>
          <cell r="F1315">
            <v>45717</v>
          </cell>
          <cell r="G1315">
            <v>45729</v>
          </cell>
          <cell r="H1315">
            <v>0.63055555555555554</v>
          </cell>
          <cell r="I1315">
            <v>0.15763888888888888</v>
          </cell>
          <cell r="J1315">
            <v>3</v>
          </cell>
          <cell r="K1315" t="str">
            <v>FCB-PROTOCOL-01</v>
          </cell>
          <cell r="L1315" t="str">
            <v>VYD/363</v>
          </cell>
          <cell r="M1315" t="str">
            <v>Y</v>
          </cell>
          <cell r="N1315" t="str">
            <v>DMS_v4(1K)</v>
          </cell>
          <cell r="O1315" t="str">
            <v>Internal R&amp;D</v>
          </cell>
          <cell r="P1315" t="str">
            <v>Q1 Passed</v>
          </cell>
          <cell r="Q1315" t="str">
            <v>Q1 Passed</v>
          </cell>
          <cell r="R1315" t="str">
            <v>Q1.5 Passed</v>
          </cell>
          <cell r="S1315" t="str">
            <v>Qualified</v>
          </cell>
          <cell r="T1315" t="str">
            <v>Nil</v>
          </cell>
          <cell r="U1315" t="str">
            <v>NA</v>
          </cell>
          <cell r="V1315" t="str">
            <v>Tumor content 40-80%</v>
          </cell>
          <cell r="W1315" t="str">
            <v>Private Hospital</v>
          </cell>
          <cell r="X1315" t="str">
            <v>Vydehi Hospital, Bangalore</v>
          </cell>
          <cell r="Y1315" t="str">
            <v>Vydehi Hospital, Bangalore</v>
          </cell>
          <cell r="Z1315" t="str">
            <v>Dr Amritha Prabha, Bangalore</v>
          </cell>
          <cell r="AA1315" t="str">
            <v>HNSCC</v>
          </cell>
          <cell r="AB1315" t="str">
            <v>NA</v>
          </cell>
          <cell r="AC1315" t="str">
            <v>Alveolus</v>
          </cell>
          <cell r="AD1315" t="str">
            <v>Right Lower Alveolus</v>
          </cell>
          <cell r="AE1315" t="str">
            <v>Female</v>
          </cell>
          <cell r="AF1315">
            <v>73</v>
          </cell>
          <cell r="AG1315" t="str">
            <v>N</v>
          </cell>
          <cell r="AH1315">
            <v>5.0999999999999996</v>
          </cell>
          <cell r="AI1315" t="str">
            <v>Kalappa</v>
          </cell>
          <cell r="AJ1315" t="str">
            <v>Surgery</v>
          </cell>
          <cell r="AK1315" t="str">
            <v>Primary</v>
          </cell>
          <cell r="AL1315" t="str">
            <v>NA</v>
          </cell>
          <cell r="AN1315" t="str">
            <v>IV</v>
          </cell>
          <cell r="AO1315">
            <v>3</v>
          </cell>
          <cell r="AP1315" t="str">
            <v>T4aN0</v>
          </cell>
          <cell r="AS1315" t="str">
            <v>SCC</v>
          </cell>
          <cell r="AV1315">
            <v>45729</v>
          </cell>
          <cell r="AW1315">
            <v>0.65</v>
          </cell>
          <cell r="AX1315">
            <v>0.72777777777777775</v>
          </cell>
          <cell r="AY1315">
            <v>7.7777777777777779E-2</v>
          </cell>
          <cell r="AZ1315">
            <v>0.57013888888888886</v>
          </cell>
          <cell r="BA1315">
            <v>0.25486111111111109</v>
          </cell>
          <cell r="BB1315" t="str">
            <v>0.6*1.0*1.6
0.4*0.8*1.0</v>
          </cell>
          <cell r="BC1315" t="str">
            <v>NA</v>
          </cell>
          <cell r="BD1315" t="str">
            <v>Vibratome</v>
          </cell>
          <cell r="BE1315">
            <v>15</v>
          </cell>
          <cell r="BF1315" t="str">
            <v>Abdul</v>
          </cell>
          <cell r="BG1315" t="str">
            <v>Y</v>
          </cell>
        </row>
        <row r="1316">
          <cell r="A1316" t="str">
            <v>FBR1J250057</v>
          </cell>
          <cell r="B1316">
            <v>250057</v>
          </cell>
          <cell r="C1316" t="str">
            <v>R&amp;D</v>
          </cell>
          <cell r="D1316">
            <v>45729</v>
          </cell>
          <cell r="E1316">
            <v>0.53819444444444442</v>
          </cell>
          <cell r="F1316">
            <v>45717</v>
          </cell>
          <cell r="G1316">
            <v>45729</v>
          </cell>
          <cell r="H1316">
            <v>0.63055555555555554</v>
          </cell>
          <cell r="I1316">
            <v>9.2361111111111116E-2</v>
          </cell>
          <cell r="J1316">
            <v>11</v>
          </cell>
          <cell r="K1316" t="str">
            <v>FCB-PROTOCOL-01</v>
          </cell>
          <cell r="L1316" t="str">
            <v>VYD/364</v>
          </cell>
          <cell r="M1316" t="str">
            <v>Y</v>
          </cell>
          <cell r="N1316" t="str">
            <v>COS_v3.0-Gastric (1J)</v>
          </cell>
          <cell r="O1316" t="str">
            <v>Internal R&amp;D</v>
          </cell>
          <cell r="P1316" t="str">
            <v>Q1 Passed</v>
          </cell>
          <cell r="Q1316" t="str">
            <v>Q1 Passed</v>
          </cell>
          <cell r="R1316" t="str">
            <v>Compromised</v>
          </cell>
          <cell r="S1316" t="str">
            <v>Rejected</v>
          </cell>
          <cell r="T1316" t="str">
            <v>Nil</v>
          </cell>
          <cell r="U1316" t="str">
            <v>NA</v>
          </cell>
          <cell r="V1316" t="str">
            <v>No tumor ,only inflammation</v>
          </cell>
          <cell r="W1316" t="str">
            <v>Private Hospital</v>
          </cell>
          <cell r="X1316" t="str">
            <v>Vydehi Hospital, Bangalore</v>
          </cell>
          <cell r="Y1316" t="str">
            <v>Vydehi Hospital, Bangalore</v>
          </cell>
          <cell r="Z1316" t="str">
            <v>Dr Amritha Prabha, Bangalore</v>
          </cell>
          <cell r="AA1316" t="str">
            <v>GI</v>
          </cell>
          <cell r="AB1316" t="str">
            <v>NA</v>
          </cell>
          <cell r="AC1316" t="str">
            <v>Stomach</v>
          </cell>
          <cell r="AD1316" t="str">
            <v>Stomach</v>
          </cell>
          <cell r="AE1316" t="str">
            <v>Female</v>
          </cell>
          <cell r="AF1316">
            <v>50</v>
          </cell>
          <cell r="AG1316" t="str">
            <v>N</v>
          </cell>
          <cell r="AH1316">
            <v>5.0999999999999996</v>
          </cell>
          <cell r="AI1316" t="str">
            <v>Kalappa</v>
          </cell>
          <cell r="AJ1316" t="str">
            <v>Surgery</v>
          </cell>
          <cell r="AK1316" t="str">
            <v>Primary</v>
          </cell>
          <cell r="AL1316" t="str">
            <v>Chemotherapy</v>
          </cell>
          <cell r="AQ1316">
            <v>4</v>
          </cell>
          <cell r="AR1316" t="str">
            <v>FLOT</v>
          </cell>
          <cell r="AS1316" t="str">
            <v>Adenocarcinoma</v>
          </cell>
          <cell r="AV1316">
            <v>45729</v>
          </cell>
          <cell r="AW1316">
            <v>0.65486111111111112</v>
          </cell>
          <cell r="AX1316">
            <v>0.71527777777777779</v>
          </cell>
          <cell r="AY1316">
            <v>6.0416666666666667E-2</v>
          </cell>
          <cell r="AZ1316">
            <v>0.62291666666666667</v>
          </cell>
          <cell r="BA1316">
            <v>0.17708333333333334</v>
          </cell>
          <cell r="BB1316" t="str">
            <v>0.8*1.2*1.4
0.6*1.0*2.0</v>
          </cell>
          <cell r="BC1316" t="str">
            <v>NA</v>
          </cell>
          <cell r="BD1316" t="str">
            <v>Manual</v>
          </cell>
          <cell r="BE1316">
            <v>13</v>
          </cell>
          <cell r="BF1316" t="str">
            <v>chandan</v>
          </cell>
          <cell r="BG1316" t="str">
            <v>Y</v>
          </cell>
        </row>
        <row r="1317">
          <cell r="A1317" t="str">
            <v>FBR1J250058</v>
          </cell>
          <cell r="B1317">
            <v>250058</v>
          </cell>
          <cell r="C1317" t="str">
            <v>R&amp;D</v>
          </cell>
          <cell r="D1317">
            <v>45729</v>
          </cell>
          <cell r="E1317">
            <v>0.55555555555555558</v>
          </cell>
          <cell r="F1317">
            <v>45717</v>
          </cell>
          <cell r="G1317">
            <v>45729</v>
          </cell>
          <cell r="H1317">
            <v>0.81111111111111112</v>
          </cell>
          <cell r="I1317">
            <v>0.25555555555555554</v>
          </cell>
          <cell r="J1317">
            <v>10</v>
          </cell>
          <cell r="K1317" t="str">
            <v>FCB-PROTOCOL-01</v>
          </cell>
          <cell r="L1317" t="str">
            <v>JSS-034</v>
          </cell>
          <cell r="M1317" t="str">
            <v>Y</v>
          </cell>
          <cell r="N1317" t="str">
            <v>COS_v3.0-Gastric (1J)</v>
          </cell>
          <cell r="O1317" t="str">
            <v>Internal R&amp;D</v>
          </cell>
          <cell r="P1317" t="str">
            <v>Q1 Passed</v>
          </cell>
          <cell r="Q1317" t="str">
            <v>Q1 Rejected</v>
          </cell>
          <cell r="R1317" t="str">
            <v>Compromised</v>
          </cell>
          <cell r="S1317" t="str">
            <v>Rejected</v>
          </cell>
          <cell r="T1317" t="str">
            <v>Blood clotted</v>
          </cell>
          <cell r="U1317" t="str">
            <v>NA</v>
          </cell>
          <cell r="V1317" t="str">
            <v>Suspicious cells seen in only 1 fragment, others no tumor</v>
          </cell>
          <cell r="W1317" t="str">
            <v>Private Hospital</v>
          </cell>
          <cell r="X1317" t="str">
            <v>Dr Ravi Krishnappa, Mysore</v>
          </cell>
          <cell r="Y1317" t="str">
            <v>JSS Hospital, Mysore</v>
          </cell>
          <cell r="Z1317" t="str">
            <v>Dr Ravi Krishnappa, Mysore</v>
          </cell>
          <cell r="AA1317" t="str">
            <v>GI</v>
          </cell>
          <cell r="AC1317" t="str">
            <v>Peritoneal  Deposit</v>
          </cell>
          <cell r="AD1317" t="str">
            <v>Peritoneal  Deposit</v>
          </cell>
          <cell r="AE1317" t="str">
            <v>Male</v>
          </cell>
          <cell r="AF1317">
            <v>47</v>
          </cell>
          <cell r="AG1317" t="str">
            <v>N</v>
          </cell>
          <cell r="AH1317">
            <v>6.8</v>
          </cell>
          <cell r="AI1317" t="str">
            <v>Maruthi</v>
          </cell>
          <cell r="AJ1317" t="str">
            <v>Surgery</v>
          </cell>
          <cell r="AK1317" t="str">
            <v>Primary</v>
          </cell>
          <cell r="AL1317" t="str">
            <v>NA</v>
          </cell>
          <cell r="AS1317" t="str">
            <v>Adenocarcinoma
and Signet ring cell</v>
          </cell>
          <cell r="AV1317">
            <v>45729</v>
          </cell>
          <cell r="AW1317">
            <v>0.83125000000000004</v>
          </cell>
          <cell r="AX1317">
            <v>0.87847222222222221</v>
          </cell>
          <cell r="AY1317">
            <v>4.7222222222222221E-2</v>
          </cell>
          <cell r="AZ1317">
            <v>0.62291666666666667</v>
          </cell>
          <cell r="BA1317">
            <v>0.32291666666666669</v>
          </cell>
          <cell r="BB1317" t="str">
            <v xml:space="preserve">0.4-0.6*0.4-0.6*0.6
0.2-0.4*0.8*0.8-1.0
</v>
          </cell>
          <cell r="BC1317" t="str">
            <v>NA</v>
          </cell>
          <cell r="BD1317" t="str">
            <v>Manual</v>
          </cell>
          <cell r="BE1317">
            <v>13</v>
          </cell>
          <cell r="BF1317" t="str">
            <v>chandan</v>
          </cell>
          <cell r="BG1317" t="str">
            <v>N</v>
          </cell>
        </row>
        <row r="1318">
          <cell r="A1318" t="str">
            <v>FBR1K250059</v>
          </cell>
          <cell r="B1318">
            <v>250059</v>
          </cell>
          <cell r="C1318" t="str">
            <v>R&amp;D</v>
          </cell>
          <cell r="D1318">
            <v>45730</v>
          </cell>
          <cell r="E1318">
            <v>0.48472222222222222</v>
          </cell>
          <cell r="F1318">
            <v>45717</v>
          </cell>
          <cell r="G1318">
            <v>45730</v>
          </cell>
          <cell r="H1318">
            <v>0.56180555555555556</v>
          </cell>
          <cell r="I1318">
            <v>7.7083333333333337E-2</v>
          </cell>
          <cell r="J1318">
            <v>1</v>
          </cell>
          <cell r="K1318" t="str">
            <v>FCB-PROTOCOL-01</v>
          </cell>
          <cell r="L1318" t="str">
            <v>VYD/365</v>
          </cell>
          <cell r="M1318" t="str">
            <v>Y</v>
          </cell>
          <cell r="N1318" t="str">
            <v>DMS_v4(1K)</v>
          </cell>
          <cell r="O1318" t="str">
            <v>Internal R&amp;D</v>
          </cell>
          <cell r="P1318" t="str">
            <v>Q1 Passed</v>
          </cell>
          <cell r="Q1318" t="str">
            <v>Q1 Passed</v>
          </cell>
          <cell r="R1318" t="str">
            <v>Q1.5 Passed</v>
          </cell>
          <cell r="S1318" t="str">
            <v>Qualified</v>
          </cell>
          <cell r="T1318" t="str">
            <v>Nil</v>
          </cell>
          <cell r="U1318" t="str">
            <v>NA</v>
          </cell>
          <cell r="V1318" t="str">
            <v>Tumor content 60-90%</v>
          </cell>
          <cell r="W1318" t="str">
            <v>Private Hospital</v>
          </cell>
          <cell r="X1318" t="str">
            <v>Vydehi Hospital, Bangalore</v>
          </cell>
          <cell r="Y1318" t="str">
            <v>Vydehi Hospital, Bangalore</v>
          </cell>
          <cell r="Z1318" t="str">
            <v>Dr Amritha Prabha, Bangalore</v>
          </cell>
          <cell r="AA1318" t="str">
            <v>HNSCC</v>
          </cell>
          <cell r="AB1318" t="str">
            <v>NA</v>
          </cell>
          <cell r="AC1318" t="str">
            <v>Buccal Mucosa</v>
          </cell>
          <cell r="AD1318" t="str">
            <v>Left Buccal Mucosa</v>
          </cell>
          <cell r="AE1318" t="str">
            <v>Female</v>
          </cell>
          <cell r="AF1318">
            <v>67</v>
          </cell>
          <cell r="AG1318" t="str">
            <v>N</v>
          </cell>
          <cell r="AH1318">
            <v>4.8</v>
          </cell>
          <cell r="AI1318" t="str">
            <v>Kalappa</v>
          </cell>
          <cell r="AJ1318" t="str">
            <v>Surgery</v>
          </cell>
          <cell r="AK1318" t="str">
            <v>Primary</v>
          </cell>
          <cell r="AL1318" t="str">
            <v>NA</v>
          </cell>
          <cell r="AN1318" t="str">
            <v>IV</v>
          </cell>
          <cell r="AO1318">
            <v>2</v>
          </cell>
          <cell r="AP1318" t="str">
            <v>T4aN2b</v>
          </cell>
          <cell r="AS1318" t="str">
            <v>SCC</v>
          </cell>
          <cell r="AV1318">
            <v>45730</v>
          </cell>
          <cell r="AW1318">
            <v>0.57777777777777772</v>
          </cell>
          <cell r="AX1318">
            <v>0.65069444444444446</v>
          </cell>
          <cell r="AY1318">
            <v>7.2916666666666671E-2</v>
          </cell>
          <cell r="AZ1318">
            <v>0.57361111111111107</v>
          </cell>
          <cell r="BA1318">
            <v>0.16597222222222222</v>
          </cell>
          <cell r="BB1318" t="str">
            <v>0.8*1.4*1.2-2.0
0.2*0.8*1.2</v>
          </cell>
          <cell r="BC1318" t="str">
            <v>NA</v>
          </cell>
          <cell r="BD1318" t="str">
            <v>Vibratome</v>
          </cell>
          <cell r="BE1318">
            <v>15</v>
          </cell>
          <cell r="BF1318" t="str">
            <v>Syam</v>
          </cell>
          <cell r="BG1318" t="str">
            <v>Y</v>
          </cell>
        </row>
        <row r="1319">
          <cell r="A1319" t="str">
            <v>FBR1Y250060</v>
          </cell>
          <cell r="B1319">
            <v>250060</v>
          </cell>
          <cell r="C1319" t="str">
            <v>R&amp;D</v>
          </cell>
          <cell r="D1319">
            <v>45733</v>
          </cell>
          <cell r="E1319">
            <v>0.4201388888888889</v>
          </cell>
          <cell r="F1319">
            <v>45717</v>
          </cell>
          <cell r="G1319">
            <v>45733</v>
          </cell>
          <cell r="H1319">
            <v>0.54513888888888884</v>
          </cell>
          <cell r="I1319">
            <v>0.125</v>
          </cell>
          <cell r="J1319">
            <v>4</v>
          </cell>
          <cell r="K1319" t="str">
            <v>FCB-PROTOCOL-01</v>
          </cell>
          <cell r="L1319" t="str">
            <v>VYD/366</v>
          </cell>
          <cell r="M1319" t="str">
            <v>Y</v>
          </cell>
          <cell r="N1319" t="str">
            <v>CCS Study (1Y)</v>
          </cell>
          <cell r="O1319" t="str">
            <v>Internal R&amp;D</v>
          </cell>
          <cell r="P1319" t="str">
            <v>Q1 Passed</v>
          </cell>
          <cell r="Q1319" t="str">
            <v>Q1 Passed</v>
          </cell>
          <cell r="R1319" t="str">
            <v>Q1.5 Passed</v>
          </cell>
          <cell r="S1319" t="str">
            <v>Qualified</v>
          </cell>
          <cell r="T1319" t="str">
            <v>Nil</v>
          </cell>
          <cell r="U1319" t="str">
            <v>NA</v>
          </cell>
          <cell r="V1319" t="str">
            <v>Tumor content &gt;90%</v>
          </cell>
          <cell r="W1319" t="str">
            <v>Private Hospital</v>
          </cell>
          <cell r="X1319" t="str">
            <v>Vydehi Hospital, Bangalore</v>
          </cell>
          <cell r="Y1319" t="str">
            <v>Vydehi Hospital, Bangalore</v>
          </cell>
          <cell r="Z1319" t="str">
            <v>Dr Amritha Prabha, Bangalore</v>
          </cell>
          <cell r="AA1319" t="str">
            <v>HNSCC</v>
          </cell>
          <cell r="AB1319" t="str">
            <v>NA</v>
          </cell>
          <cell r="AC1319" t="str">
            <v>Buccal Mucosa</v>
          </cell>
          <cell r="AD1319" t="str">
            <v>Left Buccal Mucosa</v>
          </cell>
          <cell r="AE1319" t="str">
            <v>Male</v>
          </cell>
          <cell r="AF1319">
            <v>86</v>
          </cell>
          <cell r="AG1319" t="str">
            <v>N</v>
          </cell>
          <cell r="AH1319">
            <v>4.2</v>
          </cell>
          <cell r="AI1319" t="str">
            <v>Kalappa</v>
          </cell>
          <cell r="AJ1319" t="str">
            <v>Surgery</v>
          </cell>
          <cell r="AK1319" t="str">
            <v>Primary</v>
          </cell>
          <cell r="AL1319" t="str">
            <v>NA</v>
          </cell>
          <cell r="AN1319" t="str">
            <v>III</v>
          </cell>
          <cell r="AO1319">
            <v>1</v>
          </cell>
          <cell r="AP1319" t="str">
            <v>T3N0</v>
          </cell>
          <cell r="AS1319" t="str">
            <v>SCC</v>
          </cell>
          <cell r="AV1319">
            <v>45733</v>
          </cell>
          <cell r="AW1319">
            <v>0.60347222222222219</v>
          </cell>
          <cell r="AX1319">
            <v>0.67569444444444449</v>
          </cell>
          <cell r="AY1319">
            <v>7.2222222222222215E-2</v>
          </cell>
          <cell r="AZ1319">
            <v>0.55069444444444449</v>
          </cell>
          <cell r="BA1319">
            <v>0.25555555555555554</v>
          </cell>
          <cell r="BB1319" t="str">
            <v>0.6*0.6-0.7*1.4</v>
          </cell>
          <cell r="BC1319" t="str">
            <v>NA</v>
          </cell>
          <cell r="BD1319" t="str">
            <v>Vibratome</v>
          </cell>
          <cell r="BE1319">
            <v>15</v>
          </cell>
          <cell r="BF1319" t="str">
            <v>Vasanth</v>
          </cell>
          <cell r="BG1319" t="str">
            <v>Y</v>
          </cell>
        </row>
        <row r="1320">
          <cell r="A1320" t="str">
            <v>FBR1K250061</v>
          </cell>
          <cell r="B1320">
            <v>250061</v>
          </cell>
          <cell r="C1320" t="str">
            <v>R&amp;D</v>
          </cell>
          <cell r="D1320">
            <v>45734</v>
          </cell>
          <cell r="E1320">
            <v>0.48055555555555557</v>
          </cell>
          <cell r="F1320">
            <v>45717</v>
          </cell>
          <cell r="G1320">
            <v>45734</v>
          </cell>
          <cell r="H1320">
            <v>0.61250000000000004</v>
          </cell>
          <cell r="I1320">
            <v>0.13194444444444445</v>
          </cell>
          <cell r="J1320">
            <v>3</v>
          </cell>
          <cell r="K1320" t="str">
            <v>FCB-PROTOCOL-01</v>
          </cell>
          <cell r="L1320" t="str">
            <v>CLN/PRA/301</v>
          </cell>
          <cell r="M1320" t="str">
            <v>Y</v>
          </cell>
          <cell r="N1320" t="str">
            <v>DMS_v4(1K)</v>
          </cell>
          <cell r="O1320" t="str">
            <v>Internal R&amp;D</v>
          </cell>
          <cell r="P1320" t="str">
            <v>Q1 Passed</v>
          </cell>
          <cell r="Q1320" t="str">
            <v>Q1 Passed</v>
          </cell>
          <cell r="R1320" t="str">
            <v>Q1.5 Rejected</v>
          </cell>
          <cell r="S1320" t="str">
            <v>Rejected</v>
          </cell>
          <cell r="T1320" t="str">
            <v>Nil</v>
          </cell>
          <cell r="U1320" t="str">
            <v>NA</v>
          </cell>
          <cell r="V1320" t="str">
            <v>No tumor</v>
          </cell>
          <cell r="W1320" t="str">
            <v>Private Hospital</v>
          </cell>
          <cell r="X1320" t="str">
            <v>Dr Prakash BV, Bangalore</v>
          </cell>
          <cell r="Y1320" t="str">
            <v>Sri Lakshmi Hospital, Bangalore</v>
          </cell>
          <cell r="Z1320" t="str">
            <v>Dr Prakash BV, Bangalore</v>
          </cell>
          <cell r="AA1320" t="str">
            <v>HNSCC</v>
          </cell>
          <cell r="AB1320" t="str">
            <v>NA</v>
          </cell>
          <cell r="AC1320" t="str">
            <v>Tongue</v>
          </cell>
          <cell r="AD1320" t="str">
            <v>Left Lateral border of Tongue</v>
          </cell>
          <cell r="AE1320" t="str">
            <v>Male</v>
          </cell>
          <cell r="AF1320">
            <v>64</v>
          </cell>
          <cell r="AG1320" t="str">
            <v>N</v>
          </cell>
          <cell r="AH1320">
            <v>4.5999999999999996</v>
          </cell>
          <cell r="AI1320" t="str">
            <v>Kalappa</v>
          </cell>
          <cell r="AJ1320" t="str">
            <v>Surgery</v>
          </cell>
          <cell r="AK1320" t="str">
            <v>Primary</v>
          </cell>
          <cell r="AL1320" t="str">
            <v>NA</v>
          </cell>
          <cell r="AN1320" t="str">
            <v>II</v>
          </cell>
          <cell r="AO1320">
            <v>3</v>
          </cell>
          <cell r="AP1320" t="str">
            <v>pT2N0M0</v>
          </cell>
          <cell r="AS1320" t="str">
            <v>SCC</v>
          </cell>
          <cell r="AV1320">
            <v>45734</v>
          </cell>
          <cell r="AW1320">
            <v>0.63055555555555554</v>
          </cell>
          <cell r="AX1320">
            <v>0.73819444444444449</v>
          </cell>
          <cell r="AY1320">
            <v>0.1076388888888889</v>
          </cell>
          <cell r="AZ1320">
            <v>0.60624999999999996</v>
          </cell>
          <cell r="BA1320">
            <v>0.25763888888888886</v>
          </cell>
          <cell r="BB1320" t="str">
            <v>1.2*1.0-1.8*2.6</v>
          </cell>
          <cell r="BC1320" t="str">
            <v>NA</v>
          </cell>
          <cell r="BD1320" t="str">
            <v>Vibratome</v>
          </cell>
          <cell r="BE1320">
            <v>15</v>
          </cell>
          <cell r="BF1320" t="str">
            <v>chandan</v>
          </cell>
          <cell r="BG1320" t="str">
            <v>Y</v>
          </cell>
        </row>
        <row r="1321">
          <cell r="A1321" t="str">
            <v>FBR1K250062</v>
          </cell>
          <cell r="B1321">
            <v>250062</v>
          </cell>
          <cell r="C1321" t="str">
            <v>R&amp;D</v>
          </cell>
          <cell r="D1321">
            <v>45734</v>
          </cell>
          <cell r="E1321">
            <v>0.49305555555555558</v>
          </cell>
          <cell r="F1321">
            <v>45717</v>
          </cell>
          <cell r="G1321">
            <v>45734</v>
          </cell>
          <cell r="H1321">
            <v>0.875</v>
          </cell>
          <cell r="I1321">
            <v>0.38194444444444442</v>
          </cell>
          <cell r="J1321">
            <v>10</v>
          </cell>
          <cell r="K1321" t="str">
            <v>FCB-PROTOCOL-01</v>
          </cell>
          <cell r="L1321" t="str">
            <v>CLN/DBR/229</v>
          </cell>
          <cell r="M1321" t="str">
            <v>Y</v>
          </cell>
          <cell r="N1321" t="str">
            <v>DMS_v4(1K)</v>
          </cell>
          <cell r="O1321" t="str">
            <v>Internal R&amp;D</v>
          </cell>
          <cell r="P1321" t="str">
            <v>Q1 Passed</v>
          </cell>
          <cell r="Q1321" t="str">
            <v>Q1 Rejected</v>
          </cell>
          <cell r="R1321" t="str">
            <v>Q1.5 Passed</v>
          </cell>
          <cell r="S1321" t="str">
            <v>Qualified</v>
          </cell>
          <cell r="T1321" t="str">
            <v>Nil</v>
          </cell>
          <cell r="U1321" t="str">
            <v>NA</v>
          </cell>
          <cell r="V1321" t="str">
            <v>Tumor content 0-60%. Average tumor content 23%</v>
          </cell>
          <cell r="W1321" t="str">
            <v>Private Hospital</v>
          </cell>
          <cell r="X1321" t="str">
            <v>Clinic'les- DBR &amp; SK Hospital, Tirupati</v>
          </cell>
          <cell r="Y1321" t="str">
            <v>DBR &amp; SK Hospital, Tirupati</v>
          </cell>
          <cell r="Z1321" t="str">
            <v>Dr C Jayaprakash, Tirupati</v>
          </cell>
          <cell r="AA1321" t="str">
            <v>HNSCC</v>
          </cell>
          <cell r="AB1321" t="str">
            <v>NA</v>
          </cell>
          <cell r="AC1321" t="str">
            <v>Tongue</v>
          </cell>
          <cell r="AD1321" t="str">
            <v>Tongue</v>
          </cell>
          <cell r="AE1321" t="str">
            <v>Female</v>
          </cell>
          <cell r="AF1321">
            <v>41</v>
          </cell>
          <cell r="AG1321" t="str">
            <v>N</v>
          </cell>
          <cell r="AH1321">
            <v>5.7</v>
          </cell>
          <cell r="AI1321" t="str">
            <v>Shashi</v>
          </cell>
          <cell r="AJ1321" t="str">
            <v>Surgery</v>
          </cell>
          <cell r="AK1321" t="str">
            <v>Primary</v>
          </cell>
          <cell r="AL1321" t="str">
            <v>NA</v>
          </cell>
          <cell r="AN1321" t="str">
            <v>IVb</v>
          </cell>
          <cell r="AP1321" t="str">
            <v>T3 N3b MX</v>
          </cell>
          <cell r="AS1321" t="str">
            <v>SCC</v>
          </cell>
          <cell r="AV1321">
            <v>45735</v>
          </cell>
          <cell r="AW1321">
            <v>0.31041666666666667</v>
          </cell>
          <cell r="AX1321">
            <v>0.39444444444444443</v>
          </cell>
          <cell r="AY1321">
            <v>8.4027777777777785E-2</v>
          </cell>
          <cell r="AZ1321">
            <v>1.2500000000000001E-2</v>
          </cell>
          <cell r="BA132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321" t="str">
            <v>0.8-1.0*1.6*2.0-2.4</v>
          </cell>
          <cell r="BC1321" t="str">
            <v>NA</v>
          </cell>
          <cell r="BD1321" t="str">
            <v>Vibratome</v>
          </cell>
          <cell r="BE1321">
            <v>15</v>
          </cell>
          <cell r="BF1321" t="str">
            <v>Abdul</v>
          </cell>
          <cell r="BG1321" t="str">
            <v>Y</v>
          </cell>
        </row>
        <row r="1322">
          <cell r="A1322" t="str">
            <v>FBR1K250063</v>
          </cell>
          <cell r="B1322">
            <v>250063</v>
          </cell>
          <cell r="C1322" t="str">
            <v>R&amp;D</v>
          </cell>
          <cell r="D1322">
            <v>45735</v>
          </cell>
          <cell r="E1322">
            <v>0.47986111111111113</v>
          </cell>
          <cell r="F1322">
            <v>45717</v>
          </cell>
          <cell r="G1322">
            <v>45735</v>
          </cell>
          <cell r="H1322">
            <v>0.67013888888888884</v>
          </cell>
          <cell r="I1322">
            <v>0.19027777777777777</v>
          </cell>
          <cell r="J1322">
            <v>3</v>
          </cell>
          <cell r="K1322" t="str">
            <v>FCB-PROTOCOL-01</v>
          </cell>
          <cell r="L1322" t="str">
            <v>VYD/367</v>
          </cell>
          <cell r="M1322" t="str">
            <v>Y</v>
          </cell>
          <cell r="N1322" t="str">
            <v>DMS_v4(1K)</v>
          </cell>
          <cell r="O1322" t="str">
            <v>Internal R&amp;D</v>
          </cell>
          <cell r="P1322" t="str">
            <v>Q1 Passed</v>
          </cell>
          <cell r="Q1322" t="str">
            <v>Q1 Passed</v>
          </cell>
          <cell r="R1322" t="str">
            <v>Q1.5 Passed</v>
          </cell>
          <cell r="S1322" t="str">
            <v>Qualified</v>
          </cell>
          <cell r="T1322" t="str">
            <v>Nil</v>
          </cell>
          <cell r="U1322" t="str">
            <v>NA</v>
          </cell>
          <cell r="V1322" t="str">
            <v>Tumor content 8-65% with good immune component</v>
          </cell>
          <cell r="W1322" t="str">
            <v>Private Hospital</v>
          </cell>
          <cell r="X1322" t="str">
            <v>Vydehi Hospital, Bangalore</v>
          </cell>
          <cell r="Y1322" t="str">
            <v>Vydehi Hospital, Bangalore</v>
          </cell>
          <cell r="Z1322" t="str">
            <v>Dr Amritha Prabha, Bangalore</v>
          </cell>
          <cell r="AA1322" t="str">
            <v>HNSCC</v>
          </cell>
          <cell r="AB1322" t="str">
            <v>NA</v>
          </cell>
          <cell r="AC1322" t="str">
            <v>Buccal Mucosa</v>
          </cell>
          <cell r="AD1322" t="str">
            <v>Left Buccal Mucosa</v>
          </cell>
          <cell r="AE1322" t="str">
            <v>Female</v>
          </cell>
          <cell r="AF1322">
            <v>51</v>
          </cell>
          <cell r="AG1322" t="str">
            <v>N</v>
          </cell>
          <cell r="AH1322">
            <v>4.5999999999999996</v>
          </cell>
          <cell r="AI1322" t="str">
            <v>Maruthi</v>
          </cell>
          <cell r="AJ1322" t="str">
            <v>Surgery</v>
          </cell>
          <cell r="AK1322" t="str">
            <v>Primary</v>
          </cell>
          <cell r="AL1322" t="str">
            <v>NA</v>
          </cell>
          <cell r="AN1322" t="str">
            <v>IV</v>
          </cell>
          <cell r="AO1322">
            <v>2</v>
          </cell>
          <cell r="AP1322" t="str">
            <v>T4aN2b</v>
          </cell>
          <cell r="AS1322" t="str">
            <v>SCC</v>
          </cell>
          <cell r="AV1322">
            <v>45735</v>
          </cell>
          <cell r="AW1322">
            <v>0.68194444444444446</v>
          </cell>
          <cell r="AX1322">
            <v>0.77083333333333337</v>
          </cell>
          <cell r="AY1322">
            <v>8.8888888888888892E-2</v>
          </cell>
          <cell r="AZ1322">
            <v>0.5805555555555556</v>
          </cell>
          <cell r="BA1322">
            <v>0.29097222222222224</v>
          </cell>
          <cell r="BB1322" t="str">
            <v>1.0*0.9*1.0</v>
          </cell>
          <cell r="BC1322" t="str">
            <v>NA</v>
          </cell>
          <cell r="BD1322" t="str">
            <v>Vibratome</v>
          </cell>
          <cell r="BE1322">
            <v>15</v>
          </cell>
          <cell r="BF1322" t="str">
            <v>Dharani</v>
          </cell>
          <cell r="BG1322" t="str">
            <v>Y</v>
          </cell>
        </row>
        <row r="1323">
          <cell r="A1323" t="str">
            <v>FBR1J250064</v>
          </cell>
          <cell r="B1323">
            <v>250064</v>
          </cell>
          <cell r="C1323" t="str">
            <v>R&amp;D</v>
          </cell>
          <cell r="D1323">
            <v>45735</v>
          </cell>
          <cell r="E1323">
            <v>0.47222222222222221</v>
          </cell>
          <cell r="F1323">
            <v>45717</v>
          </cell>
          <cell r="G1323">
            <v>45735</v>
          </cell>
          <cell r="H1323">
            <v>0.72222222222222221</v>
          </cell>
          <cell r="I1323">
            <v>0.25</v>
          </cell>
          <cell r="J1323">
            <v>15</v>
          </cell>
          <cell r="K1323" t="str">
            <v>FCB-PROTOCOL-01</v>
          </cell>
          <cell r="L1323" t="str">
            <v>JSS-035</v>
          </cell>
          <cell r="M1323" t="str">
            <v>Y</v>
          </cell>
          <cell r="N1323" t="str">
            <v>COS_v3.0-Gastric (1J)</v>
          </cell>
          <cell r="O1323" t="str">
            <v>Internal R&amp;D</v>
          </cell>
          <cell r="P1323" t="str">
            <v>Q1 Passed</v>
          </cell>
          <cell r="Q1323" t="str">
            <v>Q1 Passed</v>
          </cell>
          <cell r="R1323" t="str">
            <v>Q1.5 Passed</v>
          </cell>
          <cell r="S1323" t="str">
            <v>Rejected</v>
          </cell>
          <cell r="T1323" t="str">
            <v>Low Tumor content</v>
          </cell>
          <cell r="U1323" t="str">
            <v>NA</v>
          </cell>
          <cell r="V1323" t="str">
            <v xml:space="preserve">	
8% tumor in one explant only, others no tumor</v>
          </cell>
          <cell r="W1323" t="str">
            <v>Private Hospital</v>
          </cell>
          <cell r="X1323" t="str">
            <v>Dr Ravi Krishnappa, Mysore</v>
          </cell>
          <cell r="Y1323" t="str">
            <v>JSS Hospital, Mysore</v>
          </cell>
          <cell r="Z1323" t="str">
            <v>Dr Ravi Krishnappa, Mysore</v>
          </cell>
          <cell r="AA1323" t="str">
            <v>GI</v>
          </cell>
          <cell r="AB1323" t="str">
            <v>NA</v>
          </cell>
          <cell r="AC1323" t="str">
            <v>Stomach</v>
          </cell>
          <cell r="AD1323" t="str">
            <v>Stomach</v>
          </cell>
          <cell r="AE1323" t="str">
            <v>Female</v>
          </cell>
          <cell r="AF1323">
            <v>68</v>
          </cell>
          <cell r="AG1323" t="str">
            <v>N</v>
          </cell>
          <cell r="AH1323">
            <v>5.2</v>
          </cell>
          <cell r="AI1323" t="str">
            <v>Kalappa</v>
          </cell>
          <cell r="AJ1323" t="str">
            <v>Surgery</v>
          </cell>
          <cell r="AK1323" t="str">
            <v>Primary</v>
          </cell>
          <cell r="AL1323" t="str">
            <v>Chemotherapy</v>
          </cell>
          <cell r="AR1323" t="str">
            <v>FOLFAX Regimen</v>
          </cell>
          <cell r="AV1323">
            <v>45735</v>
          </cell>
          <cell r="AW1323">
            <v>0.74027777777777781</v>
          </cell>
          <cell r="AX1323">
            <v>0.79305555555555551</v>
          </cell>
          <cell r="AY1323">
            <v>5.2777777777777778E-2</v>
          </cell>
          <cell r="AZ1323">
            <v>0.54305555555555551</v>
          </cell>
          <cell r="BA1323">
            <v>0.32083333333333336</v>
          </cell>
          <cell r="BB1323" t="str">
            <v>0.2-0.4*0.6-0.7*0.8
0.2-0.3*0.4-0.6*1.6</v>
          </cell>
          <cell r="BC1323" t="str">
            <v>NA</v>
          </cell>
          <cell r="BD1323" t="str">
            <v>Manual</v>
          </cell>
          <cell r="BE1323">
            <v>13</v>
          </cell>
          <cell r="BF1323" t="str">
            <v xml:space="preserve">sai </v>
          </cell>
          <cell r="BG1323" t="str">
            <v>Y</v>
          </cell>
        </row>
        <row r="1324">
          <cell r="A1324" t="str">
            <v>FBR1K250065</v>
          </cell>
          <cell r="B1324">
            <v>250065</v>
          </cell>
          <cell r="C1324" t="str">
            <v>R&amp;D</v>
          </cell>
          <cell r="D1324">
            <v>45736</v>
          </cell>
          <cell r="E1324">
            <v>0.4152777777777778</v>
          </cell>
          <cell r="F1324">
            <v>45717</v>
          </cell>
          <cell r="G1324">
            <v>45736</v>
          </cell>
          <cell r="H1324">
            <v>0.5805555555555556</v>
          </cell>
          <cell r="I1324">
            <v>0.16527777777777777</v>
          </cell>
          <cell r="J1324">
            <v>2</v>
          </cell>
          <cell r="K1324" t="str">
            <v>FCB-PROTOCOL-01</v>
          </cell>
          <cell r="L1324" t="str">
            <v>VYD/368</v>
          </cell>
          <cell r="M1324" t="str">
            <v>Y</v>
          </cell>
          <cell r="N1324" t="str">
            <v>DMS_v4(1K)</v>
          </cell>
          <cell r="O1324" t="str">
            <v>Internal R&amp;D</v>
          </cell>
          <cell r="P1324" t="str">
            <v>Q1 Passed</v>
          </cell>
          <cell r="Q1324" t="str">
            <v>Q1 Passed</v>
          </cell>
          <cell r="R1324" t="str">
            <v>Q1.5 Passed</v>
          </cell>
          <cell r="S1324" t="str">
            <v>Qualified</v>
          </cell>
          <cell r="T1324" t="str">
            <v>Nil</v>
          </cell>
          <cell r="U1324" t="str">
            <v>NA</v>
          </cell>
          <cell r="V1324" t="str">
            <v>Tumor content 0-65%. Average tumor content 22%</v>
          </cell>
          <cell r="W1324" t="str">
            <v>Private Hospital</v>
          </cell>
          <cell r="X1324" t="str">
            <v>Vydehi Hospital, Bangalore</v>
          </cell>
          <cell r="Y1324" t="str">
            <v>Vydehi Hospital, Bangalore</v>
          </cell>
          <cell r="Z1324" t="str">
            <v>Dr Amritha Prabha, Bangalore</v>
          </cell>
          <cell r="AA1324" t="str">
            <v>HNSCC</v>
          </cell>
          <cell r="AB1324" t="str">
            <v>NA</v>
          </cell>
          <cell r="AC1324" t="str">
            <v>Tongue</v>
          </cell>
          <cell r="AD1324" t="str">
            <v>Right Lateral Tongue</v>
          </cell>
          <cell r="AE1324" t="str">
            <v>Female</v>
          </cell>
          <cell r="AF1324">
            <v>56</v>
          </cell>
          <cell r="AG1324" t="str">
            <v>N</v>
          </cell>
          <cell r="AH1324">
            <v>4.8</v>
          </cell>
          <cell r="AI1324" t="str">
            <v>Kalappa</v>
          </cell>
          <cell r="AJ1324" t="str">
            <v>Surgery</v>
          </cell>
          <cell r="AK1324" t="str">
            <v>Primary</v>
          </cell>
          <cell r="AL1324" t="str">
            <v>NA</v>
          </cell>
          <cell r="AN1324" t="str">
            <v>III</v>
          </cell>
          <cell r="AO1324">
            <v>1</v>
          </cell>
          <cell r="AP1324" t="str">
            <v>T3N0</v>
          </cell>
          <cell r="AS1324" t="str">
            <v>SCC</v>
          </cell>
          <cell r="AV1324">
            <v>45736</v>
          </cell>
          <cell r="AW1324">
            <v>0.6</v>
          </cell>
          <cell r="AX1324">
            <v>0.68611111111111112</v>
          </cell>
          <cell r="AY1324">
            <v>8.611111111111111E-2</v>
          </cell>
          <cell r="AZ1324">
            <v>0.52083333333333337</v>
          </cell>
          <cell r="BA1324">
            <v>0.27083333333333331</v>
          </cell>
          <cell r="BB1324" t="str">
            <v>1.0*1.5*1.4</v>
          </cell>
          <cell r="BC1324" t="str">
            <v>NA</v>
          </cell>
          <cell r="BD1324" t="str">
            <v>Vibratome</v>
          </cell>
          <cell r="BE1324">
            <v>15</v>
          </cell>
          <cell r="BF1324" t="str">
            <v>Vasanth</v>
          </cell>
          <cell r="BG1324" t="str">
            <v>Y</v>
          </cell>
        </row>
        <row r="1325">
          <cell r="A1325" t="str">
            <v>FBR1K250066</v>
          </cell>
          <cell r="B1325">
            <v>250066</v>
          </cell>
          <cell r="C1325" t="str">
            <v>R&amp;D</v>
          </cell>
          <cell r="D1325">
            <v>45737</v>
          </cell>
          <cell r="E1325">
            <v>0.43819444444444444</v>
          </cell>
          <cell r="F1325">
            <v>45717</v>
          </cell>
          <cell r="G1325">
            <v>45737</v>
          </cell>
          <cell r="H1325">
            <v>0.55208333333333337</v>
          </cell>
          <cell r="I1325">
            <v>0.11388888888888889</v>
          </cell>
          <cell r="J1325">
            <v>3</v>
          </cell>
          <cell r="K1325" t="str">
            <v>FCB-PROTOCOL-01</v>
          </cell>
          <cell r="L1325" t="str">
            <v>VYD/369</v>
          </cell>
          <cell r="M1325" t="str">
            <v>Y</v>
          </cell>
          <cell r="N1325" t="str">
            <v>DMS_v4(1K)</v>
          </cell>
          <cell r="O1325" t="str">
            <v>Internal R&amp;D</v>
          </cell>
          <cell r="P1325" t="str">
            <v>Q1 Passed</v>
          </cell>
          <cell r="Q1325" t="str">
            <v>Q1 Passed</v>
          </cell>
          <cell r="R1325" t="str">
            <v>Q1.5 Passed</v>
          </cell>
          <cell r="S1325" t="str">
            <v>Qualified</v>
          </cell>
          <cell r="T1325" t="str">
            <v>Nil</v>
          </cell>
          <cell r="U1325" t="str">
            <v>NA</v>
          </cell>
          <cell r="V1325" t="str">
            <v>Tumor content 70-90%</v>
          </cell>
          <cell r="W1325" t="str">
            <v>Private Hospital</v>
          </cell>
          <cell r="X1325" t="str">
            <v>Vydehi Hospital, Bangalore</v>
          </cell>
          <cell r="Y1325" t="str">
            <v>Vydehi Hospital, Bangalore</v>
          </cell>
          <cell r="Z1325" t="str">
            <v>Dr Amritha Prabha, Bangalore</v>
          </cell>
          <cell r="AA1325" t="str">
            <v>HNSCC</v>
          </cell>
          <cell r="AB1325" t="str">
            <v>NA</v>
          </cell>
          <cell r="AC1325" t="str">
            <v>Alveolus</v>
          </cell>
          <cell r="AD1325" t="str">
            <v>Left Lower Alveolus</v>
          </cell>
          <cell r="AE1325" t="str">
            <v>Female</v>
          </cell>
          <cell r="AF1325">
            <v>47</v>
          </cell>
          <cell r="AG1325" t="str">
            <v>N</v>
          </cell>
          <cell r="AH1325">
            <v>4.5999999999999996</v>
          </cell>
          <cell r="AI1325" t="str">
            <v>Kalappa</v>
          </cell>
          <cell r="AJ1325" t="str">
            <v>Surgery</v>
          </cell>
          <cell r="AK1325" t="str">
            <v>Primary</v>
          </cell>
          <cell r="AL1325" t="str">
            <v>NA</v>
          </cell>
          <cell r="AN1325" t="str">
            <v>IV</v>
          </cell>
          <cell r="AO1325">
            <v>2</v>
          </cell>
          <cell r="AP1325" t="str">
            <v>T4aN0</v>
          </cell>
          <cell r="AS1325" t="str">
            <v>SCC</v>
          </cell>
          <cell r="AV1325">
            <v>45737</v>
          </cell>
          <cell r="AW1325">
            <v>0.57291666666666663</v>
          </cell>
          <cell r="AX1325">
            <v>0.63749999999999996</v>
          </cell>
          <cell r="AY1325">
            <v>6.458333333333334E-2</v>
          </cell>
          <cell r="AZ1325">
            <v>0.52361111111111114</v>
          </cell>
          <cell r="BA1325">
            <v>0.19930555555555557</v>
          </cell>
          <cell r="BB1325" t="str">
            <v>0.6*0.6-1.1*0.8-1.3</v>
          </cell>
          <cell r="BC1325" t="str">
            <v>NA</v>
          </cell>
          <cell r="BD1325" t="str">
            <v>Vibratome</v>
          </cell>
          <cell r="BE1325">
            <v>15</v>
          </cell>
          <cell r="BF1325" t="str">
            <v>Syam</v>
          </cell>
          <cell r="BG1325" t="str">
            <v>Y</v>
          </cell>
        </row>
        <row r="1326">
          <cell r="A1326" t="str">
            <v>FBR2O250067</v>
          </cell>
          <cell r="B1326">
            <v>250067</v>
          </cell>
          <cell r="C1326" t="str">
            <v>R&amp;D</v>
          </cell>
          <cell r="D1326">
            <v>45737</v>
          </cell>
          <cell r="E1326">
            <v>0.51388888888888884</v>
          </cell>
          <cell r="F1326">
            <v>45717</v>
          </cell>
          <cell r="G1326">
            <v>45737</v>
          </cell>
          <cell r="H1326">
            <v>0.56874999999999998</v>
          </cell>
          <cell r="I1326">
            <v>5.486111111111111E-2</v>
          </cell>
          <cell r="J1326">
            <v>10</v>
          </cell>
          <cell r="K1326" t="str">
            <v>FCB-PROTOCOL-01</v>
          </cell>
          <cell r="L1326" t="str">
            <v>KH-005</v>
          </cell>
          <cell r="M1326" t="str">
            <v>Y</v>
          </cell>
          <cell r="N1326" t="str">
            <v>Prostate Biopsy (2O)</v>
          </cell>
          <cell r="O1326" t="str">
            <v>Internal R&amp;D</v>
          </cell>
          <cell r="P1326" t="str">
            <v>Q1 Passed</v>
          </cell>
          <cell r="Q1326" t="str">
            <v>Q1 Passed</v>
          </cell>
          <cell r="R1326" t="str">
            <v>Q1.5 Passed</v>
          </cell>
          <cell r="S1326" t="str">
            <v>Qualified</v>
          </cell>
          <cell r="T1326" t="str">
            <v>Nil</v>
          </cell>
          <cell r="U1326" t="str">
            <v>NA</v>
          </cell>
          <cell r="V1326" t="str">
            <v>Tumor content 5-65%</v>
          </cell>
          <cell r="W1326" t="str">
            <v>Private Hospital</v>
          </cell>
          <cell r="X1326" t="str">
            <v>Kauvery Hospital, Elelctronic city bangalore</v>
          </cell>
          <cell r="Y1326" t="str">
            <v>Kauvery Hospital, Elelctronic city bangalore</v>
          </cell>
          <cell r="Z1326" t="str">
            <v>Dr Sreeharsha</v>
          </cell>
          <cell r="AA1326" t="str">
            <v>Prostate</v>
          </cell>
          <cell r="AB1326" t="str">
            <v>NA</v>
          </cell>
          <cell r="AC1326" t="str">
            <v>Prostate</v>
          </cell>
          <cell r="AD1326" t="str">
            <v>Prostate</v>
          </cell>
          <cell r="AE1326" t="str">
            <v>Male</v>
          </cell>
          <cell r="AF1326">
            <v>82</v>
          </cell>
          <cell r="AG1326" t="str">
            <v>N</v>
          </cell>
          <cell r="AH1326">
            <v>5.3</v>
          </cell>
          <cell r="AI1326" t="str">
            <v>Shashi</v>
          </cell>
          <cell r="AJ1326" t="str">
            <v>Surgery</v>
          </cell>
          <cell r="AK1326" t="str">
            <v>Primary</v>
          </cell>
          <cell r="AL1326" t="str">
            <v>NA</v>
          </cell>
          <cell r="AV1326">
            <v>45737</v>
          </cell>
          <cell r="AW1326">
            <v>0.62847222222222221</v>
          </cell>
          <cell r="AX1326">
            <v>0.68055555555555558</v>
          </cell>
          <cell r="AY1326">
            <v>5.2083333333333336E-2</v>
          </cell>
          <cell r="AZ1326">
            <v>0.62569444444444444</v>
          </cell>
          <cell r="BA1326">
            <v>0.16666666666666666</v>
          </cell>
          <cell r="BB1326" t="str">
            <v>0.1-0.2*0.2-0.3
Approx 20-30pcs</v>
          </cell>
          <cell r="BC1326" t="str">
            <v>NA</v>
          </cell>
          <cell r="BD1326" t="str">
            <v>Manual</v>
          </cell>
          <cell r="BE1326">
            <v>15</v>
          </cell>
          <cell r="BF1326" t="str">
            <v xml:space="preserve">sai </v>
          </cell>
          <cell r="BG1326" t="str">
            <v>Y</v>
          </cell>
        </row>
        <row r="1327">
          <cell r="A1327" t="str">
            <v>FBR2O250068</v>
          </cell>
          <cell r="B1327">
            <v>250068</v>
          </cell>
          <cell r="C1327" t="str">
            <v>R&amp;D</v>
          </cell>
          <cell r="D1327">
            <v>45742</v>
          </cell>
          <cell r="E1327">
            <v>0.47222222222222221</v>
          </cell>
          <cell r="F1327">
            <v>45717</v>
          </cell>
          <cell r="G1327">
            <v>45742</v>
          </cell>
          <cell r="H1327">
            <v>0.50763888888888886</v>
          </cell>
          <cell r="I1327">
            <v>3.5416666666666666E-2</v>
          </cell>
          <cell r="J1327">
            <v>10</v>
          </cell>
          <cell r="K1327" t="str">
            <v>FCB-PROTOCOL-01</v>
          </cell>
          <cell r="L1327" t="str">
            <v>KH-006</v>
          </cell>
          <cell r="M1327" t="str">
            <v>Y</v>
          </cell>
          <cell r="N1327" t="str">
            <v>Prostate Biopsy (2O)</v>
          </cell>
          <cell r="O1327" t="str">
            <v>Internal R&amp;D</v>
          </cell>
          <cell r="P1327" t="str">
            <v>Q1 Passed</v>
          </cell>
          <cell r="Q1327" t="str">
            <v>Q1 Passed</v>
          </cell>
          <cell r="R1327" t="str">
            <v>Q1.5 Passed</v>
          </cell>
          <cell r="S1327" t="str">
            <v>Qualified</v>
          </cell>
          <cell r="T1327" t="str">
            <v>Nil</v>
          </cell>
          <cell r="U1327" t="str">
            <v>NA</v>
          </cell>
          <cell r="V1327" t="str">
            <v>Tumor content 0-40%. Average tumor content 11%</v>
          </cell>
          <cell r="W1327" t="str">
            <v>Private Hospital</v>
          </cell>
          <cell r="X1327" t="str">
            <v>Kauvery Hospital, Elelctronic city bangalore</v>
          </cell>
          <cell r="Y1327" t="str">
            <v>Kauvery Hospital, Elelctronic city bangalore</v>
          </cell>
          <cell r="Z1327" t="str">
            <v>Dr Sreeharsha</v>
          </cell>
          <cell r="AA1327" t="str">
            <v>Prostate</v>
          </cell>
          <cell r="AB1327" t="str">
            <v>NA</v>
          </cell>
          <cell r="AC1327" t="str">
            <v>Prostate</v>
          </cell>
          <cell r="AD1327" t="str">
            <v>Prostate</v>
          </cell>
          <cell r="AE1327" t="str">
            <v>Male</v>
          </cell>
          <cell r="AF1327">
            <v>86</v>
          </cell>
          <cell r="AG1327" t="str">
            <v>N</v>
          </cell>
          <cell r="AH1327">
            <v>5.9</v>
          </cell>
          <cell r="AI1327" t="str">
            <v>Shashi</v>
          </cell>
          <cell r="AJ1327" t="str">
            <v>Surgery</v>
          </cell>
          <cell r="AK1327" t="str">
            <v>Primary</v>
          </cell>
          <cell r="AL1327" t="str">
            <v>Surgery</v>
          </cell>
          <cell r="AS1327" t="str">
            <v>Adenocarcinoma</v>
          </cell>
          <cell r="AV1327">
            <v>45742</v>
          </cell>
          <cell r="AW1327">
            <v>0.52638888888888891</v>
          </cell>
          <cell r="AX1327">
            <v>0.61458333333333337</v>
          </cell>
          <cell r="AY1327">
            <v>8.819444444444445E-2</v>
          </cell>
          <cell r="AZ1327">
            <v>0.57916666666666672</v>
          </cell>
          <cell r="BA1327">
            <v>0.1423611111111111</v>
          </cell>
          <cell r="BB1327" t="str">
            <v>0.1-0.2*0.2-0.6*0.4-2.4</v>
          </cell>
          <cell r="BC1327" t="str">
            <v>NA</v>
          </cell>
          <cell r="BD1327" t="str">
            <v>Manual</v>
          </cell>
          <cell r="BE1327">
            <v>15</v>
          </cell>
          <cell r="BF1327" t="str">
            <v>Syam</v>
          </cell>
          <cell r="BG1327" t="str">
            <v>Y</v>
          </cell>
        </row>
        <row r="1328">
          <cell r="A1328" t="str">
            <v>FBR1K250069</v>
          </cell>
          <cell r="B1328">
            <v>250069</v>
          </cell>
          <cell r="C1328" t="str">
            <v>R&amp;D</v>
          </cell>
          <cell r="D1328">
            <v>45742</v>
          </cell>
          <cell r="E1328">
            <v>0.47986111111111113</v>
          </cell>
          <cell r="F1328">
            <v>45717</v>
          </cell>
          <cell r="G1328">
            <v>45742</v>
          </cell>
          <cell r="H1328">
            <v>0.6430555555555556</v>
          </cell>
          <cell r="I1328">
            <v>0.16319444444444445</v>
          </cell>
          <cell r="J1328">
            <v>2</v>
          </cell>
          <cell r="K1328" t="str">
            <v>FCB-PROTOCOL-01</v>
          </cell>
          <cell r="L1328" t="str">
            <v>VYD/370</v>
          </cell>
          <cell r="M1328" t="str">
            <v>Y</v>
          </cell>
          <cell r="N1328" t="str">
            <v>DMS_v4(1K)</v>
          </cell>
          <cell r="O1328" t="str">
            <v>Internal R&amp;D</v>
          </cell>
          <cell r="P1328" t="str">
            <v>Q1 Passed</v>
          </cell>
          <cell r="Q1328" t="str">
            <v>Q1 Passed</v>
          </cell>
          <cell r="R1328" t="str">
            <v>Q1.5 Passed</v>
          </cell>
          <cell r="S1328" t="str">
            <v>Qualified</v>
          </cell>
          <cell r="T1328" t="str">
            <v>Nil</v>
          </cell>
          <cell r="U1328" t="str">
            <v>NA</v>
          </cell>
          <cell r="V1328" t="str">
            <v xml:space="preserve">	
Tumor content 0-75%. Average tumor content 30%</v>
          </cell>
          <cell r="W1328" t="str">
            <v>Private Hospital</v>
          </cell>
          <cell r="X1328" t="str">
            <v>Vydehi Hospital, Bangalore</v>
          </cell>
          <cell r="Y1328" t="str">
            <v>Vydehi Hospital, Bangalore</v>
          </cell>
          <cell r="Z1328" t="str">
            <v>Dr Amritha Prabha, Bangalore</v>
          </cell>
          <cell r="AA1328" t="str">
            <v>HNSCC</v>
          </cell>
          <cell r="AB1328" t="str">
            <v>NA</v>
          </cell>
          <cell r="AC1328" t="str">
            <v>Buccal Mucosa</v>
          </cell>
          <cell r="AD1328" t="str">
            <v>Right Buccal Mucosa</v>
          </cell>
          <cell r="AE1328" t="str">
            <v>Female</v>
          </cell>
          <cell r="AF1328">
            <v>72</v>
          </cell>
          <cell r="AG1328" t="str">
            <v>N</v>
          </cell>
          <cell r="AH1328">
            <v>4.3</v>
          </cell>
          <cell r="AI1328" t="str">
            <v>Maruthi</v>
          </cell>
          <cell r="AJ1328" t="str">
            <v>Surgery</v>
          </cell>
          <cell r="AK1328" t="str">
            <v>Primary</v>
          </cell>
          <cell r="AL1328" t="str">
            <v>NA</v>
          </cell>
          <cell r="AN1328" t="str">
            <v>IV</v>
          </cell>
          <cell r="AO1328">
            <v>2</v>
          </cell>
          <cell r="AP1328" t="str">
            <v>T3N2b</v>
          </cell>
          <cell r="AS1328" t="str">
            <v>SCC</v>
          </cell>
          <cell r="AV1328">
            <v>45742</v>
          </cell>
          <cell r="AW1328">
            <v>0.66041666666666665</v>
          </cell>
          <cell r="AX1328">
            <v>0.73333333333333328</v>
          </cell>
          <cell r="AY1328">
            <v>7.2916666666666671E-2</v>
          </cell>
          <cell r="AZ1328">
            <v>0.57013888888888886</v>
          </cell>
          <cell r="BA1328">
            <v>0.25347222222222221</v>
          </cell>
          <cell r="BB1328" t="str">
            <v>1.2*1.4*1.5</v>
          </cell>
          <cell r="BC1328" t="str">
            <v>NA</v>
          </cell>
          <cell r="BD1328" t="str">
            <v>Vibratome</v>
          </cell>
          <cell r="BE1328">
            <v>15</v>
          </cell>
          <cell r="BF1328" t="str">
            <v>Dharani</v>
          </cell>
          <cell r="BG1328" t="str">
            <v>Y</v>
          </cell>
        </row>
        <row r="1329">
          <cell r="A1329" t="str">
            <v>FBR1J250070</v>
          </cell>
          <cell r="B1329">
            <v>250070</v>
          </cell>
          <cell r="C1329" t="str">
            <v>R&amp;D</v>
          </cell>
          <cell r="D1329">
            <v>45743</v>
          </cell>
          <cell r="E1329">
            <v>0.42152777777777778</v>
          </cell>
          <cell r="F1329">
            <v>45717</v>
          </cell>
          <cell r="G1329">
            <v>45743</v>
          </cell>
          <cell r="H1329">
            <v>0.5493055555555556</v>
          </cell>
          <cell r="I1329">
            <v>0.12777777777777777</v>
          </cell>
          <cell r="J1329">
            <v>3</v>
          </cell>
          <cell r="K1329" t="str">
            <v>FCB-PROTOCOL-01</v>
          </cell>
          <cell r="L1329" t="str">
            <v>CLN/PRA/302</v>
          </cell>
          <cell r="M1329" t="str">
            <v>Y</v>
          </cell>
          <cell r="N1329" t="str">
            <v>COS_v3.0-Gastric (1J)</v>
          </cell>
          <cell r="O1329" t="str">
            <v>Internal R&amp;D</v>
          </cell>
          <cell r="P1329" t="str">
            <v>Q1 Passed</v>
          </cell>
          <cell r="Q1329" t="str">
            <v>Q1 Passed</v>
          </cell>
          <cell r="R1329" t="str">
            <v>Q1.5 Passed</v>
          </cell>
          <cell r="S1329" t="str">
            <v>Qualified</v>
          </cell>
          <cell r="T1329" t="str">
            <v>Nil</v>
          </cell>
          <cell r="U1329" t="str">
            <v>NA</v>
          </cell>
          <cell r="V1329" t="str">
            <v>Tumor content 0-45%. Average tumor content 12%</v>
          </cell>
          <cell r="W1329" t="str">
            <v>Private Hospital</v>
          </cell>
          <cell r="X1329" t="str">
            <v>Dr Prakash BV, Bangalore</v>
          </cell>
          <cell r="Y1329" t="str">
            <v>Sri Lakshmi Hospital, Bangalore</v>
          </cell>
          <cell r="Z1329" t="str">
            <v>Dr Prakash BV, Bangalore</v>
          </cell>
          <cell r="AA1329" t="str">
            <v>GI</v>
          </cell>
          <cell r="AB1329" t="str">
            <v>NA</v>
          </cell>
          <cell r="AC1329" t="str">
            <v>Stomach</v>
          </cell>
          <cell r="AD1329" t="str">
            <v>Antrum of Stomach</v>
          </cell>
          <cell r="AE1329" t="str">
            <v>Male</v>
          </cell>
          <cell r="AF1329">
            <v>42</v>
          </cell>
          <cell r="AG1329" t="str">
            <v>N</v>
          </cell>
          <cell r="AH1329">
            <v>5.5</v>
          </cell>
          <cell r="AI1329" t="str">
            <v>Shashi</v>
          </cell>
          <cell r="AJ1329" t="str">
            <v>Surgery</v>
          </cell>
          <cell r="AK1329" t="str">
            <v>Primary</v>
          </cell>
          <cell r="AL1329" t="str">
            <v>NA</v>
          </cell>
          <cell r="AS1329" t="str">
            <v>Adenocarcinoma</v>
          </cell>
          <cell r="AV1329">
            <v>45743</v>
          </cell>
          <cell r="AW1329">
            <v>0.6</v>
          </cell>
          <cell r="AX1329">
            <v>0.63263888888888886</v>
          </cell>
          <cell r="AY1329">
            <v>3.2638888888888891E-2</v>
          </cell>
          <cell r="AZ1329">
            <v>0.50486111111111109</v>
          </cell>
          <cell r="BA1329">
            <v>0.21111111111111111</v>
          </cell>
          <cell r="BB1329" t="str">
            <v>0.2-0.3*1.1*1.6</v>
          </cell>
          <cell r="BC1329" t="str">
            <v>NA</v>
          </cell>
          <cell r="BD1329" t="str">
            <v>Manual</v>
          </cell>
          <cell r="BE1329">
            <v>13</v>
          </cell>
          <cell r="BF1329" t="str">
            <v>Dharani</v>
          </cell>
          <cell r="BG1329" t="str">
            <v>Y</v>
          </cell>
        </row>
        <row r="1330">
          <cell r="A1330">
            <v>250071</v>
          </cell>
          <cell r="B1330">
            <v>250071</v>
          </cell>
          <cell r="C1330" t="str">
            <v>R&amp;D</v>
          </cell>
          <cell r="D1330">
            <v>45384</v>
          </cell>
          <cell r="E1330">
            <v>0.50347222222222221</v>
          </cell>
          <cell r="F1330">
            <v>45748</v>
          </cell>
          <cell r="G1330">
            <v>45384</v>
          </cell>
          <cell r="H1330">
            <v>0.50347222222222221</v>
          </cell>
          <cell r="I1330">
            <v>0</v>
          </cell>
          <cell r="J1330">
            <v>0</v>
          </cell>
          <cell r="K1330" t="str">
            <v>NA</v>
          </cell>
          <cell r="L1330" t="str">
            <v>FBS-BLD-001</v>
          </cell>
          <cell r="M1330" t="str">
            <v>N</v>
          </cell>
          <cell r="N1330" t="str">
            <v>NA</v>
          </cell>
          <cell r="O1330" t="str">
            <v>Internal R&amp;D</v>
          </cell>
          <cell r="P1330" t="str">
            <v>NA</v>
          </cell>
          <cell r="Q1330" t="str">
            <v>Q1 Passed</v>
          </cell>
          <cell r="R1330" t="str">
            <v>Q1.5 Passed</v>
          </cell>
          <cell r="S1330" t="str">
            <v>Qualified</v>
          </cell>
          <cell r="T1330" t="str">
            <v>Nil</v>
          </cell>
          <cell r="U1330" t="str">
            <v>NA</v>
          </cell>
          <cell r="V1330" t="str">
            <v>NA</v>
          </cell>
          <cell r="W1330" t="str">
            <v>Farcast</v>
          </cell>
          <cell r="X1330" t="str">
            <v>NA</v>
          </cell>
          <cell r="Y1330" t="str">
            <v>NA</v>
          </cell>
          <cell r="Z1330" t="str">
            <v>NA</v>
          </cell>
          <cell r="AA1330" t="str">
            <v>Healthy Blood</v>
          </cell>
          <cell r="AB1330" t="str">
            <v>NA</v>
          </cell>
          <cell r="AC1330" t="str">
            <v>Healthy Blood</v>
          </cell>
          <cell r="AD1330" t="str">
            <v>Healthy Blood</v>
          </cell>
          <cell r="AE1330" t="str">
            <v>Male</v>
          </cell>
          <cell r="AF1330">
            <v>40</v>
          </cell>
          <cell r="AG1330" t="str">
            <v>N</v>
          </cell>
          <cell r="AH1330">
            <v>37</v>
          </cell>
          <cell r="AI1330" t="str">
            <v>Kalappa</v>
          </cell>
          <cell r="AJ1330" t="str">
            <v>NA</v>
          </cell>
          <cell r="AK1330" t="str">
            <v>NA</v>
          </cell>
          <cell r="AL1330" t="str">
            <v>NA</v>
          </cell>
          <cell r="AV1330">
            <v>45384</v>
          </cell>
          <cell r="AW1330" t="str">
            <v>NA</v>
          </cell>
          <cell r="AX1330" t="str">
            <v>NA</v>
          </cell>
          <cell r="AY1330" t="str">
            <v>NA</v>
          </cell>
          <cell r="AZ1330" t="str">
            <v>NA</v>
          </cell>
          <cell r="BA1330" t="str">
            <v>NA</v>
          </cell>
          <cell r="BB1330" t="str">
            <v>NA</v>
          </cell>
          <cell r="BC1330" t="str">
            <v>NA</v>
          </cell>
          <cell r="BD1330" t="str">
            <v>NA</v>
          </cell>
          <cell r="BE1330" t="str">
            <v>NA</v>
          </cell>
          <cell r="BF1330" t="str">
            <v>NA</v>
          </cell>
          <cell r="BG1330" t="str">
            <v>Y</v>
          </cell>
        </row>
        <row r="1331">
          <cell r="A1331">
            <v>250072</v>
          </cell>
          <cell r="B1331">
            <v>250072</v>
          </cell>
          <cell r="C1331" t="str">
            <v>R&amp;D</v>
          </cell>
          <cell r="D1331">
            <v>45384</v>
          </cell>
          <cell r="E1331">
            <v>0.50694444444444442</v>
          </cell>
          <cell r="F1331">
            <v>45748</v>
          </cell>
          <cell r="G1331">
            <v>45384</v>
          </cell>
          <cell r="H1331">
            <v>0.50694444444444442</v>
          </cell>
          <cell r="I1331">
            <v>0</v>
          </cell>
          <cell r="J1331">
            <v>0</v>
          </cell>
          <cell r="K1331" t="str">
            <v>NA</v>
          </cell>
          <cell r="L1331" t="str">
            <v>FBS-BLD-002</v>
          </cell>
          <cell r="M1331" t="str">
            <v>N</v>
          </cell>
          <cell r="N1331" t="str">
            <v>NA</v>
          </cell>
          <cell r="O1331" t="str">
            <v>Internal R&amp;D</v>
          </cell>
          <cell r="P1331" t="str">
            <v>NA</v>
          </cell>
          <cell r="Q1331" t="str">
            <v>Q1 Passed</v>
          </cell>
          <cell r="R1331" t="str">
            <v>Q1.5 Passed</v>
          </cell>
          <cell r="S1331" t="str">
            <v>Qualified</v>
          </cell>
          <cell r="T1331" t="str">
            <v>Nil</v>
          </cell>
          <cell r="U1331" t="str">
            <v>NA</v>
          </cell>
          <cell r="V1331" t="str">
            <v>NA</v>
          </cell>
          <cell r="W1331" t="str">
            <v>Farcast</v>
          </cell>
          <cell r="X1331" t="str">
            <v>NA</v>
          </cell>
          <cell r="Y1331" t="str">
            <v>NA</v>
          </cell>
          <cell r="Z1331" t="str">
            <v>NA</v>
          </cell>
          <cell r="AA1331" t="str">
            <v>Healthy Blood</v>
          </cell>
          <cell r="AB1331" t="str">
            <v>NA</v>
          </cell>
          <cell r="AC1331" t="str">
            <v>Healthy Blood</v>
          </cell>
          <cell r="AD1331" t="str">
            <v>Healthy Blood</v>
          </cell>
          <cell r="AE1331" t="str">
            <v>Male</v>
          </cell>
          <cell r="AF1331">
            <v>43</v>
          </cell>
          <cell r="AG1331" t="str">
            <v>N</v>
          </cell>
          <cell r="AH1331">
            <v>37</v>
          </cell>
          <cell r="AI1331" t="str">
            <v>Kalappa</v>
          </cell>
          <cell r="AJ1331" t="str">
            <v>NA</v>
          </cell>
          <cell r="AK1331" t="str">
            <v>NA</v>
          </cell>
          <cell r="AL1331" t="str">
            <v>NA</v>
          </cell>
          <cell r="AV1331">
            <v>45384</v>
          </cell>
          <cell r="AW1331" t="str">
            <v>NA</v>
          </cell>
          <cell r="AX1331" t="str">
            <v>NA</v>
          </cell>
          <cell r="AY1331" t="str">
            <v>NA</v>
          </cell>
          <cell r="AZ1331" t="str">
            <v>NA</v>
          </cell>
          <cell r="BA1331" t="str">
            <v>NA</v>
          </cell>
          <cell r="BB1331" t="str">
            <v>NA</v>
          </cell>
          <cell r="BC1331" t="str">
            <v>NA</v>
          </cell>
          <cell r="BD1331" t="str">
            <v>NA</v>
          </cell>
          <cell r="BE1331" t="str">
            <v>NA</v>
          </cell>
          <cell r="BF1331" t="str">
            <v>NA</v>
          </cell>
          <cell r="BG1331" t="str">
            <v>Y</v>
          </cell>
        </row>
        <row r="1332">
          <cell r="A1332" t="str">
            <v>FBR1K250073</v>
          </cell>
          <cell r="B1332">
            <v>250073</v>
          </cell>
          <cell r="C1332" t="str">
            <v>R&amp;D</v>
          </cell>
          <cell r="D1332">
            <v>45756</v>
          </cell>
          <cell r="E1332">
            <v>0.4548611111111111</v>
          </cell>
          <cell r="F1332">
            <v>45748</v>
          </cell>
          <cell r="G1332">
            <v>45756</v>
          </cell>
          <cell r="H1332">
            <v>0.71458333333333335</v>
          </cell>
          <cell r="I1332">
            <v>0.25972222222222224</v>
          </cell>
          <cell r="J1332">
            <v>10</v>
          </cell>
          <cell r="K1332" t="str">
            <v>FCB-PROTOCOL-01</v>
          </cell>
          <cell r="L1332" t="str">
            <v>JSS-036</v>
          </cell>
          <cell r="M1332" t="str">
            <v>Y</v>
          </cell>
          <cell r="N1332" t="str">
            <v>COS_v3.0-Gastric (1J)</v>
          </cell>
          <cell r="O1332" t="str">
            <v>Internal R&amp;D</v>
          </cell>
          <cell r="P1332" t="str">
            <v>Q1 Passed</v>
          </cell>
          <cell r="Q1332" t="str">
            <v>Q1 Passed</v>
          </cell>
          <cell r="R1332" t="str">
            <v>Compromised</v>
          </cell>
          <cell r="S1332" t="str">
            <v>Qualified</v>
          </cell>
          <cell r="T1332" t="str">
            <v>Nil</v>
          </cell>
          <cell r="U1332" t="str">
            <v>NA</v>
          </cell>
          <cell r="V1332" t="str">
            <v>Tumor content 60-85%</v>
          </cell>
          <cell r="W1332" t="str">
            <v>Private Hospital</v>
          </cell>
          <cell r="X1332" t="str">
            <v>Dr Ravi Krishnappa, Mysore</v>
          </cell>
          <cell r="Y1332" t="str">
            <v>JSS Hospital, Mysore</v>
          </cell>
          <cell r="Z1332" t="str">
            <v>Dr Ravi Krishnappa, Mysore</v>
          </cell>
          <cell r="AA1332" t="str">
            <v>HNSCC</v>
          </cell>
          <cell r="AB1332" t="str">
            <v>NA</v>
          </cell>
          <cell r="AC1332" t="str">
            <v>Tongue</v>
          </cell>
          <cell r="AD1332" t="str">
            <v>Tongue &amp; Left lateral border</v>
          </cell>
          <cell r="AE1332" t="str">
            <v>Male</v>
          </cell>
          <cell r="AF1332">
            <v>71</v>
          </cell>
          <cell r="AG1332" t="str">
            <v>N</v>
          </cell>
          <cell r="AH1332">
            <v>5.6</v>
          </cell>
          <cell r="AI1332" t="str">
            <v>Kalappa</v>
          </cell>
          <cell r="AJ1332" t="str">
            <v>Surgery</v>
          </cell>
          <cell r="AK1332" t="str">
            <v>Primary</v>
          </cell>
          <cell r="AL1332" t="str">
            <v>NA</v>
          </cell>
          <cell r="AM1332" t="str">
            <v>cT4aN0</v>
          </cell>
          <cell r="AV1332">
            <v>45756</v>
          </cell>
          <cell r="AW1332">
            <v>0.72638888888888886</v>
          </cell>
          <cell r="AX1332">
            <v>0.79652777777777772</v>
          </cell>
          <cell r="AY1332">
            <v>7.013888888888889E-2</v>
          </cell>
          <cell r="AZ1332">
            <v>0.53680555555555554</v>
          </cell>
          <cell r="BA1332">
            <v>0.34166666666666667</v>
          </cell>
          <cell r="BB1332" t="str">
            <v>0.2-0.3*0.8-1.4*1.0-1.6
0.2*0.4-1.2*0.4-1.4</v>
          </cell>
          <cell r="BC1332" t="str">
            <v>NA</v>
          </cell>
          <cell r="BD1332" t="str">
            <v>Vibratome</v>
          </cell>
          <cell r="BE1332">
            <v>14</v>
          </cell>
          <cell r="BF1332" t="str">
            <v>Syam</v>
          </cell>
          <cell r="BG1332" t="str">
            <v>Y</v>
          </cell>
        </row>
        <row r="1333">
          <cell r="A1333" t="str">
            <v>FBR2O250074</v>
          </cell>
          <cell r="B1333">
            <v>250074</v>
          </cell>
          <cell r="C1333" t="str">
            <v>R&amp;D</v>
          </cell>
          <cell r="D1333">
            <v>45756</v>
          </cell>
          <cell r="E1333">
            <v>0.6875</v>
          </cell>
          <cell r="F1333">
            <v>45748</v>
          </cell>
          <cell r="G1333">
            <v>45756</v>
          </cell>
          <cell r="H1333">
            <v>0.73541666666666672</v>
          </cell>
          <cell r="I1333">
            <v>4.791666666666667E-2</v>
          </cell>
          <cell r="J1333">
            <v>30</v>
          </cell>
          <cell r="K1333" t="str">
            <v>FCB-PROTOCOL-01</v>
          </cell>
          <cell r="L1333" t="str">
            <v>KH-007</v>
          </cell>
          <cell r="M1333" t="str">
            <v>Y</v>
          </cell>
          <cell r="N1333" t="str">
            <v>Prostate Biopsy (2O)</v>
          </cell>
          <cell r="O1333" t="str">
            <v>Internal R&amp;D</v>
          </cell>
          <cell r="P1333" t="str">
            <v>Q1 Passed</v>
          </cell>
          <cell r="Q1333" t="str">
            <v>Q1 Passed</v>
          </cell>
          <cell r="R1333" t="str">
            <v>Q1.5 Passed</v>
          </cell>
          <cell r="S1333" t="str">
            <v>Rejected</v>
          </cell>
          <cell r="T1333" t="str">
            <v>Contaminated</v>
          </cell>
          <cell r="U1333" t="str">
            <v>NA</v>
          </cell>
          <cell r="V1333" t="str">
            <v>No tumor,mostly inflammation.Occassional suspicious cells seen in 1 or 2 fragments</v>
          </cell>
          <cell r="W1333" t="str">
            <v>Private Hospital</v>
          </cell>
          <cell r="X1333" t="str">
            <v>Kauvery Hospital, Elelctronic city bangalore</v>
          </cell>
          <cell r="Y1333" t="str">
            <v>Kauvery Hospital, Elelctronic city bangalore</v>
          </cell>
          <cell r="Z1333" t="str">
            <v>Dr Sreeharsha</v>
          </cell>
          <cell r="AA1333" t="str">
            <v>Prostate</v>
          </cell>
          <cell r="AB1333" t="str">
            <v>NA</v>
          </cell>
          <cell r="AC1333" t="str">
            <v>Prostate</v>
          </cell>
          <cell r="AD1333" t="str">
            <v>Prostate</v>
          </cell>
          <cell r="AE1333" t="str">
            <v>Male</v>
          </cell>
          <cell r="AF1333">
            <v>87</v>
          </cell>
          <cell r="AG1333" t="str">
            <v>N</v>
          </cell>
          <cell r="AH1333">
            <v>4.8</v>
          </cell>
          <cell r="AI1333" t="str">
            <v>Maruthi</v>
          </cell>
          <cell r="AJ1333" t="str">
            <v>Surgery</v>
          </cell>
          <cell r="AK1333" t="str">
            <v>Primary</v>
          </cell>
          <cell r="AL1333" t="str">
            <v>NA</v>
          </cell>
          <cell r="AV1333">
            <v>45756</v>
          </cell>
          <cell r="AW1333">
            <v>0.78819444444444442</v>
          </cell>
          <cell r="AX1333">
            <v>0.85486111111111107</v>
          </cell>
          <cell r="AY1333">
            <v>6.6666666666666666E-2</v>
          </cell>
          <cell r="AZ1333">
            <v>0.80694444444444446</v>
          </cell>
          <cell r="BA1333">
            <v>0.1673611111111111</v>
          </cell>
          <cell r="BB1333" t="str">
            <v>0.1-0.2</v>
          </cell>
          <cell r="BC1333" t="str">
            <v>NA</v>
          </cell>
          <cell r="BD1333" t="str">
            <v>Manual</v>
          </cell>
          <cell r="BE1333">
            <v>14</v>
          </cell>
          <cell r="BF1333" t="str">
            <v>Abdul</v>
          </cell>
          <cell r="BG1333" t="str">
            <v>Y</v>
          </cell>
        </row>
        <row r="1334">
          <cell r="A1334" t="str">
            <v>FBB1O250075</v>
          </cell>
          <cell r="B1334">
            <v>250075</v>
          </cell>
          <cell r="C1334" t="str">
            <v>Biopharma</v>
          </cell>
          <cell r="D1334">
            <v>45757</v>
          </cell>
          <cell r="E1334">
            <v>0.46388888888888891</v>
          </cell>
          <cell r="F1334">
            <v>45748</v>
          </cell>
          <cell r="G1334">
            <v>45757</v>
          </cell>
          <cell r="H1334">
            <v>0.58888888888888891</v>
          </cell>
          <cell r="I1334">
            <v>0.125</v>
          </cell>
          <cell r="J1334">
            <v>2</v>
          </cell>
          <cell r="K1334" t="str">
            <v>FCB-PROTOCOL-01</v>
          </cell>
          <cell r="L1334" t="str">
            <v>VYD/371</v>
          </cell>
          <cell r="M1334" t="str">
            <v>Y</v>
          </cell>
          <cell r="N1334" t="str">
            <v>BP013(1O)</v>
          </cell>
          <cell r="O1334" t="str">
            <v>Biopharma</v>
          </cell>
          <cell r="P1334" t="str">
            <v>Q1 Passed</v>
          </cell>
          <cell r="Q1334" t="str">
            <v>Q1 Passed</v>
          </cell>
          <cell r="R1334" t="str">
            <v>Q1.5 Passed</v>
          </cell>
          <cell r="S1334" t="str">
            <v>Qualified</v>
          </cell>
          <cell r="T1334" t="str">
            <v>Nil</v>
          </cell>
          <cell r="U1334" t="str">
            <v>NA</v>
          </cell>
          <cell r="V1334" t="str">
            <v>Tumor content 4-75%</v>
          </cell>
          <cell r="W1334" t="str">
            <v>Private Hospital</v>
          </cell>
          <cell r="X1334" t="str">
            <v>Vydehi Hospital, Bangalore</v>
          </cell>
          <cell r="Y1334" t="str">
            <v>Vydehi Hospital, Bangalore</v>
          </cell>
          <cell r="Z1334" t="str">
            <v>Dr Amritha Prabha, Bangalore</v>
          </cell>
          <cell r="AA1334" t="str">
            <v>HNSCC</v>
          </cell>
          <cell r="AB1334" t="str">
            <v>NA</v>
          </cell>
          <cell r="AC1334" t="str">
            <v>Alveolus</v>
          </cell>
          <cell r="AD1334" t="str">
            <v>Right Lower GB Alveolus</v>
          </cell>
          <cell r="AE1334" t="str">
            <v>Female</v>
          </cell>
          <cell r="AF1334">
            <v>70</v>
          </cell>
          <cell r="AG1334" t="str">
            <v>N</v>
          </cell>
          <cell r="AH1334">
            <v>4.5</v>
          </cell>
          <cell r="AI1334" t="str">
            <v>Maruthi</v>
          </cell>
          <cell r="AJ1334" t="str">
            <v>Surgery</v>
          </cell>
          <cell r="AK1334" t="str">
            <v>Primary</v>
          </cell>
          <cell r="AL1334" t="str">
            <v>NA</v>
          </cell>
          <cell r="AN1334" t="str">
            <v>IV</v>
          </cell>
          <cell r="AO1334">
            <v>2</v>
          </cell>
          <cell r="AP1334" t="str">
            <v>T4aN3b</v>
          </cell>
          <cell r="AS1334" t="str">
            <v>SCC</v>
          </cell>
          <cell r="AV1334">
            <v>45757</v>
          </cell>
          <cell r="AW1334">
            <v>0.60069444444444442</v>
          </cell>
          <cell r="AX1334">
            <v>0.68055555555555558</v>
          </cell>
          <cell r="AY1334">
            <v>7.9861111111111105E-2</v>
          </cell>
          <cell r="AZ1334">
            <v>0.55555555555555558</v>
          </cell>
          <cell r="BA1334">
            <v>0.21666666666666667</v>
          </cell>
          <cell r="BB1334" t="str">
            <v>0.4-1.0*1.4</v>
          </cell>
          <cell r="BC1334" t="str">
            <v>NA</v>
          </cell>
          <cell r="BD1334" t="str">
            <v>Vibratome</v>
          </cell>
          <cell r="BE1334">
            <v>14</v>
          </cell>
          <cell r="BF1334" t="str">
            <v>Syam</v>
          </cell>
          <cell r="BG1334" t="str">
            <v>Y</v>
          </cell>
        </row>
        <row r="1335">
          <cell r="A1335">
            <v>250076</v>
          </cell>
          <cell r="B1335">
            <v>250076</v>
          </cell>
          <cell r="C1335" t="str">
            <v>R&amp;D</v>
          </cell>
          <cell r="D1335">
            <v>45757</v>
          </cell>
          <cell r="E1335">
            <v>0.46319444444444446</v>
          </cell>
          <cell r="F1335">
            <v>45748</v>
          </cell>
          <cell r="G1335">
            <v>45757</v>
          </cell>
          <cell r="H1335">
            <v>0.6118055555555556</v>
          </cell>
          <cell r="I1335">
            <v>0.14861111111111111</v>
          </cell>
          <cell r="J1335">
            <v>3</v>
          </cell>
          <cell r="K1335" t="str">
            <v>FCB-PROTOCOL-01</v>
          </cell>
          <cell r="L1335" t="str">
            <v>CLN/PRA/303</v>
          </cell>
          <cell r="M1335" t="str">
            <v>Y</v>
          </cell>
          <cell r="N1335" t="str">
            <v>No Study</v>
          </cell>
          <cell r="O1335" t="str">
            <v>Internal R&amp;D</v>
          </cell>
          <cell r="P1335" t="str">
            <v>Q1 Rejected</v>
          </cell>
          <cell r="Q1335" t="str">
            <v>Q1 Rejected</v>
          </cell>
          <cell r="R1335" t="str">
            <v>Q1.5 Rejected</v>
          </cell>
          <cell r="S1335" t="str">
            <v>Rejected</v>
          </cell>
          <cell r="T1335" t="str">
            <v>Low Prestoblue value</v>
          </cell>
          <cell r="U1335" t="str">
            <v>NA</v>
          </cell>
          <cell r="V1335" t="str">
            <v>Tumor content 3-40% ( ? Poorly differentiated SCC)</v>
          </cell>
          <cell r="W1335" t="str">
            <v>Private Hospital</v>
          </cell>
          <cell r="X1335" t="str">
            <v>Dr Prakash BV, Bangalore</v>
          </cell>
          <cell r="Y1335" t="str">
            <v>Sri Lakshmi Hospital, Bangalore</v>
          </cell>
          <cell r="Z1335" t="str">
            <v>Dr Prakash BV, Bangalore</v>
          </cell>
          <cell r="AA1335" t="str">
            <v>HNSCC</v>
          </cell>
          <cell r="AB1335" t="str">
            <v>NA</v>
          </cell>
          <cell r="AC1335" t="str">
            <v>Tongue</v>
          </cell>
          <cell r="AD1335" t="str">
            <v>Tongue</v>
          </cell>
          <cell r="AE1335" t="str">
            <v>Male</v>
          </cell>
          <cell r="AF1335">
            <v>45</v>
          </cell>
          <cell r="AG1335" t="str">
            <v>N</v>
          </cell>
          <cell r="AH1335">
            <v>4.9000000000000004</v>
          </cell>
          <cell r="AI1335" t="str">
            <v>Kalappa</v>
          </cell>
          <cell r="AJ1335" t="str">
            <v>Surgery</v>
          </cell>
          <cell r="AK1335" t="str">
            <v>Primary</v>
          </cell>
          <cell r="AL1335" t="str">
            <v>NA</v>
          </cell>
          <cell r="AV1335">
            <v>45757</v>
          </cell>
          <cell r="AW1335">
            <v>0.625</v>
          </cell>
          <cell r="AX1335">
            <v>0.70972222222222225</v>
          </cell>
          <cell r="AY1335">
            <v>8.4722222222222227E-2</v>
          </cell>
          <cell r="AZ1335">
            <v>0.56111111111111112</v>
          </cell>
          <cell r="BA1335">
            <v>0.24652777777777779</v>
          </cell>
          <cell r="BB1335" t="str">
            <v>0.8*2.0*3.0
1.0*1.4*2.0</v>
          </cell>
          <cell r="BC1335" t="str">
            <v>0.8*1.6*2.4
1.0*1.2*2.0</v>
          </cell>
          <cell r="BD1335" t="str">
            <v>Vibratome</v>
          </cell>
          <cell r="BE1335">
            <v>14</v>
          </cell>
          <cell r="BF1335" t="str">
            <v>Rajashekhar</v>
          </cell>
          <cell r="BG1335" t="str">
            <v>Y</v>
          </cell>
        </row>
        <row r="1336">
          <cell r="A1336" t="str">
            <v>FBR1Y250077</v>
          </cell>
          <cell r="B1336">
            <v>250077</v>
          </cell>
          <cell r="C1336" t="str">
            <v>R&amp;D</v>
          </cell>
          <cell r="D1336">
            <v>45762</v>
          </cell>
          <cell r="E1336">
            <v>0.47916666666666669</v>
          </cell>
          <cell r="F1336">
            <v>45748</v>
          </cell>
          <cell r="G1336">
            <v>45762</v>
          </cell>
          <cell r="H1336">
            <v>0.63541666666666663</v>
          </cell>
          <cell r="I1336">
            <v>0.15625</v>
          </cell>
          <cell r="J1336">
            <v>2</v>
          </cell>
          <cell r="K1336" t="str">
            <v>FCB-PROTOCOL-01</v>
          </cell>
          <cell r="L1336" t="str">
            <v>VYD/372</v>
          </cell>
          <cell r="M1336" t="str">
            <v>Y</v>
          </cell>
          <cell r="N1336" t="str">
            <v>CCS Study (1Y)</v>
          </cell>
          <cell r="O1336" t="str">
            <v>Internal R&amp;D</v>
          </cell>
          <cell r="P1336" t="str">
            <v>Q1 Passed</v>
          </cell>
          <cell r="Q1336" t="str">
            <v>Q1 Passed</v>
          </cell>
          <cell r="R1336" t="str">
            <v>Q1.5 Passed</v>
          </cell>
          <cell r="S1336" t="str">
            <v>Rejected</v>
          </cell>
          <cell r="T1336" t="str">
            <v>Contaminated</v>
          </cell>
          <cell r="U1336" t="str">
            <v>NA</v>
          </cell>
          <cell r="V1336" t="str">
            <v>Tumor content 60-75%</v>
          </cell>
          <cell r="W1336" t="str">
            <v>Private Hospital</v>
          </cell>
          <cell r="X1336" t="str">
            <v>Vydehi Hospital, Bangalore</v>
          </cell>
          <cell r="Y1336" t="str">
            <v>Vydehi Hospital, Bangalore</v>
          </cell>
          <cell r="Z1336" t="str">
            <v>Dr Amritha Prabha, Bangalore</v>
          </cell>
          <cell r="AA1336" t="str">
            <v>HNSCC</v>
          </cell>
          <cell r="AB1336" t="str">
            <v>NA</v>
          </cell>
          <cell r="AC1336" t="str">
            <v>Alveolus</v>
          </cell>
          <cell r="AD1336" t="str">
            <v>Left Lower Alveolus</v>
          </cell>
          <cell r="AE1336" t="str">
            <v>Female</v>
          </cell>
          <cell r="AF1336">
            <v>72</v>
          </cell>
          <cell r="AG1336" t="str">
            <v>N</v>
          </cell>
          <cell r="AH1336">
            <v>5.2</v>
          </cell>
          <cell r="AI1336" t="str">
            <v>Kalappa</v>
          </cell>
          <cell r="AJ1336" t="str">
            <v>Surgery</v>
          </cell>
          <cell r="AK1336" t="str">
            <v>Primary</v>
          </cell>
          <cell r="AL1336" t="str">
            <v>NA</v>
          </cell>
          <cell r="AV1336">
            <v>45762</v>
          </cell>
          <cell r="AW1336">
            <v>0.65069444444444446</v>
          </cell>
          <cell r="AX1336">
            <v>0.71666666666666667</v>
          </cell>
          <cell r="AY1336">
            <v>6.5972222222222224E-2</v>
          </cell>
          <cell r="AZ1336">
            <v>0.56041666666666667</v>
          </cell>
          <cell r="BA1336">
            <v>0.23749999999999999</v>
          </cell>
          <cell r="BB1336" t="str">
            <v>0.3-0.4*0.8*0.9
0.1-0.2*0.5*1.2</v>
          </cell>
          <cell r="BC1336" t="str">
            <v>NA</v>
          </cell>
          <cell r="BD1336" t="str">
            <v>Vibratome</v>
          </cell>
          <cell r="BE1336">
            <v>14</v>
          </cell>
          <cell r="BF1336" t="str">
            <v>Dharani</v>
          </cell>
          <cell r="BG1336" t="str">
            <v>Y</v>
          </cell>
        </row>
        <row r="1337">
          <cell r="A1337">
            <v>250078</v>
          </cell>
          <cell r="B1337">
            <v>250078</v>
          </cell>
          <cell r="C1337" t="str">
            <v>R&amp;D</v>
          </cell>
          <cell r="D1337">
            <v>45763</v>
          </cell>
          <cell r="E1337">
            <v>0.47569444444444442</v>
          </cell>
          <cell r="F1337">
            <v>45748</v>
          </cell>
          <cell r="G1337">
            <v>45763</v>
          </cell>
          <cell r="H1337">
            <v>0.47569444444444442</v>
          </cell>
          <cell r="I1337">
            <v>0</v>
          </cell>
          <cell r="J1337">
            <v>0</v>
          </cell>
          <cell r="K1337" t="str">
            <v>NA</v>
          </cell>
          <cell r="L1337" t="str">
            <v>FBS-BLD-003</v>
          </cell>
          <cell r="M1337" t="str">
            <v>N</v>
          </cell>
          <cell r="N1337" t="str">
            <v>NA</v>
          </cell>
          <cell r="O1337" t="str">
            <v>Internal R&amp;D</v>
          </cell>
          <cell r="P1337" t="str">
            <v>NA</v>
          </cell>
          <cell r="Q1337" t="str">
            <v>Q1 Passed</v>
          </cell>
          <cell r="R1337" t="str">
            <v>Q1.5 Passed</v>
          </cell>
          <cell r="S1337" t="str">
            <v>Qualified</v>
          </cell>
          <cell r="T1337" t="str">
            <v>Nil</v>
          </cell>
          <cell r="U1337" t="str">
            <v>NA</v>
          </cell>
          <cell r="V1337" t="str">
            <v>NA</v>
          </cell>
          <cell r="W1337" t="str">
            <v>Farcast</v>
          </cell>
          <cell r="X1337" t="str">
            <v>NA</v>
          </cell>
          <cell r="Y1337" t="str">
            <v>NA</v>
          </cell>
          <cell r="Z1337" t="str">
            <v>NA</v>
          </cell>
          <cell r="AA1337" t="str">
            <v>Healthy Blood</v>
          </cell>
          <cell r="AB1337" t="str">
            <v>NA</v>
          </cell>
          <cell r="AC1337" t="str">
            <v>Healthy Blood</v>
          </cell>
          <cell r="AD1337" t="str">
            <v>Healthy Blood</v>
          </cell>
          <cell r="AE1337" t="str">
            <v>Male</v>
          </cell>
          <cell r="AF1337">
            <v>43</v>
          </cell>
          <cell r="AG1337" t="str">
            <v>N</v>
          </cell>
          <cell r="AH1337">
            <v>37</v>
          </cell>
          <cell r="AI1337" t="str">
            <v>Kalappa</v>
          </cell>
          <cell r="AJ1337" t="str">
            <v>NA</v>
          </cell>
          <cell r="AK1337" t="str">
            <v>NA</v>
          </cell>
          <cell r="AL1337" t="str">
            <v>NA</v>
          </cell>
          <cell r="AV1337">
            <v>45763</v>
          </cell>
          <cell r="AW1337" t="str">
            <v>NA</v>
          </cell>
          <cell r="AX1337" t="str">
            <v>NA</v>
          </cell>
          <cell r="AY1337" t="str">
            <v>NA</v>
          </cell>
          <cell r="AZ1337" t="str">
            <v>NA</v>
          </cell>
          <cell r="BA1337" t="str">
            <v>NA</v>
          </cell>
          <cell r="BB1337" t="str">
            <v>NA</v>
          </cell>
          <cell r="BC1337" t="str">
            <v>NA</v>
          </cell>
          <cell r="BD1337" t="str">
            <v>NA</v>
          </cell>
          <cell r="BE1337" t="str">
            <v>NA</v>
          </cell>
          <cell r="BF1337" t="str">
            <v>NA</v>
          </cell>
          <cell r="BG1337" t="str">
            <v>Y</v>
          </cell>
        </row>
        <row r="1338">
          <cell r="A1338">
            <v>250079</v>
          </cell>
          <cell r="B1338">
            <v>250079</v>
          </cell>
          <cell r="C1338" t="str">
            <v>R&amp;D</v>
          </cell>
          <cell r="D1338">
            <v>45763</v>
          </cell>
          <cell r="E1338">
            <v>0.47916666666666669</v>
          </cell>
          <cell r="F1338">
            <v>45748</v>
          </cell>
          <cell r="G1338">
            <v>45763</v>
          </cell>
          <cell r="H1338">
            <v>0.47916666666666669</v>
          </cell>
          <cell r="I1338">
            <v>0</v>
          </cell>
          <cell r="J1338">
            <v>0</v>
          </cell>
          <cell r="K1338" t="str">
            <v>NA</v>
          </cell>
          <cell r="L1338" t="str">
            <v>FBS-BLD-004</v>
          </cell>
          <cell r="M1338" t="str">
            <v>N</v>
          </cell>
          <cell r="N1338" t="str">
            <v>NA</v>
          </cell>
          <cell r="O1338" t="str">
            <v>Internal R&amp;D</v>
          </cell>
          <cell r="P1338" t="str">
            <v>NA</v>
          </cell>
          <cell r="Q1338" t="str">
            <v>Q1 Passed</v>
          </cell>
          <cell r="R1338" t="str">
            <v>Q1.5 Passed</v>
          </cell>
          <cell r="S1338" t="str">
            <v>Qualified</v>
          </cell>
          <cell r="T1338" t="str">
            <v>Nil</v>
          </cell>
          <cell r="U1338" t="str">
            <v>NA</v>
          </cell>
          <cell r="V1338" t="str">
            <v>NA</v>
          </cell>
          <cell r="W1338" t="str">
            <v>Farcast</v>
          </cell>
          <cell r="X1338" t="str">
            <v>NA</v>
          </cell>
          <cell r="Y1338" t="str">
            <v>NA</v>
          </cell>
          <cell r="Z1338" t="str">
            <v>NA</v>
          </cell>
          <cell r="AA1338" t="str">
            <v>Healthy Blood</v>
          </cell>
          <cell r="AB1338" t="str">
            <v>NA</v>
          </cell>
          <cell r="AC1338" t="str">
            <v>Healthy Blood</v>
          </cell>
          <cell r="AD1338" t="str">
            <v>Healthy Blood</v>
          </cell>
          <cell r="AE1338" t="str">
            <v>Male</v>
          </cell>
          <cell r="AF1338">
            <v>40</v>
          </cell>
          <cell r="AG1338" t="str">
            <v>N</v>
          </cell>
          <cell r="AH1338">
            <v>37</v>
          </cell>
          <cell r="AI1338" t="str">
            <v>Kalappa</v>
          </cell>
          <cell r="AJ1338" t="str">
            <v>NA</v>
          </cell>
          <cell r="AK1338" t="str">
            <v>NA</v>
          </cell>
          <cell r="AL1338" t="str">
            <v>NA</v>
          </cell>
          <cell r="AV1338">
            <v>45763</v>
          </cell>
          <cell r="AW1338" t="str">
            <v>NA</v>
          </cell>
          <cell r="AX1338" t="str">
            <v>NA</v>
          </cell>
          <cell r="AY1338" t="str">
            <v>NA</v>
          </cell>
          <cell r="AZ1338" t="str">
            <v>NA</v>
          </cell>
          <cell r="BA1338" t="str">
            <v>NA</v>
          </cell>
          <cell r="BB1338" t="str">
            <v>NA</v>
          </cell>
          <cell r="BC1338" t="str">
            <v>NA</v>
          </cell>
          <cell r="BD1338" t="str">
            <v>NA</v>
          </cell>
          <cell r="BE1338" t="str">
            <v>NA</v>
          </cell>
          <cell r="BF1338" t="str">
            <v>NA</v>
          </cell>
          <cell r="BG1338" t="str">
            <v>Y</v>
          </cell>
        </row>
        <row r="1339">
          <cell r="A1339" t="str">
            <v>FBB1O250080</v>
          </cell>
          <cell r="B1339">
            <v>250080</v>
          </cell>
          <cell r="C1339" t="str">
            <v>Biopharma</v>
          </cell>
          <cell r="D1339">
            <v>45764</v>
          </cell>
          <cell r="E1339">
            <v>0.52430555555555558</v>
          </cell>
          <cell r="F1339">
            <v>45748</v>
          </cell>
          <cell r="G1339">
            <v>45764</v>
          </cell>
          <cell r="H1339">
            <v>0.61875000000000002</v>
          </cell>
          <cell r="I1339">
            <v>9.4444444444444442E-2</v>
          </cell>
          <cell r="J1339">
            <v>1</v>
          </cell>
          <cell r="K1339" t="str">
            <v>FCB-PROTOCOL-01</v>
          </cell>
          <cell r="L1339" t="str">
            <v>CLN/PRA/304</v>
          </cell>
          <cell r="M1339" t="str">
            <v>Y</v>
          </cell>
          <cell r="N1339" t="str">
            <v>BP013(1O)</v>
          </cell>
          <cell r="O1339" t="str">
            <v>Biopharma</v>
          </cell>
          <cell r="P1339" t="str">
            <v>Q1 Passed</v>
          </cell>
          <cell r="Q1339" t="str">
            <v>Q1 Passed</v>
          </cell>
          <cell r="R1339" t="str">
            <v>Q1.5 Passed</v>
          </cell>
          <cell r="S1339" t="str">
            <v>Rejected</v>
          </cell>
          <cell r="T1339" t="str">
            <v>Contaminated</v>
          </cell>
          <cell r="U1339" t="str">
            <v>NA</v>
          </cell>
          <cell r="V1339" t="str">
            <v>Tumor content 55-80%</v>
          </cell>
          <cell r="W1339" t="str">
            <v>Private Hospital</v>
          </cell>
          <cell r="X1339" t="str">
            <v>Dr Prakash BV, Bangalore</v>
          </cell>
          <cell r="Y1339" t="str">
            <v>Sri Lakshmi Hospital, Bangalore</v>
          </cell>
          <cell r="Z1339" t="str">
            <v>Dr Prakash BV, Bangalore</v>
          </cell>
          <cell r="AA1339" t="str">
            <v>HNSCC</v>
          </cell>
          <cell r="AC1339" t="str">
            <v>Buccal Mucosa</v>
          </cell>
          <cell r="AD1339" t="str">
            <v>Left Buccal Mucosa</v>
          </cell>
          <cell r="AE1339" t="str">
            <v>Male</v>
          </cell>
          <cell r="AF1339">
            <v>59</v>
          </cell>
          <cell r="AG1339" t="str">
            <v>N</v>
          </cell>
          <cell r="AH1339">
            <v>3.4</v>
          </cell>
          <cell r="AI1339" t="str">
            <v>Kalappa</v>
          </cell>
          <cell r="AJ1339" t="str">
            <v>Surgery</v>
          </cell>
          <cell r="AK1339" t="str">
            <v>Primary</v>
          </cell>
          <cell r="AL1339" t="str">
            <v>NA</v>
          </cell>
          <cell r="AN1339" t="str">
            <v>IV</v>
          </cell>
          <cell r="AO1339">
            <v>2</v>
          </cell>
          <cell r="AP1339" t="str">
            <v>pT4N0M0</v>
          </cell>
          <cell r="AS1339" t="str">
            <v>SCC</v>
          </cell>
          <cell r="AV1339">
            <v>45764</v>
          </cell>
          <cell r="AW1339">
            <v>0.6381944444444444</v>
          </cell>
          <cell r="AX1339">
            <v>0.72777777777777775</v>
          </cell>
          <cell r="AY1339">
            <v>8.9583333333333334E-2</v>
          </cell>
          <cell r="AZ1339">
            <v>0.6333333333333333</v>
          </cell>
          <cell r="BA1339">
            <v>0.20347222222222222</v>
          </cell>
          <cell r="BB1339" t="str">
            <v>1.0*0.6-1.4*1.4-2.5</v>
          </cell>
          <cell r="BC1339" t="str">
            <v>NA</v>
          </cell>
          <cell r="BD1339" t="str">
            <v>Vibratome</v>
          </cell>
          <cell r="BE1339">
            <v>14</v>
          </cell>
          <cell r="BF1339" t="str">
            <v>Abdul</v>
          </cell>
          <cell r="BG1339" t="str">
            <v>Y</v>
          </cell>
        </row>
        <row r="1340">
          <cell r="A1340" t="str">
            <v>FBR1Q250081</v>
          </cell>
          <cell r="B1340">
            <v>250081</v>
          </cell>
          <cell r="C1340" t="str">
            <v>R&amp;D</v>
          </cell>
          <cell r="D1340">
            <v>45769</v>
          </cell>
          <cell r="E1340">
            <v>0.5</v>
          </cell>
          <cell r="F1340">
            <v>45748</v>
          </cell>
          <cell r="G1340">
            <v>45769</v>
          </cell>
          <cell r="H1340">
            <v>0.92083333333333328</v>
          </cell>
          <cell r="I1340">
            <v>0.42083333333333334</v>
          </cell>
          <cell r="J1340">
            <v>10</v>
          </cell>
          <cell r="K1340" t="str">
            <v>FCB-PROTOCOL-01</v>
          </cell>
          <cell r="L1340" t="str">
            <v>CLN/DBR/230</v>
          </cell>
          <cell r="M1340" t="str">
            <v>Y</v>
          </cell>
          <cell r="N1340" t="str">
            <v>COSv4.2_CaBR(1Q-Unknown)</v>
          </cell>
          <cell r="O1340" t="str">
            <v>Internal R&amp;D</v>
          </cell>
          <cell r="P1340" t="str">
            <v>Q1 Passed</v>
          </cell>
          <cell r="Q1340" t="str">
            <v>Q1 Rejected</v>
          </cell>
          <cell r="R1340" t="str">
            <v>Compromised</v>
          </cell>
          <cell r="S1340" t="str">
            <v>Qualified</v>
          </cell>
          <cell r="T1340" t="str">
            <v>Nil</v>
          </cell>
          <cell r="U1340" t="str">
            <v>NA</v>
          </cell>
          <cell r="V1340" t="str">
            <v>Tumor content 0-40%. Average tumor content 10%</v>
          </cell>
          <cell r="W1340" t="str">
            <v>Private Hospital</v>
          </cell>
          <cell r="X1340" t="str">
            <v>Clinic'les- DBR &amp; SK Hospital, Tirupati</v>
          </cell>
          <cell r="Y1340" t="str">
            <v>DBR &amp; SK Hospital, Tirupati</v>
          </cell>
          <cell r="Z1340" t="str">
            <v>Dr C Jayaprakash, Tirupati</v>
          </cell>
          <cell r="AA1340" t="str">
            <v>Ca Breast</v>
          </cell>
          <cell r="AB1340" t="str">
            <v>NA</v>
          </cell>
          <cell r="AC1340" t="str">
            <v>Breast</v>
          </cell>
          <cell r="AD1340" t="str">
            <v>Left Breast</v>
          </cell>
          <cell r="AE1340" t="str">
            <v>Female</v>
          </cell>
          <cell r="AF1340">
            <v>42</v>
          </cell>
          <cell r="AG1340" t="str">
            <v>N</v>
          </cell>
          <cell r="AH1340">
            <v>6.1</v>
          </cell>
          <cell r="AI1340" t="str">
            <v>Kalappa</v>
          </cell>
          <cell r="AJ1340" t="str">
            <v>Surgery</v>
          </cell>
          <cell r="AK1340" t="str">
            <v>Primary</v>
          </cell>
          <cell r="AL1340" t="str">
            <v>NA</v>
          </cell>
          <cell r="AN1340" t="str">
            <v>IIIa</v>
          </cell>
          <cell r="AP1340" t="str">
            <v>T2 N2 MX</v>
          </cell>
          <cell r="AS1340" t="str">
            <v>Adenocarcinoma</v>
          </cell>
          <cell r="AV1340">
            <v>45769</v>
          </cell>
          <cell r="AW1340">
            <v>0.95902777777777781</v>
          </cell>
          <cell r="AX1340">
            <v>4.2361111111111113E-2</v>
          </cell>
          <cell r="AY1340">
            <v>8.3333333333333329E-2</v>
          </cell>
          <cell r="AZ1340">
            <v>0.62152777777777779</v>
          </cell>
          <cell r="BA1340">
            <v>0.54236111111111107</v>
          </cell>
          <cell r="BB1340" t="str">
            <v>0.8/0.4*1.0*1.8/1.4</v>
          </cell>
          <cell r="BC1340" t="str">
            <v>NA</v>
          </cell>
          <cell r="BD1340" t="str">
            <v>Manual</v>
          </cell>
          <cell r="BE1340">
            <v>15</v>
          </cell>
          <cell r="BF1340" t="str">
            <v>Jobin</v>
          </cell>
          <cell r="BG1340" t="str">
            <v>Y</v>
          </cell>
        </row>
        <row r="1341">
          <cell r="A1341" t="str">
            <v>FBB1N250082</v>
          </cell>
          <cell r="B1341">
            <v>250082</v>
          </cell>
          <cell r="C1341" t="str">
            <v>Biopharma</v>
          </cell>
          <cell r="D1341">
            <v>45769</v>
          </cell>
          <cell r="E1341">
            <v>0.61805555555555558</v>
          </cell>
          <cell r="F1341">
            <v>45748</v>
          </cell>
          <cell r="G1341">
            <v>45769</v>
          </cell>
          <cell r="H1341">
            <v>0.92083333333333328</v>
          </cell>
          <cell r="I1341">
            <v>0.30277777777777776</v>
          </cell>
          <cell r="J1341">
            <v>10</v>
          </cell>
          <cell r="K1341" t="str">
            <v>FCB-PROTOCOL-01</v>
          </cell>
          <cell r="L1341" t="str">
            <v>CLN/DBR/231</v>
          </cell>
          <cell r="M1341" t="str">
            <v>Y</v>
          </cell>
          <cell r="N1341" t="str">
            <v>BP012(1N)</v>
          </cell>
          <cell r="O1341" t="str">
            <v>Biopharma</v>
          </cell>
          <cell r="P1341" t="str">
            <v>Q1 Passed</v>
          </cell>
          <cell r="Q1341" t="str">
            <v>Q1 Passed</v>
          </cell>
          <cell r="R1341" t="str">
            <v>Q1.5 Passed</v>
          </cell>
          <cell r="S1341" t="str">
            <v>Qualified</v>
          </cell>
          <cell r="T1341" t="str">
            <v>Nil</v>
          </cell>
          <cell r="U1341" t="str">
            <v>NA</v>
          </cell>
          <cell r="V1341" t="str">
            <v>Tumor content 35-80%</v>
          </cell>
          <cell r="W1341" t="str">
            <v>Private Hospital</v>
          </cell>
          <cell r="X1341" t="str">
            <v>Clinic'les- DBR &amp; SK Hospital, Tirupati</v>
          </cell>
          <cell r="Y1341" t="str">
            <v>DBR &amp; SK Hospital, Tirupati</v>
          </cell>
          <cell r="Z1341" t="str">
            <v>Dr C Jayaprakash, Tirupati</v>
          </cell>
          <cell r="AA1341" t="str">
            <v>GI</v>
          </cell>
          <cell r="AB1341" t="str">
            <v>NA</v>
          </cell>
          <cell r="AC1341" t="str">
            <v>Stomach</v>
          </cell>
          <cell r="AD1341" t="str">
            <v>Stomach</v>
          </cell>
          <cell r="AE1341" t="str">
            <v>Male</v>
          </cell>
          <cell r="AF1341">
            <v>73</v>
          </cell>
          <cell r="AG1341" t="str">
            <v>N</v>
          </cell>
          <cell r="AH1341">
            <v>6.1</v>
          </cell>
          <cell r="AI1341" t="str">
            <v>Kalappa</v>
          </cell>
          <cell r="AJ1341" t="str">
            <v>Surgery</v>
          </cell>
          <cell r="AK1341" t="str">
            <v>Primary</v>
          </cell>
          <cell r="AL1341" t="str">
            <v>NA</v>
          </cell>
          <cell r="AN1341" t="str">
            <v>Ib</v>
          </cell>
          <cell r="AP1341" t="str">
            <v>pT2N0Mx</v>
          </cell>
          <cell r="AS1341" t="str">
            <v>Adenocarcinoma</v>
          </cell>
          <cell r="AV1341">
            <v>45769</v>
          </cell>
          <cell r="AW1341">
            <v>0.93958333333333333</v>
          </cell>
          <cell r="AX1341">
            <v>0.99027777777777781</v>
          </cell>
          <cell r="AY1341">
            <v>5.0694444444444445E-2</v>
          </cell>
          <cell r="AZ1341">
            <v>0.6875</v>
          </cell>
          <cell r="BA1341">
            <v>0.37222222222222223</v>
          </cell>
          <cell r="BB1341" t="str">
            <v>0.4*1.0*3.2</v>
          </cell>
          <cell r="BC1341" t="str">
            <v>NA</v>
          </cell>
          <cell r="BD1341" t="str">
            <v>Manual</v>
          </cell>
          <cell r="BE1341">
            <v>13</v>
          </cell>
          <cell r="BF1341" t="str">
            <v>chandan</v>
          </cell>
          <cell r="BG1341" t="str">
            <v>Y</v>
          </cell>
        </row>
        <row r="1342">
          <cell r="A1342" t="str">
            <v>FBB1O250083</v>
          </cell>
          <cell r="B1342">
            <v>250083</v>
          </cell>
          <cell r="C1342" t="str">
            <v>Biopharma</v>
          </cell>
          <cell r="D1342">
            <v>45771</v>
          </cell>
          <cell r="E1342">
            <v>0.48958333333333331</v>
          </cell>
          <cell r="F1342">
            <v>45748</v>
          </cell>
          <cell r="G1342">
            <v>45771</v>
          </cell>
          <cell r="H1342">
            <v>0.84861111111111109</v>
          </cell>
          <cell r="I1342">
            <v>0.35902777777777778</v>
          </cell>
          <cell r="J1342">
            <v>10</v>
          </cell>
          <cell r="K1342" t="str">
            <v>FCB-PROTOCOL-01</v>
          </cell>
          <cell r="L1342" t="str">
            <v>CLN/DBR/232</v>
          </cell>
          <cell r="M1342" t="str">
            <v>Y</v>
          </cell>
          <cell r="N1342" t="str">
            <v>BP013(1O)</v>
          </cell>
          <cell r="O1342" t="str">
            <v>Biopharma</v>
          </cell>
          <cell r="P1342" t="str">
            <v>Q1 Passed</v>
          </cell>
          <cell r="Q1342" t="str">
            <v>Q1 Passed</v>
          </cell>
          <cell r="R1342" t="str">
            <v>Q1.5 Passed</v>
          </cell>
          <cell r="S1342" t="str">
            <v>Qualified</v>
          </cell>
          <cell r="T1342" t="str">
            <v>Nil</v>
          </cell>
          <cell r="U1342" t="str">
            <v>NA</v>
          </cell>
          <cell r="V1342" t="str">
            <v>Tumor content 6-80%</v>
          </cell>
          <cell r="W1342" t="str">
            <v>Private Hospital</v>
          </cell>
          <cell r="X1342" t="str">
            <v>Clinic'les- DBR &amp; SK Hospital, Tirupati</v>
          </cell>
          <cell r="Y1342" t="str">
            <v>DBR &amp; SK Hospital, Tirupati</v>
          </cell>
          <cell r="Z1342" t="str">
            <v>Dr C Jayaprakash, Tirupati</v>
          </cell>
          <cell r="AA1342" t="str">
            <v>HNSCC</v>
          </cell>
          <cell r="AB1342" t="str">
            <v>NA</v>
          </cell>
          <cell r="AC1342" t="str">
            <v>Tongue</v>
          </cell>
          <cell r="AD1342" t="str">
            <v>Tongue</v>
          </cell>
          <cell r="AE1342" t="str">
            <v>Male</v>
          </cell>
          <cell r="AF1342">
            <v>54</v>
          </cell>
          <cell r="AG1342" t="str">
            <v>N</v>
          </cell>
          <cell r="AH1342">
            <v>5.2</v>
          </cell>
          <cell r="AI1342" t="str">
            <v>Kalappa</v>
          </cell>
          <cell r="AJ1342" t="str">
            <v>Surgery</v>
          </cell>
          <cell r="AK1342" t="str">
            <v>Local Recurrent</v>
          </cell>
          <cell r="AL1342" t="str">
            <v>Chemotherapy</v>
          </cell>
          <cell r="AN1342" t="str">
            <v>IVa</v>
          </cell>
          <cell r="AP1342" t="str">
            <v>Yp T2 N2 M0</v>
          </cell>
          <cell r="AQ1342">
            <v>4</v>
          </cell>
          <cell r="AR1342" t="str">
            <v>DCF</v>
          </cell>
          <cell r="AS1342" t="str">
            <v>SCC</v>
          </cell>
          <cell r="AV1342">
            <v>45771</v>
          </cell>
          <cell r="AW1342">
            <v>0.85555555555555551</v>
          </cell>
          <cell r="AX1342">
            <v>0.9145833333333333</v>
          </cell>
          <cell r="AY1342">
            <v>5.9027777777777776E-2</v>
          </cell>
          <cell r="AZ1342">
            <v>0.55555555555555558</v>
          </cell>
          <cell r="BA1342">
            <v>0.42499999999999999</v>
          </cell>
          <cell r="BB1342" t="str">
            <v>0.6-0.8*1.3-2.0*1.0-1.8</v>
          </cell>
          <cell r="BC1342" t="str">
            <v>NA</v>
          </cell>
          <cell r="BD1342" t="str">
            <v>Vibratome</v>
          </cell>
          <cell r="BE1342">
            <v>15</v>
          </cell>
          <cell r="BF1342" t="str">
            <v>chandan</v>
          </cell>
          <cell r="BG1342" t="str">
            <v>Y</v>
          </cell>
        </row>
        <row r="1343">
          <cell r="A1343" t="str">
            <v>FBB1O250084</v>
          </cell>
          <cell r="B1343">
            <v>250084</v>
          </cell>
          <cell r="C1343" t="str">
            <v>Biopharma</v>
          </cell>
          <cell r="D1343">
            <v>45772</v>
          </cell>
          <cell r="E1343">
            <v>0.5</v>
          </cell>
          <cell r="F1343">
            <v>45748</v>
          </cell>
          <cell r="G1343">
            <v>45772</v>
          </cell>
          <cell r="H1343">
            <v>0.84513888888888888</v>
          </cell>
          <cell r="I1343">
            <v>0.34513888888888888</v>
          </cell>
          <cell r="J1343">
            <v>10</v>
          </cell>
          <cell r="K1343" t="str">
            <v>FCB-PROTOCOL-01</v>
          </cell>
          <cell r="L1343" t="str">
            <v>CLN/DBR/233</v>
          </cell>
          <cell r="M1343" t="str">
            <v>Y</v>
          </cell>
          <cell r="N1343" t="str">
            <v>BP013(1O)</v>
          </cell>
          <cell r="O1343" t="str">
            <v>Biopharma</v>
          </cell>
          <cell r="P1343" t="str">
            <v>Q1 Passed</v>
          </cell>
          <cell r="Q1343" t="str">
            <v>Q1 Passed</v>
          </cell>
          <cell r="R1343" t="str">
            <v>Q1.5 Passed</v>
          </cell>
          <cell r="S1343" t="str">
            <v>Qualified</v>
          </cell>
          <cell r="T1343" t="str">
            <v>Nil</v>
          </cell>
          <cell r="U1343" t="str">
            <v>NA</v>
          </cell>
          <cell r="V1343" t="str">
            <v>Tumor content 55-90%</v>
          </cell>
          <cell r="W1343" t="str">
            <v>Private Hospital</v>
          </cell>
          <cell r="X1343" t="str">
            <v>Clinic'les- DBR &amp; SK Hospital, Tirupati</v>
          </cell>
          <cell r="Y1343" t="str">
            <v>DBR &amp; SK Hospital, Tirupati</v>
          </cell>
          <cell r="Z1343" t="str">
            <v>Dr C Jayaprakash, Tirupati</v>
          </cell>
          <cell r="AA1343" t="str">
            <v>HNSCC</v>
          </cell>
          <cell r="AB1343" t="str">
            <v>NA</v>
          </cell>
          <cell r="AC1343" t="str">
            <v>GBS</v>
          </cell>
          <cell r="AD1343" t="str">
            <v>GBS</v>
          </cell>
          <cell r="AE1343" t="str">
            <v>Female</v>
          </cell>
          <cell r="AF1343">
            <v>53</v>
          </cell>
          <cell r="AG1343" t="str">
            <v>N</v>
          </cell>
          <cell r="AH1343">
            <v>5.9</v>
          </cell>
          <cell r="AI1343" t="str">
            <v>Shashi</v>
          </cell>
          <cell r="AJ1343" t="str">
            <v>Surgery</v>
          </cell>
          <cell r="AK1343" t="str">
            <v>Primary</v>
          </cell>
          <cell r="AL1343" t="str">
            <v>NA</v>
          </cell>
          <cell r="AN1343" t="str">
            <v>IVa</v>
          </cell>
          <cell r="AP1343" t="str">
            <v>pT3N2Mx</v>
          </cell>
          <cell r="AS1343" t="str">
            <v>SCC</v>
          </cell>
          <cell r="AV1343">
            <v>45772</v>
          </cell>
          <cell r="AW1343">
            <v>0.86111111111111116</v>
          </cell>
          <cell r="AX1343">
            <v>0.92152777777777772</v>
          </cell>
          <cell r="AY1343">
            <v>6.0416666666666667E-2</v>
          </cell>
          <cell r="AZ1343">
            <v>0.57638888888888884</v>
          </cell>
          <cell r="BA1343">
            <v>0.42152777777777778</v>
          </cell>
          <cell r="BB1343" t="str">
            <v>0.4-0.6*1.2*1.4</v>
          </cell>
          <cell r="BC1343" t="str">
            <v>NA</v>
          </cell>
          <cell r="BD1343" t="str">
            <v>Vibratome</v>
          </cell>
          <cell r="BE1343">
            <v>15</v>
          </cell>
          <cell r="BF1343" t="str">
            <v>chandan</v>
          </cell>
          <cell r="BG1343" t="str">
            <v>Y</v>
          </cell>
        </row>
        <row r="1344">
          <cell r="A1344" t="str">
            <v>FBR1K250085</v>
          </cell>
          <cell r="B1344">
            <v>250085</v>
          </cell>
          <cell r="C1344" t="str">
            <v>R&amp;D</v>
          </cell>
          <cell r="D1344">
            <v>45773</v>
          </cell>
          <cell r="E1344">
            <v>0.51180555555555551</v>
          </cell>
          <cell r="F1344">
            <v>45748</v>
          </cell>
          <cell r="G1344">
            <v>45773</v>
          </cell>
          <cell r="H1344">
            <v>0.58819444444444446</v>
          </cell>
          <cell r="I1344">
            <v>7.6388888888888895E-2</v>
          </cell>
          <cell r="J1344">
            <v>8</v>
          </cell>
          <cell r="K1344" t="str">
            <v>FCB-PROTOCOL-01</v>
          </cell>
          <cell r="L1344" t="str">
            <v>CLN/PRA/305</v>
          </cell>
          <cell r="M1344" t="str">
            <v>Y</v>
          </cell>
          <cell r="N1344" t="str">
            <v>DMS_v4(1K)</v>
          </cell>
          <cell r="O1344" t="str">
            <v>Internal R&amp;D</v>
          </cell>
          <cell r="P1344" t="str">
            <v>Q1 Passed</v>
          </cell>
          <cell r="Q1344" t="str">
            <v>Q1 Passed</v>
          </cell>
          <cell r="R1344" t="str">
            <v>Q1.5 Passed</v>
          </cell>
          <cell r="S1344" t="str">
            <v>Qualified</v>
          </cell>
          <cell r="T1344" t="str">
            <v>Nil</v>
          </cell>
          <cell r="U1344" t="str">
            <v>NA</v>
          </cell>
          <cell r="V1344" t="str">
            <v>Tumor content 12-80% with high immune component</v>
          </cell>
          <cell r="W1344" t="str">
            <v>Private Hospital</v>
          </cell>
          <cell r="X1344" t="str">
            <v>Dr Prakash BV, Bangalore</v>
          </cell>
          <cell r="Y1344" t="str">
            <v>Sri Lakshmi Hospital, Bangalore</v>
          </cell>
          <cell r="Z1344" t="str">
            <v>Dr Prakash BV, Bangalore</v>
          </cell>
          <cell r="AA1344" t="str">
            <v>HNSCC</v>
          </cell>
          <cell r="AB1344" t="str">
            <v>NA</v>
          </cell>
          <cell r="AC1344" t="str">
            <v>Tongue</v>
          </cell>
          <cell r="AD1344" t="str">
            <v>Left Lateral border of Tongue</v>
          </cell>
          <cell r="AE1344" t="str">
            <v>Female</v>
          </cell>
          <cell r="AF1344">
            <v>44</v>
          </cell>
          <cell r="AG1344" t="str">
            <v>N</v>
          </cell>
          <cell r="AH1344">
            <v>6.2</v>
          </cell>
          <cell r="AI1344" t="str">
            <v>Shashi</v>
          </cell>
          <cell r="AJ1344" t="str">
            <v>Surgery</v>
          </cell>
          <cell r="AK1344" t="str">
            <v>Primary</v>
          </cell>
          <cell r="AL1344" t="str">
            <v>NA</v>
          </cell>
          <cell r="AS1344" t="str">
            <v>SCC</v>
          </cell>
          <cell r="AV1344">
            <v>45773</v>
          </cell>
          <cell r="AW1344">
            <v>0.62708333333333333</v>
          </cell>
          <cell r="AX1344">
            <v>0.74305555555555558</v>
          </cell>
          <cell r="AY1344">
            <v>0.11597222222222223</v>
          </cell>
          <cell r="AZ1344">
            <v>0.66666666666666663</v>
          </cell>
          <cell r="BA1344">
            <v>0.23125000000000001</v>
          </cell>
          <cell r="BB1344" t="str">
            <v>0.4-0.6*1.0-1.4*1.8
0.2-0.3*0.8-1.0*1.2-1.8
0.2*0.4-0.6*0.8-1.2
0.1-0.2*0.2-0.3*0.4-0.7</v>
          </cell>
          <cell r="BC1344" t="str">
            <v>NA</v>
          </cell>
          <cell r="BD1344" t="str">
            <v>Vibratome</v>
          </cell>
          <cell r="BE1344">
            <v>15</v>
          </cell>
          <cell r="BF1344" t="str">
            <v>Abdul</v>
          </cell>
          <cell r="BG1344" t="str">
            <v>Y</v>
          </cell>
        </row>
        <row r="1345">
          <cell r="A1345" t="str">
            <v>FBB1N250086</v>
          </cell>
          <cell r="B1345">
            <v>250086</v>
          </cell>
          <cell r="C1345" t="str">
            <v>Biopharma</v>
          </cell>
          <cell r="D1345">
            <v>45775</v>
          </cell>
          <cell r="E1345">
            <v>0.39930555555555558</v>
          </cell>
          <cell r="F1345">
            <v>45748</v>
          </cell>
          <cell r="G1345">
            <v>45775</v>
          </cell>
          <cell r="H1345">
            <v>0.46597222222222223</v>
          </cell>
          <cell r="I1345">
            <v>6.6666666666666666E-2</v>
          </cell>
          <cell r="J1345">
            <v>2</v>
          </cell>
          <cell r="K1345" t="str">
            <v>FCB-PROTOCOL-01</v>
          </cell>
          <cell r="L1345" t="str">
            <v>CLN/PRA/306</v>
          </cell>
          <cell r="M1345" t="str">
            <v>Y</v>
          </cell>
          <cell r="N1345" t="str">
            <v>BP012(1N)</v>
          </cell>
          <cell r="O1345" t="str">
            <v>Biopharma</v>
          </cell>
          <cell r="P1345" t="str">
            <v>Q1 Passed</v>
          </cell>
          <cell r="Q1345" t="str">
            <v>Q1 Passed</v>
          </cell>
          <cell r="R1345" t="str">
            <v>Compromised</v>
          </cell>
          <cell r="S1345" t="str">
            <v>Qualified</v>
          </cell>
          <cell r="T1345" t="str">
            <v>Not Fit For Biopharma-OG Junction</v>
          </cell>
          <cell r="U1345" t="str">
            <v>NA</v>
          </cell>
          <cell r="V1345" t="str">
            <v>Tumor content 0-85%.Average tumor content 60% ( Poorly cohesive carcinoma from OG junction)</v>
          </cell>
          <cell r="W1345" t="str">
            <v>Private Hospital</v>
          </cell>
          <cell r="X1345" t="str">
            <v>Dr Prakash BV, Bangalore</v>
          </cell>
          <cell r="Y1345" t="str">
            <v>Sri Lakshmi Hospital, Bangalore</v>
          </cell>
          <cell r="Z1345" t="str">
            <v>Dr Prakash BV, Bangalore</v>
          </cell>
          <cell r="AA1345" t="str">
            <v>GI</v>
          </cell>
          <cell r="AB1345" t="str">
            <v>NA</v>
          </cell>
          <cell r="AC1345" t="str">
            <v>Stomach</v>
          </cell>
          <cell r="AD1345" t="str">
            <v>Stomach OG Function</v>
          </cell>
          <cell r="AE1345" t="str">
            <v>Male</v>
          </cell>
          <cell r="AF1345">
            <v>58</v>
          </cell>
          <cell r="AG1345" t="str">
            <v>N</v>
          </cell>
          <cell r="AH1345">
            <v>3.6</v>
          </cell>
          <cell r="AI1345" t="str">
            <v>Kalappa</v>
          </cell>
          <cell r="AJ1345" t="str">
            <v>Surgery</v>
          </cell>
          <cell r="AK1345" t="str">
            <v>Primary</v>
          </cell>
          <cell r="AL1345" t="str">
            <v>NA</v>
          </cell>
          <cell r="AN1345" t="str">
            <v>III</v>
          </cell>
          <cell r="AO1345">
            <v>2</v>
          </cell>
          <cell r="AP1345" t="str">
            <v>pT3N1M0</v>
          </cell>
          <cell r="AS1345" t="str">
            <v>Adenocarcinoma</v>
          </cell>
          <cell r="AV1345">
            <v>45775</v>
          </cell>
          <cell r="AW1345">
            <v>0.4777777777777778</v>
          </cell>
          <cell r="AX1345">
            <v>0.53194444444444444</v>
          </cell>
          <cell r="AY1345">
            <v>5.4166666666666669E-2</v>
          </cell>
          <cell r="AZ1345">
            <v>0.46527777777777779</v>
          </cell>
          <cell r="BA1345">
            <v>0.13263888888888889</v>
          </cell>
          <cell r="BB1345" t="str">
            <v>1.0*1.5*2.0</v>
          </cell>
          <cell r="BC1345" t="str">
            <v>NA</v>
          </cell>
          <cell r="BD1345" t="str">
            <v>Manual</v>
          </cell>
          <cell r="BE1345">
            <v>13</v>
          </cell>
          <cell r="BF1345" t="str">
            <v>Syam</v>
          </cell>
          <cell r="BG1345" t="str">
            <v>Y</v>
          </cell>
        </row>
        <row r="1346">
          <cell r="A1346" t="str">
            <v>FBR1K250087</v>
          </cell>
          <cell r="B1346">
            <v>250087</v>
          </cell>
          <cell r="C1346" t="str">
            <v>R&amp;D</v>
          </cell>
          <cell r="D1346">
            <v>45775</v>
          </cell>
          <cell r="E1346">
            <v>0.46875</v>
          </cell>
          <cell r="F1346">
            <v>45748</v>
          </cell>
          <cell r="G1346">
            <v>45775</v>
          </cell>
          <cell r="H1346">
            <v>0.62638888888888888</v>
          </cell>
          <cell r="I1346">
            <v>0.15763888888888888</v>
          </cell>
          <cell r="J1346">
            <v>3</v>
          </cell>
          <cell r="K1346" t="str">
            <v>FCB-PROTOCOL-01</v>
          </cell>
          <cell r="L1346" t="str">
            <v>VYD/373</v>
          </cell>
          <cell r="M1346" t="str">
            <v>Y</v>
          </cell>
          <cell r="N1346" t="str">
            <v>DMS_v4(1K)</v>
          </cell>
          <cell r="O1346" t="str">
            <v>Internal R&amp;D</v>
          </cell>
          <cell r="P1346" t="str">
            <v>Q1 Passed</v>
          </cell>
          <cell r="Q1346" t="str">
            <v>Q1 Passed</v>
          </cell>
          <cell r="R1346" t="str">
            <v>Q1.5 Passed</v>
          </cell>
          <cell r="S1346" t="str">
            <v>Qualified</v>
          </cell>
          <cell r="T1346" t="str">
            <v>Nil</v>
          </cell>
          <cell r="U1346" t="str">
            <v>NA</v>
          </cell>
          <cell r="V1346" t="str">
            <v>Tumor content 12-45%</v>
          </cell>
          <cell r="W1346" t="str">
            <v>Private Hospital</v>
          </cell>
          <cell r="X1346" t="str">
            <v>Vydehi Hospital, Bangalore</v>
          </cell>
          <cell r="Y1346" t="str">
            <v>Vydehi Hospital, Bangalore</v>
          </cell>
          <cell r="Z1346" t="str">
            <v>Dr Amritha Prabha, Bangalore</v>
          </cell>
          <cell r="AA1346" t="str">
            <v>HNSCC</v>
          </cell>
          <cell r="AB1346" t="str">
            <v>NA</v>
          </cell>
          <cell r="AC1346" t="str">
            <v>Tongue</v>
          </cell>
          <cell r="AD1346" t="str">
            <v>Left Lateral border of Tongue</v>
          </cell>
          <cell r="AE1346" t="str">
            <v>Female</v>
          </cell>
          <cell r="AF1346">
            <v>72</v>
          </cell>
          <cell r="AG1346" t="str">
            <v>N</v>
          </cell>
          <cell r="AH1346">
            <v>5.3</v>
          </cell>
          <cell r="AI1346" t="str">
            <v>Maruthi</v>
          </cell>
          <cell r="AJ1346" t="str">
            <v>Surgery</v>
          </cell>
          <cell r="AK1346" t="str">
            <v>Primary</v>
          </cell>
          <cell r="AL1346" t="str">
            <v>NA</v>
          </cell>
          <cell r="AN1346" t="str">
            <v>II</v>
          </cell>
          <cell r="AO1346">
            <v>2</v>
          </cell>
          <cell r="AP1346" t="str">
            <v>T2N0</v>
          </cell>
          <cell r="AS1346" t="str">
            <v>SCC</v>
          </cell>
          <cell r="AV1346">
            <v>45775</v>
          </cell>
          <cell r="AW1346">
            <v>0.64583333333333337</v>
          </cell>
          <cell r="AX1346">
            <v>0.70138888888888884</v>
          </cell>
          <cell r="AY1346">
            <v>5.5555555555555552E-2</v>
          </cell>
          <cell r="AZ1346">
            <v>0.54374999999999996</v>
          </cell>
          <cell r="BA1346">
            <v>0.2326388888888889</v>
          </cell>
          <cell r="BB1346" t="str">
            <v>0.3-0.4*1.0*1.2</v>
          </cell>
          <cell r="BC1346" t="str">
            <v>NA</v>
          </cell>
          <cell r="BD1346" t="str">
            <v>Vibratome</v>
          </cell>
          <cell r="BE1346">
            <v>15</v>
          </cell>
          <cell r="BF1346" t="str">
            <v>Dharani</v>
          </cell>
          <cell r="BG1346" t="str">
            <v>Y</v>
          </cell>
        </row>
        <row r="1347">
          <cell r="A1347" t="str">
            <v>FBB1N250088</v>
          </cell>
          <cell r="B1347">
            <v>250088</v>
          </cell>
          <cell r="C1347" t="str">
            <v>Biopharma</v>
          </cell>
          <cell r="D1347">
            <v>45775</v>
          </cell>
          <cell r="E1347">
            <v>0.59444444444444444</v>
          </cell>
          <cell r="F1347">
            <v>45748</v>
          </cell>
          <cell r="G1347">
            <v>45775</v>
          </cell>
          <cell r="H1347">
            <v>0.63680555555555551</v>
          </cell>
          <cell r="I1347">
            <v>4.2361111111111113E-2</v>
          </cell>
          <cell r="J1347">
            <v>1</v>
          </cell>
          <cell r="K1347" t="str">
            <v>FCB-PROTOCOL-01</v>
          </cell>
          <cell r="L1347" t="str">
            <v>CLN/PRA/307</v>
          </cell>
          <cell r="M1347" t="str">
            <v>Y</v>
          </cell>
          <cell r="N1347" t="str">
            <v>BP012(1N)</v>
          </cell>
          <cell r="O1347" t="str">
            <v>Biopharma</v>
          </cell>
          <cell r="P1347" t="str">
            <v>Q1 Passed</v>
          </cell>
          <cell r="Q1347" t="str">
            <v>Q1 Passed</v>
          </cell>
          <cell r="R1347" t="str">
            <v>Q1.5 Passed</v>
          </cell>
          <cell r="S1347" t="str">
            <v>Rejected</v>
          </cell>
          <cell r="T1347" t="str">
            <v>No Tumor</v>
          </cell>
          <cell r="U1347" t="str">
            <v>NA</v>
          </cell>
          <cell r="V1347" t="str">
            <v>Fragments show mucin lakes and occasional tumor cells only</v>
          </cell>
          <cell r="W1347" t="str">
            <v>Private Hospital</v>
          </cell>
          <cell r="X1347" t="str">
            <v>Dr Prakash BV, Bangalore</v>
          </cell>
          <cell r="Y1347" t="str">
            <v>Sri Lakshmi Hospital, Bangalore</v>
          </cell>
          <cell r="Z1347" t="str">
            <v>Dr Prakash BV, Bangalore</v>
          </cell>
          <cell r="AA1347" t="str">
            <v>GI</v>
          </cell>
          <cell r="AB1347" t="str">
            <v>NA</v>
          </cell>
          <cell r="AC1347" t="str">
            <v>Stomach</v>
          </cell>
          <cell r="AD1347" t="str">
            <v>Stomach</v>
          </cell>
          <cell r="AE1347" t="str">
            <v>Female</v>
          </cell>
          <cell r="AF1347">
            <v>50</v>
          </cell>
          <cell r="AG1347" t="str">
            <v>N</v>
          </cell>
          <cell r="AH1347">
            <v>6.2</v>
          </cell>
          <cell r="AI1347" t="str">
            <v>Shashi</v>
          </cell>
          <cell r="AJ1347" t="str">
            <v>Surgery</v>
          </cell>
          <cell r="AK1347" t="str">
            <v>Primary</v>
          </cell>
          <cell r="AL1347" t="str">
            <v>NA</v>
          </cell>
          <cell r="AN1347" t="str">
            <v>IV</v>
          </cell>
          <cell r="AO1347">
            <v>2</v>
          </cell>
          <cell r="AP1347" t="str">
            <v>pT4N2M0</v>
          </cell>
          <cell r="AS1347" t="str">
            <v>Adenocarcinoma</v>
          </cell>
          <cell r="AV1347">
            <v>45775</v>
          </cell>
          <cell r="AW1347">
            <v>0.67708333333333337</v>
          </cell>
          <cell r="AX1347">
            <v>0.72152777777777777</v>
          </cell>
          <cell r="AY1347">
            <v>4.4444444444444446E-2</v>
          </cell>
          <cell r="AZ1347">
            <v>0.6791666666666667</v>
          </cell>
          <cell r="BA1347">
            <v>0.12708333333333333</v>
          </cell>
          <cell r="BB1347" t="str">
            <v>1.0*2.2*3.7</v>
          </cell>
          <cell r="BC1347" t="str">
            <v>NA</v>
          </cell>
          <cell r="BD1347" t="str">
            <v>Manual</v>
          </cell>
          <cell r="BE1347">
            <v>13</v>
          </cell>
          <cell r="BF1347" t="str">
            <v>Syam</v>
          </cell>
          <cell r="BG1347" t="str">
            <v>Y</v>
          </cell>
        </row>
        <row r="1348">
          <cell r="A1348" t="str">
            <v>FBR1K250089</v>
          </cell>
          <cell r="B1348">
            <v>250089</v>
          </cell>
          <cell r="C1348" t="str">
            <v>R&amp;D</v>
          </cell>
          <cell r="D1348">
            <v>45776</v>
          </cell>
          <cell r="E1348">
            <v>0.41944444444444445</v>
          </cell>
          <cell r="F1348">
            <v>45748</v>
          </cell>
          <cell r="G1348" t="str">
            <v>29-04-0225</v>
          </cell>
          <cell r="H1348">
            <v>0.70486111111111116</v>
          </cell>
          <cell r="I1348">
            <v>0.28541666666666665</v>
          </cell>
          <cell r="J1348">
            <v>2</v>
          </cell>
          <cell r="K1348" t="str">
            <v>FCB-PROTOCOL-01</v>
          </cell>
          <cell r="L1348" t="str">
            <v>CLN/PRA/308</v>
          </cell>
          <cell r="M1348" t="str">
            <v>Y</v>
          </cell>
          <cell r="N1348" t="str">
            <v>DMS_v4(1K)</v>
          </cell>
          <cell r="O1348" t="str">
            <v>Internal R&amp;D</v>
          </cell>
          <cell r="P1348" t="str">
            <v>Q1 Passed</v>
          </cell>
          <cell r="Q1348" t="str">
            <v>Q1 Passed</v>
          </cell>
          <cell r="R1348" t="str">
            <v>Q1.5 Passed</v>
          </cell>
          <cell r="S1348" t="str">
            <v>Qualified</v>
          </cell>
          <cell r="V1348" t="str">
            <v>Tumor content &gt;90%</v>
          </cell>
          <cell r="W1348" t="str">
            <v>Private Hospital</v>
          </cell>
          <cell r="X1348" t="str">
            <v>Dr Prakash BV, Bangalore</v>
          </cell>
          <cell r="Y1348" t="str">
            <v>Sri Lakshmi Hospital, Bangalore</v>
          </cell>
          <cell r="Z1348" t="str">
            <v>Dr Prakash BV, Bangalore</v>
          </cell>
          <cell r="AA1348" t="str">
            <v>HNSCC</v>
          </cell>
          <cell r="AB1348" t="str">
            <v>NA</v>
          </cell>
          <cell r="AC1348" t="str">
            <v>Buccal Mucosa</v>
          </cell>
          <cell r="AD1348" t="str">
            <v>Right Buccal Mucosa</v>
          </cell>
          <cell r="AE1348" t="str">
            <v>Male</v>
          </cell>
          <cell r="AF1348">
            <v>55</v>
          </cell>
          <cell r="AG1348" t="str">
            <v>N</v>
          </cell>
          <cell r="AH1348">
            <v>4.8</v>
          </cell>
          <cell r="AI1348" t="str">
            <v>Kalappa</v>
          </cell>
          <cell r="AJ1348" t="str">
            <v>Surgery</v>
          </cell>
          <cell r="AK1348" t="str">
            <v>Primary</v>
          </cell>
          <cell r="AL1348" t="str">
            <v>NA</v>
          </cell>
          <cell r="AN1348" t="str">
            <v>III</v>
          </cell>
          <cell r="AO1348">
            <v>1</v>
          </cell>
          <cell r="AP1348" t="str">
            <v>pT3N0M0</v>
          </cell>
          <cell r="AS1348" t="str">
            <v>SCC</v>
          </cell>
          <cell r="AV1348" t="str">
            <v>29-04-0225</v>
          </cell>
          <cell r="AW1348">
            <v>0.60069444444444442</v>
          </cell>
          <cell r="AX1348">
            <v>0.67500000000000004</v>
          </cell>
          <cell r="AY1348">
            <v>7.4305555555555555E-2</v>
          </cell>
          <cell r="AZ1348">
            <v>0.38958333333333334</v>
          </cell>
          <cell r="BA1348">
            <v>0.25555555555555554</v>
          </cell>
          <cell r="BB1348" t="str">
            <v>0.4-0.6*1.8*2.4</v>
          </cell>
          <cell r="BC1348" t="str">
            <v>NA</v>
          </cell>
          <cell r="BD1348" t="str">
            <v>Vibratome</v>
          </cell>
          <cell r="BE1348">
            <v>15</v>
          </cell>
          <cell r="BF1348" t="str">
            <v>Dharani</v>
          </cell>
          <cell r="BG1348" t="str">
            <v>Y</v>
          </cell>
        </row>
        <row r="1349">
          <cell r="A1349" t="str">
            <v>FBR1K250090</v>
          </cell>
          <cell r="B1349">
            <v>250090</v>
          </cell>
          <cell r="C1349" t="str">
            <v>R&amp;D</v>
          </cell>
          <cell r="D1349">
            <v>45777</v>
          </cell>
          <cell r="E1349">
            <v>0.51041666666666663</v>
          </cell>
          <cell r="F1349">
            <v>45748</v>
          </cell>
          <cell r="G1349">
            <v>45777</v>
          </cell>
          <cell r="H1349">
            <v>0.625</v>
          </cell>
          <cell r="I1349">
            <v>0.11458333333333333</v>
          </cell>
          <cell r="J1349">
            <v>2</v>
          </cell>
          <cell r="K1349" t="str">
            <v>FCB-PROTOCOL-01</v>
          </cell>
          <cell r="L1349" t="str">
            <v>VYD/374</v>
          </cell>
          <cell r="M1349" t="str">
            <v>Y</v>
          </cell>
          <cell r="N1349" t="str">
            <v>DMS_v4(1K)</v>
          </cell>
          <cell r="O1349" t="str">
            <v>Internal R&amp;D</v>
          </cell>
          <cell r="P1349" t="str">
            <v>Q1 Passed</v>
          </cell>
          <cell r="Q1349" t="str">
            <v>Q1 Passed</v>
          </cell>
          <cell r="R1349" t="str">
            <v>Q1.5 Passed</v>
          </cell>
          <cell r="S1349" t="str">
            <v>Qualified</v>
          </cell>
          <cell r="V1349" t="str">
            <v>Tumor content 10-60%</v>
          </cell>
          <cell r="W1349" t="str">
            <v>Private Hospital</v>
          </cell>
          <cell r="X1349" t="str">
            <v>Vydehi Hospital, Bangalore</v>
          </cell>
          <cell r="Y1349" t="str">
            <v>Vydehi Hospital, Bangalore</v>
          </cell>
          <cell r="Z1349" t="str">
            <v>Dr Amritha Prabha, Bangalore</v>
          </cell>
          <cell r="AA1349" t="str">
            <v>HNSCC</v>
          </cell>
          <cell r="AB1349" t="str">
            <v>NA</v>
          </cell>
          <cell r="AC1349" t="str">
            <v>Buccal Mucosa</v>
          </cell>
          <cell r="AD1349" t="str">
            <v>Right Buccal Mucosa</v>
          </cell>
          <cell r="AE1349" t="str">
            <v>Female</v>
          </cell>
          <cell r="AF1349">
            <v>45</v>
          </cell>
          <cell r="AG1349" t="str">
            <v>N</v>
          </cell>
          <cell r="AH1349">
            <v>5.3</v>
          </cell>
          <cell r="AI1349" t="str">
            <v>Maruthi</v>
          </cell>
          <cell r="AJ1349" t="str">
            <v>Surgery</v>
          </cell>
          <cell r="AK1349" t="str">
            <v>Primary</v>
          </cell>
          <cell r="AL1349" t="str">
            <v>NA</v>
          </cell>
          <cell r="AN1349" t="str">
            <v>IV</v>
          </cell>
          <cell r="AO1349">
            <v>1</v>
          </cell>
          <cell r="AP1349" t="str">
            <v>T2N2b</v>
          </cell>
          <cell r="AS1349" t="str">
            <v>SCC</v>
          </cell>
          <cell r="AV1349">
            <v>45777</v>
          </cell>
          <cell r="AW1349">
            <v>0.6430555555555556</v>
          </cell>
          <cell r="AX1349">
            <v>0.76527777777777772</v>
          </cell>
          <cell r="AY1349">
            <v>0.12222222222222222</v>
          </cell>
          <cell r="AZ1349">
            <v>0.65069444444444446</v>
          </cell>
          <cell r="BA1349">
            <v>0.25486111111111109</v>
          </cell>
          <cell r="BB1349" t="str">
            <v>0.4*0.6*0.8-1.0
0.2-0.3*0.8*1.0
0.2*0.2-0.6*0.8</v>
          </cell>
          <cell r="BC1349" t="str">
            <v>NA</v>
          </cell>
          <cell r="BD1349" t="str">
            <v>Vibratome</v>
          </cell>
          <cell r="BE1349">
            <v>15</v>
          </cell>
          <cell r="BF1349" t="str">
            <v>Jobin</v>
          </cell>
          <cell r="BG1349" t="str">
            <v>Y</v>
          </cell>
        </row>
        <row r="1350">
          <cell r="A1350" t="str">
            <v>FBR1Y250091</v>
          </cell>
          <cell r="B1350">
            <v>250091</v>
          </cell>
          <cell r="C1350" t="str">
            <v>R&amp;D</v>
          </cell>
          <cell r="D1350">
            <v>45779</v>
          </cell>
          <cell r="E1350">
            <v>0.46875</v>
          </cell>
          <cell r="F1350">
            <v>45778</v>
          </cell>
          <cell r="G1350">
            <v>45779</v>
          </cell>
          <cell r="H1350">
            <v>0.54166666666666663</v>
          </cell>
          <cell r="I1350">
            <v>7.2916666666666671E-2</v>
          </cell>
          <cell r="J1350">
            <v>11</v>
          </cell>
          <cell r="K1350" t="str">
            <v>FCB-PROTOCOL-01</v>
          </cell>
          <cell r="L1350" t="str">
            <v>VYD/375</v>
          </cell>
          <cell r="M1350" t="str">
            <v>Y</v>
          </cell>
          <cell r="N1350" t="str">
            <v>CCS Study (1Y)</v>
          </cell>
          <cell r="O1350" t="str">
            <v>Internal R&amp;D</v>
          </cell>
          <cell r="P1350" t="str">
            <v>Q1 Passed</v>
          </cell>
          <cell r="Q1350" t="str">
            <v>Q1 Passed</v>
          </cell>
          <cell r="R1350" t="str">
            <v>Q1.5 Passed</v>
          </cell>
          <cell r="S1350" t="str">
            <v>Qualified</v>
          </cell>
          <cell r="V1350" t="str">
            <v>Tumor content 6-75%</v>
          </cell>
          <cell r="W1350" t="str">
            <v>Private Hospital</v>
          </cell>
          <cell r="X1350" t="str">
            <v>Vydehi Hospital, Bangalore</v>
          </cell>
          <cell r="Y1350" t="str">
            <v>Vydehi Hospital, Bangalore</v>
          </cell>
          <cell r="Z1350" t="str">
            <v>Dr Amritha Prabha, Bangalore</v>
          </cell>
          <cell r="AA1350" t="str">
            <v>HNSCC</v>
          </cell>
          <cell r="AB1350" t="str">
            <v>NA</v>
          </cell>
          <cell r="AC1350" t="str">
            <v>Alveolus</v>
          </cell>
          <cell r="AD1350" t="str">
            <v>Left Lower Alveolus</v>
          </cell>
          <cell r="AE1350" t="str">
            <v>Female</v>
          </cell>
          <cell r="AF1350">
            <v>68</v>
          </cell>
          <cell r="AG1350" t="str">
            <v>N</v>
          </cell>
          <cell r="AH1350">
            <v>6.4</v>
          </cell>
          <cell r="AI1350" t="str">
            <v>Shashi</v>
          </cell>
          <cell r="AJ1350" t="str">
            <v>Surgery</v>
          </cell>
          <cell r="AK1350" t="str">
            <v>Primary</v>
          </cell>
          <cell r="AL1350" t="str">
            <v>NA</v>
          </cell>
          <cell r="AV1350">
            <v>45779</v>
          </cell>
          <cell r="AW1350">
            <v>0.60347222222222219</v>
          </cell>
          <cell r="AX1350">
            <v>0.67847222222222225</v>
          </cell>
          <cell r="AY1350">
            <v>7.4999999999999997E-2</v>
          </cell>
          <cell r="AZ1350">
            <v>0.60555555555555551</v>
          </cell>
          <cell r="BA1350">
            <v>0.20972222222222223</v>
          </cell>
          <cell r="BB1350" t="str">
            <v>0.2-0.4*0.5-1.2*0.8-1.2</v>
          </cell>
          <cell r="BC1350" t="str">
            <v>0.2-0.4*0.4-0.6*0.8</v>
          </cell>
          <cell r="BD1350" t="str">
            <v>Vibratome</v>
          </cell>
          <cell r="BE1350">
            <v>15</v>
          </cell>
          <cell r="BF1350" t="str">
            <v>Mouniss</v>
          </cell>
          <cell r="BG1350" t="str">
            <v>Y</v>
          </cell>
        </row>
        <row r="1351">
          <cell r="A1351" t="str">
            <v>FBB1N250092</v>
          </cell>
          <cell r="B1351">
            <v>250092</v>
          </cell>
          <cell r="C1351" t="str">
            <v>Biopharma</v>
          </cell>
          <cell r="D1351">
            <v>45779</v>
          </cell>
          <cell r="E1351">
            <v>1.1805555555555555E-2</v>
          </cell>
          <cell r="F1351">
            <v>45778</v>
          </cell>
          <cell r="G1351">
            <v>45779</v>
          </cell>
          <cell r="H1351">
            <v>0.63402777777777775</v>
          </cell>
          <cell r="I1351">
            <v>0.62222222222222223</v>
          </cell>
          <cell r="J1351">
            <v>2</v>
          </cell>
          <cell r="K1351" t="str">
            <v>FCB-PROTOCOL-01</v>
          </cell>
          <cell r="L1351" t="str">
            <v>CLN/PRA/309</v>
          </cell>
          <cell r="M1351" t="str">
            <v>Y</v>
          </cell>
          <cell r="N1351" t="str">
            <v>BP012(1N)</v>
          </cell>
          <cell r="O1351" t="str">
            <v>Biopharma</v>
          </cell>
          <cell r="P1351" t="str">
            <v>Q1 Passed</v>
          </cell>
          <cell r="Q1351" t="str">
            <v>Q1 Passed</v>
          </cell>
          <cell r="R1351" t="str">
            <v>Q1.5 Passed</v>
          </cell>
          <cell r="S1351" t="str">
            <v>Qualified</v>
          </cell>
          <cell r="V1351" t="str">
            <v xml:space="preserve">	
Tumor content 6-40%</v>
          </cell>
          <cell r="W1351" t="str">
            <v>Private Hospital</v>
          </cell>
          <cell r="X1351" t="str">
            <v>Dr Prakash BV, Bangalore</v>
          </cell>
          <cell r="Y1351" t="str">
            <v>Sri Lakshmi Hospital, Bangalore</v>
          </cell>
          <cell r="Z1351" t="str">
            <v>Dr Prakash BV, Bangalore</v>
          </cell>
          <cell r="AA1351" t="str">
            <v>GI</v>
          </cell>
          <cell r="AB1351" t="str">
            <v>NA</v>
          </cell>
          <cell r="AC1351" t="str">
            <v>Stomach</v>
          </cell>
          <cell r="AD1351" t="str">
            <v>Stomach Proximal</v>
          </cell>
          <cell r="AE1351" t="str">
            <v>Male</v>
          </cell>
          <cell r="AF1351">
            <v>60</v>
          </cell>
          <cell r="AG1351" t="str">
            <v>N</v>
          </cell>
          <cell r="AH1351">
            <v>7.1</v>
          </cell>
          <cell r="AI1351" t="str">
            <v>Maruthi</v>
          </cell>
          <cell r="AJ1351" t="str">
            <v>Surgery</v>
          </cell>
          <cell r="AK1351" t="str">
            <v>Primary</v>
          </cell>
          <cell r="AL1351" t="str">
            <v>NA</v>
          </cell>
          <cell r="AN1351" t="str">
            <v>II</v>
          </cell>
          <cell r="AP1351" t="str">
            <v>pT3N0M0</v>
          </cell>
          <cell r="AS1351" t="str">
            <v>Adenocarcinoma</v>
          </cell>
          <cell r="AV1351">
            <v>45779</v>
          </cell>
          <cell r="AW1351">
            <v>0.65625</v>
          </cell>
          <cell r="AX1351">
            <v>0.71527777777777779</v>
          </cell>
          <cell r="AY1351">
            <v>5.9027777777777776E-2</v>
          </cell>
          <cell r="AZ1351">
            <v>9.3055555555555558E-2</v>
          </cell>
          <cell r="BA1351">
            <v>0.70347222222222228</v>
          </cell>
          <cell r="BB1351" t="str">
            <v>0.6*1.4*2.2
0.6*1.0*0.9</v>
          </cell>
          <cell r="BC1351" t="str">
            <v>NA</v>
          </cell>
          <cell r="BD1351" t="str">
            <v>Manual</v>
          </cell>
          <cell r="BE1351">
            <v>13</v>
          </cell>
          <cell r="BF1351" t="str">
            <v>Biswajit</v>
          </cell>
          <cell r="BG1351" t="str">
            <v>Y</v>
          </cell>
        </row>
        <row r="1352">
          <cell r="A1352" t="str">
            <v>FBR1K250093</v>
          </cell>
          <cell r="B1352">
            <v>250093</v>
          </cell>
          <cell r="C1352" t="str">
            <v>R&amp;D</v>
          </cell>
          <cell r="D1352">
            <v>45779</v>
          </cell>
          <cell r="E1352">
            <v>0.33888888888888891</v>
          </cell>
          <cell r="F1352">
            <v>45778</v>
          </cell>
          <cell r="G1352">
            <v>45779</v>
          </cell>
          <cell r="H1352">
            <v>0.63402777777777775</v>
          </cell>
          <cell r="I1352">
            <v>0.2951388888888889</v>
          </cell>
          <cell r="J1352">
            <v>3</v>
          </cell>
          <cell r="K1352" t="str">
            <v>FCB-PROTOCOL-01</v>
          </cell>
          <cell r="L1352" t="str">
            <v>CLN/PRA/310</v>
          </cell>
          <cell r="M1352" t="str">
            <v>Y</v>
          </cell>
          <cell r="N1352" t="str">
            <v>DMS_v4(1K)</v>
          </cell>
          <cell r="O1352" t="str">
            <v>Internal R&amp;D</v>
          </cell>
          <cell r="P1352" t="str">
            <v>Q1 Passed</v>
          </cell>
          <cell r="Q1352" t="str">
            <v>Q1 Passed</v>
          </cell>
          <cell r="R1352" t="str">
            <v>Q1.5 Passed</v>
          </cell>
          <cell r="S1352" t="str">
            <v>Qualified</v>
          </cell>
          <cell r="V1352" t="str">
            <v>Tumor content 10-90%</v>
          </cell>
          <cell r="W1352" t="str">
            <v>Private Hospital</v>
          </cell>
          <cell r="X1352" t="str">
            <v>Dr Prakash BV, Bangalore</v>
          </cell>
          <cell r="Y1352" t="str">
            <v>Sri Lakshmi Hospital, Bangalore</v>
          </cell>
          <cell r="Z1352" t="str">
            <v>Dr Prakash BV, Bangalore</v>
          </cell>
          <cell r="AA1352" t="str">
            <v>HNSCC</v>
          </cell>
          <cell r="AB1352" t="str">
            <v>NA</v>
          </cell>
          <cell r="AC1352" t="str">
            <v>Buccal Mucosa</v>
          </cell>
          <cell r="AD1352" t="str">
            <v>Left Buccal Mucosa</v>
          </cell>
          <cell r="AE1352" t="str">
            <v>Female</v>
          </cell>
          <cell r="AF1352">
            <v>50</v>
          </cell>
          <cell r="AG1352" t="str">
            <v>N</v>
          </cell>
          <cell r="AH1352">
            <v>7.1</v>
          </cell>
          <cell r="AI1352" t="str">
            <v>Maruthi</v>
          </cell>
          <cell r="AJ1352" t="str">
            <v>Surgery</v>
          </cell>
          <cell r="AK1352" t="str">
            <v>Primary</v>
          </cell>
          <cell r="AL1352" t="str">
            <v>NA</v>
          </cell>
          <cell r="AN1352" t="str">
            <v>II</v>
          </cell>
          <cell r="AP1352" t="str">
            <v>pT2N0M0</v>
          </cell>
          <cell r="AS1352" t="str">
            <v>SCC</v>
          </cell>
          <cell r="AV1352">
            <v>45779</v>
          </cell>
          <cell r="AW1352">
            <v>0.66666666666666663</v>
          </cell>
          <cell r="AX1352">
            <v>0.74652777777777779</v>
          </cell>
          <cell r="AY1352">
            <v>7.9861111111111105E-2</v>
          </cell>
          <cell r="AZ1352">
            <v>0.4513888888888889</v>
          </cell>
          <cell r="BA1352">
            <v>0.40763888888888888</v>
          </cell>
          <cell r="BB1352" t="str">
            <v>0.6-0.8*0.4-2.2*1.4-2.8</v>
          </cell>
          <cell r="BC1352" t="str">
            <v>NA</v>
          </cell>
          <cell r="BD1352" t="str">
            <v>Vibratome</v>
          </cell>
          <cell r="BE1352">
            <v>15</v>
          </cell>
          <cell r="BF1352" t="str">
            <v>Kowshik</v>
          </cell>
          <cell r="BG1352" t="str">
            <v>Y</v>
          </cell>
        </row>
        <row r="1353">
          <cell r="A1353" t="str">
            <v>FBB1N250094</v>
          </cell>
          <cell r="B1353">
            <v>250094</v>
          </cell>
          <cell r="C1353" t="str">
            <v>Biopharma</v>
          </cell>
          <cell r="D1353">
            <v>45779</v>
          </cell>
          <cell r="E1353">
            <v>0.57847222222222228</v>
          </cell>
          <cell r="F1353">
            <v>45778</v>
          </cell>
          <cell r="G1353">
            <v>45779</v>
          </cell>
          <cell r="H1353">
            <v>0.63402777777777775</v>
          </cell>
          <cell r="I1353">
            <v>5.5555555555555552E-2</v>
          </cell>
          <cell r="J1353">
            <v>12</v>
          </cell>
          <cell r="K1353" t="str">
            <v>FCB-PROTOCOL-01</v>
          </cell>
          <cell r="L1353" t="str">
            <v>CLN/PRA/311</v>
          </cell>
          <cell r="M1353" t="str">
            <v>Y</v>
          </cell>
          <cell r="N1353" t="str">
            <v>BP012(1N)</v>
          </cell>
          <cell r="O1353" t="str">
            <v>Biopharma</v>
          </cell>
          <cell r="P1353" t="str">
            <v>Q1 Passed</v>
          </cell>
          <cell r="Q1353" t="str">
            <v>Q1 Passed</v>
          </cell>
          <cell r="R1353" t="str">
            <v>Q1.5 Passed</v>
          </cell>
          <cell r="S1353" t="str">
            <v>Qualified</v>
          </cell>
          <cell r="V1353" t="str">
            <v>Tumor content 25-55%</v>
          </cell>
          <cell r="W1353" t="str">
            <v>Private Hospital</v>
          </cell>
          <cell r="X1353" t="str">
            <v>Dr Prakash BV, Bangalore</v>
          </cell>
          <cell r="Y1353" t="str">
            <v>Sri Lakshmi Hospital, Bangalore</v>
          </cell>
          <cell r="Z1353" t="str">
            <v>Dr Prakash BV, Bangalore</v>
          </cell>
          <cell r="AA1353" t="str">
            <v>GI</v>
          </cell>
          <cell r="AB1353" t="str">
            <v>NA</v>
          </cell>
          <cell r="AC1353" t="str">
            <v>Stomach</v>
          </cell>
          <cell r="AD1353" t="str">
            <v>Stomach-OG Junction</v>
          </cell>
          <cell r="AE1353" t="str">
            <v>Male</v>
          </cell>
          <cell r="AF1353">
            <v>56</v>
          </cell>
          <cell r="AG1353" t="str">
            <v>N</v>
          </cell>
          <cell r="AH1353">
            <v>7.1</v>
          </cell>
          <cell r="AI1353" t="str">
            <v>Maruthi</v>
          </cell>
          <cell r="AJ1353" t="str">
            <v>Surgery</v>
          </cell>
          <cell r="AK1353" t="str">
            <v>Primary</v>
          </cell>
          <cell r="AL1353" t="str">
            <v>NA</v>
          </cell>
          <cell r="AN1353" t="str">
            <v>II</v>
          </cell>
          <cell r="AP1353" t="str">
            <v>pT3N1M0</v>
          </cell>
          <cell r="AS1353" t="str">
            <v>Adenocarcinoma</v>
          </cell>
          <cell r="AV1353">
            <v>45779</v>
          </cell>
          <cell r="AW1353">
            <v>0.65625</v>
          </cell>
          <cell r="AX1353">
            <v>0.70277777777777772</v>
          </cell>
          <cell r="AY1353">
            <v>4.6527777777777779E-2</v>
          </cell>
          <cell r="AZ1353">
            <v>0.64722222222222225</v>
          </cell>
          <cell r="BA1353">
            <v>0.12430555555555556</v>
          </cell>
          <cell r="BB1353" t="str">
            <v>0.6-0.8*1.6*2.8</v>
          </cell>
          <cell r="BC1353" t="str">
            <v>NA</v>
          </cell>
          <cell r="BD1353" t="str">
            <v>Manual</v>
          </cell>
          <cell r="BE1353">
            <v>13</v>
          </cell>
          <cell r="BF1353" t="str">
            <v>Syam</v>
          </cell>
          <cell r="BG1353" t="str">
            <v>Y</v>
          </cell>
        </row>
        <row r="1354">
          <cell r="A1354" t="str">
            <v>FBR2J250095</v>
          </cell>
          <cell r="B1354">
            <v>250095</v>
          </cell>
          <cell r="C1354" t="str">
            <v>R&amp;D</v>
          </cell>
          <cell r="D1354">
            <v>45779</v>
          </cell>
          <cell r="E1354">
            <v>0.64375000000000004</v>
          </cell>
          <cell r="F1354">
            <v>45778</v>
          </cell>
          <cell r="G1354">
            <v>45779</v>
          </cell>
          <cell r="H1354">
            <v>0.6958333333333333</v>
          </cell>
          <cell r="I1354">
            <v>5.2083333333333336E-2</v>
          </cell>
          <cell r="J1354">
            <v>3</v>
          </cell>
          <cell r="K1354" t="str">
            <v>FCB-PROTOCOL-01</v>
          </cell>
          <cell r="L1354" t="str">
            <v>CLN/PRA/312</v>
          </cell>
          <cell r="M1354" t="str">
            <v>Y</v>
          </cell>
          <cell r="N1354" t="str">
            <v>Lung (2I &amp; 2J)</v>
          </cell>
          <cell r="O1354" t="str">
            <v>Internal R&amp;D</v>
          </cell>
          <cell r="P1354" t="str">
            <v>Q1 Passed</v>
          </cell>
          <cell r="Q1354" t="str">
            <v>Q1 Passed</v>
          </cell>
          <cell r="R1354" t="str">
            <v>Q1.5 Passed</v>
          </cell>
          <cell r="S1354" t="str">
            <v>Qualified</v>
          </cell>
          <cell r="V1354" t="str">
            <v xml:space="preserve">	
Tumor content 55-75%</v>
          </cell>
          <cell r="W1354" t="str">
            <v>Private Hospital</v>
          </cell>
          <cell r="X1354" t="str">
            <v>Dr Prakash BV, Bangalore</v>
          </cell>
          <cell r="Y1354" t="str">
            <v>Sri Lakshmi Hospital, Bangalore</v>
          </cell>
          <cell r="Z1354" t="str">
            <v>Dr Prakash BV, Bangalore</v>
          </cell>
          <cell r="AA1354" t="str">
            <v>Lung</v>
          </cell>
          <cell r="AB1354" t="str">
            <v>NA</v>
          </cell>
          <cell r="AC1354" t="str">
            <v>Lobe</v>
          </cell>
          <cell r="AD1354" t="str">
            <v>Right upper lobe</v>
          </cell>
          <cell r="AE1354" t="str">
            <v>Male</v>
          </cell>
          <cell r="AF1354">
            <v>75</v>
          </cell>
          <cell r="AG1354" t="str">
            <v>N</v>
          </cell>
          <cell r="AH1354">
            <v>5.3</v>
          </cell>
          <cell r="AI1354" t="str">
            <v>Kalappa</v>
          </cell>
          <cell r="AJ1354" t="str">
            <v>Surgery</v>
          </cell>
          <cell r="AK1354" t="str">
            <v>Primary</v>
          </cell>
          <cell r="AL1354" t="str">
            <v>NA</v>
          </cell>
          <cell r="AN1354" t="str">
            <v>II</v>
          </cell>
          <cell r="AP1354" t="str">
            <v>pT2N0M0</v>
          </cell>
          <cell r="AS1354" t="str">
            <v>Adenocarcinoma</v>
          </cell>
          <cell r="AV1354">
            <v>45779</v>
          </cell>
          <cell r="AW1354">
            <v>0.73263888888888884</v>
          </cell>
          <cell r="AX1354">
            <v>0.82638888888888884</v>
          </cell>
          <cell r="AY1354">
            <v>9.375E-2</v>
          </cell>
          <cell r="AZ1354">
            <v>0.77430555555555558</v>
          </cell>
          <cell r="BA1354">
            <v>0.18263888888888888</v>
          </cell>
          <cell r="BB1354" t="str">
            <v>0.8*0.8-1.3*1.0-1.6</v>
          </cell>
          <cell r="BC1354" t="str">
            <v>NA</v>
          </cell>
          <cell r="BD1354" t="str">
            <v>Vibratome</v>
          </cell>
          <cell r="BE1354">
            <v>15</v>
          </cell>
          <cell r="BF1354" t="str">
            <v>Mouniss</v>
          </cell>
          <cell r="BG1354" t="str">
            <v>Y</v>
          </cell>
        </row>
        <row r="1355">
          <cell r="A1355" t="str">
            <v>FBR1Y250096</v>
          </cell>
          <cell r="B1355">
            <v>250096</v>
          </cell>
          <cell r="C1355" t="str">
            <v>R&amp;D</v>
          </cell>
          <cell r="D1355">
            <v>45782</v>
          </cell>
          <cell r="E1355">
            <v>0.47569444444444442</v>
          </cell>
          <cell r="F1355">
            <v>45778</v>
          </cell>
          <cell r="G1355">
            <v>45782</v>
          </cell>
          <cell r="H1355">
            <v>0.54513888888888884</v>
          </cell>
          <cell r="I1355">
            <v>6.9444444444444448E-2</v>
          </cell>
          <cell r="J1355">
            <v>11</v>
          </cell>
          <cell r="K1355" t="str">
            <v>FCB-PROTOCOL-01</v>
          </cell>
          <cell r="L1355" t="str">
            <v>VYD/376</v>
          </cell>
          <cell r="M1355" t="str">
            <v>Y</v>
          </cell>
          <cell r="N1355" t="str">
            <v>CCS Study (1Y)</v>
          </cell>
          <cell r="O1355" t="str">
            <v>Internal R&amp;D</v>
          </cell>
          <cell r="P1355" t="str">
            <v>Q1 Passed</v>
          </cell>
          <cell r="Q1355" t="str">
            <v>Q1 Passed</v>
          </cell>
          <cell r="R1355" t="str">
            <v>Q1.5 Passed</v>
          </cell>
          <cell r="S1355" t="str">
            <v>Qualified</v>
          </cell>
          <cell r="V1355" t="str">
            <v>Tumor content 4-75%</v>
          </cell>
          <cell r="W1355" t="str">
            <v>Private Hospital</v>
          </cell>
          <cell r="X1355" t="str">
            <v>Vydehi Hospital, Bangalore</v>
          </cell>
          <cell r="Y1355" t="str">
            <v>Vydehi Hospital, Bangalore</v>
          </cell>
          <cell r="Z1355" t="str">
            <v>Dr Amritha Prabha, Bangalore</v>
          </cell>
          <cell r="AA1355" t="str">
            <v>HNSCC</v>
          </cell>
          <cell r="AB1355" t="str">
            <v>NA</v>
          </cell>
          <cell r="AC1355" t="str">
            <v>Buccal Mucosa</v>
          </cell>
          <cell r="AD1355" t="str">
            <v>Right Buccal Mucosa</v>
          </cell>
          <cell r="AE1355" t="str">
            <v>Male</v>
          </cell>
          <cell r="AF1355">
            <v>46</v>
          </cell>
          <cell r="AG1355" t="str">
            <v>N</v>
          </cell>
          <cell r="AH1355">
            <v>5.5</v>
          </cell>
          <cell r="AI1355" t="str">
            <v>Shashi</v>
          </cell>
          <cell r="AJ1355" t="str">
            <v>Surgery</v>
          </cell>
          <cell r="AK1355" t="str">
            <v>Primary</v>
          </cell>
          <cell r="AL1355" t="str">
            <v>NA</v>
          </cell>
          <cell r="AS1355" t="str">
            <v>SCC</v>
          </cell>
          <cell r="AV1355">
            <v>45782</v>
          </cell>
          <cell r="AW1355">
            <v>0.5708333333333333</v>
          </cell>
          <cell r="AX1355">
            <v>0.65277777777777779</v>
          </cell>
          <cell r="AY1355">
            <v>8.1944444444444445E-2</v>
          </cell>
          <cell r="AZ1355">
            <v>0.58333333333333337</v>
          </cell>
          <cell r="BA1355">
            <v>0.17708333333333334</v>
          </cell>
          <cell r="BB1355" t="str">
            <v>0.4-0.6*1.0*1.6</v>
          </cell>
          <cell r="BC1355" t="str">
            <v>NA</v>
          </cell>
          <cell r="BD1355" t="str">
            <v>Vibratome</v>
          </cell>
          <cell r="BE1355">
            <v>15</v>
          </cell>
          <cell r="BF1355" t="str">
            <v>Syam</v>
          </cell>
          <cell r="BG1355" t="str">
            <v>Y</v>
          </cell>
        </row>
        <row r="1356">
          <cell r="A1356" t="str">
            <v>FBR1Y250097</v>
          </cell>
          <cell r="B1356">
            <v>250097</v>
          </cell>
          <cell r="C1356" t="str">
            <v>R&amp;D</v>
          </cell>
          <cell r="D1356">
            <v>45784</v>
          </cell>
          <cell r="E1356">
            <v>0.47708333333333336</v>
          </cell>
          <cell r="F1356">
            <v>45778</v>
          </cell>
          <cell r="G1356">
            <v>45784</v>
          </cell>
          <cell r="H1356">
            <v>0.54791666666666672</v>
          </cell>
          <cell r="I1356">
            <v>7.0833333333333331E-2</v>
          </cell>
          <cell r="J1356">
            <v>2</v>
          </cell>
          <cell r="K1356" t="str">
            <v>FCB-PROTOCOL-01</v>
          </cell>
          <cell r="L1356" t="str">
            <v>VYD/377</v>
          </cell>
          <cell r="M1356" t="str">
            <v>Y</v>
          </cell>
          <cell r="N1356" t="str">
            <v>CCS Study (1Y)</v>
          </cell>
          <cell r="O1356" t="str">
            <v>Internal R&amp;D</v>
          </cell>
          <cell r="P1356" t="str">
            <v>Q1 Passed</v>
          </cell>
          <cell r="Q1356" t="str">
            <v>Q1 Passed</v>
          </cell>
          <cell r="R1356" t="str">
            <v>Q1.5 Passed</v>
          </cell>
          <cell r="S1356" t="str">
            <v>Qualified</v>
          </cell>
          <cell r="V1356" t="str">
            <v>Tumor content 4-80%</v>
          </cell>
          <cell r="W1356" t="str">
            <v>Private Hospital</v>
          </cell>
          <cell r="X1356" t="str">
            <v>Vydehi Hospital, Bangalore</v>
          </cell>
          <cell r="Y1356" t="str">
            <v>Vydehi Hospital, Bangalore</v>
          </cell>
          <cell r="Z1356" t="str">
            <v>Dr Amritha Prabha, Bangalore</v>
          </cell>
          <cell r="AA1356" t="str">
            <v>HNSCC</v>
          </cell>
          <cell r="AB1356" t="str">
            <v>NA</v>
          </cell>
          <cell r="AC1356" t="str">
            <v>Buccal Mucosa</v>
          </cell>
          <cell r="AD1356" t="str">
            <v>Right Buccal Mucosa</v>
          </cell>
          <cell r="AE1356" t="str">
            <v>Female</v>
          </cell>
          <cell r="AF1356">
            <v>53</v>
          </cell>
          <cell r="AG1356" t="str">
            <v>N</v>
          </cell>
          <cell r="AH1356">
            <v>5.3</v>
          </cell>
          <cell r="AI1356" t="str">
            <v>Shashi</v>
          </cell>
          <cell r="AJ1356" t="str">
            <v>Surgery</v>
          </cell>
          <cell r="AK1356" t="str">
            <v>Primary</v>
          </cell>
          <cell r="AL1356" t="str">
            <v>NA</v>
          </cell>
          <cell r="AS1356" t="str">
            <v>SCC</v>
          </cell>
          <cell r="AV1356">
            <v>45784</v>
          </cell>
          <cell r="AW1356">
            <v>0.60902777777777772</v>
          </cell>
          <cell r="AX1356">
            <v>0.69236111111111109</v>
          </cell>
          <cell r="AY1356">
            <v>8.3333333333333329E-2</v>
          </cell>
          <cell r="AZ1356">
            <v>0.62152777777777779</v>
          </cell>
          <cell r="BA1356">
            <v>0.21527777777777779</v>
          </cell>
          <cell r="BB1356" t="str">
            <v>0.6*0.6-0.8*0.8-1.4</v>
          </cell>
          <cell r="BC1356" t="str">
            <v>NA</v>
          </cell>
          <cell r="BD1356" t="str">
            <v>Vibratome</v>
          </cell>
          <cell r="BE1356">
            <v>15</v>
          </cell>
          <cell r="BF1356" t="str">
            <v>Jobin</v>
          </cell>
          <cell r="BG1356" t="str">
            <v>Y</v>
          </cell>
        </row>
        <row r="1357">
          <cell r="A1357" t="str">
            <v>FBB1N250098</v>
          </cell>
          <cell r="B1357">
            <v>250098</v>
          </cell>
          <cell r="C1357" t="str">
            <v>Biopharma</v>
          </cell>
          <cell r="D1357">
            <v>45784</v>
          </cell>
          <cell r="E1357">
            <v>0.46875</v>
          </cell>
          <cell r="F1357">
            <v>45778</v>
          </cell>
          <cell r="G1357">
            <v>45784</v>
          </cell>
          <cell r="H1357">
            <v>0.69930555555555551</v>
          </cell>
          <cell r="I1357">
            <v>0.23055555555555557</v>
          </cell>
          <cell r="J1357">
            <v>10</v>
          </cell>
          <cell r="K1357" t="str">
            <v>FCB-PROTOCOL-01</v>
          </cell>
          <cell r="L1357" t="str">
            <v>JSS-037</v>
          </cell>
          <cell r="M1357" t="str">
            <v>Y</v>
          </cell>
          <cell r="N1357" t="str">
            <v>BP012(1N)</v>
          </cell>
          <cell r="O1357" t="str">
            <v>Biopharma</v>
          </cell>
          <cell r="P1357" t="str">
            <v>Q1 Passed</v>
          </cell>
          <cell r="Q1357" t="str">
            <v>Q1 Passed</v>
          </cell>
          <cell r="R1357" t="str">
            <v>Q1.5 Passed</v>
          </cell>
          <cell r="S1357" t="str">
            <v>Rejected</v>
          </cell>
          <cell r="T1357" t="str">
            <v>No Tumor</v>
          </cell>
          <cell r="V1357" t="str">
            <v>No tumor</v>
          </cell>
          <cell r="W1357" t="str">
            <v>Private Hospital</v>
          </cell>
          <cell r="X1357" t="str">
            <v>Dr Ravi Krishnappa, Mysore</v>
          </cell>
          <cell r="Y1357" t="str">
            <v>JSS Hospital, Mysore</v>
          </cell>
          <cell r="Z1357" t="str">
            <v>Dr Ravi Krishnappa, Mysore</v>
          </cell>
          <cell r="AA1357" t="str">
            <v>GI</v>
          </cell>
          <cell r="AB1357" t="str">
            <v>NA</v>
          </cell>
          <cell r="AC1357" t="str">
            <v>Stomach</v>
          </cell>
          <cell r="AD1357" t="str">
            <v>Stomach</v>
          </cell>
          <cell r="AE1357" t="str">
            <v>Male</v>
          </cell>
          <cell r="AF1357">
            <v>49</v>
          </cell>
          <cell r="AG1357" t="str">
            <v>N</v>
          </cell>
          <cell r="AH1357">
            <v>6.3</v>
          </cell>
          <cell r="AI1357" t="str">
            <v>Maruthi</v>
          </cell>
          <cell r="AJ1357" t="str">
            <v>Surgery</v>
          </cell>
          <cell r="AK1357" t="str">
            <v>Primary</v>
          </cell>
          <cell r="AL1357" t="str">
            <v>Chemotherapy</v>
          </cell>
          <cell r="AQ1357">
            <v>4</v>
          </cell>
          <cell r="AR1357" t="str">
            <v>FLOPT</v>
          </cell>
          <cell r="AS1357" t="str">
            <v>Adenocarcinoma</v>
          </cell>
          <cell r="AV1357">
            <v>45784</v>
          </cell>
          <cell r="AW1357">
            <v>0.72569444444444442</v>
          </cell>
          <cell r="AX1357">
            <v>0.76388888888888884</v>
          </cell>
          <cell r="AY1357">
            <v>3.8194444444444448E-2</v>
          </cell>
          <cell r="AZ1357">
            <v>0.53333333333333333</v>
          </cell>
          <cell r="BA1357">
            <v>0.2951388888888889</v>
          </cell>
          <cell r="BB1357" t="str">
            <v>0.2-0.4*1.1*2.0</v>
          </cell>
          <cell r="BC1357" t="str">
            <v>NA</v>
          </cell>
          <cell r="BD1357" t="str">
            <v>Manual</v>
          </cell>
          <cell r="BE1357">
            <v>13</v>
          </cell>
          <cell r="BF1357" t="str">
            <v>Syam</v>
          </cell>
          <cell r="BG1357" t="str">
            <v>Y</v>
          </cell>
        </row>
        <row r="1358">
          <cell r="A1358" t="str">
            <v>FBR2O250099</v>
          </cell>
          <cell r="B1358">
            <v>250099</v>
          </cell>
          <cell r="C1358" t="str">
            <v>R&amp;D</v>
          </cell>
          <cell r="D1358">
            <v>45784</v>
          </cell>
          <cell r="E1358">
            <v>0.77430555555555558</v>
          </cell>
          <cell r="F1358">
            <v>45778</v>
          </cell>
          <cell r="G1358">
            <v>45784</v>
          </cell>
          <cell r="H1358">
            <v>0.84722222222222221</v>
          </cell>
          <cell r="I1358">
            <v>7.2916666666666671E-2</v>
          </cell>
          <cell r="J1358">
            <v>5</v>
          </cell>
          <cell r="K1358" t="str">
            <v>FCB-PROTOCOL-01</v>
          </cell>
          <cell r="L1358" t="str">
            <v>KH-008</v>
          </cell>
          <cell r="M1358" t="str">
            <v>Y</v>
          </cell>
          <cell r="N1358" t="str">
            <v>Prostate Biopsy (2O)</v>
          </cell>
          <cell r="O1358" t="str">
            <v>Internal R&amp;D</v>
          </cell>
          <cell r="P1358" t="str">
            <v>Q1 Passed</v>
          </cell>
          <cell r="Q1358" t="str">
            <v>Q1 Passed</v>
          </cell>
          <cell r="R1358" t="str">
            <v>Q1.5 Passed</v>
          </cell>
          <cell r="S1358" t="str">
            <v>Rejected</v>
          </cell>
          <cell r="T1358" t="str">
            <v>No Tumor</v>
          </cell>
          <cell r="V1358" t="str">
            <v>No malignant tumor seen</v>
          </cell>
          <cell r="W1358" t="str">
            <v>Private Hospital</v>
          </cell>
          <cell r="X1358" t="str">
            <v>Kauvery Hospital, Elelctronic city bangalore</v>
          </cell>
          <cell r="Y1358" t="str">
            <v>Kauvery Hospital, Elelctronic city bangalore</v>
          </cell>
          <cell r="Z1358" t="str">
            <v>Dr Sreeharsha</v>
          </cell>
          <cell r="AA1358" t="str">
            <v>Prostate</v>
          </cell>
          <cell r="AB1358" t="str">
            <v>NA</v>
          </cell>
          <cell r="AC1358" t="str">
            <v>Prostate</v>
          </cell>
          <cell r="AD1358" t="str">
            <v>Prostate</v>
          </cell>
          <cell r="AE1358" t="str">
            <v>Male</v>
          </cell>
          <cell r="AF1358">
            <v>69</v>
          </cell>
          <cell r="AG1358" t="str">
            <v>N</v>
          </cell>
          <cell r="AH1358">
            <v>4.5999999999999996</v>
          </cell>
          <cell r="AI1358" t="str">
            <v>Maruthi</v>
          </cell>
          <cell r="AJ1358" t="str">
            <v>Surgery</v>
          </cell>
          <cell r="AK1358" t="str">
            <v>Primary</v>
          </cell>
          <cell r="AL1358" t="str">
            <v>NA</v>
          </cell>
          <cell r="AS1358" t="str">
            <v xml:space="preserve">Adenocarcinoma </v>
          </cell>
          <cell r="AV1358">
            <v>45785</v>
          </cell>
          <cell r="AW1358">
            <v>0.27430555555555558</v>
          </cell>
          <cell r="AX1358">
            <v>0.3263888888888889</v>
          </cell>
          <cell r="AY1358">
            <v>5.2083333333333336E-2</v>
          </cell>
          <cell r="AZ1358">
            <v>0.25347222222222221</v>
          </cell>
          <cell r="BA135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358" t="str">
            <v>0.4-0.6*06-0.8*0.6-1.2</v>
          </cell>
          <cell r="BC1358" t="str">
            <v>0.4-0.6*06-0.8*0.6-1.2</v>
          </cell>
          <cell r="BD1358" t="str">
            <v>Manual</v>
          </cell>
          <cell r="BE1358">
            <v>15</v>
          </cell>
          <cell r="BF1358" t="str">
            <v xml:space="preserve">sai </v>
          </cell>
          <cell r="BG1358" t="str">
            <v>Y</v>
          </cell>
        </row>
        <row r="1359">
          <cell r="A1359" t="str">
            <v>FBR1Q250100</v>
          </cell>
          <cell r="B1359">
            <v>250100</v>
          </cell>
          <cell r="C1359" t="str">
            <v>R&amp;D</v>
          </cell>
          <cell r="D1359">
            <v>45784</v>
          </cell>
          <cell r="E1359">
            <v>0.4861111111111111</v>
          </cell>
          <cell r="F1359">
            <v>45778</v>
          </cell>
          <cell r="G1359">
            <v>45784</v>
          </cell>
          <cell r="H1359">
            <v>0.8569444444444444</v>
          </cell>
          <cell r="I1359">
            <v>0.37083333333333335</v>
          </cell>
          <cell r="J1359">
            <v>10</v>
          </cell>
          <cell r="K1359" t="str">
            <v>FCB-PROTOCOL-01</v>
          </cell>
          <cell r="L1359" t="str">
            <v>CLN/DBR/234</v>
          </cell>
          <cell r="M1359" t="str">
            <v>Y</v>
          </cell>
          <cell r="N1359" t="str">
            <v>COSv4.2_CaBR(1Q-Unknown)</v>
          </cell>
          <cell r="O1359" t="str">
            <v>Internal R&amp;D</v>
          </cell>
          <cell r="P1359" t="str">
            <v>Q1 Passed</v>
          </cell>
          <cell r="Q1359" t="str">
            <v>Q1 Passed</v>
          </cell>
          <cell r="R1359" t="str">
            <v>Q1.5 Passed</v>
          </cell>
          <cell r="S1359" t="str">
            <v>Qualified</v>
          </cell>
          <cell r="V1359" t="str">
            <v>Tumor content 0-55%.Average tumor content 20%</v>
          </cell>
          <cell r="W1359" t="str">
            <v>Private Hospital</v>
          </cell>
          <cell r="X1359" t="str">
            <v>Clinic'les- DBR &amp; SK Hospital, Tirupati</v>
          </cell>
          <cell r="Y1359" t="str">
            <v>DBR &amp; SK Hospital, Tirupati</v>
          </cell>
          <cell r="Z1359" t="str">
            <v>Dr C Jayaprakash, Tirupati</v>
          </cell>
          <cell r="AA1359" t="str">
            <v>Ca Breast</v>
          </cell>
          <cell r="AB1359" t="str">
            <v>NA</v>
          </cell>
          <cell r="AC1359" t="str">
            <v>Breast</v>
          </cell>
          <cell r="AD1359" t="str">
            <v>Right Breast</v>
          </cell>
          <cell r="AE1359" t="str">
            <v>Female</v>
          </cell>
          <cell r="AF1359">
            <v>41</v>
          </cell>
          <cell r="AG1359" t="str">
            <v>N</v>
          </cell>
          <cell r="AH1359">
            <v>4.9000000000000004</v>
          </cell>
          <cell r="AI1359" t="str">
            <v>Shashi</v>
          </cell>
          <cell r="AJ1359" t="str">
            <v>Surgery</v>
          </cell>
          <cell r="AK1359" t="str">
            <v>Primary</v>
          </cell>
          <cell r="AL1359" t="str">
            <v>NA</v>
          </cell>
          <cell r="AV1359">
            <v>45785</v>
          </cell>
          <cell r="AW1359">
            <v>0.86944444444444446</v>
          </cell>
          <cell r="AX1359">
            <v>0.93055555555555558</v>
          </cell>
          <cell r="AY1359">
            <v>6.1111111111111109E-2</v>
          </cell>
          <cell r="AZ1359">
            <v>0.55972222222222223</v>
          </cell>
          <cell r="BA1359">
            <v>0.44444444444444442</v>
          </cell>
          <cell r="BB1359" t="str">
            <v>0.2-0.8*0.9*1.6
1.2*0.4*0.8</v>
          </cell>
          <cell r="BC1359" t="str">
            <v>0.2-0.8*0.5*1.0
0.2-0.8*0.8*1.0
0.1-0.2*0.4*0.8</v>
          </cell>
          <cell r="BD1359" t="str">
            <v>Manual</v>
          </cell>
          <cell r="BE1359">
            <v>15</v>
          </cell>
          <cell r="BF1359" t="str">
            <v>Mouniss</v>
          </cell>
          <cell r="BG1359" t="str">
            <v>Y</v>
          </cell>
        </row>
        <row r="1360">
          <cell r="A1360" t="str">
            <v>FBR1Q250101</v>
          </cell>
          <cell r="B1360">
            <v>250101</v>
          </cell>
          <cell r="C1360" t="str">
            <v>R&amp;D</v>
          </cell>
          <cell r="D1360">
            <v>45786</v>
          </cell>
          <cell r="E1360">
            <v>0.57291666666666663</v>
          </cell>
          <cell r="F1360">
            <v>45778</v>
          </cell>
          <cell r="G1360">
            <v>45786</v>
          </cell>
          <cell r="H1360">
            <v>0.65833333333333333</v>
          </cell>
          <cell r="I1360">
            <v>8.5416666666666669E-2</v>
          </cell>
          <cell r="J1360">
            <v>4</v>
          </cell>
          <cell r="K1360" t="str">
            <v>FCB-PROTOCOL-01</v>
          </cell>
          <cell r="L1360" t="str">
            <v>VYD/378</v>
          </cell>
          <cell r="M1360" t="str">
            <v>Y</v>
          </cell>
          <cell r="N1360" t="str">
            <v>COSv4.1_CaBR(1Q-Known)</v>
          </cell>
          <cell r="O1360" t="str">
            <v>Internal R&amp;D</v>
          </cell>
          <cell r="P1360" t="str">
            <v>Q1 Passed</v>
          </cell>
          <cell r="Q1360" t="str">
            <v>Q1 Passed</v>
          </cell>
          <cell r="R1360" t="str">
            <v>Q1.5 Passed</v>
          </cell>
          <cell r="S1360" t="str">
            <v>Rejected</v>
          </cell>
          <cell r="T1360" t="str">
            <v>No Tumor</v>
          </cell>
          <cell r="V1360" t="str">
            <v>No tumor</v>
          </cell>
          <cell r="W1360" t="str">
            <v>Private Hospital</v>
          </cell>
          <cell r="X1360" t="str">
            <v>Vydehi Hospital, Bangalore</v>
          </cell>
          <cell r="Y1360" t="str">
            <v>Vydehi Hospital, Bangalore</v>
          </cell>
          <cell r="Z1360" t="str">
            <v>Dr Amritha Prabha, Bangalore</v>
          </cell>
          <cell r="AA1360" t="str">
            <v>Ca Breast</v>
          </cell>
          <cell r="AB1360" t="str">
            <v>Er -
Pr -
Her2 equated</v>
          </cell>
          <cell r="AC1360" t="str">
            <v>Breast</v>
          </cell>
          <cell r="AD1360" t="str">
            <v>Right Breast</v>
          </cell>
          <cell r="AE1360" t="str">
            <v>Female</v>
          </cell>
          <cell r="AF1360">
            <v>60</v>
          </cell>
          <cell r="AG1360" t="str">
            <v>N</v>
          </cell>
          <cell r="AH1360">
            <v>5.3</v>
          </cell>
          <cell r="AI1360" t="str">
            <v>Kalappa</v>
          </cell>
          <cell r="AJ1360" t="str">
            <v>Surgery</v>
          </cell>
          <cell r="AK1360" t="str">
            <v>Primary</v>
          </cell>
          <cell r="AL1360" t="str">
            <v>Chemotherapy</v>
          </cell>
          <cell r="AQ1360">
            <v>6</v>
          </cell>
          <cell r="AR1360" t="str">
            <v>Carboplatin, Docetaxel and Herceptin</v>
          </cell>
          <cell r="AS1360" t="str">
            <v>IDC</v>
          </cell>
          <cell r="AV1360">
            <v>45786</v>
          </cell>
          <cell r="AW1360">
            <v>0.68611111111111112</v>
          </cell>
          <cell r="AX1360">
            <v>0.77222222222222225</v>
          </cell>
          <cell r="AY1360">
            <v>8.611111111111111E-2</v>
          </cell>
          <cell r="AZ1360">
            <v>0.68680555555555556</v>
          </cell>
          <cell r="BA1360">
            <v>0.19930555555555557</v>
          </cell>
          <cell r="BB1360" t="str">
            <v>0.4-1.0*0.6-1.7*1.2*2.4</v>
          </cell>
          <cell r="BC1360" t="str">
            <v>NA</v>
          </cell>
          <cell r="BD1360" t="str">
            <v>Manual</v>
          </cell>
          <cell r="BE1360">
            <v>15</v>
          </cell>
          <cell r="BF1360" t="str">
            <v>Mouniss</v>
          </cell>
          <cell r="BG1360" t="str">
            <v>Y</v>
          </cell>
        </row>
        <row r="1361">
          <cell r="A1361" t="str">
            <v>FBR1Q250102</v>
          </cell>
          <cell r="B1361">
            <v>250102</v>
          </cell>
          <cell r="C1361" t="str">
            <v>R&amp;D</v>
          </cell>
          <cell r="D1361">
            <v>45787</v>
          </cell>
          <cell r="E1361">
            <v>0.53680555555555554</v>
          </cell>
          <cell r="F1361">
            <v>45778</v>
          </cell>
          <cell r="G1361">
            <v>45787</v>
          </cell>
          <cell r="H1361">
            <v>0.61805555555555558</v>
          </cell>
          <cell r="I1361">
            <v>8.1250000000000003E-2</v>
          </cell>
          <cell r="J1361">
            <v>4</v>
          </cell>
          <cell r="K1361" t="str">
            <v>FCB-PROTOCOL-01</v>
          </cell>
          <cell r="L1361" t="str">
            <v>VYD/379</v>
          </cell>
          <cell r="M1361" t="str">
            <v>Y</v>
          </cell>
          <cell r="N1361" t="str">
            <v>COSv4.2_CaBR(1Q-Unknown)</v>
          </cell>
          <cell r="O1361" t="str">
            <v>Internal R&amp;D</v>
          </cell>
          <cell r="P1361" t="str">
            <v>Q1 Passed</v>
          </cell>
          <cell r="Q1361" t="str">
            <v>Q1 Passed</v>
          </cell>
          <cell r="R1361" t="str">
            <v>Q1.5 Passed</v>
          </cell>
          <cell r="S1361" t="str">
            <v>Qualified</v>
          </cell>
          <cell r="V1361" t="str">
            <v>Tumor content 6-35%</v>
          </cell>
          <cell r="W1361" t="str">
            <v>Private Hospital</v>
          </cell>
          <cell r="X1361" t="str">
            <v>Vydehi Hospital, Bangalore</v>
          </cell>
          <cell r="Y1361" t="str">
            <v>Vydehi Hospital, Bangalore</v>
          </cell>
          <cell r="Z1361" t="str">
            <v>Dr Amritha Prabha, Bangalore</v>
          </cell>
          <cell r="AA1361" t="str">
            <v>Ca Breast</v>
          </cell>
          <cell r="AB1361" t="str">
            <v>Er +
Pr +
Her2 equated</v>
          </cell>
          <cell r="AC1361" t="str">
            <v>Breast</v>
          </cell>
          <cell r="AD1361" t="str">
            <v>Left Breast</v>
          </cell>
          <cell r="AE1361" t="str">
            <v>Female</v>
          </cell>
          <cell r="AF1361">
            <v>67</v>
          </cell>
          <cell r="AG1361" t="str">
            <v>N</v>
          </cell>
          <cell r="AH1361">
            <v>5.8</v>
          </cell>
          <cell r="AI1361" t="str">
            <v>Kalappa</v>
          </cell>
          <cell r="AJ1361" t="str">
            <v>Surgery</v>
          </cell>
          <cell r="AK1361" t="str">
            <v>Primary</v>
          </cell>
          <cell r="AL1361" t="str">
            <v>NA</v>
          </cell>
          <cell r="AS1361" t="str">
            <v>IDC</v>
          </cell>
          <cell r="AV1361">
            <v>45787</v>
          </cell>
          <cell r="AW1361">
            <v>0.62847222222222221</v>
          </cell>
          <cell r="AX1361">
            <v>0.77222222222222225</v>
          </cell>
          <cell r="AY1361">
            <v>0.14374999999999999</v>
          </cell>
          <cell r="AZ1361">
            <v>0.69097222222222221</v>
          </cell>
          <cell r="BA1361">
            <v>0.23541666666666666</v>
          </cell>
          <cell r="BB1361" t="str">
            <v>0.4-1.0*1.8*3.4</v>
          </cell>
          <cell r="BC1361" t="str">
            <v>0.2-0.3*0.6-0.4*1.4
0.2-0.4*0.8-0.4*1.6-1.2
1.2-0.2*0.4*0.8</v>
          </cell>
          <cell r="BD1361" t="str">
            <v>Manual</v>
          </cell>
          <cell r="BE1361">
            <v>15</v>
          </cell>
          <cell r="BF1361" t="str">
            <v>Mouniss</v>
          </cell>
          <cell r="BG1361" t="str">
            <v>N</v>
          </cell>
        </row>
        <row r="1362">
          <cell r="A1362" t="str">
            <v>FBR1Y250103</v>
          </cell>
          <cell r="B1362">
            <v>250103</v>
          </cell>
          <cell r="C1362" t="str">
            <v>R&amp;D</v>
          </cell>
          <cell r="D1362">
            <v>45789</v>
          </cell>
          <cell r="E1362">
            <v>0.47916666666666669</v>
          </cell>
          <cell r="F1362">
            <v>45778</v>
          </cell>
          <cell r="G1362">
            <v>45789</v>
          </cell>
          <cell r="H1362">
            <v>0.59444444444444444</v>
          </cell>
          <cell r="I1362">
            <v>0.11527777777777778</v>
          </cell>
          <cell r="J1362">
            <v>5</v>
          </cell>
          <cell r="K1362" t="str">
            <v>FCB-PROTOCOL-01</v>
          </cell>
          <cell r="L1362" t="str">
            <v>VYD/380</v>
          </cell>
          <cell r="M1362" t="str">
            <v>Y</v>
          </cell>
          <cell r="N1362" t="str">
            <v>CCS Study (1Y)</v>
          </cell>
          <cell r="O1362" t="str">
            <v>Internal R&amp;D</v>
          </cell>
          <cell r="P1362" t="str">
            <v>Q1 Passed</v>
          </cell>
          <cell r="Q1362" t="str">
            <v>Q1 Passed</v>
          </cell>
          <cell r="R1362" t="str">
            <v>Q1.5 Passed</v>
          </cell>
          <cell r="S1362" t="str">
            <v>Rejected</v>
          </cell>
          <cell r="T1362" t="str">
            <v>No Tumor</v>
          </cell>
          <cell r="V1362" t="str">
            <v>No tumor</v>
          </cell>
          <cell r="W1362" t="str">
            <v>Private Hospital</v>
          </cell>
          <cell r="X1362" t="str">
            <v>Vydehi Hospital, Bangalore</v>
          </cell>
          <cell r="Y1362" t="str">
            <v>Vydehi Hospital, Bangalore</v>
          </cell>
          <cell r="Z1362" t="str">
            <v>Dr Amritha Prabha, Bangalore</v>
          </cell>
          <cell r="AA1362" t="str">
            <v>HNSCC</v>
          </cell>
          <cell r="AB1362" t="str">
            <v>NA</v>
          </cell>
          <cell r="AC1362" t="str">
            <v>Supraglottis</v>
          </cell>
          <cell r="AD1362" t="str">
            <v>Supraglottis</v>
          </cell>
          <cell r="AE1362" t="str">
            <v>Male</v>
          </cell>
          <cell r="AF1362">
            <v>51</v>
          </cell>
          <cell r="AG1362" t="str">
            <v>N</v>
          </cell>
          <cell r="AH1362">
            <v>4.0999999999999996</v>
          </cell>
          <cell r="AI1362" t="str">
            <v>Kalappa</v>
          </cell>
          <cell r="AJ1362" t="str">
            <v>Surgery</v>
          </cell>
          <cell r="AK1362" t="str">
            <v>Primary</v>
          </cell>
          <cell r="AL1362" t="str">
            <v>Surgery</v>
          </cell>
          <cell r="AS1362" t="str">
            <v>SCC</v>
          </cell>
          <cell r="AV1362">
            <v>45789</v>
          </cell>
          <cell r="AW1362">
            <v>0.61597222222222225</v>
          </cell>
          <cell r="AX1362">
            <v>0.68402777777777779</v>
          </cell>
          <cell r="AY1362">
            <v>6.805555555555555E-2</v>
          </cell>
          <cell r="AZ1362">
            <v>0.56874999999999998</v>
          </cell>
          <cell r="BA1362">
            <v>0.2048611111111111</v>
          </cell>
          <cell r="BB1362" t="str">
            <v>0.2-0.3*0.8*1.0</v>
          </cell>
          <cell r="BC1362" t="str">
            <v>NA</v>
          </cell>
          <cell r="BD1362" t="str">
            <v>Vibratome</v>
          </cell>
          <cell r="BE1362">
            <v>15</v>
          </cell>
          <cell r="BF1362" t="str">
            <v xml:space="preserve">sai </v>
          </cell>
          <cell r="BG1362" t="str">
            <v>Y</v>
          </cell>
        </row>
        <row r="1363">
          <cell r="A1363" t="str">
            <v>FBR1Q250104</v>
          </cell>
          <cell r="B1363">
            <v>250104</v>
          </cell>
          <cell r="C1363" t="str">
            <v>R&amp;D</v>
          </cell>
          <cell r="D1363">
            <v>45790</v>
          </cell>
          <cell r="E1363">
            <v>0.55000000000000004</v>
          </cell>
          <cell r="F1363">
            <v>45778</v>
          </cell>
          <cell r="G1363">
            <v>45790</v>
          </cell>
          <cell r="H1363">
            <v>0.59513888888888888</v>
          </cell>
          <cell r="I1363">
            <v>4.5138888888888888E-2</v>
          </cell>
          <cell r="J1363">
            <v>2</v>
          </cell>
          <cell r="K1363" t="str">
            <v>FCB-PROTOCOL-01</v>
          </cell>
          <cell r="L1363" t="str">
            <v>CLN/PRA/313</v>
          </cell>
          <cell r="M1363" t="str">
            <v>Y</v>
          </cell>
          <cell r="N1363" t="str">
            <v>COSv4.2_CaBR(1Q-Unknown)</v>
          </cell>
          <cell r="O1363" t="str">
            <v>Internal R&amp;D</v>
          </cell>
          <cell r="P1363" t="str">
            <v>Q1 Passed</v>
          </cell>
          <cell r="Q1363" t="str">
            <v>Q1 Passed</v>
          </cell>
          <cell r="R1363" t="str">
            <v>Q1.5 Passed</v>
          </cell>
          <cell r="S1363" t="str">
            <v>Qualified</v>
          </cell>
          <cell r="V1363" t="str">
            <v>Tumor content 0-45%. Average tumor content 20%</v>
          </cell>
          <cell r="W1363" t="str">
            <v>Private Hospital</v>
          </cell>
          <cell r="X1363" t="str">
            <v>Dr Prakash BV, Bangalore</v>
          </cell>
          <cell r="Y1363" t="str">
            <v>Sri Lakshmi Hospital, Bangalore</v>
          </cell>
          <cell r="Z1363" t="str">
            <v>Dr Prakash BV, Bangalore</v>
          </cell>
          <cell r="AA1363" t="str">
            <v>Ca Breast</v>
          </cell>
          <cell r="AB1363" t="str">
            <v>NA</v>
          </cell>
          <cell r="AC1363" t="str">
            <v>Breast</v>
          </cell>
          <cell r="AD1363" t="str">
            <v>Right Breast</v>
          </cell>
          <cell r="AE1363" t="str">
            <v>Female</v>
          </cell>
          <cell r="AF1363">
            <v>56</v>
          </cell>
          <cell r="AG1363" t="str">
            <v>N</v>
          </cell>
          <cell r="AH1363">
            <v>4.8</v>
          </cell>
          <cell r="AI1363" t="str">
            <v>Maruthi</v>
          </cell>
          <cell r="AJ1363" t="str">
            <v>Surgery</v>
          </cell>
          <cell r="AK1363" t="str">
            <v>Primary</v>
          </cell>
          <cell r="AL1363" t="str">
            <v>NA</v>
          </cell>
          <cell r="AN1363" t="str">
            <v>IV</v>
          </cell>
          <cell r="AP1363" t="str">
            <v>pT4aN2M0</v>
          </cell>
          <cell r="AS1363" t="str">
            <v>IDC</v>
          </cell>
          <cell r="AV1363">
            <v>45790</v>
          </cell>
          <cell r="AW1363">
            <v>0.61458333333333337</v>
          </cell>
          <cell r="AX1363">
            <v>0.68055555555555558</v>
          </cell>
          <cell r="AY1363">
            <v>6.5972222222222224E-2</v>
          </cell>
          <cell r="AZ1363">
            <v>0.63541666666666663</v>
          </cell>
          <cell r="BA1363">
            <v>0.13055555555555556</v>
          </cell>
          <cell r="BB1363" t="str">
            <v>1.2*1.4-2.2*4.8</v>
          </cell>
          <cell r="BC1363" t="str">
            <v>NA</v>
          </cell>
          <cell r="BD1363" t="str">
            <v>Manual</v>
          </cell>
          <cell r="BE1363">
            <v>15</v>
          </cell>
          <cell r="BF1363" t="str">
            <v>chandan</v>
          </cell>
          <cell r="BG1363" t="str">
            <v>Y</v>
          </cell>
        </row>
        <row r="1364">
          <cell r="A1364" t="str">
            <v>FBR1Q250105</v>
          </cell>
          <cell r="B1364">
            <v>250105</v>
          </cell>
          <cell r="C1364" t="str">
            <v>R&amp;D</v>
          </cell>
          <cell r="D1364">
            <v>45791</v>
          </cell>
          <cell r="E1364">
            <v>0.42708333333333331</v>
          </cell>
          <cell r="F1364">
            <v>45778</v>
          </cell>
          <cell r="G1364">
            <v>45791</v>
          </cell>
          <cell r="H1364">
            <v>0.65902777777777777</v>
          </cell>
          <cell r="I1364">
            <v>0.23194444444444445</v>
          </cell>
          <cell r="J1364">
            <v>10</v>
          </cell>
          <cell r="K1364" t="str">
            <v>FCB-PROTOCOL-01</v>
          </cell>
          <cell r="L1364" t="str">
            <v>JSS-038</v>
          </cell>
          <cell r="M1364" t="str">
            <v>Y</v>
          </cell>
          <cell r="N1364" t="str">
            <v>COSv4.2_CaBR(1Q-Unknown)</v>
          </cell>
          <cell r="O1364" t="str">
            <v>Internal R&amp;D</v>
          </cell>
          <cell r="P1364" t="str">
            <v>Q1 Passed</v>
          </cell>
          <cell r="Q1364" t="str">
            <v>Not Received</v>
          </cell>
          <cell r="R1364" t="str">
            <v>Compromised</v>
          </cell>
          <cell r="S1364" t="str">
            <v>Qualified</v>
          </cell>
          <cell r="V1364" t="str">
            <v>Tumor content 5-15%</v>
          </cell>
          <cell r="W1364" t="str">
            <v>Private Hospital</v>
          </cell>
          <cell r="X1364" t="str">
            <v>Dr Ravi Krishnappa, Mysore</v>
          </cell>
          <cell r="Y1364" t="str">
            <v>JSS Hospital, Mysore</v>
          </cell>
          <cell r="Z1364" t="str">
            <v>Dr Ravi Krishnappa, Mysore</v>
          </cell>
          <cell r="AA1364" t="str">
            <v>Ca Breast</v>
          </cell>
          <cell r="AB1364" t="str">
            <v>NA</v>
          </cell>
          <cell r="AC1364" t="str">
            <v>Breast</v>
          </cell>
          <cell r="AD1364" t="str">
            <v>Left Breast + Axilla</v>
          </cell>
          <cell r="AE1364" t="str">
            <v>Female</v>
          </cell>
          <cell r="AF1364">
            <v>59</v>
          </cell>
          <cell r="AG1364" t="str">
            <v>N</v>
          </cell>
          <cell r="AH1364">
            <v>5.6</v>
          </cell>
          <cell r="AI1364" t="str">
            <v>Shashi</v>
          </cell>
          <cell r="AJ1364" t="str">
            <v>Surgery</v>
          </cell>
          <cell r="AK1364" t="str">
            <v>Lymph node</v>
          </cell>
          <cell r="AL1364" t="str">
            <v>Na</v>
          </cell>
          <cell r="AS1364" t="str">
            <v>IDC</v>
          </cell>
          <cell r="AV1364">
            <v>45791</v>
          </cell>
          <cell r="AW1364">
            <v>0.68263888888888891</v>
          </cell>
          <cell r="AX1364">
            <v>0.77430555555555558</v>
          </cell>
          <cell r="AY1364">
            <v>9.166666666666666E-2</v>
          </cell>
          <cell r="AZ1364">
            <v>0.54236111111111107</v>
          </cell>
          <cell r="BA1364">
            <v>0.34722222222222221</v>
          </cell>
          <cell r="BB1364" t="str">
            <v>2.0-2.2*2.8*4.6</v>
          </cell>
          <cell r="BC1364" t="str">
            <v>0.8*1.1*1.2
0.3-0.4*0.9*1.1
0.2*0.6*0.9</v>
          </cell>
          <cell r="BD1364" t="str">
            <v>Manual</v>
          </cell>
          <cell r="BE1364">
            <v>15</v>
          </cell>
          <cell r="BF1364" t="str">
            <v>Abdul</v>
          </cell>
          <cell r="BG1364" t="str">
            <v>N</v>
          </cell>
        </row>
        <row r="1365">
          <cell r="A1365" t="str">
            <v>FBR1K250106</v>
          </cell>
          <cell r="B1365">
            <v>250106</v>
          </cell>
          <cell r="C1365" t="str">
            <v>R&amp;D</v>
          </cell>
          <cell r="D1365">
            <v>45791</v>
          </cell>
          <cell r="E1365">
            <v>0.4861111111111111</v>
          </cell>
          <cell r="F1365">
            <v>45778</v>
          </cell>
          <cell r="G1365">
            <v>45791</v>
          </cell>
          <cell r="H1365">
            <v>0.86875000000000002</v>
          </cell>
          <cell r="I1365">
            <v>0.38263888888888886</v>
          </cell>
          <cell r="J1365">
            <v>10</v>
          </cell>
          <cell r="K1365" t="str">
            <v>FCB-PROTOCOL-01</v>
          </cell>
          <cell r="L1365" t="str">
            <v>CLN/DBR/235</v>
          </cell>
          <cell r="M1365" t="str">
            <v>Y</v>
          </cell>
          <cell r="N1365" t="str">
            <v>DMS_v4(1K)</v>
          </cell>
          <cell r="O1365" t="str">
            <v>Internal R&amp;D</v>
          </cell>
          <cell r="P1365" t="str">
            <v>Q1 Passed</v>
          </cell>
          <cell r="Q1365" t="str">
            <v>Q1 Passed</v>
          </cell>
          <cell r="R1365" t="str">
            <v>Q1.5 Passed</v>
          </cell>
          <cell r="S1365" t="str">
            <v>Qualified</v>
          </cell>
          <cell r="V1365" t="str">
            <v>Tumor content 40-65%.</v>
          </cell>
          <cell r="W1365" t="str">
            <v>Private Hospital</v>
          </cell>
          <cell r="X1365" t="str">
            <v>Clinic'les- DBR &amp; SK Hospital, Tirupati</v>
          </cell>
          <cell r="Y1365" t="str">
            <v>DBR &amp; SK Hospital, Tirupati</v>
          </cell>
          <cell r="Z1365" t="str">
            <v>Dr C Jayaprakash, Tirupati</v>
          </cell>
          <cell r="AA1365" t="str">
            <v>HNSCC</v>
          </cell>
          <cell r="AB1365" t="str">
            <v>NA</v>
          </cell>
          <cell r="AC1365" t="str">
            <v>Buccal Mucosa</v>
          </cell>
          <cell r="AD1365" t="str">
            <v>Left Buccal Mucosa</v>
          </cell>
          <cell r="AE1365" t="str">
            <v>Female</v>
          </cell>
          <cell r="AF1365">
            <v>55</v>
          </cell>
          <cell r="AG1365" t="str">
            <v>N</v>
          </cell>
          <cell r="AH1365">
            <v>5.3</v>
          </cell>
          <cell r="AI1365" t="str">
            <v>Kalappa</v>
          </cell>
          <cell r="AJ1365" t="str">
            <v>Surgery</v>
          </cell>
          <cell r="AK1365" t="str">
            <v>Primary</v>
          </cell>
          <cell r="AL1365" t="str">
            <v>NA</v>
          </cell>
          <cell r="AS1365" t="str">
            <v>SCC</v>
          </cell>
          <cell r="AV1365">
            <v>45791</v>
          </cell>
          <cell r="AW1365">
            <v>0.87847222222222221</v>
          </cell>
          <cell r="AX1365">
            <v>0.96180555555555558</v>
          </cell>
          <cell r="AY1365">
            <v>8.3333333333333329E-2</v>
          </cell>
          <cell r="AZ1365">
            <v>0.57916666666666672</v>
          </cell>
          <cell r="BA1365">
            <v>0.47569444444444442</v>
          </cell>
          <cell r="BB1365" t="str">
            <v>0.2*0.2-0.6*1.7
0.5*0.6-1.4*1.0-1.8</v>
          </cell>
          <cell r="BC1365" t="str">
            <v>NA</v>
          </cell>
          <cell r="BD1365" t="str">
            <v>Vibratome</v>
          </cell>
          <cell r="BE1365">
            <v>15</v>
          </cell>
          <cell r="BF1365" t="str">
            <v>Dharani</v>
          </cell>
          <cell r="BG1365" t="str">
            <v>Y</v>
          </cell>
        </row>
        <row r="1366">
          <cell r="A1366" t="str">
            <v>FBR1K250107</v>
          </cell>
          <cell r="B1366">
            <v>250107</v>
          </cell>
          <cell r="C1366" t="str">
            <v>R&amp;D</v>
          </cell>
          <cell r="D1366">
            <v>45793</v>
          </cell>
          <cell r="E1366">
            <v>0.56041666666666667</v>
          </cell>
          <cell r="F1366">
            <v>45778</v>
          </cell>
          <cell r="G1366">
            <v>45793</v>
          </cell>
          <cell r="H1366">
            <v>0.66249999999999998</v>
          </cell>
          <cell r="I1366">
            <v>0.10208333333333333</v>
          </cell>
          <cell r="J1366">
            <v>3</v>
          </cell>
          <cell r="K1366" t="str">
            <v>FCB-PROTOCOL-01</v>
          </cell>
          <cell r="L1366" t="str">
            <v>CLN/PRA/314</v>
          </cell>
          <cell r="M1366" t="str">
            <v>Y</v>
          </cell>
          <cell r="N1366" t="str">
            <v>DMS_v4(1K)</v>
          </cell>
          <cell r="O1366" t="str">
            <v>Internal R&amp;D</v>
          </cell>
          <cell r="P1366" t="str">
            <v>Q1 Passed</v>
          </cell>
          <cell r="Q1366" t="str">
            <v>Q1 Passed</v>
          </cell>
          <cell r="R1366" t="str">
            <v>Compromised</v>
          </cell>
          <cell r="S1366" t="str">
            <v>Qualified</v>
          </cell>
          <cell r="T1366" t="str">
            <v>Small size tissue</v>
          </cell>
          <cell r="V1366" t="str">
            <v>Tumor content 40-85%.</v>
          </cell>
          <cell r="W1366" t="str">
            <v>Private Hospital</v>
          </cell>
          <cell r="X1366" t="str">
            <v>Dr Prakash BV, Bangalore</v>
          </cell>
          <cell r="Y1366" t="str">
            <v>Sri Lakshmi Hospital, Bangalore</v>
          </cell>
          <cell r="Z1366" t="str">
            <v>Dr Prakash BV, Bangalore</v>
          </cell>
          <cell r="AA1366" t="str">
            <v>HNSCC</v>
          </cell>
          <cell r="AB1366" t="str">
            <v>NA</v>
          </cell>
          <cell r="AC1366" t="str">
            <v>Tongue</v>
          </cell>
          <cell r="AD1366" t="str">
            <v>Tongue</v>
          </cell>
          <cell r="AE1366" t="str">
            <v>Male</v>
          </cell>
          <cell r="AF1366">
            <v>59</v>
          </cell>
          <cell r="AG1366" t="str">
            <v>N</v>
          </cell>
          <cell r="AH1366">
            <v>6.1</v>
          </cell>
          <cell r="AI1366" t="str">
            <v>Maruthi</v>
          </cell>
          <cell r="AJ1366" t="str">
            <v>Surgery</v>
          </cell>
          <cell r="AK1366" t="str">
            <v>Primary</v>
          </cell>
          <cell r="AL1366" t="str">
            <v>NA</v>
          </cell>
          <cell r="AS1366" t="str">
            <v>SCC</v>
          </cell>
          <cell r="AV1366">
            <v>45793</v>
          </cell>
          <cell r="AW1366">
            <v>0.67777777777777781</v>
          </cell>
          <cell r="AX1366">
            <v>0.75069444444444444</v>
          </cell>
          <cell r="AY1366">
            <v>7.2916666666666671E-2</v>
          </cell>
          <cell r="AZ1366">
            <v>0.64861111111111114</v>
          </cell>
          <cell r="BA1366">
            <v>0.19027777777777777</v>
          </cell>
          <cell r="BB1366" t="str">
            <v>0.4-0.7*0.4-1.8*2.8</v>
          </cell>
          <cell r="BC1366" t="str">
            <v>0.4-0.7*0.4-1.6*2.8</v>
          </cell>
          <cell r="BD1366" t="str">
            <v>Vibratome</v>
          </cell>
          <cell r="BE1366">
            <v>15</v>
          </cell>
          <cell r="BF1366" t="str">
            <v>Mouniss</v>
          </cell>
          <cell r="BG1366" t="str">
            <v>Y</v>
          </cell>
        </row>
        <row r="1367">
          <cell r="A1367" t="str">
            <v>FBR1Q250108</v>
          </cell>
          <cell r="B1367">
            <v>250108</v>
          </cell>
          <cell r="C1367" t="str">
            <v>R&amp;D</v>
          </cell>
          <cell r="D1367">
            <v>45794</v>
          </cell>
          <cell r="E1367">
            <v>0.5</v>
          </cell>
          <cell r="F1367">
            <v>45778</v>
          </cell>
          <cell r="G1367">
            <v>45794</v>
          </cell>
          <cell r="H1367">
            <v>0.89930555555555558</v>
          </cell>
          <cell r="I1367">
            <v>0.39930555555555558</v>
          </cell>
          <cell r="J1367">
            <v>10</v>
          </cell>
          <cell r="K1367" t="str">
            <v>FCB-PROTOCOL-01</v>
          </cell>
          <cell r="L1367" t="str">
            <v>CLN/DBR/236</v>
          </cell>
          <cell r="M1367" t="str">
            <v>Y</v>
          </cell>
          <cell r="N1367" t="str">
            <v>COSv4.2_CaBR(1Q-Unknown)</v>
          </cell>
          <cell r="O1367" t="str">
            <v>Internal R&amp;D</v>
          </cell>
          <cell r="P1367" t="str">
            <v>Q1 Passed</v>
          </cell>
          <cell r="Q1367" t="str">
            <v>Q1 Passed</v>
          </cell>
          <cell r="R1367" t="str">
            <v>Q1.5 Passed</v>
          </cell>
          <cell r="S1367" t="str">
            <v>Qualified</v>
          </cell>
          <cell r="V1367" t="str">
            <v>Tumor content 1-12%</v>
          </cell>
          <cell r="W1367" t="str">
            <v>Private Hospital</v>
          </cell>
          <cell r="X1367" t="str">
            <v>Clinic'les- DBR &amp; SK Hospital, Tirupati</v>
          </cell>
          <cell r="Y1367" t="str">
            <v>DBR &amp; SK Hospital, Tirupati</v>
          </cell>
          <cell r="Z1367" t="str">
            <v>Dr C Jayaprakash, Tirupati</v>
          </cell>
          <cell r="AA1367" t="str">
            <v>Ca Breast</v>
          </cell>
          <cell r="AB1367" t="str">
            <v>NA</v>
          </cell>
          <cell r="AC1367" t="str">
            <v>Breast</v>
          </cell>
          <cell r="AD1367" t="str">
            <v>Left Breast</v>
          </cell>
          <cell r="AE1367" t="str">
            <v>Female</v>
          </cell>
          <cell r="AF1367">
            <v>49</v>
          </cell>
          <cell r="AG1367" t="str">
            <v>N</v>
          </cell>
          <cell r="AH1367">
            <v>5.8</v>
          </cell>
          <cell r="AI1367" t="str">
            <v>Maruthi</v>
          </cell>
          <cell r="AJ1367" t="str">
            <v>Surgery</v>
          </cell>
          <cell r="AK1367" t="str">
            <v>Primary</v>
          </cell>
          <cell r="AL1367" t="str">
            <v>NA</v>
          </cell>
          <cell r="AV1367">
            <v>45795</v>
          </cell>
          <cell r="AW1367">
            <v>0.30486111111111114</v>
          </cell>
          <cell r="AX1367">
            <v>0.375</v>
          </cell>
          <cell r="AY1367">
            <v>7.013888888888889E-2</v>
          </cell>
          <cell r="AZ136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367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367" t="str">
            <v>0.4-0.8*1.2-1.4*2.2-2.3</v>
          </cell>
          <cell r="BC1367" t="str">
            <v>0.6-0.8*0.8-1.1*2.0
0.2-0.3*0.4-0.6*1.5-1.6</v>
          </cell>
          <cell r="BD1367" t="str">
            <v>Manual</v>
          </cell>
          <cell r="BE1367">
            <v>15</v>
          </cell>
          <cell r="BF1367" t="str">
            <v xml:space="preserve">sai </v>
          </cell>
          <cell r="BG1367" t="str">
            <v>Y</v>
          </cell>
        </row>
        <row r="1368">
          <cell r="A1368" t="str">
            <v>FBB1N250109</v>
          </cell>
          <cell r="B1368">
            <v>250109</v>
          </cell>
          <cell r="C1368" t="str">
            <v>R&amp;D</v>
          </cell>
          <cell r="D1368">
            <v>45797</v>
          </cell>
          <cell r="E1368">
            <v>0.68888888888888888</v>
          </cell>
          <cell r="F1368">
            <v>45778</v>
          </cell>
          <cell r="G1368">
            <v>45797</v>
          </cell>
          <cell r="H1368">
            <v>0.74027777777777781</v>
          </cell>
          <cell r="I1368">
            <v>5.1388888888888887E-2</v>
          </cell>
          <cell r="J1368">
            <v>3</v>
          </cell>
          <cell r="K1368" t="str">
            <v>FCB-PROTOCOL-01</v>
          </cell>
          <cell r="L1368" t="str">
            <v>CLN/PRA/315</v>
          </cell>
          <cell r="M1368" t="str">
            <v>Y</v>
          </cell>
          <cell r="N1368" t="str">
            <v>BP012(1N)</v>
          </cell>
          <cell r="O1368" t="str">
            <v>Biopharma</v>
          </cell>
          <cell r="P1368" t="str">
            <v>Q1 Passed</v>
          </cell>
          <cell r="Q1368" t="str">
            <v>Q1 Passed</v>
          </cell>
          <cell r="R1368" t="str">
            <v>Q1.5 Passed</v>
          </cell>
          <cell r="S1368" t="str">
            <v>Rejected</v>
          </cell>
          <cell r="V1368" t="str">
            <v>Tumor content 0-6%. Average tumor content 1%</v>
          </cell>
          <cell r="W1368" t="str">
            <v>Private Hospital</v>
          </cell>
          <cell r="X1368" t="str">
            <v>Dr Prakash BV, Bangalore</v>
          </cell>
          <cell r="Y1368" t="str">
            <v>Sri Lakshmi Hospital, Bangalore</v>
          </cell>
          <cell r="Z1368" t="str">
            <v>Dr Prakash BV, Bangalore</v>
          </cell>
          <cell r="AA1368" t="str">
            <v>GI</v>
          </cell>
          <cell r="AB1368" t="str">
            <v>NA</v>
          </cell>
          <cell r="AC1368" t="str">
            <v xml:space="preserve">Stomach </v>
          </cell>
          <cell r="AD1368" t="str">
            <v>Stomach OG Junction</v>
          </cell>
          <cell r="AE1368" t="str">
            <v>Male</v>
          </cell>
          <cell r="AF1368">
            <v>46</v>
          </cell>
          <cell r="AG1368" t="str">
            <v>N</v>
          </cell>
          <cell r="AH1368">
            <v>6.2</v>
          </cell>
          <cell r="AI1368" t="str">
            <v>Maruthi</v>
          </cell>
          <cell r="AJ1368" t="str">
            <v>Surgery</v>
          </cell>
          <cell r="AK1368" t="str">
            <v>Primary</v>
          </cell>
          <cell r="AL1368" t="str">
            <v>NA</v>
          </cell>
          <cell r="AN1368" t="str">
            <v>II</v>
          </cell>
          <cell r="AP1368" t="str">
            <v>pT2N1M0</v>
          </cell>
          <cell r="AS1368" t="str">
            <v>Adenocarcinoma</v>
          </cell>
          <cell r="AV1368">
            <v>45797</v>
          </cell>
          <cell r="AW1368">
            <v>0.76388888888888884</v>
          </cell>
          <cell r="AX1368">
            <v>0.84027777777777779</v>
          </cell>
          <cell r="AY1368">
            <v>7.6388888888888895E-2</v>
          </cell>
          <cell r="AZ1368">
            <v>0.78888888888888886</v>
          </cell>
          <cell r="BA1368">
            <v>0.15138888888888888</v>
          </cell>
          <cell r="BB1368" t="str">
            <v>0.2-0.6*1.2-1.8*2.2</v>
          </cell>
          <cell r="BC1368" t="str">
            <v>NA</v>
          </cell>
          <cell r="BD1368" t="str">
            <v>Manual</v>
          </cell>
          <cell r="BE1368">
            <v>13</v>
          </cell>
          <cell r="BF1368" t="str">
            <v xml:space="preserve">sai </v>
          </cell>
          <cell r="BG1368" t="str">
            <v>Y</v>
          </cell>
        </row>
        <row r="1369">
          <cell r="A1369" t="str">
            <v>FBR1Q250110</v>
          </cell>
          <cell r="B1369">
            <v>250110</v>
          </cell>
          <cell r="C1369" t="str">
            <v>R&amp;D</v>
          </cell>
          <cell r="D1369">
            <v>45798</v>
          </cell>
          <cell r="E1369">
            <v>0.66319444444444442</v>
          </cell>
          <cell r="F1369">
            <v>45778</v>
          </cell>
          <cell r="G1369">
            <v>45798</v>
          </cell>
          <cell r="H1369">
            <v>0.75208333333333333</v>
          </cell>
          <cell r="I1369">
            <v>8.8888888888888892E-2</v>
          </cell>
          <cell r="J1369">
            <v>2</v>
          </cell>
          <cell r="K1369" t="str">
            <v>FCB-PROTOCOL-01</v>
          </cell>
          <cell r="L1369" t="str">
            <v>VYD/381</v>
          </cell>
          <cell r="M1369" t="str">
            <v>Y</v>
          </cell>
          <cell r="N1369" t="str">
            <v>COSv4.2_CaBR(1Q-Unknown)</v>
          </cell>
          <cell r="O1369" t="str">
            <v>Internal R&amp;D</v>
          </cell>
          <cell r="P1369" t="str">
            <v>Q1 Passed</v>
          </cell>
          <cell r="Q1369" t="str">
            <v>Q1 Passed</v>
          </cell>
          <cell r="R1369" t="str">
            <v>Q1.5 Passed</v>
          </cell>
          <cell r="S1369" t="str">
            <v>Rejected</v>
          </cell>
          <cell r="T1369" t="str">
            <v>No Tumor</v>
          </cell>
          <cell r="V1369" t="str">
            <v xml:space="preserve">	
Tumor content &lt;1%</v>
          </cell>
          <cell r="W1369" t="str">
            <v>Private Hospital</v>
          </cell>
          <cell r="X1369" t="str">
            <v>Vydehi Hospital, Bangalore</v>
          </cell>
          <cell r="Y1369" t="str">
            <v>Vydehi Hospital, Bangalore</v>
          </cell>
          <cell r="Z1369" t="str">
            <v>Dr Amritha Prabha, Bangalore</v>
          </cell>
          <cell r="AA1369" t="str">
            <v>Ca Breast</v>
          </cell>
          <cell r="AB1369" t="str">
            <v>NA</v>
          </cell>
          <cell r="AC1369" t="str">
            <v>Breast</v>
          </cell>
          <cell r="AD1369" t="str">
            <v>Left Breast</v>
          </cell>
          <cell r="AE1369" t="str">
            <v>Female</v>
          </cell>
          <cell r="AF1369">
            <v>47</v>
          </cell>
          <cell r="AG1369" t="str">
            <v>N</v>
          </cell>
          <cell r="AH1369">
            <v>5.7</v>
          </cell>
          <cell r="AI1369" t="str">
            <v>Kalappa</v>
          </cell>
          <cell r="AJ1369" t="str">
            <v>Surgery</v>
          </cell>
          <cell r="AK1369" t="str">
            <v>Primary</v>
          </cell>
          <cell r="AL1369" t="str">
            <v>Chemotherapy</v>
          </cell>
          <cell r="AQ1369">
            <v>8</v>
          </cell>
          <cell r="AR1369" t="str">
            <v>EC+Pacli</v>
          </cell>
          <cell r="AS1369" t="str">
            <v>IDC</v>
          </cell>
          <cell r="AV1369">
            <v>45798</v>
          </cell>
          <cell r="AW1369">
            <v>0.76597222222222228</v>
          </cell>
          <cell r="AX1369">
            <v>0.8305555555555556</v>
          </cell>
          <cell r="AY1369">
            <v>6.458333333333334E-2</v>
          </cell>
          <cell r="AZ1369">
            <v>0.7416666666666667</v>
          </cell>
          <cell r="BA1369">
            <v>0.1673611111111111</v>
          </cell>
          <cell r="BB1369" t="str">
            <v>0.2*1.4*1.6
0.2*1.8*2.6
0.8*1.7*2.2</v>
          </cell>
          <cell r="BC1369" t="str">
            <v>NA</v>
          </cell>
          <cell r="BD1369" t="str">
            <v>Manual</v>
          </cell>
          <cell r="BE1369">
            <v>15</v>
          </cell>
          <cell r="BF1369" t="str">
            <v>Dharani</v>
          </cell>
          <cell r="BG1369" t="str">
            <v>Y</v>
          </cell>
        </row>
        <row r="1370">
          <cell r="A1370" t="str">
            <v>FBR1K250111</v>
          </cell>
          <cell r="B1370">
            <v>250111</v>
          </cell>
          <cell r="C1370" t="str">
            <v>R&amp;D</v>
          </cell>
          <cell r="D1370">
            <v>45799</v>
          </cell>
          <cell r="E1370">
            <v>0.48472222222222222</v>
          </cell>
          <cell r="F1370">
            <v>45778</v>
          </cell>
          <cell r="G1370">
            <v>45799</v>
          </cell>
          <cell r="H1370">
            <v>0.60972222222222228</v>
          </cell>
          <cell r="I1370">
            <v>0.125</v>
          </cell>
          <cell r="J1370">
            <v>2</v>
          </cell>
          <cell r="K1370" t="str">
            <v>FCB-PROTOCOL-01</v>
          </cell>
          <cell r="L1370" t="str">
            <v>CLN/PRA/316</v>
          </cell>
          <cell r="M1370" t="str">
            <v>Y</v>
          </cell>
          <cell r="N1370" t="str">
            <v>DMS_v4(1K)</v>
          </cell>
          <cell r="O1370" t="str">
            <v>Internal R&amp;D</v>
          </cell>
          <cell r="P1370" t="str">
            <v>Q1 Passed</v>
          </cell>
          <cell r="Q1370" t="str">
            <v>Q1 Passed</v>
          </cell>
          <cell r="R1370" t="str">
            <v>Compromised</v>
          </cell>
          <cell r="S1370" t="str">
            <v>Qualified</v>
          </cell>
          <cell r="T1370" t="str">
            <v>Small size tissue</v>
          </cell>
          <cell r="V1370" t="str">
            <v>Tumor content 45-75%</v>
          </cell>
          <cell r="W1370" t="str">
            <v>Private Hospital</v>
          </cell>
          <cell r="X1370" t="str">
            <v>Dr Prakash BV, Bangalore</v>
          </cell>
          <cell r="Y1370" t="str">
            <v>Sri Lakshmi Hospital, Bangalore</v>
          </cell>
          <cell r="Z1370" t="str">
            <v>Dr Prakash BV, Bangalore</v>
          </cell>
          <cell r="AA1370" t="str">
            <v>HNSCC</v>
          </cell>
          <cell r="AB1370" t="str">
            <v>NA</v>
          </cell>
          <cell r="AC1370" t="str">
            <v>Buccal Mucosa</v>
          </cell>
          <cell r="AD1370" t="str">
            <v>Right Buccal Mucosa</v>
          </cell>
          <cell r="AE1370" t="str">
            <v>Male</v>
          </cell>
          <cell r="AF1370">
            <v>50</v>
          </cell>
          <cell r="AG1370" t="str">
            <v>N</v>
          </cell>
          <cell r="AH1370">
            <v>6.1</v>
          </cell>
          <cell r="AI1370" t="str">
            <v>Shashi</v>
          </cell>
          <cell r="AJ1370" t="str">
            <v>Surgery</v>
          </cell>
          <cell r="AK1370" t="str">
            <v>Primary</v>
          </cell>
          <cell r="AL1370" t="str">
            <v>NA</v>
          </cell>
          <cell r="AN1370" t="str">
            <v>IV</v>
          </cell>
          <cell r="AO1370">
            <v>2</v>
          </cell>
          <cell r="AP1370" t="str">
            <v>pT4aN1M0</v>
          </cell>
          <cell r="AS1370" t="str">
            <v>SCC</v>
          </cell>
          <cell r="AV1370">
            <v>45799</v>
          </cell>
          <cell r="AW1370">
            <v>0.6333333333333333</v>
          </cell>
          <cell r="AX1370">
            <v>0.69791666666666663</v>
          </cell>
          <cell r="AY1370">
            <v>6.458333333333334E-2</v>
          </cell>
          <cell r="AZ1370">
            <v>0.57291666666666663</v>
          </cell>
          <cell r="BA1370">
            <v>0.21319444444444444</v>
          </cell>
          <cell r="BB1370" t="str">
            <v>0.4*0.4-0.6*1.6
0.2*0.9*1.2-1.4</v>
          </cell>
          <cell r="BC1370" t="str">
            <v>NA</v>
          </cell>
          <cell r="BD1370" t="str">
            <v>Vibratome</v>
          </cell>
          <cell r="BE1370">
            <v>15</v>
          </cell>
          <cell r="BF1370" t="str">
            <v>Syam</v>
          </cell>
          <cell r="BG1370" t="str">
            <v>Y</v>
          </cell>
        </row>
        <row r="1371">
          <cell r="A1371" t="str">
            <v>FBR1Y250112</v>
          </cell>
          <cell r="B1371">
            <v>250112</v>
          </cell>
          <cell r="C1371" t="str">
            <v>R&amp;D</v>
          </cell>
          <cell r="D1371">
            <v>45799</v>
          </cell>
          <cell r="E1371">
            <v>0.51388888888888884</v>
          </cell>
          <cell r="F1371">
            <v>45778</v>
          </cell>
          <cell r="G1371">
            <v>45799</v>
          </cell>
          <cell r="H1371">
            <v>0.63749999999999996</v>
          </cell>
          <cell r="I1371">
            <v>0.12361111111111112</v>
          </cell>
          <cell r="J1371">
            <v>2</v>
          </cell>
          <cell r="K1371" t="str">
            <v>FCB-PROTOCOL-01</v>
          </cell>
          <cell r="L1371" t="str">
            <v>VYD/382</v>
          </cell>
          <cell r="M1371" t="str">
            <v>Y</v>
          </cell>
          <cell r="N1371" t="str">
            <v>CCS Study (1Y)</v>
          </cell>
          <cell r="O1371" t="str">
            <v>Internal R&amp;D</v>
          </cell>
          <cell r="P1371" t="str">
            <v>Q1 Passed</v>
          </cell>
          <cell r="Q1371" t="str">
            <v>Q1 Passed</v>
          </cell>
          <cell r="R1371" t="str">
            <v>Compromised</v>
          </cell>
          <cell r="S1371" t="str">
            <v>Qualified</v>
          </cell>
          <cell r="T1371" t="str">
            <v>Not Fit For Vibrotome</v>
          </cell>
          <cell r="V1371" t="str">
            <v xml:space="preserve">Tumor content 85-90% </v>
          </cell>
          <cell r="W1371" t="str">
            <v>Private Hospital</v>
          </cell>
          <cell r="X1371" t="str">
            <v>Vydehi Hospital, Bangalore</v>
          </cell>
          <cell r="Y1371" t="str">
            <v>Vydehi Hospital, Bangalore</v>
          </cell>
          <cell r="Z1371" t="str">
            <v>Dr Amritha Prabha, Bangalore</v>
          </cell>
          <cell r="AA1371" t="str">
            <v>HNSCC</v>
          </cell>
          <cell r="AB1371" t="str">
            <v>NA</v>
          </cell>
          <cell r="AC1371" t="str">
            <v>Supraglottis</v>
          </cell>
          <cell r="AD1371" t="str">
            <v>Left Supraglottis</v>
          </cell>
          <cell r="AE1371" t="str">
            <v>Male</v>
          </cell>
          <cell r="AF1371">
            <v>41</v>
          </cell>
          <cell r="AG1371" t="str">
            <v>N</v>
          </cell>
          <cell r="AH1371">
            <v>4.3</v>
          </cell>
          <cell r="AI1371" t="str">
            <v>Maruthi</v>
          </cell>
          <cell r="AJ1371" t="str">
            <v>Surgery</v>
          </cell>
          <cell r="AK1371" t="str">
            <v>Primary</v>
          </cell>
          <cell r="AL1371" t="str">
            <v>NA</v>
          </cell>
          <cell r="AV1371">
            <v>45799</v>
          </cell>
          <cell r="AW1371">
            <v>0.64930555555555558</v>
          </cell>
          <cell r="AX1371">
            <v>0.7055555555555556</v>
          </cell>
          <cell r="AY1371">
            <v>5.6250000000000001E-2</v>
          </cell>
          <cell r="AZ1371">
            <v>0.58194444444444449</v>
          </cell>
          <cell r="BA1371">
            <v>0.19166666666666668</v>
          </cell>
          <cell r="BB1371" t="str">
            <v>0.2-0.4*1.2*1.8</v>
          </cell>
          <cell r="BC1371" t="str">
            <v>NA</v>
          </cell>
          <cell r="BD1371" t="str">
            <v>Vibratome</v>
          </cell>
          <cell r="BE1371">
            <v>15</v>
          </cell>
          <cell r="BF1371" t="str">
            <v>Dharani</v>
          </cell>
          <cell r="BG1371" t="str">
            <v>Y</v>
          </cell>
        </row>
        <row r="1372">
          <cell r="A1372" t="str">
            <v>FBR1K250113</v>
          </cell>
          <cell r="B1372">
            <v>250113</v>
          </cell>
          <cell r="C1372" t="str">
            <v>R&amp;D</v>
          </cell>
          <cell r="D1372">
            <v>45799</v>
          </cell>
          <cell r="E1372">
            <v>0.66527777777777775</v>
          </cell>
          <cell r="F1372">
            <v>45778</v>
          </cell>
          <cell r="G1372">
            <v>45799</v>
          </cell>
          <cell r="H1372">
            <v>0.70486111111111116</v>
          </cell>
          <cell r="I1372">
            <v>3.9583333333333331E-2</v>
          </cell>
          <cell r="J1372">
            <v>4</v>
          </cell>
          <cell r="K1372" t="str">
            <v>FCB-PROTOCOL-01</v>
          </cell>
          <cell r="L1372" t="str">
            <v>CLN/PRA/317</v>
          </cell>
          <cell r="M1372" t="str">
            <v>Y</v>
          </cell>
          <cell r="N1372" t="str">
            <v>DMS_v4(1K)</v>
          </cell>
          <cell r="O1372" t="str">
            <v>Internal R&amp;D</v>
          </cell>
          <cell r="P1372" t="str">
            <v>Q1 Passed</v>
          </cell>
          <cell r="Q1372" t="str">
            <v>Q1 Rejected</v>
          </cell>
          <cell r="R1372" t="str">
            <v>Compromised</v>
          </cell>
          <cell r="S1372" t="str">
            <v>Qualified</v>
          </cell>
          <cell r="T1372" t="str">
            <v>Blood Hemolysed</v>
          </cell>
          <cell r="V1372" t="str">
            <v>Tumor content 15-65%</v>
          </cell>
          <cell r="W1372" t="str">
            <v>Private Hospital</v>
          </cell>
          <cell r="X1372" t="str">
            <v>Dr Prakash BV, Bangalore</v>
          </cell>
          <cell r="Y1372" t="str">
            <v>Mallige Hospital</v>
          </cell>
          <cell r="Z1372" t="str">
            <v>Dr Prakash BV, Bangalore</v>
          </cell>
          <cell r="AA1372" t="str">
            <v>HNSCC</v>
          </cell>
          <cell r="AB1372" t="str">
            <v>NA</v>
          </cell>
          <cell r="AC1372" t="str">
            <v>GBS</v>
          </cell>
          <cell r="AD1372" t="str">
            <v>Left Lower GBS</v>
          </cell>
          <cell r="AE1372" t="str">
            <v>Male</v>
          </cell>
          <cell r="AF1372">
            <v>50</v>
          </cell>
          <cell r="AG1372" t="str">
            <v>N</v>
          </cell>
          <cell r="AH1372">
            <v>6.1</v>
          </cell>
          <cell r="AI1372" t="str">
            <v>Kalappa</v>
          </cell>
          <cell r="AJ1372" t="str">
            <v>Surgery</v>
          </cell>
          <cell r="AK1372" t="str">
            <v>Primary</v>
          </cell>
          <cell r="AL1372" t="str">
            <v>NA</v>
          </cell>
          <cell r="AN1372" t="str">
            <v>II</v>
          </cell>
          <cell r="AO1372">
            <v>2</v>
          </cell>
          <cell r="AP1372" t="str">
            <v>pT2N0M0</v>
          </cell>
          <cell r="AS1372" t="str">
            <v>SCC</v>
          </cell>
          <cell r="AV1372">
            <v>45799</v>
          </cell>
          <cell r="AW1372">
            <v>0.72013888888888888</v>
          </cell>
          <cell r="AX1372">
            <v>0.79374999999999996</v>
          </cell>
          <cell r="AY1372">
            <v>7.3611111111111113E-2</v>
          </cell>
          <cell r="AZ1372">
            <v>0.75416666666666665</v>
          </cell>
          <cell r="BA1372">
            <v>0.12847222222222221</v>
          </cell>
          <cell r="BB1372" t="str">
            <v>0.4-0.6*0.6-1.2*1.2-2.0
0.4*0.6*1.6</v>
          </cell>
          <cell r="BC1372" t="str">
            <v>NA</v>
          </cell>
          <cell r="BD1372" t="str">
            <v>Vibratome</v>
          </cell>
          <cell r="BE1372">
            <v>15</v>
          </cell>
          <cell r="BF1372" t="str">
            <v>Abdul</v>
          </cell>
          <cell r="BG1372" t="str">
            <v>Y</v>
          </cell>
        </row>
        <row r="1373">
          <cell r="A1373" t="str">
            <v>FBB1O250114</v>
          </cell>
          <cell r="B1373">
            <v>250114</v>
          </cell>
          <cell r="C1373" t="str">
            <v>Biopharma</v>
          </cell>
          <cell r="D1373">
            <v>45803</v>
          </cell>
          <cell r="E1373">
            <v>0.44305555555555554</v>
          </cell>
          <cell r="F1373">
            <v>45778</v>
          </cell>
          <cell r="G1373">
            <v>45803</v>
          </cell>
          <cell r="H1373">
            <v>0.60486111111111107</v>
          </cell>
          <cell r="I1373">
            <v>0.16180555555555556</v>
          </cell>
          <cell r="J1373">
            <v>2</v>
          </cell>
          <cell r="K1373" t="str">
            <v>FCB-PROTOCOL-01</v>
          </cell>
          <cell r="L1373" t="str">
            <v>VYD/383</v>
          </cell>
          <cell r="M1373" t="str">
            <v>Y</v>
          </cell>
          <cell r="N1373" t="str">
            <v>BP013(1O)</v>
          </cell>
          <cell r="O1373" t="str">
            <v>Biopharma</v>
          </cell>
          <cell r="P1373" t="str">
            <v>Q1 Passed</v>
          </cell>
          <cell r="Q1373" t="str">
            <v>Q1 Passed</v>
          </cell>
          <cell r="R1373" t="str">
            <v>Q1.5 Passed</v>
          </cell>
          <cell r="S1373" t="str">
            <v>Qualified</v>
          </cell>
          <cell r="V1373" t="str">
            <v>Tumor content 0-90%. Average tumor content 30%</v>
          </cell>
          <cell r="W1373" t="str">
            <v>Private Hospital</v>
          </cell>
          <cell r="X1373" t="str">
            <v>Vydehi Hospital, Bangalore</v>
          </cell>
          <cell r="Y1373" t="str">
            <v>Vydehi Hospital, Bangalore</v>
          </cell>
          <cell r="Z1373" t="str">
            <v>Dr Amritha Prabha, Bangalore</v>
          </cell>
          <cell r="AA1373" t="str">
            <v>HNSCC</v>
          </cell>
          <cell r="AB1373" t="str">
            <v>NA</v>
          </cell>
          <cell r="AC1373" t="str">
            <v>Hard Palate</v>
          </cell>
          <cell r="AD1373" t="str">
            <v>Left Hard Palate</v>
          </cell>
          <cell r="AE1373" t="str">
            <v>Female</v>
          </cell>
          <cell r="AF1373">
            <v>60</v>
          </cell>
          <cell r="AG1373" t="str">
            <v>N</v>
          </cell>
          <cell r="AH1373">
            <v>4.5999999999999996</v>
          </cell>
          <cell r="AI1373" t="str">
            <v>Maruthi</v>
          </cell>
          <cell r="AJ1373" t="str">
            <v>Surgery</v>
          </cell>
          <cell r="AK1373" t="str">
            <v>Primary</v>
          </cell>
          <cell r="AL1373" t="str">
            <v>NA</v>
          </cell>
          <cell r="AS1373" t="str">
            <v>SCC</v>
          </cell>
          <cell r="AV1373">
            <v>45803</v>
          </cell>
          <cell r="AW1373">
            <v>0.61944444444444446</v>
          </cell>
          <cell r="AX1373">
            <v>0.71180555555555558</v>
          </cell>
          <cell r="AY1373">
            <v>9.2361111111111116E-2</v>
          </cell>
          <cell r="AZ1373">
            <v>0.55000000000000004</v>
          </cell>
          <cell r="BA1373">
            <v>0.26874999999999999</v>
          </cell>
          <cell r="BB1373" t="str">
            <v>0.3-0.7*0.6-1.0*1.0-1.4</v>
          </cell>
          <cell r="BC1373" t="str">
            <v>NA</v>
          </cell>
          <cell r="BD1373" t="str">
            <v>Vibratome</v>
          </cell>
          <cell r="BE1373">
            <v>15</v>
          </cell>
          <cell r="BF1373" t="str">
            <v>Mouniss</v>
          </cell>
          <cell r="BG1373" t="str">
            <v>Y</v>
          </cell>
        </row>
        <row r="1374">
          <cell r="A1374" t="str">
            <v>FBB1O250115</v>
          </cell>
          <cell r="B1374">
            <v>250115</v>
          </cell>
          <cell r="C1374" t="str">
            <v>Biopharma</v>
          </cell>
          <cell r="D1374">
            <v>45803</v>
          </cell>
          <cell r="E1374">
            <v>0.50902777777777775</v>
          </cell>
          <cell r="F1374">
            <v>45778</v>
          </cell>
          <cell r="G1374">
            <v>45803</v>
          </cell>
          <cell r="H1374">
            <v>0.62569444444444444</v>
          </cell>
          <cell r="I1374">
            <v>0.11666666666666667</v>
          </cell>
          <cell r="J1374">
            <v>2</v>
          </cell>
          <cell r="K1374" t="str">
            <v>FCB-PROTOCOL-01</v>
          </cell>
          <cell r="L1374" t="str">
            <v>CLN/PRA/318</v>
          </cell>
          <cell r="M1374" t="str">
            <v>Y</v>
          </cell>
          <cell r="N1374" t="str">
            <v>BP013(1O)</v>
          </cell>
          <cell r="O1374" t="str">
            <v>Biopharma</v>
          </cell>
          <cell r="P1374" t="str">
            <v>Q1 Passed</v>
          </cell>
          <cell r="Q1374" t="str">
            <v>Q1 Passed</v>
          </cell>
          <cell r="R1374" t="str">
            <v>Q1.5 Passed</v>
          </cell>
          <cell r="S1374" t="str">
            <v>Qualified</v>
          </cell>
          <cell r="V1374" t="str">
            <v>Tumor content 15-60%</v>
          </cell>
          <cell r="W1374" t="str">
            <v>Private Hospital</v>
          </cell>
          <cell r="X1374" t="str">
            <v>Dr Prakash BV, Bangalore</v>
          </cell>
          <cell r="Y1374" t="str">
            <v>Mallige Hospital</v>
          </cell>
          <cell r="Z1374" t="str">
            <v>Dr Prakash BV, Bangalore</v>
          </cell>
          <cell r="AA1374" t="str">
            <v>HNSCC</v>
          </cell>
          <cell r="AB1374" t="str">
            <v>NA</v>
          </cell>
          <cell r="AC1374" t="str">
            <v>Hard Palate</v>
          </cell>
          <cell r="AD1374" t="str">
            <v>Hard Palate</v>
          </cell>
          <cell r="AE1374" t="str">
            <v>Male</v>
          </cell>
          <cell r="AF1374">
            <v>70</v>
          </cell>
          <cell r="AG1374" t="str">
            <v>N</v>
          </cell>
          <cell r="AH1374">
            <v>3.8</v>
          </cell>
          <cell r="AI1374" t="str">
            <v>Kalappa</v>
          </cell>
          <cell r="AJ1374" t="str">
            <v>Surgery</v>
          </cell>
          <cell r="AK1374" t="str">
            <v>Primary</v>
          </cell>
          <cell r="AL1374" t="str">
            <v>NA</v>
          </cell>
          <cell r="AN1374" t="str">
            <v>IV</v>
          </cell>
          <cell r="AO1374">
            <v>2</v>
          </cell>
          <cell r="AP1374" t="str">
            <v>pT4N1M0</v>
          </cell>
          <cell r="AS1374" t="str">
            <v>SCC</v>
          </cell>
          <cell r="AV1374">
            <v>45803</v>
          </cell>
          <cell r="AW1374">
            <v>0.64583333333333337</v>
          </cell>
          <cell r="AX1374">
            <v>0.72222222222222221</v>
          </cell>
          <cell r="AY1374">
            <v>7.6388888888888895E-2</v>
          </cell>
          <cell r="AZ1374">
            <v>0.60555555555555551</v>
          </cell>
          <cell r="BA1374">
            <v>0.21319444444444444</v>
          </cell>
          <cell r="BB1374" t="str">
            <v>0.4-0.6*0.6-1.4*2.6</v>
          </cell>
          <cell r="BC1374" t="str">
            <v>NA</v>
          </cell>
          <cell r="BD1374" t="str">
            <v>Vibratome</v>
          </cell>
          <cell r="BE1374">
            <v>15</v>
          </cell>
          <cell r="BF1374" t="str">
            <v>Syam</v>
          </cell>
          <cell r="BG1374" t="str">
            <v>Y</v>
          </cell>
        </row>
        <row r="1375">
          <cell r="A1375" t="str">
            <v>FBB1O250116</v>
          </cell>
          <cell r="B1375">
            <v>250116</v>
          </cell>
          <cell r="C1375" t="str">
            <v>Biopharma</v>
          </cell>
          <cell r="D1375">
            <v>45805</v>
          </cell>
          <cell r="E1375">
            <v>0.46319444444444446</v>
          </cell>
          <cell r="F1375">
            <v>45778</v>
          </cell>
          <cell r="G1375">
            <v>45805</v>
          </cell>
          <cell r="H1375">
            <v>0.56597222222222221</v>
          </cell>
          <cell r="I1375">
            <v>0.10277777777777777</v>
          </cell>
          <cell r="J1375">
            <v>3</v>
          </cell>
          <cell r="K1375" t="str">
            <v>FCB-PROTOCOL-01</v>
          </cell>
          <cell r="L1375" t="str">
            <v>CLN/PRA/319</v>
          </cell>
          <cell r="M1375" t="str">
            <v>Y</v>
          </cell>
          <cell r="N1375" t="str">
            <v>BP013(1O)</v>
          </cell>
          <cell r="O1375" t="str">
            <v>Biopharma</v>
          </cell>
          <cell r="P1375" t="str">
            <v>Q1 Passed</v>
          </cell>
          <cell r="Q1375" t="str">
            <v>Q1 Passed</v>
          </cell>
          <cell r="R1375" t="str">
            <v>Q1.5 Passed</v>
          </cell>
          <cell r="S1375" t="str">
            <v>Qualified</v>
          </cell>
          <cell r="V1375" t="str">
            <v>Tumor content 0-90% Average tumor content 65% with good immune content</v>
          </cell>
          <cell r="W1375" t="str">
            <v>Private Hospital</v>
          </cell>
          <cell r="X1375" t="str">
            <v>Dr Prakash BV, Bangalore</v>
          </cell>
          <cell r="Y1375" t="str">
            <v>Sri Lakshmi Hospital, Bangalore</v>
          </cell>
          <cell r="Z1375" t="str">
            <v>Dr Prakash BV, Bangalore</v>
          </cell>
          <cell r="AA1375" t="str">
            <v>HNSCC</v>
          </cell>
          <cell r="AB1375" t="str">
            <v>NA</v>
          </cell>
          <cell r="AC1375" t="str">
            <v>Tongue</v>
          </cell>
          <cell r="AD1375" t="str">
            <v>Tongue</v>
          </cell>
          <cell r="AE1375" t="str">
            <v>Male</v>
          </cell>
          <cell r="AF1375">
            <v>42</v>
          </cell>
          <cell r="AG1375" t="str">
            <v>N</v>
          </cell>
          <cell r="AH1375">
            <v>5.9</v>
          </cell>
          <cell r="AI1375" t="str">
            <v>Shashi</v>
          </cell>
          <cell r="AJ1375" t="str">
            <v>Surgery</v>
          </cell>
          <cell r="AK1375" t="str">
            <v>Primary</v>
          </cell>
          <cell r="AL1375" t="str">
            <v>NA</v>
          </cell>
          <cell r="AN1375" t="str">
            <v>II</v>
          </cell>
          <cell r="AP1375" t="str">
            <v>pT2N0M0</v>
          </cell>
          <cell r="AS1375" t="str">
            <v>SCC</v>
          </cell>
          <cell r="AV1375">
            <v>45805</v>
          </cell>
          <cell r="AW1375">
            <v>0.5805555555555556</v>
          </cell>
          <cell r="AX1375">
            <v>0.66041666666666665</v>
          </cell>
          <cell r="AY1375">
            <v>7.9861110999999999E-2</v>
          </cell>
          <cell r="AZ1375">
            <v>0.55763888900000003</v>
          </cell>
          <cell r="BA1375">
            <v>0.197222222</v>
          </cell>
          <cell r="BB1375" t="str">
            <v>0.4*0.4-0.7*1.6
0.4*0.4-1.8*0.6-2.4</v>
          </cell>
          <cell r="BC1375" t="str">
            <v>NA</v>
          </cell>
          <cell r="BD1375" t="str">
            <v>Vibratome</v>
          </cell>
          <cell r="BE1375">
            <v>15</v>
          </cell>
          <cell r="BF1375" t="str">
            <v>Syam</v>
          </cell>
          <cell r="BG1375" t="str">
            <v>Y</v>
          </cell>
        </row>
        <row r="1376">
          <cell r="A1376" t="str">
            <v>FBR20250117</v>
          </cell>
          <cell r="B1376">
            <v>250117</v>
          </cell>
          <cell r="C1376" t="str">
            <v>R&amp;D</v>
          </cell>
          <cell r="D1376">
            <v>45805</v>
          </cell>
          <cell r="E1376">
            <v>0.70833333333333337</v>
          </cell>
          <cell r="F1376">
            <v>45778</v>
          </cell>
          <cell r="G1376">
            <v>45805</v>
          </cell>
          <cell r="H1376">
            <v>0.84166666666666667</v>
          </cell>
          <cell r="I1376">
            <v>0.13333333333333333</v>
          </cell>
          <cell r="J1376">
            <v>60</v>
          </cell>
          <cell r="K1376" t="str">
            <v>FCB-PROTOCOL-01</v>
          </cell>
          <cell r="L1376" t="str">
            <v>KH-009</v>
          </cell>
          <cell r="M1376" t="str">
            <v>Y</v>
          </cell>
          <cell r="N1376" t="str">
            <v>Prostate Biopsy (2O)</v>
          </cell>
          <cell r="O1376" t="str">
            <v>Internal R&amp;D</v>
          </cell>
          <cell r="P1376" t="str">
            <v>Q1 Passed</v>
          </cell>
          <cell r="Q1376" t="str">
            <v>Q1 Passed</v>
          </cell>
          <cell r="R1376" t="str">
            <v>Q1.5 Passed</v>
          </cell>
          <cell r="S1376" t="str">
            <v>Qualified</v>
          </cell>
          <cell r="V1376" t="str">
            <v>Tumor content 1-15% mixed with benign glands</v>
          </cell>
          <cell r="W1376" t="str">
            <v>Private Hospital</v>
          </cell>
          <cell r="X1376" t="str">
            <v>Kauvery Hospital, Elelctronic city bangalore</v>
          </cell>
          <cell r="Y1376" t="str">
            <v>Kauvery Hospital, Elelctronic city bangalore</v>
          </cell>
          <cell r="Z1376" t="str">
            <v>Dr Sreeharsha</v>
          </cell>
          <cell r="AA1376" t="str">
            <v>Prostate</v>
          </cell>
          <cell r="AB1376" t="str">
            <v>NA</v>
          </cell>
          <cell r="AC1376" t="str">
            <v>Prostate</v>
          </cell>
          <cell r="AD1376" t="str">
            <v>Prostate</v>
          </cell>
          <cell r="AE1376" t="str">
            <v>Male</v>
          </cell>
          <cell r="AF1376">
            <v>70</v>
          </cell>
          <cell r="AG1376" t="str">
            <v>N</v>
          </cell>
          <cell r="AH1376">
            <v>4.3</v>
          </cell>
          <cell r="AI1376" t="str">
            <v>Maruthi</v>
          </cell>
          <cell r="AJ1376" t="str">
            <v>Surgery</v>
          </cell>
          <cell r="AK1376" t="str">
            <v>Primary</v>
          </cell>
          <cell r="AL1376" t="str">
            <v>NA</v>
          </cell>
          <cell r="AN1376" t="str">
            <v>II</v>
          </cell>
          <cell r="AO1376">
            <v>1</v>
          </cell>
          <cell r="AP1376" t="str">
            <v>pT2N0M0</v>
          </cell>
          <cell r="AS1376" t="str">
            <v>Adenocarcinoma</v>
          </cell>
          <cell r="AV1376">
            <v>45805</v>
          </cell>
          <cell r="AW1376">
            <v>0.87152777777777779</v>
          </cell>
          <cell r="AX1376">
            <v>0.91527777777777775</v>
          </cell>
          <cell r="AY1376">
            <v>4.3749999999999997E-2</v>
          </cell>
          <cell r="AZ1376">
            <v>0.78194444444444444</v>
          </cell>
          <cell r="BA1376">
            <v>0.20694444444444443</v>
          </cell>
          <cell r="BB1376" t="str">
            <v>0.4-0.6*1.2*0.6-1.2</v>
          </cell>
          <cell r="BC1376" t="str">
            <v>NA</v>
          </cell>
          <cell r="BD1376" t="str">
            <v>Manual</v>
          </cell>
          <cell r="BE1376">
            <v>15</v>
          </cell>
          <cell r="BF1376" t="str">
            <v>Abdul</v>
          </cell>
          <cell r="BG1376" t="str">
            <v>Y</v>
          </cell>
        </row>
        <row r="1377">
          <cell r="A1377" t="str">
            <v>FBR1Q250118</v>
          </cell>
          <cell r="B1377">
            <v>250118</v>
          </cell>
          <cell r="C1377" t="str">
            <v>R&amp;D</v>
          </cell>
          <cell r="D1377">
            <v>45806</v>
          </cell>
          <cell r="E1377">
            <v>0.41666666666666669</v>
          </cell>
          <cell r="F1377">
            <v>45778</v>
          </cell>
          <cell r="G1377">
            <v>45806</v>
          </cell>
          <cell r="H1377">
            <v>0.6694444444444444</v>
          </cell>
          <cell r="I1377">
            <v>0.25277777777777777</v>
          </cell>
          <cell r="J1377">
            <v>20</v>
          </cell>
          <cell r="K1377" t="str">
            <v>FCB-PROTOCOL-01</v>
          </cell>
          <cell r="L1377" t="str">
            <v>VYD/384</v>
          </cell>
          <cell r="M1377" t="str">
            <v>Y</v>
          </cell>
          <cell r="N1377" t="str">
            <v>COSv4.1_CaBR(1Q-Known)</v>
          </cell>
          <cell r="O1377" t="str">
            <v>Internal R&amp;D</v>
          </cell>
          <cell r="P1377" t="str">
            <v>Q1 Passed</v>
          </cell>
          <cell r="Q1377" t="str">
            <v>Q1 Passed</v>
          </cell>
          <cell r="R1377" t="str">
            <v>Q1.5 Passed</v>
          </cell>
          <cell r="S1377" t="str">
            <v>Qualified</v>
          </cell>
          <cell r="V1377" t="str">
            <v>Tumor content 0-95%. Average tumor content 23%</v>
          </cell>
          <cell r="W1377" t="str">
            <v>Private Hospital</v>
          </cell>
          <cell r="X1377" t="str">
            <v>Vydehi Hospital, Bangalore</v>
          </cell>
          <cell r="Y1377" t="str">
            <v>Vydehi Hospital, Bangalore</v>
          </cell>
          <cell r="Z1377" t="str">
            <v>Dr Amritha Prabha, Bangalore</v>
          </cell>
          <cell r="AA1377" t="str">
            <v>Ca Breast</v>
          </cell>
          <cell r="AB1377" t="str">
            <v>Er+
Pr-
Her2-</v>
          </cell>
          <cell r="AC1377" t="str">
            <v>Breast</v>
          </cell>
          <cell r="AD1377" t="str">
            <v>Left Breast</v>
          </cell>
          <cell r="AE1377" t="str">
            <v>Female</v>
          </cell>
          <cell r="AF1377">
            <v>47</v>
          </cell>
          <cell r="AG1377" t="str">
            <v>N</v>
          </cell>
          <cell r="AH1377">
            <v>6.1</v>
          </cell>
          <cell r="AI1377" t="str">
            <v>Shashi</v>
          </cell>
          <cell r="AJ1377" t="str">
            <v>Surgery</v>
          </cell>
          <cell r="AK1377" t="str">
            <v>Primary</v>
          </cell>
          <cell r="AL1377" t="str">
            <v>Chemotherapy</v>
          </cell>
          <cell r="AQ1377">
            <v>8</v>
          </cell>
          <cell r="AR1377" t="str">
            <v>4AC, 4Pacli</v>
          </cell>
          <cell r="AS1377" t="str">
            <v>IDC</v>
          </cell>
          <cell r="AV1377">
            <v>45806</v>
          </cell>
          <cell r="AW1377">
            <v>0.68333333333333335</v>
          </cell>
          <cell r="AX1377">
            <v>0.74305555555555558</v>
          </cell>
          <cell r="AY1377">
            <v>5.9722222222222225E-2</v>
          </cell>
          <cell r="AZ1377">
            <v>0.49027777777777776</v>
          </cell>
          <cell r="BA1377">
            <v>0.3263888888888889</v>
          </cell>
          <cell r="BB1377" t="str">
            <v>0.8*0.4-1.4*1.6</v>
          </cell>
          <cell r="BC1377" t="str">
            <v>NA</v>
          </cell>
          <cell r="BD1377" t="str">
            <v>Manual</v>
          </cell>
          <cell r="BE1377">
            <v>15</v>
          </cell>
          <cell r="BF1377" t="str">
            <v>Vasanth</v>
          </cell>
          <cell r="BG1377" t="str">
            <v>Y</v>
          </cell>
        </row>
        <row r="1378">
          <cell r="A1378" t="str">
            <v>FBR1K250119</v>
          </cell>
          <cell r="B1378">
            <v>250119</v>
          </cell>
          <cell r="C1378" t="str">
            <v>R&amp;D</v>
          </cell>
          <cell r="D1378">
            <v>45806</v>
          </cell>
          <cell r="E1378">
            <v>0.5180555555555556</v>
          </cell>
          <cell r="F1378">
            <v>45778</v>
          </cell>
          <cell r="G1378">
            <v>45806</v>
          </cell>
          <cell r="H1378">
            <v>0.6694444444444444</v>
          </cell>
          <cell r="I1378">
            <v>0.15138888888888888</v>
          </cell>
          <cell r="J1378">
            <v>2</v>
          </cell>
          <cell r="K1378" t="str">
            <v>FCB-PROTOCOL-01</v>
          </cell>
          <cell r="L1378" t="str">
            <v>VYD/385</v>
          </cell>
          <cell r="M1378" t="str">
            <v>Y</v>
          </cell>
          <cell r="N1378" t="str">
            <v>DMS_v4(1K)</v>
          </cell>
          <cell r="O1378" t="str">
            <v>Internal R&amp;D</v>
          </cell>
          <cell r="P1378" t="str">
            <v>Q1 Passed</v>
          </cell>
          <cell r="Q1378" t="str">
            <v>Q1 Passed</v>
          </cell>
          <cell r="R1378" t="str">
            <v>Q1.5 Passed</v>
          </cell>
          <cell r="S1378" t="str">
            <v>Qualified</v>
          </cell>
          <cell r="V1378" t="str">
            <v>Tumor content 30-85%</v>
          </cell>
          <cell r="W1378" t="str">
            <v>Private Hospital</v>
          </cell>
          <cell r="X1378" t="str">
            <v>Vydehi Hospital, Bangalore</v>
          </cell>
          <cell r="Y1378" t="str">
            <v>Vydehi Hospital, Bangalore</v>
          </cell>
          <cell r="Z1378" t="str">
            <v>Dr Amritha Prabha, Bangalore</v>
          </cell>
          <cell r="AA1378" t="str">
            <v>HNSCC</v>
          </cell>
          <cell r="AB1378" t="str">
            <v>NA</v>
          </cell>
          <cell r="AC1378" t="str">
            <v>Buccal Mucosa</v>
          </cell>
          <cell r="AD1378" t="str">
            <v>Left Buccal Mucosa</v>
          </cell>
          <cell r="AE1378" t="str">
            <v>Male</v>
          </cell>
          <cell r="AF1378">
            <v>64</v>
          </cell>
          <cell r="AG1378" t="str">
            <v>N</v>
          </cell>
          <cell r="AH1378">
            <v>6.1</v>
          </cell>
          <cell r="AI1378" t="str">
            <v>Shashi</v>
          </cell>
          <cell r="AJ1378" t="str">
            <v>Surgery</v>
          </cell>
          <cell r="AK1378" t="str">
            <v>Primary</v>
          </cell>
          <cell r="AL1378" t="str">
            <v>NA</v>
          </cell>
          <cell r="AV1378">
            <v>45806</v>
          </cell>
          <cell r="AW1378">
            <v>0.69444444444444442</v>
          </cell>
          <cell r="AX1378">
            <v>0.75416666666666665</v>
          </cell>
          <cell r="AY1378">
            <v>5.9722222222222225E-2</v>
          </cell>
          <cell r="AZ1378">
            <v>0.60277777777777775</v>
          </cell>
          <cell r="BA1378">
            <v>0.2361111111111111</v>
          </cell>
          <cell r="BB1378" t="str">
            <v>0.2-1.0</v>
          </cell>
          <cell r="BC1378" t="str">
            <v>NA</v>
          </cell>
          <cell r="BD1378" t="str">
            <v>Vibratome</v>
          </cell>
          <cell r="BE1378">
            <v>15</v>
          </cell>
          <cell r="BF1378" t="str">
            <v>Syam</v>
          </cell>
          <cell r="BG1378" t="str">
            <v>Y</v>
          </cell>
        </row>
        <row r="1379">
          <cell r="A1379" t="str">
            <v>FBR2A250120</v>
          </cell>
          <cell r="B1379">
            <v>250120</v>
          </cell>
          <cell r="C1379" t="str">
            <v>R&amp;D</v>
          </cell>
          <cell r="D1379">
            <v>45806</v>
          </cell>
          <cell r="E1379">
            <v>0.61111111111111116</v>
          </cell>
          <cell r="F1379">
            <v>45778</v>
          </cell>
          <cell r="G1379">
            <v>45806</v>
          </cell>
          <cell r="H1379">
            <v>0.96666666666666667</v>
          </cell>
          <cell r="I1379">
            <v>0.35555555555555557</v>
          </cell>
          <cell r="J1379">
            <v>10</v>
          </cell>
          <cell r="K1379" t="str">
            <v>FCB-PROTOCOL-01</v>
          </cell>
          <cell r="L1379" t="str">
            <v>CLN/DBR/237</v>
          </cell>
          <cell r="M1379" t="str">
            <v>Y</v>
          </cell>
          <cell r="N1379" t="str">
            <v>Ovary CC (2A)</v>
          </cell>
          <cell r="O1379" t="str">
            <v>Internal R&amp;D</v>
          </cell>
          <cell r="P1379" t="str">
            <v>Q1 Passed</v>
          </cell>
          <cell r="Q1379" t="str">
            <v>Q1 Passed</v>
          </cell>
          <cell r="R1379" t="str">
            <v>Q1.5 Passed</v>
          </cell>
          <cell r="S1379" t="str">
            <v>Qualified</v>
          </cell>
          <cell r="V1379" t="str">
            <v>Tumor content 55-85%</v>
          </cell>
          <cell r="W1379" t="str">
            <v>Private Hospital</v>
          </cell>
          <cell r="X1379" t="str">
            <v>Clinic'les- DBR &amp; SK Hospital, Tirupati</v>
          </cell>
          <cell r="Y1379" t="str">
            <v>DBR &amp; SK Hospital, Tirupati</v>
          </cell>
          <cell r="Z1379" t="str">
            <v>Dr C Jayaprakash, Tirupati</v>
          </cell>
          <cell r="AA1379" t="str">
            <v>Ca Ovary</v>
          </cell>
          <cell r="AB1379" t="str">
            <v>NA</v>
          </cell>
          <cell r="AC1379" t="str">
            <v>Ovary</v>
          </cell>
          <cell r="AD1379" t="str">
            <v>Ovary</v>
          </cell>
          <cell r="AE1379" t="str">
            <v>Female</v>
          </cell>
          <cell r="AF1379">
            <v>39</v>
          </cell>
          <cell r="AG1379" t="str">
            <v>N</v>
          </cell>
          <cell r="AH1379">
            <v>5.8</v>
          </cell>
          <cell r="AI1379" t="str">
            <v>Kalappa</v>
          </cell>
          <cell r="AJ1379" t="str">
            <v>Surgery</v>
          </cell>
          <cell r="AK1379" t="str">
            <v>Local Recurrent</v>
          </cell>
          <cell r="AL1379" t="str">
            <v>Chemotherapy</v>
          </cell>
          <cell r="AQ1379">
            <v>9</v>
          </cell>
          <cell r="AR1379" t="str">
            <v>1st six-Pacli+Carbo, and last three Lipodox</v>
          </cell>
          <cell r="AV1379">
            <v>45807</v>
          </cell>
          <cell r="AW1379">
            <v>0.30555555555555558</v>
          </cell>
          <cell r="AX1379">
            <v>0.36805555555555558</v>
          </cell>
          <cell r="AY1379">
            <v>6.25E-2</v>
          </cell>
          <cell r="AZ1379">
            <v>1.2500000000000001E-2</v>
          </cell>
          <cell r="BA137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379" t="str">
            <v>0.4*1.4*1.8</v>
          </cell>
          <cell r="BC1379" t="str">
            <v>NA</v>
          </cell>
          <cell r="BD1379" t="str">
            <v>Manual</v>
          </cell>
          <cell r="BE1379">
            <v>15</v>
          </cell>
          <cell r="BF1379" t="str">
            <v>Syam</v>
          </cell>
          <cell r="BG1379" t="str">
            <v>Y</v>
          </cell>
        </row>
        <row r="1380">
          <cell r="A1380" t="str">
            <v>FBR1Q250121</v>
          </cell>
          <cell r="B1380">
            <v>250121</v>
          </cell>
          <cell r="C1380" t="str">
            <v>R&amp;D</v>
          </cell>
          <cell r="D1380">
            <v>45811</v>
          </cell>
          <cell r="E1380">
            <v>0.48958333333333331</v>
          </cell>
          <cell r="F1380">
            <v>45809</v>
          </cell>
          <cell r="G1380">
            <v>45811</v>
          </cell>
          <cell r="H1380">
            <v>0.5854166666666667</v>
          </cell>
          <cell r="I1380">
            <v>9.583333333333334E-2</v>
          </cell>
          <cell r="J1380">
            <v>3</v>
          </cell>
          <cell r="K1380" t="str">
            <v>FCB-PROTOCOL-01</v>
          </cell>
          <cell r="L1380" t="str">
            <v>CLN/PRA/320</v>
          </cell>
          <cell r="M1380" t="str">
            <v>Y</v>
          </cell>
          <cell r="N1380" t="str">
            <v>COSv4.2_CaBR(1Q-Unknown)</v>
          </cell>
          <cell r="O1380" t="str">
            <v>Internal R&amp;D</v>
          </cell>
          <cell r="P1380" t="str">
            <v>Q1 Passed</v>
          </cell>
          <cell r="Q1380" t="str">
            <v>Q1 Passed</v>
          </cell>
          <cell r="R1380" t="str">
            <v>Q1.5 Passed</v>
          </cell>
          <cell r="S1380" t="str">
            <v>Qualified</v>
          </cell>
          <cell r="V1380" t="str">
            <v>Tumor content 0-40%. Average tumor content 10%</v>
          </cell>
          <cell r="W1380" t="str">
            <v>Private Hospital</v>
          </cell>
          <cell r="X1380" t="str">
            <v>Dr Prakash BV, Bangalore</v>
          </cell>
          <cell r="Y1380" t="str">
            <v>Sri Lakshmi Hospital, Bangalore</v>
          </cell>
          <cell r="Z1380" t="str">
            <v>Dr Prakash BV, Bangalore</v>
          </cell>
          <cell r="AA1380" t="str">
            <v>Ca Breast</v>
          </cell>
          <cell r="AB1380" t="str">
            <v>NA</v>
          </cell>
          <cell r="AC1380" t="str">
            <v>Breast</v>
          </cell>
          <cell r="AD1380" t="str">
            <v>Right Breast</v>
          </cell>
          <cell r="AE1380" t="str">
            <v>Female</v>
          </cell>
          <cell r="AF1380">
            <v>47</v>
          </cell>
          <cell r="AG1380" t="str">
            <v>N</v>
          </cell>
          <cell r="AH1380">
            <v>5.6</v>
          </cell>
          <cell r="AI1380" t="str">
            <v>Kalappa</v>
          </cell>
          <cell r="AJ1380" t="str">
            <v>Surgery</v>
          </cell>
          <cell r="AK1380" t="str">
            <v>Primary</v>
          </cell>
          <cell r="AL1380" t="str">
            <v>NA</v>
          </cell>
          <cell r="AN1380" t="str">
            <v>II</v>
          </cell>
          <cell r="AP1380" t="str">
            <v>pT2N2M0</v>
          </cell>
          <cell r="AS1380" t="str">
            <v>IDC</v>
          </cell>
          <cell r="AV1380">
            <v>45811</v>
          </cell>
          <cell r="AW1380">
            <v>0.62083333333333335</v>
          </cell>
          <cell r="AX1380">
            <v>0.72916666666666663</v>
          </cell>
          <cell r="AY1380">
            <v>0.10833333333333334</v>
          </cell>
          <cell r="AZ1380">
            <v>0.6333333333333333</v>
          </cell>
          <cell r="BA1380">
            <v>0.23958333333333334</v>
          </cell>
          <cell r="BB1380" t="str">
            <v>1.0*2.6*2.2
0.8*3.0*1.2-2.2
0.4*2.2*2.4
0.6-0.7*1.6*2.0
0.6*2.0-2.4*3.6</v>
          </cell>
          <cell r="BC1380" t="str">
            <v>NA</v>
          </cell>
          <cell r="BD1380" t="str">
            <v>Manual</v>
          </cell>
          <cell r="BE1380">
            <v>14</v>
          </cell>
          <cell r="BF1380" t="str">
            <v>Vasanth</v>
          </cell>
          <cell r="BG1380" t="str">
            <v>Y</v>
          </cell>
        </row>
        <row r="1381">
          <cell r="A1381" t="str">
            <v>FBR1Q250122</v>
          </cell>
          <cell r="B1381">
            <v>250122</v>
          </cell>
          <cell r="C1381" t="str">
            <v>R&amp;D</v>
          </cell>
          <cell r="D1381">
            <v>45812</v>
          </cell>
          <cell r="E1381">
            <v>0.49652777777777779</v>
          </cell>
          <cell r="F1381">
            <v>45809</v>
          </cell>
          <cell r="G1381">
            <v>45812</v>
          </cell>
          <cell r="H1381">
            <v>0.57013888888888886</v>
          </cell>
          <cell r="I1381">
            <v>7.3611111111111113E-2</v>
          </cell>
          <cell r="J1381">
            <v>2</v>
          </cell>
          <cell r="K1381" t="str">
            <v>FCB-PROTOCOL-01</v>
          </cell>
          <cell r="L1381" t="str">
            <v>CLN/PRA/321</v>
          </cell>
          <cell r="M1381" t="str">
            <v>Y</v>
          </cell>
          <cell r="N1381" t="str">
            <v>COSv4.2_CaBR(1Q-Unknown)</v>
          </cell>
          <cell r="O1381" t="str">
            <v>Internal R&amp;D</v>
          </cell>
          <cell r="P1381" t="str">
            <v>Q1 Passed</v>
          </cell>
          <cell r="Q1381" t="str">
            <v>Q1 Passed</v>
          </cell>
          <cell r="R1381" t="str">
            <v>Q1.5 Passed</v>
          </cell>
          <cell r="S1381" t="str">
            <v>Qualified</v>
          </cell>
          <cell r="V1381" t="str">
            <v>Tumor content 1-45%</v>
          </cell>
          <cell r="W1381" t="str">
            <v>Private Hospital</v>
          </cell>
          <cell r="X1381" t="str">
            <v>Dr Prakash BV, Bangalore</v>
          </cell>
          <cell r="Y1381" t="str">
            <v>Sri Lakshmi Hospital, Bangalore</v>
          </cell>
          <cell r="Z1381" t="str">
            <v>Dr Prakash BV, Bangalore</v>
          </cell>
          <cell r="AA1381" t="str">
            <v>Ca Breast</v>
          </cell>
          <cell r="AB1381" t="str">
            <v>NA</v>
          </cell>
          <cell r="AC1381" t="str">
            <v>Breast</v>
          </cell>
          <cell r="AD1381" t="str">
            <v>Left Breast</v>
          </cell>
          <cell r="AE1381" t="str">
            <v>Female</v>
          </cell>
          <cell r="AF1381">
            <v>52</v>
          </cell>
          <cell r="AG1381" t="str">
            <v>N</v>
          </cell>
          <cell r="AH1381">
            <v>5.4</v>
          </cell>
          <cell r="AI1381" t="str">
            <v>Maruthi</v>
          </cell>
          <cell r="AJ1381" t="str">
            <v>Surgery</v>
          </cell>
          <cell r="AK1381" t="str">
            <v>Primary</v>
          </cell>
          <cell r="AL1381" t="str">
            <v>NA</v>
          </cell>
          <cell r="AS1381" t="str">
            <v>SCC</v>
          </cell>
          <cell r="AV1381">
            <v>45812</v>
          </cell>
          <cell r="AW1381">
            <v>0.61458333333333337</v>
          </cell>
          <cell r="AX1381">
            <v>0.6479166666666667</v>
          </cell>
          <cell r="AY1381">
            <v>3.3333333333333333E-2</v>
          </cell>
          <cell r="AZ1381">
            <v>0.57430555555555551</v>
          </cell>
          <cell r="BA1381">
            <v>0.15138888888888888</v>
          </cell>
          <cell r="BB1381" t="str">
            <v>0.2-0.6*1.4-2.6*4.4</v>
          </cell>
          <cell r="BC1381" t="str">
            <v>0.2-0.6*0.8-1.0*2.2</v>
          </cell>
          <cell r="BD1381" t="str">
            <v>Manual</v>
          </cell>
          <cell r="BE1381">
            <v>14</v>
          </cell>
          <cell r="BF1381" t="str">
            <v>Syam</v>
          </cell>
          <cell r="BG1381" t="str">
            <v>Y</v>
          </cell>
        </row>
        <row r="1382">
          <cell r="A1382" t="str">
            <v>FBR2T250123</v>
          </cell>
          <cell r="B1382">
            <v>250123</v>
          </cell>
          <cell r="C1382" t="str">
            <v>R&amp;D</v>
          </cell>
          <cell r="D1382">
            <v>45812</v>
          </cell>
          <cell r="E1382">
            <v>0.4375</v>
          </cell>
          <cell r="F1382">
            <v>45809</v>
          </cell>
          <cell r="G1382">
            <v>45812</v>
          </cell>
          <cell r="H1382">
            <v>0.69513888888888886</v>
          </cell>
          <cell r="I1382">
            <v>0.25763888888888886</v>
          </cell>
          <cell r="J1382">
            <v>15</v>
          </cell>
          <cell r="K1382" t="str">
            <v>FCB-PROTOCOL-01</v>
          </cell>
          <cell r="L1382" t="str">
            <v>JSS-039</v>
          </cell>
          <cell r="M1382" t="str">
            <v>Y</v>
          </cell>
          <cell r="N1382" t="str">
            <v>CUL-IMP Ovary (2T)</v>
          </cell>
          <cell r="O1382" t="str">
            <v>Internal R&amp;D</v>
          </cell>
          <cell r="P1382" t="str">
            <v>Q1 Passed</v>
          </cell>
          <cell r="Q1382" t="str">
            <v>Q1 Passed</v>
          </cell>
          <cell r="R1382" t="str">
            <v>Q1.5 Passed</v>
          </cell>
          <cell r="S1382" t="str">
            <v>Qualified</v>
          </cell>
          <cell r="V1382" t="str">
            <v>Tumor content 75-90% ? Steroid cell tumor</v>
          </cell>
          <cell r="W1382" t="str">
            <v>Private Hospital</v>
          </cell>
          <cell r="X1382" t="str">
            <v>Dr Ravi Krishnappa, Mysore</v>
          </cell>
          <cell r="Y1382" t="str">
            <v>JSS Hospital, Mysore</v>
          </cell>
          <cell r="Z1382" t="str">
            <v>Dr Ravi Krishnappa, Mysore</v>
          </cell>
          <cell r="AA1382" t="str">
            <v>Ca Ovary</v>
          </cell>
          <cell r="AB1382" t="str">
            <v>NA</v>
          </cell>
          <cell r="AC1382" t="str">
            <v>Ovary</v>
          </cell>
          <cell r="AD1382" t="str">
            <v>Left Ovary</v>
          </cell>
          <cell r="AE1382" t="str">
            <v>Female</v>
          </cell>
          <cell r="AF1382">
            <v>69</v>
          </cell>
          <cell r="AG1382" t="str">
            <v>N</v>
          </cell>
          <cell r="AH1382">
            <v>5.5</v>
          </cell>
          <cell r="AI1382" t="str">
            <v>Shashi</v>
          </cell>
          <cell r="AJ1382" t="str">
            <v>Surgery</v>
          </cell>
          <cell r="AK1382" t="str">
            <v>Primary</v>
          </cell>
          <cell r="AL1382" t="str">
            <v>Na</v>
          </cell>
          <cell r="AN1382" t="str">
            <v>I</v>
          </cell>
          <cell r="AP1382" t="str">
            <v>pT1N0Mx</v>
          </cell>
          <cell r="AV1382">
            <v>45812</v>
          </cell>
          <cell r="AW1382">
            <v>0.71944444444444444</v>
          </cell>
          <cell r="AX1382">
            <v>0.79791666666666672</v>
          </cell>
          <cell r="AY1382">
            <v>7.8472222222222221E-2</v>
          </cell>
          <cell r="AZ1382">
            <v>0.54027777777777775</v>
          </cell>
          <cell r="BA1382">
            <v>0.36041666666666666</v>
          </cell>
          <cell r="BB1382" t="str">
            <v>1.0*0.8-2.2*1.2-3.0</v>
          </cell>
          <cell r="BC1382" t="str">
            <v>NA</v>
          </cell>
          <cell r="BD1382" t="str">
            <v>Vibratome</v>
          </cell>
          <cell r="BE1382">
            <v>14</v>
          </cell>
          <cell r="BF1382" t="str">
            <v>chandan</v>
          </cell>
          <cell r="BG1382" t="str">
            <v>Y</v>
          </cell>
        </row>
        <row r="1383">
          <cell r="A1383" t="str">
            <v>FBR1C250124</v>
          </cell>
          <cell r="B1383">
            <v>250124</v>
          </cell>
          <cell r="C1383" t="str">
            <v>R&amp;D</v>
          </cell>
          <cell r="D1383">
            <v>45813</v>
          </cell>
          <cell r="E1383">
            <v>0.63541666666666663</v>
          </cell>
          <cell r="F1383">
            <v>45809</v>
          </cell>
          <cell r="G1383">
            <v>45813</v>
          </cell>
          <cell r="H1383">
            <v>0.69652777777777775</v>
          </cell>
          <cell r="I1383">
            <v>6.1111111111111109E-2</v>
          </cell>
          <cell r="J1383">
            <v>5</v>
          </cell>
          <cell r="K1383" t="str">
            <v>FCB-PROTOCOL-01</v>
          </cell>
          <cell r="L1383" t="str">
            <v>VYD/386</v>
          </cell>
          <cell r="M1383" t="str">
            <v>Y</v>
          </cell>
          <cell r="N1383" t="str">
            <v>Cul Imp (1C)</v>
          </cell>
          <cell r="O1383" t="str">
            <v>Internal R&amp;D</v>
          </cell>
          <cell r="P1383" t="str">
            <v>Q1 Passed</v>
          </cell>
          <cell r="Q1383" t="str">
            <v>Q1 Passed</v>
          </cell>
          <cell r="R1383" t="str">
            <v>Q1.5 Passed</v>
          </cell>
          <cell r="S1383" t="str">
            <v>Qualified</v>
          </cell>
          <cell r="V1383" t="str">
            <v>Tumor content 40-90%</v>
          </cell>
          <cell r="W1383" t="str">
            <v>Private Hospital</v>
          </cell>
          <cell r="X1383" t="str">
            <v>Vydehi Hospital, Bangalore</v>
          </cell>
          <cell r="Y1383" t="str">
            <v>Vydehi Hospital, Bangalore</v>
          </cell>
          <cell r="Z1383" t="str">
            <v>Dr Amritha Prabha, Bangalore</v>
          </cell>
          <cell r="AA1383" t="str">
            <v>HNSCC</v>
          </cell>
          <cell r="AB1383" t="str">
            <v>NA</v>
          </cell>
          <cell r="AC1383" t="str">
            <v>Buccal Mucosa</v>
          </cell>
          <cell r="AD1383" t="str">
            <v>Left Buccal Mucosa</v>
          </cell>
          <cell r="AE1383" t="str">
            <v>Female</v>
          </cell>
          <cell r="AF1383">
            <v>77</v>
          </cell>
          <cell r="AG1383" t="str">
            <v>N</v>
          </cell>
          <cell r="AH1383">
            <v>5.8</v>
          </cell>
          <cell r="AI1383" t="str">
            <v>Maruthi</v>
          </cell>
          <cell r="AJ1383" t="str">
            <v>Surgery</v>
          </cell>
          <cell r="AK1383" t="str">
            <v>Primary</v>
          </cell>
          <cell r="AL1383" t="str">
            <v>NA</v>
          </cell>
          <cell r="AV1383">
            <v>45813</v>
          </cell>
          <cell r="AW1383">
            <v>0.71111111111111114</v>
          </cell>
          <cell r="AX1383">
            <v>0.79305555555555551</v>
          </cell>
          <cell r="AY1383">
            <v>8.1944444444444445E-2</v>
          </cell>
          <cell r="AZ1383">
            <v>0.7319444444444444</v>
          </cell>
          <cell r="BA1383">
            <v>0.15763888888888888</v>
          </cell>
          <cell r="BB1383" t="str">
            <v>0.4*1.0*1.4
0.4*0.8-0.9*1.2</v>
          </cell>
          <cell r="BC1383" t="str">
            <v>NA</v>
          </cell>
          <cell r="BD1383" t="str">
            <v>Vibratome</v>
          </cell>
          <cell r="BE1383">
            <v>14</v>
          </cell>
          <cell r="BF1383" t="str">
            <v>Syam</v>
          </cell>
          <cell r="BG1383" t="str">
            <v>Y</v>
          </cell>
        </row>
        <row r="1384">
          <cell r="A1384" t="str">
            <v>FBR1Q250125</v>
          </cell>
          <cell r="B1384">
            <v>250125</v>
          </cell>
          <cell r="C1384" t="str">
            <v>R&amp;D</v>
          </cell>
          <cell r="D1384">
            <v>45814</v>
          </cell>
          <cell r="E1384">
            <v>0.5625</v>
          </cell>
          <cell r="F1384">
            <v>45809</v>
          </cell>
          <cell r="G1384">
            <v>45814</v>
          </cell>
          <cell r="H1384">
            <v>0.72569444444444442</v>
          </cell>
          <cell r="I1384">
            <v>0.16319444444444445</v>
          </cell>
          <cell r="J1384">
            <v>15</v>
          </cell>
          <cell r="K1384" t="str">
            <v>FCB-PROTOCOL-01</v>
          </cell>
          <cell r="L1384" t="str">
            <v>JSS-040</v>
          </cell>
          <cell r="M1384" t="str">
            <v>Y</v>
          </cell>
          <cell r="N1384" t="str">
            <v>COSv4.2_CaBR(1Q-Unknown)</v>
          </cell>
          <cell r="O1384" t="str">
            <v>Internal R&amp;D</v>
          </cell>
          <cell r="P1384" t="str">
            <v>Q1 Passed</v>
          </cell>
          <cell r="Q1384" t="str">
            <v>Q1 Passed</v>
          </cell>
          <cell r="R1384" t="str">
            <v>Q1.5 Passed</v>
          </cell>
          <cell r="S1384" t="str">
            <v>Qualified</v>
          </cell>
          <cell r="V1384" t="str">
            <v>Tumor content 25-95%</v>
          </cell>
          <cell r="W1384" t="str">
            <v>Private Hospital</v>
          </cell>
          <cell r="X1384" t="str">
            <v>Dr Ravi Krishnappa, Mysore</v>
          </cell>
          <cell r="Y1384" t="str">
            <v>JSS Hospital, Mysore</v>
          </cell>
          <cell r="Z1384" t="str">
            <v>Dr Ravi Krishnappa, Mysore</v>
          </cell>
          <cell r="AA1384" t="str">
            <v>Ca Breast</v>
          </cell>
          <cell r="AB1384" t="str">
            <v>TNBC</v>
          </cell>
          <cell r="AC1384" t="str">
            <v>Breast</v>
          </cell>
          <cell r="AD1384" t="str">
            <v>Right Breast</v>
          </cell>
          <cell r="AE1384" t="str">
            <v>Female</v>
          </cell>
          <cell r="AF1384">
            <v>65</v>
          </cell>
          <cell r="AG1384" t="str">
            <v>N</v>
          </cell>
          <cell r="AH1384">
            <v>5.5</v>
          </cell>
          <cell r="AI1384" t="str">
            <v>Kalappa</v>
          </cell>
          <cell r="AJ1384" t="str">
            <v>Surgery</v>
          </cell>
          <cell r="AK1384" t="str">
            <v>Primary</v>
          </cell>
          <cell r="AL1384" t="str">
            <v>Na</v>
          </cell>
          <cell r="AS1384" t="str">
            <v>IDC</v>
          </cell>
          <cell r="AV1384">
            <v>45814</v>
          </cell>
          <cell r="AW1384">
            <v>0.74444444444444446</v>
          </cell>
          <cell r="BC1384" t="str">
            <v>NA</v>
          </cell>
          <cell r="BD1384" t="str">
            <v>Manual</v>
          </cell>
          <cell r="BE1384">
            <v>14</v>
          </cell>
          <cell r="BF1384" t="str">
            <v>Vasanth</v>
          </cell>
          <cell r="BG1384" t="str">
            <v>N</v>
          </cell>
        </row>
        <row r="1385">
          <cell r="A1385" t="str">
            <v xml:space="preserve">	FBR2T250126</v>
          </cell>
          <cell r="B1385">
            <v>250126</v>
          </cell>
          <cell r="C1385" t="str">
            <v>R&amp;D</v>
          </cell>
          <cell r="D1385">
            <v>45817</v>
          </cell>
          <cell r="E1385">
            <v>0.40416666666666667</v>
          </cell>
          <cell r="F1385">
            <v>45809</v>
          </cell>
          <cell r="G1385">
            <v>45817</v>
          </cell>
          <cell r="H1385">
            <v>0.62361111111111112</v>
          </cell>
          <cell r="I1385">
            <v>0.21944444444444444</v>
          </cell>
          <cell r="J1385">
            <v>1</v>
          </cell>
          <cell r="K1385" t="str">
            <v>FCB-PROTOCOL-01</v>
          </cell>
          <cell r="L1385" t="str">
            <v>VYD/387</v>
          </cell>
          <cell r="M1385" t="str">
            <v>Y</v>
          </cell>
          <cell r="N1385" t="str">
            <v>CUL-IMP Ovary (2T)</v>
          </cell>
          <cell r="O1385" t="str">
            <v>Internal R&amp;D</v>
          </cell>
          <cell r="P1385" t="str">
            <v>Q1 Passed</v>
          </cell>
          <cell r="Q1385" t="str">
            <v>Q1 Passed</v>
          </cell>
          <cell r="R1385" t="str">
            <v>Q1.5 Passed</v>
          </cell>
          <cell r="S1385" t="str">
            <v>Qualified</v>
          </cell>
          <cell r="V1385" t="str">
            <v>Tumor content 3-30%</v>
          </cell>
          <cell r="W1385" t="str">
            <v>Private Hospital</v>
          </cell>
          <cell r="X1385" t="str">
            <v>Vydehi Hospital, Bangalore</v>
          </cell>
          <cell r="Y1385" t="str">
            <v>Vydehi Hospital, Bangalore</v>
          </cell>
          <cell r="Z1385" t="str">
            <v>Dr Amritha Prabha, Bangalore</v>
          </cell>
          <cell r="AA1385" t="str">
            <v>Ca Ovary</v>
          </cell>
          <cell r="AB1385" t="str">
            <v>NA</v>
          </cell>
          <cell r="AC1385" t="str">
            <v>Ovary</v>
          </cell>
          <cell r="AD1385" t="str">
            <v>Ovary</v>
          </cell>
          <cell r="AE1385" t="str">
            <v>Female</v>
          </cell>
          <cell r="AF1385">
            <v>45</v>
          </cell>
          <cell r="AG1385" t="str">
            <v>N</v>
          </cell>
          <cell r="AH1385">
            <v>5.7</v>
          </cell>
          <cell r="AI1385" t="str">
            <v>Kalappa</v>
          </cell>
          <cell r="AJ1385" t="str">
            <v>Surgery</v>
          </cell>
          <cell r="AK1385" t="str">
            <v>Primary</v>
          </cell>
          <cell r="AL1385" t="str">
            <v>Chemotherapy</v>
          </cell>
          <cell r="AQ1385">
            <v>3</v>
          </cell>
          <cell r="AR1385" t="str">
            <v>Paclitaxel &amp; Carboplatin</v>
          </cell>
          <cell r="AS1385" t="str">
            <v>Adenocarcinoma</v>
          </cell>
          <cell r="AV1385">
            <v>45817</v>
          </cell>
          <cell r="AW1385">
            <v>0.64236111111111116</v>
          </cell>
          <cell r="AX1385">
            <v>0.71111111111111114</v>
          </cell>
          <cell r="AY1385">
            <v>6.8750000000000006E-2</v>
          </cell>
          <cell r="AZ1385">
            <v>0.49166666666666664</v>
          </cell>
          <cell r="BA1385">
            <v>0.30694444444444446</v>
          </cell>
          <cell r="BB1385" t="str">
            <v>1.8*2.2*2.6-3.5</v>
          </cell>
          <cell r="BC1385" t="str">
            <v>1.6*2.0*2.0</v>
          </cell>
          <cell r="BD1385" t="str">
            <v>Vibratome</v>
          </cell>
          <cell r="BE1385">
            <v>14</v>
          </cell>
          <cell r="BF1385" t="str">
            <v>Syam</v>
          </cell>
          <cell r="BG1385" t="str">
            <v>Y</v>
          </cell>
        </row>
        <row r="1386">
          <cell r="A1386" t="str">
            <v>FBB1N250127</v>
          </cell>
          <cell r="B1386">
            <v>250127</v>
          </cell>
          <cell r="C1386" t="str">
            <v>Biopharma</v>
          </cell>
          <cell r="D1386">
            <v>45818</v>
          </cell>
          <cell r="E1386">
            <v>0.67500000000000004</v>
          </cell>
          <cell r="F1386">
            <v>45809</v>
          </cell>
          <cell r="G1386">
            <v>45818</v>
          </cell>
          <cell r="H1386">
            <v>0.72638888888888886</v>
          </cell>
          <cell r="I1386">
            <v>5.1388888888888887E-2</v>
          </cell>
          <cell r="J1386">
            <v>3</v>
          </cell>
          <cell r="K1386" t="str">
            <v>FCB-PROTOCOL-01</v>
          </cell>
          <cell r="L1386" t="str">
            <v>CLN/PRA/322</v>
          </cell>
          <cell r="M1386" t="str">
            <v>Y</v>
          </cell>
          <cell r="N1386" t="str">
            <v>BP012(1N)</v>
          </cell>
          <cell r="O1386" t="str">
            <v>BioBank</v>
          </cell>
          <cell r="P1386" t="str">
            <v>Q1 Passed</v>
          </cell>
          <cell r="Q1386" t="str">
            <v>Q1 Passed</v>
          </cell>
          <cell r="R1386" t="str">
            <v>Q1.5 Passed</v>
          </cell>
          <cell r="S1386" t="str">
            <v>Rejected</v>
          </cell>
          <cell r="V1386" t="str">
            <v>48% Tumor in one fragment only. Others no tumor</v>
          </cell>
          <cell r="W1386" t="str">
            <v>Private Hospital</v>
          </cell>
          <cell r="X1386" t="str">
            <v>Dr Prakash BV, Bangalore</v>
          </cell>
          <cell r="Y1386" t="str">
            <v>Sri Lakshmi Hospital, Bangalore</v>
          </cell>
          <cell r="Z1386" t="str">
            <v>Dr Prakash BV, Bangalore</v>
          </cell>
          <cell r="AA1386" t="str">
            <v>GI</v>
          </cell>
          <cell r="AB1386" t="str">
            <v>NA</v>
          </cell>
          <cell r="AC1386" t="str">
            <v>Stomach</v>
          </cell>
          <cell r="AD1386" t="str">
            <v>Stomach</v>
          </cell>
          <cell r="AE1386" t="str">
            <v>Female</v>
          </cell>
          <cell r="AF1386">
            <v>60</v>
          </cell>
          <cell r="AG1386" t="str">
            <v>N</v>
          </cell>
          <cell r="AH1386">
            <v>5.9</v>
          </cell>
          <cell r="AI1386" t="str">
            <v>Shashi</v>
          </cell>
          <cell r="AJ1386" t="str">
            <v>Surgery</v>
          </cell>
          <cell r="AK1386" t="str">
            <v>Primary</v>
          </cell>
          <cell r="AL1386" t="str">
            <v>NA</v>
          </cell>
          <cell r="AN1386" t="str">
            <v>III</v>
          </cell>
          <cell r="AO1386">
            <v>2</v>
          </cell>
          <cell r="AP1386" t="str">
            <v>pT3N1</v>
          </cell>
          <cell r="AS1386" t="str">
            <v>Adenocarcinoma</v>
          </cell>
          <cell r="AV1386">
            <v>45818</v>
          </cell>
          <cell r="AW1386">
            <v>0.73402777777777772</v>
          </cell>
          <cell r="AX1386">
            <v>0.81111111111111112</v>
          </cell>
          <cell r="AY1386">
            <v>7.7083333333333337E-2</v>
          </cell>
          <cell r="AZ1386">
            <v>0.75972222222222219</v>
          </cell>
          <cell r="BA1386">
            <v>0.1361111111111111</v>
          </cell>
          <cell r="BB1386" t="str">
            <v>0.2-0.7*2.4*5.0</v>
          </cell>
          <cell r="BC1386" t="str">
            <v>NA</v>
          </cell>
          <cell r="BD1386" t="str">
            <v>Manual</v>
          </cell>
          <cell r="BE1386">
            <v>13</v>
          </cell>
          <cell r="BF1386" t="str">
            <v>Mouniss</v>
          </cell>
          <cell r="BG1386" t="str">
            <v>Y</v>
          </cell>
        </row>
        <row r="1387">
          <cell r="A1387" t="str">
            <v xml:space="preserve">	FBB1O250128</v>
          </cell>
          <cell r="B1387">
            <v>250128</v>
          </cell>
          <cell r="C1387" t="str">
            <v>Biopharma</v>
          </cell>
          <cell r="D1387">
            <v>45818</v>
          </cell>
          <cell r="E1387">
            <v>0.55555555555555558</v>
          </cell>
          <cell r="F1387">
            <v>45809</v>
          </cell>
          <cell r="G1387">
            <v>45818</v>
          </cell>
          <cell r="H1387">
            <v>0.93541666666666667</v>
          </cell>
          <cell r="I1387">
            <v>0.37986111111111109</v>
          </cell>
          <cell r="J1387">
            <v>10</v>
          </cell>
          <cell r="K1387" t="str">
            <v>FCB-PROTOCOL-01</v>
          </cell>
          <cell r="L1387" t="str">
            <v>CLN/DBR/238</v>
          </cell>
          <cell r="M1387" t="str">
            <v>Y</v>
          </cell>
          <cell r="N1387" t="str">
            <v>BP013(1O)</v>
          </cell>
          <cell r="O1387" t="str">
            <v>BioBank</v>
          </cell>
          <cell r="P1387" t="str">
            <v>Q1 Passed</v>
          </cell>
          <cell r="Q1387" t="str">
            <v>Q1 Passed</v>
          </cell>
          <cell r="R1387" t="str">
            <v>Q1.5 Passed</v>
          </cell>
          <cell r="S1387" t="str">
            <v>Qualified</v>
          </cell>
          <cell r="V1387" t="str">
            <v>Tumor content 5-75%. Immune component high</v>
          </cell>
          <cell r="W1387" t="str">
            <v>Private Hospital</v>
          </cell>
          <cell r="X1387" t="str">
            <v>Clinic'les- DBR &amp; SK Hospital, Tirupati</v>
          </cell>
          <cell r="Y1387" t="str">
            <v>DBR &amp; SK Hospital, Tirupati</v>
          </cell>
          <cell r="Z1387" t="str">
            <v>Dr C Jayaprakash, Tirupati</v>
          </cell>
          <cell r="AA1387" t="str">
            <v>HNSCC</v>
          </cell>
          <cell r="AB1387" t="str">
            <v>NA</v>
          </cell>
          <cell r="AC1387" t="str">
            <v>Tongue</v>
          </cell>
          <cell r="AD1387" t="str">
            <v>Tongue</v>
          </cell>
          <cell r="AE1387" t="str">
            <v>Male</v>
          </cell>
          <cell r="AF1387">
            <v>68</v>
          </cell>
          <cell r="AG1387" t="str">
            <v>N</v>
          </cell>
          <cell r="AH1387">
            <v>6.8</v>
          </cell>
          <cell r="AI1387" t="str">
            <v>Maruthi</v>
          </cell>
          <cell r="AJ1387" t="str">
            <v>Surgery</v>
          </cell>
          <cell r="AK1387" t="str">
            <v>Primary</v>
          </cell>
          <cell r="AL1387" t="str">
            <v>NA</v>
          </cell>
          <cell r="AV1387">
            <v>45818</v>
          </cell>
          <cell r="AW1387">
            <v>0.95138888888888884</v>
          </cell>
          <cell r="AX1387">
            <v>1.5277777777777777E-2</v>
          </cell>
          <cell r="AY1387">
            <v>6.3888888888888884E-2</v>
          </cell>
          <cell r="AZ1387">
            <v>0.63541666666666663</v>
          </cell>
          <cell r="BA1387">
            <v>0.4597222222222222</v>
          </cell>
          <cell r="BB1387" t="str">
            <v>0.2-0.4*0.6-0.8*2.2</v>
          </cell>
          <cell r="BC1387" t="str">
            <v>NA</v>
          </cell>
          <cell r="BD1387" t="str">
            <v>Vibratome</v>
          </cell>
          <cell r="BE1387">
            <v>15</v>
          </cell>
          <cell r="BF1387" t="str">
            <v>Dharani</v>
          </cell>
          <cell r="BG1387" t="str">
            <v>Y</v>
          </cell>
        </row>
        <row r="1388">
          <cell r="A1388" t="str">
            <v>FBR2S250129</v>
          </cell>
          <cell r="B1388">
            <v>250129</v>
          </cell>
          <cell r="C1388" t="str">
            <v>R&amp;D</v>
          </cell>
          <cell r="D1388">
            <v>45819</v>
          </cell>
          <cell r="E1388">
            <v>0.52430555555555558</v>
          </cell>
          <cell r="F1388">
            <v>45809</v>
          </cell>
          <cell r="G1388">
            <v>45819</v>
          </cell>
          <cell r="H1388">
            <v>0.6069444444444444</v>
          </cell>
          <cell r="I1388">
            <v>8.2638888888888887E-2</v>
          </cell>
          <cell r="J1388">
            <v>3</v>
          </cell>
          <cell r="K1388" t="str">
            <v>FCB-PROTOCOL-01</v>
          </cell>
          <cell r="L1388" t="str">
            <v>CLN/PRA/323</v>
          </cell>
          <cell r="M1388" t="str">
            <v>Y</v>
          </cell>
          <cell r="N1388" t="str">
            <v>Cos V1 (2S)</v>
          </cell>
          <cell r="O1388" t="str">
            <v>Internal R&amp;D</v>
          </cell>
          <cell r="P1388" t="str">
            <v>Q1 Passed</v>
          </cell>
          <cell r="Q1388" t="str">
            <v>Q1 Passed</v>
          </cell>
          <cell r="R1388" t="str">
            <v>Q1.5 Passed</v>
          </cell>
          <cell r="S1388" t="str">
            <v>Qualified</v>
          </cell>
          <cell r="V1388" t="str">
            <v>Tumor content 50-90%</v>
          </cell>
          <cell r="W1388" t="str">
            <v>Private Hospital</v>
          </cell>
          <cell r="X1388" t="str">
            <v>Dr Prakash BV, Bangalore</v>
          </cell>
          <cell r="Y1388" t="str">
            <v>Sri Lakshmi Hospital, Bangalore</v>
          </cell>
          <cell r="Z1388" t="str">
            <v>Dr Prakash BV, Bangalore</v>
          </cell>
          <cell r="AA1388" t="str">
            <v>CRC</v>
          </cell>
          <cell r="AB1388" t="str">
            <v>NA</v>
          </cell>
          <cell r="AC1388" t="str">
            <v>Colon</v>
          </cell>
          <cell r="AD1388" t="str">
            <v>Sigmoid Colon</v>
          </cell>
          <cell r="AE1388" t="str">
            <v>Male</v>
          </cell>
          <cell r="AF1388">
            <v>50</v>
          </cell>
          <cell r="AG1388" t="str">
            <v>N</v>
          </cell>
          <cell r="AH1388">
            <v>5.2</v>
          </cell>
          <cell r="AI1388" t="str">
            <v>Kalappa</v>
          </cell>
          <cell r="AJ1388" t="str">
            <v>Surgery</v>
          </cell>
          <cell r="AK1388" t="str">
            <v>Primary</v>
          </cell>
          <cell r="AL1388" t="str">
            <v>NA</v>
          </cell>
          <cell r="AN1388" t="str">
            <v>III</v>
          </cell>
          <cell r="AO1388">
            <v>2</v>
          </cell>
          <cell r="AP1388" t="str">
            <v>pT3N1M0</v>
          </cell>
          <cell r="AS1388" t="str">
            <v>Adenocarcinoma</v>
          </cell>
          <cell r="AV1388">
            <v>45819</v>
          </cell>
          <cell r="AW1388" t="str">
            <v>15:00:000</v>
          </cell>
          <cell r="AX1388">
            <v>0.72569444444444442</v>
          </cell>
          <cell r="AY1388" t="e">
            <v>#VALUE!</v>
          </cell>
          <cell r="AZ1388">
            <v>0.6430555555555556</v>
          </cell>
          <cell r="BA1388">
            <v>0.2013888888888889</v>
          </cell>
          <cell r="BB1388" t="str">
            <v>1.6*1.8*24
0.6*1.8*1.2</v>
          </cell>
          <cell r="BC1388" t="str">
            <v>NA</v>
          </cell>
          <cell r="BD1388" t="str">
            <v>Vibratome</v>
          </cell>
          <cell r="BE1388">
            <v>13</v>
          </cell>
          <cell r="BF1388" t="str">
            <v>Vasanth</v>
          </cell>
          <cell r="BG1388" t="str">
            <v>Y</v>
          </cell>
        </row>
        <row r="1389">
          <cell r="A1389" t="str">
            <v>FBB1O250130</v>
          </cell>
          <cell r="B1389">
            <v>250130</v>
          </cell>
          <cell r="C1389" t="str">
            <v>Biopharma</v>
          </cell>
          <cell r="D1389">
            <v>45819</v>
          </cell>
          <cell r="E1389">
            <v>0.47083333333333333</v>
          </cell>
          <cell r="F1389">
            <v>45809</v>
          </cell>
          <cell r="G1389">
            <v>45819</v>
          </cell>
          <cell r="H1389">
            <v>0.66666666666666663</v>
          </cell>
          <cell r="I1389">
            <v>0.19583333333333333</v>
          </cell>
          <cell r="J1389">
            <v>3</v>
          </cell>
          <cell r="K1389" t="str">
            <v>FCB-PROTOCOL-01</v>
          </cell>
          <cell r="L1389" t="str">
            <v>VYD/388</v>
          </cell>
          <cell r="M1389" t="str">
            <v>Y</v>
          </cell>
          <cell r="N1389" t="str">
            <v>BP013(1O)</v>
          </cell>
          <cell r="O1389" t="str">
            <v>BioBank</v>
          </cell>
          <cell r="P1389" t="str">
            <v>Q1 Passed</v>
          </cell>
          <cell r="Q1389" t="str">
            <v>Q1 Passed</v>
          </cell>
          <cell r="R1389" t="str">
            <v>Q1.5 Passed</v>
          </cell>
          <cell r="S1389" t="str">
            <v>Qualified</v>
          </cell>
          <cell r="V1389" t="str">
            <v>Tumor content 6-85%</v>
          </cell>
          <cell r="W1389" t="str">
            <v>Private Hospital</v>
          </cell>
          <cell r="X1389" t="str">
            <v>Vydehi Hospital, Bangalore</v>
          </cell>
          <cell r="Y1389" t="str">
            <v>Vydehi Hospital, Bangalore</v>
          </cell>
          <cell r="Z1389" t="str">
            <v>Dr Amritha Prabha, Bangalore</v>
          </cell>
          <cell r="AA1389" t="str">
            <v>HNSCC</v>
          </cell>
          <cell r="AB1389" t="str">
            <v>NA</v>
          </cell>
          <cell r="AC1389" t="str">
            <v>Buccal Mucosa</v>
          </cell>
          <cell r="AD1389" t="str">
            <v>Left Buccal Mucosa</v>
          </cell>
          <cell r="AE1389" t="str">
            <v>Female</v>
          </cell>
          <cell r="AF1389">
            <v>45</v>
          </cell>
          <cell r="AG1389" t="str">
            <v>N</v>
          </cell>
          <cell r="AH1389">
            <v>5.5</v>
          </cell>
          <cell r="AI1389" t="str">
            <v>Shashi</v>
          </cell>
          <cell r="AJ1389" t="str">
            <v>Surgery</v>
          </cell>
          <cell r="AK1389" t="str">
            <v>Primary</v>
          </cell>
          <cell r="AL1389" t="str">
            <v>NA</v>
          </cell>
          <cell r="AS1389" t="str">
            <v>SCC</v>
          </cell>
          <cell r="AV1389">
            <v>45819</v>
          </cell>
          <cell r="AW1389">
            <v>0.68125000000000002</v>
          </cell>
          <cell r="AX1389">
            <v>0.76111111111111107</v>
          </cell>
          <cell r="AY1389">
            <v>7.9861111111111105E-2</v>
          </cell>
          <cell r="AZ1389">
            <v>0.56527777777777777</v>
          </cell>
          <cell r="BA1389">
            <v>0.2902777777777778</v>
          </cell>
          <cell r="BB1389" t="str">
            <v>0.6-0.8*0.6-1.2*1.5</v>
          </cell>
          <cell r="BC1389" t="str">
            <v>NA</v>
          </cell>
          <cell r="BD1389" t="str">
            <v>Vibratome</v>
          </cell>
          <cell r="BE1389">
            <v>14</v>
          </cell>
          <cell r="BF1389" t="str">
            <v>Syam</v>
          </cell>
          <cell r="BG1389" t="str">
            <v>Y</v>
          </cell>
        </row>
        <row r="1390">
          <cell r="A1390" t="str">
            <v>FBR2S250131</v>
          </cell>
          <cell r="B1390">
            <v>250131</v>
          </cell>
          <cell r="C1390" t="str">
            <v>R&amp;D</v>
          </cell>
          <cell r="D1390">
            <v>45819</v>
          </cell>
          <cell r="E1390">
            <v>0.68611111111111112</v>
          </cell>
          <cell r="F1390">
            <v>45809</v>
          </cell>
          <cell r="G1390">
            <v>45819</v>
          </cell>
          <cell r="H1390">
            <v>0.73888888888888893</v>
          </cell>
          <cell r="I1390">
            <v>5.2777777777777778E-2</v>
          </cell>
          <cell r="J1390">
            <v>2</v>
          </cell>
          <cell r="K1390" t="str">
            <v>FCB-PROTOCOL-01</v>
          </cell>
          <cell r="L1390" t="str">
            <v>CLN/PRA/324</v>
          </cell>
          <cell r="M1390" t="str">
            <v>Y</v>
          </cell>
          <cell r="N1390" t="str">
            <v>Cos V1 (2S)</v>
          </cell>
          <cell r="O1390" t="str">
            <v>Internal R&amp;D</v>
          </cell>
          <cell r="P1390" t="str">
            <v>Q1 Passed</v>
          </cell>
          <cell r="Q1390" t="str">
            <v>Q1 Passed</v>
          </cell>
          <cell r="R1390" t="str">
            <v>Q1.5 Passed</v>
          </cell>
          <cell r="S1390" t="str">
            <v>Qualified</v>
          </cell>
          <cell r="V1390" t="str">
            <v>Tumor content 15-65%</v>
          </cell>
          <cell r="W1390" t="str">
            <v>Private Hospital</v>
          </cell>
          <cell r="X1390" t="str">
            <v>Dr Prakash BV, Bangalore</v>
          </cell>
          <cell r="Y1390" t="str">
            <v>Sri Lakshmi Hospital, Bangalore</v>
          </cell>
          <cell r="Z1390" t="str">
            <v>Dr Prakash BV, Bangalore</v>
          </cell>
          <cell r="AA1390" t="str">
            <v>CRC</v>
          </cell>
          <cell r="AB1390" t="str">
            <v>NA</v>
          </cell>
          <cell r="AC1390" t="str">
            <v>Colon</v>
          </cell>
          <cell r="AD1390" t="str">
            <v>Transverse Colon</v>
          </cell>
          <cell r="AE1390" t="str">
            <v>Female</v>
          </cell>
          <cell r="AF1390">
            <v>68</v>
          </cell>
          <cell r="AG1390" t="str">
            <v>N</v>
          </cell>
          <cell r="AH1390">
            <v>5.8</v>
          </cell>
          <cell r="AI1390" t="str">
            <v>Kalappa</v>
          </cell>
          <cell r="AJ1390" t="str">
            <v>Surgery</v>
          </cell>
          <cell r="AK1390" t="str">
            <v>Primary</v>
          </cell>
          <cell r="AL1390" t="str">
            <v>NA</v>
          </cell>
          <cell r="AN1390" t="str">
            <v>II</v>
          </cell>
          <cell r="AO1390">
            <v>3</v>
          </cell>
          <cell r="AP1390" t="str">
            <v>pT2N1M0</v>
          </cell>
          <cell r="AS1390" t="str">
            <v>Adenocarcinoma</v>
          </cell>
          <cell r="AV1390">
            <v>45819</v>
          </cell>
          <cell r="AW1390">
            <v>0.76041666666666663</v>
          </cell>
          <cell r="AX1390">
            <v>0.83750000000000002</v>
          </cell>
          <cell r="AY1390">
            <v>7.7083333333333337E-2</v>
          </cell>
          <cell r="AZ1390">
            <v>0.78472222222222221</v>
          </cell>
          <cell r="BA1390">
            <v>0.15138888888888888</v>
          </cell>
          <cell r="BB1390" t="str">
            <v>0.4-0.8*0.8-2.2*2.2</v>
          </cell>
          <cell r="BC1390" t="str">
            <v>NA</v>
          </cell>
          <cell r="BD1390" t="str">
            <v>Vibratome</v>
          </cell>
          <cell r="BE1390">
            <v>13</v>
          </cell>
          <cell r="BF1390" t="str">
            <v>Dharani</v>
          </cell>
          <cell r="BG1390" t="str">
            <v>Y</v>
          </cell>
        </row>
        <row r="1391">
          <cell r="A1391" t="str">
            <v xml:space="preserve">FBR2S250132 </v>
          </cell>
          <cell r="B1391">
            <v>250132</v>
          </cell>
          <cell r="C1391" t="str">
            <v>R&amp;D</v>
          </cell>
          <cell r="D1391">
            <v>45820</v>
          </cell>
          <cell r="E1391">
            <v>0.51180555555555551</v>
          </cell>
          <cell r="F1391">
            <v>45809</v>
          </cell>
          <cell r="G1391">
            <v>45820</v>
          </cell>
          <cell r="H1391">
            <v>0.64375000000000004</v>
          </cell>
          <cell r="I1391">
            <v>0.13194444444444445</v>
          </cell>
          <cell r="J1391">
            <v>3</v>
          </cell>
          <cell r="K1391" t="str">
            <v>FCB-PROTOCOL-01</v>
          </cell>
          <cell r="L1391" t="str">
            <v>VYD/389</v>
          </cell>
          <cell r="M1391" t="str">
            <v>Y</v>
          </cell>
          <cell r="N1391" t="str">
            <v>Cos V1 (2S)</v>
          </cell>
          <cell r="O1391" t="str">
            <v>Internal R&amp;D</v>
          </cell>
          <cell r="P1391" t="str">
            <v>Q1 Passed</v>
          </cell>
          <cell r="Q1391" t="str">
            <v>Q1 Passed</v>
          </cell>
          <cell r="R1391" t="str">
            <v>Q1.5 Passed</v>
          </cell>
          <cell r="S1391" t="str">
            <v>Qualified</v>
          </cell>
          <cell r="V1391" t="str">
            <v>Tumor content 15-45%</v>
          </cell>
          <cell r="W1391" t="str">
            <v>Private Hospital</v>
          </cell>
          <cell r="X1391" t="str">
            <v>Vydehi Hospital, Bangalore</v>
          </cell>
          <cell r="Y1391" t="str">
            <v>Vydehi Hospital, Bangalore</v>
          </cell>
          <cell r="Z1391" t="str">
            <v>Dr Amritha Prabha, Bangalore</v>
          </cell>
          <cell r="AA1391" t="str">
            <v>CRC</v>
          </cell>
          <cell r="AB1391" t="str">
            <v>NA</v>
          </cell>
          <cell r="AC1391" t="str">
            <v>Colon</v>
          </cell>
          <cell r="AD1391" t="str">
            <v>Ascending Colon</v>
          </cell>
          <cell r="AE1391" t="str">
            <v>Female</v>
          </cell>
          <cell r="AF1391">
            <v>55</v>
          </cell>
          <cell r="AG1391" t="str">
            <v>N</v>
          </cell>
          <cell r="AH1391">
            <v>5.4</v>
          </cell>
          <cell r="AI1391" t="str">
            <v>Shashi</v>
          </cell>
          <cell r="AJ1391" t="str">
            <v>Surgery</v>
          </cell>
          <cell r="AK1391" t="str">
            <v>Primary</v>
          </cell>
          <cell r="AL1391" t="str">
            <v>NA</v>
          </cell>
          <cell r="AV1391">
            <v>45820</v>
          </cell>
          <cell r="AW1391">
            <v>0.65625</v>
          </cell>
          <cell r="AX1391">
            <v>0.74791666666666667</v>
          </cell>
          <cell r="AY1391">
            <v>9.166666666666666E-2</v>
          </cell>
          <cell r="AZ1391">
            <v>0.61597222222222225</v>
          </cell>
          <cell r="BA1391">
            <v>0.2361111111111111</v>
          </cell>
          <cell r="BB1391" t="str">
            <v>1.0*1.6*1.5</v>
          </cell>
          <cell r="BC1391" t="str">
            <v>NA</v>
          </cell>
          <cell r="BD1391" t="str">
            <v>Vibratome</v>
          </cell>
          <cell r="BE1391">
            <v>13</v>
          </cell>
          <cell r="BF1391" t="str">
            <v>Vasanth</v>
          </cell>
          <cell r="BG1391" t="str">
            <v>Y</v>
          </cell>
        </row>
        <row r="1392">
          <cell r="A1392" t="str">
            <v>FBR1K250133</v>
          </cell>
          <cell r="B1392">
            <v>250133</v>
          </cell>
          <cell r="C1392" t="str">
            <v>R&amp;D</v>
          </cell>
          <cell r="D1392">
            <v>45820</v>
          </cell>
          <cell r="E1392">
            <v>0.5541666666666667</v>
          </cell>
          <cell r="F1392">
            <v>45809</v>
          </cell>
          <cell r="G1392">
            <v>45820</v>
          </cell>
          <cell r="H1392">
            <v>0.66388888888888886</v>
          </cell>
          <cell r="I1392">
            <v>0.10972222222222222</v>
          </cell>
          <cell r="J1392">
            <v>2</v>
          </cell>
          <cell r="K1392" t="str">
            <v>FCB-PROTOCOL-01</v>
          </cell>
          <cell r="L1392" t="str">
            <v>CLN/PRA/325</v>
          </cell>
          <cell r="M1392" t="str">
            <v>Y</v>
          </cell>
          <cell r="N1392" t="str">
            <v>DMS_v4(1K)</v>
          </cell>
          <cell r="O1392" t="str">
            <v>Internal R&amp;D</v>
          </cell>
          <cell r="P1392" t="str">
            <v>Q1 Passed</v>
          </cell>
          <cell r="Q1392" t="str">
            <v>Q1 Passed</v>
          </cell>
          <cell r="R1392" t="str">
            <v>Q1.5 Passed</v>
          </cell>
          <cell r="S1392" t="str">
            <v>Qualified</v>
          </cell>
          <cell r="V1392" t="str">
            <v xml:space="preserve"> Tumor content 0-70%. Average tumor content 35%</v>
          </cell>
          <cell r="W1392" t="str">
            <v>Private Hospital</v>
          </cell>
          <cell r="X1392" t="str">
            <v>Dr Prakash BV, Bangalore</v>
          </cell>
          <cell r="Y1392" t="str">
            <v>Sri Lakshmi Hospital, Bangalore</v>
          </cell>
          <cell r="Z1392" t="str">
            <v>Dr Prakash BV, Bangalore</v>
          </cell>
          <cell r="AA1392" t="str">
            <v>HNSCC</v>
          </cell>
          <cell r="AB1392" t="str">
            <v>NA</v>
          </cell>
          <cell r="AC1392" t="str">
            <v>Tongue</v>
          </cell>
          <cell r="AD1392" t="str">
            <v>Tongue</v>
          </cell>
          <cell r="AE1392" t="str">
            <v>Male</v>
          </cell>
          <cell r="AF1392">
            <v>28</v>
          </cell>
          <cell r="AG1392" t="str">
            <v>N</v>
          </cell>
          <cell r="AH1392">
            <v>5.0999999999999996</v>
          </cell>
          <cell r="AI1392" t="str">
            <v>Kalappa</v>
          </cell>
          <cell r="AJ1392" t="str">
            <v>Surgery</v>
          </cell>
          <cell r="AK1392" t="str">
            <v>Primary</v>
          </cell>
          <cell r="AL1392" t="str">
            <v>NA</v>
          </cell>
          <cell r="AN1392" t="str">
            <v>IVa</v>
          </cell>
          <cell r="AO1392">
            <v>2</v>
          </cell>
          <cell r="AP1392" t="str">
            <v>pT4N2bM0</v>
          </cell>
          <cell r="AS1392" t="str">
            <v>SCC</v>
          </cell>
          <cell r="AV1392">
            <v>45820</v>
          </cell>
          <cell r="AX1392">
            <v>0.76736111111111116</v>
          </cell>
          <cell r="BB1392" t="str">
            <v>0.8/1.0*0.4-2.2*1.8</v>
          </cell>
          <cell r="BC1392" t="str">
            <v>NA</v>
          </cell>
          <cell r="BD1392" t="str">
            <v>Vibratome</v>
          </cell>
          <cell r="BE1392">
            <v>14</v>
          </cell>
          <cell r="BF1392" t="str">
            <v>chandan</v>
          </cell>
          <cell r="BG1392" t="str">
            <v>Y</v>
          </cell>
        </row>
        <row r="1393">
          <cell r="A1393" t="str">
            <v>FBB1O250134</v>
          </cell>
          <cell r="B1393">
            <v>250134</v>
          </cell>
          <cell r="C1393" t="str">
            <v>Biopharma</v>
          </cell>
          <cell r="D1393">
            <v>45821</v>
          </cell>
          <cell r="E1393">
            <v>0.15763888888888888</v>
          </cell>
          <cell r="F1393">
            <v>45809</v>
          </cell>
          <cell r="G1393">
            <v>45821</v>
          </cell>
          <cell r="H1393">
            <v>0.38263888888888886</v>
          </cell>
          <cell r="I1393">
            <v>0.22500000000000001</v>
          </cell>
          <cell r="J1393">
            <v>3</v>
          </cell>
          <cell r="K1393" t="str">
            <v>FCB-PROTOCOL-01</v>
          </cell>
          <cell r="L1393" t="str">
            <v>CLN/PRA/326</v>
          </cell>
          <cell r="M1393" t="str">
            <v>Y</v>
          </cell>
          <cell r="N1393" t="str">
            <v>BP013(1O)</v>
          </cell>
          <cell r="O1393" t="str">
            <v>BioBank</v>
          </cell>
          <cell r="P1393" t="str">
            <v>Q1 Passed</v>
          </cell>
          <cell r="Q1393" t="str">
            <v>Q1 Passed</v>
          </cell>
          <cell r="R1393" t="str">
            <v>Q1.5 Passed</v>
          </cell>
          <cell r="S1393" t="str">
            <v>Qualified</v>
          </cell>
          <cell r="V1393" t="str">
            <v>Tumor content 0-80%. Average tumor content 40%</v>
          </cell>
          <cell r="W1393" t="str">
            <v>Private Hospital</v>
          </cell>
          <cell r="X1393" t="str">
            <v>Dr Prakash BV, Bangalore</v>
          </cell>
          <cell r="Y1393" t="str">
            <v>Sri Lakshmi Hospital, Bangalore</v>
          </cell>
          <cell r="Z1393" t="str">
            <v>Dr Prakash BV, Bangalore</v>
          </cell>
          <cell r="AA1393" t="str">
            <v>HNSCC</v>
          </cell>
          <cell r="AB1393" t="str">
            <v>NA</v>
          </cell>
          <cell r="AC1393" t="str">
            <v>Buccal Mucosa</v>
          </cell>
          <cell r="AD1393" t="str">
            <v>Right Buccal Mucosa</v>
          </cell>
          <cell r="AE1393" t="str">
            <v>Female</v>
          </cell>
          <cell r="AF1393">
            <v>40</v>
          </cell>
          <cell r="AG1393" t="str">
            <v>N</v>
          </cell>
          <cell r="AH1393">
            <v>4.8</v>
          </cell>
          <cell r="AI1393" t="str">
            <v>Maruthi</v>
          </cell>
          <cell r="AJ1393" t="str">
            <v>Surgery</v>
          </cell>
          <cell r="AK1393" t="str">
            <v>Primary</v>
          </cell>
          <cell r="AL1393" t="str">
            <v>NA</v>
          </cell>
          <cell r="AN1393" t="str">
            <v>IV</v>
          </cell>
          <cell r="AO1393">
            <v>2</v>
          </cell>
          <cell r="AP1393" t="str">
            <v>pT4N1M0</v>
          </cell>
          <cell r="AS1393" t="str">
            <v>SCC</v>
          </cell>
          <cell r="AV1393">
            <v>45821</v>
          </cell>
          <cell r="AW1393">
            <v>0.41597222222222224</v>
          </cell>
          <cell r="AX1393">
            <v>0.50347222222222221</v>
          </cell>
          <cell r="AY1393">
            <v>8.7499999999999994E-2</v>
          </cell>
          <cell r="AZ1393">
            <v>0.27847222222222223</v>
          </cell>
          <cell r="BA1393">
            <v>0.34583333333333333</v>
          </cell>
          <cell r="BB1393" t="str">
            <v>0.8*1.3*2.1</v>
          </cell>
          <cell r="BC1393" t="str">
            <v>NA</v>
          </cell>
          <cell r="BD1393" t="str">
            <v>Vibratome</v>
          </cell>
          <cell r="BE1393">
            <v>14</v>
          </cell>
          <cell r="BF1393" t="str">
            <v>Syam</v>
          </cell>
          <cell r="BG1393" t="str">
            <v>Y</v>
          </cell>
        </row>
        <row r="1394">
          <cell r="A1394" t="str">
            <v>FBB1O250135</v>
          </cell>
          <cell r="B1394">
            <v>250135</v>
          </cell>
          <cell r="C1394" t="str">
            <v>Biopharma</v>
          </cell>
          <cell r="D1394">
            <v>45821</v>
          </cell>
          <cell r="E1394">
            <v>0.30069444444444443</v>
          </cell>
          <cell r="F1394">
            <v>45809</v>
          </cell>
          <cell r="G1394">
            <v>45821</v>
          </cell>
          <cell r="H1394">
            <v>0.38263888888888886</v>
          </cell>
          <cell r="I1394">
            <v>8.1944444444444445E-2</v>
          </cell>
          <cell r="J1394">
            <v>2</v>
          </cell>
          <cell r="K1394" t="str">
            <v>FCB-PROTOCOL-01</v>
          </cell>
          <cell r="L1394" t="str">
            <v>CLN/PRA/327</v>
          </cell>
          <cell r="M1394" t="str">
            <v>Y</v>
          </cell>
          <cell r="N1394" t="str">
            <v>BP013(1O)</v>
          </cell>
          <cell r="O1394" t="str">
            <v>BioBank</v>
          </cell>
          <cell r="P1394" t="str">
            <v>Q1 Passed</v>
          </cell>
          <cell r="Q1394" t="str">
            <v>Q1 Passed</v>
          </cell>
          <cell r="R1394" t="str">
            <v>Q1.5 Passed</v>
          </cell>
          <cell r="S1394" t="str">
            <v>Qualified</v>
          </cell>
          <cell r="V1394" t="str">
            <v>Tumor content 40-85%</v>
          </cell>
          <cell r="W1394" t="str">
            <v>Private Hospital</v>
          </cell>
          <cell r="X1394" t="str">
            <v>Dr Prakash BV, Bangalore</v>
          </cell>
          <cell r="Y1394" t="str">
            <v>Sri Lakshmi Hospital, Bangalore</v>
          </cell>
          <cell r="Z1394" t="str">
            <v>Dr Prakash BV, Bangalore</v>
          </cell>
          <cell r="AA1394" t="str">
            <v>HNSCC</v>
          </cell>
          <cell r="AB1394" t="str">
            <v>NA</v>
          </cell>
          <cell r="AC1394" t="str">
            <v>RMT</v>
          </cell>
          <cell r="AD1394" t="str">
            <v>Right RMT</v>
          </cell>
          <cell r="AE1394" t="str">
            <v>Female</v>
          </cell>
          <cell r="AF1394">
            <v>50</v>
          </cell>
          <cell r="AG1394" t="str">
            <v>N</v>
          </cell>
          <cell r="AH1394">
            <v>4.8</v>
          </cell>
          <cell r="AI1394" t="str">
            <v>Maruthi</v>
          </cell>
          <cell r="AJ1394" t="str">
            <v>Surgery</v>
          </cell>
          <cell r="AK1394" t="str">
            <v>Primary</v>
          </cell>
          <cell r="AL1394" t="str">
            <v>NA</v>
          </cell>
          <cell r="AN1394" t="str">
            <v>II</v>
          </cell>
          <cell r="AO1394">
            <v>2</v>
          </cell>
          <cell r="AP1394" t="str">
            <v>pT2N0M0</v>
          </cell>
          <cell r="AS1394" t="str">
            <v>SCC</v>
          </cell>
          <cell r="AV1394">
            <v>45821</v>
          </cell>
          <cell r="AW1394">
            <v>0.44444444444444442</v>
          </cell>
          <cell r="AX1394">
            <v>0.53819444444444442</v>
          </cell>
          <cell r="AY1394">
            <v>9.375E-2</v>
          </cell>
          <cell r="AZ1394">
            <v>0.45624999999999999</v>
          </cell>
          <cell r="BA1394">
            <v>0.23749999999999999</v>
          </cell>
          <cell r="BB1394" t="str">
            <v>0.2-0.4*1.0*2.8
0.2-0.4*1.6*1.6</v>
          </cell>
          <cell r="BC1394" t="str">
            <v>NA</v>
          </cell>
          <cell r="BD1394" t="str">
            <v>Vibratome</v>
          </cell>
          <cell r="BE1394">
            <v>14</v>
          </cell>
          <cell r="BF1394" t="str">
            <v>Biswajit</v>
          </cell>
          <cell r="BG1394" t="str">
            <v>Y</v>
          </cell>
        </row>
        <row r="1395">
          <cell r="A1395" t="str">
            <v>FBR1Q250136</v>
          </cell>
          <cell r="B1395">
            <v>250136</v>
          </cell>
          <cell r="C1395" t="str">
            <v>R&amp;D</v>
          </cell>
          <cell r="D1395">
            <v>45821</v>
          </cell>
          <cell r="E1395">
            <v>0.6645833333333333</v>
          </cell>
          <cell r="F1395">
            <v>45809</v>
          </cell>
          <cell r="G1395">
            <v>45821</v>
          </cell>
          <cell r="H1395">
            <v>0.74722222222222223</v>
          </cell>
          <cell r="I1395">
            <v>8.2638888888888887E-2</v>
          </cell>
          <cell r="J1395">
            <v>2</v>
          </cell>
          <cell r="K1395" t="str">
            <v>FCB-PROTOCOL-01</v>
          </cell>
          <cell r="L1395" t="str">
            <v>VYD/390</v>
          </cell>
          <cell r="M1395" t="str">
            <v>Y</v>
          </cell>
          <cell r="N1395" t="str">
            <v>COSv4.2_CaBR(1Q-Unknown)</v>
          </cell>
          <cell r="O1395" t="str">
            <v>Internal R&amp;D</v>
          </cell>
          <cell r="P1395" t="str">
            <v>Q1 Passed</v>
          </cell>
          <cell r="Q1395" t="str">
            <v>Q1 Passed</v>
          </cell>
          <cell r="R1395" t="str">
            <v>Q1.5 Passed</v>
          </cell>
          <cell r="S1395" t="str">
            <v>Rejected</v>
          </cell>
          <cell r="T1395" t="str">
            <v>No Tumor</v>
          </cell>
          <cell r="V1395" t="str">
            <v>No tumor, benign glands</v>
          </cell>
          <cell r="W1395" t="str">
            <v>Private Hospital</v>
          </cell>
          <cell r="X1395" t="str">
            <v>Vydehi Hospital, Bangalore</v>
          </cell>
          <cell r="Y1395" t="str">
            <v>Vydehi Hospital, Bangalore</v>
          </cell>
          <cell r="Z1395" t="str">
            <v>Dr Amritha Prabha, Bangalore</v>
          </cell>
          <cell r="AA1395" t="str">
            <v>Ca Breast</v>
          </cell>
          <cell r="AB1395" t="str">
            <v>NA</v>
          </cell>
          <cell r="AC1395" t="str">
            <v>Breast</v>
          </cell>
          <cell r="AD1395" t="str">
            <v>Right Modified Radical Mastectomy</v>
          </cell>
          <cell r="AE1395" t="str">
            <v>Female</v>
          </cell>
          <cell r="AF1395">
            <v>42</v>
          </cell>
          <cell r="AG1395" t="str">
            <v>N</v>
          </cell>
          <cell r="AH1395">
            <v>5.0999999999999996</v>
          </cell>
          <cell r="AI1395" t="str">
            <v>Kalappa</v>
          </cell>
          <cell r="AJ1395" t="str">
            <v>Surgery</v>
          </cell>
          <cell r="AK1395" t="str">
            <v>Primary</v>
          </cell>
          <cell r="AL1395" t="str">
            <v>NA</v>
          </cell>
          <cell r="AS1395" t="str">
            <v>IDC</v>
          </cell>
          <cell r="AV1395">
            <v>45821</v>
          </cell>
          <cell r="AW1395">
            <v>0.76736111111111116</v>
          </cell>
          <cell r="AX1395">
            <v>0.82638888888888884</v>
          </cell>
          <cell r="AY1395">
            <v>5.9027777777777776E-2</v>
          </cell>
          <cell r="AZ1395">
            <v>0.74375000000000002</v>
          </cell>
          <cell r="BA1395">
            <v>0.16180555555555556</v>
          </cell>
          <cell r="BB1395" t="str">
            <v>0.5-0.6*0.4-1.4*1.0-1.8</v>
          </cell>
          <cell r="BC1395" t="str">
            <v>NA</v>
          </cell>
          <cell r="BD1395" t="str">
            <v>Manual</v>
          </cell>
          <cell r="BE1395">
            <v>14</v>
          </cell>
          <cell r="BF1395" t="str">
            <v>Vasanth</v>
          </cell>
          <cell r="BG1395" t="str">
            <v>Y</v>
          </cell>
        </row>
        <row r="1396">
          <cell r="A1396" t="str">
            <v>FBR1K250137</v>
          </cell>
          <cell r="B1396">
            <v>250137</v>
          </cell>
          <cell r="C1396" t="str">
            <v>R&amp;D</v>
          </cell>
          <cell r="D1396">
            <v>45824</v>
          </cell>
          <cell r="E1396">
            <v>0.42499999999999999</v>
          </cell>
          <cell r="F1396">
            <v>45809</v>
          </cell>
          <cell r="G1396">
            <v>45824</v>
          </cell>
          <cell r="H1396">
            <v>0.53749999999999998</v>
          </cell>
          <cell r="I1396">
            <v>0.1125</v>
          </cell>
          <cell r="J1396">
            <v>12</v>
          </cell>
          <cell r="K1396" t="str">
            <v>FCB-PROTOCOL-01</v>
          </cell>
          <cell r="L1396" t="str">
            <v>VYD/391</v>
          </cell>
          <cell r="M1396" t="str">
            <v>Y</v>
          </cell>
          <cell r="N1396" t="str">
            <v>DMS_v4(1K)</v>
          </cell>
          <cell r="O1396" t="str">
            <v>Internal R&amp;D</v>
          </cell>
          <cell r="P1396" t="str">
            <v>Q1 Passed</v>
          </cell>
          <cell r="Q1396" t="str">
            <v>Q1 Passed</v>
          </cell>
          <cell r="R1396" t="str">
            <v>Q1.5 Passed</v>
          </cell>
          <cell r="S1396" t="str">
            <v>Q1.5 Passed</v>
          </cell>
          <cell r="V1396" t="str">
            <v>Tumor content 60-90%</v>
          </cell>
          <cell r="W1396" t="str">
            <v>Private Hospital</v>
          </cell>
          <cell r="X1396" t="str">
            <v>Vydehi Hospital, Bangalore</v>
          </cell>
          <cell r="Y1396" t="str">
            <v>Vydehi Hospital, Bangalore</v>
          </cell>
          <cell r="Z1396" t="str">
            <v>Dr Amritha Prabha, Bangalore</v>
          </cell>
          <cell r="AA1396" t="str">
            <v>HNSCC</v>
          </cell>
          <cell r="AB1396" t="str">
            <v>NA</v>
          </cell>
          <cell r="AC1396" t="str">
            <v>Buccal Mucosa</v>
          </cell>
          <cell r="AD1396" t="str">
            <v>Left Buccal Mucosa</v>
          </cell>
          <cell r="AE1396" t="str">
            <v>Female</v>
          </cell>
          <cell r="AF1396">
            <v>52</v>
          </cell>
          <cell r="AG1396" t="str">
            <v>N</v>
          </cell>
          <cell r="AH1396">
            <v>4.5999999999999996</v>
          </cell>
          <cell r="AI1396" t="str">
            <v>Kalappa</v>
          </cell>
          <cell r="AJ1396" t="str">
            <v>Surgery</v>
          </cell>
          <cell r="AK1396" t="str">
            <v>Primary</v>
          </cell>
          <cell r="AL1396" t="str">
            <v>NA</v>
          </cell>
          <cell r="AS1396" t="str">
            <v>SCC</v>
          </cell>
          <cell r="AV1396">
            <v>45824</v>
          </cell>
          <cell r="AW1396">
            <v>0.55347222222222225</v>
          </cell>
          <cell r="AX1396">
            <v>0.62847222222222221</v>
          </cell>
          <cell r="AY1396">
            <v>7.4999999999999997E-2</v>
          </cell>
          <cell r="AZ1396">
            <v>0.51597222222222228</v>
          </cell>
          <cell r="BA1396">
            <v>0.20347222222222222</v>
          </cell>
          <cell r="BB1396" t="str">
            <v>0.8*1.0-1.2*0.9-1.2</v>
          </cell>
          <cell r="BC1396" t="str">
            <v>NA</v>
          </cell>
          <cell r="BD1396" t="str">
            <v>Vibratome</v>
          </cell>
          <cell r="BE1396">
            <v>14</v>
          </cell>
          <cell r="BF1396" t="str">
            <v>Syam</v>
          </cell>
          <cell r="BG1396" t="str">
            <v>Y</v>
          </cell>
        </row>
        <row r="1397">
          <cell r="A1397" t="str">
            <v>FBR1Q250138</v>
          </cell>
          <cell r="B1397">
            <v>250138</v>
          </cell>
          <cell r="C1397" t="str">
            <v>R&amp;D</v>
          </cell>
          <cell r="D1397">
            <v>45824</v>
          </cell>
          <cell r="E1397">
            <v>0.56944444444444442</v>
          </cell>
          <cell r="F1397">
            <v>45809</v>
          </cell>
          <cell r="G1397">
            <v>45824</v>
          </cell>
          <cell r="H1397">
            <v>0.79791666666666672</v>
          </cell>
          <cell r="I1397">
            <v>0.22847222222222222</v>
          </cell>
          <cell r="J1397">
            <v>2</v>
          </cell>
          <cell r="K1397" t="str">
            <v>FCB-PROTOCOL-01</v>
          </cell>
          <cell r="L1397" t="str">
            <v>JSS-041</v>
          </cell>
          <cell r="M1397" t="str">
            <v>Y</v>
          </cell>
          <cell r="N1397" t="str">
            <v>COSv4.2_CaBR(1Q-Unknown)</v>
          </cell>
          <cell r="O1397" t="str">
            <v>Internal R&amp;D</v>
          </cell>
          <cell r="P1397" t="str">
            <v>Q1 Passed</v>
          </cell>
          <cell r="Q1397" t="str">
            <v>Q1 Passed</v>
          </cell>
          <cell r="R1397" t="str">
            <v>Q1.5 Passed</v>
          </cell>
          <cell r="S1397" t="str">
            <v>Rejected</v>
          </cell>
          <cell r="V1397" t="str">
            <v>No frank malignancy, benign lesions</v>
          </cell>
          <cell r="W1397" t="str">
            <v>Private Hospital</v>
          </cell>
          <cell r="X1397" t="str">
            <v>Dr Ravi Krishnappa, Mysore</v>
          </cell>
          <cell r="Y1397" t="str">
            <v>JSS Hospital, Mysore</v>
          </cell>
          <cell r="Z1397" t="str">
            <v>Dr Ravi Krishnappa, Mysore</v>
          </cell>
          <cell r="AA1397" t="str">
            <v>Ca Breast</v>
          </cell>
          <cell r="AB1397" t="str">
            <v>NA</v>
          </cell>
          <cell r="AC1397" t="str">
            <v>Breast</v>
          </cell>
          <cell r="AD1397" t="str">
            <v>Left Breast</v>
          </cell>
          <cell r="AE1397" t="str">
            <v>Female</v>
          </cell>
          <cell r="AF1397">
            <v>59</v>
          </cell>
          <cell r="AG1397" t="str">
            <v>N</v>
          </cell>
          <cell r="AH1397">
            <v>5.5</v>
          </cell>
          <cell r="AI1397" t="str">
            <v>Shashi</v>
          </cell>
          <cell r="AJ1397" t="str">
            <v>Surgery</v>
          </cell>
          <cell r="AK1397" t="str">
            <v>Primary</v>
          </cell>
          <cell r="AL1397" t="str">
            <v>NA</v>
          </cell>
          <cell r="AV1397">
            <v>45824</v>
          </cell>
          <cell r="AW1397">
            <v>0.80625000000000002</v>
          </cell>
          <cell r="AX1397">
            <v>0.83750000000000002</v>
          </cell>
          <cell r="AY1397">
            <v>3.125E-2</v>
          </cell>
          <cell r="AZ1397">
            <v>0.60902777777777772</v>
          </cell>
          <cell r="BA1397">
            <v>0.26805555555555555</v>
          </cell>
          <cell r="BB1397" t="str">
            <v>0.4-0.5*1.2-1.3*1.6</v>
          </cell>
          <cell r="BC1397" t="str">
            <v>NA</v>
          </cell>
          <cell r="BD1397" t="str">
            <v>Manual</v>
          </cell>
          <cell r="BE1397">
            <v>14</v>
          </cell>
          <cell r="BF1397" t="str">
            <v>Dharani</v>
          </cell>
          <cell r="BG1397" t="str">
            <v>N</v>
          </cell>
        </row>
        <row r="1398">
          <cell r="A1398">
            <v>250139</v>
          </cell>
          <cell r="B1398">
            <v>250139</v>
          </cell>
          <cell r="C1398" t="str">
            <v>R&amp;D</v>
          </cell>
          <cell r="D1398">
            <v>45825</v>
          </cell>
          <cell r="E1398">
            <v>0.5180555555555556</v>
          </cell>
          <cell r="F1398">
            <v>45809</v>
          </cell>
          <cell r="G1398">
            <v>45825</v>
          </cell>
          <cell r="H1398">
            <v>0.5180555555555556</v>
          </cell>
          <cell r="I1398">
            <v>0</v>
          </cell>
          <cell r="J1398">
            <v>0</v>
          </cell>
          <cell r="K1398" t="str">
            <v>NA</v>
          </cell>
          <cell r="L1398" t="str">
            <v>FBS-BLD-005</v>
          </cell>
          <cell r="M1398" t="str">
            <v>N</v>
          </cell>
          <cell r="N1398" t="str">
            <v>NA</v>
          </cell>
          <cell r="O1398" t="str">
            <v>Internal R&amp;D</v>
          </cell>
          <cell r="P1398" t="str">
            <v>NA</v>
          </cell>
          <cell r="Q1398" t="str">
            <v>Q1 Passed</v>
          </cell>
          <cell r="R1398" t="str">
            <v>Q1.5 Passed</v>
          </cell>
          <cell r="S1398" t="str">
            <v>Qualified</v>
          </cell>
          <cell r="T1398" t="str">
            <v>Nil</v>
          </cell>
          <cell r="U1398" t="str">
            <v>NA</v>
          </cell>
          <cell r="V1398" t="str">
            <v>NA</v>
          </cell>
          <cell r="W1398" t="str">
            <v>Farcast</v>
          </cell>
          <cell r="X1398" t="str">
            <v>NA</v>
          </cell>
          <cell r="Y1398" t="str">
            <v>NA</v>
          </cell>
          <cell r="Z1398" t="str">
            <v>NA</v>
          </cell>
          <cell r="AA1398" t="str">
            <v>Healthy Blood</v>
          </cell>
          <cell r="AB1398" t="str">
            <v>NA</v>
          </cell>
          <cell r="AC1398" t="str">
            <v>Healthy Blood</v>
          </cell>
          <cell r="AD1398" t="str">
            <v>Healthy Blood</v>
          </cell>
          <cell r="AE1398" t="str">
            <v>Male</v>
          </cell>
          <cell r="AF1398">
            <v>36</v>
          </cell>
          <cell r="AG1398" t="str">
            <v>N</v>
          </cell>
          <cell r="AH1398">
            <v>4</v>
          </cell>
          <cell r="AI1398" t="str">
            <v>Kalappa</v>
          </cell>
          <cell r="AJ1398" t="str">
            <v>NA</v>
          </cell>
          <cell r="AK1398" t="str">
            <v>NA</v>
          </cell>
          <cell r="AL1398" t="str">
            <v>NA</v>
          </cell>
          <cell r="AV1398">
            <v>45825</v>
          </cell>
          <cell r="AW1398" t="str">
            <v>NA</v>
          </cell>
          <cell r="AX1398" t="str">
            <v>NA</v>
          </cell>
          <cell r="AY1398" t="str">
            <v>NA</v>
          </cell>
          <cell r="AZ1398" t="str">
            <v>NA</v>
          </cell>
          <cell r="BA1398" t="str">
            <v>NA</v>
          </cell>
          <cell r="BB1398" t="str">
            <v>NA</v>
          </cell>
          <cell r="BC1398" t="str">
            <v>NA</v>
          </cell>
          <cell r="BD1398" t="str">
            <v>NA</v>
          </cell>
          <cell r="BE1398" t="str">
            <v>NA</v>
          </cell>
          <cell r="BF1398" t="str">
            <v>NA</v>
          </cell>
          <cell r="BG1398" t="str">
            <v>NA</v>
          </cell>
        </row>
        <row r="1399">
          <cell r="A1399">
            <v>250140</v>
          </cell>
          <cell r="B1399">
            <v>250140</v>
          </cell>
          <cell r="C1399" t="str">
            <v>R&amp;D</v>
          </cell>
          <cell r="D1399">
            <v>45825</v>
          </cell>
          <cell r="E1399">
            <v>0.52083333333333337</v>
          </cell>
          <cell r="F1399">
            <v>45809</v>
          </cell>
          <cell r="G1399">
            <v>45825</v>
          </cell>
          <cell r="H1399">
            <v>0.52083333333333337</v>
          </cell>
          <cell r="I1399">
            <v>0</v>
          </cell>
          <cell r="J1399">
            <v>0</v>
          </cell>
          <cell r="K1399" t="str">
            <v>NA</v>
          </cell>
          <cell r="L1399" t="str">
            <v>FBS-BLD-006</v>
          </cell>
          <cell r="M1399" t="str">
            <v>N</v>
          </cell>
          <cell r="N1399" t="str">
            <v>NA</v>
          </cell>
          <cell r="O1399" t="str">
            <v>Internal R&amp;D</v>
          </cell>
          <cell r="P1399" t="str">
            <v>NA</v>
          </cell>
          <cell r="Q1399" t="str">
            <v>Q1 Passed</v>
          </cell>
          <cell r="R1399" t="str">
            <v>Q1.5 Passed</v>
          </cell>
          <cell r="S1399" t="str">
            <v>Qualified</v>
          </cell>
          <cell r="T1399" t="str">
            <v>Nil</v>
          </cell>
          <cell r="U1399" t="str">
            <v>NA</v>
          </cell>
          <cell r="V1399" t="str">
            <v>NA</v>
          </cell>
          <cell r="W1399" t="str">
            <v>Farcast</v>
          </cell>
          <cell r="X1399" t="str">
            <v>NA</v>
          </cell>
          <cell r="Y1399" t="str">
            <v>NA</v>
          </cell>
          <cell r="Z1399" t="str">
            <v>NA</v>
          </cell>
          <cell r="AA1399" t="str">
            <v>Healthy Blood</v>
          </cell>
          <cell r="AB1399" t="str">
            <v>NA</v>
          </cell>
          <cell r="AC1399" t="str">
            <v>Healthy Blood</v>
          </cell>
          <cell r="AD1399" t="str">
            <v>Healthy Blood</v>
          </cell>
          <cell r="AE1399" t="str">
            <v>Male</v>
          </cell>
          <cell r="AF1399">
            <v>31</v>
          </cell>
          <cell r="AG1399" t="str">
            <v>N</v>
          </cell>
          <cell r="AH1399">
            <v>4</v>
          </cell>
          <cell r="AI1399" t="str">
            <v>Kalappa</v>
          </cell>
          <cell r="AJ1399" t="str">
            <v>NA</v>
          </cell>
          <cell r="AK1399" t="str">
            <v>NA</v>
          </cell>
          <cell r="AL1399" t="str">
            <v>NA</v>
          </cell>
          <cell r="AV1399">
            <v>45825</v>
          </cell>
          <cell r="AW1399" t="str">
            <v>NA</v>
          </cell>
          <cell r="AX1399" t="str">
            <v>NA</v>
          </cell>
          <cell r="AY1399" t="str">
            <v>NA</v>
          </cell>
          <cell r="AZ1399" t="str">
            <v>NA</v>
          </cell>
          <cell r="BA1399" t="str">
            <v>NA</v>
          </cell>
          <cell r="BB1399" t="str">
            <v>NA</v>
          </cell>
          <cell r="BC1399" t="str">
            <v>NA</v>
          </cell>
          <cell r="BD1399" t="str">
            <v>NA</v>
          </cell>
          <cell r="BE1399" t="str">
            <v>NA</v>
          </cell>
          <cell r="BF1399" t="str">
            <v>NA</v>
          </cell>
          <cell r="BG1399" t="str">
            <v>NA</v>
          </cell>
        </row>
        <row r="1400">
          <cell r="A1400" t="str">
            <v>FBR2O250141</v>
          </cell>
          <cell r="B1400">
            <v>250141</v>
          </cell>
          <cell r="C1400" t="str">
            <v>R&amp;D</v>
          </cell>
          <cell r="D1400">
            <v>45826</v>
          </cell>
          <cell r="E1400">
            <v>0.625</v>
          </cell>
          <cell r="F1400">
            <v>45809</v>
          </cell>
          <cell r="G1400">
            <v>45826</v>
          </cell>
          <cell r="H1400">
            <v>0.69930555555555551</v>
          </cell>
          <cell r="I1400">
            <v>7.4305555555555555E-2</v>
          </cell>
          <cell r="J1400">
            <v>10</v>
          </cell>
          <cell r="K1400" t="str">
            <v>FCB-PROTOCOL-01</v>
          </cell>
          <cell r="L1400" t="str">
            <v>KH-010</v>
          </cell>
          <cell r="M1400" t="str">
            <v>Y</v>
          </cell>
          <cell r="N1400" t="str">
            <v>Prostate Biopsy (2O)</v>
          </cell>
          <cell r="O1400" t="str">
            <v>Internal R&amp;D</v>
          </cell>
          <cell r="P1400" t="str">
            <v>Q1 Passed</v>
          </cell>
          <cell r="Q1400" t="str">
            <v>Q1 Passed</v>
          </cell>
          <cell r="R1400" t="str">
            <v>Q1.5 Passed</v>
          </cell>
          <cell r="S1400" t="str">
            <v>Rejected</v>
          </cell>
          <cell r="V1400" t="str">
            <v>No Tumor</v>
          </cell>
          <cell r="W1400" t="str">
            <v>Private Hospital</v>
          </cell>
          <cell r="X1400" t="str">
            <v>Kauvery Hospital, Elelctronic city bangalore</v>
          </cell>
          <cell r="Y1400" t="str">
            <v>Kauvery Hospital, Elelctronic city bangalore</v>
          </cell>
          <cell r="Z1400" t="str">
            <v>Dr Sreeharsha</v>
          </cell>
          <cell r="AA1400" t="str">
            <v>Prostate</v>
          </cell>
          <cell r="AB1400" t="str">
            <v>NA</v>
          </cell>
          <cell r="AC1400" t="str">
            <v>Prostate</v>
          </cell>
          <cell r="AD1400" t="str">
            <v>Prostate</v>
          </cell>
          <cell r="AE1400" t="str">
            <v>Male</v>
          </cell>
          <cell r="AF1400">
            <v>90</v>
          </cell>
          <cell r="AG1400" t="str">
            <v>N</v>
          </cell>
          <cell r="AH1400">
            <v>4.5999999999999996</v>
          </cell>
          <cell r="AI1400" t="str">
            <v>Kalappa</v>
          </cell>
          <cell r="AJ1400" t="str">
            <v>Surgery</v>
          </cell>
          <cell r="AK1400" t="str">
            <v>Primary</v>
          </cell>
          <cell r="AL1400" t="str">
            <v>NA</v>
          </cell>
          <cell r="AV1400">
            <v>45826</v>
          </cell>
          <cell r="AW1400">
            <v>0.71180555555555558</v>
          </cell>
          <cell r="AX1400">
            <v>0.77569444444444446</v>
          </cell>
          <cell r="AY1400">
            <v>6.3888888888888884E-2</v>
          </cell>
          <cell r="AZ1400">
            <v>0.70138888888888884</v>
          </cell>
          <cell r="BA1400">
            <v>0.15069444444444444</v>
          </cell>
          <cell r="BB1400" t="str">
            <v>0.2-0.3</v>
          </cell>
          <cell r="BC1400" t="str">
            <v>NA</v>
          </cell>
          <cell r="BD1400" t="str">
            <v>Manual</v>
          </cell>
          <cell r="BE1400">
            <v>14</v>
          </cell>
          <cell r="BF1400" t="str">
            <v>Abdul</v>
          </cell>
          <cell r="BG1400" t="str">
            <v>Y</v>
          </cell>
        </row>
        <row r="1401">
          <cell r="A1401" t="str">
            <v>FBR1K250142</v>
          </cell>
          <cell r="B1401">
            <v>250142</v>
          </cell>
          <cell r="C1401" t="str">
            <v>R&amp;D</v>
          </cell>
          <cell r="D1401">
            <v>45828</v>
          </cell>
          <cell r="E1401">
            <v>0.51736111111111116</v>
          </cell>
          <cell r="F1401">
            <v>45809</v>
          </cell>
          <cell r="G1401">
            <v>45828</v>
          </cell>
          <cell r="H1401">
            <v>0.60138888888888886</v>
          </cell>
          <cell r="I1401">
            <v>8.4027777777777785E-2</v>
          </cell>
          <cell r="J1401">
            <v>3</v>
          </cell>
          <cell r="K1401" t="str">
            <v>FCB-PROTOCOL-01</v>
          </cell>
          <cell r="L1401" t="str">
            <v>CLN/PRA/328</v>
          </cell>
          <cell r="M1401" t="str">
            <v>Y</v>
          </cell>
          <cell r="N1401" t="str">
            <v>DMS_v4(1K)</v>
          </cell>
          <cell r="O1401" t="str">
            <v>Internal R&amp;D</v>
          </cell>
          <cell r="P1401" t="str">
            <v>Q1 Passed</v>
          </cell>
          <cell r="Q1401" t="str">
            <v>Q1 Passed</v>
          </cell>
          <cell r="R1401" t="str">
            <v>Q1.5 Passed</v>
          </cell>
          <cell r="S1401" t="str">
            <v>Qualified</v>
          </cell>
          <cell r="V1401" t="str">
            <v>Tumor content 5-75%</v>
          </cell>
          <cell r="W1401" t="str">
            <v>Private Hospital</v>
          </cell>
          <cell r="X1401" t="str">
            <v>Dr Prakash BV, Bangalore</v>
          </cell>
          <cell r="Y1401" t="str">
            <v>Sri Lakshmi Hospital, Bangalore</v>
          </cell>
          <cell r="Z1401" t="str">
            <v>Dr Prakash BV, Bangalore</v>
          </cell>
          <cell r="AA1401" t="str">
            <v>HNSCC</v>
          </cell>
          <cell r="AB1401" t="str">
            <v>NA</v>
          </cell>
          <cell r="AC1401" t="str">
            <v>Buccal Mucosa</v>
          </cell>
          <cell r="AD1401" t="str">
            <v>Right Buccal Mucosa</v>
          </cell>
          <cell r="AE1401" t="str">
            <v>Male</v>
          </cell>
          <cell r="AF1401">
            <v>52</v>
          </cell>
          <cell r="AG1401" t="str">
            <v>N</v>
          </cell>
          <cell r="AH1401">
            <v>5.8</v>
          </cell>
          <cell r="AI1401" t="str">
            <v>Kalappa</v>
          </cell>
          <cell r="AJ1401" t="str">
            <v>Surgery</v>
          </cell>
          <cell r="AK1401" t="str">
            <v>Primary</v>
          </cell>
          <cell r="AL1401" t="str">
            <v>NA</v>
          </cell>
          <cell r="AN1401" t="str">
            <v>II</v>
          </cell>
          <cell r="AP1401" t="str">
            <v>pT2N0M0</v>
          </cell>
          <cell r="AS1401" t="str">
            <v>SCC</v>
          </cell>
          <cell r="AV1401">
            <v>45828</v>
          </cell>
          <cell r="AW1401">
            <v>0.6166666666666667</v>
          </cell>
          <cell r="AX1401">
            <v>0.71458333333333335</v>
          </cell>
          <cell r="AY1401">
            <v>9.7916666666666666E-2</v>
          </cell>
          <cell r="AZ1401">
            <v>0.63055555555555554</v>
          </cell>
          <cell r="BA1401">
            <v>0.19722222222222222</v>
          </cell>
          <cell r="BB1401" t="str">
            <v>0.6-0.8*0.6-1.0*1.0-1.5
0.6*0.5-1.0*0.4-1.5</v>
          </cell>
          <cell r="BC1401" t="str">
            <v>NA</v>
          </cell>
          <cell r="BD1401" t="str">
            <v>Vibratome</v>
          </cell>
          <cell r="BE1401">
            <v>14</v>
          </cell>
          <cell r="BF1401" t="str">
            <v>Vasanth</v>
          </cell>
          <cell r="BG1401" t="str">
            <v>Y</v>
          </cell>
        </row>
        <row r="1402">
          <cell r="A1402" t="str">
            <v>FBR2O250143</v>
          </cell>
          <cell r="B1402">
            <v>250143</v>
          </cell>
          <cell r="C1402" t="str">
            <v>R&amp;D</v>
          </cell>
          <cell r="D1402">
            <v>45829</v>
          </cell>
          <cell r="E1402">
            <v>0.625</v>
          </cell>
          <cell r="F1402">
            <v>45809</v>
          </cell>
          <cell r="G1402">
            <v>45829</v>
          </cell>
          <cell r="H1402">
            <v>0.77708333333333335</v>
          </cell>
          <cell r="I1402">
            <v>0.15208333333333332</v>
          </cell>
          <cell r="J1402">
            <v>10</v>
          </cell>
          <cell r="K1402" t="str">
            <v>FCB-PROTOCOL-01</v>
          </cell>
          <cell r="L1402" t="str">
            <v>KH-011</v>
          </cell>
          <cell r="M1402" t="str">
            <v>Y</v>
          </cell>
          <cell r="N1402" t="str">
            <v>Prostate Biopsy (2O)</v>
          </cell>
          <cell r="O1402" t="str">
            <v>Internal R&amp;D</v>
          </cell>
          <cell r="P1402" t="str">
            <v>Q1 Passed</v>
          </cell>
          <cell r="Q1402" t="str">
            <v>Q1 Passed</v>
          </cell>
          <cell r="R1402" t="str">
            <v>Q1.5 Passed</v>
          </cell>
          <cell r="S1402" t="str">
            <v>Rejected</v>
          </cell>
          <cell r="V1402" t="str">
            <v>No tumor</v>
          </cell>
          <cell r="W1402" t="str">
            <v>Private Hospital</v>
          </cell>
          <cell r="X1402" t="str">
            <v>Kauvery Hospital, Elelctronic city bangalore</v>
          </cell>
          <cell r="Y1402" t="str">
            <v>Kauvery Hospital, Elelctronic city bangalore</v>
          </cell>
          <cell r="Z1402" t="str">
            <v>Dr Sreeharsha</v>
          </cell>
          <cell r="AA1402" t="str">
            <v>Prostate</v>
          </cell>
          <cell r="AB1402" t="str">
            <v>NA</v>
          </cell>
          <cell r="AC1402" t="str">
            <v>Prostate</v>
          </cell>
          <cell r="AD1402" t="str">
            <v>Prostate</v>
          </cell>
          <cell r="AE1402" t="str">
            <v>Male</v>
          </cell>
          <cell r="AF1402">
            <v>82</v>
          </cell>
          <cell r="AG1402" t="str">
            <v>N</v>
          </cell>
          <cell r="AH1402">
            <v>4.3</v>
          </cell>
          <cell r="AI1402" t="str">
            <v>Maruthi</v>
          </cell>
          <cell r="AJ1402" t="str">
            <v>Biopsy</v>
          </cell>
          <cell r="AK1402" t="str">
            <v>Primary</v>
          </cell>
          <cell r="AL1402" t="str">
            <v>NA</v>
          </cell>
          <cell r="AV1402">
            <v>45829</v>
          </cell>
          <cell r="AW1402">
            <v>0.8</v>
          </cell>
          <cell r="AX1402">
            <v>0.90416666666666667</v>
          </cell>
          <cell r="AY1402">
            <v>0.10416666666666667</v>
          </cell>
          <cell r="AZ1402">
            <v>0.75208333333333333</v>
          </cell>
          <cell r="BA1402">
            <v>0.27916666666666667</v>
          </cell>
          <cell r="BB1402" t="str">
            <v>0.1-0.4, 38 Piece</v>
          </cell>
          <cell r="BD1402" t="str">
            <v>Manual</v>
          </cell>
          <cell r="BE1402">
            <v>14</v>
          </cell>
          <cell r="BF1402" t="str">
            <v>Mouniss</v>
          </cell>
          <cell r="BG1402" t="str">
            <v>Y</v>
          </cell>
        </row>
        <row r="1403">
          <cell r="A1403" t="str">
            <v>FBR1Q250144</v>
          </cell>
          <cell r="B1403">
            <v>250144</v>
          </cell>
          <cell r="C1403" t="str">
            <v>R&amp;D</v>
          </cell>
          <cell r="D1403">
            <v>45831</v>
          </cell>
          <cell r="E1403">
            <v>0.58333333333333337</v>
          </cell>
          <cell r="F1403">
            <v>45809</v>
          </cell>
          <cell r="G1403">
            <v>45831</v>
          </cell>
          <cell r="H1403">
            <v>0.7319444444444444</v>
          </cell>
          <cell r="I1403">
            <v>0.14861111111111111</v>
          </cell>
          <cell r="J1403">
            <v>18</v>
          </cell>
          <cell r="K1403" t="str">
            <v>FCB-PROTOCOL-01</v>
          </cell>
          <cell r="L1403" t="str">
            <v>VYD/392</v>
          </cell>
          <cell r="M1403" t="str">
            <v>Y</v>
          </cell>
          <cell r="N1403" t="str">
            <v>COSv4.2_CaBR(1Q-Unknown)</v>
          </cell>
          <cell r="O1403" t="str">
            <v>Internal R&amp;D</v>
          </cell>
          <cell r="P1403" t="str">
            <v>Q1 Passed</v>
          </cell>
          <cell r="Q1403" t="str">
            <v>Q1 Passed</v>
          </cell>
          <cell r="R1403" t="str">
            <v>Q1.5 Passed</v>
          </cell>
          <cell r="S1403" t="str">
            <v>Q1.5 Passed</v>
          </cell>
          <cell r="V1403" t="str">
            <v>Tumor content 60-85%</v>
          </cell>
          <cell r="W1403" t="str">
            <v>Private Hospital</v>
          </cell>
          <cell r="X1403" t="str">
            <v>Vydehi Hospital, Bangalore</v>
          </cell>
          <cell r="Y1403" t="str">
            <v>Vydehi Hospital, Bangalore</v>
          </cell>
          <cell r="Z1403" t="str">
            <v>Dr Amritha Prabha, Bangalore</v>
          </cell>
          <cell r="AA1403" t="str">
            <v>Ca Breast</v>
          </cell>
          <cell r="AB1403" t="str">
            <v>TNBC</v>
          </cell>
          <cell r="AC1403" t="str">
            <v>Breast</v>
          </cell>
          <cell r="AD1403" t="str">
            <v>Right Breast</v>
          </cell>
          <cell r="AE1403" t="str">
            <v>Female</v>
          </cell>
          <cell r="AF1403">
            <v>49</v>
          </cell>
          <cell r="AG1403" t="str">
            <v>N</v>
          </cell>
          <cell r="AH1403">
            <v>5.4</v>
          </cell>
          <cell r="AI1403" t="str">
            <v>Maruthi</v>
          </cell>
          <cell r="AJ1403" t="str">
            <v>Surgery</v>
          </cell>
          <cell r="AK1403" t="str">
            <v>Primary</v>
          </cell>
          <cell r="AL1403" t="str">
            <v>Surgery</v>
          </cell>
          <cell r="AS1403" t="str">
            <v>IDC</v>
          </cell>
          <cell r="AV1403">
            <v>45831</v>
          </cell>
          <cell r="AW1403">
            <v>0.74375000000000002</v>
          </cell>
          <cell r="AX1403">
            <v>0.81874999999999998</v>
          </cell>
          <cell r="AY1403">
            <v>7.4999999999999997E-2</v>
          </cell>
          <cell r="AZ1403">
            <v>0.67013888888888884</v>
          </cell>
          <cell r="BA1403">
            <v>0.23541666666666666</v>
          </cell>
          <cell r="BB1403" t="str">
            <v>1.0*1.0-1.4*1.8-2.2</v>
          </cell>
          <cell r="BD1403" t="str">
            <v>Manual</v>
          </cell>
          <cell r="BE1403">
            <v>14</v>
          </cell>
          <cell r="BF1403" t="str">
            <v>Jobin</v>
          </cell>
          <cell r="BG1403" t="str">
            <v>Y</v>
          </cell>
        </row>
        <row r="1404">
          <cell r="A1404" t="str">
            <v>FBR1C250145</v>
          </cell>
          <cell r="B1404">
            <v>250145</v>
          </cell>
          <cell r="C1404" t="str">
            <v>R&amp;D</v>
          </cell>
          <cell r="D1404">
            <v>45832</v>
          </cell>
          <cell r="E1404">
            <v>0.4777777777777778</v>
          </cell>
          <cell r="F1404">
            <v>45809</v>
          </cell>
          <cell r="G1404">
            <v>45832</v>
          </cell>
          <cell r="H1404">
            <v>0.60069444444444442</v>
          </cell>
          <cell r="I1404">
            <v>0.12291666666666666</v>
          </cell>
          <cell r="J1404">
            <v>7</v>
          </cell>
          <cell r="K1404" t="str">
            <v>FCB-PROTOCOL-01</v>
          </cell>
          <cell r="L1404" t="str">
            <v>VYD/393</v>
          </cell>
          <cell r="M1404" t="str">
            <v>Y</v>
          </cell>
          <cell r="N1404" t="str">
            <v>Cul Imp (1C)</v>
          </cell>
          <cell r="O1404" t="str">
            <v>Internal R&amp;D</v>
          </cell>
          <cell r="P1404" t="str">
            <v>Q1 Passed</v>
          </cell>
          <cell r="Q1404" t="str">
            <v>Q1 Passed</v>
          </cell>
          <cell r="R1404" t="str">
            <v>Q1.5 Passed</v>
          </cell>
          <cell r="S1404" t="str">
            <v>Rejected</v>
          </cell>
          <cell r="V1404" t="str">
            <v>No tumor</v>
          </cell>
          <cell r="W1404" t="str">
            <v>Private Hospital</v>
          </cell>
          <cell r="X1404" t="str">
            <v>Vydehi Hospital, Bangalore</v>
          </cell>
          <cell r="Y1404" t="str">
            <v>Vydehi Hospital, Bangalore</v>
          </cell>
          <cell r="Z1404" t="str">
            <v>Dr Amritha Prabha, Bangalore</v>
          </cell>
          <cell r="AA1404" t="str">
            <v>HNSCC</v>
          </cell>
          <cell r="AB1404" t="str">
            <v>NA</v>
          </cell>
          <cell r="AC1404" t="str">
            <v>Buccal Mucosa</v>
          </cell>
          <cell r="AD1404" t="str">
            <v>Right Buccal Mucosa</v>
          </cell>
          <cell r="AE1404" t="str">
            <v>Female</v>
          </cell>
          <cell r="AF1404">
            <v>42</v>
          </cell>
          <cell r="AG1404" t="str">
            <v>N</v>
          </cell>
          <cell r="AH1404">
            <v>5.6</v>
          </cell>
          <cell r="AI1404" t="str">
            <v>Shashi</v>
          </cell>
          <cell r="AJ1404" t="str">
            <v>Surgery</v>
          </cell>
          <cell r="AK1404" t="str">
            <v>Primary</v>
          </cell>
          <cell r="AL1404" t="str">
            <v>NA</v>
          </cell>
          <cell r="AS1404" t="str">
            <v>SCC</v>
          </cell>
          <cell r="AV1404">
            <v>45832</v>
          </cell>
          <cell r="AW1404">
            <v>0.61527777777777781</v>
          </cell>
          <cell r="AX1404">
            <v>0.70625000000000004</v>
          </cell>
          <cell r="BB1404" t="str">
            <v>0.3-0.4*1.2*1.4</v>
          </cell>
          <cell r="BD1404" t="str">
            <v>Vibratome</v>
          </cell>
          <cell r="BE1404">
            <v>14</v>
          </cell>
          <cell r="BF1404" t="str">
            <v>Jobin</v>
          </cell>
          <cell r="BG1404" t="str">
            <v>Y</v>
          </cell>
        </row>
        <row r="1405">
          <cell r="A1405">
            <v>250146</v>
          </cell>
          <cell r="B1405">
            <v>250146</v>
          </cell>
          <cell r="C1405" t="str">
            <v>R&amp;D</v>
          </cell>
          <cell r="D1405">
            <v>45833</v>
          </cell>
          <cell r="E1405">
            <v>0.4201388888888889</v>
          </cell>
          <cell r="F1405">
            <v>45809</v>
          </cell>
          <cell r="G1405">
            <v>45833</v>
          </cell>
          <cell r="H1405">
            <v>0.55000000000000004</v>
          </cell>
          <cell r="I1405">
            <v>0.12986111111111112</v>
          </cell>
          <cell r="J1405">
            <v>1</v>
          </cell>
          <cell r="K1405" t="str">
            <v>FCB-PROTOCOL-01</v>
          </cell>
          <cell r="L1405" t="str">
            <v>VYD/394</v>
          </cell>
          <cell r="M1405" t="str">
            <v>Y</v>
          </cell>
          <cell r="N1405" t="str">
            <v>BioBank</v>
          </cell>
          <cell r="O1405" t="str">
            <v>Internal R&amp;D</v>
          </cell>
          <cell r="P1405" t="str">
            <v>Q1 Rejected</v>
          </cell>
          <cell r="Q1405" t="str">
            <v>Q1 Rejected</v>
          </cell>
          <cell r="R1405" t="str">
            <v>Q1.5 Rejected</v>
          </cell>
          <cell r="S1405" t="str">
            <v>Rejected</v>
          </cell>
          <cell r="T1405" t="str">
            <v>Hard Tissue</v>
          </cell>
          <cell r="V1405" t="str">
            <v>FFPE</v>
          </cell>
          <cell r="W1405" t="str">
            <v>Private Hospital</v>
          </cell>
          <cell r="X1405" t="str">
            <v>Vydehi Hospital, Bangalore</v>
          </cell>
          <cell r="Y1405" t="str">
            <v>Vydehi Hospital, Bangalore</v>
          </cell>
          <cell r="Z1405" t="str">
            <v>Dr Amritha Prabha, Bangalore</v>
          </cell>
          <cell r="AA1405" t="str">
            <v>Ca Ovary</v>
          </cell>
          <cell r="AB1405" t="str">
            <v>NA</v>
          </cell>
          <cell r="AC1405" t="str">
            <v>Ovary</v>
          </cell>
          <cell r="AD1405" t="str">
            <v>Ovary</v>
          </cell>
          <cell r="AE1405" t="str">
            <v>Female</v>
          </cell>
          <cell r="AF1405">
            <v>67</v>
          </cell>
          <cell r="AG1405" t="str">
            <v>N</v>
          </cell>
          <cell r="AH1405">
            <v>5.0999999999999996</v>
          </cell>
          <cell r="AI1405" t="str">
            <v>Kalappa</v>
          </cell>
          <cell r="AJ1405" t="str">
            <v>Surgery</v>
          </cell>
          <cell r="AK1405" t="str">
            <v>Primary</v>
          </cell>
          <cell r="AL1405" t="str">
            <v>Chemotherapy</v>
          </cell>
          <cell r="AQ1405">
            <v>6</v>
          </cell>
          <cell r="AR1405" t="str">
            <v>Paclitaxel, Carboplatin, Libosome doxorubicin</v>
          </cell>
          <cell r="AS1405" t="str">
            <v>Adenocarcinoma</v>
          </cell>
          <cell r="AV1405">
            <v>45833</v>
          </cell>
        </row>
        <row r="1406">
          <cell r="A1406" t="str">
            <v>FBR1C250147</v>
          </cell>
          <cell r="B1406">
            <v>250147</v>
          </cell>
          <cell r="C1406" t="str">
            <v>R&amp;D</v>
          </cell>
          <cell r="D1406">
            <v>45838</v>
          </cell>
          <cell r="E1406">
            <v>0.50486111111111109</v>
          </cell>
          <cell r="F1406">
            <v>45809</v>
          </cell>
          <cell r="G1406">
            <v>45838</v>
          </cell>
          <cell r="H1406">
            <v>0.59444444444444444</v>
          </cell>
          <cell r="I1406">
            <v>8.9583333333333334E-2</v>
          </cell>
          <cell r="J1406">
            <v>3</v>
          </cell>
          <cell r="K1406" t="str">
            <v>FCB-PROTOCOL-01</v>
          </cell>
          <cell r="L1406" t="str">
            <v>CLN/PRA/329</v>
          </cell>
          <cell r="M1406" t="str">
            <v>Y</v>
          </cell>
          <cell r="N1406" t="str">
            <v>Cul Imp (1C)</v>
          </cell>
          <cell r="O1406" t="str">
            <v>Internal R&amp;D</v>
          </cell>
          <cell r="P1406" t="str">
            <v>Q1 Passed</v>
          </cell>
          <cell r="Q1406" t="str">
            <v>Q1 Rejected</v>
          </cell>
          <cell r="R1406" t="str">
            <v>Q1.5 Passed</v>
          </cell>
          <cell r="S1406" t="str">
            <v>Qualified</v>
          </cell>
          <cell r="V1406" t="str">
            <v>Tumor content 40-65%</v>
          </cell>
          <cell r="W1406" t="str">
            <v>Private Hospital</v>
          </cell>
          <cell r="X1406" t="str">
            <v>Dr Prakash BV, Bangalore</v>
          </cell>
          <cell r="Y1406" t="str">
            <v>Sri Lakshmi Hospital, Bangalore</v>
          </cell>
          <cell r="Z1406" t="str">
            <v>Dr Prakash BV, Bangalore</v>
          </cell>
          <cell r="AA1406" t="str">
            <v>HNSCC</v>
          </cell>
          <cell r="AB1406" t="str">
            <v>NA</v>
          </cell>
          <cell r="AC1406" t="str">
            <v>Pharynx</v>
          </cell>
          <cell r="AD1406" t="str">
            <v>Pharynx</v>
          </cell>
          <cell r="AE1406" t="str">
            <v>Male</v>
          </cell>
          <cell r="AF1406">
            <v>40</v>
          </cell>
          <cell r="AG1406" t="str">
            <v>N</v>
          </cell>
          <cell r="AH1406">
            <v>5.6</v>
          </cell>
          <cell r="AI1406" t="str">
            <v>Kalappa</v>
          </cell>
          <cell r="AJ1406" t="str">
            <v>Surgery</v>
          </cell>
          <cell r="AK1406" t="str">
            <v>Primary</v>
          </cell>
          <cell r="AL1406" t="str">
            <v>NA</v>
          </cell>
          <cell r="AN1406" t="str">
            <v>II</v>
          </cell>
          <cell r="AP1406" t="str">
            <v>pT3N1M0</v>
          </cell>
          <cell r="AS1406" t="str">
            <v>SCC</v>
          </cell>
          <cell r="AV1406">
            <v>45838</v>
          </cell>
          <cell r="AW1406">
            <v>0.60833333333333328</v>
          </cell>
          <cell r="AX1406">
            <v>0.7</v>
          </cell>
          <cell r="BB1406" t="str">
            <v>0.2-0.4*1.6*2.4</v>
          </cell>
          <cell r="BD1406" t="str">
            <v>Vibratome</v>
          </cell>
          <cell r="BE1406">
            <v>14</v>
          </cell>
          <cell r="BF1406" t="str">
            <v>Vasanth</v>
          </cell>
          <cell r="BG1406" t="str">
            <v>N</v>
          </cell>
        </row>
        <row r="1407">
          <cell r="A1407" t="str">
            <v>FBR1C250148</v>
          </cell>
          <cell r="B1407">
            <v>250148</v>
          </cell>
          <cell r="C1407" t="str">
            <v>R&amp;D</v>
          </cell>
          <cell r="D1407">
            <v>45839</v>
          </cell>
          <cell r="E1407">
            <v>0.53125</v>
          </cell>
          <cell r="F1407">
            <v>45839</v>
          </cell>
          <cell r="G1407">
            <v>45839</v>
          </cell>
          <cell r="H1407">
            <v>0.6069444444444444</v>
          </cell>
          <cell r="I1407">
            <v>7.5694444444444439E-2</v>
          </cell>
          <cell r="J1407">
            <v>1</v>
          </cell>
          <cell r="K1407" t="str">
            <v>FCB-PROTOCOL-01</v>
          </cell>
          <cell r="L1407" t="str">
            <v>VYD/395</v>
          </cell>
          <cell r="M1407" t="str">
            <v>Y</v>
          </cell>
          <cell r="N1407" t="str">
            <v>Cul Imp (1C)</v>
          </cell>
          <cell r="O1407" t="str">
            <v>Internal R&amp;D</v>
          </cell>
          <cell r="P1407" t="str">
            <v>Q1 Passed</v>
          </cell>
          <cell r="Q1407" t="str">
            <v>Q1 Passed</v>
          </cell>
          <cell r="R1407" t="str">
            <v>Q1.5 Passed</v>
          </cell>
          <cell r="S1407" t="str">
            <v>Qualified</v>
          </cell>
          <cell r="V1407" t="str">
            <v>Tumor content 0-25%.Average tumor content 15%</v>
          </cell>
          <cell r="W1407" t="str">
            <v>Private Hospital</v>
          </cell>
          <cell r="X1407" t="str">
            <v>Vydehi Hospital, Bangalore</v>
          </cell>
          <cell r="Y1407" t="str">
            <v>Vydehi Hospital, Bangalore</v>
          </cell>
          <cell r="Z1407" t="str">
            <v>Dr Amritha Prabha, Bangalore</v>
          </cell>
          <cell r="AA1407" t="str">
            <v>HNSCC</v>
          </cell>
          <cell r="AB1407" t="str">
            <v>NA</v>
          </cell>
          <cell r="AC1407" t="str">
            <v>Tongue</v>
          </cell>
          <cell r="AD1407" t="str">
            <v>Right Lateral Tongue</v>
          </cell>
          <cell r="AE1407" t="str">
            <v>Male</v>
          </cell>
          <cell r="AF1407">
            <v>29</v>
          </cell>
          <cell r="AG1407" t="str">
            <v>N</v>
          </cell>
          <cell r="AH1407">
            <v>4.5999999999999996</v>
          </cell>
          <cell r="AI1407" t="str">
            <v>Maruthi</v>
          </cell>
          <cell r="AJ1407" t="str">
            <v>Surgery</v>
          </cell>
          <cell r="AK1407" t="str">
            <v>Primary</v>
          </cell>
          <cell r="AL1407" t="str">
            <v>NA</v>
          </cell>
          <cell r="AS1407" t="str">
            <v>SCC</v>
          </cell>
          <cell r="AV1407">
            <v>45839</v>
          </cell>
          <cell r="AW1407">
            <v>0.65625</v>
          </cell>
          <cell r="AX1407">
            <v>0.73819444444444449</v>
          </cell>
          <cell r="BB1407" t="str">
            <v>0.8*1.2-0.4*1.6</v>
          </cell>
          <cell r="BD1407" t="str">
            <v>Vibratome</v>
          </cell>
          <cell r="BE1407">
            <v>14</v>
          </cell>
          <cell r="BF1407" t="str">
            <v>Vasanth</v>
          </cell>
          <cell r="BG1407" t="str">
            <v>Y</v>
          </cell>
        </row>
        <row r="1408">
          <cell r="A1408" t="str">
            <v>FBR1J250149</v>
          </cell>
          <cell r="B1408">
            <v>250149</v>
          </cell>
          <cell r="C1408" t="str">
            <v>R&amp;D</v>
          </cell>
          <cell r="D1408">
            <v>45839</v>
          </cell>
          <cell r="E1408">
            <v>0.71666666666666667</v>
          </cell>
          <cell r="F1408">
            <v>45839</v>
          </cell>
          <cell r="G1408">
            <v>45839</v>
          </cell>
          <cell r="H1408">
            <v>0.76111111111111107</v>
          </cell>
          <cell r="I1408">
            <v>4.4444444444444446E-2</v>
          </cell>
          <cell r="J1408">
            <v>1</v>
          </cell>
          <cell r="K1408" t="str">
            <v>FCB-PROTOCOL-01</v>
          </cell>
          <cell r="L1408" t="str">
            <v>CLN/PRA/330</v>
          </cell>
          <cell r="M1408" t="str">
            <v>Y</v>
          </cell>
          <cell r="N1408" t="str">
            <v>COS_v3.0-Gastric (1J)</v>
          </cell>
          <cell r="O1408" t="str">
            <v>Internal R&amp;D</v>
          </cell>
          <cell r="P1408" t="str">
            <v>Q1 Passed</v>
          </cell>
          <cell r="Q1408" t="str">
            <v>Q1 Passed</v>
          </cell>
          <cell r="R1408" t="str">
            <v>Compromised</v>
          </cell>
          <cell r="S1408" t="str">
            <v>Qualified</v>
          </cell>
          <cell r="V1408" t="str">
            <v>Tumor content 0-12%. Average tunor content 2%</v>
          </cell>
          <cell r="W1408" t="str">
            <v>Private Hospital</v>
          </cell>
          <cell r="X1408" t="str">
            <v>Dr Prakash BV, Bangalore</v>
          </cell>
          <cell r="Y1408" t="str">
            <v>Sri Lakshmi Hospital, Bangalore</v>
          </cell>
          <cell r="Z1408" t="str">
            <v>Dr Prakash BV, Bangalore</v>
          </cell>
          <cell r="AA1408" t="str">
            <v>GI</v>
          </cell>
          <cell r="AB1408" t="str">
            <v>NA</v>
          </cell>
          <cell r="AC1408" t="str">
            <v>Stomach</v>
          </cell>
          <cell r="AD1408" t="str">
            <v>Stomach</v>
          </cell>
          <cell r="AE1408" t="str">
            <v>Female</v>
          </cell>
          <cell r="AF1408">
            <v>55</v>
          </cell>
          <cell r="AG1408" t="str">
            <v>N</v>
          </cell>
          <cell r="AH1408">
            <v>5.0999999999999996</v>
          </cell>
          <cell r="AI1408" t="str">
            <v>Shashi</v>
          </cell>
          <cell r="AJ1408" t="str">
            <v>Surgery</v>
          </cell>
          <cell r="AK1408" t="str">
            <v>Primary</v>
          </cell>
          <cell r="AL1408" t="str">
            <v>NA</v>
          </cell>
          <cell r="AN1408" t="str">
            <v>III</v>
          </cell>
          <cell r="AP1408" t="str">
            <v>pT3N1M0</v>
          </cell>
          <cell r="AS1408" t="str">
            <v>Adenocarcinoma</v>
          </cell>
          <cell r="AV1408">
            <v>45839</v>
          </cell>
          <cell r="AW1408">
            <v>0.77916666666666667</v>
          </cell>
          <cell r="AX1408">
            <v>0.85</v>
          </cell>
          <cell r="BB1408" t="str">
            <v>0.2-0.6*1.3-1.8*1.6-2.0</v>
          </cell>
          <cell r="BD1408" t="str">
            <v>Manual</v>
          </cell>
          <cell r="BE1408">
            <v>13</v>
          </cell>
          <cell r="BF1408" t="str">
            <v>Mouniss</v>
          </cell>
          <cell r="BG1408" t="str">
            <v>Y</v>
          </cell>
        </row>
        <row r="1409">
          <cell r="A1409" t="str">
            <v>FBR1Q250150</v>
          </cell>
          <cell r="B1409">
            <v>250150</v>
          </cell>
          <cell r="C1409" t="str">
            <v>R&amp;D</v>
          </cell>
          <cell r="D1409">
            <v>45839</v>
          </cell>
          <cell r="E1409">
            <v>0.49305555555555558</v>
          </cell>
          <cell r="F1409">
            <v>45839</v>
          </cell>
          <cell r="G1409">
            <v>45839</v>
          </cell>
          <cell r="H1409">
            <v>0.8666666666666667</v>
          </cell>
          <cell r="I1409">
            <v>0.37361111111111112</v>
          </cell>
          <cell r="J1409">
            <v>10</v>
          </cell>
          <cell r="K1409" t="str">
            <v>FCB-PROTOCOL-01</v>
          </cell>
          <cell r="L1409" t="str">
            <v>CLN/DBR/239</v>
          </cell>
          <cell r="M1409" t="str">
            <v>Y</v>
          </cell>
          <cell r="N1409" t="str">
            <v>COSv4.2_CaBR(1Q-Unknown)</v>
          </cell>
          <cell r="O1409" t="str">
            <v>Internal R&amp;D</v>
          </cell>
          <cell r="P1409" t="str">
            <v>Q1 Passed</v>
          </cell>
          <cell r="Q1409" t="str">
            <v>Q1 Passed</v>
          </cell>
          <cell r="R1409" t="str">
            <v>Q1.5 Passed</v>
          </cell>
          <cell r="S1409" t="str">
            <v>Qualified</v>
          </cell>
          <cell r="V1409" t="str">
            <v>Tumor content 0-30%. Average tumor content 12%</v>
          </cell>
          <cell r="W1409" t="str">
            <v>Private Hospital</v>
          </cell>
          <cell r="X1409" t="str">
            <v>Clinic'les- DBR &amp; SK Hospital, Tirupati</v>
          </cell>
          <cell r="Y1409" t="str">
            <v>DBR &amp; SK Hospital, Tirupati</v>
          </cell>
          <cell r="Z1409" t="str">
            <v>Dr C Jayaprakash, Tirupati</v>
          </cell>
          <cell r="AA1409" t="str">
            <v>Ca Breast</v>
          </cell>
          <cell r="AB1409" t="str">
            <v>NA</v>
          </cell>
          <cell r="AC1409" t="str">
            <v>Breast</v>
          </cell>
          <cell r="AD1409" t="str">
            <v>Left Breast</v>
          </cell>
          <cell r="AE1409" t="str">
            <v>Female</v>
          </cell>
          <cell r="AF1409">
            <v>49</v>
          </cell>
          <cell r="AG1409" t="str">
            <v>N</v>
          </cell>
          <cell r="AH1409">
            <v>5.3</v>
          </cell>
          <cell r="AI1409" t="str">
            <v>Kalappa</v>
          </cell>
          <cell r="AJ1409" t="str">
            <v>Surgery</v>
          </cell>
          <cell r="AK1409" t="str">
            <v>Primary</v>
          </cell>
          <cell r="AL1409" t="str">
            <v>NA</v>
          </cell>
          <cell r="AV1409">
            <v>45839</v>
          </cell>
          <cell r="AW1409">
            <v>0.88749999999999996</v>
          </cell>
          <cell r="AX1409">
            <v>0.94027777777777777</v>
          </cell>
          <cell r="BB1409" t="str">
            <v>0.6-0.8*2.0*2.0-3.6</v>
          </cell>
          <cell r="BC1409" t="str">
            <v>0.5-0.6*1.0-1.5*1.6-2.4</v>
          </cell>
          <cell r="BD1409" t="str">
            <v>Manual</v>
          </cell>
          <cell r="BE1409">
            <v>14</v>
          </cell>
          <cell r="BF1409" t="str">
            <v xml:space="preserve">sai </v>
          </cell>
          <cell r="BG1409" t="str">
            <v>Y</v>
          </cell>
        </row>
        <row r="1410">
          <cell r="A1410" t="str">
            <v>FBR1Q250151</v>
          </cell>
          <cell r="B1410">
            <v>250151</v>
          </cell>
          <cell r="C1410" t="str">
            <v>R&amp;D</v>
          </cell>
          <cell r="D1410">
            <v>45840</v>
          </cell>
          <cell r="E1410">
            <v>0.51388888888888884</v>
          </cell>
          <cell r="F1410">
            <v>45839</v>
          </cell>
          <cell r="G1410">
            <v>45840</v>
          </cell>
          <cell r="H1410">
            <v>0.69513888888888886</v>
          </cell>
          <cell r="I1410">
            <v>0.18124999999999999</v>
          </cell>
          <cell r="J1410">
            <v>3</v>
          </cell>
          <cell r="K1410" t="str">
            <v>FCB-PROTOCOL-01</v>
          </cell>
          <cell r="L1410" t="str">
            <v>VYD/396</v>
          </cell>
          <cell r="M1410" t="str">
            <v>Y</v>
          </cell>
          <cell r="N1410" t="str">
            <v>COSv4.1_CaBR(1Q-Known)</v>
          </cell>
          <cell r="O1410" t="str">
            <v>Internal R&amp;D</v>
          </cell>
          <cell r="P1410" t="str">
            <v>Q1 Passed</v>
          </cell>
          <cell r="Q1410" t="str">
            <v>Q1 Passed</v>
          </cell>
          <cell r="R1410" t="str">
            <v>Q1.5 Passed</v>
          </cell>
          <cell r="S1410" t="str">
            <v>Qualified</v>
          </cell>
          <cell r="V1410" t="str">
            <v>Tumor content 4-40%</v>
          </cell>
          <cell r="W1410" t="str">
            <v>Private Hospital</v>
          </cell>
          <cell r="X1410" t="str">
            <v>Vydehi Hospital, Bangalore</v>
          </cell>
          <cell r="Y1410" t="str">
            <v>Vydehi Hospital, Bangalore</v>
          </cell>
          <cell r="Z1410" t="str">
            <v>Dr Amritha Prabha, Bangalore</v>
          </cell>
          <cell r="AA1410" t="str">
            <v>Ca Breast</v>
          </cell>
          <cell r="AB1410" t="str">
            <v>ER +
Pr +
Her2 -</v>
          </cell>
          <cell r="AC1410" t="str">
            <v>Breast</v>
          </cell>
          <cell r="AD1410" t="str">
            <v>Right Breast</v>
          </cell>
          <cell r="AE1410" t="str">
            <v>Female</v>
          </cell>
          <cell r="AF1410">
            <v>54</v>
          </cell>
          <cell r="AG1410" t="str">
            <v>N</v>
          </cell>
          <cell r="AH1410">
            <v>4.5999999999999996</v>
          </cell>
          <cell r="AI1410" t="str">
            <v>Shashi</v>
          </cell>
          <cell r="AJ1410" t="str">
            <v>Surgery</v>
          </cell>
          <cell r="AK1410" t="str">
            <v>Primary</v>
          </cell>
          <cell r="AL1410" t="str">
            <v>NA</v>
          </cell>
          <cell r="AS1410" t="str">
            <v>IDC</v>
          </cell>
          <cell r="AV1410">
            <v>45840</v>
          </cell>
          <cell r="AW1410">
            <v>0.70625000000000004</v>
          </cell>
          <cell r="AX1410">
            <v>0.75972222222222219</v>
          </cell>
          <cell r="BB1410" t="str">
            <v>0.4-0.6*0.3-0.6*1.2-1.8</v>
          </cell>
          <cell r="BD1410" t="str">
            <v>Manual</v>
          </cell>
          <cell r="BE1410">
            <v>14</v>
          </cell>
          <cell r="BF1410" t="str">
            <v>Jobin</v>
          </cell>
          <cell r="BG1410" t="str">
            <v>Y</v>
          </cell>
        </row>
        <row r="1411">
          <cell r="A1411" t="str">
            <v>FBR1Q250152</v>
          </cell>
          <cell r="B1411">
            <v>250152</v>
          </cell>
          <cell r="C1411" t="str">
            <v>R&amp;D</v>
          </cell>
          <cell r="D1411">
            <v>45840</v>
          </cell>
          <cell r="E1411">
            <v>0.63055555555555554</v>
          </cell>
          <cell r="F1411">
            <v>45839</v>
          </cell>
          <cell r="G1411">
            <v>45840</v>
          </cell>
          <cell r="H1411">
            <v>0.69513888888888886</v>
          </cell>
          <cell r="I1411">
            <v>6.458333333333334E-2</v>
          </cell>
          <cell r="J1411">
            <v>10</v>
          </cell>
          <cell r="K1411" t="str">
            <v>FCB-PROTOCOL-01</v>
          </cell>
          <cell r="L1411" t="str">
            <v>VYD/397</v>
          </cell>
          <cell r="M1411" t="str">
            <v>Y</v>
          </cell>
          <cell r="N1411" t="str">
            <v>COSv4.1_CaBR(1Q-Known)</v>
          </cell>
          <cell r="O1411" t="str">
            <v>Internal R&amp;D</v>
          </cell>
          <cell r="P1411" t="str">
            <v>Q1 Passed</v>
          </cell>
          <cell r="Q1411" t="str">
            <v>Q1 Passed</v>
          </cell>
          <cell r="R1411" t="str">
            <v>Q1.5 Passed</v>
          </cell>
          <cell r="S1411" t="str">
            <v>Qualified</v>
          </cell>
          <cell r="V1411" t="str">
            <v>Tumor content 0-35%. Average tumor content 7%</v>
          </cell>
          <cell r="W1411" t="str">
            <v>Private Hospital</v>
          </cell>
          <cell r="X1411" t="str">
            <v>Vydehi Hospital, Bangalore</v>
          </cell>
          <cell r="Y1411" t="str">
            <v>Vydehi Hospital, Bangalore</v>
          </cell>
          <cell r="Z1411" t="str">
            <v>Dr Amritha Prabha, Bangalore</v>
          </cell>
          <cell r="AA1411" t="str">
            <v>Ca Breast</v>
          </cell>
          <cell r="AB1411" t="str">
            <v>ER +
Pr +
Her2 +</v>
          </cell>
          <cell r="AC1411" t="str">
            <v>Breast</v>
          </cell>
          <cell r="AD1411" t="str">
            <v>Left Breast</v>
          </cell>
          <cell r="AE1411" t="str">
            <v>Female</v>
          </cell>
          <cell r="AF1411">
            <v>56</v>
          </cell>
          <cell r="AG1411" t="str">
            <v>N</v>
          </cell>
          <cell r="AH1411">
            <v>4.5999999999999996</v>
          </cell>
          <cell r="AI1411" t="str">
            <v>Shashi</v>
          </cell>
          <cell r="AJ1411" t="str">
            <v>Surgery</v>
          </cell>
          <cell r="AK1411" t="str">
            <v>Primary</v>
          </cell>
          <cell r="AL1411" t="str">
            <v>NA</v>
          </cell>
          <cell r="AS1411" t="str">
            <v>IDC</v>
          </cell>
          <cell r="AV1411">
            <v>45840</v>
          </cell>
          <cell r="AW1411">
            <v>0.70625000000000004</v>
          </cell>
          <cell r="AX1411">
            <v>0.76388888888888884</v>
          </cell>
          <cell r="BB1411" t="str">
            <v>0.6*1.6-1.8*2.6-3.6</v>
          </cell>
          <cell r="BD1411" t="str">
            <v>Manual</v>
          </cell>
          <cell r="BE1411">
            <v>14</v>
          </cell>
          <cell r="BF1411" t="str">
            <v>Dharani</v>
          </cell>
          <cell r="BG1411" t="str">
            <v>Y</v>
          </cell>
        </row>
        <row r="1412">
          <cell r="A1412" t="str">
            <v>FBR1Q250153</v>
          </cell>
          <cell r="B1412">
            <v>250153</v>
          </cell>
          <cell r="C1412" t="str">
            <v>R&amp;D</v>
          </cell>
          <cell r="D1412">
            <v>45842</v>
          </cell>
          <cell r="E1412">
            <v>0.4236111111111111</v>
          </cell>
          <cell r="F1412">
            <v>45839</v>
          </cell>
          <cell r="G1412">
            <v>45842</v>
          </cell>
          <cell r="H1412">
            <v>0.74444444444444446</v>
          </cell>
          <cell r="I1412">
            <v>0.32083333333333336</v>
          </cell>
          <cell r="J1412">
            <v>5</v>
          </cell>
          <cell r="K1412" t="str">
            <v>FCB-PROTOCOL-01</v>
          </cell>
          <cell r="L1412" t="str">
            <v>JSS-042</v>
          </cell>
          <cell r="M1412" t="str">
            <v>Y</v>
          </cell>
          <cell r="N1412" t="str">
            <v>COSv4.1_CaBR(1Q-Known)</v>
          </cell>
          <cell r="O1412" t="str">
            <v>Internal R&amp;D</v>
          </cell>
          <cell r="P1412" t="str">
            <v>Q1 Passed</v>
          </cell>
          <cell r="Q1412" t="str">
            <v>Q1 Passed</v>
          </cell>
          <cell r="R1412" t="str">
            <v>Q1.5 Passed</v>
          </cell>
          <cell r="S1412" t="str">
            <v>Qualified</v>
          </cell>
          <cell r="V1412" t="str">
            <v>Tumor content 0-8%. Average tumor content 3%</v>
          </cell>
          <cell r="W1412" t="str">
            <v>Private Hospital</v>
          </cell>
          <cell r="X1412" t="str">
            <v>Dr Ravi Krishnappa, Mysore</v>
          </cell>
          <cell r="Y1412" t="str">
            <v>JSS Hospital, Mysore</v>
          </cell>
          <cell r="Z1412" t="str">
            <v>Dr Ravi Krishnappa, Mysore</v>
          </cell>
          <cell r="AA1412" t="str">
            <v>Ca Breast</v>
          </cell>
          <cell r="AB1412" t="str">
            <v>ER +
Pr +
Her2 -</v>
          </cell>
          <cell r="AC1412" t="str">
            <v>Breast</v>
          </cell>
          <cell r="AD1412" t="str">
            <v>Left Breast</v>
          </cell>
          <cell r="AE1412" t="str">
            <v>Female</v>
          </cell>
          <cell r="AF1412">
            <v>67</v>
          </cell>
          <cell r="AG1412" t="str">
            <v>N</v>
          </cell>
          <cell r="AH1412">
            <v>4.8</v>
          </cell>
          <cell r="AI1412" t="str">
            <v>Kalappa</v>
          </cell>
          <cell r="AJ1412" t="str">
            <v>Surgery</v>
          </cell>
          <cell r="AK1412" t="str">
            <v>Primary</v>
          </cell>
          <cell r="AL1412" t="str">
            <v>Chemotherapy</v>
          </cell>
          <cell r="AQ1412">
            <v>8</v>
          </cell>
          <cell r="AR1412" t="str">
            <v>AC &amp; Taxanes</v>
          </cell>
          <cell r="AS1412" t="str">
            <v>IDC</v>
          </cell>
          <cell r="AV1412">
            <v>45842</v>
          </cell>
          <cell r="AW1412">
            <v>0.76180555555555551</v>
          </cell>
          <cell r="AX1412">
            <v>0.79791666666666672</v>
          </cell>
          <cell r="BB1412" t="str">
            <v>0.1*0.4*0.5
0.2-0.4*0.8*0.9
0.3*0.2*0.8</v>
          </cell>
          <cell r="BD1412" t="str">
            <v>Manual</v>
          </cell>
          <cell r="BE1412">
            <v>14</v>
          </cell>
          <cell r="BF1412" t="str">
            <v>Dharani</v>
          </cell>
          <cell r="BG1412" t="str">
            <v>Y</v>
          </cell>
        </row>
        <row r="1413">
          <cell r="A1413" t="str">
            <v>FBR1Q250154</v>
          </cell>
          <cell r="B1413">
            <v>250154</v>
          </cell>
          <cell r="C1413" t="str">
            <v>R&amp;D</v>
          </cell>
          <cell r="D1413">
            <v>45842</v>
          </cell>
          <cell r="E1413">
            <v>0.60763888888888884</v>
          </cell>
          <cell r="F1413">
            <v>45839</v>
          </cell>
          <cell r="G1413">
            <v>45842</v>
          </cell>
          <cell r="H1413">
            <v>0.74444444444444446</v>
          </cell>
          <cell r="I1413">
            <v>0.13680555555555557</v>
          </cell>
          <cell r="J1413">
            <v>5</v>
          </cell>
          <cell r="K1413" t="str">
            <v>FCB-PROTOCOL-01</v>
          </cell>
          <cell r="L1413" t="str">
            <v>JSS-043</v>
          </cell>
          <cell r="M1413" t="str">
            <v>Y</v>
          </cell>
          <cell r="N1413" t="str">
            <v>COSv4.1_CaBR(1Q-Known)</v>
          </cell>
          <cell r="O1413" t="str">
            <v>Internal R&amp;D</v>
          </cell>
          <cell r="P1413" t="str">
            <v>Q1 Passed</v>
          </cell>
          <cell r="Q1413" t="str">
            <v>Q1 Passed</v>
          </cell>
          <cell r="R1413" t="str">
            <v>Q1.5 Passed</v>
          </cell>
          <cell r="S1413" t="str">
            <v>Qualified</v>
          </cell>
          <cell r="V1413" t="str">
            <v>Tumor content 55-90%</v>
          </cell>
          <cell r="W1413" t="str">
            <v>Private Hospital</v>
          </cell>
          <cell r="X1413" t="str">
            <v>Dr Ravi Krishnappa, Mysore</v>
          </cell>
          <cell r="Y1413" t="str">
            <v>JSS Hospital, Mysore</v>
          </cell>
          <cell r="Z1413" t="str">
            <v>Dr Ravi Krishnappa, Mysore</v>
          </cell>
          <cell r="AA1413" t="str">
            <v>Ca Breast</v>
          </cell>
          <cell r="AB1413" t="str">
            <v>NA</v>
          </cell>
          <cell r="AC1413" t="str">
            <v>Breast</v>
          </cell>
          <cell r="AD1413" t="str">
            <v>Right Breast</v>
          </cell>
          <cell r="AE1413" t="str">
            <v>Female</v>
          </cell>
          <cell r="AF1413">
            <v>43</v>
          </cell>
          <cell r="AG1413" t="str">
            <v>N</v>
          </cell>
          <cell r="AH1413">
            <v>4.8</v>
          </cell>
          <cell r="AI1413" t="str">
            <v>Kalappa</v>
          </cell>
          <cell r="AJ1413" t="str">
            <v>Surgery</v>
          </cell>
          <cell r="AK1413" t="str">
            <v>Primary</v>
          </cell>
          <cell r="AL1413" t="str">
            <v>NA</v>
          </cell>
          <cell r="AS1413" t="str">
            <v>IDC</v>
          </cell>
          <cell r="AV1413">
            <v>45842</v>
          </cell>
          <cell r="AW1413">
            <v>0.76180555555555551</v>
          </cell>
          <cell r="AX1413">
            <v>0.8125</v>
          </cell>
          <cell r="BB1413" t="str">
            <v>0.8-1.0*1.4*1.8</v>
          </cell>
          <cell r="BC1413" t="str">
            <v>0.8*1.0*1.0/1.2</v>
          </cell>
          <cell r="BD1413" t="str">
            <v>Manual</v>
          </cell>
          <cell r="BE1413">
            <v>14</v>
          </cell>
          <cell r="BF1413" t="str">
            <v>chandan</v>
          </cell>
          <cell r="BG1413" t="str">
            <v>Y</v>
          </cell>
        </row>
        <row r="1414">
          <cell r="A1414">
            <v>250155</v>
          </cell>
          <cell r="B1414">
            <v>250155</v>
          </cell>
          <cell r="C1414" t="str">
            <v>R&amp;D</v>
          </cell>
          <cell r="D1414">
            <v>45843</v>
          </cell>
          <cell r="E1414">
            <v>0.48958333333333331</v>
          </cell>
          <cell r="F1414">
            <v>45839</v>
          </cell>
          <cell r="G1414">
            <v>45843</v>
          </cell>
          <cell r="H1414">
            <v>0.59305555555555556</v>
          </cell>
          <cell r="I1414">
            <v>0.10347222222222222</v>
          </cell>
          <cell r="J1414">
            <v>30</v>
          </cell>
          <cell r="K1414" t="str">
            <v>FCB-PROTOCOL-01</v>
          </cell>
          <cell r="L1414" t="str">
            <v>VYD/398</v>
          </cell>
          <cell r="M1414" t="str">
            <v>Y</v>
          </cell>
          <cell r="P1414" t="str">
            <v>Q1 Rejected</v>
          </cell>
          <cell r="Q1414" t="str">
            <v>Q1 Rejected</v>
          </cell>
          <cell r="R1414" t="str">
            <v>Q1.5 Rejected</v>
          </cell>
          <cell r="S1414" t="str">
            <v>Rejected</v>
          </cell>
          <cell r="V1414" t="str">
            <v>FFPE</v>
          </cell>
          <cell r="W1414" t="str">
            <v>Private Hospital</v>
          </cell>
          <cell r="X1414" t="str">
            <v>Vydehi Hospital, Bangalore</v>
          </cell>
          <cell r="Y1414" t="str">
            <v>Vydehi Hospital, Bangalore</v>
          </cell>
          <cell r="Z1414" t="str">
            <v>Dr Amritha Prabha, Bangalore</v>
          </cell>
          <cell r="AA1414" t="str">
            <v>Ca Breast</v>
          </cell>
          <cell r="AB1414" t="str">
            <v>TNBC</v>
          </cell>
          <cell r="AC1414" t="str">
            <v>Breast</v>
          </cell>
          <cell r="AD1414" t="str">
            <v>Right Breast</v>
          </cell>
          <cell r="AE1414" t="str">
            <v>Female</v>
          </cell>
          <cell r="AF1414">
            <v>53</v>
          </cell>
          <cell r="AG1414" t="str">
            <v>N</v>
          </cell>
          <cell r="AH1414">
            <v>5.0999999999999996</v>
          </cell>
          <cell r="AI1414" t="str">
            <v>Kalappa</v>
          </cell>
          <cell r="AJ1414" t="str">
            <v>Surgery</v>
          </cell>
          <cell r="AK1414" t="str">
            <v>Primary</v>
          </cell>
          <cell r="AL1414" t="str">
            <v>Chemotherapy</v>
          </cell>
          <cell r="AQ1414">
            <v>8</v>
          </cell>
          <cell r="AR1414" t="str">
            <v>AC &amp; Paclitaxel</v>
          </cell>
          <cell r="AS1414" t="str">
            <v>IDC</v>
          </cell>
          <cell r="AV1414">
            <v>45843</v>
          </cell>
        </row>
        <row r="1415">
          <cell r="A1415" t="str">
            <v>FBR1Y250156</v>
          </cell>
          <cell r="B1415">
            <v>250156</v>
          </cell>
          <cell r="C1415" t="str">
            <v>R&amp;D</v>
          </cell>
          <cell r="D1415">
            <v>45845</v>
          </cell>
          <cell r="E1415">
            <v>0.50277777777777777</v>
          </cell>
          <cell r="F1415">
            <v>45839</v>
          </cell>
          <cell r="G1415">
            <v>45845</v>
          </cell>
          <cell r="H1415">
            <v>0.61319444444444449</v>
          </cell>
          <cell r="I1415">
            <v>0.11041666666666666</v>
          </cell>
          <cell r="J1415">
            <v>3</v>
          </cell>
          <cell r="K1415" t="str">
            <v>FCB-PROTOCOL-01</v>
          </cell>
          <cell r="L1415" t="str">
            <v>VYD/399</v>
          </cell>
          <cell r="M1415" t="str">
            <v>Y</v>
          </cell>
          <cell r="P1415" t="str">
            <v>Q1 Passed</v>
          </cell>
          <cell r="Q1415" t="str">
            <v>Q1 Passed</v>
          </cell>
          <cell r="R1415" t="str">
            <v>Q1.5 Passed</v>
          </cell>
          <cell r="S1415" t="str">
            <v>Rejected</v>
          </cell>
          <cell r="V1415" t="str">
            <v>Tumor content 0-8%. Average tumor content 3%</v>
          </cell>
          <cell r="W1415" t="str">
            <v>Private Hospital</v>
          </cell>
          <cell r="X1415" t="str">
            <v>Vydehi Hospital, Bangalore</v>
          </cell>
          <cell r="Y1415" t="str">
            <v>Vydehi Hospital, Bangalore</v>
          </cell>
          <cell r="Z1415" t="str">
            <v>Dr Amritha Prabha, Bangalore</v>
          </cell>
          <cell r="AA1415" t="str">
            <v>HNSCC</v>
          </cell>
          <cell r="AB1415" t="str">
            <v>NA</v>
          </cell>
          <cell r="AC1415" t="str">
            <v>Buccal Mucosa</v>
          </cell>
          <cell r="AD1415" t="str">
            <v>Left Buccal Mucosa</v>
          </cell>
          <cell r="AE1415" t="str">
            <v>Male</v>
          </cell>
          <cell r="AF1415">
            <v>51</v>
          </cell>
          <cell r="AG1415" t="str">
            <v>N</v>
          </cell>
          <cell r="AH1415">
            <v>5.3</v>
          </cell>
          <cell r="AI1415" t="str">
            <v>Maruthi</v>
          </cell>
          <cell r="AJ1415" t="str">
            <v>Surgery</v>
          </cell>
          <cell r="AK1415" t="str">
            <v>Primary</v>
          </cell>
          <cell r="AL1415" t="str">
            <v>NA</v>
          </cell>
          <cell r="AS1415" t="str">
            <v>SCC</v>
          </cell>
          <cell r="AV1415">
            <v>45845</v>
          </cell>
          <cell r="AW1415">
            <v>0.64375000000000004</v>
          </cell>
          <cell r="AX1415">
            <v>0.71736111111111112</v>
          </cell>
          <cell r="BB1415" t="str">
            <v>0.6-0.8*0.8*1.6</v>
          </cell>
          <cell r="BD1415" t="str">
            <v>Vibratome</v>
          </cell>
          <cell r="BE1415">
            <v>15</v>
          </cell>
          <cell r="BF1415" t="str">
            <v>Abdul</v>
          </cell>
          <cell r="BG1415" t="str">
            <v>Y</v>
          </cell>
        </row>
        <row r="1416">
          <cell r="A1416" t="str">
            <v>FBR1C250157</v>
          </cell>
          <cell r="B1416">
            <v>250157</v>
          </cell>
          <cell r="C1416" t="str">
            <v>R&amp;D</v>
          </cell>
          <cell r="D1416">
            <v>45845</v>
          </cell>
          <cell r="E1416">
            <v>0.68263888888888891</v>
          </cell>
          <cell r="F1416">
            <v>45839</v>
          </cell>
          <cell r="G1416">
            <v>45845</v>
          </cell>
          <cell r="H1416">
            <v>0.73750000000000004</v>
          </cell>
          <cell r="I1416">
            <v>5.486111111111111E-2</v>
          </cell>
          <cell r="J1416">
            <v>2</v>
          </cell>
          <cell r="K1416" t="str">
            <v>FCB-PROTOCOL-01</v>
          </cell>
          <cell r="L1416" t="str">
            <v>CLN/PRA/331</v>
          </cell>
          <cell r="M1416" t="str">
            <v>Y</v>
          </cell>
          <cell r="N1416" t="str">
            <v>Cul Imp (1C)</v>
          </cell>
          <cell r="O1416" t="str">
            <v>Internal R&amp;D</v>
          </cell>
          <cell r="P1416" t="str">
            <v>Q1 Passed</v>
          </cell>
          <cell r="Q1416" t="str">
            <v>Q1 Passed</v>
          </cell>
          <cell r="R1416" t="str">
            <v>Q1.5 Passed</v>
          </cell>
          <cell r="S1416" t="str">
            <v>Qualified</v>
          </cell>
          <cell r="V1416" t="str">
            <v>Tumor content 2-40% with high immune component</v>
          </cell>
          <cell r="W1416" t="str">
            <v>Private Hospital</v>
          </cell>
          <cell r="X1416" t="str">
            <v>Dr Prakash BV, Bangalore</v>
          </cell>
          <cell r="Y1416" t="str">
            <v>Mallige Hospital</v>
          </cell>
          <cell r="Z1416" t="str">
            <v>Dr Prakash BV, Bangalore</v>
          </cell>
          <cell r="AA1416" t="str">
            <v>HNSCC</v>
          </cell>
          <cell r="AB1416" t="str">
            <v>NA</v>
          </cell>
          <cell r="AC1416" t="str">
            <v>Lip</v>
          </cell>
          <cell r="AD1416" t="str">
            <v>Upper Lip</v>
          </cell>
          <cell r="AE1416" t="str">
            <v>Male</v>
          </cell>
          <cell r="AF1416">
            <v>50</v>
          </cell>
          <cell r="AG1416" t="str">
            <v>N</v>
          </cell>
          <cell r="AH1416">
            <v>5.0999999999999996</v>
          </cell>
          <cell r="AI1416" t="str">
            <v>Kalappa</v>
          </cell>
          <cell r="AJ1416" t="str">
            <v>Surgery</v>
          </cell>
          <cell r="AK1416" t="str">
            <v>Primary</v>
          </cell>
          <cell r="AL1416" t="str">
            <v>NA</v>
          </cell>
          <cell r="AN1416" t="str">
            <v>IV</v>
          </cell>
          <cell r="AP1416" t="str">
            <v>pT4N1M0</v>
          </cell>
          <cell r="AS1416" t="str">
            <v>SCC</v>
          </cell>
          <cell r="AV1416">
            <v>45845</v>
          </cell>
          <cell r="AW1416">
            <v>0.75069444444444444</v>
          </cell>
          <cell r="AX1416">
            <v>0.85902777777777772</v>
          </cell>
          <cell r="BB1416" t="str">
            <v>0.2-0.7*1.9*2.4</v>
          </cell>
          <cell r="BD1416" t="str">
            <v>Vibratome</v>
          </cell>
          <cell r="BE1416">
            <v>15</v>
          </cell>
          <cell r="BF1416" t="str">
            <v>Vasanth</v>
          </cell>
          <cell r="BG1416" t="str">
            <v>Y</v>
          </cell>
        </row>
        <row r="1417">
          <cell r="A1417" t="str">
            <v>FBR1Y250158</v>
          </cell>
          <cell r="B1417">
            <v>250158</v>
          </cell>
          <cell r="C1417" t="str">
            <v>R&amp;D</v>
          </cell>
          <cell r="D1417">
            <v>45846</v>
          </cell>
          <cell r="E1417">
            <v>0.44305555555555554</v>
          </cell>
          <cell r="F1417">
            <v>45839</v>
          </cell>
          <cell r="G1417">
            <v>45846</v>
          </cell>
          <cell r="H1417">
            <v>0.55277777777777781</v>
          </cell>
          <cell r="I1417">
            <v>0.10972222222222222</v>
          </cell>
          <cell r="J1417">
            <v>3</v>
          </cell>
          <cell r="K1417" t="str">
            <v>FCB-PROTOCOL-01</v>
          </cell>
          <cell r="L1417" t="str">
            <v>VYD/400</v>
          </cell>
          <cell r="M1417" t="str">
            <v>Y</v>
          </cell>
          <cell r="P1417" t="str">
            <v>Q1 Passed</v>
          </cell>
          <cell r="Q1417" t="str">
            <v>Q1 Passed</v>
          </cell>
          <cell r="R1417" t="str">
            <v>Q1.5 Passed</v>
          </cell>
          <cell r="S1417" t="str">
            <v>Qualified</v>
          </cell>
          <cell r="V1417" t="str">
            <v>Tumor content 0-96%. Average tumor content 60%</v>
          </cell>
          <cell r="W1417" t="str">
            <v>Private Hospital</v>
          </cell>
          <cell r="X1417" t="str">
            <v>Vydehi Hospital, Bangalore</v>
          </cell>
          <cell r="Y1417" t="str">
            <v>Vydehi Hospital, Bangalore</v>
          </cell>
          <cell r="Z1417" t="str">
            <v>Dr Amritha Prabha, Bangalore</v>
          </cell>
          <cell r="AA1417" t="str">
            <v>HNSCC</v>
          </cell>
          <cell r="AB1417" t="str">
            <v>NA</v>
          </cell>
          <cell r="AC1417" t="str">
            <v>Buccal Mucosa</v>
          </cell>
          <cell r="AD1417" t="str">
            <v>Right Buccal Mucosa</v>
          </cell>
          <cell r="AE1417" t="str">
            <v>Male</v>
          </cell>
          <cell r="AF1417">
            <v>54</v>
          </cell>
          <cell r="AG1417" t="str">
            <v>N</v>
          </cell>
          <cell r="AH1417">
            <v>5.3</v>
          </cell>
          <cell r="AI1417" t="str">
            <v>Maruthi</v>
          </cell>
          <cell r="AJ1417" t="str">
            <v>Surgery</v>
          </cell>
          <cell r="AK1417" t="str">
            <v>Primary</v>
          </cell>
          <cell r="AL1417" t="str">
            <v>NA</v>
          </cell>
          <cell r="AS1417" t="str">
            <v>SCC</v>
          </cell>
          <cell r="AV1417">
            <v>45846</v>
          </cell>
          <cell r="AW1417">
            <v>0.57916666666666672</v>
          </cell>
          <cell r="AX1417">
            <v>0.64930555555555558</v>
          </cell>
          <cell r="BB1417" t="str">
            <v>0.4*1.0*0.8</v>
          </cell>
          <cell r="BD1417" t="str">
            <v>Vibratome</v>
          </cell>
          <cell r="BE1417">
            <v>15</v>
          </cell>
          <cell r="BF1417" t="str">
            <v>chandan</v>
          </cell>
          <cell r="BG1417" t="str">
            <v>Y</v>
          </cell>
        </row>
        <row r="1418">
          <cell r="A1418" t="str">
            <v>FBR1Q250159</v>
          </cell>
          <cell r="B1418">
            <v>250159</v>
          </cell>
          <cell r="C1418" t="str">
            <v>R&amp;D</v>
          </cell>
          <cell r="D1418">
            <v>45847</v>
          </cell>
          <cell r="E1418">
            <v>0.42777777777777776</v>
          </cell>
          <cell r="F1418">
            <v>45839</v>
          </cell>
          <cell r="G1418">
            <v>45847</v>
          </cell>
          <cell r="H1418">
            <v>0.625</v>
          </cell>
          <cell r="I1418">
            <v>0.19722222222222222</v>
          </cell>
          <cell r="J1418">
            <v>5</v>
          </cell>
          <cell r="K1418" t="str">
            <v>FCB-PROTOCOL-01</v>
          </cell>
          <cell r="L1418" t="str">
            <v>VYD/401</v>
          </cell>
          <cell r="M1418" t="str">
            <v>Y</v>
          </cell>
          <cell r="N1418" t="str">
            <v>COSv4.1_CaBR(1Q-Known)</v>
          </cell>
          <cell r="O1418" t="str">
            <v>Internal R&amp;D</v>
          </cell>
          <cell r="P1418" t="str">
            <v>Q1 Passed</v>
          </cell>
          <cell r="Q1418" t="str">
            <v>Q1 Passed</v>
          </cell>
          <cell r="R1418" t="str">
            <v>Q1.5 Passed</v>
          </cell>
          <cell r="S1418" t="str">
            <v>Rejected</v>
          </cell>
          <cell r="V1418" t="str">
            <v xml:space="preserve">	3-4% Tumor in one fragment only, others no tumor</v>
          </cell>
          <cell r="W1418" t="str">
            <v>Private Hospital</v>
          </cell>
          <cell r="X1418" t="str">
            <v>Vydehi Hospital, Bangalore</v>
          </cell>
          <cell r="Y1418" t="str">
            <v>Vydehi Hospital, Bangalore</v>
          </cell>
          <cell r="Z1418" t="str">
            <v>Dr Amritha Prabha, Bangalore</v>
          </cell>
          <cell r="AA1418" t="str">
            <v>Ca Breast</v>
          </cell>
          <cell r="AB1418" t="str">
            <v>ER +
Pr +
Her2 -</v>
          </cell>
          <cell r="AC1418" t="str">
            <v>Breast</v>
          </cell>
          <cell r="AD1418" t="str">
            <v>Left Breast</v>
          </cell>
          <cell r="AE1418" t="str">
            <v>Female</v>
          </cell>
          <cell r="AF1418">
            <v>68</v>
          </cell>
          <cell r="AG1418" t="str">
            <v>N</v>
          </cell>
          <cell r="AH1418">
            <v>5.0999999999999996</v>
          </cell>
          <cell r="AI1418" t="str">
            <v>Kalappa</v>
          </cell>
          <cell r="AJ1418" t="str">
            <v>Surgery</v>
          </cell>
          <cell r="AK1418" t="str">
            <v>Primary</v>
          </cell>
          <cell r="AL1418" t="str">
            <v>NA</v>
          </cell>
          <cell r="AS1418" t="str">
            <v>IDC</v>
          </cell>
          <cell r="AV1418">
            <v>45847</v>
          </cell>
          <cell r="AW1418">
            <v>0.64027777777777772</v>
          </cell>
          <cell r="AX1418">
            <v>0.70694444444444449</v>
          </cell>
          <cell r="BB1418" t="str">
            <v>0.6-0.8*1.2-1.6*2.6</v>
          </cell>
          <cell r="BC1418" t="str">
            <v>0.6-0.7*1.4*1.3-1.7</v>
          </cell>
          <cell r="BD1418" t="str">
            <v>Manual</v>
          </cell>
          <cell r="BE1418">
            <v>15</v>
          </cell>
          <cell r="BF1418" t="str">
            <v>Abdul</v>
          </cell>
          <cell r="BG1418" t="str">
            <v>Y</v>
          </cell>
        </row>
        <row r="1419">
          <cell r="A1419" t="str">
            <v>FBR2S250160</v>
          </cell>
          <cell r="B1419">
            <v>250160</v>
          </cell>
          <cell r="C1419" t="str">
            <v>R&amp;D</v>
          </cell>
          <cell r="D1419">
            <v>45852</v>
          </cell>
          <cell r="E1419">
            <v>0.52222222222222225</v>
          </cell>
          <cell r="F1419">
            <v>45839</v>
          </cell>
          <cell r="G1419">
            <v>45852</v>
          </cell>
          <cell r="H1419">
            <v>0.58680555555555558</v>
          </cell>
          <cell r="I1419">
            <v>6.458333333333334E-2</v>
          </cell>
          <cell r="J1419">
            <v>3</v>
          </cell>
          <cell r="K1419" t="str">
            <v>FCB-PROTOCOL-01</v>
          </cell>
          <cell r="L1419" t="str">
            <v>CLN/PRA/332</v>
          </cell>
          <cell r="M1419" t="str">
            <v>Y</v>
          </cell>
          <cell r="N1419" t="str">
            <v>Cos V1 (2S)</v>
          </cell>
          <cell r="O1419" t="str">
            <v>Internal R&amp;D</v>
          </cell>
          <cell r="P1419" t="str">
            <v>Q1 Passed</v>
          </cell>
          <cell r="Q1419" t="str">
            <v>Q1 Passed</v>
          </cell>
          <cell r="R1419" t="str">
            <v>Q1.5 Passed</v>
          </cell>
          <cell r="S1419" t="str">
            <v>Qualified</v>
          </cell>
          <cell r="V1419" t="str">
            <v>1-4% tumor in 2 fragments, others no tumor</v>
          </cell>
          <cell r="W1419" t="str">
            <v>Private Hospital</v>
          </cell>
          <cell r="X1419" t="str">
            <v>Dr Prakash BV, Bangalore</v>
          </cell>
          <cell r="Y1419" t="str">
            <v>Sri Lakshmi Hospital, Bangalore</v>
          </cell>
          <cell r="Z1419" t="str">
            <v>Dr Prakash BV, Bangalore</v>
          </cell>
          <cell r="AA1419" t="str">
            <v>CRC</v>
          </cell>
          <cell r="AB1419" t="str">
            <v>NA</v>
          </cell>
          <cell r="AC1419" t="str">
            <v>Colon</v>
          </cell>
          <cell r="AD1419" t="str">
            <v>Decenting Colon</v>
          </cell>
          <cell r="AE1419" t="str">
            <v>Male</v>
          </cell>
          <cell r="AF1419">
            <v>50</v>
          </cell>
          <cell r="AG1419" t="str">
            <v>N</v>
          </cell>
          <cell r="AH1419">
            <v>5.4</v>
          </cell>
          <cell r="AI1419" t="str">
            <v>Shashi</v>
          </cell>
          <cell r="AJ1419" t="str">
            <v>Surgery</v>
          </cell>
          <cell r="AK1419" t="str">
            <v>Primary</v>
          </cell>
          <cell r="AL1419" t="str">
            <v>NA</v>
          </cell>
          <cell r="AV1419">
            <v>45852</v>
          </cell>
          <cell r="AW1419">
            <v>0.61111111111111116</v>
          </cell>
          <cell r="AX1419">
            <v>0.69722222222222219</v>
          </cell>
          <cell r="BB1419" t="str">
            <v>0.4-0.6*2.4*2.6</v>
          </cell>
          <cell r="BD1419" t="str">
            <v>Vibratome</v>
          </cell>
          <cell r="BE1419">
            <v>13</v>
          </cell>
          <cell r="BF1419" t="str">
            <v>Vasanth</v>
          </cell>
          <cell r="BG1419" t="str">
            <v>Y</v>
          </cell>
        </row>
        <row r="1420">
          <cell r="A1420" t="str">
            <v>FBR1C250161</v>
          </cell>
          <cell r="B1420">
            <v>250161</v>
          </cell>
          <cell r="C1420" t="str">
            <v>R&amp;D</v>
          </cell>
          <cell r="D1420">
            <v>45852</v>
          </cell>
          <cell r="E1420">
            <v>0.53611111111111109</v>
          </cell>
          <cell r="F1420">
            <v>45839</v>
          </cell>
          <cell r="G1420">
            <v>45852</v>
          </cell>
          <cell r="H1420">
            <v>0.66180555555555554</v>
          </cell>
          <cell r="I1420">
            <v>0.12569444444444444</v>
          </cell>
          <cell r="J1420">
            <v>3</v>
          </cell>
          <cell r="K1420" t="str">
            <v>FCB-PROTOCOL-01</v>
          </cell>
          <cell r="L1420" t="str">
            <v>VYD/402</v>
          </cell>
          <cell r="M1420" t="str">
            <v>Y</v>
          </cell>
          <cell r="N1420" t="str">
            <v>Cul Imp (1C)</v>
          </cell>
          <cell r="O1420" t="str">
            <v>Internal R&amp;D</v>
          </cell>
          <cell r="P1420" t="str">
            <v>Q1 Passed</v>
          </cell>
          <cell r="Q1420" t="str">
            <v>Q1 Passed</v>
          </cell>
          <cell r="R1420" t="str">
            <v>Q1.5 Passed</v>
          </cell>
          <cell r="S1420" t="str">
            <v>Qualified</v>
          </cell>
          <cell r="V1420" t="str">
            <v>Tumor content 70-90%</v>
          </cell>
          <cell r="W1420" t="str">
            <v>Private Hospital</v>
          </cell>
          <cell r="X1420" t="str">
            <v>Vydehi Hospital, Bangalore</v>
          </cell>
          <cell r="Y1420" t="str">
            <v>Vydehi Hospital, Bangalore</v>
          </cell>
          <cell r="Z1420" t="str">
            <v>Dr Amritha Prabha, Bangalore</v>
          </cell>
          <cell r="AA1420" t="str">
            <v>HNSCC</v>
          </cell>
          <cell r="AB1420" t="str">
            <v>NA</v>
          </cell>
          <cell r="AC1420" t="str">
            <v>Alveolus</v>
          </cell>
          <cell r="AD1420" t="str">
            <v>Left Lower Alveolus</v>
          </cell>
          <cell r="AE1420" t="str">
            <v>Female</v>
          </cell>
          <cell r="AF1420">
            <v>56</v>
          </cell>
          <cell r="AG1420" t="str">
            <v>N</v>
          </cell>
          <cell r="AH1420">
            <v>5.8</v>
          </cell>
          <cell r="AI1420" t="str">
            <v>Maruthi</v>
          </cell>
          <cell r="AJ1420" t="str">
            <v>Surgery</v>
          </cell>
          <cell r="AK1420" t="str">
            <v>Primary</v>
          </cell>
          <cell r="AL1420" t="str">
            <v>NA</v>
          </cell>
          <cell r="AS1420" t="str">
            <v>SCC</v>
          </cell>
          <cell r="AV1420">
            <v>45852</v>
          </cell>
          <cell r="AW1420">
            <v>0.67569444444444449</v>
          </cell>
          <cell r="AX1420">
            <v>0.7368055555555556</v>
          </cell>
          <cell r="BB1420" t="str">
            <v>0.6-0.8*1.0*1.6</v>
          </cell>
          <cell r="BD1420" t="str">
            <v>Vibratome</v>
          </cell>
          <cell r="BE1420">
            <v>15</v>
          </cell>
          <cell r="BF1420" t="str">
            <v>chandan</v>
          </cell>
          <cell r="BG1420" t="str">
            <v>Y</v>
          </cell>
        </row>
        <row r="1421">
          <cell r="A1421" t="str">
            <v>FBR1Q250162</v>
          </cell>
          <cell r="B1421">
            <v>250162</v>
          </cell>
          <cell r="C1421" t="str">
            <v>R&amp;D</v>
          </cell>
          <cell r="D1421">
            <v>45854</v>
          </cell>
          <cell r="E1421">
            <v>0.39166666666666666</v>
          </cell>
          <cell r="F1421">
            <v>45839</v>
          </cell>
          <cell r="G1421">
            <v>45854</v>
          </cell>
          <cell r="H1421">
            <v>0.58958333333333335</v>
          </cell>
          <cell r="I1421">
            <v>0.19791666666666666</v>
          </cell>
          <cell r="J1421">
            <v>3</v>
          </cell>
          <cell r="K1421" t="str">
            <v>FCB-PROTOCOL-01</v>
          </cell>
          <cell r="L1421" t="str">
            <v>VYD/403</v>
          </cell>
          <cell r="M1421" t="str">
            <v>Y</v>
          </cell>
          <cell r="N1421" t="str">
            <v>COSv4.1_CaBR(1Q-Known)</v>
          </cell>
          <cell r="O1421" t="str">
            <v>Internal R&amp;D</v>
          </cell>
          <cell r="P1421" t="str">
            <v>Q1 Passed</v>
          </cell>
          <cell r="Q1421" t="str">
            <v>Q1 Passed</v>
          </cell>
          <cell r="R1421" t="str">
            <v>Q1.5 Passed</v>
          </cell>
          <cell r="S1421" t="str">
            <v>Qualified</v>
          </cell>
          <cell r="V1421" t="str">
            <v>Tumor content 0-45%. Average tumor content 12%</v>
          </cell>
          <cell r="W1421" t="str">
            <v>Private Hospital</v>
          </cell>
          <cell r="X1421" t="str">
            <v>Vydehi Hospital, Bangalore</v>
          </cell>
          <cell r="Y1421" t="str">
            <v>Vydehi Hospital, Bangalore</v>
          </cell>
          <cell r="Z1421" t="str">
            <v>Dr Amritha Prabha, Bangalore</v>
          </cell>
          <cell r="AA1421" t="str">
            <v>Ca Breast</v>
          </cell>
          <cell r="AB1421" t="str">
            <v>ER +
Pr +
Her2 -</v>
          </cell>
          <cell r="AC1421" t="str">
            <v>Breast</v>
          </cell>
          <cell r="AD1421" t="str">
            <v>Left Breast</v>
          </cell>
          <cell r="AE1421" t="str">
            <v>Female</v>
          </cell>
          <cell r="AF1421">
            <v>60</v>
          </cell>
          <cell r="AG1421" t="str">
            <v>N</v>
          </cell>
          <cell r="AH1421">
            <v>6.2</v>
          </cell>
          <cell r="AI1421" t="str">
            <v>Shashi</v>
          </cell>
          <cell r="AJ1421" t="str">
            <v>Surgery</v>
          </cell>
          <cell r="AK1421" t="str">
            <v>Primary</v>
          </cell>
          <cell r="AL1421" t="str">
            <v>NA</v>
          </cell>
          <cell r="AS1421" t="str">
            <v>IDC</v>
          </cell>
          <cell r="AV1421">
            <v>45854</v>
          </cell>
          <cell r="AW1421">
            <v>0.61736111111111114</v>
          </cell>
          <cell r="AX1421">
            <v>0.65833333333333333</v>
          </cell>
          <cell r="BB1421" t="str">
            <v>0.8*0.9*1.3</v>
          </cell>
          <cell r="BD1421" t="str">
            <v>Manual</v>
          </cell>
          <cell r="BE1421">
            <v>15</v>
          </cell>
          <cell r="BF1421" t="str">
            <v>chandan</v>
          </cell>
          <cell r="BG1421" t="str">
            <v>Y</v>
          </cell>
        </row>
        <row r="1422">
          <cell r="A1422" t="str">
            <v>FBR1Q250163</v>
          </cell>
          <cell r="B1422">
            <v>250163</v>
          </cell>
          <cell r="C1422" t="str">
            <v>R&amp;D</v>
          </cell>
          <cell r="D1422">
            <v>45854</v>
          </cell>
          <cell r="E1422">
            <v>0.46666666666666667</v>
          </cell>
          <cell r="F1422">
            <v>45839</v>
          </cell>
          <cell r="G1422">
            <v>45854</v>
          </cell>
          <cell r="H1422">
            <v>0.58958333333333335</v>
          </cell>
          <cell r="I1422">
            <v>0.12291666666666666</v>
          </cell>
          <cell r="J1422">
            <v>2</v>
          </cell>
          <cell r="K1422" t="str">
            <v>FCB-PROTOCOL-01</v>
          </cell>
          <cell r="L1422" t="str">
            <v>VYD/404</v>
          </cell>
          <cell r="M1422" t="str">
            <v>Y</v>
          </cell>
          <cell r="N1422" t="str">
            <v>COSv4.1_CaBR(1Q-Known)</v>
          </cell>
          <cell r="O1422" t="str">
            <v>Internal R&amp;D</v>
          </cell>
          <cell r="P1422" t="str">
            <v>Q1 Passed</v>
          </cell>
          <cell r="Q1422" t="str">
            <v>Q1 Passed</v>
          </cell>
          <cell r="R1422" t="str">
            <v>Q1.5 Passed</v>
          </cell>
          <cell r="S1422" t="str">
            <v>Qualified</v>
          </cell>
          <cell r="V1422" t="str">
            <v>Tumor content 6-40%</v>
          </cell>
          <cell r="W1422" t="str">
            <v>Private Hospital</v>
          </cell>
          <cell r="X1422" t="str">
            <v>Vydehi Hospital, Bangalore</v>
          </cell>
          <cell r="Y1422" t="str">
            <v>Vydehi Hospital, Bangalore</v>
          </cell>
          <cell r="Z1422" t="str">
            <v>Dr Amritha Prabha, Bangalore</v>
          </cell>
          <cell r="AA1422" t="str">
            <v>Ca Breast</v>
          </cell>
          <cell r="AB1422" t="str">
            <v>NA</v>
          </cell>
          <cell r="AC1422" t="str">
            <v>Breast</v>
          </cell>
          <cell r="AD1422" t="str">
            <v>Right Breast</v>
          </cell>
          <cell r="AE1422" t="str">
            <v>Female</v>
          </cell>
          <cell r="AF1422">
            <v>72</v>
          </cell>
          <cell r="AG1422" t="str">
            <v>N</v>
          </cell>
          <cell r="AH1422">
            <v>6.2</v>
          </cell>
          <cell r="AI1422" t="str">
            <v>Shashi</v>
          </cell>
          <cell r="AJ1422" t="str">
            <v>Surgery</v>
          </cell>
          <cell r="AK1422" t="str">
            <v>Primary</v>
          </cell>
          <cell r="AL1422" t="str">
            <v>Chemotherapy</v>
          </cell>
          <cell r="AQ1422">
            <v>1</v>
          </cell>
          <cell r="AR1422" t="str">
            <v>Docetaxol, Cyclophosphamide and trastuzumab</v>
          </cell>
          <cell r="AS1422" t="str">
            <v>IDC</v>
          </cell>
          <cell r="AV1422">
            <v>45854</v>
          </cell>
          <cell r="AW1422">
            <v>0.62361111111111112</v>
          </cell>
          <cell r="AX1422">
            <v>0.67847222222222225</v>
          </cell>
          <cell r="BB1422" t="str">
            <v>0.6*1.2*1.6</v>
          </cell>
          <cell r="BD1422" t="str">
            <v>Manual</v>
          </cell>
          <cell r="BE1422">
            <v>15</v>
          </cell>
          <cell r="BF1422" t="str">
            <v xml:space="preserve">sai </v>
          </cell>
          <cell r="BG1422" t="str">
            <v>Y</v>
          </cell>
        </row>
        <row r="1423">
          <cell r="A1423" t="str">
            <v>FBR1Q250164</v>
          </cell>
          <cell r="B1423">
            <v>250164</v>
          </cell>
          <cell r="C1423" t="str">
            <v>R&amp;D</v>
          </cell>
          <cell r="D1423">
            <v>45856</v>
          </cell>
          <cell r="E1423">
            <v>0.46388888888888891</v>
          </cell>
          <cell r="F1423">
            <v>45839</v>
          </cell>
          <cell r="G1423">
            <v>45856</v>
          </cell>
          <cell r="H1423">
            <v>0.58750000000000002</v>
          </cell>
          <cell r="I1423">
            <v>0.12361111111111112</v>
          </cell>
          <cell r="J1423">
            <v>2</v>
          </cell>
          <cell r="K1423" t="str">
            <v>FCB-PROTOCOL-01</v>
          </cell>
          <cell r="L1423" t="str">
            <v>VYD/405</v>
          </cell>
          <cell r="M1423" t="str">
            <v>Y</v>
          </cell>
          <cell r="N1423" t="str">
            <v>COSv4.1_CaBR(1Q-Known)</v>
          </cell>
          <cell r="O1423" t="str">
            <v>Internal R&amp;D</v>
          </cell>
          <cell r="P1423" t="str">
            <v>Q1 Passed</v>
          </cell>
          <cell r="Q1423" t="str">
            <v>Q1 Passed</v>
          </cell>
          <cell r="R1423" t="str">
            <v>Q1.5 Passed</v>
          </cell>
          <cell r="S1423" t="str">
            <v>Qualified</v>
          </cell>
          <cell r="V1423" t="str">
            <v>Tumor content 0-18%. Average tumor content 6%</v>
          </cell>
          <cell r="W1423" t="str">
            <v>Private Hospital</v>
          </cell>
          <cell r="X1423" t="str">
            <v>Vydehi Hospital, Bangalore</v>
          </cell>
          <cell r="Y1423" t="str">
            <v>Vydehi Hospital, Bangalore</v>
          </cell>
          <cell r="Z1423" t="str">
            <v>Dr Amritha Prabha, Bangalore</v>
          </cell>
          <cell r="AA1423" t="str">
            <v>Ca Breast</v>
          </cell>
          <cell r="AB1423" t="str">
            <v>ER +
Pr +
Her2 -</v>
          </cell>
          <cell r="AC1423" t="str">
            <v>Breast</v>
          </cell>
          <cell r="AD1423" t="str">
            <v>Left Breast</v>
          </cell>
          <cell r="AE1423" t="str">
            <v>Female</v>
          </cell>
          <cell r="AF1423">
            <v>57</v>
          </cell>
          <cell r="AG1423" t="str">
            <v>N</v>
          </cell>
          <cell r="AH1423">
            <v>4.4000000000000004</v>
          </cell>
          <cell r="AI1423" t="str">
            <v>Kalappa</v>
          </cell>
          <cell r="AJ1423" t="str">
            <v>Surgery</v>
          </cell>
          <cell r="AK1423" t="str">
            <v>Primary</v>
          </cell>
          <cell r="AL1423" t="str">
            <v>NA</v>
          </cell>
          <cell r="AS1423" t="str">
            <v>IDC</v>
          </cell>
          <cell r="AV1423">
            <v>45856</v>
          </cell>
          <cell r="AW1423">
            <v>0.60486111111111107</v>
          </cell>
          <cell r="AX1423">
            <v>0.65277777777777779</v>
          </cell>
          <cell r="BB1423" t="str">
            <v>0.5*1.6*2.0</v>
          </cell>
          <cell r="BC1423" t="str">
            <v>0.4*1.0*1.2
0.4*1.0*1.4</v>
          </cell>
          <cell r="BD1423" t="str">
            <v>Manual</v>
          </cell>
          <cell r="BE1423">
            <v>15</v>
          </cell>
          <cell r="BF1423" t="str">
            <v>Dharani</v>
          </cell>
          <cell r="BG1423" t="str">
            <v>Y</v>
          </cell>
        </row>
        <row r="1424">
          <cell r="A1424" t="str">
            <v>FBB1N250165</v>
          </cell>
          <cell r="B1424">
            <v>250165</v>
          </cell>
          <cell r="C1424" t="str">
            <v>Biopharma</v>
          </cell>
          <cell r="D1424" t="str">
            <v>19-07-20250</v>
          </cell>
          <cell r="E1424">
            <v>0.34513888888888888</v>
          </cell>
          <cell r="F1424">
            <v>45839</v>
          </cell>
          <cell r="G1424">
            <v>45857</v>
          </cell>
          <cell r="H1424">
            <v>0.41597222222222224</v>
          </cell>
          <cell r="I1424">
            <v>7.0833333333333331E-2</v>
          </cell>
          <cell r="J1424">
            <v>3</v>
          </cell>
          <cell r="K1424" t="str">
            <v>FCB-PROTOCOL-01</v>
          </cell>
          <cell r="L1424" t="str">
            <v>CLN/PRA/333</v>
          </cell>
          <cell r="M1424" t="str">
            <v>Y</v>
          </cell>
          <cell r="P1424" t="str">
            <v>Q1 Passed</v>
          </cell>
          <cell r="Q1424" t="str">
            <v>Q1 Rejected</v>
          </cell>
          <cell r="R1424" t="str">
            <v>Q1.5 Passed</v>
          </cell>
          <cell r="S1424" t="str">
            <v>Qualified</v>
          </cell>
          <cell r="T1424" t="str">
            <v>Blood Hemolysed</v>
          </cell>
          <cell r="V1424" t="str">
            <v>Tumor content 20-65%</v>
          </cell>
          <cell r="W1424" t="str">
            <v>Private Hospital</v>
          </cell>
          <cell r="X1424" t="str">
            <v>Dr Prakash BV, Bangalore</v>
          </cell>
          <cell r="Y1424" t="str">
            <v>Sri Lakshmi Hospital, Bangalore</v>
          </cell>
          <cell r="Z1424" t="str">
            <v>Dr Prakash BV, Bangalore</v>
          </cell>
          <cell r="AA1424" t="str">
            <v>GI</v>
          </cell>
          <cell r="AB1424" t="str">
            <v>NA</v>
          </cell>
          <cell r="AC1424" t="str">
            <v>Stomach</v>
          </cell>
          <cell r="AD1424" t="str">
            <v>Stomach</v>
          </cell>
          <cell r="AE1424" t="str">
            <v>Female</v>
          </cell>
          <cell r="AF1424">
            <v>60</v>
          </cell>
          <cell r="AG1424" t="str">
            <v>N</v>
          </cell>
          <cell r="AH1424">
            <v>3.3</v>
          </cell>
          <cell r="AI1424" t="str">
            <v>Kalappa</v>
          </cell>
          <cell r="AJ1424" t="str">
            <v>Surgery</v>
          </cell>
          <cell r="AK1424" t="str">
            <v>Primary</v>
          </cell>
          <cell r="AL1424" t="str">
            <v>NA</v>
          </cell>
          <cell r="AN1424" t="str">
            <v>IV</v>
          </cell>
          <cell r="AP1424" t="str">
            <v>pT4N2M0</v>
          </cell>
          <cell r="AS1424" t="str">
            <v>Adenocarcinoma</v>
          </cell>
          <cell r="AV1424" t="str">
            <v>19-07-20250</v>
          </cell>
        </row>
        <row r="1425">
          <cell r="A1425" t="str">
            <v>FBR1C250166</v>
          </cell>
          <cell r="B1425">
            <v>250166</v>
          </cell>
          <cell r="C1425" t="str">
            <v>R&amp;D</v>
          </cell>
          <cell r="D1425">
            <v>45859</v>
          </cell>
          <cell r="E1425">
            <v>0.49305555555555558</v>
          </cell>
          <cell r="F1425">
            <v>45839</v>
          </cell>
          <cell r="G1425">
            <v>45859</v>
          </cell>
          <cell r="H1425">
            <v>0.88055555555555554</v>
          </cell>
          <cell r="I1425">
            <v>0.38750000000000001</v>
          </cell>
          <cell r="J1425">
            <v>10</v>
          </cell>
          <cell r="K1425" t="str">
            <v>FCB-PROTOCOL-01</v>
          </cell>
          <cell r="L1425" t="str">
            <v>CLN/DBR/240</v>
          </cell>
          <cell r="M1425" t="str">
            <v>Y</v>
          </cell>
          <cell r="N1425" t="str">
            <v>Cul Imp (1C)</v>
          </cell>
          <cell r="O1425" t="str">
            <v>Internal R&amp;D</v>
          </cell>
          <cell r="P1425" t="str">
            <v>Q1 Passed</v>
          </cell>
          <cell r="Q1425" t="str">
            <v>Q1 Passed</v>
          </cell>
          <cell r="R1425" t="str">
            <v>Q1.5 Passed</v>
          </cell>
          <cell r="S1425" t="str">
            <v>Qualified</v>
          </cell>
          <cell r="V1425" t="str">
            <v>Tumor content 40-80%</v>
          </cell>
          <cell r="W1425" t="str">
            <v>Private Hospital</v>
          </cell>
          <cell r="X1425" t="str">
            <v>Clinic'les- DBR &amp; SK Hospital, Tirupati</v>
          </cell>
          <cell r="Y1425" t="str">
            <v>DBR &amp; SK Hospital, Tirupati</v>
          </cell>
          <cell r="Z1425" t="str">
            <v>Dr C Jayaprakash, Tirupati</v>
          </cell>
          <cell r="AA1425" t="str">
            <v>HNSCC</v>
          </cell>
          <cell r="AB1425" t="str">
            <v>NA</v>
          </cell>
          <cell r="AC1425" t="str">
            <v>Buccal Mucosa</v>
          </cell>
          <cell r="AD1425" t="str">
            <v>Left Buccal Mucosa</v>
          </cell>
          <cell r="AE1425" t="str">
            <v>Female</v>
          </cell>
          <cell r="AF1425">
            <v>46</v>
          </cell>
          <cell r="AG1425" t="str">
            <v>N</v>
          </cell>
          <cell r="AH1425">
            <v>6.1</v>
          </cell>
          <cell r="AI1425" t="str">
            <v>Kalappa</v>
          </cell>
          <cell r="AJ1425" t="str">
            <v>Surgery</v>
          </cell>
          <cell r="AK1425" t="str">
            <v>Primary</v>
          </cell>
          <cell r="AL1425" t="str">
            <v>NA</v>
          </cell>
          <cell r="AS1425" t="str">
            <v>SCC</v>
          </cell>
          <cell r="AV1425">
            <v>45859</v>
          </cell>
          <cell r="AW1425">
            <v>0.89583333333333337</v>
          </cell>
          <cell r="AX1425">
            <v>0.96597222222222223</v>
          </cell>
          <cell r="BB1425" t="str">
            <v>0.4-0.8*1.4*1.8</v>
          </cell>
          <cell r="BD1425" t="str">
            <v>Vibratome</v>
          </cell>
          <cell r="BE1425">
            <v>15</v>
          </cell>
          <cell r="BF1425" t="str">
            <v>Mouniss</v>
          </cell>
          <cell r="BG1425" t="str">
            <v>Y</v>
          </cell>
        </row>
        <row r="1426">
          <cell r="A1426" t="str">
            <v>FBR1Q250167</v>
          </cell>
          <cell r="B1426">
            <v>250167</v>
          </cell>
          <cell r="C1426" t="str">
            <v>R&amp;D</v>
          </cell>
          <cell r="D1426">
            <v>45860</v>
          </cell>
          <cell r="E1426">
            <v>0.46180555555555558</v>
          </cell>
          <cell r="F1426">
            <v>45839</v>
          </cell>
          <cell r="G1426">
            <v>45860</v>
          </cell>
          <cell r="H1426">
            <v>0.50069444444444444</v>
          </cell>
          <cell r="I1426">
            <v>3.888888888888889E-2</v>
          </cell>
          <cell r="J1426">
            <v>5</v>
          </cell>
          <cell r="K1426" t="str">
            <v>FCB-PROTOCOL-01</v>
          </cell>
          <cell r="L1426" t="str">
            <v>CLN/PRA/334</v>
          </cell>
          <cell r="M1426" t="str">
            <v>Y</v>
          </cell>
          <cell r="N1426" t="str">
            <v>COSv4.1_CaBR(1Q-Known)</v>
          </cell>
          <cell r="O1426" t="str">
            <v>Internal R&amp;D</v>
          </cell>
          <cell r="P1426" t="str">
            <v>Q1 Passed</v>
          </cell>
          <cell r="Q1426" t="str">
            <v>Q1 Passed</v>
          </cell>
          <cell r="R1426" t="str">
            <v>Q1.5 Passed</v>
          </cell>
          <cell r="S1426" t="str">
            <v>Qualified</v>
          </cell>
          <cell r="V1426" t="str">
            <v>Tumor content 0-45%.Average tumor content 9%</v>
          </cell>
          <cell r="W1426" t="str">
            <v>Private Hospital</v>
          </cell>
          <cell r="X1426" t="str">
            <v>Dr Prakash BV, Bangalore</v>
          </cell>
          <cell r="Y1426" t="str">
            <v>Mallige Hospital</v>
          </cell>
          <cell r="Z1426" t="str">
            <v>Dr Prakash BV, Bangalore</v>
          </cell>
          <cell r="AA1426" t="str">
            <v>Ca Breast</v>
          </cell>
          <cell r="AB1426" t="str">
            <v>NA</v>
          </cell>
          <cell r="AC1426" t="str">
            <v>Breast</v>
          </cell>
          <cell r="AD1426" t="str">
            <v>Right Breast</v>
          </cell>
          <cell r="AE1426" t="str">
            <v>Female</v>
          </cell>
          <cell r="AF1426">
            <v>55</v>
          </cell>
          <cell r="AG1426" t="str">
            <v>N</v>
          </cell>
          <cell r="AH1426">
            <v>6.5</v>
          </cell>
          <cell r="AI1426" t="str">
            <v>Shashi</v>
          </cell>
          <cell r="AJ1426" t="str">
            <v>Surgery</v>
          </cell>
          <cell r="AK1426" t="str">
            <v>Primary</v>
          </cell>
          <cell r="AL1426" t="str">
            <v>NA</v>
          </cell>
          <cell r="AV1426">
            <v>45860</v>
          </cell>
          <cell r="AW1426">
            <v>0.5395833333333333</v>
          </cell>
          <cell r="AX1426">
            <v>0.59375</v>
          </cell>
          <cell r="BB1426" t="str">
            <v>0.4-0.6*1.2*2.2
0.3-0.5*0.4-0.8*2.0</v>
          </cell>
          <cell r="BD1426" t="str">
            <v>Manual</v>
          </cell>
          <cell r="BE1426">
            <v>15</v>
          </cell>
          <cell r="BF1426" t="str">
            <v xml:space="preserve">sai </v>
          </cell>
          <cell r="BG1426" t="str">
            <v>Y</v>
          </cell>
        </row>
        <row r="1427">
          <cell r="A1427" t="str">
            <v>FBR2S250168</v>
          </cell>
          <cell r="B1427">
            <v>250168</v>
          </cell>
          <cell r="C1427" t="str">
            <v>R&amp;D</v>
          </cell>
          <cell r="D1427">
            <v>45860</v>
          </cell>
          <cell r="E1427">
            <v>0.53680555555555554</v>
          </cell>
          <cell r="F1427">
            <v>45839</v>
          </cell>
          <cell r="G1427">
            <v>45860</v>
          </cell>
          <cell r="H1427">
            <v>0.67569444444444449</v>
          </cell>
          <cell r="I1427">
            <v>0.1388888888888889</v>
          </cell>
          <cell r="J1427">
            <v>2</v>
          </cell>
          <cell r="K1427" t="str">
            <v>FCB-PROTOCOL-01</v>
          </cell>
          <cell r="L1427" t="str">
            <v>CLN/PRA/335</v>
          </cell>
          <cell r="M1427" t="str">
            <v>Y</v>
          </cell>
          <cell r="N1427" t="str">
            <v>Cos V1 (2S)</v>
          </cell>
          <cell r="O1427" t="str">
            <v>Internal R&amp;D</v>
          </cell>
          <cell r="P1427" t="str">
            <v>Q1 Passed</v>
          </cell>
          <cell r="Q1427" t="str">
            <v>Q1 Passed</v>
          </cell>
          <cell r="R1427" t="str">
            <v>Q1.5 Passed</v>
          </cell>
          <cell r="S1427" t="str">
            <v>Qualified</v>
          </cell>
          <cell r="V1427" t="str">
            <v>Tumor content 0-6%. Average tumor content 1%</v>
          </cell>
          <cell r="W1427" t="str">
            <v>Private Hospital</v>
          </cell>
          <cell r="X1427" t="str">
            <v>Dr Prakash BV, Bangalore</v>
          </cell>
          <cell r="Y1427" t="str">
            <v>Sri Lakshmi Hospital, Bangalore</v>
          </cell>
          <cell r="Z1427" t="str">
            <v>Dr Prakash BV, Bangalore</v>
          </cell>
          <cell r="AA1427" t="str">
            <v>CRC</v>
          </cell>
          <cell r="AB1427" t="str">
            <v>NA</v>
          </cell>
          <cell r="AC1427" t="str">
            <v xml:space="preserve">Colon </v>
          </cell>
          <cell r="AD1427" t="str">
            <v>Decenting Colon</v>
          </cell>
          <cell r="AE1427" t="str">
            <v>Female</v>
          </cell>
          <cell r="AF1427">
            <v>45</v>
          </cell>
          <cell r="AG1427" t="str">
            <v>N</v>
          </cell>
          <cell r="AH1427">
            <v>3.7</v>
          </cell>
          <cell r="AI1427" t="str">
            <v>Kalappa</v>
          </cell>
          <cell r="AJ1427" t="str">
            <v>Surgery</v>
          </cell>
          <cell r="AK1427" t="str">
            <v>Primary</v>
          </cell>
          <cell r="AL1427" t="str">
            <v>NA</v>
          </cell>
          <cell r="AN1427" t="str">
            <v>II</v>
          </cell>
          <cell r="AP1427" t="str">
            <v>pT3N1 M0</v>
          </cell>
          <cell r="AS1427" t="str">
            <v>Adenocarcinoma</v>
          </cell>
          <cell r="AV1427">
            <v>45860</v>
          </cell>
          <cell r="AW1427">
            <v>0.69374999999999998</v>
          </cell>
          <cell r="AX1427">
            <v>0.8</v>
          </cell>
          <cell r="BB1427" t="str">
            <v>0.8-1.0*2.2*4.4</v>
          </cell>
          <cell r="BC1427" t="str">
            <v>0.6-0.8*1.5*2.8
0.6-0.8*2.1*2.6</v>
          </cell>
          <cell r="BD1427" t="str">
            <v>Vibratome</v>
          </cell>
          <cell r="BE1427">
            <v>13</v>
          </cell>
          <cell r="BF1427" t="str">
            <v>Jobin</v>
          </cell>
          <cell r="BG1427" t="str">
            <v>Y</v>
          </cell>
        </row>
        <row r="1428">
          <cell r="A1428" t="str">
            <v>FBR1Q250169</v>
          </cell>
          <cell r="B1428">
            <v>250169</v>
          </cell>
          <cell r="C1428" t="str">
            <v>R&amp;D</v>
          </cell>
          <cell r="D1428">
            <v>45861</v>
          </cell>
          <cell r="E1428">
            <v>0.4861111111111111</v>
          </cell>
          <cell r="F1428">
            <v>45839</v>
          </cell>
          <cell r="G1428">
            <v>45861</v>
          </cell>
          <cell r="H1428">
            <v>0.77152777777777781</v>
          </cell>
          <cell r="I1428">
            <v>0.28541666666666665</v>
          </cell>
          <cell r="J1428">
            <v>5</v>
          </cell>
          <cell r="K1428" t="str">
            <v>FCB-PROTOCOL-01</v>
          </cell>
          <cell r="L1428" t="str">
            <v>JSS-044</v>
          </cell>
          <cell r="M1428" t="str">
            <v>Y</v>
          </cell>
          <cell r="N1428" t="str">
            <v>COSv4.1_CaBR(1Q-Known)</v>
          </cell>
          <cell r="O1428" t="str">
            <v>Internal R&amp;D</v>
          </cell>
          <cell r="P1428" t="str">
            <v>Q1 Passed</v>
          </cell>
          <cell r="Q1428" t="str">
            <v>Q1 Rejected</v>
          </cell>
          <cell r="R1428" t="str">
            <v>Q1.5 Passed</v>
          </cell>
          <cell r="S1428" t="str">
            <v>Qualified</v>
          </cell>
          <cell r="T1428" t="str">
            <v>Blood Clotted</v>
          </cell>
          <cell r="V1428" t="str">
            <v>Tumor content 2-15%</v>
          </cell>
          <cell r="W1428" t="str">
            <v>Private Hospital</v>
          </cell>
          <cell r="X1428" t="str">
            <v>Dr Ravi Krishnappa, Mysore</v>
          </cell>
          <cell r="Y1428" t="str">
            <v>JSS Hospital, Mysore</v>
          </cell>
          <cell r="Z1428" t="str">
            <v>Dr Ravi Krishnappa, Mysore</v>
          </cell>
          <cell r="AA1428" t="str">
            <v>Ca Breast</v>
          </cell>
          <cell r="AB1428" t="str">
            <v>ER +
Pr +
Her2 -</v>
          </cell>
          <cell r="AC1428" t="str">
            <v>Breast</v>
          </cell>
          <cell r="AD1428" t="str">
            <v>Right Breast</v>
          </cell>
          <cell r="AE1428" t="str">
            <v>Female</v>
          </cell>
          <cell r="AF1428">
            <v>76</v>
          </cell>
          <cell r="AG1428" t="str">
            <v>N</v>
          </cell>
          <cell r="AH1428">
            <v>6.5</v>
          </cell>
          <cell r="AI1428" t="str">
            <v>Shashi</v>
          </cell>
          <cell r="AJ1428" t="str">
            <v>Surgery</v>
          </cell>
          <cell r="AK1428" t="str">
            <v>Primary</v>
          </cell>
          <cell r="AL1428" t="str">
            <v>NA</v>
          </cell>
          <cell r="AN1428" t="str">
            <v>II</v>
          </cell>
          <cell r="AO1428">
            <v>2</v>
          </cell>
          <cell r="AP1428" t="str">
            <v>pT4bN2M0</v>
          </cell>
          <cell r="AS1428" t="str">
            <v>IDC</v>
          </cell>
          <cell r="AV1428">
            <v>45861</v>
          </cell>
          <cell r="AW1428">
            <v>0.79236111111111107</v>
          </cell>
          <cell r="BB1428" t="str">
            <v>0.4*0.8*0.4
0.4*0.4*0.4</v>
          </cell>
          <cell r="BD1428" t="str">
            <v>Manual</v>
          </cell>
          <cell r="BE1428">
            <v>15</v>
          </cell>
          <cell r="BF1428" t="str">
            <v>Dharani</v>
          </cell>
          <cell r="BG1428" t="str">
            <v>N</v>
          </cell>
        </row>
        <row r="1429">
          <cell r="A1429" t="str">
            <v>FBR1Q250170</v>
          </cell>
          <cell r="B1429">
            <v>250170</v>
          </cell>
          <cell r="C1429" t="str">
            <v>R&amp;D</v>
          </cell>
          <cell r="D1429">
            <v>45861</v>
          </cell>
          <cell r="E1429">
            <v>4.1666666666666664E-2</v>
          </cell>
          <cell r="F1429">
            <v>45839</v>
          </cell>
          <cell r="G1429">
            <v>45861</v>
          </cell>
          <cell r="H1429">
            <v>0.77152777777777781</v>
          </cell>
          <cell r="I1429">
            <v>0.72986111111111107</v>
          </cell>
          <cell r="J1429">
            <v>5</v>
          </cell>
          <cell r="K1429" t="str">
            <v>FCB-PROTOCOL-01</v>
          </cell>
          <cell r="L1429" t="str">
            <v>JSS-045</v>
          </cell>
          <cell r="M1429" t="str">
            <v>Y</v>
          </cell>
          <cell r="N1429" t="str">
            <v>COSv4.1_CaBR(1Q-Known)</v>
          </cell>
          <cell r="O1429" t="str">
            <v>Internal R&amp;D</v>
          </cell>
          <cell r="P1429" t="str">
            <v>Q1 Passed</v>
          </cell>
          <cell r="Q1429" t="str">
            <v>Q1 Passed</v>
          </cell>
          <cell r="R1429" t="str">
            <v>Q1.5 Passed</v>
          </cell>
          <cell r="S1429" t="str">
            <v>Qualified</v>
          </cell>
          <cell r="V1429" t="str">
            <v>Tumor content 1-40%</v>
          </cell>
          <cell r="W1429" t="str">
            <v>Private Hospital</v>
          </cell>
          <cell r="X1429" t="str">
            <v>Dr Ravi Krishnappa, Mysore</v>
          </cell>
          <cell r="Y1429" t="str">
            <v>JSS Hospital, Mysore</v>
          </cell>
          <cell r="Z1429" t="str">
            <v>Dr Ravi Krishnappa, Mysore</v>
          </cell>
          <cell r="AA1429" t="str">
            <v>Ca Breast</v>
          </cell>
          <cell r="AB1429" t="str">
            <v>NA</v>
          </cell>
          <cell r="AC1429" t="str">
            <v>Breast</v>
          </cell>
          <cell r="AD1429" t="str">
            <v>Right Breast</v>
          </cell>
          <cell r="AE1429" t="str">
            <v>Female</v>
          </cell>
          <cell r="AF1429">
            <v>59</v>
          </cell>
          <cell r="AG1429" t="str">
            <v>N</v>
          </cell>
          <cell r="AH1429">
            <v>6.5</v>
          </cell>
          <cell r="AI1429" t="str">
            <v>Shashi</v>
          </cell>
          <cell r="AJ1429" t="str">
            <v>Surgery</v>
          </cell>
          <cell r="AK1429" t="str">
            <v>Primary</v>
          </cell>
          <cell r="AL1429" t="str">
            <v>NA</v>
          </cell>
          <cell r="AN1429" t="str">
            <v>II</v>
          </cell>
          <cell r="AP1429" t="str">
            <v>pT2N0M0</v>
          </cell>
          <cell r="AV1429">
            <v>45861</v>
          </cell>
        </row>
        <row r="1430">
          <cell r="A1430" t="str">
            <v>FBR1C250171</v>
          </cell>
          <cell r="B1430">
            <v>250171</v>
          </cell>
          <cell r="C1430" t="str">
            <v>R&amp;D</v>
          </cell>
          <cell r="D1430">
            <v>45861</v>
          </cell>
          <cell r="E1430">
            <v>0.52083333333333337</v>
          </cell>
          <cell r="F1430">
            <v>45839</v>
          </cell>
          <cell r="G1430">
            <v>45861</v>
          </cell>
          <cell r="H1430">
            <v>0.89930555555555558</v>
          </cell>
          <cell r="I1430">
            <v>0.37847222222222221</v>
          </cell>
          <cell r="J1430">
            <v>10</v>
          </cell>
          <cell r="K1430" t="str">
            <v>FCB-PROTOCOL-01</v>
          </cell>
          <cell r="L1430" t="str">
            <v>CLN/DBR/241</v>
          </cell>
          <cell r="M1430" t="str">
            <v>Y</v>
          </cell>
          <cell r="N1430" t="str">
            <v>Cul Imp (1C)</v>
          </cell>
          <cell r="O1430" t="str">
            <v>Internal R&amp;D</v>
          </cell>
          <cell r="P1430" t="str">
            <v>Q1 Passed</v>
          </cell>
          <cell r="Q1430" t="str">
            <v>Q1 Passed</v>
          </cell>
          <cell r="R1430" t="str">
            <v>Q1.5 Passed</v>
          </cell>
          <cell r="S1430" t="str">
            <v>Qualified</v>
          </cell>
          <cell r="V1430" t="str">
            <v>Tumor content 40-80%</v>
          </cell>
          <cell r="W1430" t="str">
            <v>Private Hospital</v>
          </cell>
          <cell r="X1430" t="str">
            <v>Clinic'les- DBR &amp; SK Hospital, Tirupati</v>
          </cell>
          <cell r="Y1430" t="str">
            <v>DBR &amp; SK Hospital, Tirupati</v>
          </cell>
          <cell r="Z1430" t="str">
            <v>Dr C Jayaprakash, Tirupati</v>
          </cell>
          <cell r="AA1430" t="str">
            <v>HNSCC</v>
          </cell>
          <cell r="AB1430" t="str">
            <v>NA</v>
          </cell>
          <cell r="AC1430" t="str">
            <v>Tongue</v>
          </cell>
          <cell r="AD1430" t="str">
            <v>Tongue</v>
          </cell>
          <cell r="AE1430" t="str">
            <v>Male</v>
          </cell>
          <cell r="AF1430">
            <v>52</v>
          </cell>
          <cell r="AG1430" t="str">
            <v>N</v>
          </cell>
          <cell r="AH1430">
            <v>5.6</v>
          </cell>
          <cell r="AI1430" t="str">
            <v>Kalappa</v>
          </cell>
          <cell r="AJ1430" t="str">
            <v>Surgery</v>
          </cell>
          <cell r="AK1430" t="str">
            <v>Primary</v>
          </cell>
          <cell r="AL1430" t="str">
            <v>NA</v>
          </cell>
          <cell r="AV1430">
            <v>45861</v>
          </cell>
        </row>
        <row r="1431">
          <cell r="A1431" t="str">
            <v>FBR1C250172</v>
          </cell>
          <cell r="B1431">
            <v>250172</v>
          </cell>
          <cell r="C1431" t="str">
            <v>R&amp;D</v>
          </cell>
          <cell r="D1431">
            <v>45862</v>
          </cell>
          <cell r="E1431">
            <v>0.59236111111111112</v>
          </cell>
          <cell r="F1431">
            <v>45839</v>
          </cell>
          <cell r="G1431">
            <v>45862</v>
          </cell>
          <cell r="H1431">
            <v>0.62777777777777777</v>
          </cell>
          <cell r="I1431">
            <v>3.5416666666666666E-2</v>
          </cell>
          <cell r="J1431">
            <v>2</v>
          </cell>
          <cell r="K1431" t="str">
            <v>FCB-PROTOCOL-01</v>
          </cell>
          <cell r="L1431" t="str">
            <v>CLN/PRA/336</v>
          </cell>
          <cell r="M1431" t="str">
            <v>Y</v>
          </cell>
          <cell r="N1431" t="str">
            <v>Cul Imp (1C)</v>
          </cell>
          <cell r="O1431" t="str">
            <v>Internal R&amp;D</v>
          </cell>
          <cell r="P1431" t="str">
            <v>Q1 Passed</v>
          </cell>
          <cell r="Q1431" t="str">
            <v>Q1 Passed</v>
          </cell>
          <cell r="R1431" t="str">
            <v>Q1.5 Passed</v>
          </cell>
          <cell r="S1431" t="str">
            <v>Qualified</v>
          </cell>
          <cell r="V1431" t="str">
            <v>Tumor content 45-82%</v>
          </cell>
          <cell r="W1431" t="str">
            <v>Private Hospital</v>
          </cell>
          <cell r="X1431" t="str">
            <v>Dr Prakash BV, Bangalore</v>
          </cell>
          <cell r="Y1431" t="str">
            <v>Sri Lakshmi Hospital, Bangalore</v>
          </cell>
          <cell r="Z1431" t="str">
            <v>Dr Prakash BV, Bangalore</v>
          </cell>
          <cell r="AA1431" t="str">
            <v>HNSCC</v>
          </cell>
          <cell r="AB1431" t="str">
            <v>NA</v>
          </cell>
          <cell r="AC1431" t="str">
            <v>Buccal Mucosa</v>
          </cell>
          <cell r="AD1431" t="str">
            <v>Left Buccal Mucosa</v>
          </cell>
          <cell r="AE1431" t="str">
            <v>Female</v>
          </cell>
          <cell r="AF1431">
            <v>50</v>
          </cell>
          <cell r="AG1431" t="str">
            <v>N</v>
          </cell>
          <cell r="AH1431">
            <v>4.7</v>
          </cell>
          <cell r="AI1431" t="str">
            <v>Shashi</v>
          </cell>
          <cell r="AJ1431" t="str">
            <v>Surgery</v>
          </cell>
          <cell r="AK1431" t="str">
            <v>Primary</v>
          </cell>
          <cell r="AL1431" t="str">
            <v>NA</v>
          </cell>
          <cell r="AN1431" t="str">
            <v>I</v>
          </cell>
          <cell r="AP1431" t="str">
            <v>pT2N0M0</v>
          </cell>
          <cell r="AS1431" t="str">
            <v>SCC</v>
          </cell>
          <cell r="AV1431">
            <v>45862</v>
          </cell>
        </row>
        <row r="1432">
          <cell r="A1432" t="str">
            <v>FBR1Q250173</v>
          </cell>
          <cell r="B1432">
            <v>250173</v>
          </cell>
          <cell r="C1432" t="str">
            <v>R&amp;D</v>
          </cell>
          <cell r="D1432">
            <v>45802</v>
          </cell>
          <cell r="E1432">
            <v>0.44444444444444442</v>
          </cell>
          <cell r="F1432">
            <v>45839</v>
          </cell>
          <cell r="G1432">
            <v>45802</v>
          </cell>
          <cell r="H1432">
            <v>0.6020833333333333</v>
          </cell>
          <cell r="I1432">
            <v>0.15763888888888888</v>
          </cell>
          <cell r="J1432">
            <v>7</v>
          </cell>
          <cell r="K1432" t="str">
            <v>FCB-PROTOCOL-01</v>
          </cell>
          <cell r="L1432" t="str">
            <v>VYD/406</v>
          </cell>
          <cell r="M1432" t="str">
            <v>Y</v>
          </cell>
          <cell r="N1432" t="str">
            <v>COSv4.1_CaBR(1Q-Known)</v>
          </cell>
          <cell r="O1432" t="str">
            <v>Internal R&amp;D</v>
          </cell>
          <cell r="P1432" t="str">
            <v>Q1 Passed</v>
          </cell>
          <cell r="Q1432" t="str">
            <v>Q1 Passed</v>
          </cell>
          <cell r="R1432" t="str">
            <v>Q1.5 Passed</v>
          </cell>
          <cell r="S1432" t="str">
            <v>Qualified</v>
          </cell>
          <cell r="V1432" t="str">
            <v>Tumor content 6-40%</v>
          </cell>
          <cell r="W1432" t="str">
            <v>Private Hospital</v>
          </cell>
          <cell r="X1432" t="str">
            <v>Vydehi Hospital, Bangalore</v>
          </cell>
          <cell r="Y1432" t="str">
            <v>Vydehi Hospital, Bangalore</v>
          </cell>
          <cell r="Z1432" t="str">
            <v>Dr Amritha Prabha, Bangalore</v>
          </cell>
          <cell r="AA1432" t="str">
            <v>Ca Breast</v>
          </cell>
          <cell r="AB1432" t="str">
            <v>ER +
Pr +
Her2 -</v>
          </cell>
          <cell r="AC1432" t="str">
            <v>Breast</v>
          </cell>
          <cell r="AD1432" t="str">
            <v>Right Breast</v>
          </cell>
          <cell r="AE1432" t="str">
            <v>Female</v>
          </cell>
          <cell r="AF1432">
            <v>46</v>
          </cell>
          <cell r="AG1432" t="str">
            <v>N</v>
          </cell>
          <cell r="AH1432">
            <v>5.6</v>
          </cell>
          <cell r="AI1432" t="str">
            <v>Kalappa</v>
          </cell>
          <cell r="AJ1432" t="str">
            <v>Surgery</v>
          </cell>
          <cell r="AK1432" t="str">
            <v>Primary</v>
          </cell>
          <cell r="AL1432" t="str">
            <v>NA</v>
          </cell>
          <cell r="AV1432">
            <v>45802</v>
          </cell>
        </row>
        <row r="1433">
          <cell r="A1433" t="str">
            <v>FBR1Q250174</v>
          </cell>
          <cell r="B1433">
            <v>250174</v>
          </cell>
          <cell r="C1433" t="str">
            <v>R&amp;D</v>
          </cell>
          <cell r="D1433">
            <v>45864</v>
          </cell>
          <cell r="E1433">
            <v>0.47499999999999998</v>
          </cell>
          <cell r="F1433">
            <v>45839</v>
          </cell>
          <cell r="G1433">
            <v>45803</v>
          </cell>
          <cell r="H1433">
            <v>0.58402777777777781</v>
          </cell>
          <cell r="I1433">
            <v>0.10902777777777778</v>
          </cell>
          <cell r="J1433">
            <v>2</v>
          </cell>
          <cell r="K1433" t="str">
            <v>FCB-PROTOCOL-01</v>
          </cell>
          <cell r="L1433" t="str">
            <v>VYD/408</v>
          </cell>
          <cell r="M1433" t="str">
            <v>Y</v>
          </cell>
          <cell r="N1433" t="str">
            <v>COSv4.1_CaBR(1Q-Known)</v>
          </cell>
          <cell r="O1433" t="str">
            <v>Internal R&amp;D</v>
          </cell>
          <cell r="P1433" t="str">
            <v>Q1 Passed</v>
          </cell>
          <cell r="Q1433" t="str">
            <v>Q1 Passed</v>
          </cell>
          <cell r="R1433" t="str">
            <v>Q1.5 Passed</v>
          </cell>
          <cell r="S1433" t="str">
            <v>Qualified</v>
          </cell>
          <cell r="V1433" t="str">
            <v>Tumor content 45-65%</v>
          </cell>
          <cell r="W1433" t="str">
            <v>Private Hospital</v>
          </cell>
          <cell r="X1433" t="str">
            <v>Vydehi Hospital, Bangalore</v>
          </cell>
          <cell r="Y1433" t="str">
            <v>Vydehi Hospital, Bangalore</v>
          </cell>
          <cell r="Z1433" t="str">
            <v>Dr Amritha Prabha, Bangalore</v>
          </cell>
          <cell r="AA1433" t="str">
            <v>Ca Breast</v>
          </cell>
          <cell r="AB1433" t="str">
            <v>NA</v>
          </cell>
          <cell r="AC1433" t="str">
            <v>Breast</v>
          </cell>
          <cell r="AD1433" t="str">
            <v>Left Breast</v>
          </cell>
          <cell r="AE1433" t="str">
            <v>Female</v>
          </cell>
          <cell r="AG1433" t="str">
            <v>N</v>
          </cell>
          <cell r="AH1433">
            <v>6.2</v>
          </cell>
          <cell r="AI1433" t="str">
            <v>Maruthi</v>
          </cell>
          <cell r="AJ1433" t="str">
            <v>Surgery</v>
          </cell>
          <cell r="AK1433" t="str">
            <v>Primary</v>
          </cell>
          <cell r="AL1433" t="str">
            <v>Chemotherapy</v>
          </cell>
          <cell r="AQ1433" t="str">
            <v>8+3</v>
          </cell>
          <cell r="AR1433" t="str">
            <v>4AC, 4Pacli &amp; 3Trazstuzumab</v>
          </cell>
          <cell r="AS1433" t="str">
            <v>IDC</v>
          </cell>
          <cell r="AV1433">
            <v>45864</v>
          </cell>
        </row>
        <row r="1434">
          <cell r="A1434" t="str">
            <v>FBR1Y250175</v>
          </cell>
          <cell r="B1434">
            <v>250175</v>
          </cell>
          <cell r="C1434" t="str">
            <v>R&amp;D</v>
          </cell>
          <cell r="D1434">
            <v>45866</v>
          </cell>
          <cell r="E1434">
            <v>0.41666666666666669</v>
          </cell>
          <cell r="F1434">
            <v>45839</v>
          </cell>
          <cell r="G1434">
            <v>45866</v>
          </cell>
          <cell r="H1434">
            <v>0.5541666666666667</v>
          </cell>
          <cell r="I1434">
            <v>0.13750000000000001</v>
          </cell>
          <cell r="J1434">
            <v>4</v>
          </cell>
          <cell r="K1434" t="str">
            <v>FCB-PROTOCOL-01</v>
          </cell>
          <cell r="L1434" t="str">
            <v>VYD/408</v>
          </cell>
          <cell r="M1434" t="str">
            <v>Y</v>
          </cell>
          <cell r="N1434" t="str">
            <v>CCS Study (1Y)</v>
          </cell>
          <cell r="O1434" t="str">
            <v>Internal R&amp;D</v>
          </cell>
          <cell r="P1434" t="str">
            <v>Q1 Passed</v>
          </cell>
          <cell r="Q1434" t="str">
            <v>Q1 Passed</v>
          </cell>
          <cell r="R1434" t="str">
            <v>Q1.5 Passed</v>
          </cell>
          <cell r="S1434" t="str">
            <v>Qualified</v>
          </cell>
          <cell r="V1434" t="str">
            <v>Tumor content 35-85%</v>
          </cell>
          <cell r="W1434" t="str">
            <v>Private Hospital</v>
          </cell>
          <cell r="X1434" t="str">
            <v>Vydehi Hospital, Bangalore</v>
          </cell>
          <cell r="Y1434" t="str">
            <v>Vydehi Hospital, Bangalore</v>
          </cell>
          <cell r="Z1434" t="str">
            <v>Dr Amritha Prabha, Bangalore</v>
          </cell>
          <cell r="AA1434" t="str">
            <v>HNSCC</v>
          </cell>
          <cell r="AB1434" t="str">
            <v>NA</v>
          </cell>
          <cell r="AC1434" t="str">
            <v>Arch</v>
          </cell>
          <cell r="AD1434" t="str">
            <v>Central Arch</v>
          </cell>
          <cell r="AE1434" t="str">
            <v>Male</v>
          </cell>
          <cell r="AF1434">
            <v>56</v>
          </cell>
          <cell r="AG1434" t="str">
            <v>N</v>
          </cell>
          <cell r="AH1434">
            <v>4.8</v>
          </cell>
          <cell r="AI1434" t="str">
            <v>Kalappa</v>
          </cell>
          <cell r="AJ1434" t="str">
            <v>Surgery</v>
          </cell>
          <cell r="AK1434" t="str">
            <v>Primary</v>
          </cell>
          <cell r="AL1434" t="str">
            <v>NA</v>
          </cell>
          <cell r="AS1434" t="str">
            <v>SCC</v>
          </cell>
          <cell r="AV1434">
            <v>45866</v>
          </cell>
          <cell r="AW1434">
            <v>0.6069444444444444</v>
          </cell>
          <cell r="AX1434">
            <v>0.70833333333333337</v>
          </cell>
          <cell r="AY1434">
            <v>0.10138888888888889</v>
          </cell>
          <cell r="AZ1434">
            <v>0.5708333333333333</v>
          </cell>
          <cell r="BA1434">
            <v>0.29166666666666669</v>
          </cell>
          <cell r="BB1434" t="str">
            <v>0.6*0.9*1.3</v>
          </cell>
          <cell r="BD1434" t="str">
            <v>Vibratome</v>
          </cell>
          <cell r="BE1434">
            <v>15</v>
          </cell>
          <cell r="BF1434" t="str">
            <v>Abdul</v>
          </cell>
          <cell r="BG1434" t="str">
            <v>Y</v>
          </cell>
        </row>
        <row r="1435">
          <cell r="A1435" t="str">
            <v>FBR1W250176</v>
          </cell>
          <cell r="B1435">
            <v>250176</v>
          </cell>
          <cell r="C1435" t="str">
            <v>R&amp;D</v>
          </cell>
          <cell r="D1435">
            <v>45868</v>
          </cell>
          <cell r="E1435">
            <v>0.52916666666666667</v>
          </cell>
          <cell r="F1435">
            <v>45839</v>
          </cell>
          <cell r="G1435">
            <v>45868</v>
          </cell>
          <cell r="H1435">
            <v>0.67083333333333328</v>
          </cell>
          <cell r="I1435">
            <v>0.14166666666666666</v>
          </cell>
          <cell r="J1435">
            <v>3</v>
          </cell>
          <cell r="K1435" t="str">
            <v>FCB-PROTOCOL-01</v>
          </cell>
          <cell r="L1435" t="str">
            <v>SIMS-001</v>
          </cell>
          <cell r="M1435" t="str">
            <v>Y</v>
          </cell>
          <cell r="N1435" t="str">
            <v>Biopsy Cabr-BSS (1W)</v>
          </cell>
          <cell r="O1435" t="str">
            <v>Internal R&amp;D</v>
          </cell>
          <cell r="P1435" t="str">
            <v>Q1 Passed</v>
          </cell>
          <cell r="Q1435" t="str">
            <v>Q1 Passed</v>
          </cell>
          <cell r="R1435" t="str">
            <v>Q1.5 Passed</v>
          </cell>
          <cell r="S1435" t="str">
            <v>Qualified</v>
          </cell>
          <cell r="V1435" t="str">
            <v>Tumor content 40-65%.</v>
          </cell>
          <cell r="W1435" t="str">
            <v>Private Hospital</v>
          </cell>
          <cell r="X1435" t="str">
            <v>Sapthagiri ClinTrac Pvt Ltd</v>
          </cell>
          <cell r="Y1435" t="str">
            <v>Sapthagiri Institute of Medical Sciences</v>
          </cell>
          <cell r="Z1435" t="str">
            <v>Dr Nataraj</v>
          </cell>
          <cell r="AA1435" t="str">
            <v>Ca Breast</v>
          </cell>
          <cell r="AB1435" t="str">
            <v>NA</v>
          </cell>
          <cell r="AC1435" t="str">
            <v>Breast</v>
          </cell>
          <cell r="AD1435" t="str">
            <v>Left Breast</v>
          </cell>
          <cell r="AE1435" t="str">
            <v>Female</v>
          </cell>
          <cell r="AF1435">
            <v>33</v>
          </cell>
          <cell r="AG1435" t="str">
            <v>N</v>
          </cell>
          <cell r="AH1435">
            <v>4.9000000000000004</v>
          </cell>
          <cell r="AI1435" t="str">
            <v>Kalappa</v>
          </cell>
          <cell r="AJ1435" t="str">
            <v>Biopsy</v>
          </cell>
          <cell r="AK1435" t="str">
            <v>Primary</v>
          </cell>
          <cell r="AL1435" t="str">
            <v>NA</v>
          </cell>
          <cell r="AV1435">
            <v>45868</v>
          </cell>
          <cell r="AW1435">
            <v>0.69236111111111109</v>
          </cell>
          <cell r="AX1435">
            <v>0.72638888888888886</v>
          </cell>
          <cell r="AY1435">
            <v>3.4027777777777775E-2</v>
          </cell>
          <cell r="AZ1435">
            <v>0.58472222222222225</v>
          </cell>
          <cell r="BA1435">
            <v>0.19722222222222222</v>
          </cell>
          <cell r="BB1435" t="str">
            <v>0.1*0.6*0.6
0.1*0.8*0.7
0.1*0.8*0.5</v>
          </cell>
          <cell r="BD1435" t="str">
            <v>Manual</v>
          </cell>
          <cell r="BE1435">
            <v>15</v>
          </cell>
          <cell r="BF1435" t="str">
            <v>Jobin</v>
          </cell>
          <cell r="BG1435" t="str">
            <v>Y</v>
          </cell>
        </row>
        <row r="1436">
          <cell r="A1436" t="str">
            <v>FBB1O250177</v>
          </cell>
          <cell r="B1436">
            <v>250177</v>
          </cell>
          <cell r="C1436" t="str">
            <v>Biopharma</v>
          </cell>
          <cell r="D1436">
            <v>45868</v>
          </cell>
          <cell r="E1436">
            <v>0.53749999999999998</v>
          </cell>
          <cell r="F1436">
            <v>45839</v>
          </cell>
          <cell r="G1436">
            <v>45868</v>
          </cell>
          <cell r="H1436">
            <v>0.71250000000000002</v>
          </cell>
          <cell r="I1436">
            <v>0.17499999999999999</v>
          </cell>
          <cell r="J1436">
            <v>3</v>
          </cell>
          <cell r="K1436" t="str">
            <v>FCB-PROTOCOL-01</v>
          </cell>
          <cell r="L1436" t="str">
            <v>VYD/409</v>
          </cell>
          <cell r="M1436" t="str">
            <v>Y</v>
          </cell>
          <cell r="N1436" t="str">
            <v>BP013(1O)</v>
          </cell>
          <cell r="O1436" t="str">
            <v>Biopharma</v>
          </cell>
          <cell r="P1436" t="str">
            <v>Q1 Passed</v>
          </cell>
          <cell r="Q1436" t="str">
            <v>Q1 Passed</v>
          </cell>
          <cell r="R1436" t="str">
            <v>Q1.5 Passed</v>
          </cell>
          <cell r="S1436" t="str">
            <v>Qualified</v>
          </cell>
          <cell r="T1436" t="str">
            <v>Nil</v>
          </cell>
          <cell r="V1436" t="str">
            <v>Tumor content 15-75%</v>
          </cell>
          <cell r="W1436" t="str">
            <v>Private Hospital</v>
          </cell>
          <cell r="X1436" t="str">
            <v>Vydehi Hospital, Bangalore</v>
          </cell>
          <cell r="Y1436" t="str">
            <v>Vydehi Hospital, Bangalore</v>
          </cell>
          <cell r="Z1436" t="str">
            <v>Dr Amritha Prabha, Bangalore</v>
          </cell>
          <cell r="AA1436" t="str">
            <v>HNSCC</v>
          </cell>
          <cell r="AB1436" t="str">
            <v>NA</v>
          </cell>
          <cell r="AC1436" t="str">
            <v>Alveolus</v>
          </cell>
          <cell r="AD1436" t="str">
            <v>Left Lower Alveolus</v>
          </cell>
          <cell r="AE1436" t="str">
            <v>Male</v>
          </cell>
          <cell r="AF1436">
            <v>65</v>
          </cell>
          <cell r="AG1436" t="str">
            <v>N</v>
          </cell>
          <cell r="AH1436">
            <v>5.5</v>
          </cell>
          <cell r="AI1436" t="str">
            <v>Shashi</v>
          </cell>
          <cell r="AJ1436" t="str">
            <v>Surgery</v>
          </cell>
          <cell r="AK1436" t="str">
            <v>Primary</v>
          </cell>
          <cell r="AL1436" t="str">
            <v>NA</v>
          </cell>
          <cell r="AS1436" t="str">
            <v>SCC</v>
          </cell>
          <cell r="AV1436">
            <v>45868</v>
          </cell>
          <cell r="AW1436">
            <v>0.73124999999999996</v>
          </cell>
          <cell r="AX1436">
            <v>0.82638888888888884</v>
          </cell>
          <cell r="AY1436">
            <v>9.5138888888888884E-2</v>
          </cell>
          <cell r="AZ1436">
            <v>0.65138888888888891</v>
          </cell>
          <cell r="BA1436">
            <v>0.28888888888888886</v>
          </cell>
          <cell r="BB1436" t="str">
            <v>0.6-0.8*1.2*1.4</v>
          </cell>
          <cell r="BC1436" t="str">
            <v>NA</v>
          </cell>
          <cell r="BD1436" t="str">
            <v>Vibratome</v>
          </cell>
          <cell r="BE1436">
            <v>15</v>
          </cell>
          <cell r="BF1436" t="str">
            <v>Abdul</v>
          </cell>
          <cell r="BG1436" t="str">
            <v>Y</v>
          </cell>
        </row>
        <row r="1437">
          <cell r="A1437" t="str">
            <v>FBR2S250178</v>
          </cell>
          <cell r="B1437">
            <v>250178</v>
          </cell>
          <cell r="C1437" t="str">
            <v>R&amp;D</v>
          </cell>
          <cell r="D1437">
            <v>45868</v>
          </cell>
          <cell r="E1437">
            <v>0.625</v>
          </cell>
          <cell r="F1437">
            <v>45839</v>
          </cell>
          <cell r="G1437">
            <v>45868</v>
          </cell>
          <cell r="H1437">
            <v>0.71250000000000002</v>
          </cell>
          <cell r="I1437">
            <v>8.7499999999999994E-2</v>
          </cell>
          <cell r="J1437">
            <v>0</v>
          </cell>
          <cell r="K1437" t="str">
            <v>FCB-PROTOCOL-01</v>
          </cell>
          <cell r="L1437" t="str">
            <v>VYD/410</v>
          </cell>
          <cell r="M1437" t="str">
            <v>Y</v>
          </cell>
          <cell r="N1437" t="str">
            <v>Cos V1 (2S)</v>
          </cell>
          <cell r="O1437" t="str">
            <v>Internal R&amp;D</v>
          </cell>
          <cell r="P1437" t="str">
            <v>Q1 Passed</v>
          </cell>
          <cell r="Q1437" t="str">
            <v>Q1 Passed</v>
          </cell>
          <cell r="R1437" t="str">
            <v>Q1.5 Passed</v>
          </cell>
          <cell r="S1437" t="str">
            <v>Qualified</v>
          </cell>
          <cell r="V1437" t="str">
            <v>Tumor content 15-60%</v>
          </cell>
          <cell r="W1437" t="str">
            <v>Private Hospital</v>
          </cell>
          <cell r="X1437" t="str">
            <v>Vydehi Hospital, Bangalore</v>
          </cell>
          <cell r="Y1437" t="str">
            <v>Vydehi Hospital, Bangalore</v>
          </cell>
          <cell r="Z1437" t="str">
            <v>Dr Amritha Prabha, Bangalore</v>
          </cell>
          <cell r="AA1437" t="str">
            <v>CRC</v>
          </cell>
          <cell r="AB1437" t="str">
            <v>NA</v>
          </cell>
          <cell r="AC1437" t="str">
            <v>Colon</v>
          </cell>
          <cell r="AD1437" t="str">
            <v>Caecum</v>
          </cell>
          <cell r="AE1437" t="str">
            <v>Female</v>
          </cell>
          <cell r="AF1437">
            <v>38</v>
          </cell>
          <cell r="AG1437" t="str">
            <v>N</v>
          </cell>
          <cell r="AH1437">
            <v>5.5</v>
          </cell>
          <cell r="AI1437" t="str">
            <v>Shashi</v>
          </cell>
          <cell r="AJ1437" t="str">
            <v>Surgery</v>
          </cell>
          <cell r="AK1437" t="str">
            <v>Primary</v>
          </cell>
          <cell r="AL1437" t="str">
            <v>NA</v>
          </cell>
          <cell r="AS1437" t="str">
            <v>Adenocarcinoma</v>
          </cell>
          <cell r="AV1437">
            <v>45868</v>
          </cell>
          <cell r="AW1437">
            <v>0.73819444444444449</v>
          </cell>
          <cell r="AX1437">
            <v>0.8520833333333333</v>
          </cell>
          <cell r="AY1437">
            <v>0.11388888888888889</v>
          </cell>
          <cell r="AZ1437">
            <v>0.76458333333333328</v>
          </cell>
          <cell r="BA1437">
            <v>0.22708333333333333</v>
          </cell>
          <cell r="BB1437" t="str">
            <v>0.2-0.3*0.6-0.9*0.9
0.2-0.4*0.4-1.0*1.4-2.0
0.4-0.6*1.0-1.2*1.0-2.2</v>
          </cell>
          <cell r="BD1437" t="str">
            <v>Vibratome</v>
          </cell>
          <cell r="BE1437">
            <v>13</v>
          </cell>
          <cell r="BF1437" t="str">
            <v xml:space="preserve">sai </v>
          </cell>
          <cell r="BG1437" t="str">
            <v>Y</v>
          </cell>
        </row>
        <row r="1438">
          <cell r="A1438" t="str">
            <v>FBR1Q250179</v>
          </cell>
          <cell r="B1438">
            <v>250179</v>
          </cell>
          <cell r="C1438" t="str">
            <v>R&amp;D</v>
          </cell>
          <cell r="D1438">
            <v>45868</v>
          </cell>
          <cell r="E1438">
            <v>0.63680555555555551</v>
          </cell>
          <cell r="F1438">
            <v>45839</v>
          </cell>
          <cell r="G1438">
            <v>45868</v>
          </cell>
          <cell r="H1438">
            <v>0.71250000000000002</v>
          </cell>
          <cell r="I1438">
            <v>7.5694444444444439E-2</v>
          </cell>
          <cell r="J1438">
            <v>8</v>
          </cell>
          <cell r="K1438" t="str">
            <v>FCB-PROTOCOL-01</v>
          </cell>
          <cell r="L1438" t="str">
            <v>VYD/411</v>
          </cell>
          <cell r="M1438" t="str">
            <v>Y</v>
          </cell>
          <cell r="N1438" t="str">
            <v>COSv4.2_CaBR(1Q-Unknown)</v>
          </cell>
          <cell r="O1438" t="str">
            <v>Internal R&amp;D</v>
          </cell>
          <cell r="P1438" t="str">
            <v>Q1 Passed</v>
          </cell>
          <cell r="Q1438" t="str">
            <v>Q1 Passed</v>
          </cell>
          <cell r="R1438" t="str">
            <v>Q1.5 Passed</v>
          </cell>
          <cell r="S1438" t="str">
            <v>Qualified</v>
          </cell>
          <cell r="V1438" t="str">
            <v>Tumor content 30-60%</v>
          </cell>
          <cell r="W1438" t="str">
            <v>Private Hospital</v>
          </cell>
          <cell r="X1438" t="str">
            <v>Vydehi Hospital, Bangalore</v>
          </cell>
          <cell r="Y1438" t="str">
            <v>Vydehi Hospital, Bangalore</v>
          </cell>
          <cell r="Z1438" t="str">
            <v>Dr Amritha Prabha, Bangalore</v>
          </cell>
          <cell r="AA1438" t="str">
            <v>Ca Breast</v>
          </cell>
          <cell r="AB1438" t="str">
            <v>NA</v>
          </cell>
          <cell r="AC1438" t="str">
            <v>Breast</v>
          </cell>
          <cell r="AD1438" t="str">
            <v>Left Breast</v>
          </cell>
          <cell r="AE1438" t="str">
            <v>Female</v>
          </cell>
          <cell r="AF1438">
            <v>49</v>
          </cell>
          <cell r="AG1438" t="str">
            <v>N</v>
          </cell>
          <cell r="AH1438">
            <v>5.5</v>
          </cell>
          <cell r="AI1438" t="str">
            <v>Shashi</v>
          </cell>
          <cell r="AJ1438" t="str">
            <v>Surgery</v>
          </cell>
          <cell r="AK1438" t="str">
            <v>Primary</v>
          </cell>
          <cell r="AL1438" t="str">
            <v>NA</v>
          </cell>
          <cell r="AS1438" t="str">
            <v>IDC</v>
          </cell>
          <cell r="AV1438">
            <v>45868</v>
          </cell>
          <cell r="AW1438">
            <v>0.73819444444444449</v>
          </cell>
          <cell r="AX1438">
            <v>0.84027777777777779</v>
          </cell>
          <cell r="AY1438">
            <v>0.10208333333333333</v>
          </cell>
          <cell r="AZ1438">
            <v>0.76458333333333328</v>
          </cell>
          <cell r="BA1438">
            <v>0.20347222222222222</v>
          </cell>
          <cell r="BB1438" t="str">
            <v>0.2-0.6*1.4*1.6
0.5-0.8*0.8*1.8
1.2*1.5*1.6</v>
          </cell>
          <cell r="BD1438" t="str">
            <v>Manual</v>
          </cell>
          <cell r="BE1438">
            <v>15</v>
          </cell>
          <cell r="BF1438" t="str">
            <v>Mouniss</v>
          </cell>
          <cell r="BG1438" t="str">
            <v>Y</v>
          </cell>
        </row>
        <row r="1439">
          <cell r="A1439" t="str">
            <v>FBR1Q250180</v>
          </cell>
          <cell r="B1439">
            <v>250180</v>
          </cell>
          <cell r="C1439" t="str">
            <v>R&amp;D</v>
          </cell>
          <cell r="D1439">
            <v>45868</v>
          </cell>
          <cell r="E1439">
            <v>0.5</v>
          </cell>
          <cell r="F1439">
            <v>45839</v>
          </cell>
          <cell r="G1439">
            <v>45868</v>
          </cell>
          <cell r="H1439">
            <v>0.81736111111111109</v>
          </cell>
          <cell r="I1439">
            <v>0.31736111111111109</v>
          </cell>
          <cell r="J1439">
            <v>10</v>
          </cell>
          <cell r="K1439" t="str">
            <v>FCB-PROTOCOL-01</v>
          </cell>
          <cell r="L1439" t="str">
            <v>CLN/DBR/242</v>
          </cell>
          <cell r="M1439" t="str">
            <v>Y</v>
          </cell>
          <cell r="N1439" t="str">
            <v>COSv4.2_CaBR(1Q-Unknown)</v>
          </cell>
          <cell r="O1439" t="str">
            <v>Internal R&amp;D</v>
          </cell>
          <cell r="P1439" t="str">
            <v>Q1 Passed</v>
          </cell>
          <cell r="Q1439" t="str">
            <v>Q1 Passed</v>
          </cell>
          <cell r="R1439" t="str">
            <v>Q1.5 Passed</v>
          </cell>
          <cell r="S1439" t="str">
            <v>Qualified</v>
          </cell>
          <cell r="V1439" t="str">
            <v>Tumor content 8-55%</v>
          </cell>
          <cell r="W1439" t="str">
            <v>Private Hospital</v>
          </cell>
          <cell r="X1439" t="str">
            <v>Clinic'les- DBR &amp; SK Hospital, Tirupati</v>
          </cell>
          <cell r="Y1439" t="str">
            <v>DBR &amp; SK Hospital, Tirupati</v>
          </cell>
          <cell r="Z1439" t="str">
            <v>Dr C Jayaprakash, Tirupati</v>
          </cell>
          <cell r="AA1439" t="str">
            <v>Ca Breast</v>
          </cell>
          <cell r="AB1439" t="str">
            <v>NA</v>
          </cell>
          <cell r="AC1439" t="str">
            <v>Breast</v>
          </cell>
          <cell r="AD1439" t="str">
            <v>Right Breast</v>
          </cell>
          <cell r="AE1439" t="str">
            <v>Female</v>
          </cell>
          <cell r="AF1439">
            <v>61</v>
          </cell>
          <cell r="AG1439" t="str">
            <v>N</v>
          </cell>
          <cell r="AH1439">
            <v>6.5</v>
          </cell>
          <cell r="AI1439" t="str">
            <v>Maruthi</v>
          </cell>
          <cell r="AJ1439" t="str">
            <v>Surgery</v>
          </cell>
          <cell r="AK1439" t="str">
            <v>Primary</v>
          </cell>
          <cell r="AL1439" t="str">
            <v>NA</v>
          </cell>
          <cell r="AN1439" t="str">
            <v xml:space="preserve">IIIa </v>
          </cell>
          <cell r="AO1439">
            <v>1</v>
          </cell>
          <cell r="AP1439" t="str">
            <v>T2 N2 MX</v>
          </cell>
          <cell r="AS1439" t="str">
            <v xml:space="preserve">invasive duct cell adenocarcinoma </v>
          </cell>
          <cell r="AV1439">
            <v>45868</v>
          </cell>
          <cell r="AW1439">
            <v>0.8354166666666667</v>
          </cell>
          <cell r="AX1439">
            <v>0.90277777777777779</v>
          </cell>
          <cell r="AY1439">
            <v>6.7361111111111108E-2</v>
          </cell>
          <cell r="AZ1439">
            <v>0.5854166666666667</v>
          </cell>
          <cell r="BA1439">
            <v>0.40277777777777779</v>
          </cell>
          <cell r="BB1439" t="str">
            <v>0.8*2.6*2.2
1.0*2.0*2.6</v>
          </cell>
          <cell r="BD1439" t="str">
            <v>Manual</v>
          </cell>
          <cell r="BE1439">
            <v>15</v>
          </cell>
          <cell r="BF1439" t="str">
            <v>chandan</v>
          </cell>
          <cell r="BG1439" t="str">
            <v>Y</v>
          </cell>
        </row>
        <row r="1440">
          <cell r="A1440" t="str">
            <v>FBR1Q250181</v>
          </cell>
          <cell r="B1440">
            <v>250181</v>
          </cell>
          <cell r="C1440" t="str">
            <v>R&amp;D</v>
          </cell>
          <cell r="D1440">
            <v>45869</v>
          </cell>
          <cell r="E1440">
            <v>0.56736111111111109</v>
          </cell>
          <cell r="F1440">
            <v>45839</v>
          </cell>
          <cell r="G1440">
            <v>45869</v>
          </cell>
          <cell r="H1440">
            <v>0.64097222222222228</v>
          </cell>
          <cell r="I1440">
            <v>7.3611111111111113E-2</v>
          </cell>
          <cell r="J1440">
            <v>3</v>
          </cell>
          <cell r="K1440" t="str">
            <v>FCB-PROTOCOL-01</v>
          </cell>
          <cell r="L1440" t="str">
            <v>VYD/412</v>
          </cell>
          <cell r="M1440" t="str">
            <v>Y</v>
          </cell>
          <cell r="N1440" t="str">
            <v>COSv4.2_CaBR(1Q-Unknown)</v>
          </cell>
          <cell r="O1440" t="str">
            <v>Internal R&amp;D</v>
          </cell>
          <cell r="P1440" t="str">
            <v>Q1 Passed</v>
          </cell>
          <cell r="Q1440" t="str">
            <v>Q1 Passed</v>
          </cell>
          <cell r="R1440" t="str">
            <v>Q1.5 Passed</v>
          </cell>
          <cell r="S1440" t="str">
            <v>Qualified</v>
          </cell>
          <cell r="V1440" t="str">
            <v>Tumor content 0-45%.Average tumor content 22%</v>
          </cell>
          <cell r="W1440" t="str">
            <v>Private Hospital</v>
          </cell>
          <cell r="X1440" t="str">
            <v>Vydehi Hospital, Bangalore</v>
          </cell>
          <cell r="Y1440" t="str">
            <v>Vydehi Hospital, Bangalore</v>
          </cell>
          <cell r="Z1440" t="str">
            <v>Dr Amritha Prabha, Bangalore</v>
          </cell>
          <cell r="AA1440" t="str">
            <v>Ca Breast</v>
          </cell>
          <cell r="AB1440" t="str">
            <v>NA</v>
          </cell>
          <cell r="AC1440" t="str">
            <v>Breast</v>
          </cell>
          <cell r="AD1440" t="str">
            <v>Right Breast</v>
          </cell>
          <cell r="AE1440" t="str">
            <v>Female</v>
          </cell>
          <cell r="AF1440">
            <v>75</v>
          </cell>
          <cell r="AG1440" t="str">
            <v>N</v>
          </cell>
          <cell r="AH1440">
            <v>4.8</v>
          </cell>
          <cell r="AI1440" t="str">
            <v>Maruthi</v>
          </cell>
          <cell r="AJ1440" t="str">
            <v>Surgery</v>
          </cell>
          <cell r="AK1440" t="str">
            <v>Primary</v>
          </cell>
          <cell r="AL1440" t="str">
            <v>NA</v>
          </cell>
          <cell r="AS1440" t="str">
            <v>IDC</v>
          </cell>
          <cell r="AV1440">
            <v>45869</v>
          </cell>
          <cell r="AW1440">
            <v>0.65972222222222221</v>
          </cell>
          <cell r="AX1440">
            <v>0.7</v>
          </cell>
          <cell r="AY1440">
            <v>4.027777777777778E-2</v>
          </cell>
          <cell r="AZ1440">
            <v>0.62638888888888888</v>
          </cell>
          <cell r="BA1440">
            <v>0.13263888888888889</v>
          </cell>
          <cell r="BB1440" t="str">
            <v>1.4*2.0*2.4
1.2*1.8*1.7</v>
          </cell>
          <cell r="BD1440" t="str">
            <v>Manual</v>
          </cell>
          <cell r="BE1440">
            <v>15</v>
          </cell>
          <cell r="BF1440" t="str">
            <v>Syam</v>
          </cell>
          <cell r="BG1440" t="str">
            <v>Y</v>
          </cell>
        </row>
        <row r="1441">
          <cell r="A1441" t="str">
            <v>FBB1O250182</v>
          </cell>
          <cell r="B1441">
            <v>250182</v>
          </cell>
          <cell r="C1441" t="str">
            <v>Biopharma</v>
          </cell>
          <cell r="D1441">
            <v>45869</v>
          </cell>
          <cell r="E1441">
            <v>0.51041666666666663</v>
          </cell>
          <cell r="F1441">
            <v>45839</v>
          </cell>
          <cell r="G1441">
            <v>45869</v>
          </cell>
          <cell r="H1441">
            <v>0.85</v>
          </cell>
          <cell r="I1441">
            <v>0.33958333333333335</v>
          </cell>
          <cell r="J1441">
            <v>15</v>
          </cell>
          <cell r="K1441" t="str">
            <v>FCB-PROTOCOL-01</v>
          </cell>
          <cell r="L1441" t="str">
            <v>CLN/DBR/243</v>
          </cell>
          <cell r="M1441" t="str">
            <v>Y</v>
          </cell>
          <cell r="N1441" t="str">
            <v>BP013(1O)</v>
          </cell>
          <cell r="O1441" t="str">
            <v>Biopharma</v>
          </cell>
          <cell r="P1441" t="str">
            <v>Q1 Passed</v>
          </cell>
          <cell r="Q1441" t="str">
            <v>Q1 Passed</v>
          </cell>
          <cell r="R1441" t="str">
            <v>Q1.5 Passed</v>
          </cell>
          <cell r="S1441" t="str">
            <v>Qualified</v>
          </cell>
          <cell r="T1441" t="str">
            <v>Nil</v>
          </cell>
          <cell r="V1441" t="str">
            <v>Tumor content 8-80%. Necrotic areas in each fragment</v>
          </cell>
          <cell r="W1441" t="str">
            <v>Private Hospital</v>
          </cell>
          <cell r="X1441" t="str">
            <v>Clinic'les- DBR &amp; SK Hospital, Tirupati</v>
          </cell>
          <cell r="Y1441" t="str">
            <v>DBR &amp; SK Hospital, Tirupati</v>
          </cell>
          <cell r="Z1441" t="str">
            <v>Dr C Jayaprakash, Tirupati</v>
          </cell>
          <cell r="AA1441" t="str">
            <v>HNSCC</v>
          </cell>
          <cell r="AB1441" t="str">
            <v>NA</v>
          </cell>
          <cell r="AC1441" t="str">
            <v>Buccal Mucosa</v>
          </cell>
          <cell r="AD1441" t="str">
            <v>Right Buccal Mucosa</v>
          </cell>
          <cell r="AE1441" t="str">
            <v>Female</v>
          </cell>
          <cell r="AF1441">
            <v>59</v>
          </cell>
          <cell r="AG1441" t="str">
            <v>N</v>
          </cell>
          <cell r="AH1441">
            <v>5.7</v>
          </cell>
          <cell r="AI1441" t="str">
            <v>Kalappa</v>
          </cell>
          <cell r="AJ1441" t="str">
            <v>Surgery</v>
          </cell>
          <cell r="AK1441" t="str">
            <v>Primary</v>
          </cell>
          <cell r="AL1441" t="str">
            <v>NA</v>
          </cell>
          <cell r="AN1441" t="str">
            <v>IVb</v>
          </cell>
          <cell r="AP1441" t="str">
            <v>T3 N3b MX</v>
          </cell>
          <cell r="AS1441" t="str">
            <v>moderately differentiated squamous cell carcinoma</v>
          </cell>
          <cell r="AV1441">
            <v>45869</v>
          </cell>
          <cell r="AW1441">
            <v>0.86597222222222225</v>
          </cell>
          <cell r="AX1441">
            <v>0.96527777777777779</v>
          </cell>
          <cell r="AY1441">
            <v>9.930555555555555E-2</v>
          </cell>
          <cell r="AZ1441">
            <v>0.62569444444444444</v>
          </cell>
          <cell r="BA1441">
            <v>0.4548611111111111</v>
          </cell>
          <cell r="BB1441" t="str">
            <v>02-04*1.4-1.6*2.2</v>
          </cell>
          <cell r="BC1441" t="str">
            <v>NA</v>
          </cell>
          <cell r="BD1441" t="str">
            <v>Vibratome</v>
          </cell>
          <cell r="BE1441">
            <v>15</v>
          </cell>
          <cell r="BF1441" t="str">
            <v xml:space="preserve">sai </v>
          </cell>
          <cell r="BG1441" t="str">
            <v>Y</v>
          </cell>
        </row>
        <row r="1442">
          <cell r="A1442">
            <v>250183</v>
          </cell>
          <cell r="B1442">
            <v>250183</v>
          </cell>
          <cell r="C1442" t="str">
            <v>R&amp;D</v>
          </cell>
          <cell r="D1442">
            <v>45870</v>
          </cell>
          <cell r="E1442">
            <v>0.42638888888888887</v>
          </cell>
          <cell r="F1442">
            <v>45870</v>
          </cell>
          <cell r="G1442">
            <v>45870</v>
          </cell>
          <cell r="H1442">
            <v>0.60763888888888884</v>
          </cell>
          <cell r="I1442">
            <v>0.18124999999999999</v>
          </cell>
          <cell r="J1442">
            <v>2</v>
          </cell>
          <cell r="K1442" t="str">
            <v>FCB-PROTOCOL-01</v>
          </cell>
          <cell r="L1442" t="str">
            <v>VYD/413</v>
          </cell>
          <cell r="M1442" t="str">
            <v>Y</v>
          </cell>
          <cell r="N1442" t="str">
            <v>BioBank</v>
          </cell>
          <cell r="O1442" t="str">
            <v>Internal R&amp;D</v>
          </cell>
          <cell r="P1442" t="str">
            <v>Q1 Rejected</v>
          </cell>
          <cell r="Q1442" t="str">
            <v>Q1 Rejected</v>
          </cell>
          <cell r="R1442" t="str">
            <v>Q1.5 Rejected</v>
          </cell>
          <cell r="S1442" t="str">
            <v>Rejected</v>
          </cell>
          <cell r="T1442" t="str">
            <v>Not Fit For Vibrotome</v>
          </cell>
          <cell r="V1442" t="str">
            <v>NA</v>
          </cell>
          <cell r="W1442" t="str">
            <v>Private Hospital</v>
          </cell>
          <cell r="X1442" t="str">
            <v>Vydehi Hospital, Bangalore</v>
          </cell>
          <cell r="Y1442" t="str">
            <v>Vydehi Hospital, Bangalore</v>
          </cell>
          <cell r="Z1442" t="str">
            <v>Dr Amritha Prabha, Bangalore</v>
          </cell>
          <cell r="AA1442" t="str">
            <v>HNSCC</v>
          </cell>
          <cell r="AB1442" t="str">
            <v>NA</v>
          </cell>
          <cell r="AC1442" t="str">
            <v>Buccal Mucosa</v>
          </cell>
          <cell r="AD1442" t="str">
            <v>Left Buccal Mucosa</v>
          </cell>
          <cell r="AE1442" t="str">
            <v>Female</v>
          </cell>
          <cell r="AF1442">
            <v>56</v>
          </cell>
          <cell r="AG1442" t="str">
            <v>N</v>
          </cell>
          <cell r="AH1442">
            <v>6.1</v>
          </cell>
          <cell r="AI1442" t="str">
            <v>Shashi</v>
          </cell>
          <cell r="AJ1442" t="str">
            <v>Surgery</v>
          </cell>
          <cell r="AK1442" t="str">
            <v>Primary</v>
          </cell>
          <cell r="AL1442" t="str">
            <v>NA</v>
          </cell>
          <cell r="AV1442">
            <v>45870</v>
          </cell>
          <cell r="AW1442">
            <v>0.62361111111111112</v>
          </cell>
          <cell r="BB1442" t="str">
            <v>0.3-0.4*0.5*0.9</v>
          </cell>
          <cell r="BE1442">
            <v>15</v>
          </cell>
          <cell r="BF1442" t="str">
            <v>Syam</v>
          </cell>
        </row>
        <row r="1443">
          <cell r="A1443" t="str">
            <v>FBB1N250184</v>
          </cell>
          <cell r="B1443">
            <v>250184</v>
          </cell>
          <cell r="C1443" t="str">
            <v>Biopharma</v>
          </cell>
          <cell r="D1443">
            <v>45870</v>
          </cell>
          <cell r="E1443">
            <v>0.68541666666666667</v>
          </cell>
          <cell r="F1443">
            <v>45870</v>
          </cell>
          <cell r="G1443">
            <v>45870</v>
          </cell>
          <cell r="H1443">
            <v>0.74097222222222225</v>
          </cell>
          <cell r="I1443">
            <v>5.5555555555555552E-2</v>
          </cell>
          <cell r="J1443">
            <v>3</v>
          </cell>
          <cell r="K1443" t="str">
            <v>FCB-PROTOCOL-01</v>
          </cell>
          <cell r="L1443" t="str">
            <v>CLN/PRA/337</v>
          </cell>
          <cell r="M1443" t="str">
            <v>Y</v>
          </cell>
          <cell r="N1443" t="str">
            <v>BP012(1N)</v>
          </cell>
          <cell r="O1443" t="str">
            <v>BioBank</v>
          </cell>
          <cell r="P1443" t="str">
            <v>Q1 Passed</v>
          </cell>
          <cell r="Q1443" t="str">
            <v>Q1 Passed</v>
          </cell>
          <cell r="R1443" t="str">
            <v>Q1.5 Passed</v>
          </cell>
          <cell r="S1443" t="str">
            <v>Qualified</v>
          </cell>
          <cell r="V1443" t="str">
            <v>Tumor content 0-60%. Average tumor content 9%</v>
          </cell>
          <cell r="W1443" t="str">
            <v>Private Hospital</v>
          </cell>
          <cell r="X1443" t="str">
            <v>Dr Prakash BV, Bangalore</v>
          </cell>
          <cell r="Y1443" t="str">
            <v>Sri Lakshmi Hospital, Bangalore</v>
          </cell>
          <cell r="Z1443" t="str">
            <v>Dr Prakash BV, Bangalore</v>
          </cell>
          <cell r="AA1443" t="str">
            <v>GI</v>
          </cell>
          <cell r="AB1443" t="str">
            <v>NA</v>
          </cell>
          <cell r="AC1443" t="str">
            <v>Stomach</v>
          </cell>
          <cell r="AD1443" t="str">
            <v>Stomach</v>
          </cell>
          <cell r="AE1443" t="str">
            <v>Female</v>
          </cell>
          <cell r="AF1443">
            <v>60</v>
          </cell>
          <cell r="AG1443" t="str">
            <v>N</v>
          </cell>
          <cell r="AH1443">
            <v>4.0999999999999996</v>
          </cell>
          <cell r="AI1443" t="str">
            <v>Kalappa</v>
          </cell>
          <cell r="AJ1443" t="str">
            <v>Surgery</v>
          </cell>
          <cell r="AK1443" t="str">
            <v>Primary</v>
          </cell>
          <cell r="AL1443" t="str">
            <v>NA</v>
          </cell>
          <cell r="AN1443" t="str">
            <v>II</v>
          </cell>
          <cell r="AO1443">
            <v>3</v>
          </cell>
          <cell r="AP1443" t="str">
            <v>pT2N1M0</v>
          </cell>
          <cell r="AS1443" t="str">
            <v>Adenocarcinoma</v>
          </cell>
          <cell r="AV1443">
            <v>45870</v>
          </cell>
          <cell r="AW1443">
            <v>0.7631944444444444</v>
          </cell>
          <cell r="AX1443">
            <v>0.8041666666666667</v>
          </cell>
          <cell r="AY1443">
            <v>4.0972222222222222E-2</v>
          </cell>
          <cell r="AZ1443">
            <v>0.74861111111111112</v>
          </cell>
          <cell r="BA1443">
            <v>0.11874999999999999</v>
          </cell>
          <cell r="BB1443" t="str">
            <v>0.4*0.6-1.3*3.3</v>
          </cell>
          <cell r="BD1443" t="str">
            <v>Manual</v>
          </cell>
          <cell r="BE1443">
            <v>13</v>
          </cell>
          <cell r="BF1443" t="str">
            <v>Syam</v>
          </cell>
          <cell r="BG1443" t="str">
            <v>Y</v>
          </cell>
        </row>
        <row r="1444">
          <cell r="A1444" t="str">
            <v>FBR2S250185</v>
          </cell>
          <cell r="B1444">
            <v>250185</v>
          </cell>
          <cell r="C1444" t="str">
            <v>R&amp;D</v>
          </cell>
          <cell r="D1444">
            <v>45870</v>
          </cell>
          <cell r="E1444">
            <v>0.69652777777777775</v>
          </cell>
          <cell r="F1444">
            <v>45870</v>
          </cell>
          <cell r="G1444">
            <v>45870</v>
          </cell>
          <cell r="H1444">
            <v>0.74097222222222225</v>
          </cell>
          <cell r="I1444">
            <v>4.4444444444444446E-2</v>
          </cell>
          <cell r="J1444">
            <v>2</v>
          </cell>
          <cell r="K1444" t="str">
            <v>FCB-PROTOCOL-01</v>
          </cell>
          <cell r="L1444" t="str">
            <v>CLN/PRA/338</v>
          </cell>
          <cell r="M1444" t="str">
            <v>Y</v>
          </cell>
          <cell r="N1444" t="str">
            <v>Cos V1 (2S)</v>
          </cell>
          <cell r="O1444" t="str">
            <v>Internal R&amp;D</v>
          </cell>
          <cell r="P1444" t="str">
            <v>Q1 Passed</v>
          </cell>
          <cell r="Q1444" t="str">
            <v>Q1 Passed</v>
          </cell>
          <cell r="R1444" t="str">
            <v>Q1.5 Passed</v>
          </cell>
          <cell r="S1444" t="str">
            <v>Qualified</v>
          </cell>
          <cell r="V1444" t="str">
            <v>Tumor content 35-70%.</v>
          </cell>
          <cell r="W1444" t="str">
            <v>Private Hospital</v>
          </cell>
          <cell r="X1444" t="str">
            <v>Dr Prakash BV, Bangalore</v>
          </cell>
          <cell r="Y1444" t="str">
            <v>Sri Lakshmi Hospital, Bangalore</v>
          </cell>
          <cell r="Z1444" t="str">
            <v>Dr Prakash BV, Bangalore</v>
          </cell>
          <cell r="AA1444" t="str">
            <v>CRC</v>
          </cell>
          <cell r="AB1444" t="str">
            <v>NA</v>
          </cell>
          <cell r="AC1444" t="str">
            <v>Colon</v>
          </cell>
          <cell r="AD1444" t="str">
            <v>Caecum</v>
          </cell>
          <cell r="AE1444" t="str">
            <v>Female</v>
          </cell>
          <cell r="AF1444">
            <v>40</v>
          </cell>
          <cell r="AG1444" t="str">
            <v>N</v>
          </cell>
          <cell r="AH1444">
            <v>4.0999999999999996</v>
          </cell>
          <cell r="AI1444" t="str">
            <v>Kalappa</v>
          </cell>
          <cell r="AJ1444" t="str">
            <v>Surgery</v>
          </cell>
          <cell r="AK1444" t="str">
            <v>Primary</v>
          </cell>
          <cell r="AL1444" t="str">
            <v>NA</v>
          </cell>
          <cell r="AN1444" t="str">
            <v>III</v>
          </cell>
          <cell r="AO1444">
            <v>2</v>
          </cell>
          <cell r="AP1444" t="str">
            <v>pT3N0M0</v>
          </cell>
          <cell r="AS1444" t="str">
            <v>Adenocarcinoma</v>
          </cell>
          <cell r="AV1444">
            <v>45870</v>
          </cell>
          <cell r="AW1444">
            <v>0.7631944444444444</v>
          </cell>
          <cell r="AX1444">
            <v>0.85486111111111107</v>
          </cell>
          <cell r="AY1444">
            <v>9.166666666666666E-2</v>
          </cell>
          <cell r="AZ1444">
            <v>0.81041666666666667</v>
          </cell>
          <cell r="BA1444">
            <v>0.15833333333333333</v>
          </cell>
          <cell r="BB1444" t="str">
            <v>1.6*1.0-3.2*1.6-2.2</v>
          </cell>
          <cell r="BD1444" t="str">
            <v>Vibratome</v>
          </cell>
          <cell r="BE1444">
            <v>13</v>
          </cell>
          <cell r="BF1444" t="str">
            <v>Syam</v>
          </cell>
          <cell r="BG1444" t="str">
            <v>Y</v>
          </cell>
        </row>
        <row r="1445">
          <cell r="A1445" t="str">
            <v>FBB1O250186</v>
          </cell>
          <cell r="B1445">
            <v>250186</v>
          </cell>
          <cell r="C1445" t="str">
            <v>Biopharma</v>
          </cell>
          <cell r="D1445">
            <v>45870</v>
          </cell>
          <cell r="E1445">
            <v>0.50694444444444442</v>
          </cell>
          <cell r="F1445">
            <v>45870</v>
          </cell>
          <cell r="G1445">
            <v>45870</v>
          </cell>
          <cell r="H1445">
            <v>0.85624999999999996</v>
          </cell>
          <cell r="I1445">
            <v>0.34930555555555554</v>
          </cell>
          <cell r="J1445">
            <v>10</v>
          </cell>
          <cell r="K1445" t="str">
            <v>FCB-PROTOCOL-01</v>
          </cell>
          <cell r="L1445" t="str">
            <v>CLN/DBR/244</v>
          </cell>
          <cell r="M1445" t="str">
            <v>Y</v>
          </cell>
          <cell r="N1445" t="str">
            <v>BP013(1O)</v>
          </cell>
          <cell r="O1445" t="str">
            <v>BioBank</v>
          </cell>
          <cell r="P1445" t="str">
            <v>Q1 Passed</v>
          </cell>
          <cell r="Q1445" t="str">
            <v>Q1 Passed</v>
          </cell>
          <cell r="R1445" t="str">
            <v>Q1.5 Passed</v>
          </cell>
          <cell r="S1445" t="str">
            <v>Qualified</v>
          </cell>
          <cell r="T1445" t="str">
            <v>Nil</v>
          </cell>
          <cell r="V1445" t="str">
            <v>Tumor content 75-90%</v>
          </cell>
          <cell r="W1445" t="str">
            <v>Private Hospital</v>
          </cell>
          <cell r="X1445" t="str">
            <v>Clinic'les- DBR &amp; SK Hospital, Tirupati</v>
          </cell>
          <cell r="Y1445" t="str">
            <v>DBR &amp; SK Hospital, Tirupati</v>
          </cell>
          <cell r="Z1445" t="str">
            <v>Dr C Jayaprakash, Tirupati</v>
          </cell>
          <cell r="AA1445" t="str">
            <v>HNSCC</v>
          </cell>
          <cell r="AB1445" t="str">
            <v>NA</v>
          </cell>
          <cell r="AC1445" t="str">
            <v>Buccal Mucosa</v>
          </cell>
          <cell r="AD1445" t="str">
            <v>Left Buccal Mucosa</v>
          </cell>
          <cell r="AE1445" t="str">
            <v>Female</v>
          </cell>
          <cell r="AF1445">
            <v>66</v>
          </cell>
          <cell r="AG1445" t="str">
            <v>N</v>
          </cell>
          <cell r="AH1445">
            <v>5.9</v>
          </cell>
          <cell r="AI1445" t="str">
            <v>Shashi</v>
          </cell>
          <cell r="AJ1445" t="str">
            <v>Surgery</v>
          </cell>
          <cell r="AK1445" t="str">
            <v>Primary</v>
          </cell>
          <cell r="AL1445" t="str">
            <v>NA</v>
          </cell>
          <cell r="AV1445">
            <v>45870</v>
          </cell>
          <cell r="AW1445">
            <v>0.87430555555555556</v>
          </cell>
          <cell r="AX1445">
            <v>0.96180555555555558</v>
          </cell>
          <cell r="AY1445">
            <v>8.7499999999999994E-2</v>
          </cell>
          <cell r="AZ1445">
            <v>0.61250000000000004</v>
          </cell>
          <cell r="BA1445">
            <v>0.4548611111111111</v>
          </cell>
          <cell r="BB1445" t="str">
            <v>0.2-0.8*1.2*1.6
0.2-0.4*0.2-0.4*1.8</v>
          </cell>
          <cell r="BC1445" t="str">
            <v>NA</v>
          </cell>
          <cell r="BD1445" t="str">
            <v>Vibratome</v>
          </cell>
          <cell r="BE1445">
            <v>15</v>
          </cell>
          <cell r="BF1445" t="str">
            <v>Vasanth</v>
          </cell>
          <cell r="BG1445" t="str">
            <v>Y</v>
          </cell>
        </row>
        <row r="1446">
          <cell r="A1446" t="str">
            <v>FBR2S250187</v>
          </cell>
          <cell r="B1446">
            <v>250187</v>
          </cell>
          <cell r="C1446" t="str">
            <v>R&amp;D</v>
          </cell>
          <cell r="D1446">
            <v>45871</v>
          </cell>
          <cell r="E1446">
            <v>0.40138888888888891</v>
          </cell>
          <cell r="F1446">
            <v>45870</v>
          </cell>
          <cell r="G1446">
            <v>45871</v>
          </cell>
          <cell r="H1446">
            <v>0.64166666666666672</v>
          </cell>
          <cell r="I1446">
            <v>0.24027777777777778</v>
          </cell>
          <cell r="J1446">
            <v>2</v>
          </cell>
          <cell r="K1446" t="str">
            <v>FCB-PROTOCOL-01</v>
          </cell>
          <cell r="L1446" t="str">
            <v>CLN/PRA/339</v>
          </cell>
          <cell r="M1446" t="str">
            <v>Y</v>
          </cell>
          <cell r="N1446" t="str">
            <v>Cos V1 (2S)</v>
          </cell>
          <cell r="O1446" t="str">
            <v>Internal R&amp;D</v>
          </cell>
          <cell r="P1446" t="str">
            <v>Q1 Passed</v>
          </cell>
          <cell r="Q1446" t="str">
            <v>Q1 Passed</v>
          </cell>
          <cell r="R1446" t="str">
            <v>Q1.5 Passed</v>
          </cell>
          <cell r="S1446" t="str">
            <v>Qualified</v>
          </cell>
          <cell r="V1446" t="str">
            <v>Tumor content 4-40%</v>
          </cell>
          <cell r="W1446" t="str">
            <v>Private Hospital</v>
          </cell>
          <cell r="X1446" t="str">
            <v>Dr Prakash BV, Bangalore</v>
          </cell>
          <cell r="Y1446" t="str">
            <v>Sri Lakshmi Hospital, Bangalore</v>
          </cell>
          <cell r="Z1446" t="str">
            <v>Dr Prakash BV, Bangalore</v>
          </cell>
          <cell r="AA1446" t="str">
            <v>CRC</v>
          </cell>
          <cell r="AB1446" t="str">
            <v>NA</v>
          </cell>
          <cell r="AC1446" t="str">
            <v>Colon</v>
          </cell>
          <cell r="AD1446" t="str">
            <v>Redo sigmoid</v>
          </cell>
          <cell r="AE1446" t="str">
            <v>Male</v>
          </cell>
          <cell r="AF1446">
            <v>79</v>
          </cell>
          <cell r="AG1446" t="str">
            <v>N</v>
          </cell>
          <cell r="AH1446">
            <v>6.8</v>
          </cell>
          <cell r="AI1446" t="str">
            <v>Maruthi</v>
          </cell>
          <cell r="AJ1446" t="str">
            <v>Surgery</v>
          </cell>
          <cell r="AK1446" t="str">
            <v>Primary</v>
          </cell>
          <cell r="AL1446" t="str">
            <v>NA</v>
          </cell>
          <cell r="AN1446" t="str">
            <v>III</v>
          </cell>
          <cell r="AO1446">
            <v>2</v>
          </cell>
          <cell r="AP1446" t="str">
            <v>pT3N0M0</v>
          </cell>
          <cell r="AS1446" t="str">
            <v>Adenocarcinoma</v>
          </cell>
          <cell r="AV1446">
            <v>45871</v>
          </cell>
          <cell r="AW1446">
            <v>0.65763888888888888</v>
          </cell>
          <cell r="AX1446">
            <v>0.73958333333333337</v>
          </cell>
          <cell r="AY1446">
            <v>8.1944444444444445E-2</v>
          </cell>
          <cell r="AZ1446">
            <v>0.49930555555555556</v>
          </cell>
          <cell r="BA1446">
            <v>0.33819444444444446</v>
          </cell>
          <cell r="BB1446" t="str">
            <v>1.0*1.8*2.8</v>
          </cell>
          <cell r="BD1446" t="str">
            <v>Vibratome</v>
          </cell>
          <cell r="BE1446">
            <v>13</v>
          </cell>
          <cell r="BF1446" t="str">
            <v>Jobin</v>
          </cell>
          <cell r="BG1446" t="str">
            <v>Y</v>
          </cell>
        </row>
        <row r="1447">
          <cell r="A1447" t="str">
            <v>FBR1Q250188</v>
          </cell>
          <cell r="B1447">
            <v>250188</v>
          </cell>
          <cell r="C1447" t="str">
            <v>R&amp;D</v>
          </cell>
          <cell r="D1447">
            <v>45873</v>
          </cell>
          <cell r="E1447">
            <v>0.46736111111111112</v>
          </cell>
          <cell r="F1447">
            <v>45870</v>
          </cell>
          <cell r="G1447">
            <v>45873</v>
          </cell>
          <cell r="H1447">
            <v>0.58333333333333337</v>
          </cell>
          <cell r="I1447">
            <v>0.11597222222222223</v>
          </cell>
          <cell r="J1447">
            <v>2</v>
          </cell>
          <cell r="K1447" t="str">
            <v>FCB-PROTOCOL-01</v>
          </cell>
          <cell r="L1447" t="str">
            <v>VYD/414</v>
          </cell>
          <cell r="M1447" t="str">
            <v>Y</v>
          </cell>
          <cell r="N1447" t="str">
            <v>COSv4.1_CaBR(1Q-Known)</v>
          </cell>
          <cell r="O1447" t="str">
            <v>Internal R&amp;D</v>
          </cell>
          <cell r="P1447" t="str">
            <v>Q1 Passed</v>
          </cell>
          <cell r="Q1447" t="str">
            <v>Q1 Passed</v>
          </cell>
          <cell r="R1447" t="str">
            <v>Q1.5 Passed</v>
          </cell>
          <cell r="S1447" t="str">
            <v>Qualified</v>
          </cell>
          <cell r="V1447" t="str">
            <v>Tumor content 3-40%</v>
          </cell>
          <cell r="W1447" t="str">
            <v>Private Hospital</v>
          </cell>
          <cell r="X1447" t="str">
            <v>Vydehi Hospital, Bangalore</v>
          </cell>
          <cell r="Y1447" t="str">
            <v>Vydehi Hospital, Bangalore</v>
          </cell>
          <cell r="Z1447" t="str">
            <v>Dr Amritha Prabha, Bangalore</v>
          </cell>
          <cell r="AA1447" t="str">
            <v>Ca Breast</v>
          </cell>
          <cell r="AB1447" t="str">
            <v>ER +
Pr +
Her2 +</v>
          </cell>
          <cell r="AC1447" t="str">
            <v>Breast</v>
          </cell>
          <cell r="AD1447" t="str">
            <v>Left Breast</v>
          </cell>
          <cell r="AE1447" t="str">
            <v>Female</v>
          </cell>
          <cell r="AF1447">
            <v>47</v>
          </cell>
          <cell r="AG1447" t="str">
            <v>N</v>
          </cell>
          <cell r="AH1447">
            <v>5.8</v>
          </cell>
          <cell r="AI1447" t="str">
            <v>Maruthi</v>
          </cell>
          <cell r="AJ1447" t="str">
            <v>Surgery</v>
          </cell>
          <cell r="AK1447" t="str">
            <v>Primary</v>
          </cell>
          <cell r="AL1447" t="str">
            <v>Chemotherapy</v>
          </cell>
          <cell r="AQ1447" t="str">
            <v>8+3</v>
          </cell>
          <cell r="AR1447" t="str">
            <v>4AC, 4Pacli &amp; 3Trazstuzumab</v>
          </cell>
          <cell r="AS1447" t="str">
            <v>IDC</v>
          </cell>
          <cell r="AV1447">
            <v>45873</v>
          </cell>
          <cell r="AW1447">
            <v>0.60416666666666663</v>
          </cell>
          <cell r="AX1447">
            <v>0.65972222222222221</v>
          </cell>
          <cell r="AY1447">
            <v>5.5555555555555552E-2</v>
          </cell>
          <cell r="AZ1447">
            <v>0.54374999999999996</v>
          </cell>
          <cell r="BA1447">
            <v>0.19236111111111112</v>
          </cell>
          <cell r="BB1447" t="str">
            <v>06*1.1*1.3</v>
          </cell>
          <cell r="BD1447" t="str">
            <v>Manual</v>
          </cell>
          <cell r="BE1447">
            <v>15</v>
          </cell>
          <cell r="BF1447" t="str">
            <v>Syam</v>
          </cell>
          <cell r="BG1447" t="str">
            <v>Y</v>
          </cell>
        </row>
        <row r="1448">
          <cell r="A1448" t="str">
            <v>FBR1K250189</v>
          </cell>
          <cell r="B1448">
            <v>250189</v>
          </cell>
          <cell r="C1448" t="str">
            <v>R&amp;D</v>
          </cell>
          <cell r="D1448">
            <v>45873</v>
          </cell>
          <cell r="E1448">
            <v>0.50694444444444442</v>
          </cell>
          <cell r="F1448">
            <v>45870</v>
          </cell>
          <cell r="G1448">
            <v>45873</v>
          </cell>
          <cell r="H1448">
            <v>0.90069444444444446</v>
          </cell>
          <cell r="I1448">
            <v>0.39374999999999999</v>
          </cell>
          <cell r="J1448">
            <v>10</v>
          </cell>
          <cell r="K1448" t="str">
            <v>FCB-PROTOCOL-01</v>
          </cell>
          <cell r="L1448" t="str">
            <v>CLN/DBR/245</v>
          </cell>
          <cell r="M1448" t="str">
            <v>Y</v>
          </cell>
          <cell r="N1448" t="str">
            <v>DMS_v4(1K)</v>
          </cell>
          <cell r="O1448" t="str">
            <v>Internal R&amp;D</v>
          </cell>
          <cell r="P1448" t="str">
            <v>Q1 Passed</v>
          </cell>
          <cell r="Q1448" t="str">
            <v>Q1 Passed</v>
          </cell>
          <cell r="R1448" t="str">
            <v>Q1.5 Passed</v>
          </cell>
          <cell r="S1448" t="str">
            <v>Qualified</v>
          </cell>
          <cell r="V1448" t="str">
            <v>Tumor content 60-90%</v>
          </cell>
          <cell r="W1448" t="str">
            <v>Private Hospital</v>
          </cell>
          <cell r="X1448" t="str">
            <v>Clinic'les- DBR &amp; SK Hospital, Tirupati</v>
          </cell>
          <cell r="Y1448" t="str">
            <v>DBR &amp; SK Hospital, Tirupati</v>
          </cell>
          <cell r="Z1448" t="str">
            <v>Dr C Jayaprakash, Tirupati</v>
          </cell>
          <cell r="AA1448" t="str">
            <v>HNSCC</v>
          </cell>
          <cell r="AB1448" t="str">
            <v>NA</v>
          </cell>
          <cell r="AC1448" t="str">
            <v>Buccal Mucosa</v>
          </cell>
          <cell r="AD1448" t="str">
            <v>Right Buccal Mucosa</v>
          </cell>
          <cell r="AE1448" t="str">
            <v>Male</v>
          </cell>
          <cell r="AF1448">
            <v>59</v>
          </cell>
          <cell r="AG1448" t="str">
            <v>N</v>
          </cell>
          <cell r="AH1448">
            <v>5.2</v>
          </cell>
          <cell r="AI1448" t="str">
            <v>Kalappa</v>
          </cell>
          <cell r="AJ1448" t="str">
            <v>Surgery</v>
          </cell>
          <cell r="AK1448" t="str">
            <v>Primary</v>
          </cell>
          <cell r="AL1448" t="str">
            <v>NA</v>
          </cell>
          <cell r="AV1448">
            <v>45873</v>
          </cell>
          <cell r="AW1448">
            <v>0.91805555555555551</v>
          </cell>
          <cell r="AX1448">
            <v>0.99027777777777781</v>
          </cell>
          <cell r="AY1448">
            <v>7.2222222000000003E-2</v>
          </cell>
          <cell r="AZ1448">
            <v>0.59652777800000001</v>
          </cell>
          <cell r="BA1448">
            <v>0.48333333299999998</v>
          </cell>
          <cell r="BB1448" t="str">
            <v>0.4-0.6*1.7*2.1</v>
          </cell>
          <cell r="BC1448" t="str">
            <v>NA</v>
          </cell>
          <cell r="BD1448" t="str">
            <v>Vibratome</v>
          </cell>
          <cell r="BE1448">
            <v>15</v>
          </cell>
          <cell r="BF1448" t="str">
            <v>Biswajit</v>
          </cell>
          <cell r="BG1448" t="str">
            <v>N</v>
          </cell>
        </row>
        <row r="1449">
          <cell r="A1449" t="str">
            <v>FBR1Q250190</v>
          </cell>
          <cell r="B1449">
            <v>250190</v>
          </cell>
          <cell r="C1449" t="str">
            <v>R&amp;D</v>
          </cell>
          <cell r="D1449">
            <v>45874</v>
          </cell>
          <cell r="E1449">
            <v>0.57291666666666663</v>
          </cell>
          <cell r="F1449">
            <v>45870</v>
          </cell>
          <cell r="G1449">
            <v>45874</v>
          </cell>
          <cell r="H1449">
            <v>0.68263888888888891</v>
          </cell>
          <cell r="I1449">
            <v>0.10972222222222222</v>
          </cell>
          <cell r="J1449">
            <v>2</v>
          </cell>
          <cell r="K1449" t="str">
            <v>FCB-PROTOCOL-01</v>
          </cell>
          <cell r="L1449" t="str">
            <v>VYD/415</v>
          </cell>
          <cell r="M1449" t="str">
            <v>Y</v>
          </cell>
          <cell r="N1449" t="str">
            <v>COSv4.2_CaBR(1Q-Unknown)</v>
          </cell>
          <cell r="O1449" t="str">
            <v>Internal R&amp;D</v>
          </cell>
          <cell r="P1449" t="str">
            <v>Q1 Passed</v>
          </cell>
          <cell r="Q1449" t="str">
            <v>Q1 Passed</v>
          </cell>
          <cell r="R1449" t="str">
            <v>Q1.5 Passed</v>
          </cell>
          <cell r="S1449" t="str">
            <v>Qualified</v>
          </cell>
          <cell r="V1449" t="str">
            <v>Tumor content 4-75%</v>
          </cell>
          <cell r="W1449" t="str">
            <v>Private Hospital</v>
          </cell>
          <cell r="X1449" t="str">
            <v>Vydehi Hospital, Bangalore</v>
          </cell>
          <cell r="Y1449" t="str">
            <v>Vydehi Hospital, Bangalore</v>
          </cell>
          <cell r="Z1449" t="str">
            <v>Dr Amritha Prabha, Bangalore</v>
          </cell>
          <cell r="AA1449" t="str">
            <v>Ca Breast</v>
          </cell>
          <cell r="AB1449" t="str">
            <v>NA</v>
          </cell>
          <cell r="AC1449" t="str">
            <v>Breast</v>
          </cell>
          <cell r="AD1449" t="str">
            <v>Left Breast</v>
          </cell>
          <cell r="AE1449" t="str">
            <v>Female</v>
          </cell>
          <cell r="AF1449">
            <v>50</v>
          </cell>
          <cell r="AG1449" t="str">
            <v>N</v>
          </cell>
          <cell r="AH1449">
            <v>6.1</v>
          </cell>
          <cell r="AI1449" t="str">
            <v>Maruthi</v>
          </cell>
          <cell r="AJ1449" t="str">
            <v>Surgery</v>
          </cell>
          <cell r="AK1449" t="str">
            <v>Primary</v>
          </cell>
          <cell r="AL1449" t="str">
            <v>Chemotherapy</v>
          </cell>
          <cell r="AQ1449">
            <v>8</v>
          </cell>
          <cell r="AR1449" t="str">
            <v>4AC, 4Pacli</v>
          </cell>
          <cell r="AS1449" t="str">
            <v>IDC</v>
          </cell>
          <cell r="AV1449">
            <v>45874</v>
          </cell>
          <cell r="AW1449">
            <v>0.69861111111111107</v>
          </cell>
          <cell r="AX1449">
            <v>0.74513888888888891</v>
          </cell>
          <cell r="AY1449">
            <v>4.6527777777777779E-2</v>
          </cell>
          <cell r="AZ1449">
            <v>0.63541666666666663</v>
          </cell>
          <cell r="BA1449">
            <v>0.17222222222222222</v>
          </cell>
          <cell r="BB1449" t="str">
            <v>0.4-0.6*1.6*2.1</v>
          </cell>
          <cell r="BC1449" t="str">
            <v>0.4-0.6*0.5-1.5*1.8</v>
          </cell>
          <cell r="BD1449" t="str">
            <v>Manual</v>
          </cell>
          <cell r="BE1449">
            <v>15</v>
          </cell>
          <cell r="BF1449" t="str">
            <v>Abdul</v>
          </cell>
          <cell r="BG1449" t="str">
            <v>Y</v>
          </cell>
        </row>
        <row r="1450">
          <cell r="A1450" t="str">
            <v>FBR1J250191</v>
          </cell>
          <cell r="B1450">
            <v>250191</v>
          </cell>
          <cell r="C1450" t="str">
            <v>R&amp;D</v>
          </cell>
          <cell r="D1450">
            <v>45875</v>
          </cell>
          <cell r="E1450">
            <v>0.54166666666666663</v>
          </cell>
          <cell r="F1450">
            <v>45870</v>
          </cell>
          <cell r="G1450">
            <v>45875</v>
          </cell>
          <cell r="H1450">
            <v>0.72638888888888886</v>
          </cell>
          <cell r="I1450">
            <v>0.18472222222222223</v>
          </cell>
          <cell r="J1450">
            <v>15</v>
          </cell>
          <cell r="K1450" t="str">
            <v>FCB-PROTOCOL-01</v>
          </cell>
          <cell r="L1450" t="str">
            <v>SIMS-002</v>
          </cell>
          <cell r="M1450" t="str">
            <v>Y</v>
          </cell>
          <cell r="N1450" t="str">
            <v>COS_v3.0-Gastric (1J)</v>
          </cell>
          <cell r="O1450" t="str">
            <v>Internal R&amp;D</v>
          </cell>
          <cell r="P1450" t="str">
            <v>Q1 Passed</v>
          </cell>
          <cell r="Q1450" t="str">
            <v>Q1 Passed</v>
          </cell>
          <cell r="R1450" t="str">
            <v>Q1.5 Passed</v>
          </cell>
          <cell r="S1450" t="str">
            <v>Qualified</v>
          </cell>
          <cell r="V1450" t="str">
            <v>Tumor content 30-85%</v>
          </cell>
          <cell r="W1450" t="str">
            <v>Private Hospital</v>
          </cell>
          <cell r="X1450" t="str">
            <v>Sapthagiri ClinTrac Pvt Ltd</v>
          </cell>
          <cell r="Y1450" t="str">
            <v>Sapthagiri Institute of Medical Sciences</v>
          </cell>
          <cell r="Z1450" t="str">
            <v>Dr Nataraj</v>
          </cell>
          <cell r="AA1450" t="str">
            <v>GI</v>
          </cell>
          <cell r="AB1450" t="str">
            <v>NA</v>
          </cell>
          <cell r="AC1450" t="str">
            <v>Retroperitoneal</v>
          </cell>
          <cell r="AD1450" t="str">
            <v>Retroperitoneal</v>
          </cell>
          <cell r="AE1450" t="str">
            <v>Male</v>
          </cell>
          <cell r="AF1450">
            <v>73</v>
          </cell>
          <cell r="AG1450" t="str">
            <v>N</v>
          </cell>
          <cell r="AH1450">
            <v>4.5999999999999996</v>
          </cell>
          <cell r="AI1450" t="str">
            <v>Kalappa</v>
          </cell>
          <cell r="AJ1450" t="str">
            <v>Surgery</v>
          </cell>
          <cell r="AK1450" t="str">
            <v>Primary</v>
          </cell>
          <cell r="AL1450" t="str">
            <v>NA</v>
          </cell>
          <cell r="AV1450">
            <v>45875</v>
          </cell>
          <cell r="AW1450">
            <v>0.76249999999999996</v>
          </cell>
          <cell r="AX1450">
            <v>0.80763888888888891</v>
          </cell>
          <cell r="AY1450">
            <v>4.5138888888888888E-2</v>
          </cell>
          <cell r="AZ1450">
            <v>0.62291666666666667</v>
          </cell>
          <cell r="BA1450">
            <v>0.26597222222222222</v>
          </cell>
          <cell r="BB1450" t="str">
            <v>0.4*0.8-0.9*1.0</v>
          </cell>
          <cell r="BC1450" t="str">
            <v>NA</v>
          </cell>
          <cell r="BD1450" t="str">
            <v>Manual</v>
          </cell>
          <cell r="BE1450">
            <v>13</v>
          </cell>
          <cell r="BF1450" t="str">
            <v>Abdul</v>
          </cell>
          <cell r="BG1450" t="str">
            <v>N</v>
          </cell>
        </row>
        <row r="1451">
          <cell r="A1451" t="str">
            <v>FBR2A250192</v>
          </cell>
          <cell r="B1451">
            <v>250192</v>
          </cell>
          <cell r="C1451" t="str">
            <v>R&amp;D</v>
          </cell>
          <cell r="D1451">
            <v>45875</v>
          </cell>
          <cell r="E1451">
            <v>0.55208333333333337</v>
          </cell>
          <cell r="F1451">
            <v>45870</v>
          </cell>
          <cell r="G1451">
            <v>45875</v>
          </cell>
          <cell r="H1451">
            <v>0.81041666666666667</v>
          </cell>
          <cell r="I1451">
            <v>0.25833333333333336</v>
          </cell>
          <cell r="J1451">
            <v>5</v>
          </cell>
          <cell r="K1451" t="str">
            <v>FCB-PROTOCOL-01</v>
          </cell>
          <cell r="L1451" t="str">
            <v>JSS-046</v>
          </cell>
          <cell r="M1451" t="str">
            <v>Y</v>
          </cell>
          <cell r="N1451" t="str">
            <v>Ovary CC (2A)</v>
          </cell>
          <cell r="O1451" t="str">
            <v>Internal R&amp;D</v>
          </cell>
          <cell r="P1451" t="str">
            <v>Q1 Passed</v>
          </cell>
          <cell r="Q1451" t="str">
            <v>Q1 Passed</v>
          </cell>
          <cell r="R1451" t="str">
            <v>Q1.5 Passed</v>
          </cell>
          <cell r="S1451" t="str">
            <v>Rejected</v>
          </cell>
          <cell r="V1451" t="str">
            <v>No tumor</v>
          </cell>
          <cell r="W1451" t="str">
            <v>Private Hospital</v>
          </cell>
          <cell r="X1451" t="str">
            <v>Dr Ravi Krishnappa, Mysore</v>
          </cell>
          <cell r="Y1451" t="str">
            <v>JSS Hospital, Mysore</v>
          </cell>
          <cell r="Z1451" t="str">
            <v>Dr Ravi Krishnappa, Mysore</v>
          </cell>
          <cell r="AA1451" t="str">
            <v>Ca Ovary</v>
          </cell>
          <cell r="AB1451" t="str">
            <v>NA</v>
          </cell>
          <cell r="AC1451" t="str">
            <v>Ovary</v>
          </cell>
          <cell r="AD1451" t="str">
            <v>Right Ovary</v>
          </cell>
          <cell r="AE1451" t="str">
            <v>Female</v>
          </cell>
          <cell r="AF1451">
            <v>56</v>
          </cell>
          <cell r="AG1451" t="str">
            <v>N</v>
          </cell>
          <cell r="AH1451">
            <v>7.1</v>
          </cell>
          <cell r="AI1451" t="str">
            <v>Maruthi</v>
          </cell>
          <cell r="AJ1451" t="str">
            <v>Surgery</v>
          </cell>
          <cell r="AK1451" t="str">
            <v>Primary</v>
          </cell>
          <cell r="AL1451" t="str">
            <v>Chemotherapy</v>
          </cell>
          <cell r="AN1451" t="str">
            <v>IIIc</v>
          </cell>
          <cell r="AQ1451">
            <v>6</v>
          </cell>
          <cell r="AR1451" t="str">
            <v>Paclitaxel+Carboplatin</v>
          </cell>
          <cell r="AV1451">
            <v>45875</v>
          </cell>
          <cell r="AW1451">
            <v>0.82777777777777772</v>
          </cell>
          <cell r="AX1451">
            <v>0.8618055555555556</v>
          </cell>
          <cell r="AY1451">
            <v>3.4027777777777775E-2</v>
          </cell>
          <cell r="AZ1451">
            <v>0.60347222222222219</v>
          </cell>
          <cell r="BA1451">
            <v>0.30972222222222223</v>
          </cell>
          <cell r="BB1451" t="str">
            <v>0.1*0.5*1.3
0.2*1.0*1.4
0.2*0.9*1.2</v>
          </cell>
          <cell r="BD1451" t="str">
            <v>Manual</v>
          </cell>
          <cell r="BE1451">
            <v>14</v>
          </cell>
          <cell r="BF1451" t="str">
            <v>Dharani</v>
          </cell>
          <cell r="BG1451" t="str">
            <v>Y</v>
          </cell>
        </row>
        <row r="1452">
          <cell r="A1452" t="str">
            <v>FBB1O250193</v>
          </cell>
          <cell r="B1452">
            <v>250193</v>
          </cell>
          <cell r="C1452" t="str">
            <v>Biopharma</v>
          </cell>
          <cell r="D1452">
            <v>45876</v>
          </cell>
          <cell r="E1452">
            <v>0.58194444444444449</v>
          </cell>
          <cell r="F1452">
            <v>45870</v>
          </cell>
          <cell r="G1452">
            <v>45876</v>
          </cell>
          <cell r="H1452">
            <v>0.6694444444444444</v>
          </cell>
          <cell r="I1452">
            <v>8.7499999999999994E-2</v>
          </cell>
          <cell r="J1452">
            <v>4</v>
          </cell>
          <cell r="K1452" t="str">
            <v>FCB-PROTOCOL-01</v>
          </cell>
          <cell r="L1452" t="str">
            <v>CLN/PRA/340</v>
          </cell>
          <cell r="M1452" t="str">
            <v>Y</v>
          </cell>
          <cell r="N1452" t="str">
            <v>BP013(1O)</v>
          </cell>
          <cell r="O1452" t="str">
            <v>Biopharma</v>
          </cell>
          <cell r="P1452" t="str">
            <v>Q1 Passed</v>
          </cell>
          <cell r="Q1452" t="str">
            <v>Q1 Passed</v>
          </cell>
          <cell r="R1452" t="str">
            <v>Q1.5 Passed</v>
          </cell>
          <cell r="S1452" t="str">
            <v>Qualified</v>
          </cell>
          <cell r="T1452" t="str">
            <v>Nil</v>
          </cell>
          <cell r="V1452" t="str">
            <v>Tumor content 30-75%</v>
          </cell>
          <cell r="W1452" t="str">
            <v>Private Hospital</v>
          </cell>
          <cell r="X1452" t="str">
            <v>Dr Prakash BV, Bangalore</v>
          </cell>
          <cell r="Y1452" t="str">
            <v>Sri Lakshmi Hospital, Bangalore</v>
          </cell>
          <cell r="Z1452" t="str">
            <v>Dr Prakash BV, Bangalore</v>
          </cell>
          <cell r="AA1452" t="str">
            <v>HNSCC</v>
          </cell>
          <cell r="AB1452" t="str">
            <v>NA</v>
          </cell>
          <cell r="AC1452" t="str">
            <v>Tongue</v>
          </cell>
          <cell r="AD1452" t="str">
            <v>Tongue</v>
          </cell>
          <cell r="AE1452" t="str">
            <v>Male</v>
          </cell>
          <cell r="AF1452">
            <v>50</v>
          </cell>
          <cell r="AG1452" t="str">
            <v>N</v>
          </cell>
          <cell r="AH1452">
            <v>4.3</v>
          </cell>
          <cell r="AI1452" t="str">
            <v>Kalappa</v>
          </cell>
          <cell r="AJ1452" t="str">
            <v>Surgery</v>
          </cell>
          <cell r="AK1452" t="str">
            <v>Primary</v>
          </cell>
          <cell r="AL1452" t="str">
            <v>NA</v>
          </cell>
          <cell r="AS1452" t="str">
            <v>SCC</v>
          </cell>
          <cell r="AV1452">
            <v>45876</v>
          </cell>
          <cell r="AW1452">
            <v>0.68055555555555558</v>
          </cell>
          <cell r="AX1452">
            <v>0.75277777777777777</v>
          </cell>
          <cell r="AY1452">
            <v>7.2222222222222215E-2</v>
          </cell>
          <cell r="AZ1452">
            <v>0.66527777777777775</v>
          </cell>
          <cell r="BA1452">
            <v>0.17083333333333334</v>
          </cell>
          <cell r="BB1452" t="str">
            <v>0.6-0.6*1.6-2.0*2.1</v>
          </cell>
          <cell r="BC1452" t="str">
            <v>NA</v>
          </cell>
          <cell r="BD1452" t="str">
            <v>Vibratome</v>
          </cell>
          <cell r="BE1452">
            <v>14</v>
          </cell>
          <cell r="BF1452" t="str">
            <v>Syam</v>
          </cell>
          <cell r="BG1452" t="str">
            <v>Y</v>
          </cell>
        </row>
        <row r="1453">
          <cell r="A1453" t="str">
            <v>FBB1N250194</v>
          </cell>
          <cell r="B1453">
            <v>250194</v>
          </cell>
          <cell r="C1453" t="str">
            <v>Biopharma</v>
          </cell>
          <cell r="D1453">
            <v>45878</v>
          </cell>
          <cell r="E1453">
            <v>0.54722222222222228</v>
          </cell>
          <cell r="F1453">
            <v>45870</v>
          </cell>
          <cell r="G1453">
            <v>45878</v>
          </cell>
          <cell r="H1453">
            <v>0.63611111111111107</v>
          </cell>
          <cell r="I1453">
            <v>8.8888888888888892E-2</v>
          </cell>
          <cell r="J1453">
            <v>2</v>
          </cell>
          <cell r="K1453" t="str">
            <v>FCB-PROTOCOL-01</v>
          </cell>
          <cell r="L1453" t="str">
            <v>CLN/PRA/341</v>
          </cell>
          <cell r="M1453" t="str">
            <v>Y</v>
          </cell>
          <cell r="N1453" t="str">
            <v>BP012(1N)</v>
          </cell>
          <cell r="O1453" t="str">
            <v>Biopharma</v>
          </cell>
          <cell r="P1453" t="str">
            <v>Q1 Passed</v>
          </cell>
          <cell r="Q1453" t="str">
            <v>Q1 Passed</v>
          </cell>
          <cell r="R1453" t="str">
            <v>Q1.5 Passed</v>
          </cell>
          <cell r="S1453" t="str">
            <v>Qualified</v>
          </cell>
          <cell r="V1453" t="str">
            <v>Tumor content 5-35%</v>
          </cell>
          <cell r="W1453" t="str">
            <v>Private Hospital</v>
          </cell>
          <cell r="X1453" t="str">
            <v>Dr Prakash BV, Bangalore</v>
          </cell>
          <cell r="Y1453" t="str">
            <v>Sri Lakshmi Hospital, Bangalore</v>
          </cell>
          <cell r="Z1453" t="str">
            <v>Dr Prakash BV, Bangalore</v>
          </cell>
          <cell r="AA1453" t="str">
            <v>GI</v>
          </cell>
          <cell r="AB1453" t="str">
            <v>NA</v>
          </cell>
          <cell r="AC1453" t="str">
            <v>Stomach</v>
          </cell>
          <cell r="AD1453" t="str">
            <v>Stomach</v>
          </cell>
          <cell r="AE1453" t="str">
            <v>Male</v>
          </cell>
          <cell r="AF1453">
            <v>50</v>
          </cell>
          <cell r="AG1453" t="str">
            <v>N</v>
          </cell>
          <cell r="AH1453">
            <v>4</v>
          </cell>
          <cell r="AI1453" t="str">
            <v>Kalappa</v>
          </cell>
          <cell r="AJ1453" t="str">
            <v>Surgery</v>
          </cell>
          <cell r="AK1453" t="str">
            <v>Primary</v>
          </cell>
          <cell r="AL1453" t="str">
            <v>NA</v>
          </cell>
          <cell r="AN1453" t="str">
            <v>III</v>
          </cell>
          <cell r="AP1453" t="str">
            <v>pT3N0M0</v>
          </cell>
          <cell r="AV1453">
            <v>45878</v>
          </cell>
          <cell r="AW1453">
            <v>0.65972222222222221</v>
          </cell>
          <cell r="AX1453">
            <v>0.70347222222222228</v>
          </cell>
          <cell r="AY1453">
            <v>4.3749999999999997E-2</v>
          </cell>
          <cell r="AZ1453">
            <v>0.61458333333333337</v>
          </cell>
          <cell r="BA1453">
            <v>0.15625</v>
          </cell>
          <cell r="BB1453" t="str">
            <v>0.4-0.5*1.2-1.6*1.8-2.4</v>
          </cell>
          <cell r="BD1453" t="str">
            <v>Manual</v>
          </cell>
          <cell r="BE1453">
            <v>13</v>
          </cell>
          <cell r="BF1453" t="str">
            <v>Abdul</v>
          </cell>
          <cell r="BG1453" t="str">
            <v>Y</v>
          </cell>
        </row>
        <row r="1454">
          <cell r="A1454" t="str">
            <v>FBB1N250195</v>
          </cell>
          <cell r="B1454">
            <v>250195</v>
          </cell>
          <cell r="C1454" t="str">
            <v>Biopharma</v>
          </cell>
          <cell r="D1454">
            <v>45880</v>
          </cell>
          <cell r="E1454">
            <v>0.67013888888888884</v>
          </cell>
          <cell r="F1454">
            <v>45870</v>
          </cell>
          <cell r="G1454">
            <v>45911</v>
          </cell>
          <cell r="H1454">
            <v>0.73124999999999996</v>
          </cell>
          <cell r="I1454">
            <v>6.1111111111111109E-2</v>
          </cell>
          <cell r="J1454">
            <v>2</v>
          </cell>
          <cell r="K1454" t="str">
            <v>FCB-PROTOCOL-01</v>
          </cell>
          <cell r="L1454" t="str">
            <v>CLN/PRA/342</v>
          </cell>
          <cell r="M1454" t="str">
            <v>Y</v>
          </cell>
          <cell r="N1454" t="str">
            <v>BP012(1N)</v>
          </cell>
          <cell r="O1454" t="str">
            <v>Biopharma</v>
          </cell>
          <cell r="P1454" t="str">
            <v>Q1 Passed</v>
          </cell>
          <cell r="Q1454" t="str">
            <v>Q1 Passed</v>
          </cell>
          <cell r="R1454" t="str">
            <v>Q1.5 Passed</v>
          </cell>
          <cell r="S1454" t="str">
            <v>Qualified</v>
          </cell>
          <cell r="V1454" t="str">
            <v>Tumor content 5-18%</v>
          </cell>
          <cell r="W1454" t="str">
            <v>Private Hospital</v>
          </cell>
          <cell r="X1454" t="str">
            <v>Dr Prakash BV, Bangalore</v>
          </cell>
          <cell r="Y1454" t="str">
            <v>Sri Lakshmi Hospital, Bangalore</v>
          </cell>
          <cell r="Z1454" t="str">
            <v>Dr Prakash BV, Bangalore</v>
          </cell>
          <cell r="AA1454" t="str">
            <v>GI</v>
          </cell>
          <cell r="AB1454" t="str">
            <v>NA</v>
          </cell>
          <cell r="AC1454" t="str">
            <v>Stomach</v>
          </cell>
          <cell r="AD1454" t="str">
            <v>Antrum of Stomach</v>
          </cell>
          <cell r="AE1454" t="str">
            <v>Male</v>
          </cell>
          <cell r="AF1454">
            <v>70</v>
          </cell>
          <cell r="AG1454" t="str">
            <v>N</v>
          </cell>
          <cell r="AH1454">
            <v>5.6</v>
          </cell>
          <cell r="AI1454" t="str">
            <v>Kalappa</v>
          </cell>
          <cell r="AJ1454" t="str">
            <v>Surgery</v>
          </cell>
          <cell r="AK1454" t="str">
            <v>Primary</v>
          </cell>
          <cell r="AL1454" t="str">
            <v>NA</v>
          </cell>
          <cell r="AN1454" t="str">
            <v>III</v>
          </cell>
          <cell r="AP1454" t="str">
            <v>pT3N0M0</v>
          </cell>
          <cell r="AS1454" t="str">
            <v>Adenocarcinoma</v>
          </cell>
          <cell r="AV1454">
            <v>45880</v>
          </cell>
          <cell r="AW1454">
            <v>0.7416666666666667</v>
          </cell>
          <cell r="AX1454">
            <v>0.7993055555555556</v>
          </cell>
          <cell r="AY1454">
            <v>5.7638888888888892E-2</v>
          </cell>
          <cell r="AZ1454">
            <v>0.73819444444444449</v>
          </cell>
          <cell r="BA1454">
            <v>0.12916666666666668</v>
          </cell>
          <cell r="BB1454" t="str">
            <v>0.4-1.0*1.2-1.4*1.8-1.9</v>
          </cell>
          <cell r="BD1454" t="str">
            <v>Manual</v>
          </cell>
          <cell r="BE1454">
            <v>13</v>
          </cell>
          <cell r="BF1454" t="str">
            <v>Abdul</v>
          </cell>
          <cell r="BG1454" t="str">
            <v>Y</v>
          </cell>
        </row>
        <row r="1455">
          <cell r="A1455" t="str">
            <v>FBR2S250196</v>
          </cell>
          <cell r="B1455">
            <v>250196</v>
          </cell>
          <cell r="C1455" t="str">
            <v>R&amp;D</v>
          </cell>
          <cell r="D1455">
            <v>45881</v>
          </cell>
          <cell r="E1455">
            <v>0.56111111111111112</v>
          </cell>
          <cell r="F1455">
            <v>45870</v>
          </cell>
          <cell r="G1455">
            <v>45881</v>
          </cell>
          <cell r="H1455">
            <v>0.67638888888888893</v>
          </cell>
          <cell r="I1455">
            <v>0.11527777777777778</v>
          </cell>
          <cell r="J1455">
            <v>2</v>
          </cell>
          <cell r="K1455" t="str">
            <v>FCB-PROTOCOL-01</v>
          </cell>
          <cell r="L1455" t="str">
            <v>CLN/PRA/343</v>
          </cell>
          <cell r="M1455" t="str">
            <v>Y</v>
          </cell>
          <cell r="N1455" t="str">
            <v>Cos V1 (2S)</v>
          </cell>
          <cell r="O1455" t="str">
            <v>Internal R&amp;D</v>
          </cell>
          <cell r="P1455" t="str">
            <v>Q1 Passed</v>
          </cell>
          <cell r="Q1455" t="str">
            <v>Q1 Passed</v>
          </cell>
          <cell r="R1455" t="str">
            <v>Q1.5 Passed</v>
          </cell>
          <cell r="S1455" t="str">
            <v>Rejected</v>
          </cell>
          <cell r="V1455" t="str">
            <v>No frank malignancy, Granulomatous lesions</v>
          </cell>
          <cell r="W1455" t="str">
            <v>Private Hospital</v>
          </cell>
          <cell r="X1455" t="str">
            <v>Dr Prakash BV, Bangalore</v>
          </cell>
          <cell r="Y1455" t="str">
            <v>Sri Lakshmi Hospital, Bangalore</v>
          </cell>
          <cell r="Z1455" t="str">
            <v>Dr Prakash BV, Bangalore</v>
          </cell>
          <cell r="AA1455" t="str">
            <v>CRC</v>
          </cell>
          <cell r="AB1455" t="str">
            <v>NA</v>
          </cell>
          <cell r="AC1455" t="str">
            <v>Colon</v>
          </cell>
          <cell r="AD1455" t="str">
            <v>Colorectum acending colon</v>
          </cell>
          <cell r="AE1455" t="str">
            <v>Male</v>
          </cell>
          <cell r="AF1455">
            <v>59</v>
          </cell>
          <cell r="AG1455" t="str">
            <v>N</v>
          </cell>
          <cell r="AH1455">
            <v>5.8</v>
          </cell>
          <cell r="AI1455" t="str">
            <v>Shashi</v>
          </cell>
          <cell r="AJ1455" t="str">
            <v>Surgery</v>
          </cell>
          <cell r="AK1455" t="str">
            <v>Primary</v>
          </cell>
          <cell r="AL1455" t="str">
            <v>NA</v>
          </cell>
          <cell r="AN1455" t="str">
            <v>II</v>
          </cell>
          <cell r="AP1455" t="str">
            <v>pT2N2M0</v>
          </cell>
          <cell r="AS1455" t="str">
            <v>Adenocarcinoma</v>
          </cell>
          <cell r="AV1455">
            <v>45881</v>
          </cell>
          <cell r="AW1455">
            <v>0.70208333333333328</v>
          </cell>
          <cell r="AX1455">
            <v>0.80763888888888891</v>
          </cell>
          <cell r="AY1455">
            <v>0.10555555555555556</v>
          </cell>
          <cell r="AZ1455">
            <v>0.69236111111111109</v>
          </cell>
          <cell r="BA1455">
            <v>0.24652777777777779</v>
          </cell>
          <cell r="BB1455" t="str">
            <v>0.6-0.8*1.6*3.4</v>
          </cell>
          <cell r="BC1455" t="str">
            <v>0.6-0.8*1.6*3.2</v>
          </cell>
          <cell r="BD1455" t="str">
            <v>Manual</v>
          </cell>
          <cell r="BE1455">
            <v>13</v>
          </cell>
          <cell r="BF1455" t="str">
            <v xml:space="preserve">sai </v>
          </cell>
          <cell r="BG1455" t="str">
            <v>Y</v>
          </cell>
        </row>
        <row r="1456">
          <cell r="A1456" t="str">
            <v>FBB1O250197</v>
          </cell>
          <cell r="B1456">
            <v>250197</v>
          </cell>
          <cell r="C1456" t="str">
            <v>Biopharma</v>
          </cell>
          <cell r="D1456">
            <v>45881</v>
          </cell>
          <cell r="E1456">
            <v>0.52777777777777779</v>
          </cell>
          <cell r="F1456">
            <v>45870</v>
          </cell>
          <cell r="G1456">
            <v>45881</v>
          </cell>
          <cell r="H1456">
            <v>0.67638888888888893</v>
          </cell>
          <cell r="I1456">
            <v>0.14861111111111111</v>
          </cell>
          <cell r="J1456">
            <v>2</v>
          </cell>
          <cell r="K1456" t="str">
            <v>FCB-PROTOCOL-01</v>
          </cell>
          <cell r="L1456" t="str">
            <v>VYD/416</v>
          </cell>
          <cell r="M1456" t="str">
            <v>Y</v>
          </cell>
          <cell r="N1456" t="str">
            <v>BP013(1O)</v>
          </cell>
          <cell r="O1456" t="str">
            <v>BioBank</v>
          </cell>
          <cell r="P1456" t="str">
            <v>Q1 Passed</v>
          </cell>
          <cell r="Q1456" t="str">
            <v>Q1 Passed</v>
          </cell>
          <cell r="R1456" t="str">
            <v>Q1.5 Passed</v>
          </cell>
          <cell r="S1456" t="str">
            <v>Qualified</v>
          </cell>
          <cell r="T1456" t="str">
            <v>Nil</v>
          </cell>
          <cell r="V1456" t="str">
            <v>Tumor content 60-95%</v>
          </cell>
          <cell r="W1456" t="str">
            <v>Private Hospital</v>
          </cell>
          <cell r="X1456" t="str">
            <v>Vydehi Hospital, Bangalore</v>
          </cell>
          <cell r="Y1456" t="str">
            <v>Vydehi Hospital, Bangalore</v>
          </cell>
          <cell r="Z1456" t="str">
            <v>Dr Amritha Prabha, Bangalore</v>
          </cell>
          <cell r="AA1456" t="str">
            <v>HNSCC</v>
          </cell>
          <cell r="AB1456" t="str">
            <v>NA</v>
          </cell>
          <cell r="AC1456" t="str">
            <v>Buccal Mucosa</v>
          </cell>
          <cell r="AD1456" t="str">
            <v>Left Buccal Mucosa</v>
          </cell>
          <cell r="AE1456" t="str">
            <v>Female</v>
          </cell>
          <cell r="AF1456">
            <v>61</v>
          </cell>
          <cell r="AG1456" t="str">
            <v>N</v>
          </cell>
          <cell r="AH1456">
            <v>5.3</v>
          </cell>
          <cell r="AI1456" t="str">
            <v>Maruthi</v>
          </cell>
          <cell r="AJ1456" t="str">
            <v>Surgery</v>
          </cell>
          <cell r="AK1456" t="str">
            <v>Primary</v>
          </cell>
          <cell r="AL1456" t="str">
            <v>NA</v>
          </cell>
          <cell r="AN1456" t="str">
            <v>IV</v>
          </cell>
          <cell r="AS1456" t="str">
            <v>SCC</v>
          </cell>
          <cell r="AV1456">
            <v>45881</v>
          </cell>
          <cell r="AY1456">
            <v>0</v>
          </cell>
          <cell r="AZ145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45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C1456" t="str">
            <v>NA</v>
          </cell>
          <cell r="BD1456" t="str">
            <v>Vibratome</v>
          </cell>
          <cell r="BE1456">
            <v>14</v>
          </cell>
          <cell r="BG1456" t="str">
            <v>Y</v>
          </cell>
        </row>
        <row r="1457">
          <cell r="A1457" t="str">
            <v>FBB1O250198</v>
          </cell>
          <cell r="B1457">
            <v>250198</v>
          </cell>
          <cell r="C1457" t="str">
            <v>Biopharma</v>
          </cell>
          <cell r="D1457">
            <v>45881</v>
          </cell>
          <cell r="E1457">
            <v>0.51388888888888884</v>
          </cell>
          <cell r="F1457">
            <v>45870</v>
          </cell>
          <cell r="G1457">
            <v>45881</v>
          </cell>
          <cell r="H1457">
            <v>0.86597222222222225</v>
          </cell>
          <cell r="I1457">
            <v>0.35208333333333336</v>
          </cell>
          <cell r="J1457">
            <v>10</v>
          </cell>
          <cell r="K1457" t="str">
            <v>FCB-PROTOCOL-01</v>
          </cell>
          <cell r="L1457" t="str">
            <v>CLN/DBR/246</v>
          </cell>
          <cell r="M1457" t="str">
            <v>Y</v>
          </cell>
          <cell r="N1457" t="str">
            <v>BP013(1O)</v>
          </cell>
          <cell r="O1457" t="str">
            <v>BioBank</v>
          </cell>
          <cell r="P1457" t="str">
            <v>Q1 Passed</v>
          </cell>
          <cell r="Q1457" t="str">
            <v>Q1 Passed</v>
          </cell>
          <cell r="R1457" t="str">
            <v>Q1.5 Passed</v>
          </cell>
          <cell r="S1457" t="str">
            <v>Qualified</v>
          </cell>
          <cell r="T1457" t="str">
            <v>Nil</v>
          </cell>
          <cell r="V1457" t="str">
            <v>Tumor content 15-85%</v>
          </cell>
          <cell r="W1457" t="str">
            <v>Private Hospital</v>
          </cell>
          <cell r="X1457" t="str">
            <v>Clinic'les- DBR &amp; SK Hospital, Tirupati</v>
          </cell>
          <cell r="Y1457" t="str">
            <v>DBR &amp; SK Hospital, Tirupati</v>
          </cell>
          <cell r="Z1457" t="str">
            <v>Dr C Jayaprakash, Tirupati</v>
          </cell>
          <cell r="AA1457" t="str">
            <v>HNSCC</v>
          </cell>
          <cell r="AB1457" t="str">
            <v>NA</v>
          </cell>
          <cell r="AC1457" t="str">
            <v>Buccal Mucosa</v>
          </cell>
          <cell r="AD1457" t="str">
            <v>Right Buccal Mucosa</v>
          </cell>
          <cell r="AE1457" t="str">
            <v>Female</v>
          </cell>
          <cell r="AF1457">
            <v>65</v>
          </cell>
          <cell r="AG1457" t="str">
            <v>N</v>
          </cell>
          <cell r="AH1457">
            <v>4.9000000000000004</v>
          </cell>
          <cell r="AI1457" t="str">
            <v>Kalappa</v>
          </cell>
          <cell r="AJ1457" t="str">
            <v>Surgery</v>
          </cell>
          <cell r="AK1457" t="str">
            <v>Primary</v>
          </cell>
          <cell r="AL1457" t="str">
            <v>NA</v>
          </cell>
          <cell r="AN1457" t="str">
            <v>III</v>
          </cell>
          <cell r="AS1457" t="str">
            <v>SCC</v>
          </cell>
          <cell r="AV1457">
            <v>45881</v>
          </cell>
          <cell r="AW1457">
            <v>0.88472222222222219</v>
          </cell>
          <cell r="AX1457">
            <v>0.97430555555555554</v>
          </cell>
          <cell r="AY1457">
            <v>8.9583333333333334E-2</v>
          </cell>
          <cell r="AZ1457">
            <v>0.62222222222222223</v>
          </cell>
          <cell r="BA1457">
            <v>0.46041666666666664</v>
          </cell>
          <cell r="BB1457" t="str">
            <v>0.6*1.4*1.8</v>
          </cell>
          <cell r="BC1457" t="str">
            <v>NA</v>
          </cell>
          <cell r="BD1457" t="str">
            <v>Vibratome</v>
          </cell>
          <cell r="BE1457">
            <v>14</v>
          </cell>
          <cell r="BF1457" t="str">
            <v>Abdul</v>
          </cell>
          <cell r="BG1457" t="str">
            <v>Y</v>
          </cell>
        </row>
        <row r="1458">
          <cell r="A1458" t="str">
            <v>FBR1Q250199</v>
          </cell>
          <cell r="B1458">
            <v>250199</v>
          </cell>
          <cell r="C1458" t="str">
            <v>R&amp;D</v>
          </cell>
          <cell r="D1458">
            <v>45882</v>
          </cell>
          <cell r="E1458">
            <v>0.54027777777777775</v>
          </cell>
          <cell r="F1458">
            <v>45870</v>
          </cell>
          <cell r="G1458">
            <v>45882</v>
          </cell>
          <cell r="H1458">
            <v>0.76597222222222228</v>
          </cell>
          <cell r="I1458">
            <v>0.22569444444444445</v>
          </cell>
          <cell r="J1458">
            <v>2</v>
          </cell>
          <cell r="K1458" t="str">
            <v>FCB-PROTOCOL-01</v>
          </cell>
          <cell r="L1458" t="str">
            <v>JSS-047</v>
          </cell>
          <cell r="M1458" t="str">
            <v>Y</v>
          </cell>
          <cell r="N1458" t="str">
            <v>COSv4.2_CaBR(1Q-Unknown)</v>
          </cell>
          <cell r="O1458" t="str">
            <v>Internal R&amp;D</v>
          </cell>
          <cell r="P1458" t="str">
            <v>Q1 Passed</v>
          </cell>
          <cell r="Q1458" t="str">
            <v>Q1 Passed</v>
          </cell>
          <cell r="R1458" t="str">
            <v>Q1.5 Passed</v>
          </cell>
          <cell r="S1458" t="str">
            <v>Rejected</v>
          </cell>
          <cell r="V1458" t="str">
            <v>Mostly DCIS .Tumor in some fragments</v>
          </cell>
          <cell r="W1458" t="str">
            <v>Private Hospital</v>
          </cell>
          <cell r="X1458" t="str">
            <v>Dr Ravi Krishnappa, Mysore</v>
          </cell>
          <cell r="Y1458" t="str">
            <v>JSS Hospital, Mysore</v>
          </cell>
          <cell r="Z1458" t="str">
            <v>Dr Ravi Krishnappa, Mysore</v>
          </cell>
          <cell r="AA1458" t="str">
            <v>Ca Breast</v>
          </cell>
          <cell r="AB1458" t="str">
            <v>NA</v>
          </cell>
          <cell r="AC1458" t="str">
            <v>Breast</v>
          </cell>
          <cell r="AD1458" t="str">
            <v>Right Breast</v>
          </cell>
          <cell r="AE1458" t="str">
            <v>Female</v>
          </cell>
          <cell r="AF1458">
            <v>67</v>
          </cell>
          <cell r="AG1458" t="str">
            <v>N</v>
          </cell>
          <cell r="AH1458">
            <v>6.1</v>
          </cell>
          <cell r="AI1458" t="str">
            <v>Kalappa</v>
          </cell>
          <cell r="AJ1458" t="str">
            <v>Surgery</v>
          </cell>
          <cell r="AK1458" t="str">
            <v>Primary</v>
          </cell>
          <cell r="AL1458" t="str">
            <v>Chemotherapy</v>
          </cell>
          <cell r="AQ1458">
            <v>8</v>
          </cell>
          <cell r="AR1458" t="str">
            <v>AC+Paclitaxel</v>
          </cell>
          <cell r="AV1458">
            <v>45882</v>
          </cell>
          <cell r="AW1458">
            <v>0.79236111111111107</v>
          </cell>
          <cell r="AX1458">
            <v>0.83333333333333337</v>
          </cell>
          <cell r="AY1458">
            <v>4.0972222222222222E-2</v>
          </cell>
          <cell r="AZ1458">
            <v>0.60763888888888884</v>
          </cell>
          <cell r="BA1458">
            <v>0.29305555555555557</v>
          </cell>
          <cell r="BB1458" t="str">
            <v>0.2-0.8*1.5*1.1-2.2</v>
          </cell>
          <cell r="BC1458" t="str">
            <v>0.2-0.4*0.7*1.9</v>
          </cell>
          <cell r="BD1458" t="str">
            <v>Manual</v>
          </cell>
          <cell r="BE1458">
            <v>14</v>
          </cell>
          <cell r="BF1458" t="str">
            <v>Mouniss</v>
          </cell>
          <cell r="BG1458" t="str">
            <v>Y</v>
          </cell>
        </row>
        <row r="1459">
          <cell r="A1459" t="str">
            <v>FBR1Q250200</v>
          </cell>
          <cell r="B1459">
            <v>250200</v>
          </cell>
          <cell r="C1459" t="str">
            <v>R&amp;D</v>
          </cell>
          <cell r="D1459">
            <v>45882</v>
          </cell>
          <cell r="E1459">
            <v>0.58194444444444449</v>
          </cell>
          <cell r="F1459">
            <v>45870</v>
          </cell>
          <cell r="G1459">
            <v>45882</v>
          </cell>
          <cell r="H1459">
            <v>0.76597222222222228</v>
          </cell>
          <cell r="I1459">
            <v>0.18402777777777779</v>
          </cell>
          <cell r="J1459">
            <v>7</v>
          </cell>
          <cell r="K1459" t="str">
            <v>FCB-PROTOCOL-01</v>
          </cell>
          <cell r="L1459" t="str">
            <v>JSS-048</v>
          </cell>
          <cell r="M1459" t="str">
            <v>Y</v>
          </cell>
          <cell r="N1459" t="str">
            <v>COSv4.2_CaBR(1Q-Unknown)</v>
          </cell>
          <cell r="O1459" t="str">
            <v>Internal R&amp;D</v>
          </cell>
          <cell r="P1459" t="str">
            <v>Q1 Passed</v>
          </cell>
          <cell r="Q1459" t="str">
            <v>Q1 Passed</v>
          </cell>
          <cell r="R1459" t="str">
            <v>Q1.5 Passed</v>
          </cell>
          <cell r="S1459" t="str">
            <v>Rejected</v>
          </cell>
          <cell r="V1459" t="str">
            <v>Tumor content 0-10%. Average tumor content 3%</v>
          </cell>
          <cell r="W1459" t="str">
            <v>Private Hospital</v>
          </cell>
          <cell r="X1459" t="str">
            <v>Dr Ravi Krishnappa, Mysore</v>
          </cell>
          <cell r="Y1459" t="str">
            <v>JSS Hospital, Mysore</v>
          </cell>
          <cell r="Z1459" t="str">
            <v>Dr Ravi Krishnappa, Mysore</v>
          </cell>
          <cell r="AA1459" t="str">
            <v>Ca Breast</v>
          </cell>
          <cell r="AB1459" t="str">
            <v>NA</v>
          </cell>
          <cell r="AC1459" t="str">
            <v>Breast</v>
          </cell>
          <cell r="AD1459" t="str">
            <v>Right Breast</v>
          </cell>
          <cell r="AE1459" t="str">
            <v>Female</v>
          </cell>
          <cell r="AF1459">
            <v>74</v>
          </cell>
          <cell r="AG1459" t="str">
            <v>N</v>
          </cell>
          <cell r="AH1459">
            <v>6.1</v>
          </cell>
          <cell r="AI1459" t="str">
            <v>Kalappa</v>
          </cell>
          <cell r="AJ1459" t="str">
            <v>Surgery</v>
          </cell>
          <cell r="AK1459" t="str">
            <v>Primary</v>
          </cell>
          <cell r="AL1459" t="str">
            <v>NA</v>
          </cell>
          <cell r="AV1459">
            <v>45882</v>
          </cell>
          <cell r="AW1459">
            <v>0.78611111111111109</v>
          </cell>
          <cell r="AX1459">
            <v>0.82638888888888884</v>
          </cell>
          <cell r="AY1459">
            <v>4.027777777777778E-2</v>
          </cell>
          <cell r="AZ1459">
            <v>0.64236111111111116</v>
          </cell>
          <cell r="BA1459">
            <v>0.24444444444444444</v>
          </cell>
          <cell r="BB1459" t="str">
            <v>0.2*0.8*1.5
0.2-0.4-1.0*1.9</v>
          </cell>
          <cell r="BC1459" t="str">
            <v>0.2*1.0*1.4
0.2-0.4*0.7*1.2</v>
          </cell>
          <cell r="BD1459" t="str">
            <v>Manual</v>
          </cell>
          <cell r="BE1459">
            <v>14</v>
          </cell>
          <cell r="BF1459" t="str">
            <v xml:space="preserve">sai </v>
          </cell>
          <cell r="BG1459" t="str">
            <v>Y</v>
          </cell>
        </row>
        <row r="1460">
          <cell r="A1460" t="str">
            <v>FBR1Y250201</v>
          </cell>
          <cell r="B1460">
            <v>250201</v>
          </cell>
          <cell r="C1460" t="str">
            <v>R&amp;D</v>
          </cell>
          <cell r="D1460">
            <v>45883</v>
          </cell>
          <cell r="E1460">
            <v>0.45416666666666666</v>
          </cell>
          <cell r="F1460">
            <v>45870</v>
          </cell>
          <cell r="G1460">
            <v>45883</v>
          </cell>
          <cell r="H1460">
            <v>0.59305555555555556</v>
          </cell>
          <cell r="I1460">
            <v>0.1388888888888889</v>
          </cell>
          <cell r="J1460">
            <v>2</v>
          </cell>
          <cell r="K1460" t="str">
            <v>FCB-PROTOCOL-01</v>
          </cell>
          <cell r="L1460" t="str">
            <v>VYD/417</v>
          </cell>
          <cell r="M1460" t="str">
            <v>Y</v>
          </cell>
          <cell r="N1460" t="str">
            <v>CCS Study (1Y)</v>
          </cell>
          <cell r="O1460" t="str">
            <v>Internal R&amp;D</v>
          </cell>
          <cell r="P1460" t="str">
            <v>Q1 Passed</v>
          </cell>
          <cell r="Q1460" t="str">
            <v>Q1 Passed</v>
          </cell>
          <cell r="R1460" t="str">
            <v>Q1.5 Passed</v>
          </cell>
          <cell r="S1460" t="str">
            <v>Qualified</v>
          </cell>
          <cell r="V1460" t="str">
            <v>Tumor content 65-95%</v>
          </cell>
          <cell r="W1460" t="str">
            <v>Private Hospital</v>
          </cell>
          <cell r="X1460" t="str">
            <v>Vydehi Hospital, Bangalore</v>
          </cell>
          <cell r="Y1460" t="str">
            <v>Vydehi Hospital, Bangalore</v>
          </cell>
          <cell r="Z1460" t="str">
            <v>Dr Amritha Prabha, Bangalore</v>
          </cell>
          <cell r="AA1460" t="str">
            <v>HNSCC</v>
          </cell>
          <cell r="AB1460" t="str">
            <v>NA</v>
          </cell>
          <cell r="AC1460" t="str">
            <v>Buccal Mucosa</v>
          </cell>
          <cell r="AD1460" t="str">
            <v>Left Buccal Mucosa</v>
          </cell>
          <cell r="AE1460" t="str">
            <v>Male</v>
          </cell>
          <cell r="AF1460">
            <v>72</v>
          </cell>
          <cell r="AG1460" t="str">
            <v>N</v>
          </cell>
          <cell r="AH1460">
            <v>5.8</v>
          </cell>
          <cell r="AI1460" t="str">
            <v>Maruthi</v>
          </cell>
          <cell r="AJ1460" t="str">
            <v>Surgery</v>
          </cell>
          <cell r="AK1460" t="str">
            <v>Primary</v>
          </cell>
          <cell r="AL1460" t="str">
            <v>NA</v>
          </cell>
          <cell r="AS1460" t="str">
            <v>SCC</v>
          </cell>
          <cell r="AV1460">
            <v>45883</v>
          </cell>
          <cell r="AW1460">
            <v>0.61041666666666672</v>
          </cell>
          <cell r="AX1460">
            <v>0.67291666666666672</v>
          </cell>
          <cell r="AY1460">
            <v>6.25E-2</v>
          </cell>
          <cell r="AZ1460">
            <v>0.53402777777777777</v>
          </cell>
          <cell r="BA1460">
            <v>0.21875</v>
          </cell>
          <cell r="BB1460" t="str">
            <v>0.2-0.4*1.2*1.2
0.1-0.2*0.5*1.2</v>
          </cell>
          <cell r="BD1460" t="str">
            <v>Vibratome</v>
          </cell>
          <cell r="BE1460">
            <v>14</v>
          </cell>
          <cell r="BF1460" t="str">
            <v>Dharani</v>
          </cell>
          <cell r="BG1460" t="str">
            <v>Y</v>
          </cell>
        </row>
        <row r="1461">
          <cell r="A1461" t="str">
            <v>FBR1K250202</v>
          </cell>
          <cell r="B1461">
            <v>250202</v>
          </cell>
          <cell r="C1461" t="str">
            <v>R&amp;D</v>
          </cell>
          <cell r="D1461">
            <v>45883</v>
          </cell>
          <cell r="E1461">
            <v>0.52986111111111112</v>
          </cell>
          <cell r="F1461">
            <v>45870</v>
          </cell>
          <cell r="G1461">
            <v>45883</v>
          </cell>
          <cell r="H1461">
            <v>0.60277777777777775</v>
          </cell>
          <cell r="I1461">
            <v>7.2916666666666671E-2</v>
          </cell>
          <cell r="J1461">
            <v>3</v>
          </cell>
          <cell r="K1461" t="str">
            <v>FCB-PROTOCOL-01</v>
          </cell>
          <cell r="L1461" t="str">
            <v>CLN/PRA/344</v>
          </cell>
          <cell r="M1461" t="str">
            <v>Y</v>
          </cell>
          <cell r="N1461" t="str">
            <v>DMS_v4(1K)</v>
          </cell>
          <cell r="O1461" t="str">
            <v>Internal R&amp;D</v>
          </cell>
          <cell r="P1461" t="str">
            <v>Q1 Passed</v>
          </cell>
          <cell r="Q1461" t="str">
            <v>Q1 Rejected</v>
          </cell>
          <cell r="R1461" t="str">
            <v>Q1.5 Passed</v>
          </cell>
          <cell r="S1461" t="str">
            <v>Rejected</v>
          </cell>
          <cell r="T1461" t="str">
            <v>Very small size tissue</v>
          </cell>
          <cell r="V1461" t="str">
            <v>Tumor content 40-75% with high immune component</v>
          </cell>
          <cell r="W1461" t="str">
            <v>Private Hospital</v>
          </cell>
          <cell r="X1461" t="str">
            <v>Dr Prakash BV, Bangalore</v>
          </cell>
          <cell r="Y1461" t="str">
            <v>Sri Lakshmi Hospital, Bangalore</v>
          </cell>
          <cell r="Z1461" t="str">
            <v>Dr Prakash BV, Bangalore</v>
          </cell>
          <cell r="AA1461" t="str">
            <v>HNSCC</v>
          </cell>
          <cell r="AB1461" t="str">
            <v>NA</v>
          </cell>
          <cell r="AC1461" t="str">
            <v>Tongue</v>
          </cell>
          <cell r="AD1461" t="str">
            <v>Left Lateral border of Tongue</v>
          </cell>
          <cell r="AE1461" t="str">
            <v>Female</v>
          </cell>
          <cell r="AF1461">
            <v>50</v>
          </cell>
          <cell r="AG1461" t="str">
            <v>N</v>
          </cell>
          <cell r="AH1461">
            <v>5.0999999999999996</v>
          </cell>
          <cell r="AI1461" t="str">
            <v>Shashi</v>
          </cell>
          <cell r="AJ1461" t="str">
            <v>Surgery</v>
          </cell>
          <cell r="AK1461" t="str">
            <v>Primary</v>
          </cell>
          <cell r="AL1461" t="str">
            <v>NA</v>
          </cell>
          <cell r="AN1461" t="str">
            <v>II</v>
          </cell>
          <cell r="AP1461" t="str">
            <v>pT2N2M0</v>
          </cell>
          <cell r="AS1461" t="str">
            <v>SCC</v>
          </cell>
          <cell r="AV1461">
            <v>45883</v>
          </cell>
          <cell r="AW1461">
            <v>0.61805555555555558</v>
          </cell>
          <cell r="AX1461" t="str">
            <v>NA</v>
          </cell>
          <cell r="AY1461" t="e">
            <v>#VALUE!</v>
          </cell>
          <cell r="AZ1461" t="e">
            <v>#VALUE!</v>
          </cell>
          <cell r="BA1461" t="e">
            <v>#VALUE!</v>
          </cell>
          <cell r="BB1461" t="str">
            <v>0.2-0.4*0.9*1.2</v>
          </cell>
          <cell r="BC1461" t="str">
            <v>NA</v>
          </cell>
          <cell r="BD1461" t="str">
            <v>Vibratome</v>
          </cell>
          <cell r="BE1461">
            <v>14</v>
          </cell>
          <cell r="BF1461" t="str">
            <v>Syam</v>
          </cell>
          <cell r="BG1461" t="str">
            <v>N</v>
          </cell>
        </row>
        <row r="1462">
          <cell r="A1462" t="str">
            <v>FBR2J250203</v>
          </cell>
          <cell r="B1462">
            <v>250203</v>
          </cell>
          <cell r="C1462" t="str">
            <v>R&amp;D</v>
          </cell>
          <cell r="D1462">
            <v>45884</v>
          </cell>
          <cell r="E1462">
            <v>0.53819444444444442</v>
          </cell>
          <cell r="F1462">
            <v>45870</v>
          </cell>
          <cell r="G1462">
            <v>45884</v>
          </cell>
          <cell r="H1462">
            <v>0.60347222222222219</v>
          </cell>
          <cell r="I1462">
            <v>6.5277777777777782E-2</v>
          </cell>
          <cell r="J1462">
            <v>4</v>
          </cell>
          <cell r="K1462" t="str">
            <v>FCB-PROTOCOL-01</v>
          </cell>
          <cell r="L1462" t="str">
            <v>CLN/PRA/345</v>
          </cell>
          <cell r="M1462" t="str">
            <v>Y</v>
          </cell>
          <cell r="N1462" t="str">
            <v>Lung (2I &amp; 2J)</v>
          </cell>
          <cell r="O1462" t="str">
            <v>Internal R&amp;D</v>
          </cell>
          <cell r="P1462" t="str">
            <v>Q1 Passed</v>
          </cell>
          <cell r="Q1462" t="str">
            <v>Q1 Passed</v>
          </cell>
          <cell r="R1462" t="str">
            <v>Q1.5 Passed</v>
          </cell>
          <cell r="S1462" t="str">
            <v>Qualified</v>
          </cell>
          <cell r="V1462" t="str">
            <v>Tumor content 55-80%</v>
          </cell>
          <cell r="W1462" t="str">
            <v>Private Hospital</v>
          </cell>
          <cell r="X1462" t="str">
            <v>Dr Prakash BV, Bangalore</v>
          </cell>
          <cell r="Y1462" t="str">
            <v>Sri Lakshmi Hospital, Bangalore</v>
          </cell>
          <cell r="Z1462" t="str">
            <v>Dr Prakash BV, Bangalore</v>
          </cell>
          <cell r="AA1462" t="str">
            <v>Lung</v>
          </cell>
          <cell r="AB1462" t="str">
            <v>NA</v>
          </cell>
          <cell r="AC1462" t="str">
            <v>Lung</v>
          </cell>
          <cell r="AD1462" t="str">
            <v>Right Lung</v>
          </cell>
          <cell r="AE1462" t="str">
            <v>Female</v>
          </cell>
          <cell r="AF1462">
            <v>25</v>
          </cell>
          <cell r="AG1462" t="str">
            <v>N</v>
          </cell>
          <cell r="AH1462">
            <v>6.2</v>
          </cell>
          <cell r="AI1462" t="str">
            <v>Shashi</v>
          </cell>
          <cell r="AJ1462" t="str">
            <v>Surgery</v>
          </cell>
          <cell r="AK1462" t="str">
            <v>Primary</v>
          </cell>
          <cell r="AL1462" t="str">
            <v>NA</v>
          </cell>
          <cell r="AN1462" t="str">
            <v>II</v>
          </cell>
          <cell r="AP1462" t="str">
            <v>pT2N2M0</v>
          </cell>
          <cell r="AS1462" t="str">
            <v>SCC</v>
          </cell>
          <cell r="AV1462">
            <v>45884</v>
          </cell>
          <cell r="AW1462">
            <v>0.63611111111111107</v>
          </cell>
          <cell r="AX1462">
            <v>0.72222222222222221</v>
          </cell>
          <cell r="AY1462">
            <v>8.611111111111111E-2</v>
          </cell>
          <cell r="AZ1462">
            <v>0.65694444444444444</v>
          </cell>
          <cell r="BA1462">
            <v>0.18402777777777779</v>
          </cell>
          <cell r="BB1462" t="str">
            <v>1.4*1.0-1.4*2.0-2.2</v>
          </cell>
          <cell r="BC1462" t="str">
            <v>NA</v>
          </cell>
          <cell r="BD1462" t="str">
            <v>Vibratome</v>
          </cell>
          <cell r="BE1462">
            <v>14</v>
          </cell>
          <cell r="BF1462" t="str">
            <v>Abdul</v>
          </cell>
          <cell r="BG1462" t="str">
            <v>Y</v>
          </cell>
        </row>
        <row r="1463">
          <cell r="A1463" t="str">
            <v>FBR1Y250204</v>
          </cell>
          <cell r="B1463">
            <v>250204</v>
          </cell>
          <cell r="C1463" t="str">
            <v>R&amp;D</v>
          </cell>
          <cell r="D1463">
            <v>45887</v>
          </cell>
          <cell r="E1463">
            <v>0.41805555555555557</v>
          </cell>
          <cell r="F1463">
            <v>45870</v>
          </cell>
          <cell r="G1463">
            <v>45887</v>
          </cell>
          <cell r="H1463">
            <v>0.65069444444444446</v>
          </cell>
          <cell r="I1463">
            <v>0.2326388888888889</v>
          </cell>
          <cell r="J1463">
            <v>2</v>
          </cell>
          <cell r="K1463" t="str">
            <v>FCB-PROTOCOL-01</v>
          </cell>
          <cell r="L1463" t="str">
            <v>VYD/418</v>
          </cell>
          <cell r="M1463" t="str">
            <v>Y</v>
          </cell>
          <cell r="N1463" t="str">
            <v>CCS Study (1Y)</v>
          </cell>
          <cell r="O1463" t="str">
            <v>Internal R&amp;D</v>
          </cell>
          <cell r="P1463" t="str">
            <v>Q1 Passed</v>
          </cell>
          <cell r="Q1463" t="str">
            <v>Q1 Passed</v>
          </cell>
          <cell r="R1463" t="str">
            <v>Q1.5 Passed</v>
          </cell>
          <cell r="S1463" t="str">
            <v>Qualified</v>
          </cell>
          <cell r="V1463" t="str">
            <v>Tumor content 10-70%</v>
          </cell>
          <cell r="W1463" t="str">
            <v>Private Hospital</v>
          </cell>
          <cell r="X1463" t="str">
            <v>Vydehi Hospital, Bangalore</v>
          </cell>
          <cell r="Y1463" t="str">
            <v>Vydehi Hospital, Bangalore</v>
          </cell>
          <cell r="Z1463" t="str">
            <v>Dr Amritha Prabha, Bangalore</v>
          </cell>
          <cell r="AA1463" t="str">
            <v>HNSCC</v>
          </cell>
          <cell r="AB1463" t="str">
            <v>NA</v>
          </cell>
          <cell r="AC1463" t="str">
            <v>Alveolus</v>
          </cell>
          <cell r="AD1463" t="str">
            <v>Lower Alveolus</v>
          </cell>
          <cell r="AE1463" t="str">
            <v>Male</v>
          </cell>
          <cell r="AF1463">
            <v>49</v>
          </cell>
          <cell r="AG1463" t="str">
            <v>N</v>
          </cell>
          <cell r="AH1463">
            <v>6.3</v>
          </cell>
          <cell r="AI1463" t="str">
            <v>Kalappa</v>
          </cell>
          <cell r="AJ1463" t="str">
            <v>Surgery</v>
          </cell>
          <cell r="AK1463" t="str">
            <v>Primary</v>
          </cell>
          <cell r="AL1463" t="str">
            <v>NA</v>
          </cell>
          <cell r="AS1463" t="str">
            <v>SCC</v>
          </cell>
          <cell r="AV1463">
            <v>45887</v>
          </cell>
          <cell r="AW1463">
            <v>0.67361111111111116</v>
          </cell>
          <cell r="AX1463">
            <v>0.76944444444444449</v>
          </cell>
          <cell r="AY1463">
            <v>9.583333333333334E-2</v>
          </cell>
          <cell r="AZ1463">
            <v>0.53680555555555554</v>
          </cell>
          <cell r="BA1463">
            <v>0.35138888888888886</v>
          </cell>
          <cell r="BB1463" t="str">
            <v>0.2-0.4*0.6*0.7
0.2*0.8*0.5
0.2*0.4*0.6
0.2*0.5*0.4</v>
          </cell>
          <cell r="BD1463" t="str">
            <v>Vibratome</v>
          </cell>
          <cell r="BE1463">
            <v>14</v>
          </cell>
          <cell r="BF1463" t="str">
            <v>Vasanth</v>
          </cell>
          <cell r="BG1463" t="str">
            <v>Y</v>
          </cell>
        </row>
        <row r="1464">
          <cell r="A1464" t="str">
            <v>FBR2A250205</v>
          </cell>
          <cell r="B1464">
            <v>250205</v>
          </cell>
          <cell r="C1464" t="str">
            <v>R&amp;D</v>
          </cell>
          <cell r="D1464">
            <v>45887</v>
          </cell>
          <cell r="E1464">
            <v>0.62152777777777779</v>
          </cell>
          <cell r="F1464">
            <v>45870</v>
          </cell>
          <cell r="G1464">
            <v>45887</v>
          </cell>
          <cell r="H1464">
            <v>0.79374999999999996</v>
          </cell>
          <cell r="I1464">
            <v>0.17222222222222222</v>
          </cell>
          <cell r="J1464">
            <v>5</v>
          </cell>
          <cell r="K1464" t="str">
            <v>FCB-PROTOCOL-01</v>
          </cell>
          <cell r="L1464" t="str">
            <v>JSS-049</v>
          </cell>
          <cell r="M1464" t="str">
            <v>Y</v>
          </cell>
          <cell r="N1464" t="str">
            <v>Ovary CC (2A)</v>
          </cell>
          <cell r="O1464" t="str">
            <v>Internal R&amp;D</v>
          </cell>
          <cell r="P1464" t="str">
            <v>Q1 Passed</v>
          </cell>
          <cell r="Q1464" t="str">
            <v>Q1 Passed</v>
          </cell>
          <cell r="R1464" t="str">
            <v>Q1.5 Passed</v>
          </cell>
          <cell r="S1464" t="str">
            <v>Qualified</v>
          </cell>
          <cell r="V1464" t="str">
            <v>Tumor content 0-55%.Average tumor content 30%</v>
          </cell>
          <cell r="W1464" t="str">
            <v>Private Hospital</v>
          </cell>
          <cell r="X1464" t="str">
            <v>Dr Ravi Krishnappa, Mysore</v>
          </cell>
          <cell r="Y1464" t="str">
            <v>JSS Hospital, Mysore</v>
          </cell>
          <cell r="Z1464" t="str">
            <v>Dr Ravi Krishnappa, Mysore</v>
          </cell>
          <cell r="AA1464" t="str">
            <v>Ca Ovary</v>
          </cell>
          <cell r="AB1464" t="str">
            <v>NA</v>
          </cell>
          <cell r="AC1464" t="str">
            <v>Ovary</v>
          </cell>
          <cell r="AD1464" t="str">
            <v>Bilateral Ovary</v>
          </cell>
          <cell r="AE1464" t="str">
            <v>Female</v>
          </cell>
          <cell r="AF1464">
            <v>78</v>
          </cell>
          <cell r="AG1464" t="str">
            <v>N</v>
          </cell>
          <cell r="AH1464">
            <v>7.1</v>
          </cell>
          <cell r="AI1464" t="str">
            <v>Maruthi</v>
          </cell>
          <cell r="AJ1464" t="str">
            <v>Surgery</v>
          </cell>
          <cell r="AK1464" t="str">
            <v>Primary</v>
          </cell>
          <cell r="AL1464" t="str">
            <v>Chemotherapy</v>
          </cell>
          <cell r="AQ1464">
            <v>3</v>
          </cell>
          <cell r="AR1464" t="str">
            <v>Paclitaxel+Carboplatin</v>
          </cell>
          <cell r="AS1464" t="str">
            <v>IDC</v>
          </cell>
          <cell r="AV1464">
            <v>45887</v>
          </cell>
          <cell r="AW1464">
            <v>0.81111111111111112</v>
          </cell>
          <cell r="AX1464">
            <v>0.89513888888888893</v>
          </cell>
          <cell r="AY1464">
            <v>8.4027777777777785E-2</v>
          </cell>
          <cell r="AZ1464">
            <v>0.72291666666666665</v>
          </cell>
          <cell r="BA1464">
            <v>0.27361111111111114</v>
          </cell>
          <cell r="BB1464" t="str">
            <v>0.6-0.8*1.6-2.0*2.2-2.4
0.2-0.6*0.8-1.3*2.0-2.6</v>
          </cell>
          <cell r="BC1464" t="str">
            <v>0.6-0.8*0.6-1.2*2.4
0.2-0.4*0.4-0.6*1.2-1.6
0.2-0.6*0.6-1.0*1.3-1.4</v>
          </cell>
          <cell r="BD1464" t="str">
            <v>Vibratome</v>
          </cell>
          <cell r="BE1464">
            <v>14</v>
          </cell>
          <cell r="BF1464" t="str">
            <v>Vasanth</v>
          </cell>
          <cell r="BG1464" t="str">
            <v>Y</v>
          </cell>
        </row>
        <row r="1465">
          <cell r="A1465">
            <v>250206</v>
          </cell>
          <cell r="B1465">
            <v>250206</v>
          </cell>
          <cell r="C1465" t="str">
            <v>R&amp;D</v>
          </cell>
          <cell r="D1465">
            <v>45888</v>
          </cell>
          <cell r="E1465">
            <v>0.52777777777777779</v>
          </cell>
          <cell r="F1465">
            <v>45870</v>
          </cell>
          <cell r="G1465">
            <v>45888</v>
          </cell>
          <cell r="H1465">
            <v>0.72986111111111107</v>
          </cell>
          <cell r="I1465">
            <v>0.20208333333333334</v>
          </cell>
          <cell r="J1465">
            <v>10</v>
          </cell>
          <cell r="K1465" t="str">
            <v>FCB-PROTOCOL-01</v>
          </cell>
          <cell r="L1465" t="str">
            <v>SIMS-003</v>
          </cell>
          <cell r="M1465" t="str">
            <v>Y</v>
          </cell>
          <cell r="N1465" t="str">
            <v>BioBank</v>
          </cell>
          <cell r="O1465" t="str">
            <v>Internal R&amp;D</v>
          </cell>
          <cell r="P1465" t="str">
            <v>Q1 Rejected</v>
          </cell>
          <cell r="Q1465" t="str">
            <v>Q1 Passed</v>
          </cell>
          <cell r="R1465" t="str">
            <v>Q1.5 Rejected</v>
          </cell>
          <cell r="S1465" t="str">
            <v>Rejected</v>
          </cell>
          <cell r="T1465" t="str">
            <v>Very soft and spongy</v>
          </cell>
          <cell r="V1465" t="str">
            <v>NA</v>
          </cell>
          <cell r="W1465" t="str">
            <v>Private Hospital</v>
          </cell>
          <cell r="X1465" t="str">
            <v>Sapthagiri ClinTrac Pvt Ltd</v>
          </cell>
          <cell r="Y1465" t="str">
            <v>Sapthagiri Institute of Medical Sciences</v>
          </cell>
          <cell r="Z1465" t="str">
            <v>Dr Nataraj</v>
          </cell>
          <cell r="AA1465" t="str">
            <v>Ca Breast</v>
          </cell>
          <cell r="AB1465" t="str">
            <v>NA</v>
          </cell>
          <cell r="AC1465" t="str">
            <v>Breast</v>
          </cell>
          <cell r="AD1465" t="str">
            <v>Left Breast</v>
          </cell>
          <cell r="AE1465" t="str">
            <v>Female</v>
          </cell>
          <cell r="AF1465">
            <v>56</v>
          </cell>
          <cell r="AG1465" t="str">
            <v>N</v>
          </cell>
          <cell r="AH1465">
            <v>4.5999999999999996</v>
          </cell>
          <cell r="AI1465" t="str">
            <v>Kalappa</v>
          </cell>
          <cell r="AJ1465" t="str">
            <v>Surgery</v>
          </cell>
          <cell r="AK1465" t="str">
            <v>Primary</v>
          </cell>
          <cell r="AL1465" t="str">
            <v>NA</v>
          </cell>
          <cell r="AV1465">
            <v>45888</v>
          </cell>
          <cell r="AW1465">
            <v>0.74652777777777779</v>
          </cell>
          <cell r="BB1465" t="str">
            <v>0.4*0.6-1.2*0.7-1.6</v>
          </cell>
          <cell r="BE1465">
            <v>14</v>
          </cell>
          <cell r="BF1465" t="str">
            <v>Jobin</v>
          </cell>
          <cell r="BG1465" t="str">
            <v>N</v>
          </cell>
        </row>
        <row r="1466">
          <cell r="A1466" t="str">
            <v>FBR1C250207</v>
          </cell>
          <cell r="B1466">
            <v>250207</v>
          </cell>
          <cell r="C1466" t="str">
            <v>R&amp;D</v>
          </cell>
          <cell r="D1466">
            <v>45888</v>
          </cell>
          <cell r="E1466">
            <v>0.52777777777777779</v>
          </cell>
          <cell r="F1466">
            <v>45870</v>
          </cell>
          <cell r="G1466">
            <v>45888</v>
          </cell>
          <cell r="H1466">
            <v>0.89722222222222225</v>
          </cell>
          <cell r="I1466">
            <v>0.36944444444444446</v>
          </cell>
          <cell r="J1466">
            <v>10</v>
          </cell>
          <cell r="K1466" t="str">
            <v>FCB-PROTOCOL-01</v>
          </cell>
          <cell r="L1466" t="str">
            <v>CLN/DBR/247</v>
          </cell>
          <cell r="M1466" t="str">
            <v>Y</v>
          </cell>
          <cell r="N1466" t="str">
            <v>Cul Imp (1C)</v>
          </cell>
          <cell r="O1466" t="str">
            <v>Internal R&amp;D</v>
          </cell>
          <cell r="P1466" t="str">
            <v>Q1 Passed</v>
          </cell>
          <cell r="Q1466" t="str">
            <v>Q1 Rejected</v>
          </cell>
          <cell r="R1466" t="str">
            <v>Q1.5 Passed</v>
          </cell>
          <cell r="S1466" t="str">
            <v>Qualified</v>
          </cell>
          <cell r="T1466" t="str">
            <v>Blood Hemolysed</v>
          </cell>
          <cell r="V1466" t="str">
            <v>Tumor content 35-85% with good immune component</v>
          </cell>
          <cell r="W1466" t="str">
            <v>Private Hospital</v>
          </cell>
          <cell r="X1466" t="str">
            <v>Clinic'les- DBR &amp; SK Hospital, Tirupati</v>
          </cell>
          <cell r="Y1466" t="str">
            <v>DBR &amp; SK Hospital, Tirupati</v>
          </cell>
          <cell r="Z1466" t="str">
            <v>Dr C Jayaprakash, Tirupati</v>
          </cell>
          <cell r="AA1466" t="str">
            <v>HNSCC</v>
          </cell>
          <cell r="AB1466" t="str">
            <v>NA</v>
          </cell>
          <cell r="AC1466" t="str">
            <v>Tongue</v>
          </cell>
          <cell r="AD1466" t="str">
            <v>Tongue</v>
          </cell>
          <cell r="AE1466" t="str">
            <v>Female</v>
          </cell>
          <cell r="AF1466">
            <v>69</v>
          </cell>
          <cell r="AG1466" t="str">
            <v>N</v>
          </cell>
          <cell r="AH1466">
            <v>5.4</v>
          </cell>
          <cell r="AI1466" t="str">
            <v>Shashi</v>
          </cell>
          <cell r="AJ1466" t="str">
            <v>Surgery</v>
          </cell>
          <cell r="AK1466" t="str">
            <v>Primary</v>
          </cell>
          <cell r="AL1466" t="str">
            <v>NA</v>
          </cell>
          <cell r="AV1466">
            <v>45889</v>
          </cell>
          <cell r="AW1466">
            <v>0.30694444444444446</v>
          </cell>
          <cell r="AX1466">
            <v>0.38194444444444442</v>
          </cell>
          <cell r="AY1466">
            <v>7.4999999999999997E-2</v>
          </cell>
          <cell r="AZ1466">
            <v>1.2500000000000001E-2</v>
          </cell>
          <cell r="BA1466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466" t="str">
            <v>0.6/0.8*1.4/1.6*1.6</v>
          </cell>
          <cell r="BD1466" t="str">
            <v>Vibratome</v>
          </cell>
          <cell r="BE1466">
            <v>14</v>
          </cell>
          <cell r="BF1466" t="str">
            <v>chandan</v>
          </cell>
          <cell r="BG1466" t="str">
            <v>N</v>
          </cell>
        </row>
        <row r="1467">
          <cell r="A1467" t="str">
            <v>FBR1Y250208</v>
          </cell>
          <cell r="B1467">
            <v>250208</v>
          </cell>
          <cell r="C1467" t="str">
            <v>R&amp;D</v>
          </cell>
          <cell r="D1467">
            <v>45889</v>
          </cell>
          <cell r="E1467">
            <v>0.4375</v>
          </cell>
          <cell r="F1467">
            <v>45870</v>
          </cell>
          <cell r="G1467">
            <v>45889</v>
          </cell>
          <cell r="H1467">
            <v>0.62777777777777777</v>
          </cell>
          <cell r="I1467">
            <v>0.19027777777777777</v>
          </cell>
          <cell r="J1467">
            <v>2</v>
          </cell>
          <cell r="K1467" t="str">
            <v>FCB-PROTOCOL-01</v>
          </cell>
          <cell r="L1467" t="str">
            <v>VYD/419</v>
          </cell>
          <cell r="M1467" t="str">
            <v>Y</v>
          </cell>
          <cell r="N1467" t="str">
            <v>CCS Study (1Y)</v>
          </cell>
          <cell r="O1467" t="str">
            <v>Internal R&amp;D</v>
          </cell>
          <cell r="P1467" t="str">
            <v>Q1 Passed</v>
          </cell>
          <cell r="Q1467" t="str">
            <v>Q1 Passed</v>
          </cell>
          <cell r="R1467" t="str">
            <v>Q1.5 Passed</v>
          </cell>
          <cell r="S1467" t="str">
            <v>Qualified</v>
          </cell>
          <cell r="V1467" t="str">
            <v>Tumor content 0-90%. Average tumor content 60%</v>
          </cell>
          <cell r="W1467" t="str">
            <v>Private Hospital</v>
          </cell>
          <cell r="X1467" t="str">
            <v>Vydehi Hospital, Bangalore</v>
          </cell>
          <cell r="Y1467" t="str">
            <v>Vydehi Hospital, Bangalore</v>
          </cell>
          <cell r="Z1467" t="str">
            <v>Dr Amritha Prabha, Bangalore</v>
          </cell>
          <cell r="AA1467" t="str">
            <v>HNSCC</v>
          </cell>
          <cell r="AB1467" t="str">
            <v>NA</v>
          </cell>
          <cell r="AC1467" t="str">
            <v>Tongue</v>
          </cell>
          <cell r="AD1467" t="str">
            <v>Tongue</v>
          </cell>
          <cell r="AE1467" t="str">
            <v>Male</v>
          </cell>
          <cell r="AF1467">
            <v>57</v>
          </cell>
          <cell r="AG1467" t="str">
            <v>N</v>
          </cell>
          <cell r="AH1467">
            <v>3.8</v>
          </cell>
          <cell r="AI1467" t="str">
            <v>Kalappa</v>
          </cell>
          <cell r="AJ1467" t="str">
            <v>Surgery</v>
          </cell>
          <cell r="AK1467" t="str">
            <v>Primary</v>
          </cell>
          <cell r="AL1467" t="str">
            <v>NA</v>
          </cell>
          <cell r="AV1467">
            <v>45889</v>
          </cell>
          <cell r="AW1467">
            <v>0.65972222222222221</v>
          </cell>
          <cell r="AX1467">
            <v>0.74097222222222225</v>
          </cell>
          <cell r="AY1467">
            <v>8.1250000000000003E-2</v>
          </cell>
          <cell r="AZ1467">
            <v>0.55069444444444449</v>
          </cell>
          <cell r="BA1467">
            <v>0.3034722222222222</v>
          </cell>
          <cell r="BB1467" t="str">
            <v>0.2-0.4*0.8-1.5*1.2-2.2</v>
          </cell>
          <cell r="BD1467" t="str">
            <v>Vibratome</v>
          </cell>
          <cell r="BE1467">
            <v>14</v>
          </cell>
          <cell r="BF1467" t="str">
            <v>Syam</v>
          </cell>
          <cell r="BG1467" t="str">
            <v>Y</v>
          </cell>
        </row>
        <row r="1468">
          <cell r="A1468">
            <v>250209</v>
          </cell>
          <cell r="B1468">
            <v>250209</v>
          </cell>
          <cell r="C1468" t="str">
            <v>R&amp;D</v>
          </cell>
          <cell r="D1468">
            <v>45890</v>
          </cell>
          <cell r="E1468">
            <v>0.58333333333333337</v>
          </cell>
          <cell r="F1468">
            <v>45870</v>
          </cell>
          <cell r="G1468">
            <v>45890</v>
          </cell>
          <cell r="H1468">
            <v>0.71736111111111112</v>
          </cell>
          <cell r="I1468">
            <v>0.13402777777777777</v>
          </cell>
          <cell r="J1468">
            <v>5</v>
          </cell>
          <cell r="K1468" t="str">
            <v>FCB-PROTOCOL-01</v>
          </cell>
          <cell r="L1468" t="str">
            <v>SIMS-004</v>
          </cell>
          <cell r="M1468" t="str">
            <v>Y</v>
          </cell>
          <cell r="N1468" t="str">
            <v>BioBank</v>
          </cell>
          <cell r="O1468" t="str">
            <v>Internal R&amp;D</v>
          </cell>
          <cell r="P1468" t="str">
            <v>Q1 Rejected</v>
          </cell>
          <cell r="Q1468" t="str">
            <v>Q1 Passed</v>
          </cell>
          <cell r="R1468" t="str">
            <v>Q1.5 Rejected</v>
          </cell>
          <cell r="S1468" t="str">
            <v>Rejected</v>
          </cell>
          <cell r="T1468" t="str">
            <v>tissue portion is less and mostly upper palate</v>
          </cell>
          <cell r="V1468" t="str">
            <v>NA</v>
          </cell>
          <cell r="W1468" t="str">
            <v>Private Hospital</v>
          </cell>
          <cell r="X1468" t="str">
            <v>Sapthagiri ClinTrac Pvt Ltd</v>
          </cell>
          <cell r="Y1468" t="str">
            <v>Sapthagiri Institute of Medical Sciences</v>
          </cell>
          <cell r="Z1468" t="str">
            <v>Dr Nataraj</v>
          </cell>
          <cell r="AA1468" t="str">
            <v>HNSCC</v>
          </cell>
          <cell r="AB1468" t="str">
            <v>NA</v>
          </cell>
          <cell r="AC1468" t="str">
            <v>Buccal Mucosa</v>
          </cell>
          <cell r="AD1468" t="str">
            <v>Buccal Mucosa and Floor of Mouth</v>
          </cell>
          <cell r="AE1468" t="str">
            <v>Male</v>
          </cell>
          <cell r="AF1468">
            <v>43</v>
          </cell>
          <cell r="AG1468" t="str">
            <v>N</v>
          </cell>
          <cell r="AH1468">
            <v>5.5</v>
          </cell>
          <cell r="AI1468" t="str">
            <v>Shashi</v>
          </cell>
          <cell r="AJ1468" t="str">
            <v>Surgery</v>
          </cell>
          <cell r="AK1468" t="str">
            <v>Primary</v>
          </cell>
          <cell r="AL1468" t="str">
            <v>NA</v>
          </cell>
          <cell r="AV1468">
            <v>45890</v>
          </cell>
          <cell r="AW1468">
            <v>0.73402777777777772</v>
          </cell>
          <cell r="AY146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AZ146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46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468" t="str">
            <v>1.2-1.4*2.4*3.0</v>
          </cell>
          <cell r="BE1468">
            <v>14</v>
          </cell>
          <cell r="BF1468" t="str">
            <v xml:space="preserve">sai </v>
          </cell>
          <cell r="BG1468" t="str">
            <v>Y</v>
          </cell>
        </row>
        <row r="1469">
          <cell r="A1469" t="str">
            <v>FBR1Q250210</v>
          </cell>
          <cell r="B1469">
            <v>250210</v>
          </cell>
          <cell r="C1469" t="str">
            <v>R&amp;D</v>
          </cell>
          <cell r="D1469">
            <v>45891</v>
          </cell>
          <cell r="E1469">
            <v>0.40625</v>
          </cell>
          <cell r="F1469">
            <v>45870</v>
          </cell>
          <cell r="G1469">
            <v>45891</v>
          </cell>
          <cell r="H1469">
            <v>0.61458333333333337</v>
          </cell>
          <cell r="I1469">
            <v>0.20833333333333334</v>
          </cell>
          <cell r="J1469">
            <v>15</v>
          </cell>
          <cell r="K1469" t="str">
            <v>FCB-PROTOCOL-01</v>
          </cell>
          <cell r="L1469" t="str">
            <v>JSS-050</v>
          </cell>
          <cell r="M1469" t="str">
            <v>Y</v>
          </cell>
          <cell r="N1469" t="str">
            <v>COSv4.2_CaBR(1Q-Unknown)</v>
          </cell>
          <cell r="O1469" t="str">
            <v>Internal R&amp;D</v>
          </cell>
          <cell r="P1469" t="str">
            <v>Q1 Passed</v>
          </cell>
          <cell r="Q1469" t="str">
            <v>Q1 Passed</v>
          </cell>
          <cell r="R1469" t="str">
            <v>Q1.5 Passed</v>
          </cell>
          <cell r="S1469" t="str">
            <v>Rejected</v>
          </cell>
          <cell r="V1469" t="str">
            <v>Fragments show axillary lymphoid structures only with only 1 fragment showing ?4%metatstatic breast tumor</v>
          </cell>
          <cell r="W1469" t="str">
            <v>Private Hospital</v>
          </cell>
          <cell r="X1469" t="str">
            <v>Dr Ravi Krishnappa, Mysore</v>
          </cell>
          <cell r="Y1469" t="str">
            <v>JSS Hospital, Mysore</v>
          </cell>
          <cell r="Z1469" t="str">
            <v>Dr Ravi Krishnappa, Mysore</v>
          </cell>
          <cell r="AA1469" t="str">
            <v>Ca Breast</v>
          </cell>
          <cell r="AB1469" t="str">
            <v>TPBC</v>
          </cell>
          <cell r="AC1469" t="str">
            <v>Breast</v>
          </cell>
          <cell r="AD1469" t="str">
            <v>Right Axilla</v>
          </cell>
          <cell r="AE1469" t="str">
            <v>Female</v>
          </cell>
          <cell r="AF1469">
            <v>52</v>
          </cell>
          <cell r="AG1469" t="str">
            <v>N</v>
          </cell>
          <cell r="AH1469">
            <v>6.5</v>
          </cell>
          <cell r="AI1469" t="str">
            <v>Maruthi</v>
          </cell>
          <cell r="AJ1469" t="str">
            <v>Surgery</v>
          </cell>
          <cell r="AK1469" t="str">
            <v>Lymph node</v>
          </cell>
          <cell r="AL1469" t="str">
            <v>Chemotherapy</v>
          </cell>
          <cell r="AQ1469">
            <v>6</v>
          </cell>
          <cell r="AR1469" t="str">
            <v>TCH</v>
          </cell>
          <cell r="AV1469">
            <v>45891</v>
          </cell>
          <cell r="AW1469">
            <v>0.6333333333333333</v>
          </cell>
          <cell r="AX1469">
            <v>0.68611111111111112</v>
          </cell>
          <cell r="AY1469">
            <v>5.2777777777777778E-2</v>
          </cell>
          <cell r="AZ1469">
            <v>0.4777777777777778</v>
          </cell>
          <cell r="BA1469">
            <v>0.27986111111111112</v>
          </cell>
          <cell r="BB1469" t="str">
            <v>0.2*0.9*1.2
0.4*1.5*1.4</v>
          </cell>
          <cell r="BC1469" t="str">
            <v>0.2*0.5*0.8
0.3*1.2*1.4</v>
          </cell>
          <cell r="BD1469" t="str">
            <v>Manual</v>
          </cell>
          <cell r="BE1469">
            <v>14</v>
          </cell>
          <cell r="BF1469" t="str">
            <v>Dharani</v>
          </cell>
          <cell r="BG1469" t="str">
            <v>Y</v>
          </cell>
        </row>
        <row r="1470">
          <cell r="A1470" t="str">
            <v xml:space="preserve">FBR1K250211 </v>
          </cell>
          <cell r="B1470">
            <v>250211</v>
          </cell>
          <cell r="C1470" t="str">
            <v>R&amp;D</v>
          </cell>
          <cell r="D1470">
            <v>45891</v>
          </cell>
          <cell r="E1470">
            <v>0.49305555555555558</v>
          </cell>
          <cell r="F1470">
            <v>45870</v>
          </cell>
          <cell r="G1470">
            <v>45891</v>
          </cell>
          <cell r="H1470">
            <v>0.87361111111111112</v>
          </cell>
          <cell r="I1470">
            <v>0.38055555555555554</v>
          </cell>
          <cell r="J1470">
            <v>10</v>
          </cell>
          <cell r="K1470" t="str">
            <v>FCB-PROTOCOL-01</v>
          </cell>
          <cell r="L1470" t="str">
            <v>CLN/DBR/248</v>
          </cell>
          <cell r="M1470" t="str">
            <v>Y</v>
          </cell>
          <cell r="N1470" t="str">
            <v>DMS_v4(1K)</v>
          </cell>
          <cell r="O1470" t="str">
            <v>Internal R&amp;D</v>
          </cell>
          <cell r="P1470" t="str">
            <v>Q1 Passed</v>
          </cell>
          <cell r="Q1470" t="str">
            <v>Q1 Passed</v>
          </cell>
          <cell r="R1470" t="str">
            <v>Q1.5 Passed</v>
          </cell>
          <cell r="S1470" t="str">
            <v>Qualified</v>
          </cell>
          <cell r="V1470" t="str">
            <v>Tumor content 45-85%</v>
          </cell>
          <cell r="W1470" t="str">
            <v>Private Hospital</v>
          </cell>
          <cell r="X1470" t="str">
            <v>Clinic'les- DBR &amp; SK Hospital, Tirupati</v>
          </cell>
          <cell r="Y1470" t="str">
            <v>DBR &amp; SK Hospital, Tirupati</v>
          </cell>
          <cell r="Z1470" t="str">
            <v>Dr C Jayaprakash, Tirupati</v>
          </cell>
          <cell r="AA1470" t="str">
            <v>HNSCC</v>
          </cell>
          <cell r="AB1470" t="str">
            <v>NA</v>
          </cell>
          <cell r="AC1470" t="str">
            <v>Buccal Mucosa</v>
          </cell>
          <cell r="AD1470" t="str">
            <v>Right Buccal Mucosa</v>
          </cell>
          <cell r="AE1470" t="str">
            <v>Female</v>
          </cell>
          <cell r="AF1470">
            <v>44</v>
          </cell>
          <cell r="AG1470" t="str">
            <v>N</v>
          </cell>
          <cell r="AH1470">
            <v>5.4</v>
          </cell>
          <cell r="AI1470" t="str">
            <v>Shashi</v>
          </cell>
          <cell r="AJ1470" t="str">
            <v>Surgery</v>
          </cell>
          <cell r="AK1470" t="str">
            <v>Primary</v>
          </cell>
          <cell r="AL1470" t="str">
            <v>Chemotherapy</v>
          </cell>
          <cell r="AQ1470">
            <v>4</v>
          </cell>
          <cell r="AR1470" t="str">
            <v>5-Flurouracil, Cisplatin, PEG-Pilgrastim</v>
          </cell>
          <cell r="AV1470">
            <v>45891</v>
          </cell>
          <cell r="AW1470">
            <v>0.89097222222222228</v>
          </cell>
          <cell r="AX1470">
            <v>0.96250000000000002</v>
          </cell>
          <cell r="AY1470">
            <v>7.1527777777777773E-2</v>
          </cell>
          <cell r="AZ1470">
            <v>0.58194444444444449</v>
          </cell>
          <cell r="BA1470">
            <v>0.46944444444444444</v>
          </cell>
          <cell r="BB1470" t="str">
            <v>0.7*0.8-1.0*2.6</v>
          </cell>
          <cell r="BC1470" t="str">
            <v>0.6-0.7*0.8-1.0*2.4</v>
          </cell>
          <cell r="BD1470" t="str">
            <v>Vibratome</v>
          </cell>
          <cell r="BE1470">
            <v>14</v>
          </cell>
          <cell r="BF1470" t="str">
            <v xml:space="preserve">sai </v>
          </cell>
          <cell r="BG1470" t="str">
            <v>Y</v>
          </cell>
        </row>
        <row r="1471">
          <cell r="A1471" t="str">
            <v>FBR1J250212</v>
          </cell>
          <cell r="B1471">
            <v>250212</v>
          </cell>
          <cell r="C1471" t="str">
            <v>R&amp;D</v>
          </cell>
          <cell r="D1471">
            <v>45894</v>
          </cell>
          <cell r="E1471">
            <v>0.44930555555555557</v>
          </cell>
          <cell r="F1471">
            <v>45870</v>
          </cell>
          <cell r="G1471">
            <v>45802</v>
          </cell>
          <cell r="H1471">
            <v>0.67986111111111114</v>
          </cell>
          <cell r="I1471">
            <v>0.23055555555555557</v>
          </cell>
          <cell r="J1471">
            <v>2</v>
          </cell>
          <cell r="K1471" t="str">
            <v>FCB-PROTOCOL-01</v>
          </cell>
          <cell r="L1471" t="str">
            <v>CLN/PRA/346</v>
          </cell>
          <cell r="M1471" t="str">
            <v>Y</v>
          </cell>
          <cell r="N1471" t="str">
            <v>COS_v3.0-Gastric (1J)</v>
          </cell>
          <cell r="O1471" t="str">
            <v>Internal R&amp;D</v>
          </cell>
          <cell r="P1471" t="str">
            <v>Q1 Passed</v>
          </cell>
          <cell r="Q1471" t="str">
            <v>Q1 Passed</v>
          </cell>
          <cell r="R1471" t="str">
            <v>Q1.5 Passed</v>
          </cell>
          <cell r="S1471" t="str">
            <v>Qualified</v>
          </cell>
          <cell r="V1471" t="str">
            <v>Tumor content 1-80% ( Squamous Cell)</v>
          </cell>
          <cell r="W1471" t="str">
            <v>Private Hospital</v>
          </cell>
          <cell r="X1471" t="str">
            <v>Dr Prakash BV, Bangalore</v>
          </cell>
          <cell r="Y1471" t="str">
            <v>Sri Lakshmi Hospital, Bangalore</v>
          </cell>
          <cell r="Z1471" t="str">
            <v>Dr Prakash BV, Bangalore</v>
          </cell>
          <cell r="AA1471" t="str">
            <v>GI</v>
          </cell>
          <cell r="AB1471" t="str">
            <v>NA</v>
          </cell>
          <cell r="AC1471" t="str">
            <v>Antrum of Stomach</v>
          </cell>
          <cell r="AD1471" t="str">
            <v>Antrum of Stomach</v>
          </cell>
          <cell r="AE1471" t="str">
            <v>Female</v>
          </cell>
          <cell r="AF1471">
            <v>55</v>
          </cell>
          <cell r="AG1471" t="str">
            <v>N</v>
          </cell>
          <cell r="AH1471">
            <v>6.1</v>
          </cell>
          <cell r="AI1471" t="str">
            <v>Kalappa</v>
          </cell>
          <cell r="AJ1471" t="str">
            <v>Surgery</v>
          </cell>
          <cell r="AK1471" t="str">
            <v>Primary</v>
          </cell>
          <cell r="AL1471" t="str">
            <v>NA</v>
          </cell>
          <cell r="AN1471" t="str">
            <v>III</v>
          </cell>
          <cell r="AP1471" t="str">
            <v>pT2N1M0</v>
          </cell>
          <cell r="AS1471" t="str">
            <v>Adenocarcinoma</v>
          </cell>
          <cell r="AV1471">
            <v>45894</v>
          </cell>
          <cell r="AW1471">
            <v>0.69861111111111107</v>
          </cell>
          <cell r="AX1471">
            <v>0.78263888888888888</v>
          </cell>
          <cell r="AY1471">
            <v>8.4027777777777785E-2</v>
          </cell>
          <cell r="AZ1471">
            <v>0.55208333333333337</v>
          </cell>
          <cell r="BA1471">
            <v>0.33333333333333331</v>
          </cell>
          <cell r="BB1471" t="str">
            <v>06-1.0*1.9*2.5</v>
          </cell>
          <cell r="BC1471" t="str">
            <v>NA</v>
          </cell>
          <cell r="BD1471" t="str">
            <v>Manual</v>
          </cell>
          <cell r="BE1471">
            <v>13</v>
          </cell>
          <cell r="BF1471" t="str">
            <v>Mouniss</v>
          </cell>
          <cell r="BG1471" t="str">
            <v>Y</v>
          </cell>
        </row>
        <row r="1472">
          <cell r="A1472" t="str">
            <v>FBR2J250213</v>
          </cell>
          <cell r="B1472">
            <v>250213</v>
          </cell>
          <cell r="C1472" t="str">
            <v>R&amp;D</v>
          </cell>
          <cell r="D1472">
            <v>45894</v>
          </cell>
          <cell r="E1472">
            <v>0.56458333333333333</v>
          </cell>
          <cell r="F1472">
            <v>45870</v>
          </cell>
          <cell r="G1472">
            <v>45894</v>
          </cell>
          <cell r="H1472">
            <v>0.67986111111111114</v>
          </cell>
          <cell r="I1472">
            <v>0.11527777777777778</v>
          </cell>
          <cell r="J1472">
            <v>2</v>
          </cell>
          <cell r="K1472" t="str">
            <v>FCB-PROTOCOL-01</v>
          </cell>
          <cell r="L1472" t="str">
            <v>CLN/PRA/347</v>
          </cell>
          <cell r="M1472" t="str">
            <v>Y</v>
          </cell>
          <cell r="N1472" t="str">
            <v>Lung (2I &amp; 2J)</v>
          </cell>
          <cell r="O1472" t="str">
            <v>Internal R&amp;D</v>
          </cell>
          <cell r="P1472" t="str">
            <v>Q1 Passed</v>
          </cell>
          <cell r="Q1472" t="str">
            <v>Q1 Passed</v>
          </cell>
          <cell r="R1472" t="str">
            <v>Q1.5 Passed</v>
          </cell>
          <cell r="S1472" t="str">
            <v>Qualified</v>
          </cell>
          <cell r="V1472" t="str">
            <v>Tumor content 30-80%</v>
          </cell>
          <cell r="W1472" t="str">
            <v>Private Hospital</v>
          </cell>
          <cell r="X1472" t="str">
            <v>Dr Prakash BV, Bangalore</v>
          </cell>
          <cell r="Y1472" t="str">
            <v>Sri Lakshmi Hospital, Bangalore</v>
          </cell>
          <cell r="Z1472" t="str">
            <v>Dr Prakash BV, Bangalore</v>
          </cell>
          <cell r="AA1472" t="str">
            <v>Lung</v>
          </cell>
          <cell r="AB1472" t="str">
            <v>NA</v>
          </cell>
          <cell r="AC1472" t="str">
            <v>Lung</v>
          </cell>
          <cell r="AD1472" t="str">
            <v>Right Lung</v>
          </cell>
          <cell r="AE1472" t="str">
            <v>Male</v>
          </cell>
          <cell r="AF1472">
            <v>40</v>
          </cell>
          <cell r="AG1472" t="str">
            <v>N</v>
          </cell>
          <cell r="AH1472">
            <v>6.1</v>
          </cell>
          <cell r="AI1472" t="str">
            <v>Kalappa</v>
          </cell>
          <cell r="AJ1472" t="str">
            <v>Surgery</v>
          </cell>
          <cell r="AK1472" t="str">
            <v>Primary</v>
          </cell>
          <cell r="AL1472" t="str">
            <v>NA</v>
          </cell>
          <cell r="AN1472" t="str">
            <v>II</v>
          </cell>
          <cell r="AP1472" t="str">
            <v>pT2N0M0</v>
          </cell>
          <cell r="AS1472" t="str">
            <v>Adenocarcinoma</v>
          </cell>
          <cell r="AV1472">
            <v>45894</v>
          </cell>
          <cell r="AW1472">
            <v>0.69791666666666663</v>
          </cell>
          <cell r="AX1472">
            <v>0.79513888888888884</v>
          </cell>
          <cell r="AY1472">
            <v>9.7222222222222224E-2</v>
          </cell>
          <cell r="AZ1472">
            <v>0.67986111111111114</v>
          </cell>
          <cell r="BA1472">
            <v>0.23055555555555557</v>
          </cell>
          <cell r="BB1472" t="str">
            <v>1.2*1.7*2.6</v>
          </cell>
          <cell r="BD1472" t="str">
            <v>Vibratome</v>
          </cell>
          <cell r="BE1472">
            <v>14</v>
          </cell>
          <cell r="BF1472" t="str">
            <v>chandan</v>
          </cell>
          <cell r="BG1472" t="str">
            <v>Y</v>
          </cell>
        </row>
        <row r="1473">
          <cell r="A1473" t="str">
            <v xml:space="preserve">FBR1Q250214 </v>
          </cell>
          <cell r="B1473">
            <v>250214</v>
          </cell>
          <cell r="C1473" t="str">
            <v>R&amp;D</v>
          </cell>
          <cell r="D1473">
            <v>45894</v>
          </cell>
          <cell r="E1473">
            <v>0.39930555555555558</v>
          </cell>
          <cell r="F1473">
            <v>45870</v>
          </cell>
          <cell r="G1473">
            <v>45894</v>
          </cell>
          <cell r="H1473">
            <v>0.84513888888888888</v>
          </cell>
          <cell r="I1473">
            <v>0.44583333333333336</v>
          </cell>
          <cell r="J1473">
            <v>10</v>
          </cell>
          <cell r="K1473" t="str">
            <v>FCB-PROTOCOL-01</v>
          </cell>
          <cell r="L1473" t="str">
            <v>JSS-051</v>
          </cell>
          <cell r="M1473" t="str">
            <v>Y</v>
          </cell>
          <cell r="N1473" t="str">
            <v>COSv4.2_CaBR(1Q-Unknown)</v>
          </cell>
          <cell r="O1473" t="str">
            <v>Internal R&amp;D</v>
          </cell>
          <cell r="P1473" t="str">
            <v>Q1 Passed</v>
          </cell>
          <cell r="Q1473" t="str">
            <v>Q1 Passed</v>
          </cell>
          <cell r="R1473" t="str">
            <v>Q1.5 Passed</v>
          </cell>
          <cell r="S1473" t="str">
            <v>Qualified</v>
          </cell>
          <cell r="V1473" t="str">
            <v>Tumor content 6-40%</v>
          </cell>
          <cell r="W1473" t="str">
            <v>Private Hospital</v>
          </cell>
          <cell r="X1473" t="str">
            <v>Dr Ravi Krishnappa, Mysore</v>
          </cell>
          <cell r="Y1473" t="str">
            <v>JSS Hospital, Mysore</v>
          </cell>
          <cell r="Z1473" t="str">
            <v>Dr Ravi Krishnappa, Mysore</v>
          </cell>
          <cell r="AA1473" t="str">
            <v>Ca Breast</v>
          </cell>
          <cell r="AB1473" t="str">
            <v>ER +
Pr +
Her2 -</v>
          </cell>
          <cell r="AC1473" t="str">
            <v>Breast</v>
          </cell>
          <cell r="AD1473" t="str">
            <v>Left Breast</v>
          </cell>
          <cell r="AE1473" t="str">
            <v>Male</v>
          </cell>
          <cell r="AF1473">
            <v>87</v>
          </cell>
          <cell r="AG1473" t="str">
            <v>N</v>
          </cell>
          <cell r="AH1473">
            <v>7.2</v>
          </cell>
          <cell r="AI1473" t="str">
            <v>Maruthi</v>
          </cell>
          <cell r="AJ1473" t="str">
            <v>Surgery</v>
          </cell>
          <cell r="AK1473" t="str">
            <v>Primary</v>
          </cell>
          <cell r="AL1473" t="str">
            <v>NA</v>
          </cell>
          <cell r="AV1473">
            <v>45894</v>
          </cell>
          <cell r="AW1473">
            <v>0.86319444444444449</v>
          </cell>
          <cell r="AX1473">
            <v>0.90416666666666667</v>
          </cell>
          <cell r="AY1473">
            <v>4.0972222222222222E-2</v>
          </cell>
          <cell r="AZ1473">
            <v>0.45833333333333331</v>
          </cell>
          <cell r="BA1473">
            <v>0.50486111111111109</v>
          </cell>
          <cell r="BB1473" t="str">
            <v>0.2-0.4*0.4-0.9*1.3</v>
          </cell>
          <cell r="BD1473" t="str">
            <v>Manual</v>
          </cell>
          <cell r="BE1473">
            <v>14</v>
          </cell>
          <cell r="BF1473" t="str">
            <v>Jobin</v>
          </cell>
          <cell r="BG1473" t="str">
            <v>Y</v>
          </cell>
        </row>
        <row r="1474">
          <cell r="A1474" t="str">
            <v>FBR2O250215</v>
          </cell>
          <cell r="B1474">
            <v>250215</v>
          </cell>
          <cell r="C1474" t="str">
            <v>R&amp;D</v>
          </cell>
          <cell r="D1474">
            <v>45898</v>
          </cell>
          <cell r="E1474">
            <v>0.67361111111111116</v>
          </cell>
          <cell r="F1474">
            <v>45870</v>
          </cell>
          <cell r="G1474">
            <v>45898</v>
          </cell>
          <cell r="H1474">
            <v>0.70208333333333328</v>
          </cell>
          <cell r="I1474">
            <v>2.8472222222222222E-2</v>
          </cell>
          <cell r="J1474">
            <v>10</v>
          </cell>
          <cell r="K1474" t="str">
            <v>FCB-PROTOCOL-01</v>
          </cell>
          <cell r="L1474" t="str">
            <v>KH-012</v>
          </cell>
          <cell r="M1474" t="str">
            <v>Y</v>
          </cell>
          <cell r="N1474" t="str">
            <v>Prostate Biopsy (2O)</v>
          </cell>
          <cell r="O1474" t="str">
            <v>Internal R&amp;D</v>
          </cell>
          <cell r="P1474" t="str">
            <v>Q1 Passed</v>
          </cell>
          <cell r="Q1474" t="str">
            <v>Q1 Passed</v>
          </cell>
          <cell r="R1474" t="str">
            <v>Q1.5 Passed</v>
          </cell>
          <cell r="S1474" t="str">
            <v>Rejected</v>
          </cell>
          <cell r="V1474" t="str">
            <v>Only 2 fragments show glands suspicious of malignancy, needs IHC for confirmation</v>
          </cell>
          <cell r="W1474" t="str">
            <v>Private Hospital</v>
          </cell>
          <cell r="X1474" t="str">
            <v>Kauvery Hospital, Elelctronic city bangalore</v>
          </cell>
          <cell r="Y1474" t="str">
            <v>Kauvery Hospital, Elelctronic city bangalore</v>
          </cell>
          <cell r="Z1474" t="str">
            <v>Dr Sreeharsha</v>
          </cell>
          <cell r="AA1474" t="str">
            <v>Prostate</v>
          </cell>
          <cell r="AB1474" t="str">
            <v>NA</v>
          </cell>
          <cell r="AC1474" t="str">
            <v>Prostate</v>
          </cell>
          <cell r="AD1474" t="str">
            <v>Prostate</v>
          </cell>
          <cell r="AE1474" t="str">
            <v>Male</v>
          </cell>
          <cell r="AF1474">
            <v>77</v>
          </cell>
          <cell r="AG1474" t="str">
            <v>N</v>
          </cell>
          <cell r="AH1474">
            <v>2.2999999999999998</v>
          </cell>
          <cell r="AI1474" t="str">
            <v>Kalappa</v>
          </cell>
          <cell r="AJ1474" t="str">
            <v>Surgery</v>
          </cell>
          <cell r="AK1474" t="str">
            <v>Primary</v>
          </cell>
          <cell r="AL1474" t="str">
            <v>NA</v>
          </cell>
          <cell r="AP1474" t="str">
            <v>pT2N0M0</v>
          </cell>
          <cell r="AS1474" t="str">
            <v>Adenocarcinoma</v>
          </cell>
          <cell r="AV1474">
            <v>45898</v>
          </cell>
          <cell r="AW1474">
            <v>0.7104166666666667</v>
          </cell>
          <cell r="AX1474">
            <v>0.7631944444444444</v>
          </cell>
          <cell r="AY1474">
            <v>5.2777777777777778E-2</v>
          </cell>
          <cell r="AZ1474">
            <v>0.73472222222222228</v>
          </cell>
          <cell r="BA1474">
            <v>8.9583333333333334E-2</v>
          </cell>
          <cell r="BB1474" t="str">
            <v>5fragments 0.1*0.1*0.1
17 fragments 0.1*0.2*0.6-2.0</v>
          </cell>
          <cell r="BD1474" t="str">
            <v>Manual</v>
          </cell>
          <cell r="BE1474">
            <v>15</v>
          </cell>
          <cell r="BF1474" t="str">
            <v>chandan</v>
          </cell>
          <cell r="BG1474" t="str">
            <v>Y</v>
          </cell>
        </row>
        <row r="1475">
          <cell r="A1475" t="str">
            <v>FBR2O250216</v>
          </cell>
          <cell r="B1475">
            <v>250216</v>
          </cell>
          <cell r="C1475" t="str">
            <v>R&amp;D</v>
          </cell>
          <cell r="D1475">
            <v>45899</v>
          </cell>
          <cell r="E1475">
            <v>0.54166666666666663</v>
          </cell>
          <cell r="F1475">
            <v>45870</v>
          </cell>
          <cell r="G1475">
            <v>45899</v>
          </cell>
          <cell r="H1475">
            <v>0.63124999999999998</v>
          </cell>
          <cell r="I1475">
            <v>8.9583333333333334E-2</v>
          </cell>
          <cell r="J1475">
            <v>20</v>
          </cell>
          <cell r="K1475" t="str">
            <v>FCB-PROTOCOL-01</v>
          </cell>
          <cell r="L1475" t="str">
            <v>KH-013</v>
          </cell>
          <cell r="M1475" t="str">
            <v>Y</v>
          </cell>
          <cell r="N1475" t="str">
            <v>Prostate Biopsy (2O)</v>
          </cell>
          <cell r="O1475" t="str">
            <v>Internal R&amp;D</v>
          </cell>
          <cell r="P1475" t="str">
            <v>Q1 Passed</v>
          </cell>
          <cell r="Q1475" t="str">
            <v>Q1 Passed</v>
          </cell>
          <cell r="R1475" t="str">
            <v>Q1.5 Passed</v>
          </cell>
          <cell r="S1475" t="str">
            <v>Rejected</v>
          </cell>
          <cell r="V1475" t="str">
            <v>Fragments show features of BPH, no malignancy</v>
          </cell>
          <cell r="W1475" t="str">
            <v>Private Hospital</v>
          </cell>
          <cell r="X1475" t="str">
            <v>Kauvery Hospital, Elelctronic city bangalore</v>
          </cell>
          <cell r="Y1475" t="str">
            <v>Kauvery Hospital, Elelctronic city bangalore</v>
          </cell>
          <cell r="Z1475" t="str">
            <v>Dr Sreeharsha</v>
          </cell>
          <cell r="AA1475" t="str">
            <v>Prostate</v>
          </cell>
          <cell r="AB1475" t="str">
            <v>NA</v>
          </cell>
          <cell r="AC1475" t="str">
            <v>Prostate</v>
          </cell>
          <cell r="AD1475" t="str">
            <v>Prostate</v>
          </cell>
          <cell r="AE1475" t="str">
            <v>Male</v>
          </cell>
          <cell r="AF1475">
            <v>53</v>
          </cell>
          <cell r="AG1475" t="str">
            <v>N</v>
          </cell>
          <cell r="AH1475">
            <v>3.2</v>
          </cell>
          <cell r="AI1475" t="str">
            <v>Kalappa</v>
          </cell>
          <cell r="AJ1475" t="str">
            <v>Surgery</v>
          </cell>
          <cell r="AK1475" t="str">
            <v>Primary</v>
          </cell>
          <cell r="AL1475" t="str">
            <v>NA</v>
          </cell>
          <cell r="AP1475" t="str">
            <v>pT2N0M0</v>
          </cell>
          <cell r="AS1475" t="str">
            <v>Adenocarcinoma</v>
          </cell>
          <cell r="AV1475">
            <v>45899</v>
          </cell>
          <cell r="AW1475">
            <v>0.64583333333333337</v>
          </cell>
          <cell r="AX1475">
            <v>0.67708333333333337</v>
          </cell>
          <cell r="AY1475">
            <v>3.125E-2</v>
          </cell>
          <cell r="AZ1475">
            <v>0.58750000000000002</v>
          </cell>
          <cell r="BA1475">
            <v>0.13541666666666666</v>
          </cell>
          <cell r="BB1475" t="str">
            <v>0.4*1.0-0.6*1.1</v>
          </cell>
          <cell r="BD1475" t="str">
            <v>Manual</v>
          </cell>
          <cell r="BE1475">
            <v>14</v>
          </cell>
          <cell r="BF1475" t="str">
            <v>Dharani</v>
          </cell>
          <cell r="BG1475" t="str">
            <v>Y</v>
          </cell>
        </row>
        <row r="1476">
          <cell r="A1476" t="str">
            <v>FBR2S250217</v>
          </cell>
          <cell r="B1476">
            <v>250217</v>
          </cell>
          <cell r="C1476" t="str">
            <v>R&amp;D</v>
          </cell>
          <cell r="D1476">
            <v>45901</v>
          </cell>
          <cell r="E1476">
            <v>0.50694444444444442</v>
          </cell>
          <cell r="F1476">
            <v>45901</v>
          </cell>
          <cell r="G1476">
            <v>45901</v>
          </cell>
          <cell r="H1476">
            <v>0.63541666666666663</v>
          </cell>
          <cell r="I1476">
            <v>0.12847222222222221</v>
          </cell>
          <cell r="J1476">
            <v>3</v>
          </cell>
          <cell r="K1476" t="str">
            <v>FCB-PROTOCOL-01</v>
          </cell>
          <cell r="L1476" t="str">
            <v>CLN/PRA/348</v>
          </cell>
          <cell r="M1476" t="str">
            <v>Y</v>
          </cell>
          <cell r="N1476" t="str">
            <v>Cos V1 (2S)</v>
          </cell>
          <cell r="O1476" t="str">
            <v>Internal R&amp;D</v>
          </cell>
          <cell r="P1476" t="str">
            <v>Q1 Passed</v>
          </cell>
          <cell r="Q1476" t="str">
            <v>Q1 Passed</v>
          </cell>
          <cell r="R1476" t="str">
            <v>Q1.5 Passed</v>
          </cell>
          <cell r="S1476" t="str">
            <v>Qualified</v>
          </cell>
          <cell r="V1476" t="str">
            <v>Tumor content 0-20%. Average tumor content 5%</v>
          </cell>
          <cell r="W1476" t="str">
            <v>Private Hospital</v>
          </cell>
          <cell r="X1476" t="str">
            <v>Dr Prakash BV, Bangalore</v>
          </cell>
          <cell r="Y1476" t="str">
            <v>Sri Lakshmi Hospital, Bangalore</v>
          </cell>
          <cell r="Z1476" t="str">
            <v>Dr Prakash BV, Bangalore</v>
          </cell>
          <cell r="AA1476" t="str">
            <v>CRC</v>
          </cell>
          <cell r="AB1476" t="str">
            <v>NA</v>
          </cell>
          <cell r="AC1476" t="str">
            <v>Rectum</v>
          </cell>
          <cell r="AD1476" t="str">
            <v>Rectum</v>
          </cell>
          <cell r="AE1476" t="str">
            <v>Male</v>
          </cell>
          <cell r="AF1476">
            <v>60</v>
          </cell>
          <cell r="AG1476" t="str">
            <v>N</v>
          </cell>
          <cell r="AH1476">
            <v>6.3</v>
          </cell>
          <cell r="AI1476" t="str">
            <v>Kalappa</v>
          </cell>
          <cell r="AJ1476" t="str">
            <v>Surgery</v>
          </cell>
          <cell r="AK1476" t="str">
            <v>Primary</v>
          </cell>
          <cell r="AL1476" t="str">
            <v>NA</v>
          </cell>
          <cell r="AN1476" t="str">
            <v>II</v>
          </cell>
          <cell r="AP1476" t="str">
            <v>pT2N0M0</v>
          </cell>
          <cell r="AS1476" t="str">
            <v>Adenocarcinoma</v>
          </cell>
          <cell r="AV1476">
            <v>45901</v>
          </cell>
          <cell r="AW1476">
            <v>0.65277777777777779</v>
          </cell>
          <cell r="AX1476">
            <v>0.72569444444444442</v>
          </cell>
          <cell r="AY1476">
            <v>7.2916666666666671E-2</v>
          </cell>
          <cell r="AZ1476">
            <v>0.59722222222222221</v>
          </cell>
          <cell r="BA1476">
            <v>0.21875</v>
          </cell>
          <cell r="BB1476" t="str">
            <v>1.6-1.8*2.0*2.8</v>
          </cell>
          <cell r="BD1476" t="str">
            <v>Manual</v>
          </cell>
          <cell r="BE1476">
            <v>13</v>
          </cell>
          <cell r="BF1476" t="str">
            <v>Syam</v>
          </cell>
          <cell r="BG1476" t="str">
            <v>Y</v>
          </cell>
        </row>
        <row r="1477">
          <cell r="A1477" t="str">
            <v xml:space="preserve">FBR1C250218 </v>
          </cell>
          <cell r="B1477">
            <v>250218</v>
          </cell>
          <cell r="C1477" t="str">
            <v>R&amp;D</v>
          </cell>
          <cell r="D1477">
            <v>45901</v>
          </cell>
          <cell r="E1477">
            <v>0.6020833333333333</v>
          </cell>
          <cell r="F1477">
            <v>45901</v>
          </cell>
          <cell r="G1477">
            <v>45901</v>
          </cell>
          <cell r="H1477">
            <v>0.72638888888888886</v>
          </cell>
          <cell r="I1477">
            <v>0.12430555555555556</v>
          </cell>
          <cell r="J1477">
            <v>3</v>
          </cell>
          <cell r="K1477" t="str">
            <v>FCB-PROTOCOL-01</v>
          </cell>
          <cell r="L1477" t="str">
            <v>CLN/PRA/349</v>
          </cell>
          <cell r="M1477" t="str">
            <v>Y</v>
          </cell>
          <cell r="N1477" t="str">
            <v>Cul Imp (1C)</v>
          </cell>
          <cell r="O1477" t="str">
            <v>Internal R&amp;D</v>
          </cell>
          <cell r="P1477" t="str">
            <v>Q1 Passed</v>
          </cell>
          <cell r="Q1477" t="str">
            <v>Q1 Passed</v>
          </cell>
          <cell r="R1477" t="str">
            <v>Q1.5 Passed</v>
          </cell>
          <cell r="S1477" t="str">
            <v>Qualified</v>
          </cell>
          <cell r="V1477" t="str">
            <v>Tumor content 15-80%</v>
          </cell>
          <cell r="W1477" t="str">
            <v>Private Hospital</v>
          </cell>
          <cell r="X1477" t="str">
            <v>Dr Prakash BV, Bangalore</v>
          </cell>
          <cell r="Y1477" t="str">
            <v>Sri Lakshmi Hospital, Bangalore</v>
          </cell>
          <cell r="Z1477" t="str">
            <v>Dr Prakash BV, Bangalore</v>
          </cell>
          <cell r="AA1477" t="str">
            <v>HNSCC</v>
          </cell>
          <cell r="AB1477" t="str">
            <v>NA</v>
          </cell>
          <cell r="AC1477" t="str">
            <v>Tongue</v>
          </cell>
          <cell r="AD1477" t="str">
            <v>Left Lateral border of Tongue</v>
          </cell>
          <cell r="AE1477" t="str">
            <v>Male</v>
          </cell>
          <cell r="AF1477">
            <v>40</v>
          </cell>
          <cell r="AG1477" t="str">
            <v>N</v>
          </cell>
          <cell r="AH1477">
            <v>6.2</v>
          </cell>
          <cell r="AI1477" t="str">
            <v>Kalappa</v>
          </cell>
          <cell r="AJ1477" t="str">
            <v>Surgery</v>
          </cell>
          <cell r="AK1477" t="str">
            <v>Primary</v>
          </cell>
          <cell r="AL1477" t="str">
            <v>NA</v>
          </cell>
          <cell r="AN1477" t="str">
            <v>II</v>
          </cell>
          <cell r="AP1477" t="str">
            <v>pT4N2bM0</v>
          </cell>
          <cell r="AS1477" t="str">
            <v>SCC</v>
          </cell>
          <cell r="AV1477">
            <v>45901</v>
          </cell>
          <cell r="AW1477">
            <v>0.75277777777777777</v>
          </cell>
          <cell r="AX1477">
            <v>0.88194444444444442</v>
          </cell>
          <cell r="BB1477" t="str">
            <v>0.4-1.2*1.1*1.8</v>
          </cell>
          <cell r="BD1477" t="str">
            <v>Vibratome</v>
          </cell>
          <cell r="BE1477">
            <v>15</v>
          </cell>
          <cell r="BF1477" t="str">
            <v>Mano</v>
          </cell>
          <cell r="BG1477" t="str">
            <v>Y</v>
          </cell>
        </row>
        <row r="1478">
          <cell r="A1478" t="str">
            <v>FBR1J250219</v>
          </cell>
          <cell r="B1478">
            <v>250219</v>
          </cell>
          <cell r="C1478" t="str">
            <v>R&amp;D</v>
          </cell>
          <cell r="D1478">
            <v>45901</v>
          </cell>
          <cell r="E1478">
            <v>0.68680555555555556</v>
          </cell>
          <cell r="F1478">
            <v>45901</v>
          </cell>
          <cell r="G1478">
            <v>45901</v>
          </cell>
          <cell r="H1478">
            <v>0.72638888888888886</v>
          </cell>
          <cell r="I1478">
            <v>3.9583333333333331E-2</v>
          </cell>
          <cell r="J1478">
            <v>2</v>
          </cell>
          <cell r="K1478" t="str">
            <v>FCB-PROTOCOL-01</v>
          </cell>
          <cell r="L1478" t="str">
            <v>CLN/PRA/350</v>
          </cell>
          <cell r="M1478" t="str">
            <v>Y</v>
          </cell>
          <cell r="N1478" t="str">
            <v>COS_v3.0-Gastric (1J)</v>
          </cell>
          <cell r="O1478" t="str">
            <v>Internal R&amp;D</v>
          </cell>
          <cell r="P1478" t="str">
            <v>Q1 Passed</v>
          </cell>
          <cell r="Q1478" t="str">
            <v>Q1 Rejected</v>
          </cell>
          <cell r="R1478" t="str">
            <v>Q1.5 Passed</v>
          </cell>
          <cell r="S1478" t="str">
            <v>Qualified</v>
          </cell>
          <cell r="V1478" t="str">
            <v>Tumor content 0-30%. Average tumor content 10%</v>
          </cell>
          <cell r="W1478" t="str">
            <v>Private Hospital</v>
          </cell>
          <cell r="X1478" t="str">
            <v>Dr Prakash BV, Bangalore</v>
          </cell>
          <cell r="Y1478" t="str">
            <v>Sri Lakshmi Hospital, Bangalore</v>
          </cell>
          <cell r="Z1478" t="str">
            <v>Dr Prakash BV, Bangalore</v>
          </cell>
          <cell r="AA1478" t="str">
            <v>GI</v>
          </cell>
          <cell r="AB1478" t="str">
            <v>NA</v>
          </cell>
          <cell r="AC1478" t="str">
            <v>Stomach</v>
          </cell>
          <cell r="AD1478" t="str">
            <v>Antrum of Stomach</v>
          </cell>
          <cell r="AE1478" t="str">
            <v>Female</v>
          </cell>
          <cell r="AF1478">
            <v>60</v>
          </cell>
          <cell r="AG1478" t="str">
            <v>N</v>
          </cell>
          <cell r="AH1478">
            <v>6.2</v>
          </cell>
          <cell r="AI1478" t="str">
            <v>Kalappa</v>
          </cell>
          <cell r="AJ1478" t="str">
            <v>Surgery</v>
          </cell>
          <cell r="AK1478" t="str">
            <v>Primary</v>
          </cell>
          <cell r="AL1478" t="str">
            <v>NA</v>
          </cell>
          <cell r="AN1478" t="str">
            <v>III</v>
          </cell>
          <cell r="AP1478" t="str">
            <v>pT3N1</v>
          </cell>
          <cell r="AS1478" t="str">
            <v>Adenocarcinoma</v>
          </cell>
          <cell r="AV1478">
            <v>45901</v>
          </cell>
        </row>
        <row r="1479">
          <cell r="A1479" t="str">
            <v>FBR1Q250220</v>
          </cell>
          <cell r="B1479">
            <v>250220</v>
          </cell>
          <cell r="C1479" t="str">
            <v>R&amp;D</v>
          </cell>
          <cell r="D1479">
            <v>45901</v>
          </cell>
          <cell r="E1479">
            <v>0.26041666666666669</v>
          </cell>
          <cell r="F1479">
            <v>45901</v>
          </cell>
          <cell r="G1479">
            <v>45901</v>
          </cell>
          <cell r="H1479">
            <v>0.875</v>
          </cell>
          <cell r="I1479">
            <v>0.61458333333333337</v>
          </cell>
          <cell r="J1479">
            <v>1</v>
          </cell>
          <cell r="K1479" t="str">
            <v>FCB-PROTOCOL-01</v>
          </cell>
          <cell r="L1479" t="str">
            <v>JSS-052</v>
          </cell>
          <cell r="M1479" t="str">
            <v>Y</v>
          </cell>
          <cell r="N1479" t="str">
            <v>COSv4.2_CaBR(1Q-Unknown)</v>
          </cell>
          <cell r="O1479" t="str">
            <v>Internal R&amp;D</v>
          </cell>
          <cell r="P1479" t="str">
            <v>Q1 Passed</v>
          </cell>
          <cell r="Q1479" t="str">
            <v>Q1 Passed</v>
          </cell>
          <cell r="R1479" t="str">
            <v>Q1.5 Passed</v>
          </cell>
          <cell r="S1479" t="str">
            <v>Qualified</v>
          </cell>
          <cell r="V1479" t="str">
            <v>Tumor content 4-40%</v>
          </cell>
          <cell r="W1479" t="str">
            <v>Private Hospital</v>
          </cell>
          <cell r="X1479" t="str">
            <v>Dr Ravi Krishnappa, Mysore</v>
          </cell>
          <cell r="Y1479" t="str">
            <v>JSS Hospital, Mysore</v>
          </cell>
          <cell r="Z1479" t="str">
            <v>Dr Ravi Krishnappa, Mysore</v>
          </cell>
          <cell r="AA1479" t="str">
            <v>Ca Breast</v>
          </cell>
          <cell r="AB1479" t="str">
            <v>NA</v>
          </cell>
          <cell r="AC1479" t="str">
            <v>Breast</v>
          </cell>
          <cell r="AD1479" t="str">
            <v>Right Breast</v>
          </cell>
          <cell r="AE1479" t="str">
            <v>Female</v>
          </cell>
          <cell r="AF1479">
            <v>60</v>
          </cell>
          <cell r="AG1479" t="str">
            <v>N</v>
          </cell>
          <cell r="AH1479">
            <v>6.8</v>
          </cell>
          <cell r="AI1479" t="str">
            <v>Maruthi</v>
          </cell>
          <cell r="AJ1479" t="str">
            <v>Surgery</v>
          </cell>
          <cell r="AK1479" t="str">
            <v>Primary</v>
          </cell>
          <cell r="AL1479" t="str">
            <v>NA</v>
          </cell>
          <cell r="AS1479" t="str">
            <v>IDC</v>
          </cell>
          <cell r="AV1479">
            <v>45901</v>
          </cell>
        </row>
        <row r="1480">
          <cell r="A1480">
            <v>250221</v>
          </cell>
          <cell r="B1480">
            <v>250221</v>
          </cell>
          <cell r="C1480" t="str">
            <v>R&amp;D</v>
          </cell>
          <cell r="D1480">
            <v>45902</v>
          </cell>
          <cell r="E1480">
            <v>0.37569444444444444</v>
          </cell>
          <cell r="F1480">
            <v>45901</v>
          </cell>
          <cell r="G1480">
            <v>45902</v>
          </cell>
          <cell r="H1480">
            <v>0.41666666666666669</v>
          </cell>
          <cell r="I1480">
            <v>4.0972222222222222E-2</v>
          </cell>
          <cell r="J1480">
            <v>0</v>
          </cell>
          <cell r="K1480" t="str">
            <v>FCB-PROTOCOL-01</v>
          </cell>
          <cell r="L1480" t="str">
            <v>FCB-BLD-007</v>
          </cell>
          <cell r="M1480" t="str">
            <v>Y</v>
          </cell>
          <cell r="N1480" t="str">
            <v>BioBank</v>
          </cell>
          <cell r="O1480" t="str">
            <v>Internal R&amp;D</v>
          </cell>
          <cell r="P1480" t="str">
            <v>NA</v>
          </cell>
          <cell r="Q1480" t="str">
            <v>Q1 Passed</v>
          </cell>
          <cell r="R1480" t="str">
            <v>Q1.5 Passed</v>
          </cell>
          <cell r="S1480" t="str">
            <v>Qualified</v>
          </cell>
          <cell r="V1480" t="str">
            <v>NA</v>
          </cell>
          <cell r="W1480" t="str">
            <v>Private Hospital</v>
          </cell>
          <cell r="X1480" t="str">
            <v>Dr Prakash BV, Bangalore</v>
          </cell>
          <cell r="Y1480" t="str">
            <v>Sri Lakshmi Hospital, Bangalore</v>
          </cell>
          <cell r="Z1480" t="str">
            <v>Dr Prakash BV, Bangalore</v>
          </cell>
          <cell r="AA1480" t="str">
            <v>Healthy blood</v>
          </cell>
          <cell r="AB1480" t="str">
            <v>NA</v>
          </cell>
          <cell r="AC1480" t="str">
            <v>Blood</v>
          </cell>
          <cell r="AD1480" t="str">
            <v>Blood</v>
          </cell>
          <cell r="AE1480" t="str">
            <v>Male</v>
          </cell>
          <cell r="AF1480">
            <v>36</v>
          </cell>
          <cell r="AG1480" t="str">
            <v>N</v>
          </cell>
          <cell r="AH1480">
            <v>4</v>
          </cell>
          <cell r="AI1480" t="str">
            <v>Kalappa</v>
          </cell>
          <cell r="AJ1480" t="str">
            <v>NA</v>
          </cell>
          <cell r="AK1480" t="str">
            <v>NA</v>
          </cell>
          <cell r="AL1480" t="str">
            <v>NA</v>
          </cell>
          <cell r="AN1480" t="str">
            <v>NA</v>
          </cell>
          <cell r="AO1480" t="str">
            <v>NA</v>
          </cell>
          <cell r="AP1480" t="str">
            <v>NA</v>
          </cell>
          <cell r="AQ1480" t="str">
            <v>NA</v>
          </cell>
          <cell r="AR1480" t="str">
            <v>NA</v>
          </cell>
          <cell r="AS1480" t="str">
            <v>NA</v>
          </cell>
          <cell r="AT1480" t="str">
            <v>NA</v>
          </cell>
          <cell r="AU1480" t="str">
            <v>NA</v>
          </cell>
          <cell r="AV1480">
            <v>45902</v>
          </cell>
        </row>
        <row r="1481">
          <cell r="A1481" t="str">
            <v>FBR1Y250222</v>
          </cell>
          <cell r="B1481">
            <v>250222</v>
          </cell>
          <cell r="C1481" t="str">
            <v>R&amp;D</v>
          </cell>
          <cell r="D1481">
            <v>45902</v>
          </cell>
          <cell r="E1481">
            <v>0.53819444444444442</v>
          </cell>
          <cell r="F1481">
            <v>45901</v>
          </cell>
          <cell r="G1481">
            <v>45902</v>
          </cell>
          <cell r="H1481">
            <v>0.70347222222222228</v>
          </cell>
          <cell r="I1481">
            <v>0.16527777777777777</v>
          </cell>
          <cell r="J1481">
            <v>3</v>
          </cell>
          <cell r="K1481" t="str">
            <v>FCB-PROTOCOL-01</v>
          </cell>
          <cell r="L1481" t="str">
            <v>VYD/420</v>
          </cell>
          <cell r="M1481" t="str">
            <v>Y</v>
          </cell>
          <cell r="N1481" t="str">
            <v>CCS Study (1Y)</v>
          </cell>
          <cell r="O1481" t="str">
            <v>Internal R&amp;D</v>
          </cell>
          <cell r="P1481" t="str">
            <v>Q1 Passed</v>
          </cell>
          <cell r="Q1481" t="str">
            <v>Q1 Passed</v>
          </cell>
          <cell r="R1481" t="str">
            <v>Q1.5 Passed</v>
          </cell>
          <cell r="S1481" t="str">
            <v>Qualified</v>
          </cell>
          <cell r="V1481" t="str">
            <v>Tumor content 30-75%</v>
          </cell>
          <cell r="W1481" t="str">
            <v>Private Hospital</v>
          </cell>
          <cell r="X1481" t="str">
            <v>Vydehi Hospital, Bangalore</v>
          </cell>
          <cell r="Y1481" t="str">
            <v>Vydehi Hospital, Bangalore</v>
          </cell>
          <cell r="Z1481" t="str">
            <v>Dr Amritha Prabha, Bangalore</v>
          </cell>
          <cell r="AA1481" t="str">
            <v>HNSCC</v>
          </cell>
          <cell r="AB1481" t="str">
            <v>NA</v>
          </cell>
          <cell r="AC1481" t="str">
            <v>Tongue</v>
          </cell>
          <cell r="AD1481" t="str">
            <v>Left Lateral border of Tongue</v>
          </cell>
          <cell r="AE1481" t="str">
            <v>Female</v>
          </cell>
          <cell r="AF1481">
            <v>41</v>
          </cell>
          <cell r="AG1481" t="str">
            <v>N</v>
          </cell>
          <cell r="AH1481">
            <v>5.6</v>
          </cell>
          <cell r="AI1481" t="str">
            <v>Kalappa</v>
          </cell>
          <cell r="AJ1481" t="str">
            <v>Surgery</v>
          </cell>
          <cell r="AK1481" t="str">
            <v>Primary</v>
          </cell>
          <cell r="AL1481" t="str">
            <v>NA</v>
          </cell>
          <cell r="AV1481">
            <v>45902</v>
          </cell>
        </row>
        <row r="1482">
          <cell r="A1482" t="str">
            <v>FBR2S250223</v>
          </cell>
          <cell r="B1482">
            <v>250223</v>
          </cell>
          <cell r="C1482" t="str">
            <v>R&amp;D</v>
          </cell>
          <cell r="D1482">
            <v>45903</v>
          </cell>
          <cell r="E1482">
            <v>0.41180555555555554</v>
          </cell>
          <cell r="F1482">
            <v>45901</v>
          </cell>
          <cell r="G1482">
            <v>45903</v>
          </cell>
          <cell r="H1482">
            <v>0.6333333333333333</v>
          </cell>
          <cell r="I1482">
            <v>0.22152777777777777</v>
          </cell>
          <cell r="J1482">
            <v>12</v>
          </cell>
          <cell r="K1482" t="str">
            <v>FCB-PROTOCOL-01</v>
          </cell>
          <cell r="L1482" t="str">
            <v>CLN/PRA/351</v>
          </cell>
          <cell r="M1482" t="str">
            <v>Y</v>
          </cell>
          <cell r="N1482" t="str">
            <v>Cos V1 (2S)</v>
          </cell>
          <cell r="O1482" t="str">
            <v>Internal R&amp;D</v>
          </cell>
          <cell r="P1482" t="str">
            <v>Q1 Passed</v>
          </cell>
          <cell r="Q1482" t="str">
            <v>Q1 Passed</v>
          </cell>
          <cell r="R1482" t="str">
            <v>Q1.5 Passed</v>
          </cell>
          <cell r="S1482" t="str">
            <v>Qualified</v>
          </cell>
          <cell r="V1482" t="str">
            <v>Tumor content 0-40%. Average tumor content 15%</v>
          </cell>
          <cell r="W1482" t="str">
            <v>Private Hospital</v>
          </cell>
          <cell r="X1482" t="str">
            <v>Dr Prakash BV, Bangalore</v>
          </cell>
          <cell r="Y1482" t="str">
            <v>Sri Lakshmi Hospital, Bangalore</v>
          </cell>
          <cell r="Z1482" t="str">
            <v>Dr Prakash BV, Bangalore</v>
          </cell>
          <cell r="AA1482" t="str">
            <v>CRC</v>
          </cell>
          <cell r="AB1482" t="str">
            <v>NA</v>
          </cell>
          <cell r="AC1482" t="str">
            <v>Colon</v>
          </cell>
          <cell r="AD1482" t="str">
            <v>Sigmoid Colon</v>
          </cell>
          <cell r="AE1482" t="str">
            <v>Female</v>
          </cell>
          <cell r="AF1482">
            <v>70</v>
          </cell>
          <cell r="AG1482" t="str">
            <v>N</v>
          </cell>
          <cell r="AH1482">
            <v>6.8</v>
          </cell>
          <cell r="AI1482" t="str">
            <v>Maruthi</v>
          </cell>
          <cell r="AJ1482" t="str">
            <v>Surgery</v>
          </cell>
          <cell r="AK1482" t="str">
            <v>Primary</v>
          </cell>
          <cell r="AL1482" t="str">
            <v>NA</v>
          </cell>
          <cell r="AN1482" t="str">
            <v>II</v>
          </cell>
          <cell r="AP1482" t="str">
            <v>pT2N2M0</v>
          </cell>
          <cell r="AS1482" t="str">
            <v>Adenocarcinoma</v>
          </cell>
          <cell r="AV1482">
            <v>45903</v>
          </cell>
          <cell r="AY1482">
            <v>0</v>
          </cell>
          <cell r="AZ148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48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</row>
        <row r="1483">
          <cell r="A1483" t="str">
            <v>FBR2A250224</v>
          </cell>
          <cell r="B1483">
            <v>250224</v>
          </cell>
          <cell r="C1483" t="str">
            <v>R&amp;D</v>
          </cell>
          <cell r="D1483">
            <v>45903</v>
          </cell>
          <cell r="E1483">
            <v>0.51041666666666663</v>
          </cell>
          <cell r="F1483">
            <v>45901</v>
          </cell>
          <cell r="G1483">
            <v>45903</v>
          </cell>
          <cell r="H1483">
            <v>0.75486111111111109</v>
          </cell>
          <cell r="I1483">
            <v>0.24444444444444444</v>
          </cell>
          <cell r="J1483">
            <v>10</v>
          </cell>
          <cell r="K1483" t="str">
            <v>FCB-PROTOCOL-01</v>
          </cell>
          <cell r="L1483" t="str">
            <v>SIMS-005</v>
          </cell>
          <cell r="M1483" t="str">
            <v>Y</v>
          </cell>
          <cell r="N1483" t="str">
            <v>Ovary CC (2A)</v>
          </cell>
          <cell r="O1483" t="str">
            <v>Internal R&amp;D</v>
          </cell>
          <cell r="P1483" t="str">
            <v>Q1 Passed</v>
          </cell>
          <cell r="Q1483" t="str">
            <v>Q1 Passed</v>
          </cell>
          <cell r="R1483" t="str">
            <v>Q1.5 Passed</v>
          </cell>
          <cell r="S1483" t="str">
            <v>Qualified</v>
          </cell>
          <cell r="V1483" t="str">
            <v>Tumor content 2-75%.?Metastatic/Serous</v>
          </cell>
          <cell r="W1483" t="str">
            <v>Private Hospital</v>
          </cell>
          <cell r="X1483" t="str">
            <v>Sapthagiri ClinTrac Pvt Ltd</v>
          </cell>
          <cell r="Y1483" t="str">
            <v>Sapthagiri Institute of Medical Sciences</v>
          </cell>
          <cell r="Z1483" t="str">
            <v>Dr Nataraj</v>
          </cell>
          <cell r="AA1483" t="str">
            <v>Ca Ovary</v>
          </cell>
          <cell r="AB1483" t="str">
            <v>NA</v>
          </cell>
          <cell r="AC1483" t="str">
            <v>Ovary</v>
          </cell>
          <cell r="AD1483" t="str">
            <v>Ovary</v>
          </cell>
          <cell r="AE1483" t="str">
            <v>Female</v>
          </cell>
          <cell r="AF1483">
            <v>55</v>
          </cell>
          <cell r="AG1483" t="str">
            <v>N</v>
          </cell>
          <cell r="AH1483">
            <v>6.1</v>
          </cell>
          <cell r="AI1483" t="str">
            <v>Kalappa</v>
          </cell>
          <cell r="AJ1483" t="str">
            <v>Surgery</v>
          </cell>
          <cell r="AK1483" t="str">
            <v>Primary</v>
          </cell>
          <cell r="AL1483" t="str">
            <v>NA</v>
          </cell>
          <cell r="AV1483">
            <v>45903</v>
          </cell>
        </row>
        <row r="1484">
          <cell r="A1484">
            <v>250225</v>
          </cell>
          <cell r="B1484">
            <v>250225</v>
          </cell>
          <cell r="C1484" t="str">
            <v>R&amp;D</v>
          </cell>
          <cell r="D1484">
            <v>45903</v>
          </cell>
          <cell r="E1484">
            <v>0.43055555555555558</v>
          </cell>
          <cell r="F1484">
            <v>45901</v>
          </cell>
          <cell r="G1484">
            <v>45903</v>
          </cell>
          <cell r="H1484">
            <v>0.82708333333333328</v>
          </cell>
          <cell r="I1484">
            <v>0.39652777777777776</v>
          </cell>
          <cell r="J1484">
            <v>2</v>
          </cell>
          <cell r="K1484" t="str">
            <v>FCB-PROTOCOL-01</v>
          </cell>
          <cell r="L1484" t="str">
            <v>JSS-053</v>
          </cell>
          <cell r="M1484" t="str">
            <v>Y</v>
          </cell>
          <cell r="N1484" t="str">
            <v>BioBank</v>
          </cell>
          <cell r="O1484" t="str">
            <v>Internal R&amp;D</v>
          </cell>
          <cell r="P1484" t="str">
            <v>Q1 Rejected</v>
          </cell>
          <cell r="Q1484" t="str">
            <v>Not Received</v>
          </cell>
          <cell r="R1484" t="str">
            <v>Q1.5 Rejected</v>
          </cell>
          <cell r="S1484" t="str">
            <v>Rejected</v>
          </cell>
          <cell r="T1484" t="str">
            <v>Mostly Fatty tissue</v>
          </cell>
          <cell r="W1484" t="str">
            <v>Private Hospital</v>
          </cell>
          <cell r="X1484" t="str">
            <v>Dr Ravi Krishnappa, Mysore</v>
          </cell>
          <cell r="Y1484" t="str">
            <v>JSS Hospital, Mysore</v>
          </cell>
          <cell r="Z1484" t="str">
            <v>Dr Ravi Krishnappa, Mysore</v>
          </cell>
          <cell r="AA1484" t="str">
            <v>Ca Breast</v>
          </cell>
          <cell r="AB1484" t="str">
            <v>NA</v>
          </cell>
          <cell r="AC1484" t="str">
            <v>Breast</v>
          </cell>
          <cell r="AD1484" t="str">
            <v>Right Breast</v>
          </cell>
          <cell r="AE1484" t="str">
            <v>Female</v>
          </cell>
          <cell r="AF1484">
            <v>47</v>
          </cell>
          <cell r="AG1484" t="str">
            <v>N</v>
          </cell>
          <cell r="AH1484">
            <v>5.5</v>
          </cell>
          <cell r="AI1484" t="str">
            <v>Shashi</v>
          </cell>
          <cell r="AJ1484" t="str">
            <v>Surgery</v>
          </cell>
          <cell r="AK1484" t="str">
            <v>Primary</v>
          </cell>
          <cell r="AL1484" t="str">
            <v>NA</v>
          </cell>
          <cell r="AV1484">
            <v>45903</v>
          </cell>
          <cell r="AW1484">
            <v>0.84722222222222221</v>
          </cell>
          <cell r="BB1484" t="str">
            <v>0.7*0.4-0.6*0.4-0.7
0.2*0.4-0.7*1.2</v>
          </cell>
          <cell r="BE1484">
            <v>15</v>
          </cell>
          <cell r="BF1484" t="str">
            <v>Mouniss</v>
          </cell>
          <cell r="BG1484" t="str">
            <v>N</v>
          </cell>
        </row>
        <row r="1485">
          <cell r="A1485">
            <v>220226</v>
          </cell>
          <cell r="B1485">
            <v>250226</v>
          </cell>
          <cell r="C1485" t="str">
            <v>R&amp;D</v>
          </cell>
          <cell r="D1485">
            <v>45903</v>
          </cell>
          <cell r="E1485">
            <v>0.51388888888888884</v>
          </cell>
          <cell r="F1485">
            <v>45901</v>
          </cell>
          <cell r="G1485">
            <v>45903</v>
          </cell>
          <cell r="H1485">
            <v>0.82708333333333328</v>
          </cell>
          <cell r="I1485">
            <v>0.31319444444444444</v>
          </cell>
          <cell r="J1485">
            <v>5</v>
          </cell>
          <cell r="K1485" t="str">
            <v>FCB-PROTOCOL-01</v>
          </cell>
          <cell r="L1485" t="str">
            <v>JSS-054</v>
          </cell>
          <cell r="M1485" t="str">
            <v>Y</v>
          </cell>
          <cell r="N1485" t="str">
            <v>BioBank</v>
          </cell>
          <cell r="O1485" t="str">
            <v>Internal R&amp;D</v>
          </cell>
          <cell r="P1485" t="str">
            <v>Q1 Rejected</v>
          </cell>
          <cell r="Q1485" t="str">
            <v>Q1 Passed</v>
          </cell>
          <cell r="R1485" t="str">
            <v>Q1.5 Rejected</v>
          </cell>
          <cell r="S1485" t="str">
            <v>Rejected</v>
          </cell>
          <cell r="T1485" t="str">
            <v>Mostly Fatty tissue</v>
          </cell>
          <cell r="W1485" t="str">
            <v>Private Hospital</v>
          </cell>
          <cell r="X1485" t="str">
            <v>Dr Ravi Krishnappa, Mysore</v>
          </cell>
          <cell r="Y1485" t="str">
            <v>JSS Hospital, Mysore</v>
          </cell>
          <cell r="Z1485" t="str">
            <v>Dr Ravi Krishnappa, Mysore</v>
          </cell>
          <cell r="AA1485" t="str">
            <v>Ca Breast</v>
          </cell>
          <cell r="AB1485" t="str">
            <v>NA</v>
          </cell>
          <cell r="AC1485" t="str">
            <v>Breast</v>
          </cell>
          <cell r="AD1485" t="str">
            <v>Left Breast</v>
          </cell>
          <cell r="AE1485" t="str">
            <v>Female</v>
          </cell>
          <cell r="AF1485">
            <v>77</v>
          </cell>
          <cell r="AG1485" t="str">
            <v>N</v>
          </cell>
          <cell r="AH1485">
            <v>5.5</v>
          </cell>
          <cell r="AI1485" t="str">
            <v>Shashi</v>
          </cell>
          <cell r="AJ1485" t="str">
            <v>Surgery</v>
          </cell>
          <cell r="AK1485" t="str">
            <v>Primary</v>
          </cell>
          <cell r="AL1485" t="str">
            <v>NA</v>
          </cell>
          <cell r="AS1485" t="str">
            <v>IDC</v>
          </cell>
          <cell r="AV1485">
            <v>45903</v>
          </cell>
        </row>
        <row r="1486">
          <cell r="A1486" t="str">
            <v>FBR1Q250227</v>
          </cell>
          <cell r="B1486">
            <v>250227</v>
          </cell>
          <cell r="C1486" t="str">
            <v>R&amp;D</v>
          </cell>
          <cell r="D1486">
            <v>45903</v>
          </cell>
          <cell r="E1486">
            <v>0.61111111111111116</v>
          </cell>
          <cell r="F1486">
            <v>45901</v>
          </cell>
          <cell r="G1486">
            <v>45903</v>
          </cell>
          <cell r="H1486">
            <v>0.82708333333333328</v>
          </cell>
          <cell r="I1486">
            <v>0.21597222222222223</v>
          </cell>
          <cell r="J1486">
            <v>5</v>
          </cell>
          <cell r="K1486" t="str">
            <v>FCB-PROTOCOL-01</v>
          </cell>
          <cell r="L1486" t="str">
            <v>JSS-055</v>
          </cell>
          <cell r="M1486" t="str">
            <v>Y</v>
          </cell>
          <cell r="N1486" t="str">
            <v>COSv4.2_CaBR(1Q-Unknown)</v>
          </cell>
          <cell r="O1486" t="str">
            <v>Internal R&amp;D</v>
          </cell>
          <cell r="P1486" t="str">
            <v>Q1 Passed</v>
          </cell>
          <cell r="Q1486" t="str">
            <v>Q1 Passed</v>
          </cell>
          <cell r="R1486" t="str">
            <v>Q1.5 Passed</v>
          </cell>
          <cell r="S1486" t="str">
            <v>Qualified</v>
          </cell>
          <cell r="V1486" t="str">
            <v>Tumor content 1-40%</v>
          </cell>
          <cell r="W1486" t="str">
            <v>Private Hospital</v>
          </cell>
          <cell r="X1486" t="str">
            <v>Dr Ravi Krishnappa, Mysore</v>
          </cell>
          <cell r="Y1486" t="str">
            <v>JSS Hospital, Mysore</v>
          </cell>
          <cell r="Z1486" t="str">
            <v>Dr Ravi Krishnappa, Mysore</v>
          </cell>
          <cell r="AA1486" t="str">
            <v>Ca Breast</v>
          </cell>
          <cell r="AB1486" t="str">
            <v>NA</v>
          </cell>
          <cell r="AC1486" t="str">
            <v>Breast</v>
          </cell>
          <cell r="AD1486" t="str">
            <v>Right Breast</v>
          </cell>
          <cell r="AE1486" t="str">
            <v>Female</v>
          </cell>
          <cell r="AF1486">
            <v>37</v>
          </cell>
          <cell r="AG1486" t="str">
            <v>N</v>
          </cell>
          <cell r="AH1486">
            <v>5.5</v>
          </cell>
          <cell r="AI1486" t="str">
            <v>Shashi</v>
          </cell>
          <cell r="AJ1486" t="str">
            <v>Surgery</v>
          </cell>
          <cell r="AK1486" t="str">
            <v>Primary</v>
          </cell>
          <cell r="AL1486" t="str">
            <v>NA</v>
          </cell>
          <cell r="AV1486">
            <v>45903</v>
          </cell>
        </row>
        <row r="1487">
          <cell r="A1487" t="str">
            <v>FBR1C250228</v>
          </cell>
          <cell r="B1487">
            <v>250228</v>
          </cell>
          <cell r="C1487" t="str">
            <v>R&amp;D</v>
          </cell>
          <cell r="D1487">
            <v>45903</v>
          </cell>
          <cell r="E1487">
            <v>0.52777777777777779</v>
          </cell>
          <cell r="F1487">
            <v>45901</v>
          </cell>
          <cell r="G1487">
            <v>45903</v>
          </cell>
          <cell r="H1487">
            <v>0.98958333333333337</v>
          </cell>
          <cell r="I1487">
            <v>0.46180555555555558</v>
          </cell>
          <cell r="J1487">
            <v>10</v>
          </cell>
          <cell r="K1487" t="str">
            <v>FCB-PROTOCOL-01</v>
          </cell>
          <cell r="L1487" t="str">
            <v>CLN/DBR/249</v>
          </cell>
          <cell r="M1487" t="str">
            <v>Y</v>
          </cell>
          <cell r="N1487" t="str">
            <v>Cul Imp (1C)</v>
          </cell>
          <cell r="O1487" t="str">
            <v>Internal R&amp;D</v>
          </cell>
          <cell r="P1487" t="str">
            <v>Q1 Passed</v>
          </cell>
          <cell r="Q1487" t="str">
            <v>Q1 Passed</v>
          </cell>
          <cell r="R1487" t="str">
            <v>Q1.5 Passed</v>
          </cell>
          <cell r="S1487" t="str">
            <v>Qualified</v>
          </cell>
          <cell r="V1487" t="str">
            <v>Tumor content 55-80%</v>
          </cell>
          <cell r="W1487" t="str">
            <v>Private Hospital</v>
          </cell>
          <cell r="X1487" t="str">
            <v>Clinic'les- DBR &amp; SK Hospital, Tirupati</v>
          </cell>
          <cell r="Y1487" t="str">
            <v>DBR &amp; SK Hospital, Tirupati</v>
          </cell>
          <cell r="Z1487" t="str">
            <v>Dr C Jayaprakash, Tirupati</v>
          </cell>
          <cell r="AA1487" t="str">
            <v>HNSCC</v>
          </cell>
          <cell r="AB1487" t="str">
            <v>NA</v>
          </cell>
          <cell r="AC1487" t="str">
            <v>Buccal Mucosa</v>
          </cell>
          <cell r="AD1487" t="str">
            <v>Left Buccal Mucosa</v>
          </cell>
          <cell r="AE1487" t="str">
            <v>Female</v>
          </cell>
          <cell r="AF1487">
            <v>74</v>
          </cell>
          <cell r="AG1487" t="str">
            <v>N</v>
          </cell>
          <cell r="AH1487">
            <v>6.8</v>
          </cell>
          <cell r="AI1487" t="str">
            <v>Maruthi</v>
          </cell>
          <cell r="AJ1487" t="str">
            <v>Surgery</v>
          </cell>
          <cell r="AK1487" t="str">
            <v>Primary</v>
          </cell>
          <cell r="AL1487" t="str">
            <v>Radiotherapy</v>
          </cell>
          <cell r="AS1487" t="str">
            <v>SCC</v>
          </cell>
          <cell r="AV1487">
            <v>45903</v>
          </cell>
        </row>
        <row r="1488">
          <cell r="A1488" t="str">
            <v>FBR1K250229</v>
          </cell>
          <cell r="B1488">
            <v>250229</v>
          </cell>
          <cell r="C1488" t="str">
            <v>R&amp;D</v>
          </cell>
          <cell r="D1488">
            <v>45904</v>
          </cell>
          <cell r="E1488">
            <v>0.51041666666666663</v>
          </cell>
          <cell r="F1488">
            <v>45901</v>
          </cell>
          <cell r="G1488">
            <v>45904</v>
          </cell>
          <cell r="H1488">
            <v>0.7104166666666667</v>
          </cell>
          <cell r="I1488">
            <v>0.2</v>
          </cell>
          <cell r="J1488">
            <v>2</v>
          </cell>
          <cell r="K1488" t="str">
            <v>FCB-PROTOCOL-01</v>
          </cell>
          <cell r="L1488" t="str">
            <v>VYD/421</v>
          </cell>
          <cell r="M1488" t="str">
            <v>Y</v>
          </cell>
          <cell r="N1488" t="str">
            <v>DMS_v4(1K)</v>
          </cell>
          <cell r="O1488" t="str">
            <v>Internal R&amp;D</v>
          </cell>
          <cell r="P1488" t="str">
            <v>Q1 Passed</v>
          </cell>
          <cell r="Q1488" t="str">
            <v>Q1 Passed</v>
          </cell>
          <cell r="R1488" t="str">
            <v>Q1.5 Passed</v>
          </cell>
          <cell r="S1488" t="str">
            <v>Qualified</v>
          </cell>
          <cell r="V1488" t="str">
            <v>Tumor content 6-45% with good immune presence</v>
          </cell>
          <cell r="W1488" t="str">
            <v>Private Hospital</v>
          </cell>
          <cell r="X1488" t="str">
            <v>Vydehi Hospital, Bangalore</v>
          </cell>
          <cell r="Y1488" t="str">
            <v>Vydehi Hospital, Bangalore</v>
          </cell>
          <cell r="Z1488" t="str">
            <v>Dr Amritha Prabha, Bangalore</v>
          </cell>
          <cell r="AA1488" t="str">
            <v>HNSCC</v>
          </cell>
          <cell r="AB1488" t="str">
            <v>NA</v>
          </cell>
          <cell r="AC1488" t="str">
            <v>Buccal Mucosa</v>
          </cell>
          <cell r="AD1488" t="str">
            <v>Left Buccal Mucosa</v>
          </cell>
          <cell r="AE1488" t="str">
            <v>Male</v>
          </cell>
          <cell r="AF1488">
            <v>45</v>
          </cell>
          <cell r="AG1488" t="str">
            <v>N</v>
          </cell>
          <cell r="AH1488">
            <v>6.6</v>
          </cell>
          <cell r="AI1488" t="str">
            <v>Kalappa</v>
          </cell>
          <cell r="AJ1488" t="str">
            <v>Surgery</v>
          </cell>
          <cell r="AK1488" t="str">
            <v>Primary</v>
          </cell>
          <cell r="AL1488" t="str">
            <v>NA</v>
          </cell>
          <cell r="AS1488" t="str">
            <v>SCC</v>
          </cell>
          <cell r="AV1488">
            <v>45904</v>
          </cell>
        </row>
        <row r="1489">
          <cell r="A1489" t="str">
            <v>FBR1K250230</v>
          </cell>
          <cell r="B1489">
            <v>250230</v>
          </cell>
          <cell r="C1489" t="str">
            <v>R&amp;D</v>
          </cell>
          <cell r="D1489">
            <v>45905</v>
          </cell>
          <cell r="E1489">
            <v>0.5</v>
          </cell>
          <cell r="F1489">
            <v>45901</v>
          </cell>
          <cell r="G1489">
            <v>45905</v>
          </cell>
          <cell r="H1489">
            <v>0.81944444444444442</v>
          </cell>
          <cell r="I1489">
            <v>0.31944444444444442</v>
          </cell>
          <cell r="J1489">
            <v>10</v>
          </cell>
          <cell r="K1489" t="str">
            <v>FCB-PROTOCOL-01</v>
          </cell>
          <cell r="L1489" t="str">
            <v>CLN/DBR/250</v>
          </cell>
          <cell r="M1489" t="str">
            <v>Y</v>
          </cell>
          <cell r="N1489" t="str">
            <v>DMS_v4(1K)</v>
          </cell>
          <cell r="O1489" t="str">
            <v>Internal R&amp;D</v>
          </cell>
          <cell r="P1489" t="str">
            <v>Q1 Passed</v>
          </cell>
          <cell r="Q1489" t="str">
            <v>Q1 Passed</v>
          </cell>
          <cell r="R1489" t="str">
            <v>Q1.5 Passed</v>
          </cell>
          <cell r="S1489" t="str">
            <v>Qualified</v>
          </cell>
          <cell r="V1489" t="str">
            <v>Tumor content 75-90%</v>
          </cell>
          <cell r="W1489" t="str">
            <v>Private Hospital</v>
          </cell>
          <cell r="X1489" t="str">
            <v>Clinic'les- DBR &amp; SK Hospital, Tirupati</v>
          </cell>
          <cell r="Y1489" t="str">
            <v>DBR &amp; SK Hospital, Tirupati</v>
          </cell>
          <cell r="Z1489" t="str">
            <v>Dr C Jayaprakash, Tirupati</v>
          </cell>
          <cell r="AA1489" t="str">
            <v>HNSCC</v>
          </cell>
          <cell r="AB1489" t="str">
            <v>NA</v>
          </cell>
          <cell r="AC1489" t="str">
            <v>Buccal Mucosa</v>
          </cell>
          <cell r="AD1489" t="str">
            <v>Right Buccal Mucosa</v>
          </cell>
          <cell r="AE1489" t="str">
            <v>Male</v>
          </cell>
          <cell r="AF1489">
            <v>51</v>
          </cell>
          <cell r="AG1489" t="str">
            <v>N</v>
          </cell>
          <cell r="AH1489">
            <v>6.2</v>
          </cell>
          <cell r="AI1489" t="str">
            <v>Kalappa</v>
          </cell>
          <cell r="AJ1489" t="str">
            <v>Surgery</v>
          </cell>
          <cell r="AK1489" t="str">
            <v>Primary</v>
          </cell>
          <cell r="AL1489" t="str">
            <v>NA</v>
          </cell>
          <cell r="AS1489" t="str">
            <v>SCC</v>
          </cell>
        </row>
        <row r="1490">
          <cell r="A1490" t="str">
            <v>FBR1J250231</v>
          </cell>
          <cell r="B1490">
            <v>250231</v>
          </cell>
          <cell r="C1490" t="str">
            <v>R&amp;D</v>
          </cell>
          <cell r="D1490">
            <v>45906</v>
          </cell>
          <cell r="E1490">
            <v>0.33541666666666664</v>
          </cell>
          <cell r="F1490">
            <v>45901</v>
          </cell>
          <cell r="G1490">
            <v>45906</v>
          </cell>
          <cell r="H1490">
            <v>0.625</v>
          </cell>
          <cell r="I1490">
            <v>0.28958333333333336</v>
          </cell>
          <cell r="J1490">
            <v>2</v>
          </cell>
          <cell r="K1490" t="str">
            <v>FCB-PROTOCOL-01</v>
          </cell>
          <cell r="L1490" t="str">
            <v>CLN/PRA/352</v>
          </cell>
          <cell r="M1490" t="str">
            <v>Y</v>
          </cell>
          <cell r="N1490" t="str">
            <v>COS_v3.0-Gastric (1J)</v>
          </cell>
          <cell r="O1490" t="str">
            <v>Internal R&amp;D</v>
          </cell>
          <cell r="P1490" t="str">
            <v>Q1 Passed</v>
          </cell>
          <cell r="Q1490" t="str">
            <v>Q1 Passed</v>
          </cell>
          <cell r="R1490" t="str">
            <v>Q1.5 Passed</v>
          </cell>
          <cell r="S1490" t="str">
            <v>Qualified</v>
          </cell>
          <cell r="V1490" t="str">
            <v>Tumor content 0-55%. Average tumor content 28%</v>
          </cell>
          <cell r="W1490" t="str">
            <v>Private Hospital</v>
          </cell>
          <cell r="X1490" t="str">
            <v>Dr Prakash BV, Bangalore</v>
          </cell>
          <cell r="Y1490" t="str">
            <v>Sri Lakshmi Hospital, Bangalore</v>
          </cell>
          <cell r="Z1490" t="str">
            <v>Dr Prakash BV, Bangalore</v>
          </cell>
          <cell r="AA1490" t="str">
            <v>GI</v>
          </cell>
          <cell r="AB1490" t="str">
            <v>NA</v>
          </cell>
          <cell r="AC1490" t="str">
            <v>Stomach</v>
          </cell>
          <cell r="AD1490" t="str">
            <v>Stomach</v>
          </cell>
          <cell r="AE1490" t="str">
            <v>Female</v>
          </cell>
          <cell r="AF1490">
            <v>54</v>
          </cell>
          <cell r="AG1490" t="str">
            <v>N</v>
          </cell>
          <cell r="AH1490">
            <v>6.4</v>
          </cell>
          <cell r="AI1490" t="str">
            <v>Maruthi</v>
          </cell>
          <cell r="AJ1490" t="str">
            <v>Surgery</v>
          </cell>
          <cell r="AK1490" t="str">
            <v>Primary</v>
          </cell>
          <cell r="AL1490" t="str">
            <v>NA</v>
          </cell>
          <cell r="AN1490" t="str">
            <v>II</v>
          </cell>
          <cell r="AP1490" t="str">
            <v>pT3N2M0</v>
          </cell>
          <cell r="AS1490" t="str">
            <v>Adenocarcinoma</v>
          </cell>
        </row>
        <row r="1491">
          <cell r="A1491" t="str">
            <v>FBR2S250232</v>
          </cell>
          <cell r="B1491">
            <v>250232</v>
          </cell>
          <cell r="C1491" t="str">
            <v>R&amp;D</v>
          </cell>
          <cell r="D1491">
            <v>45906</v>
          </cell>
          <cell r="E1491">
            <v>0.4909722222222222</v>
          </cell>
          <cell r="F1491">
            <v>45901</v>
          </cell>
          <cell r="G1491">
            <v>45906</v>
          </cell>
          <cell r="H1491">
            <v>0.625</v>
          </cell>
          <cell r="I1491">
            <v>0.13402777777777777</v>
          </cell>
          <cell r="J1491">
            <v>3</v>
          </cell>
          <cell r="K1491" t="str">
            <v>FCB-PROTOCOL-01</v>
          </cell>
          <cell r="L1491" t="str">
            <v>CLN/PRA/353</v>
          </cell>
          <cell r="M1491" t="str">
            <v>Y</v>
          </cell>
          <cell r="N1491" t="str">
            <v>Cos V1 (2S)</v>
          </cell>
          <cell r="O1491" t="str">
            <v>Internal R&amp;D</v>
          </cell>
          <cell r="P1491" t="str">
            <v>Q1 Passed</v>
          </cell>
          <cell r="Q1491" t="str">
            <v>Q1 Passed</v>
          </cell>
          <cell r="R1491" t="str">
            <v>Q1.5 Passed</v>
          </cell>
          <cell r="S1491" t="str">
            <v>Qualified</v>
          </cell>
          <cell r="V1491" t="str">
            <v>Tumor content 35-60%</v>
          </cell>
          <cell r="W1491" t="str">
            <v>Private Hospital</v>
          </cell>
          <cell r="X1491" t="str">
            <v>Dr Prakash BV, Bangalore</v>
          </cell>
          <cell r="Y1491" t="str">
            <v>Sri Lakshmi Hospital, Bangalore</v>
          </cell>
          <cell r="Z1491" t="str">
            <v>Dr Prakash BV, Bangalore</v>
          </cell>
          <cell r="AA1491" t="str">
            <v>CRC</v>
          </cell>
          <cell r="AB1491" t="str">
            <v>NA</v>
          </cell>
          <cell r="AC1491" t="str">
            <v>Colon</v>
          </cell>
          <cell r="AD1491" t="str">
            <v>Decenting Colon</v>
          </cell>
          <cell r="AE1491" t="str">
            <v>Female</v>
          </cell>
          <cell r="AF1491">
            <v>70</v>
          </cell>
          <cell r="AG1491" t="str">
            <v>N</v>
          </cell>
          <cell r="AH1491">
            <v>6.4</v>
          </cell>
          <cell r="AI1491" t="str">
            <v>Maruthi</v>
          </cell>
          <cell r="AJ1491" t="str">
            <v>Surgery</v>
          </cell>
          <cell r="AK1491" t="str">
            <v>Primary</v>
          </cell>
          <cell r="AL1491" t="str">
            <v>NA</v>
          </cell>
          <cell r="AN1491" t="str">
            <v>II</v>
          </cell>
          <cell r="AP1491" t="str">
            <v>pT2N2M0</v>
          </cell>
          <cell r="AS1491" t="str">
            <v>Adenocarcinoma</v>
          </cell>
        </row>
        <row r="1492">
          <cell r="A1492" t="str">
            <v>FBR1Q250233</v>
          </cell>
          <cell r="B1492">
            <v>250233</v>
          </cell>
          <cell r="C1492" t="str">
            <v>R&amp;D</v>
          </cell>
          <cell r="D1492">
            <v>45908</v>
          </cell>
          <cell r="E1492">
            <v>0.62152777777777779</v>
          </cell>
          <cell r="F1492">
            <v>45901</v>
          </cell>
          <cell r="G1492">
            <v>45908</v>
          </cell>
          <cell r="H1492">
            <v>0.71875</v>
          </cell>
          <cell r="I1492">
            <v>9.7222222222222224E-2</v>
          </cell>
          <cell r="J1492">
            <v>6</v>
          </cell>
          <cell r="K1492" t="str">
            <v>FCB-PROTOCOL-01</v>
          </cell>
          <cell r="L1492" t="str">
            <v>VYD/422</v>
          </cell>
          <cell r="M1492" t="str">
            <v>Y</v>
          </cell>
          <cell r="N1492" t="str">
            <v>COSv4.2_CaBR(1Q-Unknown)</v>
          </cell>
          <cell r="O1492" t="str">
            <v>Internal R&amp;D</v>
          </cell>
          <cell r="P1492" t="str">
            <v>Q1 Passed</v>
          </cell>
          <cell r="Q1492" t="str">
            <v>Q1 Rejected</v>
          </cell>
          <cell r="R1492" t="str">
            <v>Compromised</v>
          </cell>
          <cell r="S1492" t="str">
            <v>Qualified</v>
          </cell>
          <cell r="W1492" t="str">
            <v>Private Hospital</v>
          </cell>
          <cell r="X1492" t="str">
            <v>Vydehi Hospital, Bangalore</v>
          </cell>
          <cell r="Y1492" t="str">
            <v>Vydehi Hospital, Bangalore</v>
          </cell>
          <cell r="Z1492" t="str">
            <v>Dr Amritha Prabha, Bangalore</v>
          </cell>
          <cell r="AA1492" t="str">
            <v>Ca Breast</v>
          </cell>
          <cell r="AB1492" t="str">
            <v>NA</v>
          </cell>
          <cell r="AC1492" t="str">
            <v>Breast</v>
          </cell>
          <cell r="AD1492" t="str">
            <v>Right Breast</v>
          </cell>
          <cell r="AE1492" t="str">
            <v>Female</v>
          </cell>
          <cell r="AF1492">
            <v>64</v>
          </cell>
          <cell r="AG1492" t="str">
            <v>N</v>
          </cell>
          <cell r="AH1492">
            <v>4.5</v>
          </cell>
          <cell r="AI1492" t="str">
            <v>Kalappa</v>
          </cell>
          <cell r="AJ1492" t="str">
            <v>Surgery</v>
          </cell>
          <cell r="AK1492" t="str">
            <v>Primary</v>
          </cell>
          <cell r="AL1492" t="str">
            <v>NA</v>
          </cell>
          <cell r="AS1492" t="str">
            <v>IDC</v>
          </cell>
        </row>
        <row r="1493">
          <cell r="A1493" t="str">
            <v>FBR2T250234</v>
          </cell>
          <cell r="B1493">
            <v>250234</v>
          </cell>
          <cell r="C1493" t="str">
            <v>R&amp;D</v>
          </cell>
          <cell r="D1493">
            <v>45910</v>
          </cell>
          <cell r="E1493">
            <v>0.56597222222222221</v>
          </cell>
          <cell r="F1493">
            <v>45901</v>
          </cell>
          <cell r="G1493">
            <v>45910</v>
          </cell>
          <cell r="H1493">
            <v>0.7</v>
          </cell>
          <cell r="I1493">
            <v>0.13402777777777777</v>
          </cell>
          <cell r="J1493">
            <v>0</v>
          </cell>
          <cell r="K1493" t="str">
            <v>FCB-PROTOCOL-01</v>
          </cell>
          <cell r="L1493" t="str">
            <v>JSS-056</v>
          </cell>
          <cell r="M1493" t="str">
            <v>Y</v>
          </cell>
          <cell r="N1493" t="str">
            <v>Ovary CC (2A)</v>
          </cell>
          <cell r="O1493" t="str">
            <v>Internal R&amp;D</v>
          </cell>
          <cell r="P1493" t="str">
            <v>Q1 Passed</v>
          </cell>
          <cell r="Q1493" t="str">
            <v>Q1 Passed</v>
          </cell>
          <cell r="R1493" t="str">
            <v>Q1.5 Passed</v>
          </cell>
          <cell r="S1493" t="str">
            <v>Qualified</v>
          </cell>
          <cell r="T1493" t="str">
            <v>NA</v>
          </cell>
          <cell r="V1493" t="str">
            <v>Tumor content 5-55%</v>
          </cell>
          <cell r="W1493" t="str">
            <v>Private Hospital</v>
          </cell>
          <cell r="X1493" t="str">
            <v>Dr Ravi Krishnappa, Mysore</v>
          </cell>
          <cell r="Y1493" t="str">
            <v>JSS Hospital, Mysore</v>
          </cell>
          <cell r="Z1493" t="str">
            <v>Dr Ravi Krishnappa, Mysore</v>
          </cell>
          <cell r="AA1493" t="str">
            <v>Ca Ovary</v>
          </cell>
          <cell r="AB1493" t="str">
            <v>NA</v>
          </cell>
          <cell r="AC1493" t="str">
            <v>Ovary</v>
          </cell>
          <cell r="AD1493" t="str">
            <v>Right Ovary</v>
          </cell>
          <cell r="AE1493" t="str">
            <v>Female</v>
          </cell>
          <cell r="AF1493">
            <v>36</v>
          </cell>
          <cell r="AG1493" t="str">
            <v>N</v>
          </cell>
          <cell r="AH1493">
            <v>5.6</v>
          </cell>
          <cell r="AI1493" t="str">
            <v>Kalappa</v>
          </cell>
          <cell r="AJ1493" t="str">
            <v>Surgery</v>
          </cell>
          <cell r="AK1493" t="str">
            <v>Primary</v>
          </cell>
          <cell r="AL1493" t="str">
            <v>Chemotherapy</v>
          </cell>
          <cell r="AN1493" t="str">
            <v>IIIc</v>
          </cell>
          <cell r="AQ1493">
            <v>6</v>
          </cell>
          <cell r="AR1493" t="str">
            <v>Paclitaxel+Carboplatin</v>
          </cell>
          <cell r="AV1493">
            <v>45910</v>
          </cell>
          <cell r="AW1493" t="str">
            <v>NA</v>
          </cell>
          <cell r="AX1493" t="str">
            <v>NA</v>
          </cell>
          <cell r="AY1493" t="str">
            <v>NA</v>
          </cell>
          <cell r="AZ1493" t="str">
            <v>NA</v>
          </cell>
          <cell r="BA1493" t="str">
            <v>NA</v>
          </cell>
          <cell r="BB1493" t="str">
            <v>NA</v>
          </cell>
          <cell r="BC1493" t="str">
            <v>NA</v>
          </cell>
          <cell r="BD1493" t="str">
            <v>NA</v>
          </cell>
          <cell r="BE1493" t="str">
            <v>NA</v>
          </cell>
          <cell r="BF1493" t="str">
            <v>NA</v>
          </cell>
          <cell r="BG1493" t="str">
            <v>NA</v>
          </cell>
        </row>
        <row r="1494">
          <cell r="A1494" t="str">
            <v>FBR2A250234</v>
          </cell>
          <cell r="B1494">
            <v>250234</v>
          </cell>
          <cell r="C1494" t="str">
            <v>R&amp;D</v>
          </cell>
          <cell r="D1494">
            <v>45910</v>
          </cell>
          <cell r="E1494">
            <v>0.56597222222222221</v>
          </cell>
          <cell r="F1494">
            <v>45901</v>
          </cell>
          <cell r="G1494">
            <v>45910</v>
          </cell>
          <cell r="H1494">
            <v>0.7</v>
          </cell>
          <cell r="I1494">
            <v>0.13402777777777777</v>
          </cell>
          <cell r="J1494">
            <v>0</v>
          </cell>
          <cell r="K1494" t="str">
            <v>FCB-PROTOCOL-01</v>
          </cell>
          <cell r="L1494" t="str">
            <v>JSS-056</v>
          </cell>
          <cell r="M1494" t="str">
            <v>Y</v>
          </cell>
          <cell r="N1494" t="str">
            <v>Ovary CC (2A)</v>
          </cell>
          <cell r="O1494" t="str">
            <v>Internal R&amp;D</v>
          </cell>
          <cell r="P1494" t="str">
            <v>Q1 Passed</v>
          </cell>
          <cell r="Q1494" t="str">
            <v>Q1 Passed</v>
          </cell>
          <cell r="R1494" t="str">
            <v>Q1.5 Passed</v>
          </cell>
          <cell r="S1494" t="str">
            <v>Qualified</v>
          </cell>
          <cell r="T1494" t="str">
            <v>NA</v>
          </cell>
          <cell r="V1494" t="str">
            <v>Tumor content 5-55%</v>
          </cell>
          <cell r="W1494" t="str">
            <v>Private Hospital</v>
          </cell>
          <cell r="X1494" t="str">
            <v>Dr Ravi Krishnappa, Mysore</v>
          </cell>
          <cell r="Y1494" t="str">
            <v>JSS Hospital, Mysore</v>
          </cell>
          <cell r="Z1494" t="str">
            <v>Dr Ravi Krishnappa, Mysore</v>
          </cell>
          <cell r="AA1494" t="str">
            <v>Ca Ovary</v>
          </cell>
          <cell r="AB1494" t="str">
            <v>NA</v>
          </cell>
          <cell r="AC1494" t="str">
            <v>Ovary</v>
          </cell>
          <cell r="AD1494" t="str">
            <v>Right Ovary</v>
          </cell>
          <cell r="AE1494" t="str">
            <v>Female</v>
          </cell>
          <cell r="AF1494">
            <v>36</v>
          </cell>
          <cell r="AG1494" t="str">
            <v>N</v>
          </cell>
          <cell r="AH1494">
            <v>5.6</v>
          </cell>
          <cell r="AI1494" t="str">
            <v>Kalappa</v>
          </cell>
          <cell r="AJ1494" t="str">
            <v>Surgery</v>
          </cell>
          <cell r="AK1494" t="str">
            <v>Primary</v>
          </cell>
          <cell r="AL1494" t="str">
            <v>Chemotherapy</v>
          </cell>
          <cell r="AN1494" t="str">
            <v>IIIc</v>
          </cell>
          <cell r="AQ1494">
            <v>6</v>
          </cell>
          <cell r="AR1494" t="str">
            <v>Paclitaxel+Carboplatin</v>
          </cell>
          <cell r="AV1494">
            <v>45910</v>
          </cell>
          <cell r="AW1494">
            <v>0.72222222222222221</v>
          </cell>
          <cell r="AX1494">
            <v>0.77986111111111112</v>
          </cell>
          <cell r="AY1494">
            <v>5.7638888888888892E-2</v>
          </cell>
          <cell r="AZ1494">
            <v>0.64583333333333337</v>
          </cell>
          <cell r="BA1494">
            <v>0.21388888888888888</v>
          </cell>
          <cell r="BB1494" t="str">
            <v>1.0*3.4*4.2
0.4-0.8*2.4*3.0</v>
          </cell>
          <cell r="BC1494" t="str">
            <v>1.0*1.4*3.0
0.4-0.8*1.8*2.8</v>
          </cell>
          <cell r="BD1494" t="str">
            <v>Manual</v>
          </cell>
          <cell r="BE1494">
            <v>15</v>
          </cell>
          <cell r="BF1494" t="str">
            <v>Dharani</v>
          </cell>
          <cell r="BG1494" t="str">
            <v>Y</v>
          </cell>
        </row>
        <row r="1495">
          <cell r="A1495" t="str">
            <v>FBR2A250235</v>
          </cell>
          <cell r="B1495">
            <v>250235</v>
          </cell>
          <cell r="C1495" t="str">
            <v>R&amp;D</v>
          </cell>
          <cell r="D1495">
            <v>45910</v>
          </cell>
          <cell r="E1495">
            <v>0.58333333333333337</v>
          </cell>
          <cell r="F1495">
            <v>45901</v>
          </cell>
          <cell r="G1495">
            <v>45910</v>
          </cell>
          <cell r="H1495">
            <v>0.73055555555555551</v>
          </cell>
          <cell r="I1495">
            <v>0.14722222222222223</v>
          </cell>
          <cell r="J1495">
            <v>10</v>
          </cell>
          <cell r="K1495" t="str">
            <v>FCB-PROTOCOL-01</v>
          </cell>
          <cell r="L1495" t="str">
            <v>SIMS-006</v>
          </cell>
          <cell r="M1495" t="str">
            <v>Y</v>
          </cell>
          <cell r="N1495" t="str">
            <v>Ovary CC (2A)</v>
          </cell>
          <cell r="O1495" t="str">
            <v>Internal R&amp;D</v>
          </cell>
          <cell r="P1495" t="str">
            <v>Q1 Passed</v>
          </cell>
          <cell r="Q1495" t="str">
            <v>Q1 Passed</v>
          </cell>
          <cell r="R1495" t="str">
            <v>Q1.5 Passed</v>
          </cell>
          <cell r="S1495" t="str">
            <v>Rejected</v>
          </cell>
          <cell r="T1495" t="str">
            <v>NA</v>
          </cell>
          <cell r="V1495" t="str">
            <v>Fragments show features of mature teratoma( Germ cell tumor). No malignant features in fragments</v>
          </cell>
          <cell r="W1495" t="str">
            <v>Private Hospital</v>
          </cell>
          <cell r="X1495" t="str">
            <v>Sapthagiri ClinTrac Pvt Ltd</v>
          </cell>
          <cell r="Y1495" t="str">
            <v>Sapthagiri Institute of Medical Sciences</v>
          </cell>
          <cell r="Z1495" t="str">
            <v>Dr Nataraj</v>
          </cell>
          <cell r="AA1495" t="str">
            <v>Ca Ovary</v>
          </cell>
          <cell r="AB1495" t="str">
            <v>NA</v>
          </cell>
          <cell r="AC1495" t="str">
            <v>Ovary</v>
          </cell>
          <cell r="AD1495" t="str">
            <v>Left Immature Ovarian Teratoma</v>
          </cell>
          <cell r="AE1495" t="str">
            <v>Female</v>
          </cell>
          <cell r="AF1495">
            <v>33</v>
          </cell>
          <cell r="AG1495" t="str">
            <v>N</v>
          </cell>
          <cell r="AH1495">
            <v>6.3</v>
          </cell>
          <cell r="AI1495" t="str">
            <v>Kalappa</v>
          </cell>
          <cell r="AJ1495" t="str">
            <v>Surgery</v>
          </cell>
          <cell r="AK1495" t="str">
            <v>Primary</v>
          </cell>
          <cell r="AL1495" t="str">
            <v>NA</v>
          </cell>
          <cell r="AV1495">
            <v>45910</v>
          </cell>
          <cell r="AW1495">
            <v>0.74305555555555558</v>
          </cell>
          <cell r="AX1495">
            <v>0.79513888888888884</v>
          </cell>
          <cell r="AY1495">
            <v>5.2083333333333336E-2</v>
          </cell>
          <cell r="AZ1495">
            <v>0.6479166666666667</v>
          </cell>
          <cell r="BA1495">
            <v>0.21180555555555555</v>
          </cell>
          <cell r="BB1495" t="str">
            <v>0.2*0.2-1.0*0.4-1.0
0.4-0.6*0.2-1.0*0.6-1.4</v>
          </cell>
          <cell r="BC1495" t="str">
            <v>NA</v>
          </cell>
          <cell r="BD1495" t="str">
            <v>Manual</v>
          </cell>
          <cell r="BE1495">
            <v>15</v>
          </cell>
          <cell r="BF1495" t="str">
            <v>Jobin</v>
          </cell>
          <cell r="BG1495" t="str">
            <v>Y</v>
          </cell>
        </row>
        <row r="1496">
          <cell r="A1496" t="str">
            <v>FBR1Q250236</v>
          </cell>
          <cell r="B1496">
            <v>250236</v>
          </cell>
          <cell r="C1496" t="str">
            <v>R&amp;D</v>
          </cell>
          <cell r="D1496">
            <v>45910</v>
          </cell>
          <cell r="E1496">
            <v>0.59513888888888888</v>
          </cell>
          <cell r="F1496">
            <v>45901</v>
          </cell>
          <cell r="G1496">
            <v>45910</v>
          </cell>
          <cell r="H1496">
            <v>0.7944444444444444</v>
          </cell>
          <cell r="I1496">
            <v>0.19930555555555557</v>
          </cell>
          <cell r="J1496">
            <v>3</v>
          </cell>
          <cell r="K1496" t="str">
            <v>FCB-PROTOCOL-01</v>
          </cell>
          <cell r="L1496" t="str">
            <v>CLN/PRA/354</v>
          </cell>
          <cell r="M1496" t="str">
            <v>Y</v>
          </cell>
          <cell r="N1496" t="str">
            <v>COSv4.2_CaBR(1Q-Unknown)</v>
          </cell>
          <cell r="O1496" t="str">
            <v>Internal R&amp;D</v>
          </cell>
          <cell r="P1496" t="str">
            <v>Q1 Passed</v>
          </cell>
          <cell r="Q1496" t="str">
            <v>Q1 Passed</v>
          </cell>
          <cell r="R1496" t="str">
            <v>Q1.5 Rejected</v>
          </cell>
          <cell r="S1496" t="str">
            <v>Qualified</v>
          </cell>
          <cell r="T1496" t="str">
            <v>NA</v>
          </cell>
          <cell r="V1496" t="str">
            <v>Tumor content 2-15%</v>
          </cell>
          <cell r="W1496" t="str">
            <v>Private Hospital</v>
          </cell>
          <cell r="X1496" t="str">
            <v>Dr Prakash BV, Bangalore</v>
          </cell>
          <cell r="Y1496" t="str">
            <v>Sri Lakshmi Hospital, Bangalore</v>
          </cell>
          <cell r="Z1496" t="str">
            <v>Dr Prakash BV, Bangalore</v>
          </cell>
          <cell r="AA1496" t="str">
            <v>Ca Breast</v>
          </cell>
          <cell r="AB1496" t="str">
            <v>NA</v>
          </cell>
          <cell r="AC1496" t="str">
            <v>Breast</v>
          </cell>
          <cell r="AD1496" t="str">
            <v>Left Breast</v>
          </cell>
          <cell r="AE1496" t="str">
            <v>Female</v>
          </cell>
          <cell r="AF1496">
            <v>38</v>
          </cell>
          <cell r="AG1496" t="str">
            <v>N</v>
          </cell>
          <cell r="AH1496">
            <v>6.4</v>
          </cell>
          <cell r="AI1496" t="str">
            <v>Maruthi</v>
          </cell>
          <cell r="AJ1496" t="str">
            <v>Surgery</v>
          </cell>
          <cell r="AK1496" t="str">
            <v>Primary</v>
          </cell>
          <cell r="AL1496" t="str">
            <v>NA</v>
          </cell>
          <cell r="AV1496">
            <v>45910</v>
          </cell>
          <cell r="AW1496">
            <v>0.80555555555555558</v>
          </cell>
          <cell r="AX1496">
            <v>0.8881944444444444</v>
          </cell>
          <cell r="AY1496">
            <v>8.2638888888888887E-2</v>
          </cell>
          <cell r="AZ1496">
            <v>0.68888888888888888</v>
          </cell>
          <cell r="BA1496">
            <v>0.29305555555555557</v>
          </cell>
          <cell r="BB1496" t="str">
            <v>0.4-1.0*1.2-1.6*3.8-4.0</v>
          </cell>
          <cell r="BC1496" t="str">
            <v>NA</v>
          </cell>
          <cell r="BD1496" t="str">
            <v>Manual</v>
          </cell>
          <cell r="BE1496">
            <v>15</v>
          </cell>
          <cell r="BF1496" t="str">
            <v>Mouniss</v>
          </cell>
          <cell r="BG1496" t="str">
            <v>N</v>
          </cell>
        </row>
        <row r="1497">
          <cell r="A1497" t="str">
            <v>FBR1K250237</v>
          </cell>
          <cell r="B1497">
            <v>250237</v>
          </cell>
          <cell r="C1497" t="str">
            <v>R&amp;D</v>
          </cell>
          <cell r="D1497">
            <v>45911</v>
          </cell>
          <cell r="E1497">
            <v>0.69097222222222221</v>
          </cell>
          <cell r="F1497">
            <v>45901</v>
          </cell>
          <cell r="G1497">
            <v>45911</v>
          </cell>
          <cell r="H1497">
            <v>0.7368055555555556</v>
          </cell>
          <cell r="I1497">
            <v>4.583333333333333E-2</v>
          </cell>
          <cell r="J1497">
            <v>5</v>
          </cell>
          <cell r="K1497" t="str">
            <v>FCB-PROTOCOL-01</v>
          </cell>
          <cell r="L1497" t="str">
            <v>CLN/PRA/355</v>
          </cell>
          <cell r="N1497" t="str">
            <v>DMS_v4(1K)</v>
          </cell>
          <cell r="O1497" t="str">
            <v>Internal R&amp;D</v>
          </cell>
          <cell r="P1497" t="str">
            <v>Q1 Passed</v>
          </cell>
          <cell r="Q1497" t="str">
            <v>Q1 Passed</v>
          </cell>
          <cell r="R1497" t="str">
            <v>Q1.5 Passed</v>
          </cell>
          <cell r="S1497" t="str">
            <v>Qualified</v>
          </cell>
          <cell r="T1497" t="str">
            <v>NA</v>
          </cell>
          <cell r="V1497" t="str">
            <v>Tumor content 15-45%</v>
          </cell>
          <cell r="W1497" t="str">
            <v>Private Hospital</v>
          </cell>
          <cell r="X1497" t="str">
            <v>Dr Prakash BV, Bangalore</v>
          </cell>
          <cell r="Y1497" t="str">
            <v>Sri Lakshmi Hospital, Bangalore</v>
          </cell>
          <cell r="Z1497" t="str">
            <v>Dr Prakash BV, Bangalore</v>
          </cell>
          <cell r="AA1497" t="str">
            <v>HNSCC</v>
          </cell>
          <cell r="AB1497" t="str">
            <v>NA</v>
          </cell>
          <cell r="AC1497" t="str">
            <v>Pharynx</v>
          </cell>
          <cell r="AD1497" t="str">
            <v>Hyphopharynx</v>
          </cell>
          <cell r="AE1497" t="str">
            <v>Female</v>
          </cell>
          <cell r="AF1497">
            <v>80</v>
          </cell>
          <cell r="AG1497" t="str">
            <v>N</v>
          </cell>
          <cell r="AH1497">
            <v>6.5</v>
          </cell>
          <cell r="AI1497" t="str">
            <v>Kalappa</v>
          </cell>
          <cell r="AJ1497" t="str">
            <v>Surgery</v>
          </cell>
          <cell r="AK1497" t="str">
            <v>Primary</v>
          </cell>
          <cell r="AL1497" t="str">
            <v>NA</v>
          </cell>
          <cell r="AN1497" t="str">
            <v>III</v>
          </cell>
          <cell r="AP1497" t="str">
            <v>pT3N2M0</v>
          </cell>
          <cell r="AS1497" t="str">
            <v>SCC</v>
          </cell>
          <cell r="AV1497">
            <v>45911</v>
          </cell>
          <cell r="AW1497">
            <v>0.76041666666666663</v>
          </cell>
          <cell r="AX1497">
            <v>0.85763888888888884</v>
          </cell>
          <cell r="AY1497">
            <v>9.7222222222222224E-2</v>
          </cell>
          <cell r="AZ1497">
            <v>0.81180555555555556</v>
          </cell>
          <cell r="BA1497">
            <v>0.16666666666666666</v>
          </cell>
          <cell r="BB1497" t="str">
            <v>0.4-0.8*0.9*1.8</v>
          </cell>
          <cell r="BC1497" t="str">
            <v>NA</v>
          </cell>
          <cell r="BD1497" t="str">
            <v>Vibratome</v>
          </cell>
          <cell r="BE1497">
            <v>15</v>
          </cell>
          <cell r="BF1497" t="str">
            <v>Mano</v>
          </cell>
          <cell r="BG1497" t="str">
            <v>Y</v>
          </cell>
        </row>
        <row r="1498">
          <cell r="A1498" t="str">
            <v>FBR1K250238</v>
          </cell>
          <cell r="B1498">
            <v>250238</v>
          </cell>
          <cell r="C1498" t="str">
            <v>R&amp;D</v>
          </cell>
          <cell r="D1498">
            <v>45912</v>
          </cell>
          <cell r="E1498">
            <v>0.66666666666666663</v>
          </cell>
          <cell r="F1498">
            <v>45901</v>
          </cell>
          <cell r="G1498">
            <v>45912</v>
          </cell>
          <cell r="H1498">
            <v>0.81944444444444442</v>
          </cell>
          <cell r="I1498">
            <v>0.15277777777777779</v>
          </cell>
          <cell r="J1498">
            <v>10</v>
          </cell>
          <cell r="K1498" t="str">
            <v>FCB-PROTOCOL-01</v>
          </cell>
          <cell r="L1498" t="str">
            <v>SIMS-007</v>
          </cell>
          <cell r="M1498" t="str">
            <v>Y</v>
          </cell>
          <cell r="N1498" t="str">
            <v>DMS_v4(1K)</v>
          </cell>
          <cell r="O1498" t="str">
            <v>Internal R&amp;D</v>
          </cell>
          <cell r="P1498" t="str">
            <v>Q1 Passed</v>
          </cell>
          <cell r="Q1498" t="str">
            <v>Q1 Passed</v>
          </cell>
          <cell r="R1498" t="str">
            <v>Q1.5 Passed</v>
          </cell>
          <cell r="S1498" t="str">
            <v>Qualified</v>
          </cell>
          <cell r="T1498" t="str">
            <v>NA</v>
          </cell>
          <cell r="V1498" t="str">
            <v>Tumor content 12-40%</v>
          </cell>
          <cell r="W1498" t="str">
            <v>Private Hospital</v>
          </cell>
          <cell r="X1498" t="str">
            <v>Sapthagiri ClinTrac Pvt Ltd</v>
          </cell>
          <cell r="Y1498" t="str">
            <v>Sapthagiri Institute of Medical Sciences</v>
          </cell>
          <cell r="Z1498" t="str">
            <v>Dr Nataraj</v>
          </cell>
          <cell r="AA1498" t="str">
            <v>HNSCC</v>
          </cell>
          <cell r="AB1498" t="str">
            <v>NA</v>
          </cell>
          <cell r="AC1498" t="str">
            <v>Alveolus</v>
          </cell>
          <cell r="AD1498" t="str">
            <v>Lower Alveolus + Floor of mouth</v>
          </cell>
          <cell r="AE1498" t="str">
            <v>Male</v>
          </cell>
          <cell r="AF1498">
            <v>80</v>
          </cell>
          <cell r="AG1498" t="str">
            <v>N</v>
          </cell>
          <cell r="AH1498">
            <v>5.5</v>
          </cell>
          <cell r="AI1498" t="str">
            <v>Kalappa</v>
          </cell>
          <cell r="AJ1498" t="str">
            <v>Surgery</v>
          </cell>
          <cell r="AK1498" t="str">
            <v>Primary</v>
          </cell>
          <cell r="AL1498" t="str">
            <v>NA</v>
          </cell>
          <cell r="AV1498">
            <v>45912</v>
          </cell>
          <cell r="AW1498">
            <v>0.83333333333333337</v>
          </cell>
          <cell r="AX1498">
            <v>0.88958333333333328</v>
          </cell>
          <cell r="AY1498">
            <v>5.6250000000000001E-2</v>
          </cell>
          <cell r="AZ1498">
            <v>0.7368055555555556</v>
          </cell>
          <cell r="BA1498">
            <v>0.22291666666666668</v>
          </cell>
          <cell r="BB1498" t="str">
            <v>0.4*0.8*1.6
0.4-0.8*0.4-1.0*1.4
0.1-0.2*1.2*1.8</v>
          </cell>
          <cell r="BC1498" t="str">
            <v>NA</v>
          </cell>
          <cell r="BD1498" t="str">
            <v>Vibratome</v>
          </cell>
          <cell r="BE1498">
            <v>15</v>
          </cell>
          <cell r="BF1498" t="str">
            <v>Vasanth</v>
          </cell>
          <cell r="BG1498" t="str">
            <v>N</v>
          </cell>
        </row>
        <row r="1499">
          <cell r="A1499" t="str">
            <v>FBR1K250239</v>
          </cell>
          <cell r="B1499">
            <v>250239</v>
          </cell>
          <cell r="C1499" t="str">
            <v>R&amp;D</v>
          </cell>
          <cell r="D1499">
            <v>45912</v>
          </cell>
          <cell r="E1499">
            <v>0.51388888888888884</v>
          </cell>
          <cell r="F1499">
            <v>45901</v>
          </cell>
          <cell r="G1499">
            <v>45912</v>
          </cell>
          <cell r="H1499">
            <v>0.88888888888888884</v>
          </cell>
          <cell r="I1499">
            <v>0.375</v>
          </cell>
          <cell r="J1499">
            <v>10</v>
          </cell>
          <cell r="K1499" t="str">
            <v>FCB-PROTOCOL-01</v>
          </cell>
          <cell r="L1499" t="str">
            <v>CLN/DBR/251</v>
          </cell>
          <cell r="M1499" t="str">
            <v>Y</v>
          </cell>
          <cell r="N1499" t="str">
            <v>DMS_v4(1K)</v>
          </cell>
          <cell r="O1499" t="str">
            <v>Internal R&amp;D</v>
          </cell>
          <cell r="P1499" t="str">
            <v>Q1 Passed</v>
          </cell>
          <cell r="Q1499" t="str">
            <v>Q1 Passed</v>
          </cell>
          <cell r="R1499" t="str">
            <v>Q1.5 Passed</v>
          </cell>
          <cell r="S1499" t="str">
            <v>Qualified</v>
          </cell>
          <cell r="T1499" t="str">
            <v>NA</v>
          </cell>
          <cell r="V1499" t="str">
            <v>Tumor content 15-75% with good immune presence</v>
          </cell>
          <cell r="W1499" t="str">
            <v>Private Hospital</v>
          </cell>
          <cell r="X1499" t="str">
            <v>Clinic'les- DBR &amp; SK Hospital, Tirupati</v>
          </cell>
          <cell r="Y1499" t="str">
            <v>DBR &amp; SK Hospital, Tirupati</v>
          </cell>
          <cell r="Z1499" t="str">
            <v>Dr C Jayaprakash, Tirupati</v>
          </cell>
          <cell r="AA1499" t="str">
            <v>HNSCC</v>
          </cell>
          <cell r="AB1499" t="str">
            <v>NA</v>
          </cell>
          <cell r="AC1499" t="str">
            <v>Buccal Mucosa</v>
          </cell>
          <cell r="AD1499" t="str">
            <v>Left Buccal Mucosa</v>
          </cell>
          <cell r="AE1499" t="str">
            <v>Female</v>
          </cell>
          <cell r="AF1499">
            <v>49</v>
          </cell>
          <cell r="AG1499" t="str">
            <v>N</v>
          </cell>
          <cell r="AH1499">
            <v>4.9000000000000004</v>
          </cell>
          <cell r="AI1499" t="str">
            <v>Shashi</v>
          </cell>
          <cell r="AJ1499" t="str">
            <v>Surgery</v>
          </cell>
          <cell r="AK1499" t="str">
            <v>Primary</v>
          </cell>
          <cell r="AL1499" t="str">
            <v>NA</v>
          </cell>
          <cell r="AN1499" t="str">
            <v>IVb</v>
          </cell>
          <cell r="AP1499" t="str">
            <v>T3 N3b MX</v>
          </cell>
          <cell r="AS1499" t="str">
            <v xml:space="preserve">moderately differentiated squamous cell carcinoma </v>
          </cell>
          <cell r="AV1499">
            <v>45913</v>
          </cell>
          <cell r="AW1499">
            <v>0.30138888888888887</v>
          </cell>
          <cell r="AX1499">
            <v>0.38124999999999998</v>
          </cell>
          <cell r="AY1499">
            <v>7.9861111111111105E-2</v>
          </cell>
          <cell r="AZ1499">
            <v>6.2500000000000003E-3</v>
          </cell>
          <cell r="BA149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499" t="str">
            <v>0.3-0.6*0.6-1.2*1.2-1.8</v>
          </cell>
          <cell r="BC1499" t="str">
            <v>NA</v>
          </cell>
          <cell r="BD1499" t="str">
            <v>Vibratome</v>
          </cell>
          <cell r="BE1499">
            <v>15</v>
          </cell>
          <cell r="BF1499" t="str">
            <v>Mouniss</v>
          </cell>
          <cell r="BG1499" t="str">
            <v>Y</v>
          </cell>
        </row>
        <row r="1500">
          <cell r="A1500" t="str">
            <v>FBR1Y250240</v>
          </cell>
          <cell r="B1500">
            <v>250240</v>
          </cell>
          <cell r="C1500" t="str">
            <v>R&amp;D</v>
          </cell>
          <cell r="D1500">
            <v>45915</v>
          </cell>
          <cell r="E1500">
            <v>0.46111111111111114</v>
          </cell>
          <cell r="F1500">
            <v>45901</v>
          </cell>
          <cell r="G1500">
            <v>45915</v>
          </cell>
          <cell r="H1500">
            <v>0.61250000000000004</v>
          </cell>
          <cell r="I1500">
            <v>0.15138888888888888</v>
          </cell>
          <cell r="J1500">
            <v>10</v>
          </cell>
          <cell r="K1500" t="str">
            <v>FCB-PROTOCOL-01</v>
          </cell>
          <cell r="L1500" t="str">
            <v>VYD/423</v>
          </cell>
          <cell r="M1500" t="str">
            <v>Y</v>
          </cell>
          <cell r="N1500" t="str">
            <v>CCS Study (1Y)</v>
          </cell>
          <cell r="O1500" t="str">
            <v>Internal R&amp;D</v>
          </cell>
          <cell r="P1500" t="str">
            <v>Q1 Passed</v>
          </cell>
          <cell r="Q1500" t="str">
            <v>Q1 Passed</v>
          </cell>
          <cell r="R1500" t="str">
            <v>Q1.5 Passed</v>
          </cell>
          <cell r="S1500" t="str">
            <v>Qualified</v>
          </cell>
          <cell r="T1500" t="str">
            <v>NA</v>
          </cell>
          <cell r="V1500" t="str">
            <v>Tumor content 60-80%</v>
          </cell>
          <cell r="W1500" t="str">
            <v>Private Hospital</v>
          </cell>
          <cell r="X1500" t="str">
            <v>Vydehi Hospital, Bangalore</v>
          </cell>
          <cell r="Y1500" t="str">
            <v>Vydehi Hospital, Bangalore</v>
          </cell>
          <cell r="Z1500" t="str">
            <v>Dr Amritha Prabha, Bangalore</v>
          </cell>
          <cell r="AA1500" t="str">
            <v>HNSCC</v>
          </cell>
          <cell r="AB1500" t="str">
            <v>NA</v>
          </cell>
          <cell r="AC1500" t="str">
            <v>Buccal Mucosa</v>
          </cell>
          <cell r="AD1500" t="str">
            <v>Right Buccal Mucosa</v>
          </cell>
          <cell r="AE1500" t="str">
            <v>Female</v>
          </cell>
          <cell r="AF1500">
            <v>77</v>
          </cell>
          <cell r="AG1500" t="str">
            <v>N</v>
          </cell>
          <cell r="AH1500">
            <v>4.5999999999999996</v>
          </cell>
          <cell r="AI1500" t="str">
            <v>Kalappa</v>
          </cell>
          <cell r="AJ1500" t="str">
            <v>Surgery</v>
          </cell>
          <cell r="AK1500" t="str">
            <v>Primary</v>
          </cell>
          <cell r="AL1500" t="str">
            <v>NA</v>
          </cell>
          <cell r="AS1500" t="str">
            <v>Various Carcinoma</v>
          </cell>
          <cell r="AV1500">
            <v>45915</v>
          </cell>
          <cell r="AW1500">
            <v>0.63263888888888886</v>
          </cell>
          <cell r="AX1500">
            <v>0.70277777777777772</v>
          </cell>
          <cell r="AY1500">
            <v>7.013888888888889E-2</v>
          </cell>
          <cell r="AZ1500">
            <v>0.55138888888888893</v>
          </cell>
          <cell r="BA1500">
            <v>0.24166666666666667</v>
          </cell>
          <cell r="BB1500" t="str">
            <v>0.2-0.4*1.0*1.0-1.2</v>
          </cell>
          <cell r="BC1500" t="str">
            <v>NA</v>
          </cell>
          <cell r="BD1500" t="str">
            <v>Vibratome</v>
          </cell>
          <cell r="BE1500">
            <v>15</v>
          </cell>
          <cell r="BF1500" t="str">
            <v>Mano</v>
          </cell>
          <cell r="BG1500" t="str">
            <v>Y</v>
          </cell>
        </row>
        <row r="1501">
          <cell r="A1501" t="str">
            <v>FBR1K250241</v>
          </cell>
          <cell r="B1501">
            <v>250241</v>
          </cell>
          <cell r="C1501" t="str">
            <v>R&amp;D</v>
          </cell>
          <cell r="D1501">
            <v>45916</v>
          </cell>
          <cell r="E1501">
            <v>0.43333333333333335</v>
          </cell>
          <cell r="F1501">
            <v>45901</v>
          </cell>
          <cell r="G1501">
            <v>45916</v>
          </cell>
          <cell r="H1501">
            <v>0.58611111111111114</v>
          </cell>
          <cell r="I1501">
            <v>0.15277777777777779</v>
          </cell>
          <cell r="J1501">
            <v>3</v>
          </cell>
          <cell r="K1501" t="str">
            <v>FCB-PROTOCOL-01</v>
          </cell>
          <cell r="L1501" t="str">
            <v>VYD/424</v>
          </cell>
          <cell r="M1501" t="str">
            <v>Y</v>
          </cell>
          <cell r="N1501" t="str">
            <v>DMS_v4(1K)</v>
          </cell>
          <cell r="O1501" t="str">
            <v>Internal R&amp;D</v>
          </cell>
          <cell r="P1501" t="str">
            <v>Q1 Passed</v>
          </cell>
          <cell r="Q1501" t="str">
            <v>Q1 Passed</v>
          </cell>
          <cell r="R1501" t="str">
            <v>Q1.5 Passed</v>
          </cell>
          <cell r="S1501" t="str">
            <v>Qualified</v>
          </cell>
          <cell r="T1501" t="str">
            <v>NA</v>
          </cell>
          <cell r="V1501" t="str">
            <v>Tumor content 15-60%</v>
          </cell>
          <cell r="W1501" t="str">
            <v>Private Hospital</v>
          </cell>
          <cell r="X1501" t="str">
            <v>Vydehi Hospital, Bangalore</v>
          </cell>
          <cell r="Y1501" t="str">
            <v>Vydehi Hospital, Bangalore</v>
          </cell>
          <cell r="Z1501" t="str">
            <v>Dr Amritha Prabha, Bangalore</v>
          </cell>
          <cell r="AA1501" t="str">
            <v>HNSCC</v>
          </cell>
          <cell r="AB1501" t="str">
            <v>NA</v>
          </cell>
          <cell r="AC1501" t="str">
            <v>Alveolus</v>
          </cell>
          <cell r="AD1501" t="str">
            <v>Lower Alveolus</v>
          </cell>
          <cell r="AE1501" t="str">
            <v>Female</v>
          </cell>
          <cell r="AF1501">
            <v>60</v>
          </cell>
          <cell r="AG1501" t="str">
            <v>N</v>
          </cell>
          <cell r="AH1501">
            <v>5.2</v>
          </cell>
          <cell r="AI1501" t="str">
            <v>Shashi</v>
          </cell>
          <cell r="AJ1501" t="str">
            <v>Surgery</v>
          </cell>
          <cell r="AK1501" t="str">
            <v>Primary</v>
          </cell>
          <cell r="AL1501" t="str">
            <v>NA</v>
          </cell>
          <cell r="AS1501" t="str">
            <v>SCC</v>
          </cell>
          <cell r="AV1501">
            <v>45916</v>
          </cell>
          <cell r="AW1501">
            <v>0.62569444444444444</v>
          </cell>
          <cell r="AX1501">
            <v>0.70694444444444449</v>
          </cell>
          <cell r="AY1501">
            <v>8.1250000000000003E-2</v>
          </cell>
          <cell r="AZ1501">
            <v>0.5541666666666667</v>
          </cell>
          <cell r="BA1501">
            <v>0.27361111111111114</v>
          </cell>
          <cell r="BB1501" t="str">
            <v>0.6-1.0*0.6-1.2*1.0-1.8</v>
          </cell>
          <cell r="BC1501" t="str">
            <v>NA</v>
          </cell>
          <cell r="BD1501" t="str">
            <v>Vibratome</v>
          </cell>
          <cell r="BE1501">
            <v>15</v>
          </cell>
          <cell r="BF1501" t="str">
            <v>Jobin</v>
          </cell>
          <cell r="BG1501" t="str">
            <v>Y</v>
          </cell>
        </row>
        <row r="1502">
          <cell r="A1502" t="str">
            <v>FBR1K250242</v>
          </cell>
          <cell r="B1502">
            <v>250242</v>
          </cell>
          <cell r="C1502" t="str">
            <v>R&amp;D</v>
          </cell>
          <cell r="D1502">
            <v>45916</v>
          </cell>
          <cell r="E1502">
            <v>0.52777777777777779</v>
          </cell>
          <cell r="F1502">
            <v>45901</v>
          </cell>
          <cell r="G1502">
            <v>45916</v>
          </cell>
          <cell r="H1502">
            <v>0.85138888888888886</v>
          </cell>
          <cell r="I1502">
            <v>0.32361111111111113</v>
          </cell>
          <cell r="J1502">
            <v>10</v>
          </cell>
          <cell r="K1502" t="str">
            <v>FCB-PROTOCOL-01</v>
          </cell>
          <cell r="L1502" t="str">
            <v>CLN/DBR/252</v>
          </cell>
          <cell r="M1502" t="str">
            <v>Y</v>
          </cell>
          <cell r="N1502" t="str">
            <v>DMS_v4(1K)</v>
          </cell>
          <cell r="O1502" t="str">
            <v>Internal R&amp;D</v>
          </cell>
          <cell r="P1502" t="str">
            <v>Q1 Passed</v>
          </cell>
          <cell r="Q1502" t="str">
            <v>Q1 Passed</v>
          </cell>
          <cell r="R1502" t="str">
            <v>Q1.5 Passed</v>
          </cell>
          <cell r="S1502" t="str">
            <v>Rejected</v>
          </cell>
          <cell r="T1502" t="str">
            <v>NA</v>
          </cell>
          <cell r="V1502" t="str">
            <v xml:space="preserve"> Tumor content 40-80%</v>
          </cell>
          <cell r="W1502" t="str">
            <v>Private Hospital</v>
          </cell>
          <cell r="X1502" t="str">
            <v>Clinic'les- DBR &amp; SK Hospital, Tirupati</v>
          </cell>
          <cell r="Y1502" t="str">
            <v>DBR &amp; SK Hospital, Tirupati</v>
          </cell>
          <cell r="Z1502" t="str">
            <v>Dr C Jayaprakash, Tirupati</v>
          </cell>
          <cell r="AA1502" t="str">
            <v>HNSCC</v>
          </cell>
          <cell r="AB1502" t="str">
            <v>NA</v>
          </cell>
          <cell r="AC1502" t="str">
            <v>Buccal Mucosa</v>
          </cell>
          <cell r="AD1502" t="str">
            <v>Left Buccal Mucosa</v>
          </cell>
          <cell r="AE1502" t="str">
            <v>Female</v>
          </cell>
          <cell r="AF1502">
            <v>49</v>
          </cell>
          <cell r="AG1502" t="str">
            <v>N</v>
          </cell>
          <cell r="AH1502">
            <v>6.5</v>
          </cell>
          <cell r="AI1502" t="str">
            <v>Shashi</v>
          </cell>
          <cell r="AJ1502" t="str">
            <v>Surgery</v>
          </cell>
          <cell r="AK1502" t="str">
            <v>Primary</v>
          </cell>
          <cell r="AL1502" t="str">
            <v>NA</v>
          </cell>
          <cell r="AN1502" t="str">
            <v>IVa</v>
          </cell>
          <cell r="AP1502" t="str">
            <v>T3 N2 MX</v>
          </cell>
          <cell r="AS1502" t="str">
            <v xml:space="preserve">moderately differentiated squamous cell carcinoma </v>
          </cell>
          <cell r="AV1502">
            <v>45917</v>
          </cell>
          <cell r="AW1502">
            <v>0.2951388888888889</v>
          </cell>
          <cell r="AX1502">
            <v>0.36458333333333331</v>
          </cell>
          <cell r="AY1502">
            <v>6.9444444444444448E-2</v>
          </cell>
          <cell r="AZ1502">
            <v>4.0972222222222222E-2</v>
          </cell>
          <cell r="BA1502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02" t="str">
            <v>0.6/0.8*1.0*2.2</v>
          </cell>
          <cell r="BC1502" t="str">
            <v>NA</v>
          </cell>
          <cell r="BD1502" t="str">
            <v>Vibratome</v>
          </cell>
          <cell r="BE1502">
            <v>15</v>
          </cell>
          <cell r="BF1502" t="str">
            <v>chandan</v>
          </cell>
          <cell r="BG1502" t="str">
            <v>Y</v>
          </cell>
        </row>
        <row r="1503">
          <cell r="A1503" t="str">
            <v>FBR1Q250243</v>
          </cell>
          <cell r="B1503">
            <v>250243</v>
          </cell>
          <cell r="C1503" t="str">
            <v>R&amp;D</v>
          </cell>
          <cell r="D1503">
            <v>45917</v>
          </cell>
          <cell r="E1503">
            <v>0.63541666666666663</v>
          </cell>
          <cell r="F1503">
            <v>45901</v>
          </cell>
          <cell r="G1503">
            <v>45917</v>
          </cell>
          <cell r="H1503">
            <v>0.78611111111111109</v>
          </cell>
          <cell r="I1503">
            <v>0.15069444444444444</v>
          </cell>
          <cell r="J1503">
            <v>5</v>
          </cell>
          <cell r="K1503" t="str">
            <v>FCB-PROTOCOL-01</v>
          </cell>
          <cell r="L1503" t="str">
            <v>JSS-057</v>
          </cell>
          <cell r="M1503" t="str">
            <v>Y</v>
          </cell>
          <cell r="N1503" t="str">
            <v>COSv4.2_CaBR(1Q-Unknown)</v>
          </cell>
          <cell r="O1503" t="str">
            <v>Internal R&amp;D</v>
          </cell>
          <cell r="P1503" t="str">
            <v>Q1 Passed</v>
          </cell>
          <cell r="Q1503" t="str">
            <v>Q1 Rejected</v>
          </cell>
          <cell r="R1503" t="str">
            <v>Compromised</v>
          </cell>
          <cell r="S1503" t="str">
            <v>Rejected</v>
          </cell>
          <cell r="T1503" t="str">
            <v>NA</v>
          </cell>
          <cell r="V1503" t="str">
            <v>No tumor</v>
          </cell>
          <cell r="W1503" t="str">
            <v>Private Hospital</v>
          </cell>
          <cell r="X1503" t="str">
            <v>Dr Ravi Krishnappa, Mysore</v>
          </cell>
          <cell r="Y1503" t="str">
            <v>JSS Hospital, Mysore</v>
          </cell>
          <cell r="Z1503" t="str">
            <v>Dr Ravi Krishnappa, Mysore</v>
          </cell>
          <cell r="AA1503" t="str">
            <v>Ca Breast</v>
          </cell>
          <cell r="AB1503" t="str">
            <v>ER +
Pr +
Her2 +</v>
          </cell>
          <cell r="AC1503" t="str">
            <v>Breast</v>
          </cell>
          <cell r="AD1503" t="str">
            <v>Left Breast</v>
          </cell>
          <cell r="AE1503" t="str">
            <v>Female</v>
          </cell>
          <cell r="AF1503">
            <v>62</v>
          </cell>
          <cell r="AG1503" t="str">
            <v>N</v>
          </cell>
          <cell r="AH1503">
            <v>6.1</v>
          </cell>
          <cell r="AI1503" t="str">
            <v>Shashi</v>
          </cell>
          <cell r="AJ1503" t="str">
            <v>Surgery</v>
          </cell>
          <cell r="AK1503" t="str">
            <v>Primary</v>
          </cell>
          <cell r="AL1503" t="str">
            <v>Chemotherapy</v>
          </cell>
          <cell r="AP1503" t="str">
            <v>pT4bN2M0</v>
          </cell>
          <cell r="AQ1503">
            <v>8</v>
          </cell>
          <cell r="AR1503" t="str">
            <v>Adriyamycin+ Cyclophosphamide +Paclitaxel</v>
          </cell>
          <cell r="AV1503">
            <v>45917</v>
          </cell>
          <cell r="AW1503">
            <v>0.79722222222222228</v>
          </cell>
          <cell r="AX1503">
            <v>0.84444444444444444</v>
          </cell>
          <cell r="AY1503">
            <v>4.7222222222222221E-2</v>
          </cell>
          <cell r="AZ1503">
            <v>0.69374999999999998</v>
          </cell>
          <cell r="BA1503">
            <v>0.20902777777777778</v>
          </cell>
          <cell r="BB1503" t="str">
            <v>0.2-0.3*3.0*2.2</v>
          </cell>
          <cell r="BC1503" t="str">
            <v>NA</v>
          </cell>
          <cell r="BD1503" t="str">
            <v>Manual</v>
          </cell>
          <cell r="BE1503">
            <v>15</v>
          </cell>
          <cell r="BF1503" t="str">
            <v>Mouniss</v>
          </cell>
          <cell r="BG1503" t="str">
            <v>N</v>
          </cell>
        </row>
        <row r="1504">
          <cell r="A1504" t="str">
            <v>FBR1K250244</v>
          </cell>
          <cell r="B1504">
            <v>250244</v>
          </cell>
          <cell r="C1504" t="str">
            <v>R&amp;D</v>
          </cell>
          <cell r="D1504">
            <v>45918</v>
          </cell>
          <cell r="E1504">
            <v>0.46875</v>
          </cell>
          <cell r="F1504">
            <v>45901</v>
          </cell>
          <cell r="G1504">
            <v>45918</v>
          </cell>
          <cell r="H1504">
            <v>0.67777777777777781</v>
          </cell>
          <cell r="I1504">
            <v>0.20902777777777778</v>
          </cell>
          <cell r="J1504">
            <v>3</v>
          </cell>
          <cell r="K1504" t="str">
            <v>FCB-PROTOCOL-01</v>
          </cell>
          <cell r="L1504" t="str">
            <v>VYD/425</v>
          </cell>
          <cell r="M1504" t="str">
            <v>Y</v>
          </cell>
          <cell r="N1504" t="str">
            <v>DMS_v4(1K)</v>
          </cell>
          <cell r="O1504" t="str">
            <v>Internal R&amp;D</v>
          </cell>
          <cell r="P1504" t="str">
            <v>Q1 Passed</v>
          </cell>
          <cell r="Q1504" t="str">
            <v>Q1 Passed</v>
          </cell>
          <cell r="R1504" t="str">
            <v>Q1.5 Passed</v>
          </cell>
          <cell r="S1504" t="str">
            <v>Qualified</v>
          </cell>
          <cell r="T1504" t="str">
            <v>NA</v>
          </cell>
          <cell r="V1504" t="str">
            <v>Tumor content 10-75%</v>
          </cell>
          <cell r="W1504" t="str">
            <v>Private Hospital</v>
          </cell>
          <cell r="X1504" t="str">
            <v>Vydehi Hospital, Bangalore</v>
          </cell>
          <cell r="Y1504" t="str">
            <v>Vydehi Hospital, Bangalore</v>
          </cell>
          <cell r="Z1504" t="str">
            <v>Dr Amritha Prabha, Bangalore</v>
          </cell>
          <cell r="AA1504" t="str">
            <v>HNSCC</v>
          </cell>
          <cell r="AB1504" t="str">
            <v>NA</v>
          </cell>
          <cell r="AC1504" t="str">
            <v>Alveolus</v>
          </cell>
          <cell r="AD1504" t="str">
            <v>Central Alveolus</v>
          </cell>
          <cell r="AE1504" t="str">
            <v>Male</v>
          </cell>
          <cell r="AF1504">
            <v>55</v>
          </cell>
          <cell r="AG1504" t="str">
            <v>N</v>
          </cell>
          <cell r="AH1504">
            <v>5.8</v>
          </cell>
          <cell r="AI1504" t="str">
            <v>Maruthi</v>
          </cell>
          <cell r="AJ1504" t="str">
            <v>Surgery</v>
          </cell>
          <cell r="AK1504" t="str">
            <v>Primary</v>
          </cell>
          <cell r="AL1504" t="str">
            <v>NA</v>
          </cell>
          <cell r="AV1504">
            <v>45918</v>
          </cell>
          <cell r="AW1504">
            <v>0.69722222222222219</v>
          </cell>
          <cell r="AX1504">
            <v>0.77777777777777779</v>
          </cell>
          <cell r="AY1504">
            <v>8.0555555555555561E-2</v>
          </cell>
          <cell r="AZ1504">
            <v>0.56874999999999998</v>
          </cell>
          <cell r="BA1504">
            <v>0.30902777777777779</v>
          </cell>
          <cell r="BB1504" t="str">
            <v>0.2-0.8*1.0-1.2*1.5</v>
          </cell>
          <cell r="BC1504" t="str">
            <v>NA</v>
          </cell>
          <cell r="BD1504" t="str">
            <v>Vibratome</v>
          </cell>
          <cell r="BE1504">
            <v>15</v>
          </cell>
          <cell r="BF1504" t="str">
            <v>Mano</v>
          </cell>
          <cell r="BG1504" t="str">
            <v>Y</v>
          </cell>
        </row>
        <row r="1505">
          <cell r="A1505" t="str">
            <v>FBR1J250245</v>
          </cell>
          <cell r="B1505">
            <v>250245</v>
          </cell>
          <cell r="C1505" t="str">
            <v>R&amp;D</v>
          </cell>
          <cell r="D1505">
            <v>45918</v>
          </cell>
          <cell r="E1505">
            <v>0.46527777777777779</v>
          </cell>
          <cell r="F1505">
            <v>45901</v>
          </cell>
          <cell r="G1505">
            <v>45918</v>
          </cell>
          <cell r="H1505">
            <v>0.87986111111111109</v>
          </cell>
          <cell r="I1505">
            <v>0.41458333333333336</v>
          </cell>
          <cell r="J1505">
            <v>10</v>
          </cell>
          <cell r="K1505" t="str">
            <v>FCB-PROTOCOL-01</v>
          </cell>
          <cell r="L1505" t="str">
            <v>CLN/DBR/253</v>
          </cell>
          <cell r="M1505" t="str">
            <v>Y</v>
          </cell>
          <cell r="N1505" t="str">
            <v>COS_v3.0-Gastric (1J)</v>
          </cell>
          <cell r="O1505" t="str">
            <v>Internal R&amp;D</v>
          </cell>
          <cell r="P1505" t="str">
            <v>Q1 Passed</v>
          </cell>
          <cell r="Q1505" t="str">
            <v>Q1 Passed</v>
          </cell>
          <cell r="R1505" t="str">
            <v>Q1.5 Passed</v>
          </cell>
          <cell r="S1505" t="str">
            <v>Rejected</v>
          </cell>
          <cell r="T1505" t="str">
            <v>NA</v>
          </cell>
          <cell r="V1505" t="str">
            <v>No tumor</v>
          </cell>
          <cell r="W1505" t="str">
            <v>Private Hospital</v>
          </cell>
          <cell r="X1505" t="str">
            <v>Clinic'les- DBR &amp; SK Hospital, Tirupati</v>
          </cell>
          <cell r="Y1505" t="str">
            <v>DBR &amp; SK Hospital, Tirupati</v>
          </cell>
          <cell r="Z1505" t="str">
            <v>Dr C Jayaprakash, Tirupati</v>
          </cell>
          <cell r="AA1505" t="str">
            <v>GI</v>
          </cell>
          <cell r="AB1505" t="str">
            <v>NA</v>
          </cell>
          <cell r="AC1505" t="str">
            <v>Stomach</v>
          </cell>
          <cell r="AD1505" t="str">
            <v>Stomach</v>
          </cell>
          <cell r="AE1505" t="str">
            <v>Female</v>
          </cell>
          <cell r="AF1505">
            <v>42</v>
          </cell>
          <cell r="AG1505" t="str">
            <v>N</v>
          </cell>
          <cell r="AH1505">
            <v>6.6</v>
          </cell>
          <cell r="AI1505" t="str">
            <v>Kalappa</v>
          </cell>
          <cell r="AJ1505" t="str">
            <v>Surgery</v>
          </cell>
          <cell r="AK1505" t="str">
            <v>Primary</v>
          </cell>
          <cell r="AL1505" t="str">
            <v>NA</v>
          </cell>
          <cell r="AV1505">
            <v>45919</v>
          </cell>
          <cell r="AW1505">
            <v>0.31111111111111112</v>
          </cell>
          <cell r="AX1505">
            <v>0.37847222222222221</v>
          </cell>
          <cell r="AY1505">
            <v>6.7361111111111108E-2</v>
          </cell>
          <cell r="AZ150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50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05" t="str">
            <v>0.6-1.0*2.0-2.6*3.4-3.8</v>
          </cell>
          <cell r="BC1505" t="str">
            <v>NA</v>
          </cell>
          <cell r="BD1505" t="str">
            <v>Manual</v>
          </cell>
          <cell r="BE1505">
            <v>13</v>
          </cell>
          <cell r="BF1505" t="str">
            <v xml:space="preserve">sai </v>
          </cell>
          <cell r="BG1505" t="str">
            <v>Y</v>
          </cell>
        </row>
        <row r="1506">
          <cell r="A1506" t="str">
            <v>FBR1X250246</v>
          </cell>
          <cell r="B1506">
            <v>250246</v>
          </cell>
          <cell r="C1506" t="str">
            <v>R&amp;D</v>
          </cell>
          <cell r="D1506">
            <v>45922</v>
          </cell>
          <cell r="E1506">
            <v>0.5</v>
          </cell>
          <cell r="F1506">
            <v>45901</v>
          </cell>
          <cell r="G1506">
            <v>45922</v>
          </cell>
          <cell r="H1506">
            <v>0.72638888888888886</v>
          </cell>
          <cell r="I1506">
            <v>0.22638888888888889</v>
          </cell>
          <cell r="J1506">
            <v>0</v>
          </cell>
          <cell r="K1506" t="str">
            <v>FCB-PROTOCOL-01</v>
          </cell>
          <cell r="L1506" t="str">
            <v>SIMS-009</v>
          </cell>
          <cell r="M1506" t="str">
            <v>Y</v>
          </cell>
          <cell r="N1506" t="str">
            <v>Biopsy HNSCC (1X)</v>
          </cell>
          <cell r="O1506" t="str">
            <v>Internal R&amp;D</v>
          </cell>
          <cell r="P1506" t="str">
            <v>Q1 Passed</v>
          </cell>
          <cell r="Q1506" t="str">
            <v>Q1 Passed</v>
          </cell>
          <cell r="R1506" t="str">
            <v>Q1.5 Passed</v>
          </cell>
          <cell r="S1506" t="str">
            <v>Qualified</v>
          </cell>
          <cell r="T1506" t="str">
            <v>NA</v>
          </cell>
          <cell r="V1506" t="str">
            <v>Tumor content 15-85%</v>
          </cell>
          <cell r="W1506" t="str">
            <v>Private Hospital</v>
          </cell>
          <cell r="X1506" t="str">
            <v>Sapthagiri ClinTrac Pvt Ltd</v>
          </cell>
          <cell r="Y1506" t="str">
            <v>Sapthagiri Institute of Medical Sciences</v>
          </cell>
          <cell r="Z1506" t="str">
            <v>Dr Nataraj</v>
          </cell>
          <cell r="AA1506" t="str">
            <v>HNSCC</v>
          </cell>
          <cell r="AB1506" t="str">
            <v>NA</v>
          </cell>
          <cell r="AC1506" t="str">
            <v>Buccal Mucosa</v>
          </cell>
          <cell r="AD1506" t="str">
            <v>Right Buccal Mucosa</v>
          </cell>
          <cell r="AE1506" t="str">
            <v>Male</v>
          </cell>
          <cell r="AF1506">
            <v>42</v>
          </cell>
          <cell r="AG1506" t="str">
            <v>N</v>
          </cell>
          <cell r="AH1506">
            <v>5.5</v>
          </cell>
          <cell r="AI1506" t="str">
            <v>Kalappa</v>
          </cell>
          <cell r="AJ1506" t="str">
            <v>Biopsy</v>
          </cell>
          <cell r="AK1506" t="str">
            <v>Primary</v>
          </cell>
          <cell r="AL1506" t="str">
            <v>Surgery</v>
          </cell>
          <cell r="AV1506">
            <v>45922</v>
          </cell>
          <cell r="AW1506">
            <v>0.73819444444444449</v>
          </cell>
          <cell r="AX1506">
            <v>0.76458333333333328</v>
          </cell>
          <cell r="AY1506">
            <v>2.6388888888888889E-2</v>
          </cell>
          <cell r="AZ1506">
            <v>0.53819444444444442</v>
          </cell>
          <cell r="BA1506">
            <v>0.26458333333333334</v>
          </cell>
          <cell r="BB1506" t="str">
            <v>0.1*0.6*1.0
0.1*0.6*1.2</v>
          </cell>
          <cell r="BC1506" t="str">
            <v>NA</v>
          </cell>
          <cell r="BD1506" t="str">
            <v>Manual</v>
          </cell>
          <cell r="BE1506">
            <v>15</v>
          </cell>
          <cell r="BF1506" t="str">
            <v>Syam</v>
          </cell>
          <cell r="BG1506" t="str">
            <v>Y</v>
          </cell>
        </row>
        <row r="1507">
          <cell r="A1507" t="str">
            <v>FBR2T250247</v>
          </cell>
          <cell r="B1507">
            <v>250247</v>
          </cell>
          <cell r="C1507" t="str">
            <v>R&amp;D</v>
          </cell>
          <cell r="D1507">
            <v>45922</v>
          </cell>
          <cell r="E1507">
            <v>0.65277777777777779</v>
          </cell>
          <cell r="F1507">
            <v>45901</v>
          </cell>
          <cell r="G1507">
            <v>45922</v>
          </cell>
          <cell r="H1507">
            <v>0.72638888888888886</v>
          </cell>
          <cell r="I1507">
            <v>7.3611111111111113E-2</v>
          </cell>
          <cell r="J1507">
            <v>8</v>
          </cell>
          <cell r="K1507" t="str">
            <v>FCB-PROTOCOL-01</v>
          </cell>
          <cell r="L1507" t="str">
            <v>SIMS-008</v>
          </cell>
          <cell r="M1507" t="str">
            <v>Y</v>
          </cell>
          <cell r="N1507" t="str">
            <v>Ovary CC (2A)</v>
          </cell>
          <cell r="O1507" t="str">
            <v>Internal R&amp;D</v>
          </cell>
          <cell r="P1507" t="str">
            <v>Q1 Passed</v>
          </cell>
          <cell r="Q1507" t="str">
            <v>Q1 Passed</v>
          </cell>
          <cell r="R1507" t="str">
            <v>Q1.5 Passed</v>
          </cell>
          <cell r="S1507" t="str">
            <v>Qualified</v>
          </cell>
          <cell r="T1507" t="str">
            <v>NA</v>
          </cell>
          <cell r="V1507" t="str">
            <v>Tumor content 35-70%</v>
          </cell>
          <cell r="W1507" t="str">
            <v>Private Hospital</v>
          </cell>
          <cell r="X1507" t="str">
            <v>Sapthagiri ClinTrac Pvt Ltd</v>
          </cell>
          <cell r="Y1507" t="str">
            <v>Sapthagiri Institute of Medical Sciences</v>
          </cell>
          <cell r="Z1507" t="str">
            <v>Dr Nataraj</v>
          </cell>
          <cell r="AA1507" t="str">
            <v>Ca Ovary</v>
          </cell>
          <cell r="AB1507" t="str">
            <v>NA</v>
          </cell>
          <cell r="AC1507" t="str">
            <v>Ovary</v>
          </cell>
          <cell r="AD1507" t="str">
            <v>B/C Ovary</v>
          </cell>
          <cell r="AE1507" t="str">
            <v>Female</v>
          </cell>
          <cell r="AF1507">
            <v>35</v>
          </cell>
          <cell r="AG1507" t="str">
            <v>N</v>
          </cell>
          <cell r="AH1507">
            <v>5.5</v>
          </cell>
          <cell r="AI1507" t="str">
            <v>Kalappa</v>
          </cell>
          <cell r="AJ1507" t="str">
            <v>Surgery</v>
          </cell>
          <cell r="AK1507" t="str">
            <v>Primary</v>
          </cell>
          <cell r="AL1507" t="str">
            <v>NA</v>
          </cell>
          <cell r="AV1507">
            <v>45922</v>
          </cell>
          <cell r="AW1507" t="str">
            <v>NA</v>
          </cell>
          <cell r="AX1507" t="str">
            <v>NA</v>
          </cell>
          <cell r="AY1507" t="str">
            <v>NA</v>
          </cell>
          <cell r="AZ1507" t="str">
            <v>NA</v>
          </cell>
          <cell r="BA1507" t="str">
            <v>NA</v>
          </cell>
          <cell r="BB1507" t="str">
            <v>NA</v>
          </cell>
          <cell r="BC1507" t="str">
            <v>NA</v>
          </cell>
          <cell r="BD1507" t="str">
            <v>NA</v>
          </cell>
          <cell r="BE1507" t="str">
            <v>NA</v>
          </cell>
          <cell r="BF1507" t="str">
            <v>NA</v>
          </cell>
          <cell r="BG1507" t="str">
            <v>NA</v>
          </cell>
        </row>
        <row r="1508">
          <cell r="A1508" t="str">
            <v>FBR2A250247</v>
          </cell>
          <cell r="B1508">
            <v>250247</v>
          </cell>
          <cell r="C1508" t="str">
            <v>R&amp;D</v>
          </cell>
          <cell r="D1508">
            <v>45922</v>
          </cell>
          <cell r="E1508">
            <v>0.65277777777777779</v>
          </cell>
          <cell r="F1508">
            <v>45901</v>
          </cell>
          <cell r="G1508">
            <v>45922</v>
          </cell>
          <cell r="H1508">
            <v>0.72638888888888886</v>
          </cell>
          <cell r="I1508">
            <v>7.3611111111111113E-2</v>
          </cell>
          <cell r="J1508">
            <v>8</v>
          </cell>
          <cell r="K1508" t="str">
            <v>FCB-PROTOCOL-01</v>
          </cell>
          <cell r="L1508" t="str">
            <v>SIMS-008</v>
          </cell>
          <cell r="M1508" t="str">
            <v>Y</v>
          </cell>
          <cell r="N1508" t="str">
            <v>Ovary CC (2A)</v>
          </cell>
          <cell r="O1508" t="str">
            <v>Internal R&amp;D</v>
          </cell>
          <cell r="P1508" t="str">
            <v>Q1 Passed</v>
          </cell>
          <cell r="Q1508" t="str">
            <v>Q1 Passed</v>
          </cell>
          <cell r="R1508" t="str">
            <v>Q1.5 Passed</v>
          </cell>
          <cell r="S1508" t="str">
            <v>Qualified</v>
          </cell>
          <cell r="T1508" t="str">
            <v>NA</v>
          </cell>
          <cell r="V1508" t="str">
            <v>Tumor content 35-70%</v>
          </cell>
          <cell r="W1508" t="str">
            <v>Private Hospital</v>
          </cell>
          <cell r="X1508" t="str">
            <v>Sapthagiri ClinTrac Pvt Ltd</v>
          </cell>
          <cell r="Y1508" t="str">
            <v>Sapthagiri Institute of Medical Sciences</v>
          </cell>
          <cell r="Z1508" t="str">
            <v>Dr Nataraj</v>
          </cell>
          <cell r="AA1508" t="str">
            <v>Ca Ovary</v>
          </cell>
          <cell r="AB1508" t="str">
            <v>NA</v>
          </cell>
          <cell r="AC1508" t="str">
            <v>Ovary</v>
          </cell>
          <cell r="AD1508" t="str">
            <v>B/C Ovary</v>
          </cell>
          <cell r="AE1508" t="str">
            <v>Female</v>
          </cell>
          <cell r="AF1508">
            <v>35</v>
          </cell>
          <cell r="AG1508" t="str">
            <v>N</v>
          </cell>
          <cell r="AH1508">
            <v>5.5</v>
          </cell>
          <cell r="AI1508" t="str">
            <v>Kalappa</v>
          </cell>
          <cell r="AJ1508" t="str">
            <v>Surgery</v>
          </cell>
          <cell r="AK1508" t="str">
            <v>Primary</v>
          </cell>
          <cell r="AL1508" t="str">
            <v>NA</v>
          </cell>
          <cell r="AV1508">
            <v>45922</v>
          </cell>
          <cell r="AW1508">
            <v>0.7416666666666667</v>
          </cell>
          <cell r="AX1508">
            <v>0.82152777777777775</v>
          </cell>
          <cell r="AY1508">
            <v>7.9861111111111105E-2</v>
          </cell>
          <cell r="AZ1508">
            <v>0.74791666666666667</v>
          </cell>
          <cell r="BA1508">
            <v>0.16875000000000001</v>
          </cell>
          <cell r="BB1508" t="str">
            <v>1.0*1.0-1.2*1.6-1.8</v>
          </cell>
          <cell r="BC1508" t="str">
            <v>NA</v>
          </cell>
          <cell r="BD1508" t="str">
            <v>Vibratome</v>
          </cell>
          <cell r="BE1508">
            <v>15</v>
          </cell>
          <cell r="BF1508" t="str">
            <v>Syam</v>
          </cell>
          <cell r="BG1508" t="str">
            <v>Y</v>
          </cell>
        </row>
        <row r="1509">
          <cell r="A1509" t="str">
            <v>FBR1Q250248</v>
          </cell>
          <cell r="B1509">
            <v>250248</v>
          </cell>
          <cell r="C1509" t="str">
            <v>R&amp;D</v>
          </cell>
          <cell r="D1509">
            <v>45922</v>
          </cell>
          <cell r="E1509">
            <v>0.46875</v>
          </cell>
          <cell r="F1509">
            <v>45901</v>
          </cell>
          <cell r="G1509">
            <v>45922</v>
          </cell>
          <cell r="H1509">
            <v>0.7416666666666667</v>
          </cell>
          <cell r="I1509">
            <v>0.27291666666666664</v>
          </cell>
          <cell r="J1509">
            <v>15</v>
          </cell>
          <cell r="K1509" t="str">
            <v>FCB-PROTOCOL-01</v>
          </cell>
          <cell r="L1509" t="str">
            <v>JSS-058</v>
          </cell>
          <cell r="M1509" t="str">
            <v>Y</v>
          </cell>
          <cell r="N1509" t="str">
            <v>COSv4.2_CaBR(1Q-Unknown)</v>
          </cell>
          <cell r="O1509" t="str">
            <v>Internal R&amp;D</v>
          </cell>
          <cell r="P1509" t="str">
            <v>Q1 Passed</v>
          </cell>
          <cell r="Q1509" t="str">
            <v>Q1 Passed</v>
          </cell>
          <cell r="R1509" t="str">
            <v>Q1.5 Passed</v>
          </cell>
          <cell r="S1509" t="str">
            <v>Rejected</v>
          </cell>
          <cell r="T1509" t="str">
            <v>NA</v>
          </cell>
          <cell r="V1509" t="str">
            <v>Suspicious glands seen in only 1 fragment, others no tumor</v>
          </cell>
          <cell r="W1509" t="str">
            <v>Private Hospital</v>
          </cell>
          <cell r="X1509" t="str">
            <v>Dr Ravi Krishnappa, Mysore</v>
          </cell>
          <cell r="Y1509" t="str">
            <v>JSS Hospital, Mysore</v>
          </cell>
          <cell r="Z1509" t="str">
            <v>Dr Ravi Krishnappa, Mysore</v>
          </cell>
          <cell r="AA1509" t="str">
            <v>Ca Breast</v>
          </cell>
          <cell r="AB1509" t="str">
            <v>ER +
Pr +
Her2 -</v>
          </cell>
          <cell r="AC1509" t="str">
            <v>Breast</v>
          </cell>
          <cell r="AD1509" t="str">
            <v>Right Breast</v>
          </cell>
          <cell r="AE1509" t="str">
            <v>Female</v>
          </cell>
          <cell r="AF1509">
            <v>59</v>
          </cell>
          <cell r="AG1509" t="str">
            <v>N</v>
          </cell>
          <cell r="AH1509">
            <v>6.1</v>
          </cell>
          <cell r="AI1509" t="str">
            <v>Kalappa</v>
          </cell>
          <cell r="AJ1509" t="str">
            <v>Surgery</v>
          </cell>
          <cell r="AK1509" t="str">
            <v>Primary</v>
          </cell>
          <cell r="AL1509" t="str">
            <v>Chemotherapy</v>
          </cell>
          <cell r="AN1509" t="str">
            <v>II</v>
          </cell>
          <cell r="AP1509" t="str">
            <v>pT2N2M0</v>
          </cell>
          <cell r="AQ1509">
            <v>8</v>
          </cell>
          <cell r="AR1509" t="str">
            <v>Adriyamycin+ Cyclophosphamide +Paclitaxel</v>
          </cell>
          <cell r="AV1509">
            <v>45922</v>
          </cell>
          <cell r="AW1509">
            <v>0.76458333333333328</v>
          </cell>
          <cell r="AX1509" t="str">
            <v>NA</v>
          </cell>
          <cell r="AY1509" t="e">
            <v>#VALUE!</v>
          </cell>
          <cell r="AZ1509" t="e">
            <v>#VALUE!</v>
          </cell>
          <cell r="BA1509" t="e">
            <v>#VALUE!</v>
          </cell>
          <cell r="BB1509" t="str">
            <v>0.1-0.2*0.2-0.6*0.6-1.0
0.1*0.2-0.4*0.6-0.8</v>
          </cell>
          <cell r="BC1509" t="str">
            <v>NA</v>
          </cell>
          <cell r="BD1509" t="str">
            <v>Manual</v>
          </cell>
          <cell r="BE1509">
            <v>15</v>
          </cell>
          <cell r="BF1509" t="str">
            <v xml:space="preserve">sai </v>
          </cell>
          <cell r="BG1509" t="str">
            <v>Y</v>
          </cell>
        </row>
        <row r="1510">
          <cell r="A1510" t="str">
            <v>FBR1Q250249</v>
          </cell>
          <cell r="B1510">
            <v>250249</v>
          </cell>
          <cell r="C1510" t="str">
            <v>R&amp;D</v>
          </cell>
          <cell r="D1510">
            <v>45922</v>
          </cell>
          <cell r="E1510">
            <v>0.60416666666666663</v>
          </cell>
          <cell r="F1510">
            <v>45901</v>
          </cell>
          <cell r="G1510">
            <v>45922</v>
          </cell>
          <cell r="H1510">
            <v>0.7416666666666667</v>
          </cell>
          <cell r="I1510">
            <v>0.13750000000000001</v>
          </cell>
          <cell r="J1510">
            <v>15</v>
          </cell>
          <cell r="K1510" t="str">
            <v>FCB-PROTOCOL-01</v>
          </cell>
          <cell r="L1510" t="str">
            <v>JSS-059</v>
          </cell>
          <cell r="M1510" t="str">
            <v>Y</v>
          </cell>
          <cell r="N1510" t="str">
            <v>COSv4.2_CaBR(1Q-Unknown)</v>
          </cell>
          <cell r="O1510" t="str">
            <v>Internal R&amp;D</v>
          </cell>
          <cell r="P1510" t="str">
            <v>Q1 Passed</v>
          </cell>
          <cell r="Q1510" t="str">
            <v>Q1 Passed</v>
          </cell>
          <cell r="R1510" t="str">
            <v>Q1.5 Passed</v>
          </cell>
          <cell r="S1510" t="str">
            <v>Qualified</v>
          </cell>
          <cell r="T1510" t="str">
            <v>NA</v>
          </cell>
          <cell r="V1510" t="str">
            <v>Tumor content 5-35%</v>
          </cell>
          <cell r="W1510" t="str">
            <v>Private Hospital</v>
          </cell>
          <cell r="X1510" t="str">
            <v>Dr Ravi Krishnappa, Mysore</v>
          </cell>
          <cell r="Y1510" t="str">
            <v>JSS Hospital, Mysore</v>
          </cell>
          <cell r="Z1510" t="str">
            <v>Dr Ravi Krishnappa, Mysore</v>
          </cell>
          <cell r="AA1510" t="str">
            <v>Ca Breast</v>
          </cell>
          <cell r="AB1510" t="str">
            <v>ER +
Pr +
Her2 -</v>
          </cell>
          <cell r="AC1510" t="str">
            <v>Breast</v>
          </cell>
          <cell r="AD1510" t="str">
            <v>Right Breast</v>
          </cell>
          <cell r="AE1510" t="str">
            <v>Female</v>
          </cell>
          <cell r="AF1510">
            <v>58</v>
          </cell>
          <cell r="AG1510" t="str">
            <v>N</v>
          </cell>
          <cell r="AH1510">
            <v>6.1</v>
          </cell>
          <cell r="AI1510" t="str">
            <v>Kalappa</v>
          </cell>
          <cell r="AJ1510" t="str">
            <v>Surgery</v>
          </cell>
          <cell r="AK1510" t="str">
            <v>Proximal Lymph Node</v>
          </cell>
          <cell r="AL1510" t="str">
            <v>NA</v>
          </cell>
          <cell r="AN1510" t="str">
            <v>II</v>
          </cell>
          <cell r="AP1510" t="str">
            <v>pT2N1M0</v>
          </cell>
          <cell r="AV1510">
            <v>45922</v>
          </cell>
          <cell r="AW1510">
            <v>0.76736111111111116</v>
          </cell>
          <cell r="AX1510">
            <v>0.80555555555555558</v>
          </cell>
          <cell r="AY1510">
            <v>3.8194444444444448E-2</v>
          </cell>
          <cell r="AZ1510">
            <v>0.66805555555555551</v>
          </cell>
          <cell r="BA1510">
            <v>0.2013888888888889</v>
          </cell>
          <cell r="BB1510" t="str">
            <v>0.7*1.3*2.4</v>
          </cell>
          <cell r="BC1510" t="str">
            <v>0.7*1.3*1.7</v>
          </cell>
          <cell r="BD1510" t="str">
            <v>Manual</v>
          </cell>
          <cell r="BE1510">
            <v>15</v>
          </cell>
          <cell r="BF1510" t="str">
            <v>Dharani</v>
          </cell>
          <cell r="BG1510" t="str">
            <v>Y</v>
          </cell>
        </row>
        <row r="1511">
          <cell r="A1511" t="str">
            <v>FBR1K250250</v>
          </cell>
          <cell r="B1511">
            <v>250250</v>
          </cell>
          <cell r="C1511" t="str">
            <v>R&amp;D</v>
          </cell>
          <cell r="D1511">
            <v>45923</v>
          </cell>
          <cell r="E1511">
            <v>0.45694444444444443</v>
          </cell>
          <cell r="F1511">
            <v>45901</v>
          </cell>
          <cell r="G1511">
            <v>45923</v>
          </cell>
          <cell r="H1511">
            <v>0.62916666666666665</v>
          </cell>
          <cell r="I1511">
            <v>0.17222222222222222</v>
          </cell>
          <cell r="J1511">
            <v>7</v>
          </cell>
          <cell r="K1511" t="str">
            <v>FCB-PROTOCOL-01</v>
          </cell>
          <cell r="L1511" t="str">
            <v>VYD/426</v>
          </cell>
          <cell r="M1511" t="str">
            <v>Y</v>
          </cell>
          <cell r="N1511" t="str">
            <v>DMS_v4(1K)</v>
          </cell>
          <cell r="O1511" t="str">
            <v>Internal R&amp;D</v>
          </cell>
          <cell r="P1511" t="str">
            <v>Q1 Passed</v>
          </cell>
          <cell r="Q1511" t="str">
            <v>Q1 Passed</v>
          </cell>
          <cell r="R1511" t="str">
            <v>Q1.5 Passed</v>
          </cell>
          <cell r="S1511" t="str">
            <v>Qualified</v>
          </cell>
          <cell r="T1511" t="str">
            <v>NA</v>
          </cell>
          <cell r="V1511" t="str">
            <v>Tumor content 35-55%</v>
          </cell>
          <cell r="W1511" t="str">
            <v>Private Hospital</v>
          </cell>
          <cell r="X1511" t="str">
            <v>Vydehi Hospital, Bangalore</v>
          </cell>
          <cell r="Y1511" t="str">
            <v>Vydehi Hospital, Bangalore</v>
          </cell>
          <cell r="Z1511" t="str">
            <v>Dr Amritha Prabha, Bangalore</v>
          </cell>
          <cell r="AA1511" t="str">
            <v>HNSCC</v>
          </cell>
          <cell r="AB1511" t="str">
            <v>NA</v>
          </cell>
          <cell r="AC1511" t="str">
            <v>Alveolus</v>
          </cell>
          <cell r="AD1511" t="str">
            <v>Left upper Alveolus</v>
          </cell>
          <cell r="AE1511" t="str">
            <v>Female</v>
          </cell>
          <cell r="AF1511">
            <v>66</v>
          </cell>
          <cell r="AG1511" t="str">
            <v>N</v>
          </cell>
          <cell r="AH1511">
            <v>6.7</v>
          </cell>
          <cell r="AI1511" t="str">
            <v>Kalappa</v>
          </cell>
          <cell r="AJ1511" t="str">
            <v>Surgery</v>
          </cell>
          <cell r="AK1511" t="str">
            <v>Primary</v>
          </cell>
          <cell r="AL1511" t="str">
            <v>NA</v>
          </cell>
          <cell r="AV1511">
            <v>45923</v>
          </cell>
          <cell r="AW1511">
            <v>0.68055555555555558</v>
          </cell>
          <cell r="AX1511">
            <v>0.72222222222222221</v>
          </cell>
          <cell r="AY1511">
            <v>4.1666666666666664E-2</v>
          </cell>
          <cell r="AZ1511">
            <v>0.55000000000000004</v>
          </cell>
          <cell r="BA1511">
            <v>0.26527777777777778</v>
          </cell>
          <cell r="BB1511" t="str">
            <v>0.4*0.5*0.8
0.2*1.0*0.6-1.4</v>
          </cell>
          <cell r="BC1511" t="str">
            <v>NA</v>
          </cell>
          <cell r="BD1511" t="str">
            <v>Vibratome</v>
          </cell>
          <cell r="BE1511">
            <v>15</v>
          </cell>
          <cell r="BF1511" t="str">
            <v>Mano</v>
          </cell>
          <cell r="BG1511" t="str">
            <v>Y</v>
          </cell>
        </row>
        <row r="1512">
          <cell r="A1512" t="str">
            <v>FBR2T250251</v>
          </cell>
          <cell r="B1512">
            <v>250251</v>
          </cell>
          <cell r="C1512" t="str">
            <v>R&amp;D</v>
          </cell>
          <cell r="D1512">
            <v>45923</v>
          </cell>
          <cell r="E1512">
            <v>0.52986111111111112</v>
          </cell>
          <cell r="F1512">
            <v>45901</v>
          </cell>
          <cell r="G1512">
            <v>45923</v>
          </cell>
          <cell r="H1512">
            <v>0.65277777777777779</v>
          </cell>
          <cell r="I1512">
            <v>0.12291666666666666</v>
          </cell>
          <cell r="J1512">
            <v>2</v>
          </cell>
          <cell r="K1512" t="str">
            <v>FCB-PROTOCOL-01</v>
          </cell>
          <cell r="L1512" t="str">
            <v>CLN/PRA/356</v>
          </cell>
          <cell r="M1512" t="str">
            <v>Y</v>
          </cell>
          <cell r="N1512" t="str">
            <v>CUL-IMP Ovary (2T)</v>
          </cell>
          <cell r="O1512" t="str">
            <v>Internal R&amp;D</v>
          </cell>
          <cell r="P1512" t="str">
            <v>Q1 Passed</v>
          </cell>
          <cell r="Q1512" t="str">
            <v>Q1 Rejected</v>
          </cell>
          <cell r="R1512" t="str">
            <v>Q1.5 Passed</v>
          </cell>
          <cell r="S1512" t="str">
            <v>Qualified</v>
          </cell>
          <cell r="T1512" t="str">
            <v>NA</v>
          </cell>
          <cell r="V1512" t="str">
            <v>Tumor content 45-75%</v>
          </cell>
          <cell r="W1512" t="str">
            <v>Private Hospital</v>
          </cell>
          <cell r="X1512" t="str">
            <v>Dr Prakash BV, Bangalore</v>
          </cell>
          <cell r="Y1512" t="str">
            <v>Sri Lakshmi Hospital, Bangalore</v>
          </cell>
          <cell r="Z1512" t="str">
            <v>Dr Prakash BV, Bangalore</v>
          </cell>
          <cell r="AA1512" t="str">
            <v>Ca Ovary</v>
          </cell>
          <cell r="AB1512" t="str">
            <v>NA</v>
          </cell>
          <cell r="AC1512" t="str">
            <v>Ovary</v>
          </cell>
          <cell r="AD1512" t="str">
            <v>Right Ovary</v>
          </cell>
          <cell r="AE1512" t="str">
            <v>Female</v>
          </cell>
          <cell r="AF1512">
            <v>43</v>
          </cell>
          <cell r="AG1512" t="str">
            <v>N</v>
          </cell>
          <cell r="AH1512">
            <v>5.3</v>
          </cell>
          <cell r="AI1512" t="str">
            <v>Shashi</v>
          </cell>
          <cell r="AJ1512" t="str">
            <v>Surgery</v>
          </cell>
          <cell r="AK1512" t="str">
            <v>Primary</v>
          </cell>
          <cell r="AL1512" t="str">
            <v>NA</v>
          </cell>
          <cell r="AN1512" t="str">
            <v>II</v>
          </cell>
          <cell r="AP1512" t="str">
            <v>pT2N1M1</v>
          </cell>
          <cell r="AS1512" t="str">
            <v>Serous cyst adenocarcinoma</v>
          </cell>
          <cell r="AV1512">
            <v>45923</v>
          </cell>
          <cell r="AW1512">
            <v>0.67083333333333328</v>
          </cell>
          <cell r="AX1512">
            <v>0.75138888888888888</v>
          </cell>
          <cell r="AY1512">
            <v>8.0555555555555561E-2</v>
          </cell>
          <cell r="AZ1512">
            <v>0.62847222222222221</v>
          </cell>
          <cell r="BA1512">
            <v>0.22152777777777777</v>
          </cell>
          <cell r="BB1512" t="str">
            <v>1.0-1.2*2.9*2.4</v>
          </cell>
          <cell r="BC1512" t="str">
            <v>NA</v>
          </cell>
          <cell r="BD1512" t="str">
            <v>Vibratome</v>
          </cell>
          <cell r="BE1512">
            <v>15</v>
          </cell>
          <cell r="BF1512" t="str">
            <v>Vasanth</v>
          </cell>
          <cell r="BG1512" t="str">
            <v>N</v>
          </cell>
        </row>
        <row r="1513">
          <cell r="A1513" t="str">
            <v>FBR1Q250252</v>
          </cell>
          <cell r="B1513">
            <v>250252</v>
          </cell>
          <cell r="C1513" t="str">
            <v>R&amp;D</v>
          </cell>
          <cell r="D1513">
            <v>45924</v>
          </cell>
          <cell r="E1513">
            <v>0.59375</v>
          </cell>
          <cell r="F1513">
            <v>45901</v>
          </cell>
          <cell r="G1513">
            <v>45924</v>
          </cell>
          <cell r="H1513">
            <v>0.74027777777777781</v>
          </cell>
          <cell r="I1513">
            <v>0.14652777777777778</v>
          </cell>
          <cell r="J1513">
            <v>1</v>
          </cell>
          <cell r="K1513" t="str">
            <v>FCB-PROTOCOL-01</v>
          </cell>
          <cell r="L1513" t="str">
            <v>VYD/427</v>
          </cell>
          <cell r="M1513" t="str">
            <v>Y</v>
          </cell>
          <cell r="N1513" t="str">
            <v>COSv4.2_CaBR(1Q-Unknown)</v>
          </cell>
          <cell r="O1513" t="str">
            <v>Internal R&amp;D</v>
          </cell>
          <cell r="P1513" t="str">
            <v>Q1 Passed</v>
          </cell>
          <cell r="Q1513" t="str">
            <v>Q1 Passed</v>
          </cell>
          <cell r="R1513" t="str">
            <v>Q1.5 Passed</v>
          </cell>
          <cell r="S1513" t="str">
            <v>Qualified</v>
          </cell>
          <cell r="T1513" t="str">
            <v>NA</v>
          </cell>
          <cell r="V1513" t="str">
            <v>Tumor content 6-60%</v>
          </cell>
          <cell r="W1513" t="str">
            <v>Private Hospital</v>
          </cell>
          <cell r="X1513" t="str">
            <v>Vydehi Hospital, Bangalore</v>
          </cell>
          <cell r="Y1513" t="str">
            <v>Vydehi Hospital, Bangalore</v>
          </cell>
          <cell r="Z1513" t="str">
            <v>Dr Amritha Prabha, Bangalore</v>
          </cell>
          <cell r="AA1513" t="str">
            <v>Ca Breast</v>
          </cell>
          <cell r="AB1513" t="str">
            <v>NA</v>
          </cell>
          <cell r="AC1513" t="str">
            <v>Breast</v>
          </cell>
          <cell r="AD1513" t="str">
            <v>Right Breast</v>
          </cell>
          <cell r="AE1513" t="str">
            <v>Female</v>
          </cell>
          <cell r="AF1513">
            <v>42</v>
          </cell>
          <cell r="AG1513" t="str">
            <v>N</v>
          </cell>
          <cell r="AH1513">
            <v>5.3</v>
          </cell>
          <cell r="AI1513" t="str">
            <v>Kalappa</v>
          </cell>
          <cell r="AJ1513" t="str">
            <v>Surgery</v>
          </cell>
          <cell r="AK1513" t="str">
            <v>Primary</v>
          </cell>
          <cell r="AL1513" t="str">
            <v>Chemotherapy</v>
          </cell>
          <cell r="AQ1513">
            <v>8</v>
          </cell>
          <cell r="AR1513" t="str">
            <v>4EC, 4Pacli+Trastuzumab</v>
          </cell>
          <cell r="AS1513" t="str">
            <v>IDC</v>
          </cell>
          <cell r="AV1513">
            <v>45924</v>
          </cell>
          <cell r="AW1513">
            <v>0.75277777777777777</v>
          </cell>
          <cell r="AX1513">
            <v>0.79027777777777775</v>
          </cell>
          <cell r="AY1513">
            <v>3.7499999999999999E-2</v>
          </cell>
          <cell r="AZ1513">
            <v>0.64375000000000004</v>
          </cell>
          <cell r="BA1513">
            <v>0.19652777777777777</v>
          </cell>
          <cell r="BB1513" t="str">
            <v>0.2-0.3*1.0*1.8
0.1*0.2*1.0
0.1*0.6*0.6</v>
          </cell>
          <cell r="BC1513" t="str">
            <v>NA</v>
          </cell>
          <cell r="BD1513" t="str">
            <v>Manual</v>
          </cell>
          <cell r="BE1513">
            <v>15</v>
          </cell>
          <cell r="BF1513" t="str">
            <v>Dharani</v>
          </cell>
          <cell r="BG1513" t="str">
            <v>Y</v>
          </cell>
        </row>
        <row r="1514">
          <cell r="A1514" t="str">
            <v>FBR1Y250253</v>
          </cell>
          <cell r="B1514">
            <v>250253</v>
          </cell>
          <cell r="C1514" t="str">
            <v>R&amp;D</v>
          </cell>
          <cell r="D1514">
            <v>45925</v>
          </cell>
          <cell r="E1514">
            <v>0.47916666666666669</v>
          </cell>
          <cell r="F1514">
            <v>45901</v>
          </cell>
          <cell r="G1514">
            <v>45925</v>
          </cell>
          <cell r="H1514">
            <v>0.625</v>
          </cell>
          <cell r="I1514">
            <v>0.14583333333333334</v>
          </cell>
          <cell r="J1514">
            <v>15</v>
          </cell>
          <cell r="K1514" t="str">
            <v>FCB-PROTOCOL-01</v>
          </cell>
          <cell r="L1514" t="str">
            <v>VYD/428</v>
          </cell>
          <cell r="M1514" t="str">
            <v>Y</v>
          </cell>
          <cell r="N1514" t="str">
            <v>CCS Study (1Y)</v>
          </cell>
          <cell r="O1514" t="str">
            <v>Internal R&amp;D</v>
          </cell>
          <cell r="P1514" t="str">
            <v>Q1 Passed</v>
          </cell>
          <cell r="Q1514" t="str">
            <v>Q1 Passed</v>
          </cell>
          <cell r="R1514" t="str">
            <v>Q1.5 Passed</v>
          </cell>
          <cell r="S1514" t="str">
            <v>Qualified</v>
          </cell>
          <cell r="T1514" t="str">
            <v>NA</v>
          </cell>
          <cell r="V1514" t="str">
            <v>Tumor content 55-80%</v>
          </cell>
          <cell r="W1514" t="str">
            <v>Private Hospital</v>
          </cell>
          <cell r="X1514" t="str">
            <v>Vydehi Hospital, Bangalore</v>
          </cell>
          <cell r="Y1514" t="str">
            <v>Vydehi Hospital, Bangalore</v>
          </cell>
          <cell r="Z1514" t="str">
            <v>Dr Amritha Prabha, Bangalore</v>
          </cell>
          <cell r="AA1514" t="str">
            <v>HNSCC</v>
          </cell>
          <cell r="AB1514" t="str">
            <v>NA</v>
          </cell>
          <cell r="AC1514" t="str">
            <v>RMT</v>
          </cell>
          <cell r="AD1514" t="str">
            <v>Left RMT and antrum tonsilar pillar</v>
          </cell>
          <cell r="AE1514" t="str">
            <v>Male</v>
          </cell>
          <cell r="AF1514">
            <v>61</v>
          </cell>
          <cell r="AG1514" t="str">
            <v>N</v>
          </cell>
          <cell r="AH1514">
            <v>5.3</v>
          </cell>
          <cell r="AI1514" t="str">
            <v>Kalappa</v>
          </cell>
          <cell r="AJ1514" t="str">
            <v>Surgery</v>
          </cell>
          <cell r="AK1514" t="str">
            <v>Primary</v>
          </cell>
          <cell r="AL1514" t="str">
            <v>NA</v>
          </cell>
          <cell r="AS1514" t="str">
            <v>SCC</v>
          </cell>
          <cell r="AV1514">
            <v>45925</v>
          </cell>
          <cell r="AW1514">
            <v>0.63611111111111107</v>
          </cell>
          <cell r="AX1514">
            <v>0.72499999999999998</v>
          </cell>
          <cell r="AY1514">
            <v>8.8888888888888892E-2</v>
          </cell>
          <cell r="AZ1514">
            <v>0.57916666666666672</v>
          </cell>
          <cell r="BA1514">
            <v>0.24583333333333332</v>
          </cell>
          <cell r="BB1514" t="str">
            <v>0.4-0.6*0.9-1.0*1.0-1.2</v>
          </cell>
          <cell r="BC1514" t="str">
            <v>NA</v>
          </cell>
          <cell r="BD1514" t="str">
            <v>Vibratome</v>
          </cell>
          <cell r="BE1514">
            <v>15</v>
          </cell>
          <cell r="BF1514" t="str">
            <v>Mano</v>
          </cell>
          <cell r="BG1514" t="str">
            <v>Y</v>
          </cell>
        </row>
        <row r="1515">
          <cell r="A1515" t="str">
            <v>FBR2T250254</v>
          </cell>
          <cell r="B1515">
            <v>250254</v>
          </cell>
          <cell r="C1515" t="str">
            <v>R&amp;D</v>
          </cell>
          <cell r="D1515">
            <v>45926</v>
          </cell>
          <cell r="E1515">
            <v>0.48958333333333331</v>
          </cell>
          <cell r="F1515">
            <v>45901</v>
          </cell>
          <cell r="G1515">
            <v>45926</v>
          </cell>
          <cell r="H1515">
            <v>0.70694444444444449</v>
          </cell>
          <cell r="I1515">
            <v>0.21736111111111112</v>
          </cell>
          <cell r="J1515">
            <v>15</v>
          </cell>
          <cell r="K1515" t="str">
            <v>FCB-PROTOCOL-01</v>
          </cell>
          <cell r="L1515" t="str">
            <v>JSS-060</v>
          </cell>
          <cell r="M1515" t="str">
            <v>Y</v>
          </cell>
          <cell r="N1515" t="str">
            <v>CUL-IMP Ovary (2T)</v>
          </cell>
          <cell r="O1515" t="str">
            <v>Internal R&amp;D</v>
          </cell>
          <cell r="P1515" t="str">
            <v>Q1 Passed</v>
          </cell>
          <cell r="Q1515" t="str">
            <v>Q1 Passed</v>
          </cell>
          <cell r="R1515" t="str">
            <v>Q1.5 Passed</v>
          </cell>
          <cell r="S1515" t="str">
            <v>Rejected</v>
          </cell>
          <cell r="T1515" t="str">
            <v>NA</v>
          </cell>
          <cell r="V1515" t="str">
            <v>No tumor</v>
          </cell>
          <cell r="W1515" t="str">
            <v>Private Hospital</v>
          </cell>
          <cell r="X1515" t="str">
            <v>Dr Ravi Krishnappa, Mysore</v>
          </cell>
          <cell r="Y1515" t="str">
            <v>JSS Hospital, Mysore</v>
          </cell>
          <cell r="Z1515" t="str">
            <v>Dr Ravi Krishnappa, Mysore</v>
          </cell>
          <cell r="AA1515" t="str">
            <v>Ca Ovary</v>
          </cell>
          <cell r="AB1515" t="str">
            <v>NA</v>
          </cell>
          <cell r="AC1515" t="str">
            <v>Ovary</v>
          </cell>
          <cell r="AD1515" t="str">
            <v>Left Ovary</v>
          </cell>
          <cell r="AE1515" t="str">
            <v>Female</v>
          </cell>
          <cell r="AF1515">
            <v>46</v>
          </cell>
          <cell r="AG1515" t="str">
            <v>N</v>
          </cell>
          <cell r="AH1515">
            <v>6.5</v>
          </cell>
          <cell r="AI1515" t="str">
            <v>Kalappa</v>
          </cell>
          <cell r="AJ1515" t="str">
            <v>Surgery</v>
          </cell>
          <cell r="AK1515" t="str">
            <v>Proximal Lymph Node</v>
          </cell>
          <cell r="AL1515" t="str">
            <v>Chemotherapy</v>
          </cell>
          <cell r="AN1515" t="str">
            <v>IIIc</v>
          </cell>
          <cell r="AO1515" t="str">
            <v>High Grade</v>
          </cell>
          <cell r="AQ1515">
            <v>6</v>
          </cell>
          <cell r="AR1515" t="str">
            <v>Paclitaxel+Carboplatin</v>
          </cell>
          <cell r="AS1515" t="str">
            <v>High Grade Serous Carcinoma</v>
          </cell>
          <cell r="AV1515">
            <v>45926</v>
          </cell>
          <cell r="AW1515">
            <v>0.71875</v>
          </cell>
          <cell r="AX1515">
            <v>0.78055555555555556</v>
          </cell>
          <cell r="AY1515">
            <v>6.1805555555555558E-2</v>
          </cell>
          <cell r="AZ1515">
            <v>0.56319444444444444</v>
          </cell>
          <cell r="BA1515">
            <v>0.29097222222222224</v>
          </cell>
          <cell r="BB1515" t="str">
            <v>0.2-0.4*1.1*1.8
0.2-0.4*1.7*2.1</v>
          </cell>
          <cell r="BC1515" t="str">
            <v>NA</v>
          </cell>
          <cell r="BD1515" t="str">
            <v>Vibratome</v>
          </cell>
          <cell r="BE1515">
            <v>15</v>
          </cell>
          <cell r="BF1515" t="str">
            <v>chandan</v>
          </cell>
          <cell r="BG1515" t="str">
            <v>Y</v>
          </cell>
        </row>
        <row r="1516">
          <cell r="A1516" t="str">
            <v>FBR1K250255</v>
          </cell>
          <cell r="B1516">
            <v>250255</v>
          </cell>
          <cell r="C1516" t="str">
            <v>R&amp;D</v>
          </cell>
          <cell r="D1516">
            <v>45927</v>
          </cell>
          <cell r="E1516">
            <v>0.39166666666666666</v>
          </cell>
          <cell r="F1516">
            <v>45901</v>
          </cell>
          <cell r="G1516">
            <v>45927</v>
          </cell>
          <cell r="H1516">
            <v>0.58750000000000002</v>
          </cell>
          <cell r="I1516">
            <v>0.19583333333333333</v>
          </cell>
          <cell r="J1516">
            <v>2</v>
          </cell>
          <cell r="K1516" t="str">
            <v>FCB-PROTOCOL-01</v>
          </cell>
          <cell r="L1516" t="str">
            <v>VYD/429</v>
          </cell>
          <cell r="M1516" t="str">
            <v>Y</v>
          </cell>
          <cell r="N1516" t="str">
            <v>DMS_v4(1K)</v>
          </cell>
          <cell r="O1516" t="str">
            <v>Internal R&amp;D</v>
          </cell>
          <cell r="P1516" t="str">
            <v>Q1 Passed</v>
          </cell>
          <cell r="Q1516" t="str">
            <v>Q1 Passed</v>
          </cell>
          <cell r="R1516" t="str">
            <v>Q1.5 Passed</v>
          </cell>
          <cell r="S1516" t="str">
            <v>Qualified</v>
          </cell>
          <cell r="T1516" t="str">
            <v>NA</v>
          </cell>
          <cell r="V1516" t="str">
            <v>Tumor content 25-75% with good immune presence</v>
          </cell>
          <cell r="W1516" t="str">
            <v>Private Hospital</v>
          </cell>
          <cell r="X1516" t="str">
            <v>Vydehi Hospital, Bangalore</v>
          </cell>
          <cell r="Y1516" t="str">
            <v>Vydehi Hospital, Bangalore</v>
          </cell>
          <cell r="Z1516" t="str">
            <v>Dr Amritha Prabha, Bangalore</v>
          </cell>
          <cell r="AA1516" t="str">
            <v>HNSCC</v>
          </cell>
          <cell r="AB1516" t="str">
            <v>NA</v>
          </cell>
          <cell r="AC1516" t="str">
            <v>Larynx</v>
          </cell>
          <cell r="AD1516" t="str">
            <v>Larynx</v>
          </cell>
          <cell r="AE1516" t="str">
            <v>Female</v>
          </cell>
          <cell r="AF1516">
            <v>65</v>
          </cell>
          <cell r="AG1516" t="str">
            <v>N</v>
          </cell>
          <cell r="AH1516">
            <v>4.0999999999999996</v>
          </cell>
          <cell r="AI1516" t="str">
            <v>Kalappa</v>
          </cell>
          <cell r="AJ1516" t="str">
            <v>Surgery</v>
          </cell>
          <cell r="AK1516" t="str">
            <v>Primary</v>
          </cell>
          <cell r="AL1516" t="str">
            <v>NA</v>
          </cell>
          <cell r="AV1516">
            <v>45927</v>
          </cell>
          <cell r="AW1516">
            <v>0.62083333333333335</v>
          </cell>
          <cell r="AX1516">
            <v>0.73888888888888893</v>
          </cell>
          <cell r="AY1516">
            <v>0.11805555555555555</v>
          </cell>
          <cell r="AZ1516">
            <v>0.54305555555555551</v>
          </cell>
          <cell r="BA1516">
            <v>0.34722222222222221</v>
          </cell>
          <cell r="BB1516" t="str">
            <v>0.2-0.4*0.3-0.7*2.0-2.6</v>
          </cell>
          <cell r="BC1516" t="str">
            <v>NA</v>
          </cell>
          <cell r="BD1516" t="str">
            <v>Vibratome</v>
          </cell>
          <cell r="BE1516">
            <v>15</v>
          </cell>
          <cell r="BF1516" t="str">
            <v>Mouniss</v>
          </cell>
          <cell r="BG1516" t="str">
            <v>Y</v>
          </cell>
        </row>
        <row r="1517">
          <cell r="A1517" t="str">
            <v>FBR1K250256</v>
          </cell>
          <cell r="B1517">
            <v>250256</v>
          </cell>
          <cell r="C1517" t="str">
            <v>R&amp;D</v>
          </cell>
          <cell r="D1517">
            <v>45929</v>
          </cell>
          <cell r="E1517">
            <v>0.4548611111111111</v>
          </cell>
          <cell r="F1517">
            <v>45901</v>
          </cell>
          <cell r="G1517">
            <v>45929</v>
          </cell>
          <cell r="H1517">
            <v>0.59027777777777779</v>
          </cell>
          <cell r="I1517">
            <v>0.13541666666666666</v>
          </cell>
          <cell r="J1517">
            <v>11</v>
          </cell>
          <cell r="K1517" t="str">
            <v>FCB-PROTOCOL-01</v>
          </cell>
          <cell r="L1517" t="str">
            <v>VYD/430</v>
          </cell>
          <cell r="M1517" t="str">
            <v>Y</v>
          </cell>
          <cell r="N1517" t="str">
            <v>DMS_v4(1K)</v>
          </cell>
          <cell r="O1517" t="str">
            <v>Internal R&amp;D</v>
          </cell>
          <cell r="P1517" t="str">
            <v>Q1 Passed</v>
          </cell>
          <cell r="Q1517" t="str">
            <v>Q1 Passed</v>
          </cell>
          <cell r="R1517" t="str">
            <v>Q1.5 Passed</v>
          </cell>
          <cell r="S1517" t="str">
            <v>Qualified</v>
          </cell>
          <cell r="T1517" t="str">
            <v>NA</v>
          </cell>
          <cell r="V1517" t="str">
            <v>Tumor content 30-75% with good immune presence</v>
          </cell>
          <cell r="W1517" t="str">
            <v>Private Hospital</v>
          </cell>
          <cell r="X1517" t="str">
            <v>Vydehi Hospital, Bangalore</v>
          </cell>
          <cell r="Y1517" t="str">
            <v>Vydehi Hospital, Bangalore</v>
          </cell>
          <cell r="Z1517" t="str">
            <v>Dr Amritha Prabha, Bangalore</v>
          </cell>
          <cell r="AA1517" t="str">
            <v>HNSCC</v>
          </cell>
          <cell r="AB1517" t="str">
            <v>NA</v>
          </cell>
          <cell r="AC1517" t="str">
            <v>Buccal Mucosa</v>
          </cell>
          <cell r="AD1517" t="str">
            <v>Right Buccal Mucosa</v>
          </cell>
          <cell r="AE1517" t="str">
            <v>Female</v>
          </cell>
          <cell r="AF1517">
            <v>60</v>
          </cell>
          <cell r="AG1517" t="str">
            <v>N</v>
          </cell>
          <cell r="AH1517">
            <v>5.2</v>
          </cell>
          <cell r="AI1517" t="str">
            <v>Kalappa</v>
          </cell>
          <cell r="AJ1517" t="str">
            <v>Surgery</v>
          </cell>
          <cell r="AK1517" t="str">
            <v>Primary</v>
          </cell>
          <cell r="AL1517" t="str">
            <v>NA</v>
          </cell>
          <cell r="AV1517">
            <v>45929</v>
          </cell>
          <cell r="AW1517">
            <v>0.63124999999999998</v>
          </cell>
          <cell r="AX1517">
            <v>0.71180555555555558</v>
          </cell>
          <cell r="AY1517">
            <v>8.0555555555555561E-2</v>
          </cell>
          <cell r="AZ1517">
            <v>0.57638888888888884</v>
          </cell>
          <cell r="BA1517">
            <v>0.25694444444444442</v>
          </cell>
          <cell r="BB1517" t="str">
            <v>0.4-0.6*1.0*1.4</v>
          </cell>
          <cell r="BC1517" t="str">
            <v>NA</v>
          </cell>
          <cell r="BD1517" t="str">
            <v>Vibratome</v>
          </cell>
          <cell r="BE1517">
            <v>15</v>
          </cell>
          <cell r="BF1517" t="str">
            <v>Dharani</v>
          </cell>
          <cell r="BG1517" t="str">
            <v>Y</v>
          </cell>
        </row>
        <row r="1518">
          <cell r="A1518" t="str">
            <v>FBR1Y250256</v>
          </cell>
          <cell r="B1518">
            <v>250256</v>
          </cell>
          <cell r="C1518" t="str">
            <v>R&amp;D</v>
          </cell>
          <cell r="D1518">
            <v>45929</v>
          </cell>
          <cell r="E1518">
            <v>0.4548611111111111</v>
          </cell>
          <cell r="F1518">
            <v>45901</v>
          </cell>
          <cell r="G1518">
            <v>45929</v>
          </cell>
          <cell r="H1518">
            <v>0.59027777777777779</v>
          </cell>
          <cell r="I1518">
            <v>0.13541666666666666</v>
          </cell>
          <cell r="J1518">
            <v>11</v>
          </cell>
          <cell r="K1518" t="str">
            <v>FCB-PROTOCOL-01</v>
          </cell>
          <cell r="L1518" t="str">
            <v>VYD/430</v>
          </cell>
          <cell r="M1518" t="str">
            <v>Y</v>
          </cell>
          <cell r="N1518" t="str">
            <v>DMS_v4(1K)</v>
          </cell>
          <cell r="O1518" t="str">
            <v>Internal R&amp;D</v>
          </cell>
          <cell r="P1518" t="str">
            <v>Q1 Passed</v>
          </cell>
          <cell r="Q1518" t="str">
            <v>Q1 Passed</v>
          </cell>
          <cell r="R1518" t="str">
            <v>Q1.5 Passed</v>
          </cell>
          <cell r="S1518" t="str">
            <v>Qualified</v>
          </cell>
          <cell r="T1518" t="str">
            <v>NA</v>
          </cell>
          <cell r="V1518" t="str">
            <v>Tumor content 30-75% with good immune presence</v>
          </cell>
          <cell r="W1518" t="str">
            <v>Private Hospital</v>
          </cell>
          <cell r="X1518" t="str">
            <v>Vydehi Hospital, Bangalore</v>
          </cell>
          <cell r="Y1518" t="str">
            <v>Vydehi Hospital, Bangalore</v>
          </cell>
          <cell r="Z1518" t="str">
            <v>Dr Amritha Prabha, Bangalore</v>
          </cell>
          <cell r="AA1518" t="str">
            <v>HNSCC</v>
          </cell>
          <cell r="AB1518" t="str">
            <v>NA</v>
          </cell>
          <cell r="AC1518" t="str">
            <v>Buccal Mucosa</v>
          </cell>
          <cell r="AD1518" t="str">
            <v>Right Buccal Mucosa</v>
          </cell>
          <cell r="AE1518" t="str">
            <v>Female</v>
          </cell>
          <cell r="AF1518">
            <v>60</v>
          </cell>
          <cell r="AG1518" t="str">
            <v>N</v>
          </cell>
          <cell r="AH1518">
            <v>5.2</v>
          </cell>
          <cell r="AI1518" t="str">
            <v>Kalappa</v>
          </cell>
          <cell r="AJ1518" t="str">
            <v>Surgery</v>
          </cell>
          <cell r="AK1518" t="str">
            <v>Primary</v>
          </cell>
          <cell r="AL1518" t="str">
            <v>NA</v>
          </cell>
          <cell r="AV1518">
            <v>45929</v>
          </cell>
          <cell r="AW1518">
            <v>0.63124999999999998</v>
          </cell>
          <cell r="AX1518">
            <v>0.71180555555555558</v>
          </cell>
          <cell r="AY1518">
            <v>8.0555555555555561E-2</v>
          </cell>
          <cell r="AZ1518">
            <v>0.57638888888888884</v>
          </cell>
          <cell r="BA1518">
            <v>0.25694444444444442</v>
          </cell>
          <cell r="BB1518" t="str">
            <v>0.4-0.6*1.0*1.4</v>
          </cell>
          <cell r="BC1518" t="str">
            <v>NA</v>
          </cell>
          <cell r="BD1518" t="str">
            <v>Vibratome</v>
          </cell>
          <cell r="BE1518">
            <v>15</v>
          </cell>
          <cell r="BF1518" t="str">
            <v>Dharani</v>
          </cell>
          <cell r="BG1518" t="str">
            <v>Y</v>
          </cell>
        </row>
        <row r="1519">
          <cell r="A1519" t="str">
            <v>FBR2T250257</v>
          </cell>
          <cell r="B1519">
            <v>250257</v>
          </cell>
          <cell r="C1519" t="str">
            <v>R&amp;D</v>
          </cell>
          <cell r="D1519">
            <v>45930</v>
          </cell>
          <cell r="E1519">
            <v>0.82291666666666663</v>
          </cell>
          <cell r="F1519">
            <v>45901</v>
          </cell>
          <cell r="G1519">
            <v>45930</v>
          </cell>
          <cell r="H1519">
            <v>0.97222222222222221</v>
          </cell>
          <cell r="I1519">
            <v>0.14930555555555555</v>
          </cell>
          <cell r="J1519">
            <v>10</v>
          </cell>
          <cell r="K1519" t="str">
            <v>FCB-PROTOCOL-01</v>
          </cell>
          <cell r="L1519" t="str">
            <v>SIMS-010</v>
          </cell>
          <cell r="M1519" t="str">
            <v>Y</v>
          </cell>
          <cell r="N1519" t="str">
            <v>CUL-IMP Ovary (2T)</v>
          </cell>
          <cell r="O1519" t="str">
            <v>Internal R&amp;D</v>
          </cell>
          <cell r="P1519" t="str">
            <v>Q1 Passed</v>
          </cell>
          <cell r="Q1519" t="str">
            <v>Q1 Passed</v>
          </cell>
          <cell r="R1519" t="str">
            <v>Q1.5 Passed</v>
          </cell>
          <cell r="S1519" t="str">
            <v>Rejected</v>
          </cell>
          <cell r="T1519" t="str">
            <v>NA</v>
          </cell>
          <cell r="V1519" t="str">
            <v>1% Tumor in one explant, others no tumor</v>
          </cell>
          <cell r="W1519" t="str">
            <v>Private Hospital</v>
          </cell>
          <cell r="X1519" t="str">
            <v>Sapthagiri ClinTrac Pvt Ltd</v>
          </cell>
          <cell r="Y1519" t="str">
            <v>Sapthagiri Institute of Medical Sciences</v>
          </cell>
          <cell r="Z1519" t="str">
            <v>Dr Nataraj</v>
          </cell>
          <cell r="AA1519" t="str">
            <v>Ca Ovary</v>
          </cell>
          <cell r="AB1519" t="str">
            <v>NA</v>
          </cell>
          <cell r="AC1519" t="str">
            <v>Ovary</v>
          </cell>
          <cell r="AD1519" t="str">
            <v>Ovary</v>
          </cell>
          <cell r="AE1519" t="str">
            <v>Female</v>
          </cell>
          <cell r="AF1519">
            <v>50</v>
          </cell>
          <cell r="AG1519" t="str">
            <v>N</v>
          </cell>
          <cell r="AH1519">
            <v>6.8</v>
          </cell>
          <cell r="AI1519" t="str">
            <v>Maruthi</v>
          </cell>
          <cell r="AJ1519" t="str">
            <v>Surgery</v>
          </cell>
          <cell r="AK1519" t="str">
            <v>Primary</v>
          </cell>
          <cell r="AL1519" t="str">
            <v>NA</v>
          </cell>
          <cell r="AV1519">
            <v>45931</v>
          </cell>
          <cell r="AW1519">
            <v>0.30555555555555558</v>
          </cell>
          <cell r="AX1519">
            <v>0.37013888888888891</v>
          </cell>
          <cell r="AY1519">
            <v>6.458333333333334E-2</v>
          </cell>
          <cell r="AZ1519">
            <v>0.22083333333333333</v>
          </cell>
          <cell r="BA151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19" t="str">
            <v>0.4-0.6*0.6-0.8*1.1</v>
          </cell>
          <cell r="BC1519" t="str">
            <v>NA</v>
          </cell>
          <cell r="BD1519" t="str">
            <v>Vibratome</v>
          </cell>
          <cell r="BE1519">
            <v>15</v>
          </cell>
          <cell r="BF1519" t="str">
            <v>chandan</v>
          </cell>
          <cell r="BG1519" t="str">
            <v>Y</v>
          </cell>
        </row>
        <row r="1520">
          <cell r="A1520" t="str">
            <v>FBR1Q250258</v>
          </cell>
          <cell r="B1520">
            <v>250258</v>
          </cell>
          <cell r="C1520" t="str">
            <v>R&amp;D</v>
          </cell>
          <cell r="D1520">
            <v>45936</v>
          </cell>
          <cell r="E1520">
            <v>0.35625000000000001</v>
          </cell>
          <cell r="F1520">
            <v>45931</v>
          </cell>
          <cell r="G1520">
            <v>45936</v>
          </cell>
          <cell r="H1520">
            <v>0.57847222222222228</v>
          </cell>
          <cell r="I1520">
            <v>0.22222222222222221</v>
          </cell>
          <cell r="J1520">
            <v>2</v>
          </cell>
          <cell r="K1520" t="str">
            <v>FCB-PROTOCOL-01</v>
          </cell>
          <cell r="L1520" t="str">
            <v>CLN/PRA/357</v>
          </cell>
          <cell r="M1520" t="str">
            <v>Y</v>
          </cell>
          <cell r="N1520" t="str">
            <v>COSv4.2_CaBR(1Q-Unknown)</v>
          </cell>
          <cell r="O1520" t="str">
            <v>Internal R&amp;D</v>
          </cell>
          <cell r="P1520" t="str">
            <v>Q1 Passed</v>
          </cell>
          <cell r="Q1520" t="str">
            <v>Q1 Passed</v>
          </cell>
          <cell r="R1520" t="str">
            <v>Q1.5 Passed</v>
          </cell>
          <cell r="S1520" t="str">
            <v>Qualified</v>
          </cell>
          <cell r="T1520" t="str">
            <v>NA</v>
          </cell>
          <cell r="V1520" t="str">
            <v>Tumor content 4-75%</v>
          </cell>
          <cell r="W1520" t="str">
            <v>Private Hospital</v>
          </cell>
          <cell r="X1520" t="str">
            <v>Dr Prakash BV, Bangalore</v>
          </cell>
          <cell r="Y1520" t="str">
            <v>Sri Lakshmi Hospital, Bangalore</v>
          </cell>
          <cell r="Z1520" t="str">
            <v>Dr Prakash BV, Bangalore</v>
          </cell>
          <cell r="AA1520" t="str">
            <v>Ca Breast</v>
          </cell>
          <cell r="AB1520" t="str">
            <v>NA</v>
          </cell>
          <cell r="AC1520" t="str">
            <v>Breast</v>
          </cell>
          <cell r="AD1520" t="str">
            <v>Right Breast</v>
          </cell>
          <cell r="AE1520" t="str">
            <v>Female</v>
          </cell>
          <cell r="AF1520">
            <v>53</v>
          </cell>
          <cell r="AG1520" t="str">
            <v>N</v>
          </cell>
          <cell r="AH1520">
            <v>5.4</v>
          </cell>
          <cell r="AI1520" t="str">
            <v>Shashi</v>
          </cell>
          <cell r="AJ1520" t="str">
            <v>Surgery</v>
          </cell>
          <cell r="AK1520" t="str">
            <v>Primary</v>
          </cell>
          <cell r="AL1520" t="str">
            <v>NA</v>
          </cell>
          <cell r="AV1520">
            <v>45936</v>
          </cell>
          <cell r="AW1520">
            <v>0.63749999999999996</v>
          </cell>
          <cell r="AX1520">
            <v>0.71180555555555558</v>
          </cell>
          <cell r="AY1520">
            <v>7.4305555555555555E-2</v>
          </cell>
          <cell r="AZ1520">
            <v>0.48958333333333331</v>
          </cell>
          <cell r="BA1520">
            <v>0.35555555555555557</v>
          </cell>
          <cell r="BB1520" t="str">
            <v>0.8*1.8*3.2</v>
          </cell>
          <cell r="BC1520" t="str">
            <v>NA</v>
          </cell>
          <cell r="BD1520" t="str">
            <v>Manual</v>
          </cell>
          <cell r="BE1520">
            <v>14</v>
          </cell>
          <cell r="BF1520" t="str">
            <v>Abdul</v>
          </cell>
          <cell r="BG1520" t="str">
            <v>Y</v>
          </cell>
        </row>
        <row r="1521">
          <cell r="A1521" t="str">
            <v>FBR2S250259</v>
          </cell>
          <cell r="B1521">
            <v>250259</v>
          </cell>
          <cell r="C1521" t="str">
            <v>R&amp;D</v>
          </cell>
          <cell r="D1521">
            <v>45936</v>
          </cell>
          <cell r="E1521">
            <v>0.48749999999999999</v>
          </cell>
          <cell r="F1521">
            <v>45931</v>
          </cell>
          <cell r="G1521">
            <v>45936</v>
          </cell>
          <cell r="H1521">
            <v>0.57847222222222228</v>
          </cell>
          <cell r="I1521">
            <v>9.0972222222222218E-2</v>
          </cell>
          <cell r="J1521">
            <v>3</v>
          </cell>
          <cell r="K1521" t="str">
            <v>FCB-PROTOCOL-01</v>
          </cell>
          <cell r="L1521" t="str">
            <v>CLN/PRA/358</v>
          </cell>
          <cell r="M1521" t="str">
            <v>Y</v>
          </cell>
          <cell r="N1521" t="str">
            <v>Cos V1 (2S)</v>
          </cell>
          <cell r="O1521" t="str">
            <v>Internal R&amp;D</v>
          </cell>
          <cell r="P1521" t="str">
            <v>Q1 Passed</v>
          </cell>
          <cell r="Q1521" t="str">
            <v>Q1 Passed</v>
          </cell>
          <cell r="R1521" t="str">
            <v>Q1.5 Passed</v>
          </cell>
          <cell r="S1521" t="str">
            <v>Rejected</v>
          </cell>
          <cell r="T1521" t="str">
            <v>NA</v>
          </cell>
          <cell r="V1521" t="str">
            <v>Tumor content 1-75%</v>
          </cell>
          <cell r="W1521" t="str">
            <v>Private Hospital</v>
          </cell>
          <cell r="X1521" t="str">
            <v>Dr Prakash BV, Bangalore</v>
          </cell>
          <cell r="Y1521" t="str">
            <v>Sri Lakshmi Hospital, Bangalore</v>
          </cell>
          <cell r="Z1521" t="str">
            <v>Dr Prakash BV, Bangalore</v>
          </cell>
          <cell r="AA1521" t="str">
            <v>CRC</v>
          </cell>
          <cell r="AB1521" t="str">
            <v>NA</v>
          </cell>
          <cell r="AC1521" t="str">
            <v>colon</v>
          </cell>
          <cell r="AD1521" t="str">
            <v>Assending Colon</v>
          </cell>
          <cell r="AE1521" t="str">
            <v>Female</v>
          </cell>
          <cell r="AF1521">
            <v>58</v>
          </cell>
          <cell r="AG1521" t="str">
            <v>N</v>
          </cell>
          <cell r="AH1521">
            <v>5.4</v>
          </cell>
          <cell r="AI1521" t="str">
            <v>Shashi</v>
          </cell>
          <cell r="AJ1521" t="str">
            <v>Surgery</v>
          </cell>
          <cell r="AK1521" t="str">
            <v>Primary</v>
          </cell>
          <cell r="AL1521" t="str">
            <v>NA</v>
          </cell>
          <cell r="AV1521">
            <v>45936</v>
          </cell>
          <cell r="AW1521">
            <v>0.625</v>
          </cell>
          <cell r="AX1521">
            <v>0.72291666666666665</v>
          </cell>
          <cell r="AY1521">
            <v>9.7916666666666666E-2</v>
          </cell>
          <cell r="AZ1521">
            <v>0.63194444444444442</v>
          </cell>
          <cell r="BA1521">
            <v>0.23541666666666666</v>
          </cell>
          <cell r="BB1521" t="str">
            <v>0.6-0.8*1.8-2.0*2.6</v>
          </cell>
          <cell r="BC1521" t="str">
            <v>NA</v>
          </cell>
          <cell r="BD1521" t="str">
            <v>Vibratome</v>
          </cell>
          <cell r="BE1521">
            <v>13</v>
          </cell>
          <cell r="BF1521" t="str">
            <v>Jobin</v>
          </cell>
          <cell r="BG1521" t="str">
            <v>Y</v>
          </cell>
        </row>
        <row r="1522">
          <cell r="A1522" t="str">
            <v>FBR2A250260</v>
          </cell>
          <cell r="B1522">
            <v>250260</v>
          </cell>
          <cell r="C1522" t="str">
            <v>R&amp;D</v>
          </cell>
          <cell r="D1522">
            <v>45936</v>
          </cell>
          <cell r="E1522">
            <v>0.47916666666666669</v>
          </cell>
          <cell r="F1522">
            <v>45931</v>
          </cell>
          <cell r="G1522">
            <v>45936</v>
          </cell>
          <cell r="H1522">
            <v>0.66180555555555554</v>
          </cell>
          <cell r="I1522">
            <v>0.18263888888888888</v>
          </cell>
          <cell r="J1522">
            <v>15</v>
          </cell>
          <cell r="K1522" t="str">
            <v>FCB-PROTOCOL-01</v>
          </cell>
          <cell r="L1522" t="str">
            <v>JSS-061</v>
          </cell>
          <cell r="M1522" t="str">
            <v>Y</v>
          </cell>
          <cell r="N1522" t="str">
            <v>Ovary CC (2A)</v>
          </cell>
          <cell r="O1522" t="str">
            <v>Internal R&amp;D</v>
          </cell>
          <cell r="P1522" t="str">
            <v>Q1 Passed</v>
          </cell>
          <cell r="Q1522" t="str">
            <v>Q1 Passed</v>
          </cell>
          <cell r="R1522" t="str">
            <v>Q1.5 Passed</v>
          </cell>
          <cell r="S1522" t="str">
            <v>Rejected</v>
          </cell>
          <cell r="T1522" t="str">
            <v>NA</v>
          </cell>
          <cell r="V1522" t="str">
            <v>No tumor</v>
          </cell>
          <cell r="W1522" t="str">
            <v>Private Hospital</v>
          </cell>
          <cell r="X1522" t="str">
            <v>Dr Ravi Krishnappa, Mysore</v>
          </cell>
          <cell r="Y1522" t="str">
            <v>JSS Hospital, Mysore</v>
          </cell>
          <cell r="Z1522" t="str">
            <v>Dr Ravi Krishnappa, Mysore</v>
          </cell>
          <cell r="AA1522" t="str">
            <v>Ca Ovary</v>
          </cell>
          <cell r="AB1522" t="str">
            <v>NA</v>
          </cell>
          <cell r="AC1522" t="str">
            <v>Ovary</v>
          </cell>
          <cell r="AD1522" t="str">
            <v>Left Ovary</v>
          </cell>
          <cell r="AE1522" t="str">
            <v>Female</v>
          </cell>
          <cell r="AF1522">
            <v>46</v>
          </cell>
          <cell r="AG1522" t="str">
            <v>N</v>
          </cell>
          <cell r="AH1522">
            <v>6.3</v>
          </cell>
          <cell r="AI1522" t="str">
            <v>Maruthi</v>
          </cell>
          <cell r="AJ1522" t="str">
            <v>Surgery</v>
          </cell>
          <cell r="AK1522" t="str">
            <v>Primary</v>
          </cell>
          <cell r="AL1522" t="str">
            <v>Chemotherapy</v>
          </cell>
          <cell r="AQ1522">
            <v>6</v>
          </cell>
          <cell r="AR1522" t="str">
            <v>Paclitaxel+Carboplatin</v>
          </cell>
          <cell r="AS1522" t="str">
            <v>Adenocarcinoma</v>
          </cell>
          <cell r="AV1522">
            <v>45936</v>
          </cell>
          <cell r="AW1522">
            <v>0.69305555555555554</v>
          </cell>
          <cell r="AX1522">
            <v>0.83402777777777781</v>
          </cell>
          <cell r="AY1522">
            <v>0.14097222222222222</v>
          </cell>
          <cell r="AZ1522">
            <v>0.65138888888888891</v>
          </cell>
          <cell r="BA1522">
            <v>0.35486111111111113</v>
          </cell>
          <cell r="BB1522" t="str">
            <v>0.2-0.4*0.6-1.0*1.0-1.4
0.2-0.4*0.7-1.2*1.8-2.6</v>
          </cell>
          <cell r="BC1522" t="str">
            <v>NA</v>
          </cell>
          <cell r="BD1522" t="str">
            <v>Vibratome</v>
          </cell>
          <cell r="BE1522">
            <v>14</v>
          </cell>
          <cell r="BF1522" t="str">
            <v>Mouniss</v>
          </cell>
          <cell r="BG1522" t="str">
            <v>Y</v>
          </cell>
        </row>
        <row r="1523">
          <cell r="A1523" t="str">
            <v>FBR1K250261</v>
          </cell>
          <cell r="B1523">
            <v>250261</v>
          </cell>
          <cell r="C1523" t="str">
            <v>R&amp;D</v>
          </cell>
          <cell r="D1523">
            <v>45937</v>
          </cell>
          <cell r="E1523">
            <v>0.50694444444444442</v>
          </cell>
          <cell r="F1523">
            <v>45931</v>
          </cell>
          <cell r="G1523">
            <v>45937</v>
          </cell>
          <cell r="H1523">
            <v>0.85347222222222219</v>
          </cell>
          <cell r="I1523">
            <v>0.34652777777777777</v>
          </cell>
          <cell r="J1523">
            <v>10</v>
          </cell>
          <cell r="K1523" t="str">
            <v>FCB-PROTOCOL-01</v>
          </cell>
          <cell r="L1523" t="str">
            <v>CLN/DBR/254</v>
          </cell>
          <cell r="M1523" t="str">
            <v>Y</v>
          </cell>
          <cell r="N1523" t="str">
            <v>DMS_v4(1K)</v>
          </cell>
          <cell r="O1523" t="str">
            <v>Internal R&amp;D</v>
          </cell>
          <cell r="P1523" t="str">
            <v>Q1 Passed</v>
          </cell>
          <cell r="Q1523" t="str">
            <v>Q1 Passed</v>
          </cell>
          <cell r="R1523" t="str">
            <v>Q1.5 Passed</v>
          </cell>
          <cell r="S1523" t="str">
            <v>Qualified</v>
          </cell>
          <cell r="T1523" t="str">
            <v>NA</v>
          </cell>
          <cell r="V1523" t="str">
            <v>Tumor content 15-85%</v>
          </cell>
          <cell r="W1523" t="str">
            <v>Private Hospital</v>
          </cell>
          <cell r="X1523" t="str">
            <v>Clinic'les- DBR &amp; SK Hospital, Tirupati</v>
          </cell>
          <cell r="Y1523" t="str">
            <v>DBR &amp; SK Hospital, Tirupati</v>
          </cell>
          <cell r="Z1523" t="str">
            <v>Dr C Jayaprakash, Tirupati</v>
          </cell>
          <cell r="AA1523" t="str">
            <v>HNSCC</v>
          </cell>
          <cell r="AB1523" t="str">
            <v>NA</v>
          </cell>
          <cell r="AC1523" t="str">
            <v>Buccal Mucosa</v>
          </cell>
          <cell r="AD1523" t="str">
            <v>Left Buccal Mucosa</v>
          </cell>
          <cell r="AE1523" t="str">
            <v>Male</v>
          </cell>
          <cell r="AF1523">
            <v>59</v>
          </cell>
          <cell r="AG1523" t="str">
            <v>N</v>
          </cell>
          <cell r="AH1523">
            <v>4.9000000000000004</v>
          </cell>
          <cell r="AI1523" t="str">
            <v>Kalappa</v>
          </cell>
          <cell r="AJ1523" t="str">
            <v>Surgery</v>
          </cell>
          <cell r="AK1523" t="str">
            <v>Primary</v>
          </cell>
          <cell r="AL1523" t="str">
            <v>NA</v>
          </cell>
          <cell r="AV1523">
            <v>45937</v>
          </cell>
          <cell r="AW1523">
            <v>0.89236111111111116</v>
          </cell>
          <cell r="AX1523">
            <v>0.97152777777777777</v>
          </cell>
          <cell r="AY1523">
            <v>7.9166666666666663E-2</v>
          </cell>
          <cell r="AZ1523">
            <v>0.625</v>
          </cell>
          <cell r="BA1523">
            <v>0.46458333333333335</v>
          </cell>
          <cell r="BB1523" t="str">
            <v>0.2-0.4*0.6-0.8*1.6-1.8</v>
          </cell>
          <cell r="BC1523" t="str">
            <v>NA</v>
          </cell>
          <cell r="BD1523" t="str">
            <v>Vibratome</v>
          </cell>
          <cell r="BE1523">
            <v>14</v>
          </cell>
          <cell r="BF1523" t="str">
            <v xml:space="preserve">sai </v>
          </cell>
          <cell r="BG1523" t="str">
            <v>Y</v>
          </cell>
        </row>
        <row r="1524">
          <cell r="A1524" t="str">
            <v>FBB1P250262</v>
          </cell>
          <cell r="B1524">
            <v>250262</v>
          </cell>
          <cell r="C1524" t="str">
            <v>Biopharma</v>
          </cell>
          <cell r="D1524">
            <v>45938</v>
          </cell>
          <cell r="E1524">
            <v>0.50763888888888886</v>
          </cell>
          <cell r="F1524">
            <v>45931</v>
          </cell>
          <cell r="G1524">
            <v>45938</v>
          </cell>
          <cell r="H1524">
            <v>0.61250000000000004</v>
          </cell>
          <cell r="I1524">
            <v>0.10486111111111111</v>
          </cell>
          <cell r="J1524">
            <v>3</v>
          </cell>
          <cell r="K1524" t="str">
            <v>FCB-PROTOCOL-01</v>
          </cell>
          <cell r="L1524" t="str">
            <v>VYD/431</v>
          </cell>
          <cell r="M1524" t="str">
            <v>Y</v>
          </cell>
          <cell r="N1524" t="str">
            <v>BP014_SOW-1 (1P)</v>
          </cell>
          <cell r="O1524" t="str">
            <v>Biopharma</v>
          </cell>
          <cell r="P1524" t="str">
            <v>Q1 Passed</v>
          </cell>
          <cell r="Q1524" t="str">
            <v>Q1 Passed</v>
          </cell>
          <cell r="R1524" t="str">
            <v>Q1.5 Passed</v>
          </cell>
          <cell r="S1524" t="str">
            <v>Qualified</v>
          </cell>
          <cell r="T1524" t="str">
            <v>NA</v>
          </cell>
          <cell r="V1524" t="str">
            <v>Tumor content 30-90%</v>
          </cell>
          <cell r="W1524" t="str">
            <v>Private Hospital</v>
          </cell>
          <cell r="X1524" t="str">
            <v>Vydehi Hospital, Bangalore</v>
          </cell>
          <cell r="Y1524" t="str">
            <v>Vydehi Hospital, Bangalore</v>
          </cell>
          <cell r="Z1524" t="str">
            <v>Dr Amritha Prabha, Bangalore</v>
          </cell>
          <cell r="AA1524" t="str">
            <v>HNSCC</v>
          </cell>
          <cell r="AB1524" t="str">
            <v>NA</v>
          </cell>
          <cell r="AC1524" t="str">
            <v>Buccal Mucosa</v>
          </cell>
          <cell r="AD1524" t="str">
            <v>Left Buccal Mucosa</v>
          </cell>
          <cell r="AE1524" t="str">
            <v>Male</v>
          </cell>
          <cell r="AF1524">
            <v>40</v>
          </cell>
          <cell r="AG1524" t="str">
            <v>N</v>
          </cell>
          <cell r="AH1524">
            <v>4</v>
          </cell>
          <cell r="AI1524" t="str">
            <v>Kalappa</v>
          </cell>
          <cell r="AJ1524" t="str">
            <v>Surgery</v>
          </cell>
          <cell r="AK1524" t="str">
            <v>Primary</v>
          </cell>
          <cell r="AL1524" t="str">
            <v>NA</v>
          </cell>
          <cell r="AV1524">
            <v>45938</v>
          </cell>
          <cell r="AW1524">
            <v>0.64097222222222228</v>
          </cell>
          <cell r="AX1524">
            <v>0.72569444444444442</v>
          </cell>
          <cell r="AY1524">
            <v>8.4722222222222227E-2</v>
          </cell>
          <cell r="AZ1524">
            <v>0.62083333333333335</v>
          </cell>
          <cell r="BA1524">
            <v>0.21805555555555556</v>
          </cell>
          <cell r="BB1524" t="str">
            <v>0.4-0.8*1.8*1.8</v>
          </cell>
          <cell r="BC1524" t="str">
            <v>NA</v>
          </cell>
          <cell r="BD1524" t="str">
            <v>Vibratome</v>
          </cell>
          <cell r="BE1524">
            <v>14</v>
          </cell>
          <cell r="BF1524" t="str">
            <v>Abdul</v>
          </cell>
          <cell r="BG1524" t="str">
            <v>Y</v>
          </cell>
        </row>
        <row r="1525">
          <cell r="A1525" t="str">
            <v>FBR1Q250263</v>
          </cell>
          <cell r="B1525">
            <v>250263</v>
          </cell>
          <cell r="C1525" t="str">
            <v>R&amp;D</v>
          </cell>
          <cell r="D1525">
            <v>45938</v>
          </cell>
          <cell r="E1525">
            <v>0.52777777777777779</v>
          </cell>
          <cell r="F1525">
            <v>45931</v>
          </cell>
          <cell r="G1525">
            <v>45938</v>
          </cell>
          <cell r="H1525">
            <v>0.79652777777777772</v>
          </cell>
          <cell r="I1525">
            <v>0.26874999999999999</v>
          </cell>
          <cell r="J1525">
            <v>5</v>
          </cell>
          <cell r="K1525" t="str">
            <v>FCB-PROTOCOL-01</v>
          </cell>
          <cell r="L1525" t="str">
            <v>JSS-062</v>
          </cell>
          <cell r="M1525" t="str">
            <v>Y</v>
          </cell>
          <cell r="N1525" t="str">
            <v>COSv4.2_CaBR(1Q-Unknown)</v>
          </cell>
          <cell r="O1525" t="str">
            <v>Internal R&amp;D</v>
          </cell>
          <cell r="P1525" t="str">
            <v>Q1 Passed</v>
          </cell>
          <cell r="Q1525" t="str">
            <v>Q1 Passed</v>
          </cell>
          <cell r="R1525" t="str">
            <v>Q1.5 Passed</v>
          </cell>
          <cell r="S1525" t="str">
            <v>Rejected</v>
          </cell>
          <cell r="T1525" t="str">
            <v>NA</v>
          </cell>
          <cell r="V1525" t="str">
            <v>Tumor content 8-55%</v>
          </cell>
          <cell r="W1525" t="str">
            <v>Private Hospital</v>
          </cell>
          <cell r="X1525" t="str">
            <v>Dr Ravi Krishnappa, Mysore</v>
          </cell>
          <cell r="Y1525" t="str">
            <v>JSS Hospital, Mysore</v>
          </cell>
          <cell r="Z1525" t="str">
            <v>Dr Ravi Krishnappa, Mysore</v>
          </cell>
          <cell r="AA1525" t="str">
            <v>Ca Breast</v>
          </cell>
          <cell r="AB1525" t="str">
            <v>NA</v>
          </cell>
          <cell r="AC1525" t="str">
            <v>Breast</v>
          </cell>
          <cell r="AD1525" t="str">
            <v>Left Breast</v>
          </cell>
          <cell r="AE1525" t="str">
            <v>Female</v>
          </cell>
          <cell r="AF1525">
            <v>77</v>
          </cell>
          <cell r="AG1525" t="str">
            <v>N</v>
          </cell>
          <cell r="AH1525">
            <v>5.5</v>
          </cell>
          <cell r="AI1525" t="str">
            <v>Maruthi</v>
          </cell>
          <cell r="AJ1525" t="str">
            <v>Surgery</v>
          </cell>
          <cell r="AK1525" t="str">
            <v>Primary</v>
          </cell>
          <cell r="AL1525" t="str">
            <v>Surgery</v>
          </cell>
          <cell r="AV1525">
            <v>45938</v>
          </cell>
          <cell r="AW1525">
            <v>0.81458333333333333</v>
          </cell>
          <cell r="AX1525">
            <v>0.89236111111111116</v>
          </cell>
          <cell r="AY1525">
            <v>7.7777777777777779E-2</v>
          </cell>
          <cell r="AZ1525">
            <v>0.62361111111111112</v>
          </cell>
          <cell r="BA1525">
            <v>0.36458333333333331</v>
          </cell>
          <cell r="BB1525" t="str">
            <v>0.05*0.3-0.5*0.8
0.1*0.4-0.5*0.8
0.2-0.6*0.6-1.5*0.4-1.5
0.2-0.6*0.6-2.0*0.4-2.0</v>
          </cell>
          <cell r="BC1525" t="str">
            <v>NA</v>
          </cell>
          <cell r="BD1525" t="str">
            <v>Manual</v>
          </cell>
          <cell r="BE1525">
            <v>14</v>
          </cell>
          <cell r="BF1525" t="str">
            <v>Abdul</v>
          </cell>
          <cell r="BG1525" t="str">
            <v>Y</v>
          </cell>
        </row>
        <row r="1526">
          <cell r="A1526" t="str">
            <v>FBB1P250264</v>
          </cell>
          <cell r="B1526">
            <v>250264</v>
          </cell>
          <cell r="C1526" t="str">
            <v>Biopharma</v>
          </cell>
          <cell r="D1526">
            <v>45940</v>
          </cell>
          <cell r="E1526">
            <v>0.53472222222222221</v>
          </cell>
          <cell r="F1526">
            <v>45931</v>
          </cell>
          <cell r="G1526">
            <v>45940</v>
          </cell>
          <cell r="H1526">
            <v>0.68472222222222223</v>
          </cell>
          <cell r="I1526">
            <v>0.15</v>
          </cell>
          <cell r="J1526">
            <v>4</v>
          </cell>
          <cell r="K1526" t="str">
            <v>FCB-PROTOCOL-01</v>
          </cell>
          <cell r="L1526" t="str">
            <v>VYD/432</v>
          </cell>
          <cell r="M1526" t="str">
            <v>Y</v>
          </cell>
          <cell r="N1526" t="str">
            <v>BP014_SOW-1 (1P)</v>
          </cell>
          <cell r="O1526" t="str">
            <v>Biopharma</v>
          </cell>
          <cell r="P1526" t="str">
            <v>Q1 Passed</v>
          </cell>
          <cell r="Q1526" t="str">
            <v>Q1 Passed</v>
          </cell>
          <cell r="R1526" t="str">
            <v>Q1.5 Passed</v>
          </cell>
          <cell r="S1526" t="str">
            <v>Qualified</v>
          </cell>
          <cell r="T1526" t="str">
            <v>NA</v>
          </cell>
          <cell r="V1526" t="str">
            <v>Tumor content 35-70%</v>
          </cell>
          <cell r="W1526" t="str">
            <v>Private Hospital</v>
          </cell>
          <cell r="X1526" t="str">
            <v>Vydehi Hospital, Bangalore</v>
          </cell>
          <cell r="Y1526" t="str">
            <v>Vydehi Hospital, Bangalore</v>
          </cell>
          <cell r="Z1526" t="str">
            <v>Dr Amritha Prabha, Bangalore</v>
          </cell>
          <cell r="AA1526" t="str">
            <v>HNSCC</v>
          </cell>
          <cell r="AB1526" t="str">
            <v>NA</v>
          </cell>
          <cell r="AC1526" t="str">
            <v>Alveolus</v>
          </cell>
          <cell r="AD1526" t="str">
            <v>Left Lower Alveolus</v>
          </cell>
          <cell r="AE1526" t="str">
            <v>Male</v>
          </cell>
          <cell r="AF1526">
            <v>60</v>
          </cell>
          <cell r="AG1526" t="str">
            <v>N</v>
          </cell>
          <cell r="AH1526">
            <v>5</v>
          </cell>
          <cell r="AI1526" t="str">
            <v>Kalappa</v>
          </cell>
          <cell r="AJ1526" t="str">
            <v>Surgery</v>
          </cell>
          <cell r="AK1526" t="str">
            <v>Primary</v>
          </cell>
          <cell r="AL1526" t="str">
            <v>NA</v>
          </cell>
          <cell r="AV1526">
            <v>45940</v>
          </cell>
          <cell r="AW1526">
            <v>0.7</v>
          </cell>
          <cell r="AX1526">
            <v>0.76041666666666663</v>
          </cell>
          <cell r="AY1526">
            <v>6.0416666666666667E-2</v>
          </cell>
          <cell r="AZ1526">
            <v>0.61041666666666672</v>
          </cell>
          <cell r="BA1526">
            <v>0.22569444444444445</v>
          </cell>
          <cell r="BB1526" t="str">
            <v>0.4*0.6-1.1*1.0-1.1
0.4*0.4-0.8*1.2</v>
          </cell>
          <cell r="BC1526" t="str">
            <v>NA</v>
          </cell>
          <cell r="BD1526" t="str">
            <v>Vibratome</v>
          </cell>
          <cell r="BE1526">
            <v>14</v>
          </cell>
          <cell r="BF1526" t="str">
            <v>Syam</v>
          </cell>
          <cell r="BG1526" t="str">
            <v>Y</v>
          </cell>
        </row>
        <row r="1527">
          <cell r="A1527" t="str">
            <v>FBR1Q250265</v>
          </cell>
          <cell r="B1527">
            <v>250265</v>
          </cell>
          <cell r="C1527" t="str">
            <v>R&amp;D</v>
          </cell>
          <cell r="D1527">
            <v>45940</v>
          </cell>
          <cell r="E1527">
            <v>0.71111111111111114</v>
          </cell>
          <cell r="F1527">
            <v>45931</v>
          </cell>
          <cell r="G1527">
            <v>45940</v>
          </cell>
          <cell r="H1527">
            <v>0.79374999999999996</v>
          </cell>
          <cell r="I1527">
            <v>8.2638888888888887E-2</v>
          </cell>
          <cell r="J1527">
            <v>1</v>
          </cell>
          <cell r="K1527" t="str">
            <v>FCB-PROTOCOL-01</v>
          </cell>
          <cell r="L1527" t="str">
            <v>VYD/433</v>
          </cell>
          <cell r="M1527" t="str">
            <v>Y</v>
          </cell>
          <cell r="N1527" t="str">
            <v>COSv4.2_CaBR(1Q-Unknown)</v>
          </cell>
          <cell r="O1527" t="str">
            <v>Internal R&amp;D</v>
          </cell>
          <cell r="P1527" t="str">
            <v>Q1 Passed</v>
          </cell>
          <cell r="Q1527" t="str">
            <v>Q1 Passed</v>
          </cell>
          <cell r="R1527" t="str">
            <v>Q1.5 Passed</v>
          </cell>
          <cell r="S1527" t="str">
            <v>Rejected</v>
          </cell>
          <cell r="T1527" t="str">
            <v>Very small size tissue</v>
          </cell>
          <cell r="V1527" t="str">
            <v>Tumor content 6-45%</v>
          </cell>
          <cell r="W1527" t="str">
            <v>Private Hospital</v>
          </cell>
          <cell r="X1527" t="str">
            <v>Vydehi Hospital, Bangalore</v>
          </cell>
          <cell r="Y1527" t="str">
            <v>Vydehi Hospital, Bangalore</v>
          </cell>
          <cell r="Z1527" t="str">
            <v>Dr Amritha Prabha, Bangalore</v>
          </cell>
          <cell r="AA1527" t="str">
            <v>Ca Breast</v>
          </cell>
          <cell r="AB1527" t="str">
            <v>Er -, 
Pr -,
Her2 - equivocal</v>
          </cell>
          <cell r="AC1527" t="str">
            <v>Breast</v>
          </cell>
          <cell r="AD1527" t="str">
            <v>Right Breast</v>
          </cell>
          <cell r="AE1527" t="str">
            <v>Female</v>
          </cell>
          <cell r="AF1527">
            <v>76</v>
          </cell>
          <cell r="AG1527" t="str">
            <v>N</v>
          </cell>
          <cell r="AH1527">
            <v>4.8</v>
          </cell>
          <cell r="AI1527" t="str">
            <v>Maruthi</v>
          </cell>
          <cell r="AJ1527" t="str">
            <v>Surgery</v>
          </cell>
          <cell r="AK1527" t="str">
            <v>Primary</v>
          </cell>
          <cell r="AL1527" t="str">
            <v>Chemotherapy</v>
          </cell>
          <cell r="AQ1527">
            <v>6</v>
          </cell>
          <cell r="AR1527" t="str">
            <v>Docetaxel. Cyclophosphamide and Herceptin</v>
          </cell>
          <cell r="AS1527" t="str">
            <v>IDC</v>
          </cell>
          <cell r="AV1527">
            <v>45940</v>
          </cell>
          <cell r="AW1527">
            <v>0.81180555555555556</v>
          </cell>
          <cell r="AX1527" t="str">
            <v>NA</v>
          </cell>
          <cell r="AY1527" t="str">
            <v>NA</v>
          </cell>
          <cell r="AZ1527" t="str">
            <v>NA</v>
          </cell>
          <cell r="BA1527" t="str">
            <v>NA</v>
          </cell>
          <cell r="BB1527" t="str">
            <v>0.2-0.3*0.2-0.6*1.0
0.2*0.4*0.3-0.7</v>
          </cell>
          <cell r="BC1527" t="str">
            <v>NA</v>
          </cell>
          <cell r="BD1527" t="str">
            <v>Manual</v>
          </cell>
          <cell r="BE1527">
            <v>14</v>
          </cell>
          <cell r="BF1527" t="str">
            <v>Abdul</v>
          </cell>
          <cell r="BG1527" t="str">
            <v>Y</v>
          </cell>
        </row>
        <row r="1528">
          <cell r="A1528" t="str">
            <v>FBR1K250266</v>
          </cell>
          <cell r="B1528">
            <v>250266</v>
          </cell>
          <cell r="C1528" t="str">
            <v>R&amp;D</v>
          </cell>
          <cell r="D1528">
            <v>45941</v>
          </cell>
          <cell r="E1528">
            <v>0.53472222222222221</v>
          </cell>
          <cell r="F1528">
            <v>45931</v>
          </cell>
          <cell r="G1528">
            <v>45941</v>
          </cell>
          <cell r="H1528">
            <v>0.9</v>
          </cell>
          <cell r="I1528">
            <v>0.36527777777777776</v>
          </cell>
          <cell r="J1528">
            <v>10</v>
          </cell>
          <cell r="K1528" t="str">
            <v>FCB-PROTOCOL-01</v>
          </cell>
          <cell r="L1528" t="str">
            <v>CLN/DBR/255</v>
          </cell>
          <cell r="M1528" t="str">
            <v>Y</v>
          </cell>
          <cell r="N1528" t="str">
            <v>DMS_v4(1K)</v>
          </cell>
          <cell r="O1528" t="str">
            <v>Internal R&amp;D</v>
          </cell>
          <cell r="P1528" t="str">
            <v>Q1 Passed</v>
          </cell>
          <cell r="Q1528" t="str">
            <v>Q1 Passed</v>
          </cell>
          <cell r="R1528" t="str">
            <v>Q1.5 Passed</v>
          </cell>
          <cell r="S1528" t="str">
            <v>Qualified</v>
          </cell>
          <cell r="T1528" t="str">
            <v>NA</v>
          </cell>
          <cell r="V1528" t="str">
            <v>Tumor content 4-75% with good immune presence</v>
          </cell>
          <cell r="W1528" t="str">
            <v>Private Hospital</v>
          </cell>
          <cell r="X1528" t="str">
            <v>Clinic'les- DBR &amp; SK Hospital, Tirupati</v>
          </cell>
          <cell r="Y1528" t="str">
            <v>DBR &amp; SK Hospital, Tirupati</v>
          </cell>
          <cell r="Z1528" t="str">
            <v>Dr C Jayaprakash, Tirupati</v>
          </cell>
          <cell r="AA1528" t="str">
            <v>HNSCC</v>
          </cell>
          <cell r="AB1528" t="str">
            <v>NA</v>
          </cell>
          <cell r="AC1528" t="str">
            <v>Tongue</v>
          </cell>
          <cell r="AD1528" t="str">
            <v>Tongue</v>
          </cell>
          <cell r="AE1528" t="str">
            <v>Male</v>
          </cell>
          <cell r="AF1528">
            <v>46</v>
          </cell>
          <cell r="AG1528" t="str">
            <v>N</v>
          </cell>
          <cell r="AH1528">
            <v>6.1</v>
          </cell>
          <cell r="AI1528" t="str">
            <v>Maruthi</v>
          </cell>
          <cell r="AJ1528" t="str">
            <v>Surgery</v>
          </cell>
          <cell r="AK1528" t="str">
            <v>Primary</v>
          </cell>
          <cell r="AL1528" t="str">
            <v>NA</v>
          </cell>
          <cell r="AV1528">
            <v>45942</v>
          </cell>
          <cell r="AW1528">
            <v>0.27083333333333331</v>
          </cell>
          <cell r="AX1528">
            <v>0.35486111111111113</v>
          </cell>
          <cell r="AY1528">
            <v>8.4027777777777785E-2</v>
          </cell>
          <cell r="AZ152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52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28" t="str">
            <v>0.8*1.4*1.6</v>
          </cell>
          <cell r="BC1528" t="str">
            <v>NA</v>
          </cell>
          <cell r="BD1528" t="str">
            <v>Vibratome</v>
          </cell>
          <cell r="BE1528">
            <v>14</v>
          </cell>
          <cell r="BF1528" t="str">
            <v>Dharani</v>
          </cell>
          <cell r="BG1528" t="str">
            <v>Y</v>
          </cell>
        </row>
        <row r="1529">
          <cell r="A1529" t="str">
            <v>FBR1Y250267</v>
          </cell>
          <cell r="B1529">
            <v>250267</v>
          </cell>
          <cell r="C1529" t="str">
            <v>R&amp;D</v>
          </cell>
          <cell r="D1529">
            <v>45943</v>
          </cell>
          <cell r="E1529">
            <v>0.40555555555555556</v>
          </cell>
          <cell r="F1529">
            <v>45931</v>
          </cell>
          <cell r="G1529">
            <v>45943</v>
          </cell>
          <cell r="H1529">
            <v>0.58750000000000002</v>
          </cell>
          <cell r="I1529">
            <v>0.18194444444444444</v>
          </cell>
          <cell r="J1529">
            <v>2</v>
          </cell>
          <cell r="K1529" t="str">
            <v>FCB-PROTOCOL-01</v>
          </cell>
          <cell r="L1529" t="str">
            <v>VYD/434</v>
          </cell>
          <cell r="M1529" t="str">
            <v>Y</v>
          </cell>
          <cell r="N1529" t="str">
            <v>CCS Study (1Y)</v>
          </cell>
          <cell r="O1529" t="str">
            <v>Internal R&amp;D</v>
          </cell>
          <cell r="P1529" t="str">
            <v>Q1 Passed</v>
          </cell>
          <cell r="Q1529" t="str">
            <v>Q1 Passed</v>
          </cell>
          <cell r="R1529" t="str">
            <v>Q1.5 Passed</v>
          </cell>
          <cell r="S1529" t="str">
            <v>Rejected</v>
          </cell>
          <cell r="T1529" t="str">
            <v>Not Fit For Vibrotome</v>
          </cell>
          <cell r="V1529" t="str">
            <v>Tumor content 30-85%</v>
          </cell>
          <cell r="W1529" t="str">
            <v>Private Hospital</v>
          </cell>
          <cell r="X1529" t="str">
            <v>Vydehi Hospital, Bangalore</v>
          </cell>
          <cell r="Y1529" t="str">
            <v>Vydehi Hospital, Bangalore</v>
          </cell>
          <cell r="Z1529" t="str">
            <v>Dr Amritha Prabha, Bangalore</v>
          </cell>
          <cell r="AA1529" t="str">
            <v>HNSCC</v>
          </cell>
          <cell r="AB1529" t="str">
            <v>NA</v>
          </cell>
          <cell r="AC1529" t="str">
            <v>Buccal Mucosa</v>
          </cell>
          <cell r="AD1529" t="str">
            <v>Left Buccal Mucosa</v>
          </cell>
          <cell r="AE1529" t="str">
            <v>Female</v>
          </cell>
          <cell r="AF1529">
            <v>60</v>
          </cell>
          <cell r="AG1529" t="str">
            <v>N</v>
          </cell>
          <cell r="AH1529">
            <v>5.0999999999999996</v>
          </cell>
          <cell r="AI1529" t="str">
            <v>Kalappa</v>
          </cell>
          <cell r="AJ1529" t="str">
            <v>Surgery</v>
          </cell>
          <cell r="AK1529" t="str">
            <v>Primary</v>
          </cell>
          <cell r="AL1529" t="str">
            <v>NA</v>
          </cell>
          <cell r="AV1529">
            <v>45943</v>
          </cell>
          <cell r="AW1529">
            <v>0.61041666666666672</v>
          </cell>
          <cell r="AX1529" t="str">
            <v>NA</v>
          </cell>
          <cell r="AY1529" t="str">
            <v>NA</v>
          </cell>
          <cell r="AZ1529" t="str">
            <v>NA</v>
          </cell>
          <cell r="BA1529" t="str">
            <v>NA</v>
          </cell>
          <cell r="BB1529" t="str">
            <v>0.2*0.4*0.6
0.2-0.4*0.2-0.6*1.4-1.5
0.2*0.2-0.4*0.4-0.6</v>
          </cell>
          <cell r="BC1529" t="str">
            <v>NA</v>
          </cell>
          <cell r="BD1529" t="str">
            <v>Manual</v>
          </cell>
          <cell r="BE1529">
            <v>14</v>
          </cell>
          <cell r="BF1529" t="str">
            <v xml:space="preserve">sai </v>
          </cell>
          <cell r="BG1529" t="str">
            <v>Y</v>
          </cell>
        </row>
        <row r="1530">
          <cell r="A1530" t="str">
            <v>FBR1X250268</v>
          </cell>
          <cell r="B1530">
            <v>250268</v>
          </cell>
          <cell r="C1530" t="str">
            <v>R&amp;D</v>
          </cell>
          <cell r="D1530">
            <v>45943</v>
          </cell>
          <cell r="E1530">
            <v>0.57986111111111116</v>
          </cell>
          <cell r="F1530">
            <v>45931</v>
          </cell>
          <cell r="G1530">
            <v>45943</v>
          </cell>
          <cell r="H1530">
            <v>0.65069444444444446</v>
          </cell>
          <cell r="I1530">
            <v>7.0833333333333331E-2</v>
          </cell>
          <cell r="J1530">
            <v>5</v>
          </cell>
          <cell r="K1530" t="str">
            <v>FCB-PROTOCOL-01</v>
          </cell>
          <cell r="L1530" t="str">
            <v>SIMS-011</v>
          </cell>
          <cell r="M1530" t="str">
            <v>Y</v>
          </cell>
          <cell r="N1530" t="str">
            <v>Biopsy HNSCC (1X)</v>
          </cell>
          <cell r="O1530" t="str">
            <v>Internal R&amp;D</v>
          </cell>
          <cell r="P1530" t="str">
            <v>Q1 Passed</v>
          </cell>
          <cell r="Q1530" t="str">
            <v>Q1 Passed</v>
          </cell>
          <cell r="R1530" t="str">
            <v>Compromised</v>
          </cell>
          <cell r="S1530" t="str">
            <v>Rejected</v>
          </cell>
          <cell r="T1530" t="str">
            <v>Very small size tissue</v>
          </cell>
          <cell r="V1530" t="str">
            <v>Tumor content 65-80%</v>
          </cell>
          <cell r="W1530" t="str">
            <v>Private Hospital</v>
          </cell>
          <cell r="X1530" t="str">
            <v>Sapthagiri ClinTrac Pvt Ltd</v>
          </cell>
          <cell r="Y1530" t="str">
            <v>Sapthagiri Institute of Medical Sciences</v>
          </cell>
          <cell r="Z1530" t="str">
            <v>Dr Nataraj</v>
          </cell>
          <cell r="AA1530" t="str">
            <v>HNSCC</v>
          </cell>
          <cell r="AB1530" t="str">
            <v>NA</v>
          </cell>
          <cell r="AC1530" t="str">
            <v>Pyriform fossa growth in throat</v>
          </cell>
          <cell r="AD1530" t="str">
            <v>Pyriform fossa growth in throat</v>
          </cell>
          <cell r="AE1530" t="str">
            <v>Male</v>
          </cell>
          <cell r="AF1530">
            <v>50</v>
          </cell>
          <cell r="AG1530" t="str">
            <v>N</v>
          </cell>
          <cell r="AH1530">
            <v>6.3</v>
          </cell>
          <cell r="AI1530" t="str">
            <v>Maruthi</v>
          </cell>
          <cell r="AJ1530" t="str">
            <v>Biopsy</v>
          </cell>
          <cell r="AK1530" t="str">
            <v>Primary</v>
          </cell>
          <cell r="AL1530" t="str">
            <v>NA</v>
          </cell>
          <cell r="AV1530">
            <v>45943</v>
          </cell>
          <cell r="AW1530">
            <v>0.6875</v>
          </cell>
          <cell r="AX1530" t="str">
            <v>NA</v>
          </cell>
          <cell r="AY1530" t="str">
            <v>NA</v>
          </cell>
          <cell r="AZ1530" t="str">
            <v>NA</v>
          </cell>
          <cell r="BA1530" t="str">
            <v>NA</v>
          </cell>
          <cell r="BB1530" t="str">
            <v>0.1*0.3*0.3</v>
          </cell>
          <cell r="BC1530" t="str">
            <v>NA</v>
          </cell>
          <cell r="BD1530" t="str">
            <v>Manual</v>
          </cell>
          <cell r="BE1530">
            <v>14</v>
          </cell>
          <cell r="BF1530" t="str">
            <v>Abdul</v>
          </cell>
          <cell r="BG1530" t="str">
            <v>Y</v>
          </cell>
        </row>
        <row r="1531">
          <cell r="A1531" t="str">
            <v>FBR1Y250269</v>
          </cell>
          <cell r="B1531">
            <v>250269</v>
          </cell>
          <cell r="C1531" t="str">
            <v>R&amp;D</v>
          </cell>
          <cell r="D1531">
            <v>45944</v>
          </cell>
          <cell r="E1531">
            <v>0.40972222222222221</v>
          </cell>
          <cell r="F1531">
            <v>45931</v>
          </cell>
          <cell r="G1531">
            <v>45944</v>
          </cell>
          <cell r="H1531">
            <v>0.57291666666666663</v>
          </cell>
          <cell r="I1531">
            <v>0.16319444444444445</v>
          </cell>
          <cell r="J1531">
            <v>2</v>
          </cell>
          <cell r="K1531" t="str">
            <v>FCB-PROTOCOL-01</v>
          </cell>
          <cell r="L1531" t="str">
            <v>VYD/435</v>
          </cell>
          <cell r="M1531" t="str">
            <v>Y</v>
          </cell>
          <cell r="N1531" t="str">
            <v>CCS Study (1Y)</v>
          </cell>
          <cell r="O1531" t="str">
            <v>Internal R&amp;D</v>
          </cell>
          <cell r="P1531" t="str">
            <v>Q1 Passed</v>
          </cell>
          <cell r="Q1531" t="str">
            <v>Q1 Passed</v>
          </cell>
          <cell r="R1531" t="str">
            <v>Compromised</v>
          </cell>
          <cell r="S1531" t="str">
            <v>Qualified</v>
          </cell>
          <cell r="T1531" t="str">
            <v>Blood disqualified</v>
          </cell>
          <cell r="V1531" t="str">
            <v>Tumor content 2-40%</v>
          </cell>
          <cell r="W1531" t="str">
            <v>Private Hospital</v>
          </cell>
          <cell r="X1531" t="str">
            <v>Vydehi Hospital, Bangalore</v>
          </cell>
          <cell r="Y1531" t="str">
            <v>Vydehi Hospital, Bangalore</v>
          </cell>
          <cell r="Z1531" t="str">
            <v>Dr Amritha Prabha, Bangalore</v>
          </cell>
          <cell r="AA1531" t="str">
            <v>HNSCC</v>
          </cell>
          <cell r="AB1531" t="str">
            <v>NA</v>
          </cell>
          <cell r="AC1531" t="str">
            <v>Tongue</v>
          </cell>
          <cell r="AD1531" t="str">
            <v>Left Lateral border of Tongue</v>
          </cell>
          <cell r="AE1531" t="str">
            <v>Female</v>
          </cell>
          <cell r="AF1531">
            <v>55</v>
          </cell>
          <cell r="AG1531" t="str">
            <v>N</v>
          </cell>
          <cell r="AH1531">
            <v>5.5</v>
          </cell>
          <cell r="AI1531" t="str">
            <v>Shashi</v>
          </cell>
          <cell r="AJ1531" t="str">
            <v>Surgery</v>
          </cell>
          <cell r="AK1531" t="str">
            <v>Primary</v>
          </cell>
          <cell r="AL1531" t="str">
            <v>NA</v>
          </cell>
          <cell r="AV1531">
            <v>45944</v>
          </cell>
          <cell r="AW1531">
            <v>0.66041666666666665</v>
          </cell>
          <cell r="AX1531">
            <v>0.73124999999999996</v>
          </cell>
          <cell r="AY1531">
            <v>7.0833333333333331E-2</v>
          </cell>
          <cell r="AZ1531">
            <v>0.56805555555555554</v>
          </cell>
          <cell r="BA1531">
            <v>0.3215277777777778</v>
          </cell>
          <cell r="BB1531" t="str">
            <v>0.1-0.2*0.2-0.4*0.8-0.9
0.2*0.2-0.8*1.2
0.1*0.4*0.6</v>
          </cell>
          <cell r="BC1531" t="str">
            <v>NA</v>
          </cell>
          <cell r="BD1531" t="str">
            <v>Vibratome</v>
          </cell>
          <cell r="BE1531">
            <v>14</v>
          </cell>
          <cell r="BF1531" t="str">
            <v>Mouniss</v>
          </cell>
          <cell r="BG1531" t="str">
            <v>Y</v>
          </cell>
        </row>
        <row r="1532">
          <cell r="A1532" t="str">
            <v>FBR2S250270</v>
          </cell>
          <cell r="B1532">
            <v>250270</v>
          </cell>
          <cell r="C1532" t="str">
            <v>R&amp;D</v>
          </cell>
          <cell r="D1532">
            <v>45944</v>
          </cell>
          <cell r="E1532">
            <v>0.55347222222222225</v>
          </cell>
          <cell r="F1532">
            <v>45931</v>
          </cell>
          <cell r="G1532">
            <v>45944</v>
          </cell>
          <cell r="H1532">
            <v>0.63263888888888886</v>
          </cell>
          <cell r="I1532">
            <v>7.9166666666666663E-2</v>
          </cell>
          <cell r="J1532">
            <v>3</v>
          </cell>
          <cell r="K1532" t="str">
            <v>FCB-PROTOCOL-01</v>
          </cell>
          <cell r="L1532" t="str">
            <v>CLN/PRA/359</v>
          </cell>
          <cell r="M1532" t="str">
            <v>Y</v>
          </cell>
          <cell r="N1532" t="str">
            <v>Cos V1 (2S)</v>
          </cell>
          <cell r="O1532" t="str">
            <v>Internal R&amp;D</v>
          </cell>
          <cell r="P1532" t="str">
            <v>Q1 Passed</v>
          </cell>
          <cell r="Q1532" t="str">
            <v>Q1 Rejected</v>
          </cell>
          <cell r="R1532" t="str">
            <v>Compromised</v>
          </cell>
          <cell r="S1532" t="str">
            <v>Rejected</v>
          </cell>
          <cell r="T1532" t="str">
            <v>Contaminated</v>
          </cell>
          <cell r="V1532" t="str">
            <v>Tumor content 0-40%. Average tumor content 7%</v>
          </cell>
          <cell r="W1532" t="str">
            <v>Private Hospital</v>
          </cell>
          <cell r="X1532" t="str">
            <v>Dr Prakash BV, Bangalore</v>
          </cell>
          <cell r="Y1532" t="str">
            <v>Sri Lakshmi Hospital, Bangalore</v>
          </cell>
          <cell r="Z1532" t="str">
            <v>Dr Prakash BV, Bangalore</v>
          </cell>
          <cell r="AA1532" t="str">
            <v>CRC</v>
          </cell>
          <cell r="AB1532" t="str">
            <v>NA</v>
          </cell>
          <cell r="AC1532" t="str">
            <v>colon</v>
          </cell>
          <cell r="AD1532" t="str">
            <v>Sigmoid Colon</v>
          </cell>
          <cell r="AE1532" t="str">
            <v>Male</v>
          </cell>
          <cell r="AF1532">
            <v>65</v>
          </cell>
          <cell r="AG1532" t="str">
            <v>N</v>
          </cell>
          <cell r="AH1532">
            <v>6.4</v>
          </cell>
          <cell r="AI1532" t="str">
            <v>Kalappa</v>
          </cell>
          <cell r="AJ1532" t="str">
            <v>Surgery</v>
          </cell>
          <cell r="AK1532" t="str">
            <v>Primary</v>
          </cell>
          <cell r="AL1532" t="str">
            <v>NA</v>
          </cell>
          <cell r="AN1532" t="str">
            <v>II</v>
          </cell>
          <cell r="AP1532" t="str">
            <v>pT3N1M0</v>
          </cell>
          <cell r="AS1532" t="str">
            <v>Adenocarcinoma</v>
          </cell>
          <cell r="AV1532">
            <v>45944</v>
          </cell>
          <cell r="AW1532">
            <v>0.65416666666666667</v>
          </cell>
          <cell r="AX1532">
            <v>0.70625000000000004</v>
          </cell>
          <cell r="AY1532">
            <v>5.2083333333333336E-2</v>
          </cell>
          <cell r="AZ1532">
            <v>0.62708333333333333</v>
          </cell>
          <cell r="BA1532">
            <v>0.15277777777777779</v>
          </cell>
          <cell r="BB1532" t="str">
            <v>0.2-0.3*0.6*1.0
0.6-0.8*1.3*2.0</v>
          </cell>
          <cell r="BC1532" t="str">
            <v>NA</v>
          </cell>
          <cell r="BD1532" t="str">
            <v>Manual</v>
          </cell>
          <cell r="BE1532">
            <v>13</v>
          </cell>
          <cell r="BF1532" t="str">
            <v>Dharani</v>
          </cell>
          <cell r="BG1532" t="str">
            <v>N</v>
          </cell>
        </row>
        <row r="1533">
          <cell r="A1533" t="str">
            <v>FBR1Q250271</v>
          </cell>
          <cell r="B1533">
            <v>250271</v>
          </cell>
          <cell r="C1533" t="str">
            <v>R&amp;D</v>
          </cell>
          <cell r="D1533">
            <v>45944</v>
          </cell>
          <cell r="E1533">
            <v>0.56944444444444442</v>
          </cell>
          <cell r="F1533">
            <v>45931</v>
          </cell>
          <cell r="G1533">
            <v>45944</v>
          </cell>
          <cell r="H1533">
            <v>0.65416666666666667</v>
          </cell>
          <cell r="I1533">
            <v>8.4722222222222227E-2</v>
          </cell>
          <cell r="J1533">
            <v>10</v>
          </cell>
          <cell r="K1533" t="str">
            <v>FCB-PROTOCOL-01</v>
          </cell>
          <cell r="L1533" t="str">
            <v>SIMS-012</v>
          </cell>
          <cell r="M1533" t="str">
            <v>Y</v>
          </cell>
          <cell r="N1533" t="str">
            <v>COSv4.2_CaBR(1Q-Unknown)</v>
          </cell>
          <cell r="O1533" t="str">
            <v>Internal R&amp;D</v>
          </cell>
          <cell r="P1533" t="str">
            <v>Q1 Passed</v>
          </cell>
          <cell r="Q1533" t="str">
            <v>Q1 Rejected</v>
          </cell>
          <cell r="R1533" t="str">
            <v>Compromised</v>
          </cell>
          <cell r="S1533" t="str">
            <v>Rejected</v>
          </cell>
          <cell r="T1533" t="str">
            <v>NA</v>
          </cell>
          <cell r="V1533" t="str">
            <v>Tumor content 0-45%. Average tumor content 18%</v>
          </cell>
          <cell r="W1533" t="str">
            <v>Private Hospital</v>
          </cell>
          <cell r="X1533" t="str">
            <v>Sapthagiri ClinTrac Pvt Ltd</v>
          </cell>
          <cell r="Y1533" t="str">
            <v>Sapthagiri Institute of Medical Sciences</v>
          </cell>
          <cell r="Z1533" t="str">
            <v>Dr Nataraj</v>
          </cell>
          <cell r="AA1533" t="str">
            <v>Ca Breast</v>
          </cell>
          <cell r="AB1533" t="str">
            <v>NA</v>
          </cell>
          <cell r="AC1533" t="str">
            <v>Breast</v>
          </cell>
          <cell r="AD1533" t="str">
            <v>Left Breast</v>
          </cell>
          <cell r="AE1533" t="str">
            <v>Female</v>
          </cell>
          <cell r="AF1533">
            <v>53</v>
          </cell>
          <cell r="AG1533" t="str">
            <v>N</v>
          </cell>
          <cell r="AH1533">
            <v>3.5</v>
          </cell>
          <cell r="AI1533" t="str">
            <v>Kalappa</v>
          </cell>
          <cell r="AJ1533" t="str">
            <v>Surgery</v>
          </cell>
          <cell r="AK1533" t="str">
            <v>Primary</v>
          </cell>
          <cell r="AL1533" t="str">
            <v>Chemotherapy</v>
          </cell>
          <cell r="AQ1533">
            <v>13</v>
          </cell>
          <cell r="AR1533" t="str">
            <v>Carbo+ Pacli, Trastuzumab</v>
          </cell>
          <cell r="AS1533" t="str">
            <v>Duct Carcinoma</v>
          </cell>
          <cell r="AV1533">
            <v>45944</v>
          </cell>
          <cell r="AW1533">
            <v>0.66666666666666663</v>
          </cell>
          <cell r="AX1533">
            <v>0.74444444444444446</v>
          </cell>
          <cell r="AY1533">
            <v>7.7777777777777779E-2</v>
          </cell>
          <cell r="AZ1533">
            <v>0.65972222222222221</v>
          </cell>
          <cell r="BA1533">
            <v>0.17499999999999999</v>
          </cell>
          <cell r="BB1533" t="str">
            <v>0.4-0.6*1.2*1.6
0.4-0.8*0.4*1.5</v>
          </cell>
          <cell r="BC1533" t="str">
            <v>NA</v>
          </cell>
          <cell r="BD1533" t="str">
            <v>Manual</v>
          </cell>
          <cell r="BE1533">
            <v>14</v>
          </cell>
          <cell r="BF1533" t="str">
            <v>Jobin</v>
          </cell>
          <cell r="BG1533" t="str">
            <v>N</v>
          </cell>
        </row>
        <row r="1534">
          <cell r="A1534" t="str">
            <v>FBR1K250272</v>
          </cell>
          <cell r="B1534">
            <v>250272</v>
          </cell>
          <cell r="C1534" t="str">
            <v>R&amp;D</v>
          </cell>
          <cell r="D1534">
            <v>45945</v>
          </cell>
          <cell r="E1534">
            <v>0.4375</v>
          </cell>
          <cell r="F1534">
            <v>45931</v>
          </cell>
          <cell r="G1534">
            <v>45945</v>
          </cell>
          <cell r="H1534">
            <v>0.60555555555555551</v>
          </cell>
          <cell r="I1534">
            <v>0.16805555555555557</v>
          </cell>
          <cell r="J1534">
            <v>42</v>
          </cell>
          <cell r="K1534" t="str">
            <v>FCB-PROTOCOL-01</v>
          </cell>
          <cell r="L1534" t="str">
            <v>VYD/436</v>
          </cell>
          <cell r="M1534" t="str">
            <v>Y</v>
          </cell>
          <cell r="N1534" t="str">
            <v>DMS_v4(1K)</v>
          </cell>
          <cell r="O1534" t="str">
            <v>Internal R&amp;D</v>
          </cell>
          <cell r="P1534" t="str">
            <v>Q1 Passed</v>
          </cell>
          <cell r="Q1534" t="str">
            <v>Q1 Passed</v>
          </cell>
          <cell r="R1534" t="str">
            <v>Q1.5 Passed</v>
          </cell>
          <cell r="S1534" t="str">
            <v>Rejected</v>
          </cell>
          <cell r="T1534" t="str">
            <v>Contaminated</v>
          </cell>
          <cell r="V1534" t="str">
            <v>Tumor content 60-88%</v>
          </cell>
          <cell r="W1534" t="str">
            <v>Private Hospital</v>
          </cell>
          <cell r="X1534" t="str">
            <v>Vydehi Hospital, Bangalore</v>
          </cell>
          <cell r="Y1534" t="str">
            <v>Vydehi Hospital, Bangalore</v>
          </cell>
          <cell r="Z1534" t="str">
            <v>Dr Amritha Prabha, Bangalore</v>
          </cell>
          <cell r="AA1534" t="str">
            <v>HNSCC</v>
          </cell>
          <cell r="AB1534" t="str">
            <v>NA</v>
          </cell>
          <cell r="AC1534" t="str">
            <v>GBS</v>
          </cell>
          <cell r="AD1534" t="str">
            <v>Left Lower GBS</v>
          </cell>
          <cell r="AE1534" t="str">
            <v>Female</v>
          </cell>
          <cell r="AF1534">
            <v>65</v>
          </cell>
          <cell r="AG1534" t="str">
            <v>N</v>
          </cell>
          <cell r="AH1534">
            <v>5.3</v>
          </cell>
          <cell r="AI1534" t="str">
            <v>Maruthi</v>
          </cell>
          <cell r="AJ1534" t="str">
            <v>Surgery</v>
          </cell>
          <cell r="AK1534" t="str">
            <v>Primary</v>
          </cell>
          <cell r="AL1534" t="str">
            <v>Surgery</v>
          </cell>
          <cell r="AV1534">
            <v>45945</v>
          </cell>
          <cell r="AW1534">
            <v>0.61944444444444446</v>
          </cell>
          <cell r="AX1534">
            <v>0.69513888888888886</v>
          </cell>
          <cell r="AY1534">
            <v>7.5694444444444439E-2</v>
          </cell>
          <cell r="AZ1534">
            <v>0.52708333333333335</v>
          </cell>
          <cell r="BA1534">
            <v>0.25763888888888886</v>
          </cell>
          <cell r="BB1534" t="str">
            <v>0.6*1.2*1.3</v>
          </cell>
          <cell r="BC1534" t="str">
            <v>NA</v>
          </cell>
          <cell r="BD1534" t="str">
            <v>Vibratome</v>
          </cell>
          <cell r="BE1534">
            <v>15</v>
          </cell>
          <cell r="BF1534" t="str">
            <v>Dharani</v>
          </cell>
          <cell r="BG1534" t="str">
            <v>Y</v>
          </cell>
        </row>
        <row r="1535">
          <cell r="A1535" t="str">
            <v>FBR1Y250272</v>
          </cell>
          <cell r="B1535">
            <v>250272</v>
          </cell>
          <cell r="C1535" t="str">
            <v>R&amp;D</v>
          </cell>
          <cell r="D1535">
            <v>45945</v>
          </cell>
          <cell r="E1535">
            <v>0.4375</v>
          </cell>
          <cell r="F1535">
            <v>45931</v>
          </cell>
          <cell r="G1535">
            <v>45945</v>
          </cell>
          <cell r="H1535">
            <v>0.60555555555555551</v>
          </cell>
          <cell r="I1535">
            <v>0.16805555555555557</v>
          </cell>
          <cell r="J1535">
            <v>42</v>
          </cell>
          <cell r="K1535" t="str">
            <v>FCB-PROTOCOL-01</v>
          </cell>
          <cell r="L1535" t="str">
            <v>VYD/436</v>
          </cell>
          <cell r="M1535" t="str">
            <v>Y</v>
          </cell>
          <cell r="N1535" t="str">
            <v>CCS Study (1Y)</v>
          </cell>
          <cell r="O1535" t="str">
            <v>Internal R&amp;D</v>
          </cell>
          <cell r="P1535" t="str">
            <v>Q1 Passed</v>
          </cell>
          <cell r="Q1535" t="str">
            <v>Q1 Passed</v>
          </cell>
          <cell r="R1535" t="str">
            <v>Q1.5 Passed</v>
          </cell>
          <cell r="S1535" t="str">
            <v>Qualified</v>
          </cell>
          <cell r="T1535" t="str">
            <v>NA</v>
          </cell>
          <cell r="V1535" t="str">
            <v>NA</v>
          </cell>
          <cell r="W1535" t="str">
            <v>Private Hospital</v>
          </cell>
          <cell r="X1535" t="str">
            <v>Vydehi Hospital, Bangalore</v>
          </cell>
          <cell r="Y1535" t="str">
            <v>Vydehi Hospital, Bangalore</v>
          </cell>
          <cell r="Z1535" t="str">
            <v>Dr Amritha Prabha, Bangalore</v>
          </cell>
          <cell r="AA1535" t="str">
            <v>HNSCC</v>
          </cell>
          <cell r="AB1535" t="str">
            <v>NA</v>
          </cell>
          <cell r="AC1535" t="str">
            <v>GBS</v>
          </cell>
          <cell r="AD1535" t="str">
            <v>Left Lower GBS</v>
          </cell>
          <cell r="AE1535" t="str">
            <v>Female</v>
          </cell>
          <cell r="AF1535">
            <v>65</v>
          </cell>
          <cell r="AG1535" t="str">
            <v>N</v>
          </cell>
          <cell r="AH1535">
            <v>5.3</v>
          </cell>
          <cell r="AI1535" t="str">
            <v>Maruthi</v>
          </cell>
          <cell r="AJ1535" t="str">
            <v>Surgery</v>
          </cell>
          <cell r="AK1535" t="str">
            <v>Primary</v>
          </cell>
          <cell r="AL1535" t="str">
            <v>Surgery</v>
          </cell>
          <cell r="AV1535">
            <v>45945</v>
          </cell>
          <cell r="AW1535">
            <v>0.61944444444444446</v>
          </cell>
          <cell r="AX1535">
            <v>0.69513888888888886</v>
          </cell>
          <cell r="AY1535">
            <v>7.5694444444444439E-2</v>
          </cell>
          <cell r="AZ1535">
            <v>0.52708333333333335</v>
          </cell>
          <cell r="BA1535">
            <v>0.25763888888888886</v>
          </cell>
          <cell r="BB1535" t="str">
            <v>0.6*1.2*1.3</v>
          </cell>
          <cell r="BC1535" t="str">
            <v>NA</v>
          </cell>
          <cell r="BD1535" t="str">
            <v>Vibratome</v>
          </cell>
          <cell r="BE1535">
            <v>15</v>
          </cell>
          <cell r="BF1535" t="str">
            <v>Dharani</v>
          </cell>
          <cell r="BG1535" t="str">
            <v>Y</v>
          </cell>
        </row>
        <row r="1536">
          <cell r="A1536" t="str">
            <v>FBR1Q250273</v>
          </cell>
          <cell r="B1536">
            <v>250273</v>
          </cell>
          <cell r="C1536" t="str">
            <v>R&amp;D</v>
          </cell>
          <cell r="D1536">
            <v>45945</v>
          </cell>
          <cell r="E1536">
            <v>0.53055555555555556</v>
          </cell>
          <cell r="F1536">
            <v>45931</v>
          </cell>
          <cell r="G1536">
            <v>45945</v>
          </cell>
          <cell r="H1536">
            <v>0.73750000000000004</v>
          </cell>
          <cell r="I1536">
            <v>0.20694444444444443</v>
          </cell>
          <cell r="J1536">
            <v>16</v>
          </cell>
          <cell r="K1536" t="str">
            <v>FCB-PROTOCOL-01</v>
          </cell>
          <cell r="L1536" t="str">
            <v>JSS-063</v>
          </cell>
          <cell r="M1536" t="str">
            <v>Y</v>
          </cell>
          <cell r="N1536" t="str">
            <v>COSv4.1_CaBR(1Q-Known)</v>
          </cell>
          <cell r="O1536" t="str">
            <v>Internal R&amp;D</v>
          </cell>
          <cell r="P1536" t="str">
            <v>Q1 Passed</v>
          </cell>
          <cell r="Q1536" t="str">
            <v>Q1 Rejected</v>
          </cell>
          <cell r="R1536" t="str">
            <v>Compromised</v>
          </cell>
          <cell r="S1536" t="str">
            <v>Rejected</v>
          </cell>
          <cell r="T1536" t="str">
            <v>Blood Clot Observed
No Tumor</v>
          </cell>
          <cell r="V1536" t="str">
            <v>No tumor</v>
          </cell>
          <cell r="W1536" t="str">
            <v>Private Hospital</v>
          </cell>
          <cell r="X1536" t="str">
            <v>Dr Ravi Krishnappa, Mysore</v>
          </cell>
          <cell r="Y1536" t="str">
            <v>JSS Hospital, Mysore</v>
          </cell>
          <cell r="Z1536" t="str">
            <v>Dr Ravi Krishnappa, Mysore</v>
          </cell>
          <cell r="AA1536" t="str">
            <v>Ca Breast</v>
          </cell>
          <cell r="AB1536" t="str">
            <v>TPBC</v>
          </cell>
          <cell r="AC1536" t="str">
            <v>Breast</v>
          </cell>
          <cell r="AD1536" t="str">
            <v>Left Breast</v>
          </cell>
          <cell r="AE1536" t="str">
            <v>Female</v>
          </cell>
          <cell r="AF1536">
            <v>48</v>
          </cell>
          <cell r="AG1536" t="str">
            <v>N</v>
          </cell>
          <cell r="AH1536">
            <v>5.6</v>
          </cell>
          <cell r="AI1536" t="str">
            <v>Shashi</v>
          </cell>
          <cell r="AJ1536" t="str">
            <v>Surgery</v>
          </cell>
          <cell r="AK1536" t="str">
            <v>Proximal Lymph Node</v>
          </cell>
          <cell r="AL1536" t="str">
            <v>Chemotherapy</v>
          </cell>
          <cell r="AN1536" t="str">
            <v>II</v>
          </cell>
          <cell r="AP1536" t="str">
            <v>pT3N1M0</v>
          </cell>
          <cell r="AQ1536">
            <v>6</v>
          </cell>
          <cell r="AR1536" t="str">
            <v>TCH</v>
          </cell>
          <cell r="AS1536" t="str">
            <v>IDC</v>
          </cell>
          <cell r="AV1536">
            <v>45945</v>
          </cell>
          <cell r="AW1536">
            <v>0.74861111111111112</v>
          </cell>
          <cell r="AX1536">
            <v>0.83888888888888891</v>
          </cell>
          <cell r="AY1536">
            <v>9.0277777777777776E-2</v>
          </cell>
          <cell r="AZ1536">
            <v>0.63194444444444442</v>
          </cell>
          <cell r="BA1536">
            <v>0.30833333333333335</v>
          </cell>
          <cell r="BB1536" t="str">
            <v>0.2-0.6*0.4-0.8*1.6-1.8</v>
          </cell>
          <cell r="BC1536" t="str">
            <v>0.2-0.6*0.6-0.8*1.0</v>
          </cell>
          <cell r="BD1536" t="str">
            <v>Vibratome</v>
          </cell>
          <cell r="BE1536">
            <v>14</v>
          </cell>
          <cell r="BF1536" t="str">
            <v>Mouniss</v>
          </cell>
          <cell r="BG1536" t="str">
            <v>N</v>
          </cell>
        </row>
        <row r="1537">
          <cell r="A1537" t="str">
            <v>FBR1Q250274</v>
          </cell>
          <cell r="B1537">
            <v>250274</v>
          </cell>
          <cell r="C1537" t="str">
            <v>R&amp;D</v>
          </cell>
          <cell r="D1537">
            <v>45946</v>
          </cell>
          <cell r="E1537">
            <v>0.4152777777777778</v>
          </cell>
          <cell r="F1537">
            <v>45931</v>
          </cell>
          <cell r="G1537">
            <v>45946</v>
          </cell>
          <cell r="H1537">
            <v>0.59305555555555556</v>
          </cell>
          <cell r="I1537">
            <v>0.17777777777777778</v>
          </cell>
          <cell r="J1537">
            <v>1</v>
          </cell>
          <cell r="K1537" t="str">
            <v>FCB-PROTOCOL-01</v>
          </cell>
          <cell r="L1537" t="str">
            <v>VYD/437</v>
          </cell>
          <cell r="M1537" t="str">
            <v>Y</v>
          </cell>
          <cell r="N1537" t="str">
            <v>COSv4.1_CaBR(1Q-Known)</v>
          </cell>
          <cell r="O1537" t="str">
            <v>Internal R&amp;D</v>
          </cell>
          <cell r="P1537" t="str">
            <v>Q1 Passed</v>
          </cell>
          <cell r="Q1537" t="str">
            <v>Q1 Passed</v>
          </cell>
          <cell r="R1537" t="str">
            <v>Q1.5 Passed</v>
          </cell>
          <cell r="S1537" t="str">
            <v>Qualified</v>
          </cell>
          <cell r="T1537" t="str">
            <v>NA</v>
          </cell>
          <cell r="V1537" t="str">
            <v>Tumor content 8-45%</v>
          </cell>
          <cell r="W1537" t="str">
            <v>Private Hospital</v>
          </cell>
          <cell r="X1537" t="str">
            <v>Vydehi Hospital, Bangalore</v>
          </cell>
          <cell r="Y1537" t="str">
            <v>Vydehi Hospital, Bangalore</v>
          </cell>
          <cell r="Z1537" t="str">
            <v>Dr Amritha Prabha, Bangalore</v>
          </cell>
          <cell r="AA1537" t="str">
            <v>Ca Breast</v>
          </cell>
          <cell r="AB1537" t="str">
            <v>ER Pr +
Her2 -</v>
          </cell>
          <cell r="AC1537" t="str">
            <v>Breast</v>
          </cell>
          <cell r="AD1537" t="str">
            <v>Right Breast</v>
          </cell>
          <cell r="AE1537" t="str">
            <v>Female</v>
          </cell>
          <cell r="AF1537">
            <v>43</v>
          </cell>
          <cell r="AG1537" t="str">
            <v>N</v>
          </cell>
          <cell r="AH1537">
            <v>4.9000000000000004</v>
          </cell>
          <cell r="AI1537" t="str">
            <v>Shashi</v>
          </cell>
          <cell r="AJ1537" t="str">
            <v>Surgery</v>
          </cell>
          <cell r="AK1537" t="str">
            <v>Primary</v>
          </cell>
          <cell r="AL1537" t="str">
            <v>NA</v>
          </cell>
          <cell r="AS1537" t="str">
            <v>Carcinoma</v>
          </cell>
          <cell r="AV1537">
            <v>45946</v>
          </cell>
          <cell r="AW1537">
            <v>0.6118055555555556</v>
          </cell>
          <cell r="AX1537">
            <v>0.67708333333333337</v>
          </cell>
          <cell r="AY1537">
            <v>6.5277777777777782E-2</v>
          </cell>
          <cell r="AZ1537">
            <v>0.49930555555555556</v>
          </cell>
          <cell r="BA1537">
            <v>0.26180555555555557</v>
          </cell>
          <cell r="BB1537" t="str">
            <v>0.2-0.6*1.4-1.6*1.8</v>
          </cell>
          <cell r="BC1537" t="str">
            <v>0.2-0.6*1.2*1.6</v>
          </cell>
          <cell r="BD1537" t="str">
            <v>Manual</v>
          </cell>
          <cell r="BE1537">
            <v>14</v>
          </cell>
          <cell r="BF1537" t="str">
            <v>Mouniss</v>
          </cell>
          <cell r="BG1537" t="str">
            <v>N</v>
          </cell>
        </row>
        <row r="1538">
          <cell r="A1538" t="str">
            <v>FBR2S250275</v>
          </cell>
          <cell r="B1538">
            <v>250275</v>
          </cell>
          <cell r="C1538" t="str">
            <v>R&amp;D</v>
          </cell>
          <cell r="D1538">
            <v>45946</v>
          </cell>
          <cell r="E1538">
            <v>0.5625</v>
          </cell>
          <cell r="F1538">
            <v>45931</v>
          </cell>
          <cell r="G1538">
            <v>45946</v>
          </cell>
          <cell r="H1538">
            <v>0.92500000000000004</v>
          </cell>
          <cell r="I1538">
            <v>0.36249999999999999</v>
          </cell>
          <cell r="J1538">
            <v>15</v>
          </cell>
          <cell r="K1538" t="str">
            <v>FCB-PROTOCOL-01</v>
          </cell>
          <cell r="L1538" t="str">
            <v>CLN/DBR/256</v>
          </cell>
          <cell r="M1538" t="str">
            <v>Y</v>
          </cell>
          <cell r="N1538" t="str">
            <v>Cos V1 (2S)</v>
          </cell>
          <cell r="O1538" t="str">
            <v>Internal R&amp;D</v>
          </cell>
          <cell r="P1538" t="str">
            <v>Q1 Passed</v>
          </cell>
          <cell r="Q1538" t="str">
            <v>Q1 Passed</v>
          </cell>
          <cell r="R1538" t="str">
            <v>Q1.5 Passed</v>
          </cell>
          <cell r="S1538" t="str">
            <v>Qualified</v>
          </cell>
          <cell r="T1538" t="str">
            <v>NA</v>
          </cell>
          <cell r="V1538" t="str">
            <v>Tumor content 0-75%. Average tumor content 24%</v>
          </cell>
          <cell r="W1538" t="str">
            <v>Private Hospital</v>
          </cell>
          <cell r="X1538" t="str">
            <v>Clinic'les- DBR &amp; SK Hospital, Tirupati</v>
          </cell>
          <cell r="Y1538" t="str">
            <v>DBR &amp; SK Hospital, Tirupati</v>
          </cell>
          <cell r="Z1538" t="str">
            <v>Dr C Jayaprakash, Tirupati</v>
          </cell>
          <cell r="AA1538" t="str">
            <v>CRC</v>
          </cell>
          <cell r="AB1538" t="str">
            <v>NA</v>
          </cell>
          <cell r="AC1538" t="str">
            <v>Colon</v>
          </cell>
          <cell r="AD1538" t="str">
            <v>Colon</v>
          </cell>
          <cell r="AE1538" t="str">
            <v>Male</v>
          </cell>
          <cell r="AF1538">
            <v>60</v>
          </cell>
          <cell r="AG1538" t="str">
            <v>N</v>
          </cell>
          <cell r="AH1538">
            <v>4.8</v>
          </cell>
          <cell r="AI1538" t="str">
            <v>Kalappa</v>
          </cell>
          <cell r="AJ1538" t="str">
            <v>Surgery</v>
          </cell>
          <cell r="AK1538" t="str">
            <v>Primary</v>
          </cell>
          <cell r="AL1538" t="str">
            <v>NA</v>
          </cell>
          <cell r="AV1538">
            <v>45947</v>
          </cell>
          <cell r="AW1538">
            <v>0.28888888888888886</v>
          </cell>
          <cell r="AX1538">
            <v>0.36875000000000002</v>
          </cell>
          <cell r="AY1538">
            <v>7.9861110999999999E-2</v>
          </cell>
          <cell r="AZ1538">
            <v>6.2500000000000003E-3</v>
          </cell>
          <cell r="BA1538">
            <v>-0.19375000000000001</v>
          </cell>
          <cell r="BB1538" t="str">
            <v>1.0*1.4*2.0</v>
          </cell>
          <cell r="BC1538" t="str">
            <v>NA</v>
          </cell>
          <cell r="BD1538" t="str">
            <v>Vibratome</v>
          </cell>
          <cell r="BE1538">
            <v>13</v>
          </cell>
          <cell r="BF1538" t="str">
            <v>Dharani</v>
          </cell>
          <cell r="BG1538" t="str">
            <v>Y</v>
          </cell>
        </row>
        <row r="1539">
          <cell r="A1539" t="str">
            <v>FBR1K250276</v>
          </cell>
          <cell r="B1539">
            <v>250276</v>
          </cell>
          <cell r="C1539" t="str">
            <v>R&amp;D</v>
          </cell>
          <cell r="D1539">
            <v>45947</v>
          </cell>
          <cell r="E1539">
            <v>0.45416666666666666</v>
          </cell>
          <cell r="F1539">
            <v>45931</v>
          </cell>
          <cell r="G1539">
            <v>45947</v>
          </cell>
          <cell r="H1539">
            <v>0.60833333333333328</v>
          </cell>
          <cell r="I1539">
            <v>0.15416666666666667</v>
          </cell>
          <cell r="J1539">
            <v>0</v>
          </cell>
          <cell r="K1539" t="str">
            <v>FCB-PROTOCOL-01</v>
          </cell>
          <cell r="L1539" t="str">
            <v>VYD/438</v>
          </cell>
          <cell r="M1539" t="str">
            <v>Y</v>
          </cell>
          <cell r="N1539" t="str">
            <v>DMS_v4(1K)</v>
          </cell>
          <cell r="O1539" t="str">
            <v>Internal R&amp;D</v>
          </cell>
          <cell r="P1539" t="str">
            <v>Q1 Passed</v>
          </cell>
          <cell r="Q1539" t="str">
            <v>Q1 Passed</v>
          </cell>
          <cell r="R1539" t="str">
            <v>Q1.5 Passed</v>
          </cell>
          <cell r="S1539" t="str">
            <v>Qualified</v>
          </cell>
          <cell r="T1539" t="str">
            <v>NA</v>
          </cell>
          <cell r="V1539" t="str">
            <v>Tumor content 20-92% with good immune presence</v>
          </cell>
          <cell r="W1539" t="str">
            <v>Private Hospital</v>
          </cell>
          <cell r="X1539" t="str">
            <v>Vydehi Hospital, Bangalore</v>
          </cell>
          <cell r="Y1539" t="str">
            <v>Vydehi Hospital, Bangalore</v>
          </cell>
          <cell r="Z1539" t="str">
            <v>Dr Amritha Prabha, Bangalore</v>
          </cell>
          <cell r="AA1539" t="str">
            <v>HNSCC</v>
          </cell>
          <cell r="AB1539" t="str">
            <v>NA</v>
          </cell>
          <cell r="AC1539" t="str">
            <v>Tongue</v>
          </cell>
          <cell r="AD1539" t="str">
            <v>Right Lateral border of Tongue</v>
          </cell>
          <cell r="AE1539" t="str">
            <v>Male</v>
          </cell>
          <cell r="AF1539">
            <v>50</v>
          </cell>
          <cell r="AG1539" t="str">
            <v>N</v>
          </cell>
          <cell r="AH1539">
            <v>4.5</v>
          </cell>
          <cell r="AI1539" t="str">
            <v>Maruthi</v>
          </cell>
          <cell r="AJ1539" t="str">
            <v>Surgery</v>
          </cell>
          <cell r="AK1539" t="str">
            <v>Primary</v>
          </cell>
          <cell r="AL1539" t="str">
            <v>NA</v>
          </cell>
          <cell r="AV1539">
            <v>45947</v>
          </cell>
          <cell r="AW1539">
            <v>0.62638888888888888</v>
          </cell>
          <cell r="AX1539">
            <v>0.70416666666666672</v>
          </cell>
          <cell r="AY1539">
            <v>7.7777777777777779E-2</v>
          </cell>
          <cell r="AZ1539">
            <v>0.55000000000000004</v>
          </cell>
          <cell r="BA1539">
            <v>0.25</v>
          </cell>
          <cell r="BB1539" t="str">
            <v>0.8*1.0*1.0-1.2</v>
          </cell>
          <cell r="BC1539" t="str">
            <v>NA</v>
          </cell>
          <cell r="BD1539" t="str">
            <v>Vibratome</v>
          </cell>
          <cell r="BE1539">
            <v>14</v>
          </cell>
          <cell r="BF1539" t="str">
            <v>Vasanth</v>
          </cell>
          <cell r="BG1539" t="str">
            <v>Y</v>
          </cell>
        </row>
        <row r="1540">
          <cell r="A1540" t="str">
            <v>FBR1Y250276</v>
          </cell>
          <cell r="B1540">
            <v>250276</v>
          </cell>
          <cell r="C1540" t="str">
            <v>R&amp;D</v>
          </cell>
          <cell r="D1540">
            <v>45947</v>
          </cell>
          <cell r="E1540">
            <v>0.45416666666666666</v>
          </cell>
          <cell r="F1540">
            <v>45931</v>
          </cell>
          <cell r="G1540">
            <v>45947</v>
          </cell>
          <cell r="H1540">
            <v>0.60833333333333328</v>
          </cell>
          <cell r="I1540">
            <v>0.15416666666666667</v>
          </cell>
          <cell r="J1540">
            <v>0</v>
          </cell>
          <cell r="K1540" t="str">
            <v>FCB-PROTOCOL-01</v>
          </cell>
          <cell r="L1540" t="str">
            <v>VYD/438</v>
          </cell>
          <cell r="M1540" t="str">
            <v>Y</v>
          </cell>
          <cell r="N1540" t="str">
            <v>CCS Study (1Y)</v>
          </cell>
          <cell r="O1540" t="str">
            <v>Internal R&amp;D</v>
          </cell>
          <cell r="P1540" t="str">
            <v>Q1 Passed</v>
          </cell>
          <cell r="Q1540" t="str">
            <v>Q1 Passed</v>
          </cell>
          <cell r="R1540" t="str">
            <v>Q1.5 Passed</v>
          </cell>
          <cell r="S1540" t="str">
            <v>Qualified</v>
          </cell>
          <cell r="T1540" t="str">
            <v>NA</v>
          </cell>
          <cell r="V1540" t="str">
            <v>NA</v>
          </cell>
          <cell r="W1540" t="str">
            <v>Private Hospital</v>
          </cell>
          <cell r="X1540" t="str">
            <v>Vydehi Hospital, Bangalore</v>
          </cell>
          <cell r="Y1540" t="str">
            <v>Vydehi Hospital, Bangalore</v>
          </cell>
          <cell r="Z1540" t="str">
            <v>Dr Amritha Prabha, Bangalore</v>
          </cell>
          <cell r="AA1540" t="str">
            <v>HNSCC</v>
          </cell>
          <cell r="AB1540" t="str">
            <v>NA</v>
          </cell>
          <cell r="AC1540" t="str">
            <v>Tongue</v>
          </cell>
          <cell r="AD1540" t="str">
            <v>Right Lateral border of Tongue</v>
          </cell>
          <cell r="AE1540" t="str">
            <v>Male</v>
          </cell>
          <cell r="AF1540">
            <v>50</v>
          </cell>
          <cell r="AG1540" t="str">
            <v>N</v>
          </cell>
          <cell r="AH1540">
            <v>4.5</v>
          </cell>
          <cell r="AI1540" t="str">
            <v>Maruthi</v>
          </cell>
          <cell r="AJ1540" t="str">
            <v>Surgery</v>
          </cell>
          <cell r="AK1540" t="str">
            <v>Primary</v>
          </cell>
          <cell r="AL1540" t="str">
            <v>NA</v>
          </cell>
          <cell r="AV1540">
            <v>45947</v>
          </cell>
          <cell r="AW1540">
            <v>0.62638888888888888</v>
          </cell>
          <cell r="AX1540">
            <v>0.70416666666666672</v>
          </cell>
          <cell r="AY1540">
            <v>7.7777777777777779E-2</v>
          </cell>
          <cell r="AZ1540">
            <v>0.55000000000000004</v>
          </cell>
          <cell r="BA1540">
            <v>0.25</v>
          </cell>
          <cell r="BB1540" t="str">
            <v>0.8*1.0*1.0-1.2</v>
          </cell>
          <cell r="BC1540" t="str">
            <v>NA</v>
          </cell>
          <cell r="BD1540" t="str">
            <v>Vibratome</v>
          </cell>
          <cell r="BE1540">
            <v>14</v>
          </cell>
          <cell r="BF1540" t="str">
            <v>Vasanth</v>
          </cell>
          <cell r="BG1540" t="str">
            <v>Y</v>
          </cell>
        </row>
        <row r="1541">
          <cell r="A1541" t="str">
            <v>FBR1K250277</v>
          </cell>
          <cell r="B1541">
            <v>250277</v>
          </cell>
          <cell r="C1541" t="str">
            <v>R&amp;D</v>
          </cell>
          <cell r="D1541">
            <v>45947</v>
          </cell>
          <cell r="E1541">
            <v>0.56597222222222221</v>
          </cell>
          <cell r="F1541">
            <v>45931</v>
          </cell>
          <cell r="G1541">
            <v>45947</v>
          </cell>
          <cell r="H1541">
            <v>0.69444444444444442</v>
          </cell>
          <cell r="I1541">
            <v>0.12847222222222221</v>
          </cell>
          <cell r="J1541">
            <v>10</v>
          </cell>
          <cell r="K1541" t="str">
            <v>FCB-PROTOCOL-01</v>
          </cell>
          <cell r="L1541" t="str">
            <v>SIMS-013</v>
          </cell>
          <cell r="M1541" t="str">
            <v>Y</v>
          </cell>
          <cell r="N1541" t="str">
            <v>DMS_v4(1K)</v>
          </cell>
          <cell r="O1541" t="str">
            <v>Internal R&amp;D</v>
          </cell>
          <cell r="P1541" t="str">
            <v>Q1 Passed</v>
          </cell>
          <cell r="Q1541" t="str">
            <v>Q1 Passed</v>
          </cell>
          <cell r="R1541" t="str">
            <v>Q1.5 Passed</v>
          </cell>
          <cell r="S1541" t="str">
            <v>Qualified</v>
          </cell>
          <cell r="T1541" t="str">
            <v>NA</v>
          </cell>
          <cell r="V1541" t="str">
            <v>Tumor content 8-52%</v>
          </cell>
          <cell r="W1541" t="str">
            <v>Private Hospital</v>
          </cell>
          <cell r="X1541" t="str">
            <v>Sapthagiri ClinTrac Pvt Ltd</v>
          </cell>
          <cell r="Y1541" t="str">
            <v>Sapthagiri Institute of Medical Sciences</v>
          </cell>
          <cell r="Z1541" t="str">
            <v>Dr Nataraj</v>
          </cell>
          <cell r="AA1541" t="str">
            <v>HNSCC</v>
          </cell>
          <cell r="AB1541" t="str">
            <v>NA</v>
          </cell>
          <cell r="AC1541" t="str">
            <v>Tongue</v>
          </cell>
          <cell r="AD1541" t="str">
            <v>Right Anterior aspect of Tongue</v>
          </cell>
          <cell r="AE1541" t="str">
            <v>Male</v>
          </cell>
          <cell r="AF1541">
            <v>50</v>
          </cell>
          <cell r="AG1541" t="str">
            <v>N</v>
          </cell>
          <cell r="AH1541">
            <v>4.8</v>
          </cell>
          <cell r="AI1541" t="str">
            <v>Maruthi</v>
          </cell>
          <cell r="AJ1541" t="str">
            <v>Surgery</v>
          </cell>
          <cell r="AK1541" t="str">
            <v>Primary</v>
          </cell>
          <cell r="AL1541" t="str">
            <v>NA</v>
          </cell>
          <cell r="AV1541">
            <v>45947</v>
          </cell>
          <cell r="AW1541">
            <v>0.70972222222222225</v>
          </cell>
          <cell r="AX1541">
            <v>0.83333333333333337</v>
          </cell>
          <cell r="AY1541">
            <v>0.12361111111111112</v>
          </cell>
          <cell r="AZ1541">
            <v>0.70486111111111116</v>
          </cell>
          <cell r="BA1541">
            <v>0.2673611111111111</v>
          </cell>
          <cell r="BB1541" t="str">
            <v>0.2-0.3*1.2*1.1
0.2-0.8*1.9*0.4-2.0</v>
          </cell>
          <cell r="BC1541" t="str">
            <v>0.2-0.3*1.2*1.1
0.2-0.6*1.1*1.5</v>
          </cell>
          <cell r="BD1541" t="str">
            <v>Vibratome</v>
          </cell>
          <cell r="BE1541">
            <v>14</v>
          </cell>
          <cell r="BF1541" t="str">
            <v>Vasanth</v>
          </cell>
          <cell r="BG1541" t="str">
            <v>Y</v>
          </cell>
        </row>
        <row r="1542">
          <cell r="A1542" t="str">
            <v xml:space="preserve"> FBR1Y250277</v>
          </cell>
          <cell r="B1542">
            <v>250277</v>
          </cell>
          <cell r="C1542" t="str">
            <v>R&amp;D</v>
          </cell>
          <cell r="D1542">
            <v>45947</v>
          </cell>
          <cell r="E1542">
            <v>0.56597222222222221</v>
          </cell>
          <cell r="F1542">
            <v>45931</v>
          </cell>
          <cell r="G1542">
            <v>45947</v>
          </cell>
          <cell r="H1542">
            <v>0.69444444444444442</v>
          </cell>
          <cell r="I1542">
            <v>0.12847222222222221</v>
          </cell>
          <cell r="J1542">
            <v>10</v>
          </cell>
          <cell r="K1542" t="str">
            <v>FCB-PROTOCOL-01</v>
          </cell>
          <cell r="L1542" t="str">
            <v>SIMS-013</v>
          </cell>
          <cell r="M1542" t="str">
            <v>Y</v>
          </cell>
          <cell r="N1542" t="str">
            <v>CCS Study (1Y)</v>
          </cell>
          <cell r="O1542" t="str">
            <v>Internal R&amp;D</v>
          </cell>
          <cell r="P1542" t="str">
            <v>Q1 Passed</v>
          </cell>
          <cell r="Q1542" t="str">
            <v>Q1 Passed</v>
          </cell>
          <cell r="R1542" t="str">
            <v>Q1.5 Passed</v>
          </cell>
          <cell r="S1542" t="str">
            <v>Qualified</v>
          </cell>
          <cell r="T1542" t="str">
            <v>NA</v>
          </cell>
          <cell r="V1542" t="str">
            <v>NA</v>
          </cell>
          <cell r="W1542" t="str">
            <v>Private Hospital</v>
          </cell>
          <cell r="X1542" t="str">
            <v>Sapthagiri ClinTrac Pvt Ltd</v>
          </cell>
          <cell r="Y1542" t="str">
            <v>Sapthagiri Institute of Medical Sciences</v>
          </cell>
          <cell r="Z1542" t="str">
            <v>Dr Nataraj</v>
          </cell>
          <cell r="AA1542" t="str">
            <v>HNSCC</v>
          </cell>
          <cell r="AB1542" t="str">
            <v>NA</v>
          </cell>
          <cell r="AC1542" t="str">
            <v>Tongue</v>
          </cell>
          <cell r="AD1542" t="str">
            <v>Right Anterior aspect of Tongue</v>
          </cell>
          <cell r="AE1542" t="str">
            <v>Male</v>
          </cell>
          <cell r="AF1542">
            <v>50</v>
          </cell>
          <cell r="AG1542" t="str">
            <v>N</v>
          </cell>
          <cell r="AH1542">
            <v>4.8</v>
          </cell>
          <cell r="AI1542" t="str">
            <v>Maruthi</v>
          </cell>
          <cell r="AJ1542" t="str">
            <v>Surgery</v>
          </cell>
          <cell r="AK1542" t="str">
            <v>Primary</v>
          </cell>
          <cell r="AL1542" t="str">
            <v>NA</v>
          </cell>
          <cell r="AV1542">
            <v>45947</v>
          </cell>
          <cell r="AW1542">
            <v>0.70972222222222225</v>
          </cell>
          <cell r="AX1542">
            <v>0.83333333333333337</v>
          </cell>
          <cell r="AY1542">
            <v>0.12361111111111112</v>
          </cell>
          <cell r="AZ1542">
            <v>0.70486111111111116</v>
          </cell>
          <cell r="BA1542">
            <v>0.2673611111111111</v>
          </cell>
          <cell r="BB1542" t="str">
            <v>0.2-0.3*1.2*1.1
0.2-0.8*1.9*0.4-2.0</v>
          </cell>
          <cell r="BC1542" t="str">
            <v>0.2-0.3*1.2*1.1
0.2-0.6*1.1*1.5</v>
          </cell>
          <cell r="BD1542" t="str">
            <v>Vibratome</v>
          </cell>
          <cell r="BE1542">
            <v>14</v>
          </cell>
          <cell r="BF1542" t="str">
            <v>Mouniss</v>
          </cell>
          <cell r="BG1542" t="str">
            <v>Y</v>
          </cell>
        </row>
        <row r="1543">
          <cell r="A1543" t="str">
            <v>FBR1Q250278</v>
          </cell>
          <cell r="B1543">
            <v>250278</v>
          </cell>
          <cell r="C1543" t="str">
            <v>R&amp;D</v>
          </cell>
          <cell r="D1543">
            <v>45947</v>
          </cell>
          <cell r="E1543">
            <v>0.56597222222222221</v>
          </cell>
          <cell r="F1543">
            <v>45931</v>
          </cell>
          <cell r="G1543">
            <v>45947</v>
          </cell>
          <cell r="H1543">
            <v>0.73263888888888884</v>
          </cell>
          <cell r="I1543">
            <v>0.16666666666666666</v>
          </cell>
          <cell r="J1543">
            <v>5</v>
          </cell>
          <cell r="K1543" t="str">
            <v>FCB-PROTOCOL-01</v>
          </cell>
          <cell r="L1543" t="str">
            <v>JSS-064</v>
          </cell>
          <cell r="M1543" t="str">
            <v>Y</v>
          </cell>
          <cell r="N1543" t="str">
            <v>COSv4.2_CaBR(1Q-Unknown)</v>
          </cell>
          <cell r="O1543" t="str">
            <v>Internal R&amp;D</v>
          </cell>
          <cell r="P1543" t="str">
            <v>Q1 Passed</v>
          </cell>
          <cell r="Q1543" t="str">
            <v>Q1 Passed</v>
          </cell>
          <cell r="R1543" t="str">
            <v>Q1.5 Passed</v>
          </cell>
          <cell r="S1543" t="str">
            <v>Qualified</v>
          </cell>
          <cell r="T1543" t="str">
            <v>NA</v>
          </cell>
          <cell r="V1543" t="str">
            <v>Tumor content 15-85%</v>
          </cell>
          <cell r="W1543" t="str">
            <v>Private Hospital</v>
          </cell>
          <cell r="X1543" t="str">
            <v>Dr Ravi Krishnappa, Mysore</v>
          </cell>
          <cell r="Y1543" t="str">
            <v>JSS Hospital, Mysore</v>
          </cell>
          <cell r="Z1543" t="str">
            <v>Dr Ravi Krishnappa, Mysore</v>
          </cell>
          <cell r="AA1543" t="str">
            <v>Ca Breast</v>
          </cell>
          <cell r="AB1543" t="str">
            <v>NA</v>
          </cell>
          <cell r="AC1543" t="str">
            <v>Breast</v>
          </cell>
          <cell r="AD1543" t="str">
            <v>Right Breast</v>
          </cell>
          <cell r="AE1543" t="str">
            <v>Female</v>
          </cell>
          <cell r="AF1543">
            <v>48</v>
          </cell>
          <cell r="AG1543" t="str">
            <v>N</v>
          </cell>
          <cell r="AH1543">
            <v>4.9000000000000004</v>
          </cell>
          <cell r="AI1543" t="str">
            <v>Shashi</v>
          </cell>
          <cell r="AJ1543" t="str">
            <v>Surgery</v>
          </cell>
          <cell r="AK1543" t="str">
            <v>Primary</v>
          </cell>
          <cell r="AL1543" t="str">
            <v>NA</v>
          </cell>
          <cell r="AN1543" t="str">
            <v>I</v>
          </cell>
          <cell r="AP1543" t="str">
            <v>pT2N0</v>
          </cell>
          <cell r="AS1543" t="str">
            <v>IDC</v>
          </cell>
          <cell r="AV1543">
            <v>45947</v>
          </cell>
          <cell r="AW1543">
            <v>0.7631944444444444</v>
          </cell>
          <cell r="AX1543">
            <v>0.81388888888888888</v>
          </cell>
          <cell r="AY1543">
            <v>5.0694444444444445E-2</v>
          </cell>
          <cell r="AZ1543">
            <v>0.64722222222222225</v>
          </cell>
          <cell r="BA1543">
            <v>0.24791666666666667</v>
          </cell>
          <cell r="BB1543" t="str">
            <v>0.6-0.8*1.2*1.8
0.3*0.9*1.0</v>
          </cell>
          <cell r="BC1543" t="str">
            <v>NA</v>
          </cell>
          <cell r="BD1543" t="str">
            <v>Manual</v>
          </cell>
          <cell r="BE1543">
            <v>14</v>
          </cell>
          <cell r="BF1543" t="str">
            <v>Dharani</v>
          </cell>
          <cell r="BG1543" t="str">
            <v>Y</v>
          </cell>
        </row>
        <row r="1544">
          <cell r="A1544">
            <v>250279</v>
          </cell>
          <cell r="B1544">
            <v>250279</v>
          </cell>
          <cell r="C1544" t="str">
            <v>R&amp;D</v>
          </cell>
          <cell r="D1544">
            <v>45952</v>
          </cell>
          <cell r="E1544">
            <v>0.58333333333333337</v>
          </cell>
          <cell r="F1544">
            <v>45931</v>
          </cell>
          <cell r="G1544">
            <v>45952</v>
          </cell>
          <cell r="H1544">
            <v>0.625</v>
          </cell>
          <cell r="I1544">
            <v>4.1666666666666664E-2</v>
          </cell>
          <cell r="J1544">
            <v>0</v>
          </cell>
          <cell r="K1544" t="str">
            <v>FCB-PROTOCOL-01</v>
          </cell>
          <cell r="L1544" t="str">
            <v>FBS-BLD-008</v>
          </cell>
          <cell r="M1544" t="str">
            <v>N</v>
          </cell>
          <cell r="N1544" t="str">
            <v>NA</v>
          </cell>
          <cell r="O1544" t="str">
            <v>Internal R&amp;D</v>
          </cell>
          <cell r="P1544" t="str">
            <v>NA</v>
          </cell>
          <cell r="Q1544" t="str">
            <v>Q1 Passed</v>
          </cell>
          <cell r="R1544" t="str">
            <v>Q1.5 Passed</v>
          </cell>
          <cell r="S1544" t="str">
            <v>Qualified</v>
          </cell>
          <cell r="T1544" t="str">
            <v>NA</v>
          </cell>
          <cell r="V1544" t="str">
            <v>NA</v>
          </cell>
          <cell r="W1544" t="str">
            <v>Private Hospital</v>
          </cell>
          <cell r="X1544" t="str">
            <v>Dr Prakash BV, Bangalore</v>
          </cell>
          <cell r="Y1544" t="str">
            <v>Sri Lakshmi Hospital, Bangalore</v>
          </cell>
          <cell r="Z1544" t="str">
            <v>Dr Prakash BV, Bangalore</v>
          </cell>
          <cell r="AA1544" t="str">
            <v>Healthy Blood</v>
          </cell>
          <cell r="AB1544" t="str">
            <v>NA</v>
          </cell>
          <cell r="AC1544" t="str">
            <v>Healthy Blood</v>
          </cell>
          <cell r="AD1544" t="str">
            <v>Healthy Blood</v>
          </cell>
          <cell r="AE1544" t="str">
            <v>Male</v>
          </cell>
          <cell r="AF1544">
            <v>54</v>
          </cell>
          <cell r="AG1544" t="str">
            <v>N</v>
          </cell>
          <cell r="AH1544">
            <v>4</v>
          </cell>
          <cell r="AI1544" t="str">
            <v>Kalappa</v>
          </cell>
          <cell r="AJ1544" t="str">
            <v>NA</v>
          </cell>
          <cell r="AK1544" t="str">
            <v>NA</v>
          </cell>
          <cell r="AL1544" t="str">
            <v>NA</v>
          </cell>
          <cell r="AV1544">
            <v>45952</v>
          </cell>
          <cell r="AW1544" t="str">
            <v>NA</v>
          </cell>
          <cell r="AX1544" t="str">
            <v>NA</v>
          </cell>
          <cell r="AY1544" t="str">
            <v>NA</v>
          </cell>
          <cell r="AZ1544" t="str">
            <v>NA</v>
          </cell>
          <cell r="BA1544" t="str">
            <v>NA</v>
          </cell>
          <cell r="BB1544" t="str">
            <v>NA</v>
          </cell>
          <cell r="BC1544" t="str">
            <v>NA</v>
          </cell>
          <cell r="BD1544" t="str">
            <v>NA</v>
          </cell>
          <cell r="BE1544" t="str">
            <v>NA</v>
          </cell>
          <cell r="BF1544" t="str">
            <v>NA</v>
          </cell>
          <cell r="BG1544" t="str">
            <v>NA</v>
          </cell>
        </row>
        <row r="1545">
          <cell r="A1545" t="str">
            <v>FBR1K250280</v>
          </cell>
          <cell r="B1545">
            <v>250280</v>
          </cell>
          <cell r="C1545" t="str">
            <v>R&amp;D</v>
          </cell>
          <cell r="D1545">
            <v>45953</v>
          </cell>
          <cell r="E1545">
            <v>0.55347222222222225</v>
          </cell>
          <cell r="F1545">
            <v>45931</v>
          </cell>
          <cell r="G1545">
            <v>45953</v>
          </cell>
          <cell r="H1545">
            <v>0.63541666666666663</v>
          </cell>
          <cell r="I1545">
            <v>8.1944444444444445E-2</v>
          </cell>
          <cell r="J1545">
            <v>3</v>
          </cell>
          <cell r="K1545" t="str">
            <v>FCB-PROTOCOL-01</v>
          </cell>
          <cell r="L1545" t="str">
            <v>CLN/PRA/360</v>
          </cell>
          <cell r="M1545" t="str">
            <v>Y</v>
          </cell>
          <cell r="N1545" t="str">
            <v>DMS_v4(1K)</v>
          </cell>
          <cell r="O1545" t="str">
            <v>Internal R&amp;D</v>
          </cell>
          <cell r="P1545" t="str">
            <v>Q1 Passed</v>
          </cell>
          <cell r="Q1545" t="str">
            <v>Not Received</v>
          </cell>
          <cell r="R1545" t="str">
            <v>Compromised</v>
          </cell>
          <cell r="S1545" t="str">
            <v>Qualified</v>
          </cell>
          <cell r="T1545" t="str">
            <v>NA</v>
          </cell>
          <cell r="V1545" t="str">
            <v>Tumor content 15-80%</v>
          </cell>
          <cell r="W1545" t="str">
            <v>Private Hospital</v>
          </cell>
          <cell r="X1545" t="str">
            <v>Dr Prakash BV, Bangalore</v>
          </cell>
          <cell r="Y1545" t="str">
            <v>Sri Lakshmi Hospital, Bangalore</v>
          </cell>
          <cell r="Z1545" t="str">
            <v>Dr Prakash BV, Bangalore</v>
          </cell>
          <cell r="AA1545" t="str">
            <v>HNSCC</v>
          </cell>
          <cell r="AB1545" t="str">
            <v>NA</v>
          </cell>
          <cell r="AC1545" t="str">
            <v>Buccal Mucosa</v>
          </cell>
          <cell r="AD1545" t="str">
            <v>Right Buccal Mucosa</v>
          </cell>
          <cell r="AE1545" t="str">
            <v>Female</v>
          </cell>
          <cell r="AF1545">
            <v>55</v>
          </cell>
          <cell r="AG1545" t="str">
            <v>N</v>
          </cell>
          <cell r="AH1545">
            <v>4.3</v>
          </cell>
          <cell r="AI1545" t="str">
            <v>Kalappa</v>
          </cell>
          <cell r="AJ1545" t="str">
            <v>Surgery</v>
          </cell>
          <cell r="AK1545" t="str">
            <v>Primary</v>
          </cell>
          <cell r="AL1545" t="str">
            <v>NA</v>
          </cell>
          <cell r="AN1545" t="str">
            <v>II</v>
          </cell>
          <cell r="AP1545" t="str">
            <v>pT3N1M0</v>
          </cell>
          <cell r="AS1545" t="str">
            <v>SCC</v>
          </cell>
          <cell r="AV1545">
            <v>45953</v>
          </cell>
          <cell r="AW1545">
            <v>0.65486111111111112</v>
          </cell>
          <cell r="AX1545">
            <v>0.75972222222222219</v>
          </cell>
          <cell r="AY1545">
            <v>0.10486111111111111</v>
          </cell>
          <cell r="AZ1545">
            <v>0.67777777777777781</v>
          </cell>
          <cell r="BA1545">
            <v>0.20624999999999999</v>
          </cell>
          <cell r="BB1545" t="str">
            <v>0.4-0.8*0.6-1.6*1.4</v>
          </cell>
          <cell r="BC1545" t="str">
            <v>NA</v>
          </cell>
          <cell r="BD1545" t="str">
            <v>Vibratome</v>
          </cell>
          <cell r="BE1545">
            <v>14</v>
          </cell>
          <cell r="BF1545" t="str">
            <v>Mano</v>
          </cell>
          <cell r="BG1545" t="str">
            <v>N</v>
          </cell>
        </row>
        <row r="1546">
          <cell r="A1546" t="str">
            <v>FBR1Y250281</v>
          </cell>
          <cell r="B1546">
            <v>250281</v>
          </cell>
          <cell r="C1546" t="str">
            <v>R&amp;D</v>
          </cell>
          <cell r="D1546">
            <v>45954</v>
          </cell>
          <cell r="E1546">
            <v>0.53541666666666665</v>
          </cell>
          <cell r="F1546">
            <v>45931</v>
          </cell>
          <cell r="G1546">
            <v>45954</v>
          </cell>
          <cell r="H1546">
            <v>0.60555555555555551</v>
          </cell>
          <cell r="I1546">
            <v>7.013888888888889E-2</v>
          </cell>
          <cell r="J1546">
            <v>2</v>
          </cell>
          <cell r="K1546" t="str">
            <v>FCB-PROTOCOL-01</v>
          </cell>
          <cell r="L1546" t="str">
            <v>VYD/439</v>
          </cell>
          <cell r="M1546" t="str">
            <v>Y</v>
          </cell>
          <cell r="N1546" t="str">
            <v>CCS Study (1Y)</v>
          </cell>
          <cell r="O1546" t="str">
            <v>Internal R&amp;D</v>
          </cell>
          <cell r="P1546" t="str">
            <v>Q1 Passed</v>
          </cell>
          <cell r="Q1546" t="str">
            <v>Q1 Passed</v>
          </cell>
          <cell r="R1546" t="str">
            <v>Q1.5 Passed</v>
          </cell>
          <cell r="S1546" t="str">
            <v>Rejected</v>
          </cell>
          <cell r="T1546" t="str">
            <v>NA</v>
          </cell>
          <cell r="V1546" t="str">
            <v>Tumor content 3-30%</v>
          </cell>
          <cell r="W1546" t="str">
            <v>Private Hospital</v>
          </cell>
          <cell r="X1546" t="str">
            <v>Vydehi Hospital, Bangalore</v>
          </cell>
          <cell r="Y1546" t="str">
            <v>Vydehi Hospital, Bangalore</v>
          </cell>
          <cell r="Z1546" t="str">
            <v>Dr Amritha Prabha, Bangalore</v>
          </cell>
          <cell r="AA1546" t="str">
            <v>HNSCC</v>
          </cell>
          <cell r="AB1546" t="str">
            <v>NA</v>
          </cell>
          <cell r="AC1546" t="str">
            <v>Tongue</v>
          </cell>
          <cell r="AD1546" t="str">
            <v>Tongue</v>
          </cell>
          <cell r="AE1546" t="str">
            <v>Male</v>
          </cell>
          <cell r="AF1546">
            <v>71</v>
          </cell>
          <cell r="AG1546" t="str">
            <v>N</v>
          </cell>
          <cell r="AH1546">
            <v>4.5</v>
          </cell>
          <cell r="AI1546" t="str">
            <v>Kalappa</v>
          </cell>
          <cell r="AJ1546" t="str">
            <v>Surgery</v>
          </cell>
          <cell r="AK1546" t="str">
            <v>Primary</v>
          </cell>
          <cell r="AL1546" t="str">
            <v>NA</v>
          </cell>
          <cell r="AV1546">
            <v>45954</v>
          </cell>
          <cell r="AW1546">
            <v>0.62638888888888888</v>
          </cell>
          <cell r="AX1546" t="str">
            <v>NA</v>
          </cell>
          <cell r="AY1546" t="str">
            <v>NA</v>
          </cell>
          <cell r="AZ1546" t="str">
            <v>NA</v>
          </cell>
          <cell r="BA1546" t="str">
            <v>NA</v>
          </cell>
          <cell r="BB1546" t="str">
            <v>0.2-0.4*0.6*0.7
0.2-0.4*0.8*0.2-0.6</v>
          </cell>
          <cell r="BC1546" t="str">
            <v>NA</v>
          </cell>
          <cell r="BD1546" t="str">
            <v>Manual</v>
          </cell>
          <cell r="BE1546">
            <v>14</v>
          </cell>
          <cell r="BF1546" t="str">
            <v>Vasanth</v>
          </cell>
          <cell r="BG1546" t="str">
            <v>Y</v>
          </cell>
        </row>
        <row r="1547">
          <cell r="A1547">
            <v>250282</v>
          </cell>
          <cell r="B1547">
            <v>250282</v>
          </cell>
          <cell r="C1547" t="str">
            <v>R&amp;D</v>
          </cell>
          <cell r="D1547">
            <v>45954</v>
          </cell>
          <cell r="E1547">
            <v>0.6875</v>
          </cell>
          <cell r="F1547">
            <v>45931</v>
          </cell>
          <cell r="G1547">
            <v>45954</v>
          </cell>
          <cell r="H1547">
            <v>0.87708333333333333</v>
          </cell>
          <cell r="I1547">
            <v>0.18958333333333333</v>
          </cell>
          <cell r="J1547">
            <v>2</v>
          </cell>
          <cell r="K1547" t="str">
            <v>FCB-PROTOCOL-01</v>
          </cell>
          <cell r="L1547" t="str">
            <v>SIMS-014</v>
          </cell>
          <cell r="M1547" t="str">
            <v>Y</v>
          </cell>
          <cell r="N1547" t="str">
            <v>No Study</v>
          </cell>
          <cell r="O1547" t="str">
            <v>Internal R&amp;D</v>
          </cell>
          <cell r="P1547" t="str">
            <v>Q1 Rejected</v>
          </cell>
          <cell r="Q1547" t="str">
            <v>Not Received</v>
          </cell>
          <cell r="R1547" t="str">
            <v>Compromised</v>
          </cell>
          <cell r="S1547" t="str">
            <v>Rejected</v>
          </cell>
          <cell r="T1547" t="str">
            <v>Tissue was frozan</v>
          </cell>
          <cell r="V1547" t="str">
            <v>FFPE</v>
          </cell>
          <cell r="W1547" t="str">
            <v>Private Hospital</v>
          </cell>
          <cell r="X1547" t="str">
            <v>Sapthagiri ClinTrac Pvt Ltd</v>
          </cell>
          <cell r="Y1547" t="str">
            <v>Sapthagiri Institute of Medical Sciences</v>
          </cell>
          <cell r="Z1547" t="str">
            <v>Dr Nataraj</v>
          </cell>
          <cell r="AA1547" t="str">
            <v>Ca Ovary</v>
          </cell>
          <cell r="AB1547" t="str">
            <v>NA</v>
          </cell>
          <cell r="AC1547" t="str">
            <v>Ovary</v>
          </cell>
          <cell r="AD1547" t="str">
            <v>Ovary</v>
          </cell>
          <cell r="AE1547" t="str">
            <v>Female</v>
          </cell>
          <cell r="AF1547">
            <v>68</v>
          </cell>
          <cell r="AG1547" t="str">
            <v>N</v>
          </cell>
          <cell r="AH1547">
            <v>4.5</v>
          </cell>
          <cell r="AI1547" t="str">
            <v>Kalappa</v>
          </cell>
          <cell r="AJ1547" t="str">
            <v>Surgery</v>
          </cell>
          <cell r="AK1547" t="str">
            <v>Primary</v>
          </cell>
          <cell r="AL1547" t="str">
            <v>Chemotherapy</v>
          </cell>
          <cell r="AQ1547">
            <v>6</v>
          </cell>
          <cell r="AR1547" t="str">
            <v>Carboplatin+Paclitaxel</v>
          </cell>
          <cell r="AV1547">
            <v>45954</v>
          </cell>
          <cell r="AW1547" t="str">
            <v>NA</v>
          </cell>
          <cell r="AX1547" t="str">
            <v>NA</v>
          </cell>
          <cell r="AY1547" t="str">
            <v>NA</v>
          </cell>
          <cell r="AZ1547" t="str">
            <v>NA</v>
          </cell>
          <cell r="BA1547" t="str">
            <v>NA</v>
          </cell>
          <cell r="BB1547" t="str">
            <v>NA</v>
          </cell>
          <cell r="BC1547" t="str">
            <v>NA</v>
          </cell>
          <cell r="BD1547" t="str">
            <v>NA</v>
          </cell>
          <cell r="BE1547" t="str">
            <v>NA</v>
          </cell>
          <cell r="BF1547" t="str">
            <v>NA</v>
          </cell>
          <cell r="BG1547" t="str">
            <v>NA</v>
          </cell>
        </row>
        <row r="1548">
          <cell r="A1548" t="str">
            <v>FBR1Q250283</v>
          </cell>
          <cell r="B1548">
            <v>250283</v>
          </cell>
          <cell r="C1548" t="str">
            <v>R&amp;D</v>
          </cell>
          <cell r="D1548">
            <v>45954</v>
          </cell>
          <cell r="E1548">
            <v>0.67708333333333337</v>
          </cell>
          <cell r="F1548">
            <v>45931</v>
          </cell>
          <cell r="G1548">
            <v>45954</v>
          </cell>
          <cell r="H1548">
            <v>0.93958333333333333</v>
          </cell>
          <cell r="I1548">
            <v>0.26250000000000001</v>
          </cell>
          <cell r="J1548">
            <v>15</v>
          </cell>
          <cell r="K1548" t="str">
            <v>FCB-PROTOCOL-01</v>
          </cell>
          <cell r="L1548" t="str">
            <v>VH-001</v>
          </cell>
          <cell r="M1548" t="str">
            <v>Y</v>
          </cell>
          <cell r="N1548" t="str">
            <v>COSv4.1_CaBR(1Q-Known)</v>
          </cell>
          <cell r="O1548" t="str">
            <v>Internal R&amp;D</v>
          </cell>
          <cell r="P1548" t="str">
            <v>Q1 Passed</v>
          </cell>
          <cell r="Q1548" t="str">
            <v>Q1 Passed</v>
          </cell>
          <cell r="R1548" t="str">
            <v>Q1.5 Passed</v>
          </cell>
          <cell r="S1548" t="str">
            <v>Qualified</v>
          </cell>
          <cell r="T1548" t="str">
            <v>NA</v>
          </cell>
          <cell r="V1548" t="str">
            <v>Tumor content 1-90%</v>
          </cell>
          <cell r="W1548" t="str">
            <v>Private Hospital</v>
          </cell>
          <cell r="X1548" t="str">
            <v>Vijay Multispeciality Hospital, Dharmapuri</v>
          </cell>
          <cell r="Y1548" t="str">
            <v>Vijay Multispeciality Hospital, Dharmapuri</v>
          </cell>
          <cell r="Z1548" t="str">
            <v>Dr Vijayamurugan</v>
          </cell>
          <cell r="AA1548" t="str">
            <v>Ca Breast</v>
          </cell>
          <cell r="AB1548" t="str">
            <v>TNBC</v>
          </cell>
          <cell r="AC1548" t="str">
            <v>Breast</v>
          </cell>
          <cell r="AD1548" t="str">
            <v>Left Breast</v>
          </cell>
          <cell r="AE1548" t="str">
            <v>Female</v>
          </cell>
          <cell r="AF1548">
            <v>60</v>
          </cell>
          <cell r="AG1548" t="str">
            <v>N</v>
          </cell>
          <cell r="AH1548">
            <v>6.1</v>
          </cell>
          <cell r="AI1548" t="str">
            <v>Maruthi</v>
          </cell>
          <cell r="AJ1548" t="str">
            <v>Surgery</v>
          </cell>
          <cell r="AK1548" t="str">
            <v>Primary</v>
          </cell>
          <cell r="AL1548" t="str">
            <v>Chemotherapy</v>
          </cell>
          <cell r="AQ1548">
            <v>2</v>
          </cell>
          <cell r="AR1548" t="str">
            <v>Carboplatin+Paclitaxel</v>
          </cell>
          <cell r="AV1548">
            <v>45955</v>
          </cell>
          <cell r="AW1548">
            <v>0.29097222222222224</v>
          </cell>
          <cell r="AX1548">
            <v>0.40277777777777779</v>
          </cell>
          <cell r="AY1548">
            <v>0.11180555555555556</v>
          </cell>
          <cell r="AZ1548">
            <v>0.14027777777777778</v>
          </cell>
          <cell r="BA1548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48" t="str">
            <v>1.6-2.0*2.0*2.6</v>
          </cell>
          <cell r="BC1548" t="str">
            <v>NA</v>
          </cell>
          <cell r="BD1548" t="str">
            <v>Manual</v>
          </cell>
          <cell r="BE1548">
            <v>14</v>
          </cell>
          <cell r="BF1548" t="str">
            <v>Mouniss</v>
          </cell>
          <cell r="BG1548" t="str">
            <v>Y</v>
          </cell>
        </row>
        <row r="1549">
          <cell r="A1549" t="str">
            <v>FBR1K250284</v>
          </cell>
          <cell r="B1549">
            <v>250284</v>
          </cell>
          <cell r="C1549" t="str">
            <v>R&amp;D</v>
          </cell>
          <cell r="D1549">
            <v>45957</v>
          </cell>
          <cell r="E1549">
            <v>0.41805555555555557</v>
          </cell>
          <cell r="F1549">
            <v>45931</v>
          </cell>
          <cell r="G1549">
            <v>45957</v>
          </cell>
          <cell r="H1549">
            <v>0.57291666666666663</v>
          </cell>
          <cell r="I1549">
            <v>0.15486111111111112</v>
          </cell>
          <cell r="J1549">
            <v>6</v>
          </cell>
          <cell r="K1549" t="str">
            <v>FCB-PROTOCOL-01</v>
          </cell>
          <cell r="L1549" t="str">
            <v>VYD/440</v>
          </cell>
          <cell r="M1549" t="str">
            <v>Y</v>
          </cell>
          <cell r="N1549" t="str">
            <v>DMS_v4(1K)</v>
          </cell>
          <cell r="O1549" t="str">
            <v>Internal R&amp;D</v>
          </cell>
          <cell r="P1549" t="str">
            <v>Q1 Passed</v>
          </cell>
          <cell r="Q1549" t="str">
            <v>Q1 Passed</v>
          </cell>
          <cell r="R1549" t="str">
            <v>Q1.5 Passed</v>
          </cell>
          <cell r="S1549" t="str">
            <v>Qualified</v>
          </cell>
          <cell r="T1549" t="str">
            <v>NA</v>
          </cell>
          <cell r="V1549" t="str">
            <v>Tumor content 4-45%</v>
          </cell>
          <cell r="W1549" t="str">
            <v>Private Hospital</v>
          </cell>
          <cell r="X1549" t="str">
            <v>Vydehi Hospital, Bangalore</v>
          </cell>
          <cell r="Y1549" t="str">
            <v>Vydehi Hospital, Bangalore</v>
          </cell>
          <cell r="Z1549" t="str">
            <v>Dr Amritha Prabha, Bangalore</v>
          </cell>
          <cell r="AA1549" t="str">
            <v>HNSCC</v>
          </cell>
          <cell r="AB1549" t="str">
            <v>NA</v>
          </cell>
          <cell r="AC1549" t="str">
            <v>Buccal Mucosa</v>
          </cell>
          <cell r="AD1549" t="str">
            <v>Right Buccal Mucosa</v>
          </cell>
          <cell r="AE1549" t="str">
            <v>Female</v>
          </cell>
          <cell r="AF1549">
            <v>42</v>
          </cell>
          <cell r="AG1549" t="str">
            <v>N</v>
          </cell>
          <cell r="AH1549">
            <v>4.7</v>
          </cell>
          <cell r="AI1549" t="str">
            <v>Kalappa</v>
          </cell>
          <cell r="AJ1549" t="str">
            <v>Surgery</v>
          </cell>
          <cell r="AK1549" t="str">
            <v>Primary</v>
          </cell>
          <cell r="AL1549" t="str">
            <v>NA</v>
          </cell>
          <cell r="AV1549">
            <v>45957</v>
          </cell>
          <cell r="AW1549">
            <v>0.59166666666666667</v>
          </cell>
          <cell r="AX1549">
            <v>0.65833333333333333</v>
          </cell>
          <cell r="AY1549">
            <v>6.6666666666666666E-2</v>
          </cell>
          <cell r="AZ1549">
            <v>0.50347222222222221</v>
          </cell>
          <cell r="BA1549">
            <v>0.24027777777777778</v>
          </cell>
          <cell r="BB1549" t="str">
            <v>0.4-0.8*1.6*1.8</v>
          </cell>
          <cell r="BC1549" t="str">
            <v>0.8*1.0*1.0
0.4-0.6*0.8*0.8</v>
          </cell>
          <cell r="BD1549" t="str">
            <v>Vibratome</v>
          </cell>
          <cell r="BE1549">
            <v>14</v>
          </cell>
          <cell r="BF1549" t="str">
            <v>Vasanth</v>
          </cell>
          <cell r="BG1549" t="str">
            <v>Y</v>
          </cell>
        </row>
        <row r="1550">
          <cell r="A1550" t="str">
            <v>FBR1K250285</v>
          </cell>
          <cell r="B1550">
            <v>250285</v>
          </cell>
          <cell r="C1550" t="str">
            <v>R&amp;D</v>
          </cell>
          <cell r="D1550">
            <v>45959</v>
          </cell>
          <cell r="E1550">
            <v>0.54722222222222228</v>
          </cell>
          <cell r="F1550">
            <v>45931</v>
          </cell>
          <cell r="G1550">
            <v>45959</v>
          </cell>
          <cell r="H1550">
            <v>0.62013888888888891</v>
          </cell>
          <cell r="I1550">
            <v>7.2916666666666671E-2</v>
          </cell>
          <cell r="J1550">
            <v>2</v>
          </cell>
          <cell r="K1550" t="str">
            <v>FCB-PROTOCOL-01</v>
          </cell>
          <cell r="L1550" t="str">
            <v>CLN/PRA/361</v>
          </cell>
          <cell r="M1550" t="str">
            <v>Y</v>
          </cell>
          <cell r="N1550" t="str">
            <v>DMS_v4(1K)</v>
          </cell>
          <cell r="O1550" t="str">
            <v>Internal R&amp;D</v>
          </cell>
          <cell r="P1550" t="str">
            <v>Q1 Passed</v>
          </cell>
          <cell r="Q1550" t="str">
            <v>Q1 Passed</v>
          </cell>
          <cell r="R1550" t="str">
            <v>Q1.5 Passed</v>
          </cell>
          <cell r="S1550" t="str">
            <v>Qualified</v>
          </cell>
          <cell r="T1550" t="str">
            <v>NA</v>
          </cell>
          <cell r="V1550" t="str">
            <v>Tumor content 30-70%</v>
          </cell>
          <cell r="W1550" t="str">
            <v>Private Hospital</v>
          </cell>
          <cell r="X1550" t="str">
            <v>Dr Prakash BV, Bangalore</v>
          </cell>
          <cell r="Y1550" t="str">
            <v>Sri Lakshmi Hospital, Bangalore</v>
          </cell>
          <cell r="Z1550" t="str">
            <v>Dr Prakash BV, Bangalore</v>
          </cell>
          <cell r="AA1550" t="str">
            <v>HNSCC</v>
          </cell>
          <cell r="AB1550" t="str">
            <v>NA</v>
          </cell>
          <cell r="AC1550" t="str">
            <v>Larynx</v>
          </cell>
          <cell r="AD1550" t="str">
            <v>Larynx</v>
          </cell>
          <cell r="AE1550" t="str">
            <v>Male</v>
          </cell>
          <cell r="AF1550">
            <v>66</v>
          </cell>
          <cell r="AG1550" t="str">
            <v>N</v>
          </cell>
          <cell r="AH1550">
            <v>5.0999999999999996</v>
          </cell>
          <cell r="AI1550" t="str">
            <v>Kalappa</v>
          </cell>
          <cell r="AJ1550" t="str">
            <v>Surgery</v>
          </cell>
          <cell r="AK1550" t="str">
            <v>Primary</v>
          </cell>
          <cell r="AL1550" t="str">
            <v>NA</v>
          </cell>
          <cell r="AN1550" t="str">
            <v>II</v>
          </cell>
          <cell r="AP1550" t="str">
            <v>pT2N1M0</v>
          </cell>
          <cell r="AS1550" t="str">
            <v>SCC</v>
          </cell>
          <cell r="AV1550">
            <v>45959</v>
          </cell>
          <cell r="AW1550">
            <v>0.6381944444444444</v>
          </cell>
          <cell r="AX1550">
            <v>0.70833333333333337</v>
          </cell>
          <cell r="AY1550">
            <v>7.013888888888889E-2</v>
          </cell>
          <cell r="AZ1550">
            <v>0.63541666666666663</v>
          </cell>
          <cell r="BA1550">
            <v>0.16111111111111112</v>
          </cell>
          <cell r="BB1550" t="str">
            <v>0.6-0.7*1.7*1.8-2.4</v>
          </cell>
          <cell r="BC1550" t="str">
            <v>NA</v>
          </cell>
          <cell r="BD1550" t="str">
            <v>Vibratome</v>
          </cell>
          <cell r="BE1550">
            <v>15</v>
          </cell>
          <cell r="BF1550" t="str">
            <v>Dharani</v>
          </cell>
          <cell r="BG1550" t="str">
            <v>Y</v>
          </cell>
        </row>
        <row r="1551">
          <cell r="A1551" t="str">
            <v>FBR1K250286</v>
          </cell>
          <cell r="B1551">
            <v>250286</v>
          </cell>
          <cell r="C1551" t="str">
            <v>R&amp;D</v>
          </cell>
          <cell r="D1551">
            <v>45960</v>
          </cell>
          <cell r="E1551">
            <v>0.52777777777777779</v>
          </cell>
          <cell r="F1551">
            <v>45931</v>
          </cell>
          <cell r="G1551">
            <v>45960</v>
          </cell>
          <cell r="H1551">
            <v>0.59166666666666667</v>
          </cell>
          <cell r="I1551">
            <v>6.3888888888888884E-2</v>
          </cell>
          <cell r="J1551">
            <v>2</v>
          </cell>
          <cell r="K1551" t="str">
            <v>FCB-PROTOCOL-01</v>
          </cell>
          <cell r="L1551" t="str">
            <v>VYD/441</v>
          </cell>
          <cell r="M1551" t="str">
            <v>Y</v>
          </cell>
          <cell r="N1551" t="str">
            <v>DMS_v4(1K)</v>
          </cell>
          <cell r="O1551" t="str">
            <v>Internal R&amp;D</v>
          </cell>
          <cell r="P1551" t="str">
            <v>Q1 Passed</v>
          </cell>
          <cell r="Q1551" t="str">
            <v>Q1 Passed</v>
          </cell>
          <cell r="R1551" t="str">
            <v>Q1.5 Passed</v>
          </cell>
          <cell r="S1551" t="str">
            <v>Qualified</v>
          </cell>
          <cell r="T1551" t="str">
            <v>NA</v>
          </cell>
          <cell r="V1551" t="str">
            <v>NA</v>
          </cell>
          <cell r="W1551" t="str">
            <v>Private Hospital</v>
          </cell>
          <cell r="X1551" t="str">
            <v>Vydehi Hospital, Bangalore</v>
          </cell>
          <cell r="Y1551" t="str">
            <v>Vydehi Hospital, Bangalore</v>
          </cell>
          <cell r="Z1551" t="str">
            <v>Dr Amritha Prabha, Bangalore</v>
          </cell>
          <cell r="AA1551" t="str">
            <v>HNSCC</v>
          </cell>
          <cell r="AB1551" t="str">
            <v>NA</v>
          </cell>
          <cell r="AC1551" t="str">
            <v>Buccal Mucosa</v>
          </cell>
          <cell r="AD1551" t="str">
            <v>Left Buccal Mucosa</v>
          </cell>
          <cell r="AE1551" t="str">
            <v>Male</v>
          </cell>
          <cell r="AF1551">
            <v>78</v>
          </cell>
          <cell r="AG1551" t="str">
            <v>N</v>
          </cell>
          <cell r="AH1551">
            <v>5.5</v>
          </cell>
          <cell r="AI1551" t="str">
            <v>Shashi</v>
          </cell>
          <cell r="AJ1551" t="str">
            <v>Surgery</v>
          </cell>
          <cell r="AK1551" t="str">
            <v>Primary</v>
          </cell>
          <cell r="AL1551" t="str">
            <v>NA</v>
          </cell>
          <cell r="AV1551">
            <v>45960</v>
          </cell>
          <cell r="AW1551">
            <v>0.6166666666666667</v>
          </cell>
          <cell r="AX1551">
            <v>0.75138888888888888</v>
          </cell>
          <cell r="AY1551">
            <v>0.13472222222222222</v>
          </cell>
          <cell r="AZ1551">
            <v>0.6875</v>
          </cell>
          <cell r="BA1551">
            <v>0.22361111111111112</v>
          </cell>
          <cell r="BB1551" t="str">
            <v>0.8*1.2*1.8</v>
          </cell>
          <cell r="BC1551" t="str">
            <v>NA</v>
          </cell>
          <cell r="BD1551" t="str">
            <v>Vibratome</v>
          </cell>
          <cell r="BE1551">
            <v>15</v>
          </cell>
          <cell r="BF1551" t="str">
            <v>Jobin</v>
          </cell>
          <cell r="BG1551" t="str">
            <v>Y</v>
          </cell>
        </row>
        <row r="1552">
          <cell r="A1552" t="str">
            <v>FBR1Y250286</v>
          </cell>
          <cell r="B1552">
            <v>250286</v>
          </cell>
          <cell r="C1552" t="str">
            <v>R&amp;D</v>
          </cell>
          <cell r="D1552">
            <v>45960</v>
          </cell>
          <cell r="E1552">
            <v>0.52777777777777779</v>
          </cell>
          <cell r="F1552">
            <v>45931</v>
          </cell>
          <cell r="G1552">
            <v>45960</v>
          </cell>
          <cell r="H1552">
            <v>0.59166666666666667</v>
          </cell>
          <cell r="I1552">
            <v>6.3888888888888884E-2</v>
          </cell>
          <cell r="J1552">
            <v>2</v>
          </cell>
          <cell r="K1552" t="str">
            <v>FCB-PROTOCOL-01</v>
          </cell>
          <cell r="L1552" t="str">
            <v>VYD/441</v>
          </cell>
          <cell r="M1552" t="str">
            <v>Y</v>
          </cell>
          <cell r="N1552" t="str">
            <v>CCS Study (1Y)</v>
          </cell>
          <cell r="O1552" t="str">
            <v>Internal R&amp;D</v>
          </cell>
          <cell r="P1552" t="str">
            <v>Q1 Passed</v>
          </cell>
          <cell r="Q1552" t="str">
            <v>Q1 Passed</v>
          </cell>
          <cell r="R1552" t="str">
            <v>Q1.5 Passed</v>
          </cell>
          <cell r="S1552" t="str">
            <v>Qualified</v>
          </cell>
          <cell r="T1552" t="str">
            <v>NA</v>
          </cell>
          <cell r="V1552" t="str">
            <v>Tumor content 15-88%</v>
          </cell>
          <cell r="W1552" t="str">
            <v>Private Hospital</v>
          </cell>
          <cell r="X1552" t="str">
            <v>Vydehi Hospital, Bangalore</v>
          </cell>
          <cell r="Y1552" t="str">
            <v>Vydehi Hospital, Bangalore</v>
          </cell>
          <cell r="Z1552" t="str">
            <v>Dr Amritha Prabha, Bangalore</v>
          </cell>
          <cell r="AA1552" t="str">
            <v>HNSCC</v>
          </cell>
          <cell r="AB1552" t="str">
            <v>NA</v>
          </cell>
          <cell r="AC1552" t="str">
            <v>Buccal Mucosa</v>
          </cell>
          <cell r="AD1552" t="str">
            <v>Left Buccal Mucosa</v>
          </cell>
          <cell r="AE1552" t="str">
            <v>Male</v>
          </cell>
          <cell r="AF1552">
            <v>78</v>
          </cell>
          <cell r="AG1552" t="str">
            <v>N</v>
          </cell>
          <cell r="AH1552">
            <v>5.5</v>
          </cell>
          <cell r="AI1552" t="str">
            <v>Shashi</v>
          </cell>
          <cell r="AJ1552" t="str">
            <v>Surgery</v>
          </cell>
          <cell r="AK1552" t="str">
            <v>Primary</v>
          </cell>
          <cell r="AL1552" t="str">
            <v>NA</v>
          </cell>
          <cell r="AV1552">
            <v>45960</v>
          </cell>
          <cell r="AW1552">
            <v>0.6166666666666667</v>
          </cell>
          <cell r="AX1552">
            <v>0.75138888888888888</v>
          </cell>
          <cell r="AY1552">
            <v>0.13472222222222222</v>
          </cell>
          <cell r="AZ1552">
            <v>0.6875</v>
          </cell>
          <cell r="BA1552">
            <v>0.22361111111111112</v>
          </cell>
          <cell r="BB1552" t="str">
            <v>0.8*1.2*1.8</v>
          </cell>
          <cell r="BC1552" t="str">
            <v>NA</v>
          </cell>
          <cell r="BD1552" t="str">
            <v>Vibratome</v>
          </cell>
          <cell r="BE1552">
            <v>15</v>
          </cell>
          <cell r="BF1552" t="str">
            <v>Jobin</v>
          </cell>
          <cell r="BG1552" t="str">
            <v>Y</v>
          </cell>
        </row>
        <row r="1553">
          <cell r="A1553" t="str">
            <v>FBR1K250287</v>
          </cell>
          <cell r="B1553">
            <v>250287</v>
          </cell>
          <cell r="C1553" t="str">
            <v>R&amp;D</v>
          </cell>
          <cell r="D1553">
            <v>45960</v>
          </cell>
          <cell r="E1553">
            <v>0.53819444444444442</v>
          </cell>
          <cell r="F1553">
            <v>45931</v>
          </cell>
          <cell r="G1553">
            <v>45960</v>
          </cell>
          <cell r="H1553">
            <v>0.63124999999999998</v>
          </cell>
          <cell r="I1553">
            <v>9.3055555555555558E-2</v>
          </cell>
          <cell r="J1553">
            <v>3</v>
          </cell>
          <cell r="K1553" t="str">
            <v>FCB-PROTOCOL-01</v>
          </cell>
          <cell r="L1553" t="str">
            <v>CLN/PRA/362</v>
          </cell>
          <cell r="M1553" t="str">
            <v>Y</v>
          </cell>
          <cell r="N1553" t="str">
            <v>DMS_v4(1K)</v>
          </cell>
          <cell r="O1553" t="str">
            <v>Internal R&amp;D</v>
          </cell>
          <cell r="P1553" t="str">
            <v>Q1 Passed</v>
          </cell>
          <cell r="Q1553" t="str">
            <v>Q1 Passed</v>
          </cell>
          <cell r="R1553" t="str">
            <v>Q1.5 Passed</v>
          </cell>
          <cell r="S1553" t="str">
            <v>Qualified</v>
          </cell>
          <cell r="T1553" t="str">
            <v>NA</v>
          </cell>
          <cell r="V1553" t="str">
            <v>Tumor content 12-55%</v>
          </cell>
          <cell r="W1553" t="str">
            <v>Private Hospital</v>
          </cell>
          <cell r="X1553" t="str">
            <v>Dr Prakash BV, Bangalore</v>
          </cell>
          <cell r="Y1553" t="str">
            <v>Sri Lakshmi Hospital, Bangalore</v>
          </cell>
          <cell r="Z1553" t="str">
            <v>Dr Prakash BV, Bangalore</v>
          </cell>
          <cell r="AA1553" t="str">
            <v>HNSCC</v>
          </cell>
          <cell r="AB1553" t="str">
            <v>NA</v>
          </cell>
          <cell r="AC1553" t="str">
            <v>Buccal Mucosa</v>
          </cell>
          <cell r="AD1553" t="str">
            <v>Right Buccal Mucosa</v>
          </cell>
          <cell r="AE1553" t="str">
            <v>Male</v>
          </cell>
          <cell r="AF1553">
            <v>37</v>
          </cell>
          <cell r="AG1553" t="str">
            <v>N</v>
          </cell>
          <cell r="AH1553">
            <v>4.9000000000000004</v>
          </cell>
          <cell r="AI1553" t="str">
            <v>Kalappa</v>
          </cell>
          <cell r="AJ1553" t="str">
            <v>Surgery</v>
          </cell>
          <cell r="AK1553" t="str">
            <v>Primary</v>
          </cell>
          <cell r="AL1553" t="str">
            <v>NA</v>
          </cell>
          <cell r="AN1553" t="str">
            <v>I</v>
          </cell>
          <cell r="AP1553" t="str">
            <v>pT1N0M0</v>
          </cell>
          <cell r="AS1553" t="str">
            <v>SCC</v>
          </cell>
          <cell r="AV1553">
            <v>45960</v>
          </cell>
          <cell r="AW1553">
            <v>0.65</v>
          </cell>
          <cell r="AX1553">
            <v>0.73750000000000004</v>
          </cell>
          <cell r="AY1553">
            <v>8.7499999999999994E-2</v>
          </cell>
          <cell r="AZ1553">
            <v>0.64444444444444449</v>
          </cell>
          <cell r="BA1553">
            <v>0.19930555555555557</v>
          </cell>
          <cell r="BB1553" t="str">
            <v>0.6-1.2*1.8*1.8</v>
          </cell>
          <cell r="BC1553" t="str">
            <v>0.8*1.2*1.4</v>
          </cell>
          <cell r="BD1553" t="str">
            <v>Vibratome</v>
          </cell>
          <cell r="BE1553">
            <v>15</v>
          </cell>
          <cell r="BF1553" t="str">
            <v>Vasanth</v>
          </cell>
          <cell r="BG1553" t="str">
            <v>Y</v>
          </cell>
        </row>
        <row r="1554">
          <cell r="A1554" t="str">
            <v>FBR1K250288</v>
          </cell>
          <cell r="B1554">
            <v>250288</v>
          </cell>
          <cell r="C1554" t="str">
            <v>R&amp;D</v>
          </cell>
          <cell r="D1554">
            <v>45960</v>
          </cell>
          <cell r="E1554">
            <v>0.51041666666666663</v>
          </cell>
          <cell r="F1554">
            <v>45931</v>
          </cell>
          <cell r="G1554">
            <v>45960</v>
          </cell>
          <cell r="H1554">
            <v>0.65486111111111112</v>
          </cell>
          <cell r="I1554">
            <v>0.14444444444444443</v>
          </cell>
          <cell r="J1554">
            <v>5</v>
          </cell>
          <cell r="K1554" t="str">
            <v>FCB-PROTOCOL-01</v>
          </cell>
          <cell r="L1554" t="str">
            <v>SIMS-015</v>
          </cell>
          <cell r="M1554" t="str">
            <v>Y</v>
          </cell>
          <cell r="N1554" t="str">
            <v>DMS_v4(1K)</v>
          </cell>
          <cell r="O1554" t="str">
            <v>Internal R&amp;D</v>
          </cell>
          <cell r="P1554" t="str">
            <v>Q1 Passed</v>
          </cell>
          <cell r="Q1554" t="str">
            <v>Not Received</v>
          </cell>
          <cell r="R1554" t="str">
            <v>Compromised</v>
          </cell>
          <cell r="S1554" t="str">
            <v>Qualified</v>
          </cell>
          <cell r="T1554" t="str">
            <v>NA</v>
          </cell>
          <cell r="V1554" t="str">
            <v>NA</v>
          </cell>
          <cell r="W1554" t="str">
            <v>Private Hospital</v>
          </cell>
          <cell r="X1554" t="str">
            <v>Sapthagiri ClinTrac Pvt Ltd</v>
          </cell>
          <cell r="Y1554" t="str">
            <v>Sapthagiri Institute of Medical Sciences</v>
          </cell>
          <cell r="Z1554" t="str">
            <v>Dr Nataraj</v>
          </cell>
          <cell r="AA1554" t="str">
            <v>HNSCC</v>
          </cell>
          <cell r="AB1554" t="str">
            <v>NA</v>
          </cell>
          <cell r="AC1554" t="str">
            <v>Lip</v>
          </cell>
          <cell r="AD1554" t="str">
            <v>Lower Lip</v>
          </cell>
          <cell r="AE1554" t="str">
            <v>Female</v>
          </cell>
          <cell r="AF1554">
            <v>82</v>
          </cell>
          <cell r="AG1554" t="str">
            <v>N</v>
          </cell>
          <cell r="AH1554">
            <v>4.5999999999999996</v>
          </cell>
          <cell r="AI1554" t="str">
            <v>Kalappa</v>
          </cell>
          <cell r="AJ1554" t="str">
            <v>Surgery</v>
          </cell>
          <cell r="AK1554" t="str">
            <v>Primary</v>
          </cell>
          <cell r="AL1554" t="str">
            <v>NA</v>
          </cell>
          <cell r="AV1554">
            <v>45960</v>
          </cell>
          <cell r="AW1554">
            <v>0.68125000000000002</v>
          </cell>
          <cell r="AX1554">
            <v>0.8125</v>
          </cell>
          <cell r="AY1554">
            <v>0.13125000000000001</v>
          </cell>
          <cell r="AZ1554">
            <v>0.66805555555555551</v>
          </cell>
          <cell r="BA1554">
            <v>0.30208333333333331</v>
          </cell>
          <cell r="BB1554" t="str">
            <v>0.2-0.6*1.2*2.6</v>
          </cell>
          <cell r="BC1554" t="str">
            <v>NA</v>
          </cell>
          <cell r="BD1554" t="str">
            <v>Vibratome</v>
          </cell>
          <cell r="BE1554">
            <v>15</v>
          </cell>
          <cell r="BF1554" t="str">
            <v>Mouniss</v>
          </cell>
          <cell r="BG1554" t="str">
            <v>N</v>
          </cell>
        </row>
        <row r="1555">
          <cell r="A1555" t="str">
            <v>FBR1Y250288</v>
          </cell>
          <cell r="B1555">
            <v>250288</v>
          </cell>
          <cell r="C1555" t="str">
            <v>R&amp;D</v>
          </cell>
          <cell r="D1555">
            <v>45960</v>
          </cell>
          <cell r="E1555">
            <v>0.51041666666666663</v>
          </cell>
          <cell r="F1555">
            <v>45931</v>
          </cell>
          <cell r="G1555">
            <v>45960</v>
          </cell>
          <cell r="H1555">
            <v>0.65486111111111112</v>
          </cell>
          <cell r="I1555">
            <v>0.14444444444444443</v>
          </cell>
          <cell r="J1555">
            <v>5</v>
          </cell>
          <cell r="K1555" t="str">
            <v>FCB-PROTOCOL-01</v>
          </cell>
          <cell r="L1555" t="str">
            <v>SIMS-015</v>
          </cell>
          <cell r="M1555" t="str">
            <v>Y</v>
          </cell>
          <cell r="N1555" t="str">
            <v>CCS Study (1Y)</v>
          </cell>
          <cell r="O1555" t="str">
            <v>Internal R&amp;D</v>
          </cell>
          <cell r="P1555" t="str">
            <v>Q1 Passed</v>
          </cell>
          <cell r="Q1555" t="str">
            <v>Not Received</v>
          </cell>
          <cell r="R1555" t="str">
            <v>Compromised</v>
          </cell>
          <cell r="S1555" t="str">
            <v>Qualified</v>
          </cell>
          <cell r="T1555" t="str">
            <v>NA</v>
          </cell>
          <cell r="V1555" t="str">
            <v>Tumor content 40-95%</v>
          </cell>
          <cell r="W1555" t="str">
            <v>Private Hospital</v>
          </cell>
          <cell r="X1555" t="str">
            <v>Sapthagiri ClinTrac Pvt Ltd</v>
          </cell>
          <cell r="Y1555" t="str">
            <v>Sapthagiri Institute of Medical Sciences</v>
          </cell>
          <cell r="Z1555" t="str">
            <v>Dr Nataraj</v>
          </cell>
          <cell r="AA1555" t="str">
            <v>HNSCC</v>
          </cell>
          <cell r="AB1555" t="str">
            <v>NA</v>
          </cell>
          <cell r="AC1555" t="str">
            <v>Lip</v>
          </cell>
          <cell r="AD1555" t="str">
            <v>Lower Lip</v>
          </cell>
          <cell r="AE1555" t="str">
            <v>Female</v>
          </cell>
          <cell r="AF1555">
            <v>82</v>
          </cell>
          <cell r="AG1555" t="str">
            <v>N</v>
          </cell>
          <cell r="AH1555">
            <v>4.5999999999999996</v>
          </cell>
          <cell r="AI1555" t="str">
            <v>Kalappa</v>
          </cell>
          <cell r="AJ1555" t="str">
            <v>Surgery</v>
          </cell>
          <cell r="AK1555" t="str">
            <v>Primary</v>
          </cell>
          <cell r="AL1555" t="str">
            <v>NA</v>
          </cell>
          <cell r="AV1555">
            <v>45960</v>
          </cell>
          <cell r="AW1555">
            <v>0.68125000000000002</v>
          </cell>
          <cell r="AX1555">
            <v>0.8125</v>
          </cell>
          <cell r="AY1555">
            <v>0.13125000000000001</v>
          </cell>
          <cell r="AZ1555">
            <v>0.66805555555555551</v>
          </cell>
          <cell r="BA1555">
            <v>0.30208333333333331</v>
          </cell>
          <cell r="BB1555" t="str">
            <v>0.2-0.6*1.2*2.6</v>
          </cell>
          <cell r="BC1555" t="str">
            <v>NA</v>
          </cell>
          <cell r="BD1555" t="str">
            <v>Vibratome</v>
          </cell>
          <cell r="BE1555">
            <v>15</v>
          </cell>
          <cell r="BF1555" t="str">
            <v>Mouniss</v>
          </cell>
          <cell r="BG1555" t="str">
            <v>N</v>
          </cell>
        </row>
        <row r="1556">
          <cell r="A1556" t="str">
            <v>FBR1K250289</v>
          </cell>
          <cell r="B1556">
            <v>250289</v>
          </cell>
          <cell r="C1556" t="str">
            <v>R&amp;D</v>
          </cell>
          <cell r="D1556">
            <v>45961</v>
          </cell>
          <cell r="E1556">
            <v>0.52986111111111112</v>
          </cell>
          <cell r="F1556">
            <v>45931</v>
          </cell>
          <cell r="G1556">
            <v>45961</v>
          </cell>
          <cell r="H1556">
            <v>0.63958333333333328</v>
          </cell>
          <cell r="I1556">
            <v>0.10972222222222222</v>
          </cell>
          <cell r="J1556">
            <v>2</v>
          </cell>
          <cell r="K1556" t="str">
            <v>FCB-PROTOCOL-01</v>
          </cell>
          <cell r="L1556" t="str">
            <v>CLN/PRA/363</v>
          </cell>
          <cell r="M1556" t="str">
            <v>Y</v>
          </cell>
          <cell r="N1556" t="str">
            <v>DMS_v4(1K)</v>
          </cell>
          <cell r="O1556" t="str">
            <v>Internal R&amp;D</v>
          </cell>
          <cell r="P1556" t="str">
            <v>Q1 Passed</v>
          </cell>
          <cell r="Q1556" t="str">
            <v>Q1 Passed</v>
          </cell>
          <cell r="R1556" t="str">
            <v>Q1.5 Passed</v>
          </cell>
          <cell r="S1556" t="str">
            <v>Qualified</v>
          </cell>
          <cell r="T1556" t="str">
            <v>NA</v>
          </cell>
          <cell r="V1556" t="str">
            <v>Tumor content 3-60%</v>
          </cell>
          <cell r="W1556" t="str">
            <v>Private Hospital</v>
          </cell>
          <cell r="X1556" t="str">
            <v>Dr Prakash BV, Bangalore</v>
          </cell>
          <cell r="Y1556" t="str">
            <v>Sri Lakshmi Hospital, Bangalore</v>
          </cell>
          <cell r="Z1556" t="str">
            <v>Dr Prakash BV, Bangalore</v>
          </cell>
          <cell r="AA1556" t="str">
            <v>HNSCC</v>
          </cell>
          <cell r="AB1556" t="str">
            <v>NA</v>
          </cell>
          <cell r="AC1556" t="str">
            <v>Buccal Mucosa</v>
          </cell>
          <cell r="AD1556" t="str">
            <v>Left Buccal Mucosa</v>
          </cell>
          <cell r="AE1556" t="str">
            <v>Male</v>
          </cell>
          <cell r="AF1556">
            <v>65</v>
          </cell>
          <cell r="AG1556" t="str">
            <v>N</v>
          </cell>
          <cell r="AH1556">
            <v>5.3</v>
          </cell>
          <cell r="AI1556" t="str">
            <v>Kalappa</v>
          </cell>
          <cell r="AJ1556" t="str">
            <v>Surgery</v>
          </cell>
          <cell r="AK1556" t="str">
            <v>Primary</v>
          </cell>
          <cell r="AL1556" t="str">
            <v>NA</v>
          </cell>
          <cell r="AV1556">
            <v>45961</v>
          </cell>
          <cell r="AW1556">
            <v>0.65972222222222221</v>
          </cell>
          <cell r="AX1556">
            <v>0.76249999999999996</v>
          </cell>
          <cell r="AY1556">
            <v>0.10277777777777777</v>
          </cell>
          <cell r="AZ1556">
            <v>0.65277777777777779</v>
          </cell>
          <cell r="BA1556">
            <v>0.2326388888888889</v>
          </cell>
          <cell r="BB1556" t="str">
            <v>0.4*0.6*0.8
0.6*0.6-0.8*0.9
0.2-0.8*1.2*1.6</v>
          </cell>
          <cell r="BC1556" t="str">
            <v>NA</v>
          </cell>
          <cell r="BD1556" t="str">
            <v>Vibratome</v>
          </cell>
          <cell r="BE1556">
            <v>15</v>
          </cell>
          <cell r="BF1556" t="str">
            <v>Jobin</v>
          </cell>
          <cell r="BG1556" t="str">
            <v>Y</v>
          </cell>
        </row>
        <row r="1557">
          <cell r="A1557" t="str">
            <v>FBR2S250290</v>
          </cell>
          <cell r="B1557">
            <v>250290</v>
          </cell>
          <cell r="C1557" t="str">
            <v>R&amp;D</v>
          </cell>
          <cell r="D1557">
            <v>45961</v>
          </cell>
          <cell r="E1557">
            <v>0.46875</v>
          </cell>
          <cell r="F1557">
            <v>45931</v>
          </cell>
          <cell r="G1557">
            <v>45961</v>
          </cell>
          <cell r="H1557">
            <v>0.67986111111111114</v>
          </cell>
          <cell r="I1557">
            <v>0.21111111111111111</v>
          </cell>
          <cell r="J1557">
            <v>1</v>
          </cell>
          <cell r="K1557" t="str">
            <v>FCB-PROTOCOL-01</v>
          </cell>
          <cell r="L1557" t="str">
            <v>JSS-065</v>
          </cell>
          <cell r="M1557" t="str">
            <v>Y</v>
          </cell>
          <cell r="N1557" t="str">
            <v>Cos V1 (2S)</v>
          </cell>
          <cell r="O1557" t="str">
            <v>Internal R&amp;D</v>
          </cell>
          <cell r="P1557" t="str">
            <v>Q1 Passed</v>
          </cell>
          <cell r="Q1557" t="str">
            <v>Q1 Passed</v>
          </cell>
          <cell r="R1557" t="str">
            <v>Q1.5 Passed</v>
          </cell>
          <cell r="S1557" t="str">
            <v>Rejected</v>
          </cell>
          <cell r="T1557" t="str">
            <v>NA</v>
          </cell>
          <cell r="V1557" t="str">
            <v>No tumor. Reactive stroma</v>
          </cell>
          <cell r="W1557" t="str">
            <v>Private Hospital</v>
          </cell>
          <cell r="X1557" t="str">
            <v>Dr Ravi Krishnappa, Mysore</v>
          </cell>
          <cell r="Y1557" t="str">
            <v>JSS Hospital, Mysore</v>
          </cell>
          <cell r="Z1557" t="str">
            <v>Dr Ravi Krishnappa, Mysore</v>
          </cell>
          <cell r="AA1557" t="str">
            <v>CRC</v>
          </cell>
          <cell r="AB1557" t="str">
            <v>NA</v>
          </cell>
          <cell r="AC1557" t="str">
            <v>Colon</v>
          </cell>
          <cell r="AD1557" t="str">
            <v>Right Colon</v>
          </cell>
          <cell r="AE1557" t="str">
            <v>Male</v>
          </cell>
          <cell r="AF1557">
            <v>65</v>
          </cell>
          <cell r="AG1557" t="str">
            <v>N</v>
          </cell>
          <cell r="AH1557">
            <v>4.9000000000000004</v>
          </cell>
          <cell r="AI1557" t="str">
            <v>Shashi</v>
          </cell>
          <cell r="AJ1557" t="str">
            <v>Surgery</v>
          </cell>
          <cell r="AK1557" t="str">
            <v>Primary</v>
          </cell>
          <cell r="AL1557" t="str">
            <v>NA</v>
          </cell>
          <cell r="AV1557">
            <v>45961</v>
          </cell>
          <cell r="AW1557">
            <v>0.69305555555555554</v>
          </cell>
          <cell r="AX1557">
            <v>0.78125</v>
          </cell>
          <cell r="AY1557">
            <v>8.819444444444445E-2</v>
          </cell>
          <cell r="AZ1557">
            <v>0.57013888888888886</v>
          </cell>
          <cell r="BA1557">
            <v>0.3125</v>
          </cell>
          <cell r="BB1557" t="str">
            <v>0.3*1.4*1.8
0.4*1.4*2.8
0.6*2.2*3.2
0.4*0.8-1.0*1.7</v>
          </cell>
          <cell r="BC1557" t="str">
            <v>NA</v>
          </cell>
          <cell r="BD1557" t="str">
            <v>Vibratome</v>
          </cell>
          <cell r="BE1557">
            <v>13</v>
          </cell>
          <cell r="BF1557" t="str">
            <v>Dharani</v>
          </cell>
          <cell r="BG1557" t="str">
            <v>Y</v>
          </cell>
        </row>
        <row r="1558">
          <cell r="A1558" t="str">
            <v>FBR1K250291</v>
          </cell>
          <cell r="B1558">
            <v>250291</v>
          </cell>
          <cell r="C1558" t="str">
            <v>R&amp;D</v>
          </cell>
          <cell r="D1558">
            <v>45965</v>
          </cell>
          <cell r="E1558">
            <v>0.45277777777777778</v>
          </cell>
          <cell r="F1558">
            <v>45962</v>
          </cell>
          <cell r="G1558">
            <v>45965</v>
          </cell>
          <cell r="H1558">
            <v>0.54513888888888884</v>
          </cell>
          <cell r="I1558">
            <v>9.2361111111111116E-2</v>
          </cell>
          <cell r="J1558">
            <v>3</v>
          </cell>
          <cell r="K1558" t="str">
            <v>FCB-PROTOCOL-01</v>
          </cell>
          <cell r="L1558" t="str">
            <v>VYD/442</v>
          </cell>
          <cell r="M1558" t="str">
            <v>Y</v>
          </cell>
          <cell r="N1558" t="str">
            <v>DMS_v4(1K)</v>
          </cell>
          <cell r="O1558" t="str">
            <v>Internal R&amp;D</v>
          </cell>
          <cell r="P1558" t="str">
            <v>Q1 Passed</v>
          </cell>
          <cell r="Q1558" t="str">
            <v>Q1 Passed</v>
          </cell>
          <cell r="R1558" t="str">
            <v>Q1.5 Passed</v>
          </cell>
          <cell r="S1558" t="str">
            <v>Qualified</v>
          </cell>
          <cell r="T1558" t="str">
            <v>NA</v>
          </cell>
          <cell r="V1558" t="str">
            <v>NA</v>
          </cell>
          <cell r="W1558" t="str">
            <v>Private Hospital</v>
          </cell>
          <cell r="X1558" t="str">
            <v>Vydehi Hospital, Bangalore</v>
          </cell>
          <cell r="Y1558" t="str">
            <v>Vydehi Hospital, Bangalore</v>
          </cell>
          <cell r="Z1558" t="str">
            <v>Dr Amritha Prabha, Bangalore</v>
          </cell>
          <cell r="AA1558" t="str">
            <v>HNSCC</v>
          </cell>
          <cell r="AB1558" t="str">
            <v>NA</v>
          </cell>
          <cell r="AC1558" t="str">
            <v>Buccal Mucosa</v>
          </cell>
          <cell r="AD1558" t="str">
            <v>Left Buccal Mucosa</v>
          </cell>
          <cell r="AE1558" t="str">
            <v>Female</v>
          </cell>
          <cell r="AF1558">
            <v>55</v>
          </cell>
          <cell r="AG1558" t="str">
            <v>N</v>
          </cell>
          <cell r="AH1558">
            <v>5.3</v>
          </cell>
          <cell r="AI1558" t="str">
            <v>Shashi</v>
          </cell>
          <cell r="AJ1558" t="str">
            <v>Surgery</v>
          </cell>
          <cell r="AK1558" t="str">
            <v>Primary</v>
          </cell>
          <cell r="AL1558" t="str">
            <v>NA</v>
          </cell>
          <cell r="AV1558">
            <v>45965</v>
          </cell>
          <cell r="AW1558">
            <v>0.58680555555555558</v>
          </cell>
          <cell r="AX1558">
            <v>0.67361111111111116</v>
          </cell>
          <cell r="AY1558">
            <v>8.6805555555555552E-2</v>
          </cell>
          <cell r="AZ1558">
            <v>0.58125000000000004</v>
          </cell>
          <cell r="BA1558">
            <v>0.22083333333333333</v>
          </cell>
          <cell r="BB1558" t="str">
            <v>0.4-0.6*1.0-1.2*1.5</v>
          </cell>
          <cell r="BC1558" t="str">
            <v>NA</v>
          </cell>
          <cell r="BD1558" t="str">
            <v>Vibratome</v>
          </cell>
          <cell r="BE1558">
            <v>15</v>
          </cell>
          <cell r="BF1558" t="str">
            <v>Vasanth</v>
          </cell>
          <cell r="BG1558" t="str">
            <v>Y</v>
          </cell>
        </row>
        <row r="1559">
          <cell r="A1559" t="str">
            <v>FBR1Y250291</v>
          </cell>
          <cell r="B1559">
            <v>250291</v>
          </cell>
          <cell r="C1559" t="str">
            <v>R&amp;D</v>
          </cell>
          <cell r="D1559">
            <v>45965</v>
          </cell>
          <cell r="E1559">
            <v>0.45277777777777778</v>
          </cell>
          <cell r="F1559">
            <v>45962</v>
          </cell>
          <cell r="G1559">
            <v>45965</v>
          </cell>
          <cell r="H1559">
            <v>0.54513888888888884</v>
          </cell>
          <cell r="I1559">
            <v>9.2361111111111116E-2</v>
          </cell>
          <cell r="J1559">
            <v>3</v>
          </cell>
          <cell r="K1559" t="str">
            <v>FCB-PROTOCOL-01</v>
          </cell>
          <cell r="L1559" t="str">
            <v>VYD/442</v>
          </cell>
          <cell r="M1559" t="str">
            <v>Y</v>
          </cell>
          <cell r="N1559" t="str">
            <v>CCS Study (1Y)</v>
          </cell>
          <cell r="O1559" t="str">
            <v>Internal R&amp;D</v>
          </cell>
          <cell r="P1559" t="str">
            <v>Q1 Passed</v>
          </cell>
          <cell r="Q1559" t="str">
            <v>Q1 Passed</v>
          </cell>
          <cell r="R1559" t="str">
            <v>Q1.5 Passed</v>
          </cell>
          <cell r="S1559" t="str">
            <v>Qualified</v>
          </cell>
          <cell r="T1559" t="str">
            <v>NA</v>
          </cell>
          <cell r="V1559" t="str">
            <v>Tumor content 45-85%</v>
          </cell>
          <cell r="W1559" t="str">
            <v>Private Hospital</v>
          </cell>
          <cell r="X1559" t="str">
            <v>Vydehi Hospital, Bangalore</v>
          </cell>
          <cell r="Y1559" t="str">
            <v>Vydehi Hospital, Bangalore</v>
          </cell>
          <cell r="Z1559" t="str">
            <v>Dr Amritha Prabha, Bangalore</v>
          </cell>
          <cell r="AA1559" t="str">
            <v>HNSCC</v>
          </cell>
          <cell r="AB1559" t="str">
            <v>NA</v>
          </cell>
          <cell r="AC1559" t="str">
            <v>Buccal Mucosa</v>
          </cell>
          <cell r="AD1559" t="str">
            <v>Left Buccal Mucosa</v>
          </cell>
          <cell r="AE1559" t="str">
            <v>Female</v>
          </cell>
          <cell r="AF1559">
            <v>55</v>
          </cell>
          <cell r="AG1559" t="str">
            <v>N</v>
          </cell>
          <cell r="AH1559">
            <v>5.3</v>
          </cell>
          <cell r="AI1559" t="str">
            <v>Shashi</v>
          </cell>
          <cell r="AJ1559" t="str">
            <v>Surgery</v>
          </cell>
          <cell r="AK1559" t="str">
            <v>Primary</v>
          </cell>
          <cell r="AL1559" t="str">
            <v>NA</v>
          </cell>
          <cell r="AV1559">
            <v>45965</v>
          </cell>
          <cell r="AW1559">
            <v>0.58680555555555558</v>
          </cell>
          <cell r="AX1559">
            <v>0.67361111111111116</v>
          </cell>
          <cell r="AY1559">
            <v>8.6805555555555552E-2</v>
          </cell>
          <cell r="AZ1559">
            <v>0.58125000000000004</v>
          </cell>
          <cell r="BA1559">
            <v>0.22083333333333333</v>
          </cell>
          <cell r="BB1559" t="str">
            <v>0.4-0.6*1.0-1.2*1.5</v>
          </cell>
          <cell r="BC1559" t="str">
            <v>NA</v>
          </cell>
          <cell r="BD1559" t="str">
            <v>Vibratome</v>
          </cell>
          <cell r="BE1559">
            <v>15</v>
          </cell>
          <cell r="BF1559" t="str">
            <v>Vasanth</v>
          </cell>
          <cell r="BG1559" t="str">
            <v>Y</v>
          </cell>
        </row>
        <row r="1560">
          <cell r="A1560" t="str">
            <v>FBR1K250292</v>
          </cell>
          <cell r="B1560">
            <v>250292</v>
          </cell>
          <cell r="C1560" t="str">
            <v>R&amp;D</v>
          </cell>
          <cell r="D1560">
            <v>45965</v>
          </cell>
          <cell r="E1560">
            <v>0.52083333333333337</v>
          </cell>
          <cell r="F1560">
            <v>45962</v>
          </cell>
          <cell r="G1560">
            <v>45965</v>
          </cell>
          <cell r="H1560">
            <v>0.89097222222222228</v>
          </cell>
          <cell r="I1560">
            <v>0.37013888888888891</v>
          </cell>
          <cell r="J1560">
            <v>10</v>
          </cell>
          <cell r="K1560" t="str">
            <v>FCB-PROTOCOL-01</v>
          </cell>
          <cell r="L1560" t="str">
            <v>CLN/DBR/257</v>
          </cell>
          <cell r="M1560" t="str">
            <v>Y</v>
          </cell>
          <cell r="N1560" t="str">
            <v>DMS_v4(1K)</v>
          </cell>
          <cell r="O1560" t="str">
            <v>Internal R&amp;D</v>
          </cell>
          <cell r="P1560" t="str">
            <v>Q1 Passed</v>
          </cell>
          <cell r="Q1560" t="str">
            <v>Q1 Passed</v>
          </cell>
          <cell r="R1560" t="str">
            <v>Q1.5 Passed</v>
          </cell>
          <cell r="S1560" t="str">
            <v>Qualified</v>
          </cell>
          <cell r="T1560" t="str">
            <v>NA</v>
          </cell>
          <cell r="V1560" t="str">
            <v>Tumor content 2-80%</v>
          </cell>
          <cell r="W1560" t="str">
            <v>Private Hospital</v>
          </cell>
          <cell r="X1560" t="str">
            <v>Clinic'les- DBR &amp; SK Hospital, Tirupati</v>
          </cell>
          <cell r="Y1560" t="str">
            <v>DBR &amp; SK Hospital, Tirupati</v>
          </cell>
          <cell r="Z1560" t="str">
            <v>Dr C Jayaprakash, Tirupati</v>
          </cell>
          <cell r="AA1560" t="str">
            <v>HNSCC</v>
          </cell>
          <cell r="AB1560" t="str">
            <v>NA</v>
          </cell>
          <cell r="AC1560" t="str">
            <v>Buccal Mucosa</v>
          </cell>
          <cell r="AD1560" t="str">
            <v>Left Buccal Mucosa</v>
          </cell>
          <cell r="AE1560" t="str">
            <v>Female</v>
          </cell>
          <cell r="AF1560">
            <v>42</v>
          </cell>
          <cell r="AG1560" t="str">
            <v>N</v>
          </cell>
          <cell r="AH1560">
            <v>5.5</v>
          </cell>
          <cell r="AI1560" t="str">
            <v>Kalappa</v>
          </cell>
          <cell r="AJ1560" t="str">
            <v>Surgery</v>
          </cell>
          <cell r="AK1560" t="str">
            <v>Primary</v>
          </cell>
          <cell r="AL1560" t="str">
            <v>NA</v>
          </cell>
          <cell r="AV1560">
            <v>45966</v>
          </cell>
          <cell r="AW1560">
            <v>0.29236111111111113</v>
          </cell>
          <cell r="AX1560">
            <v>0.35</v>
          </cell>
          <cell r="AY1560">
            <v>5.7638888888888892E-2</v>
          </cell>
          <cell r="AZ156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560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560" t="str">
            <v>0.4*1.2*1.8</v>
          </cell>
          <cell r="BC1560" t="str">
            <v>NA</v>
          </cell>
          <cell r="BD1560" t="str">
            <v>Vibratome</v>
          </cell>
          <cell r="BE1560">
            <v>15</v>
          </cell>
          <cell r="BF1560" t="str">
            <v>Dharani</v>
          </cell>
          <cell r="BG1560" t="str">
            <v>Y</v>
          </cell>
        </row>
        <row r="1561">
          <cell r="A1561" t="str">
            <v>FBR1Q250293</v>
          </cell>
          <cell r="B1561">
            <v>250293</v>
          </cell>
          <cell r="C1561" t="str">
            <v>R&amp;D</v>
          </cell>
          <cell r="D1561">
            <v>45966</v>
          </cell>
          <cell r="E1561">
            <v>0.54513888888888884</v>
          </cell>
          <cell r="F1561">
            <v>45962</v>
          </cell>
          <cell r="G1561">
            <v>45966</v>
          </cell>
          <cell r="H1561">
            <v>0.76249999999999996</v>
          </cell>
          <cell r="I1561">
            <v>0.21736111111111112</v>
          </cell>
          <cell r="J1561">
            <v>5</v>
          </cell>
          <cell r="K1561" t="str">
            <v>FCB-PROTOCOL-01</v>
          </cell>
          <cell r="L1561" t="str">
            <v>VYD/443</v>
          </cell>
          <cell r="M1561" t="str">
            <v>Y</v>
          </cell>
          <cell r="N1561" t="str">
            <v>COSv4.1_CaBR(1Q-Known)</v>
          </cell>
          <cell r="O1561" t="str">
            <v>Internal R&amp;D</v>
          </cell>
          <cell r="P1561" t="str">
            <v>Q1 Passed</v>
          </cell>
          <cell r="Q1561" t="str">
            <v>Q1 Passed</v>
          </cell>
          <cell r="R1561" t="str">
            <v>Q1.5 Passed</v>
          </cell>
          <cell r="S1561" t="str">
            <v>Qualified</v>
          </cell>
          <cell r="T1561" t="str">
            <v>NA</v>
          </cell>
          <cell r="V1561" t="str">
            <v>Tumor content 2-60%</v>
          </cell>
          <cell r="W1561" t="str">
            <v>Private Hospital</v>
          </cell>
          <cell r="X1561" t="str">
            <v>Vydehi Hospital, Bangalore</v>
          </cell>
          <cell r="Y1561" t="str">
            <v>Vydehi Hospital, Bangalore</v>
          </cell>
          <cell r="Z1561" t="str">
            <v>Dr Amritha Prabha, Bangalore</v>
          </cell>
          <cell r="AA1561" t="str">
            <v>Ca Breast</v>
          </cell>
          <cell r="AB1561" t="str">
            <v>TNBC</v>
          </cell>
          <cell r="AC1561" t="str">
            <v>Breast</v>
          </cell>
          <cell r="AD1561" t="str">
            <v>Left Breast</v>
          </cell>
          <cell r="AE1561" t="str">
            <v>Female</v>
          </cell>
          <cell r="AF1561">
            <v>26</v>
          </cell>
          <cell r="AG1561" t="str">
            <v>N</v>
          </cell>
          <cell r="AH1561">
            <v>6.2</v>
          </cell>
          <cell r="AI1561" t="str">
            <v>Maruthi</v>
          </cell>
          <cell r="AJ1561" t="str">
            <v>Surgery</v>
          </cell>
          <cell r="AK1561" t="str">
            <v>Primary</v>
          </cell>
          <cell r="AL1561" t="str">
            <v>Chemotherapy</v>
          </cell>
          <cell r="AQ1561">
            <v>8</v>
          </cell>
          <cell r="AR1561" t="str">
            <v>4EC+4Pacli&amp;Carbo</v>
          </cell>
          <cell r="AS1561" t="str">
            <v>IDC</v>
          </cell>
          <cell r="AV1561">
            <v>45966</v>
          </cell>
          <cell r="AW1561">
            <v>0.77500000000000002</v>
          </cell>
          <cell r="AX1561">
            <v>0.81944444444444442</v>
          </cell>
          <cell r="AY1561">
            <v>4.4444444444444446E-2</v>
          </cell>
          <cell r="AZ1561">
            <v>0.6020833333333333</v>
          </cell>
          <cell r="BA1561">
            <v>0.27430555555555558</v>
          </cell>
          <cell r="BB1561" t="str">
            <v>0.4-0.6*1.2*1.3</v>
          </cell>
          <cell r="BC1561" t="str">
            <v>NA</v>
          </cell>
          <cell r="BD1561" t="str">
            <v>Manual</v>
          </cell>
          <cell r="BE1561">
            <v>15</v>
          </cell>
          <cell r="BF1561" t="str">
            <v xml:space="preserve">sai </v>
          </cell>
          <cell r="BG1561" t="str">
            <v>Y</v>
          </cell>
        </row>
        <row r="1562">
          <cell r="A1562" t="str">
            <v>FBR1K250294</v>
          </cell>
          <cell r="B1562">
            <v>250294</v>
          </cell>
          <cell r="C1562" t="str">
            <v>R&amp;D</v>
          </cell>
          <cell r="D1562">
            <v>45967</v>
          </cell>
          <cell r="E1562">
            <v>0.52083333333333337</v>
          </cell>
          <cell r="F1562">
            <v>45962</v>
          </cell>
          <cell r="G1562">
            <v>45967</v>
          </cell>
          <cell r="H1562">
            <v>0.84583333333333333</v>
          </cell>
          <cell r="I1562">
            <v>0.32500000000000001</v>
          </cell>
          <cell r="J1562">
            <v>10</v>
          </cell>
          <cell r="K1562" t="str">
            <v>FCB-PROTOCOL-01</v>
          </cell>
          <cell r="L1562" t="str">
            <v>CLN/DBR/258</v>
          </cell>
          <cell r="M1562" t="str">
            <v>Y</v>
          </cell>
          <cell r="N1562" t="str">
            <v>DMS_v4(1K)</v>
          </cell>
          <cell r="O1562" t="str">
            <v>Internal R&amp;D</v>
          </cell>
          <cell r="P1562" t="str">
            <v>Q1 Passed</v>
          </cell>
          <cell r="Q1562" t="str">
            <v>Q1 Passed</v>
          </cell>
          <cell r="R1562" t="str">
            <v>Q1.5 Passed</v>
          </cell>
          <cell r="S1562" t="str">
            <v>Qualified</v>
          </cell>
          <cell r="T1562" t="str">
            <v>NA</v>
          </cell>
          <cell r="V1562" t="str">
            <v>Tumor content 0-70%. Average tumor content 40% with good immune presence</v>
          </cell>
          <cell r="W1562" t="str">
            <v>Private Hospital</v>
          </cell>
          <cell r="X1562" t="str">
            <v>Clinic'les- DBR &amp; SK Hospital, Tirupati</v>
          </cell>
          <cell r="Y1562" t="str">
            <v>DBR &amp; SK Hospital, Tirupati</v>
          </cell>
          <cell r="Z1562" t="str">
            <v>Dr C Jayaprakash, Tirupati</v>
          </cell>
          <cell r="AA1562" t="str">
            <v>HNSCC</v>
          </cell>
          <cell r="AB1562" t="str">
            <v>NA</v>
          </cell>
          <cell r="AC1562" t="str">
            <v>Buccal Mucosa</v>
          </cell>
          <cell r="AD1562" t="str">
            <v>Left Buccal Mucosa</v>
          </cell>
          <cell r="AE1562" t="str">
            <v>Female</v>
          </cell>
          <cell r="AF1562">
            <v>64</v>
          </cell>
          <cell r="AG1562" t="str">
            <v>N</v>
          </cell>
          <cell r="AH1562">
            <v>5.7</v>
          </cell>
          <cell r="AI1562" t="str">
            <v>Kalappa</v>
          </cell>
          <cell r="AJ1562" t="str">
            <v>Surgery</v>
          </cell>
          <cell r="AK1562" t="str">
            <v>Primary</v>
          </cell>
          <cell r="AL1562" t="str">
            <v>NA</v>
          </cell>
          <cell r="AV1562">
            <v>45967</v>
          </cell>
          <cell r="AW1562">
            <v>0.86250000000000004</v>
          </cell>
          <cell r="AX1562">
            <v>0.92708333333333337</v>
          </cell>
          <cell r="AY1562">
            <v>6.458333333333334E-2</v>
          </cell>
          <cell r="AZ1562">
            <v>0.6020833333333333</v>
          </cell>
          <cell r="BA1562">
            <v>0.40625</v>
          </cell>
          <cell r="BB1562" t="str">
            <v>0.2-0.8*2.0*1.0-1.7</v>
          </cell>
          <cell r="BC1562" t="str">
            <v>0.2-0.8*0.9-1.2*1.5</v>
          </cell>
          <cell r="BD1562" t="str">
            <v>Vibratome</v>
          </cell>
          <cell r="BE1562">
            <v>15</v>
          </cell>
          <cell r="BF1562" t="str">
            <v>Vasanth</v>
          </cell>
          <cell r="BG1562" t="str">
            <v>Y</v>
          </cell>
        </row>
        <row r="1563">
          <cell r="A1563" t="str">
            <v>FBR1J250295</v>
          </cell>
          <cell r="B1563">
            <v>250295</v>
          </cell>
          <cell r="C1563" t="str">
            <v>R&amp;D</v>
          </cell>
          <cell r="D1563">
            <v>45968</v>
          </cell>
          <cell r="E1563">
            <v>0.59375</v>
          </cell>
          <cell r="F1563">
            <v>45962</v>
          </cell>
          <cell r="G1563">
            <v>45968</v>
          </cell>
          <cell r="H1563">
            <v>0.68125000000000002</v>
          </cell>
          <cell r="I1563">
            <v>8.7499999999999994E-2</v>
          </cell>
          <cell r="J1563">
            <v>15</v>
          </cell>
          <cell r="K1563" t="str">
            <v>FCB-PROTOCOL-01</v>
          </cell>
          <cell r="L1563" t="str">
            <v>SIMS-016</v>
          </cell>
          <cell r="M1563" t="str">
            <v>Y</v>
          </cell>
          <cell r="N1563" t="str">
            <v>COS_v3.0-Gastric (1J)</v>
          </cell>
          <cell r="O1563" t="str">
            <v>Internal R&amp;D</v>
          </cell>
          <cell r="P1563" t="str">
            <v>Q1 Passed</v>
          </cell>
          <cell r="Q1563" t="str">
            <v>Q1 Rejected</v>
          </cell>
          <cell r="R1563" t="str">
            <v>Compromised</v>
          </cell>
          <cell r="S1563" t="str">
            <v>Rejected</v>
          </cell>
          <cell r="T1563" t="str">
            <v>Only 3ml blood</v>
          </cell>
          <cell r="V1563" t="str">
            <v>Only 1 fragment shows area suggestive of a GIST( Gastro Intestinal Stromal Tumor) No adenocarcinoma</v>
          </cell>
          <cell r="W1563" t="str">
            <v>Private Hospital</v>
          </cell>
          <cell r="X1563" t="str">
            <v>Sapthagiri ClinTrac Pvt Ltd</v>
          </cell>
          <cell r="Y1563" t="str">
            <v>Sapthagiri Institute of Medical Sciences</v>
          </cell>
          <cell r="Z1563" t="str">
            <v>Dr Nataraj</v>
          </cell>
          <cell r="AA1563" t="str">
            <v>GI</v>
          </cell>
          <cell r="AB1563" t="str">
            <v>NA</v>
          </cell>
          <cell r="AC1563" t="str">
            <v>GIST, 
Posted for exploratory Laportomy</v>
          </cell>
          <cell r="AD1563" t="str">
            <v>GIST, 
Posted for exploratory Laportomy</v>
          </cell>
          <cell r="AE1563" t="str">
            <v>Female</v>
          </cell>
          <cell r="AF1563">
            <v>62</v>
          </cell>
          <cell r="AG1563" t="str">
            <v>N</v>
          </cell>
          <cell r="AH1563">
            <v>6.5</v>
          </cell>
          <cell r="AI1563" t="str">
            <v>Maruthi</v>
          </cell>
          <cell r="AJ1563" t="str">
            <v>Surgery</v>
          </cell>
          <cell r="AK1563" t="str">
            <v>Primary</v>
          </cell>
          <cell r="AL1563" t="str">
            <v>NA</v>
          </cell>
          <cell r="AV1563">
            <v>45968</v>
          </cell>
          <cell r="AW1563">
            <v>0.71111111111111114</v>
          </cell>
          <cell r="AX1563">
            <v>0.83750000000000002</v>
          </cell>
          <cell r="AY1563">
            <v>0.12638888888888888</v>
          </cell>
          <cell r="AZ1563">
            <v>0.75</v>
          </cell>
          <cell r="BA1563">
            <v>0.24374999999999999</v>
          </cell>
          <cell r="BB1563" t="str">
            <v>0.4-1.8*0.8-1.8*4.6</v>
          </cell>
          <cell r="BC1563" t="str">
            <v>NA</v>
          </cell>
          <cell r="BD1563" t="str">
            <v>Manual</v>
          </cell>
          <cell r="BE1563">
            <v>13</v>
          </cell>
          <cell r="BF1563" t="str">
            <v>Mouniss</v>
          </cell>
          <cell r="BG1563" t="str">
            <v>N</v>
          </cell>
        </row>
        <row r="1564">
          <cell r="A1564" t="str">
            <v>FBR2M250296</v>
          </cell>
          <cell r="B1564">
            <v>250296</v>
          </cell>
          <cell r="C1564" t="str">
            <v>R&amp;D</v>
          </cell>
          <cell r="D1564">
            <v>45969</v>
          </cell>
          <cell r="E1564">
            <v>0.47222222222222221</v>
          </cell>
          <cell r="F1564">
            <v>45962</v>
          </cell>
          <cell r="G1564">
            <v>45969</v>
          </cell>
          <cell r="H1564">
            <v>0.61944444444444446</v>
          </cell>
          <cell r="I1564">
            <v>0.14722222222222223</v>
          </cell>
          <cell r="J1564">
            <v>5</v>
          </cell>
          <cell r="K1564" t="str">
            <v>FCB-PROTOCOL-01</v>
          </cell>
          <cell r="L1564" t="str">
            <v>SIMS-017</v>
          </cell>
          <cell r="M1564" t="str">
            <v>Y</v>
          </cell>
          <cell r="N1564" t="str">
            <v>MSS (2M)</v>
          </cell>
          <cell r="O1564" t="str">
            <v>Internal R&amp;D</v>
          </cell>
          <cell r="P1564" t="str">
            <v>Q1 Passed</v>
          </cell>
          <cell r="Q1564" t="str">
            <v>Q1 Passed</v>
          </cell>
          <cell r="R1564" t="str">
            <v>Q1.5 Passed</v>
          </cell>
          <cell r="S1564" t="str">
            <v>Qualified</v>
          </cell>
          <cell r="T1564" t="str">
            <v>NA</v>
          </cell>
          <cell r="V1564" t="str">
            <v>Fragments show spindle cells with foamy macrophages only. Probably adjacent to actual tumor.</v>
          </cell>
          <cell r="W1564" t="str">
            <v>Private Hospital</v>
          </cell>
          <cell r="X1564" t="str">
            <v>Sapthagiri ClinTrac Pvt Ltd</v>
          </cell>
          <cell r="Y1564" t="str">
            <v>Sapthagiri Institute of Medical Sciences</v>
          </cell>
          <cell r="Z1564" t="str">
            <v>Dr Nataraj</v>
          </cell>
          <cell r="AA1564" t="str">
            <v>HNSCC</v>
          </cell>
          <cell r="AB1564" t="str">
            <v>NA</v>
          </cell>
          <cell r="AC1564" t="str">
            <v>Melanoma</v>
          </cell>
          <cell r="AD1564" t="str">
            <v>Mlaignant melvas Melanoma</v>
          </cell>
          <cell r="AE1564" t="str">
            <v>Male</v>
          </cell>
          <cell r="AF1564">
            <v>53</v>
          </cell>
          <cell r="AG1564" t="str">
            <v>N</v>
          </cell>
          <cell r="AH1564">
            <v>6.7</v>
          </cell>
          <cell r="AI1564" t="str">
            <v>Maruthi</v>
          </cell>
          <cell r="AJ1564" t="str">
            <v>Surgery</v>
          </cell>
          <cell r="AK1564" t="str">
            <v>Primary</v>
          </cell>
          <cell r="AL1564" t="str">
            <v>NA</v>
          </cell>
          <cell r="AV1564">
            <v>45969</v>
          </cell>
          <cell r="AW1564">
            <v>0.65138888888888891</v>
          </cell>
          <cell r="AX1564">
            <v>0.71875</v>
          </cell>
          <cell r="AY1564">
            <v>6.7361111111111108E-2</v>
          </cell>
          <cell r="AZ1564">
            <v>0.57152777777777775</v>
          </cell>
          <cell r="BA1564">
            <v>0.24652777777777779</v>
          </cell>
          <cell r="BB1564" t="str">
            <v>0.6-1.8*1.6*2.6</v>
          </cell>
          <cell r="BC1564" t="str">
            <v>0.6-0.8*1.4*2.0
0.2-0.4*1.0*1.6</v>
          </cell>
          <cell r="BD1564" t="str">
            <v>Manual</v>
          </cell>
          <cell r="BE1564">
            <v>15</v>
          </cell>
          <cell r="BF1564" t="str">
            <v xml:space="preserve">sai </v>
          </cell>
          <cell r="BG1564" t="str">
            <v>Y</v>
          </cell>
        </row>
        <row r="1565">
          <cell r="A1565" t="str">
            <v xml:space="preserve">FBR1K250297 </v>
          </cell>
          <cell r="B1565">
            <v>250297</v>
          </cell>
          <cell r="C1565" t="str">
            <v>R&amp;D</v>
          </cell>
          <cell r="D1565">
            <v>45971</v>
          </cell>
          <cell r="E1565">
            <v>0.50416666666666665</v>
          </cell>
          <cell r="F1565">
            <v>45962</v>
          </cell>
          <cell r="G1565">
            <v>45971</v>
          </cell>
          <cell r="H1565">
            <v>0.56527777777777777</v>
          </cell>
          <cell r="I1565">
            <v>6.1111111111111109E-2</v>
          </cell>
          <cell r="J1565">
            <v>2</v>
          </cell>
          <cell r="K1565" t="str">
            <v>FCB-PROTOCOL-01</v>
          </cell>
          <cell r="L1565" t="str">
            <v>CLN/PRA/364</v>
          </cell>
          <cell r="M1565" t="str">
            <v>Y</v>
          </cell>
          <cell r="N1565" t="str">
            <v>DMS_v4(1K)</v>
          </cell>
          <cell r="O1565" t="str">
            <v>Internal R&amp;D</v>
          </cell>
          <cell r="P1565" t="str">
            <v>Q1 Passed</v>
          </cell>
          <cell r="Q1565" t="str">
            <v>Q1 Passed</v>
          </cell>
          <cell r="R1565" t="str">
            <v>Q1.5 Passed</v>
          </cell>
          <cell r="S1565" t="str">
            <v>Qualified</v>
          </cell>
          <cell r="T1565" t="str">
            <v>NA</v>
          </cell>
          <cell r="V1565" t="str">
            <v>Tumor content 0-35%. Average tumor content 10%</v>
          </cell>
          <cell r="W1565" t="str">
            <v>Private Hospital</v>
          </cell>
          <cell r="X1565" t="str">
            <v>Dr Prakash BV, Bangalore</v>
          </cell>
          <cell r="Y1565" t="str">
            <v>Sri Lakshmi Hospital, Bangalore</v>
          </cell>
          <cell r="Z1565" t="str">
            <v>Dr Prakash BV, Bangalore</v>
          </cell>
          <cell r="AA1565" t="str">
            <v>HNSCC</v>
          </cell>
          <cell r="AB1565" t="str">
            <v>NA</v>
          </cell>
          <cell r="AC1565" t="str">
            <v>RMT</v>
          </cell>
          <cell r="AD1565" t="str">
            <v>Left RMT</v>
          </cell>
          <cell r="AE1565" t="str">
            <v>Male</v>
          </cell>
          <cell r="AF1565">
            <v>39</v>
          </cell>
          <cell r="AG1565" t="str">
            <v>N</v>
          </cell>
          <cell r="AH1565">
            <v>5.5</v>
          </cell>
          <cell r="AI1565" t="str">
            <v>Kalappa</v>
          </cell>
          <cell r="AJ1565" t="str">
            <v>Surgery</v>
          </cell>
          <cell r="AK1565" t="str">
            <v>Primary</v>
          </cell>
          <cell r="AL1565" t="str">
            <v>NA</v>
          </cell>
          <cell r="AN1565" t="str">
            <v>I</v>
          </cell>
          <cell r="AP1565" t="str">
            <v>pT1N0M0</v>
          </cell>
          <cell r="AS1565" t="str">
            <v>SCC</v>
          </cell>
          <cell r="AV1565">
            <v>45971</v>
          </cell>
          <cell r="AW1565">
            <v>0.5805555555555556</v>
          </cell>
          <cell r="AX1565">
            <v>0.64027777777777772</v>
          </cell>
          <cell r="AY1565">
            <v>5.9722222222222225E-2</v>
          </cell>
          <cell r="AZ1565">
            <v>0.57916666666666672</v>
          </cell>
          <cell r="BA1565">
            <v>0.1361111111111111</v>
          </cell>
          <cell r="BB1565" t="str">
            <v>0.4-0.6*1.2*2.0</v>
          </cell>
          <cell r="BC1565" t="str">
            <v>NA</v>
          </cell>
          <cell r="BD1565" t="str">
            <v>Vibratome</v>
          </cell>
          <cell r="BE1565">
            <v>15</v>
          </cell>
          <cell r="BF1565" t="str">
            <v>Dharani</v>
          </cell>
          <cell r="BG1565" t="str">
            <v>Y</v>
          </cell>
        </row>
        <row r="1566">
          <cell r="A1566" t="str">
            <v>FBR1Q250298</v>
          </cell>
          <cell r="B1566">
            <v>250298</v>
          </cell>
          <cell r="C1566" t="str">
            <v>R&amp;D</v>
          </cell>
          <cell r="D1566">
            <v>45971</v>
          </cell>
          <cell r="E1566">
            <v>0.43055555555555558</v>
          </cell>
          <cell r="F1566">
            <v>45962</v>
          </cell>
          <cell r="G1566">
            <v>45971</v>
          </cell>
          <cell r="H1566">
            <v>0.65694444444444444</v>
          </cell>
          <cell r="I1566">
            <v>0.22638888888888889</v>
          </cell>
          <cell r="J1566">
            <v>10</v>
          </cell>
          <cell r="K1566" t="str">
            <v>FCB-PROTOCOL-01</v>
          </cell>
          <cell r="L1566" t="str">
            <v>JSS-066</v>
          </cell>
          <cell r="M1566" t="str">
            <v>Y</v>
          </cell>
          <cell r="N1566" t="str">
            <v>COSv4.2_CaBR(1Q-Unknown)</v>
          </cell>
          <cell r="O1566" t="str">
            <v>Internal R&amp;D</v>
          </cell>
          <cell r="P1566" t="str">
            <v>Q1 Passed</v>
          </cell>
          <cell r="Q1566" t="str">
            <v>Q1 Rejected</v>
          </cell>
          <cell r="R1566" t="str">
            <v>Q1.5 Rejected</v>
          </cell>
          <cell r="S1566" t="str">
            <v>Rejected</v>
          </cell>
          <cell r="T1566" t="str">
            <v>Blood Hemolysed</v>
          </cell>
          <cell r="V1566" t="str">
            <v>Tumor content 0-55%.Average tumor content 20%</v>
          </cell>
          <cell r="W1566" t="str">
            <v>Private Hospital</v>
          </cell>
          <cell r="X1566" t="str">
            <v>Dr Ravi Krishnappa, Mysore</v>
          </cell>
          <cell r="Y1566" t="str">
            <v>JSS Hospital, Mysore</v>
          </cell>
          <cell r="Z1566" t="str">
            <v>Dr Ravi Krishnappa, Mysore</v>
          </cell>
          <cell r="AA1566" t="str">
            <v>Ca Breast</v>
          </cell>
          <cell r="AB1566" t="str">
            <v>NA</v>
          </cell>
          <cell r="AC1566" t="str">
            <v>Breast</v>
          </cell>
          <cell r="AD1566" t="str">
            <v>Right Breast</v>
          </cell>
          <cell r="AE1566" t="str">
            <v>Female</v>
          </cell>
          <cell r="AF1566">
            <v>55</v>
          </cell>
          <cell r="AG1566" t="str">
            <v>N</v>
          </cell>
          <cell r="AH1566">
            <v>6.8</v>
          </cell>
          <cell r="AI1566" t="str">
            <v>Maruthi</v>
          </cell>
          <cell r="AJ1566" t="str">
            <v>Surgery</v>
          </cell>
          <cell r="AK1566" t="str">
            <v>Primary</v>
          </cell>
          <cell r="AL1566" t="str">
            <v>NA</v>
          </cell>
          <cell r="AV1566">
            <v>45971</v>
          </cell>
          <cell r="AW1566">
            <v>0.67152777777777772</v>
          </cell>
          <cell r="AX1566" t="str">
            <v>NA</v>
          </cell>
          <cell r="AY1566" t="str">
            <v>NA</v>
          </cell>
          <cell r="AZ1566" t="str">
            <v>NA</v>
          </cell>
          <cell r="BA1566" t="str">
            <v>NA</v>
          </cell>
          <cell r="BB1566" t="str">
            <v>0.2*0.4-0.6*0.8-0.9
0.2-0.3*0.4*0.8</v>
          </cell>
          <cell r="BC1566" t="str">
            <v>NA</v>
          </cell>
          <cell r="BD1566" t="str">
            <v>Manual</v>
          </cell>
          <cell r="BE1566">
            <v>15</v>
          </cell>
          <cell r="BF1566" t="str">
            <v>Jobin</v>
          </cell>
          <cell r="BG1566" t="str">
            <v>Y</v>
          </cell>
        </row>
        <row r="1567">
          <cell r="A1567" t="str">
            <v>FBR1Q250299</v>
          </cell>
          <cell r="B1567">
            <v>250299</v>
          </cell>
          <cell r="C1567" t="str">
            <v>R&amp;D</v>
          </cell>
          <cell r="D1567">
            <v>45972</v>
          </cell>
          <cell r="E1567">
            <v>0.5625</v>
          </cell>
          <cell r="F1567">
            <v>45962</v>
          </cell>
          <cell r="G1567">
            <v>45972</v>
          </cell>
          <cell r="H1567">
            <v>0.68402777777777779</v>
          </cell>
          <cell r="I1567">
            <v>0.12152777777777778</v>
          </cell>
          <cell r="J1567">
            <v>3</v>
          </cell>
          <cell r="K1567" t="str">
            <v>FCB-PROTOCOL-01</v>
          </cell>
          <cell r="L1567" t="str">
            <v>VYD/444</v>
          </cell>
          <cell r="M1567" t="str">
            <v>Y</v>
          </cell>
          <cell r="N1567" t="str">
            <v>COSv4.1_CaBR(1Q-Known)</v>
          </cell>
          <cell r="O1567" t="str">
            <v>Internal R&amp;D</v>
          </cell>
          <cell r="P1567" t="str">
            <v>Q1 Passed</v>
          </cell>
          <cell r="Q1567" t="str">
            <v>Q1 Passed</v>
          </cell>
          <cell r="R1567" t="str">
            <v>Q1.5 Passed</v>
          </cell>
          <cell r="S1567" t="str">
            <v>Qualified</v>
          </cell>
          <cell r="T1567" t="str">
            <v>NA</v>
          </cell>
          <cell r="V1567" t="str">
            <v>NA</v>
          </cell>
          <cell r="W1567" t="str">
            <v>Private Hospital</v>
          </cell>
          <cell r="X1567" t="str">
            <v>Vydehi Hospital, Bangalore</v>
          </cell>
          <cell r="Y1567" t="str">
            <v>Vydehi Hospital, Bangalore</v>
          </cell>
          <cell r="Z1567" t="str">
            <v>Dr Amritha Prabha, Bangalore</v>
          </cell>
          <cell r="AA1567" t="str">
            <v>Ca Breast</v>
          </cell>
          <cell r="AB1567" t="str">
            <v>TNBC</v>
          </cell>
          <cell r="AC1567" t="str">
            <v>Breast</v>
          </cell>
          <cell r="AD1567" t="str">
            <v>Left Breast</v>
          </cell>
          <cell r="AE1567" t="str">
            <v>Female</v>
          </cell>
          <cell r="AF1567">
            <v>63</v>
          </cell>
          <cell r="AG1567" t="str">
            <v>N</v>
          </cell>
          <cell r="AH1567">
            <v>6.3</v>
          </cell>
          <cell r="AI1567" t="str">
            <v>Maruthi</v>
          </cell>
          <cell r="AJ1567" t="str">
            <v>Surgery</v>
          </cell>
          <cell r="AK1567" t="str">
            <v>Primary</v>
          </cell>
          <cell r="AL1567" t="str">
            <v>Chemotherapy</v>
          </cell>
          <cell r="AQ1567">
            <v>8</v>
          </cell>
          <cell r="AR1567" t="str">
            <v>4 AC+ 4 Pacli</v>
          </cell>
          <cell r="AS1567" t="str">
            <v>IDC</v>
          </cell>
          <cell r="AV1567">
            <v>45972</v>
          </cell>
          <cell r="AW1567">
            <v>0.7</v>
          </cell>
          <cell r="AX1567">
            <v>0.75902777777777775</v>
          </cell>
          <cell r="AY1567">
            <v>5.9027777777777776E-2</v>
          </cell>
          <cell r="AZ1567">
            <v>0.63749999999999996</v>
          </cell>
          <cell r="BA1567">
            <v>0.19652777777777777</v>
          </cell>
          <cell r="BB1567" t="str">
            <v>0.8-1.0*0.8-1.4*0.8-1.5</v>
          </cell>
          <cell r="BC1567" t="str">
            <v>NA</v>
          </cell>
          <cell r="BD1567" t="str">
            <v>Manual</v>
          </cell>
          <cell r="BE1567">
            <v>15</v>
          </cell>
          <cell r="BF1567" t="str">
            <v>Jobin</v>
          </cell>
          <cell r="BG1567" t="str">
            <v>Y</v>
          </cell>
        </row>
        <row r="1568">
          <cell r="A1568" t="str">
            <v>FBR1J250300</v>
          </cell>
          <cell r="B1568">
            <v>250300</v>
          </cell>
          <cell r="C1568" t="str">
            <v>R&amp;D</v>
          </cell>
          <cell r="D1568">
            <v>45973</v>
          </cell>
          <cell r="E1568">
            <v>0.4826388888888889</v>
          </cell>
          <cell r="F1568">
            <v>45962</v>
          </cell>
          <cell r="G1568">
            <v>45973</v>
          </cell>
          <cell r="H1568">
            <v>0.65763888888888888</v>
          </cell>
          <cell r="I1568">
            <v>0.17499999999999999</v>
          </cell>
          <cell r="J1568">
            <v>5</v>
          </cell>
          <cell r="K1568" t="str">
            <v>FCB-PROTOCOL-01</v>
          </cell>
          <cell r="L1568" t="str">
            <v>JSS-067</v>
          </cell>
          <cell r="M1568" t="str">
            <v>Y</v>
          </cell>
          <cell r="N1568" t="str">
            <v>COS_v3.0-Gastric (1J)</v>
          </cell>
          <cell r="O1568" t="str">
            <v>Internal R&amp;D</v>
          </cell>
          <cell r="P1568" t="str">
            <v>Q1 Rejected</v>
          </cell>
          <cell r="Q1568" t="str">
            <v>Q1 Passed</v>
          </cell>
          <cell r="R1568" t="str">
            <v>Q1.5 Passed</v>
          </cell>
          <cell r="S1568" t="str">
            <v>Rejected</v>
          </cell>
          <cell r="T1568" t="str">
            <v>small size tissue used for organoid study</v>
          </cell>
          <cell r="V1568" t="str">
            <v>Tumor content 25-70%</v>
          </cell>
          <cell r="W1568" t="str">
            <v>Private Hospital</v>
          </cell>
          <cell r="X1568" t="str">
            <v>Dr Ravi Krishnappa, Mysore</v>
          </cell>
          <cell r="Y1568" t="str">
            <v>JSS Hospital, Mysore</v>
          </cell>
          <cell r="Z1568" t="str">
            <v>Dr Ravi Krishnappa, Mysore</v>
          </cell>
          <cell r="AA1568" t="str">
            <v>GI</v>
          </cell>
          <cell r="AB1568" t="str">
            <v>NA</v>
          </cell>
          <cell r="AC1568" t="str">
            <v>Stomach</v>
          </cell>
          <cell r="AD1568" t="str">
            <v>Stomach</v>
          </cell>
          <cell r="AE1568" t="str">
            <v>Female</v>
          </cell>
          <cell r="AF1568">
            <v>75</v>
          </cell>
          <cell r="AG1568" t="str">
            <v>N</v>
          </cell>
          <cell r="AH1568">
            <v>5.4</v>
          </cell>
          <cell r="AI1568" t="str">
            <v>Kalappa</v>
          </cell>
          <cell r="AJ1568" t="str">
            <v>Surgery</v>
          </cell>
          <cell r="AK1568" t="str">
            <v>Primary</v>
          </cell>
          <cell r="AL1568" t="str">
            <v>NA</v>
          </cell>
          <cell r="AV1568">
            <v>45973</v>
          </cell>
          <cell r="AW1568">
            <v>0.67708333333333337</v>
          </cell>
          <cell r="AX1568" t="str">
            <v>NA</v>
          </cell>
          <cell r="AY1568" t="str">
            <v>NA</v>
          </cell>
          <cell r="AZ1568" t="str">
            <v>NA</v>
          </cell>
          <cell r="BA1568" t="str">
            <v>NA</v>
          </cell>
          <cell r="BB1568" t="str">
            <v>0.1-0.2*0.4-0.6*0.8-0.9
0.1-0.2*0.4-0.6*1.8</v>
          </cell>
          <cell r="BC1568" t="str">
            <v>NA</v>
          </cell>
          <cell r="BD1568" t="str">
            <v>Manual</v>
          </cell>
          <cell r="BE1568">
            <v>13</v>
          </cell>
          <cell r="BF1568" t="str">
            <v>Jobin</v>
          </cell>
          <cell r="BG1568" t="str">
            <v>Y</v>
          </cell>
        </row>
        <row r="1569">
          <cell r="A1569" t="str">
            <v>FBR2S250301</v>
          </cell>
          <cell r="B1569">
            <v>250301</v>
          </cell>
          <cell r="C1569" t="str">
            <v>R&amp;D</v>
          </cell>
          <cell r="D1569">
            <v>45973</v>
          </cell>
          <cell r="E1569">
            <v>0.47569444444444442</v>
          </cell>
          <cell r="F1569">
            <v>45962</v>
          </cell>
          <cell r="G1569">
            <v>45973</v>
          </cell>
          <cell r="H1569">
            <v>0.65763888888888888</v>
          </cell>
          <cell r="I1569">
            <v>0.18194444444444444</v>
          </cell>
          <cell r="J1569">
            <v>5</v>
          </cell>
          <cell r="K1569" t="str">
            <v>FCB-PROTOCOL-01</v>
          </cell>
          <cell r="L1569" t="str">
            <v>JSS-068</v>
          </cell>
          <cell r="M1569" t="str">
            <v>Y</v>
          </cell>
          <cell r="N1569" t="str">
            <v>Cos V1 (2S)</v>
          </cell>
          <cell r="O1569" t="str">
            <v>Internal R&amp;D</v>
          </cell>
          <cell r="P1569" t="str">
            <v>Q1 Passed</v>
          </cell>
          <cell r="Q1569" t="str">
            <v>Q1 Passed</v>
          </cell>
          <cell r="R1569" t="str">
            <v>Q1.5 Passed</v>
          </cell>
          <cell r="S1569" t="str">
            <v>Rejected</v>
          </cell>
          <cell r="T1569" t="str">
            <v>Contaminated</v>
          </cell>
          <cell r="V1569" t="str">
            <v>Tumor content 12-45%</v>
          </cell>
          <cell r="W1569" t="str">
            <v>Private Hospital</v>
          </cell>
          <cell r="X1569" t="str">
            <v>Dr Ravi Krishnappa, Mysore</v>
          </cell>
          <cell r="Y1569" t="str">
            <v>JSS Hospital, Mysore</v>
          </cell>
          <cell r="Z1569" t="str">
            <v>Dr Ravi Krishnappa, Mysore</v>
          </cell>
          <cell r="AA1569" t="str">
            <v>CRC</v>
          </cell>
          <cell r="AB1569" t="str">
            <v>NA</v>
          </cell>
          <cell r="AC1569" t="str">
            <v>colon</v>
          </cell>
          <cell r="AD1569" t="str">
            <v>Right Accending Colon</v>
          </cell>
          <cell r="AE1569" t="str">
            <v>Female</v>
          </cell>
          <cell r="AF1569">
            <v>65</v>
          </cell>
          <cell r="AG1569" t="str">
            <v>N</v>
          </cell>
          <cell r="AH1569">
            <v>5.4</v>
          </cell>
          <cell r="AI1569" t="str">
            <v>Kalappa</v>
          </cell>
          <cell r="AJ1569" t="str">
            <v>Surgery</v>
          </cell>
          <cell r="AK1569" t="str">
            <v>Primary</v>
          </cell>
          <cell r="AL1569" t="str">
            <v>NA</v>
          </cell>
          <cell r="AV1569">
            <v>45973</v>
          </cell>
          <cell r="AW1569">
            <v>0.68125000000000002</v>
          </cell>
          <cell r="AX1569">
            <v>0.75416666666666665</v>
          </cell>
          <cell r="AY1569">
            <v>7.2916666666666671E-2</v>
          </cell>
          <cell r="AZ1569">
            <v>0.57222222222222219</v>
          </cell>
          <cell r="BA1569">
            <v>0.27847222222222223</v>
          </cell>
          <cell r="BB1569" t="str">
            <v>0.6-0.8*0.6-1.4*2.8
0.4-0.6*1.0*3.0</v>
          </cell>
          <cell r="BC1569" t="str">
            <v>NA</v>
          </cell>
          <cell r="BD1569" t="str">
            <v>Vibratome</v>
          </cell>
          <cell r="BE1569">
            <v>13</v>
          </cell>
          <cell r="BF1569" t="str">
            <v>Dharani</v>
          </cell>
          <cell r="BG1569" t="str">
            <v>Y</v>
          </cell>
        </row>
        <row r="1570">
          <cell r="A1570" t="str">
            <v>FBR1Q250302</v>
          </cell>
          <cell r="B1570">
            <v>250302</v>
          </cell>
          <cell r="C1570" t="str">
            <v>R&amp;D</v>
          </cell>
          <cell r="D1570">
            <v>45973</v>
          </cell>
          <cell r="E1570">
            <v>0.59375</v>
          </cell>
          <cell r="F1570">
            <v>45962</v>
          </cell>
          <cell r="G1570">
            <v>45973</v>
          </cell>
          <cell r="H1570">
            <v>0.80069444444444449</v>
          </cell>
          <cell r="I1570">
            <v>0.20694444444444443</v>
          </cell>
          <cell r="J1570">
            <v>15</v>
          </cell>
          <cell r="K1570" t="str">
            <v>FCB-PROTOCOL-01</v>
          </cell>
          <cell r="L1570" t="str">
            <v>JSS-069</v>
          </cell>
          <cell r="M1570" t="str">
            <v>Y</v>
          </cell>
          <cell r="N1570" t="str">
            <v>COSv4.2_CaBR(1Q-Unknown)</v>
          </cell>
          <cell r="O1570" t="str">
            <v>Internal R&amp;D</v>
          </cell>
          <cell r="P1570" t="str">
            <v>Q1 Passed</v>
          </cell>
          <cell r="Q1570" t="str">
            <v>Q1 Passed</v>
          </cell>
          <cell r="R1570" t="str">
            <v>Q1.5 Passed</v>
          </cell>
          <cell r="S1570" t="str">
            <v>Qualified</v>
          </cell>
          <cell r="T1570" t="str">
            <v>NA</v>
          </cell>
          <cell r="V1570" t="str">
            <v>Tumor content 4-52%</v>
          </cell>
          <cell r="W1570" t="str">
            <v>Private Hospital</v>
          </cell>
          <cell r="X1570" t="str">
            <v>Dr Ravi Krishnappa, Mysore</v>
          </cell>
          <cell r="Y1570" t="str">
            <v>JSS Hospital, Mysore</v>
          </cell>
          <cell r="Z1570" t="str">
            <v>Dr Ravi Krishnappa, Mysore</v>
          </cell>
          <cell r="AA1570" t="str">
            <v>Ca Breast</v>
          </cell>
          <cell r="AB1570" t="str">
            <v>NA</v>
          </cell>
          <cell r="AC1570" t="str">
            <v>Breast</v>
          </cell>
          <cell r="AD1570" t="str">
            <v>Right Breast</v>
          </cell>
          <cell r="AE1570" t="str">
            <v>Female</v>
          </cell>
          <cell r="AF1570">
            <v>49</v>
          </cell>
          <cell r="AG1570" t="str">
            <v>N</v>
          </cell>
          <cell r="AH1570">
            <v>6.5</v>
          </cell>
          <cell r="AI1570" t="str">
            <v>Kalappa</v>
          </cell>
          <cell r="AJ1570" t="str">
            <v>Surgery</v>
          </cell>
          <cell r="AK1570" t="str">
            <v>Primary</v>
          </cell>
          <cell r="AL1570" t="str">
            <v>NA</v>
          </cell>
          <cell r="AS1570" t="str">
            <v>IDC</v>
          </cell>
          <cell r="AV1570">
            <v>45973</v>
          </cell>
          <cell r="AW1570">
            <v>0.81527777777777777</v>
          </cell>
          <cell r="AX1570">
            <v>0.86458333333333337</v>
          </cell>
          <cell r="AY1570">
            <v>4.9305555555555554E-2</v>
          </cell>
          <cell r="AZ1570">
            <v>0.65763888888888888</v>
          </cell>
          <cell r="BA1570">
            <v>0.27083333333333331</v>
          </cell>
          <cell r="BB1570" t="str">
            <v>0.2-0.6*0.4-1.8*1.0-1.9
0.2-0.6*0.8-1.4*1.6</v>
          </cell>
          <cell r="BC1570" t="str">
            <v>NA</v>
          </cell>
          <cell r="BD1570" t="str">
            <v>Manual</v>
          </cell>
          <cell r="BE1570">
            <v>15</v>
          </cell>
          <cell r="BF1570" t="str">
            <v>Vasanth</v>
          </cell>
          <cell r="BG1570" t="str">
            <v>Y</v>
          </cell>
        </row>
        <row r="1571">
          <cell r="A1571" t="str">
            <v>FBR1K250303</v>
          </cell>
          <cell r="B1571">
            <v>250303</v>
          </cell>
          <cell r="C1571" t="str">
            <v>R&amp;D</v>
          </cell>
          <cell r="D1571">
            <v>45975</v>
          </cell>
          <cell r="E1571">
            <v>0.52986111111111112</v>
          </cell>
          <cell r="F1571">
            <v>45962</v>
          </cell>
          <cell r="G1571">
            <v>45975</v>
          </cell>
          <cell r="H1571">
            <v>0.62361111111111112</v>
          </cell>
          <cell r="I1571">
            <v>9.375E-2</v>
          </cell>
          <cell r="J1571">
            <v>2</v>
          </cell>
          <cell r="K1571" t="str">
            <v>FCB-PROTOCOL-01</v>
          </cell>
          <cell r="L1571" t="str">
            <v>CLN/PRA/365</v>
          </cell>
          <cell r="M1571" t="str">
            <v>Y</v>
          </cell>
          <cell r="N1571" t="str">
            <v>DMS_v4(1K)</v>
          </cell>
          <cell r="O1571" t="str">
            <v>Internal R&amp;D</v>
          </cell>
          <cell r="P1571" t="str">
            <v>Q1 Passed</v>
          </cell>
          <cell r="Q1571" t="str">
            <v>Q1 Passed</v>
          </cell>
          <cell r="R1571" t="str">
            <v>Q1.5 Rejected</v>
          </cell>
          <cell r="S1571" t="str">
            <v>Rejected</v>
          </cell>
          <cell r="T1571" t="str">
            <v>NA</v>
          </cell>
          <cell r="V1571" t="str">
            <v>Tumor content 45-90%</v>
          </cell>
          <cell r="W1571" t="str">
            <v>Private Hospital</v>
          </cell>
          <cell r="X1571" t="str">
            <v>Dr Prakash BV, Bangalore</v>
          </cell>
          <cell r="Y1571" t="str">
            <v>Sri Lakshmi Hospital, Bangalore</v>
          </cell>
          <cell r="Z1571" t="str">
            <v>Dr Prakash BV, Bangalore</v>
          </cell>
          <cell r="AA1571" t="str">
            <v>HNSCC</v>
          </cell>
          <cell r="AB1571" t="str">
            <v>NA</v>
          </cell>
          <cell r="AC1571" t="str">
            <v>Buccal Mucosa</v>
          </cell>
          <cell r="AD1571" t="str">
            <v>Left Buccal Mucosa</v>
          </cell>
          <cell r="AE1571" t="str">
            <v>Female</v>
          </cell>
          <cell r="AF1571">
            <v>50</v>
          </cell>
          <cell r="AG1571" t="str">
            <v>N</v>
          </cell>
          <cell r="AH1571">
            <v>5.9</v>
          </cell>
          <cell r="AI1571" t="str">
            <v>Kalappa</v>
          </cell>
          <cell r="AJ1571" t="str">
            <v>Surgery</v>
          </cell>
          <cell r="AK1571" t="str">
            <v>Primary</v>
          </cell>
          <cell r="AL1571" t="str">
            <v>NA</v>
          </cell>
          <cell r="AN1571" t="str">
            <v>II</v>
          </cell>
          <cell r="AP1571" t="str">
            <v>pT2N0M0</v>
          </cell>
          <cell r="AS1571" t="str">
            <v>SCC</v>
          </cell>
          <cell r="AV1571">
            <v>45975</v>
          </cell>
          <cell r="AW1571">
            <v>0.64166666666666672</v>
          </cell>
          <cell r="AX1571" t="str">
            <v>NA</v>
          </cell>
          <cell r="AY1571" t="str">
            <v>NA</v>
          </cell>
          <cell r="AZ1571" t="str">
            <v>NA</v>
          </cell>
          <cell r="BA1571" t="str">
            <v>NA</v>
          </cell>
          <cell r="BB1571" t="str">
            <v>0.4-0.6*0.4-0.8*0.8-1.0
0.2-0.4*0.7*1.1
0.4-0.6*1.0*1.3</v>
          </cell>
          <cell r="BC1571" t="str">
            <v>NA</v>
          </cell>
          <cell r="BD1571" t="str">
            <v>Manual</v>
          </cell>
          <cell r="BE1571">
            <v>15</v>
          </cell>
          <cell r="BF1571" t="str">
            <v>Jobin</v>
          </cell>
          <cell r="BG1571" t="str">
            <v>Y</v>
          </cell>
        </row>
        <row r="1572">
          <cell r="A1572" t="str">
            <v>FBR2O250304</v>
          </cell>
          <cell r="B1572">
            <v>250304</v>
          </cell>
          <cell r="C1572" t="str">
            <v>R&amp;D</v>
          </cell>
          <cell r="D1572">
            <v>45975</v>
          </cell>
          <cell r="E1572">
            <v>0.5625</v>
          </cell>
          <cell r="F1572">
            <v>45962</v>
          </cell>
          <cell r="G1572">
            <v>45975</v>
          </cell>
          <cell r="H1572">
            <v>0.63194444444444442</v>
          </cell>
          <cell r="I1572">
            <v>6.9444444444444448E-2</v>
          </cell>
          <cell r="J1572">
            <v>10</v>
          </cell>
          <cell r="K1572" t="str">
            <v>FCB-PROTOCOL-01</v>
          </cell>
          <cell r="L1572" t="str">
            <v>KH-014</v>
          </cell>
          <cell r="M1572" t="str">
            <v>Y</v>
          </cell>
          <cell r="N1572" t="str">
            <v>Prostate Biopsy (2O)</v>
          </cell>
          <cell r="O1572" t="str">
            <v>Internal R&amp;D</v>
          </cell>
          <cell r="P1572" t="str">
            <v>Q1 Passed</v>
          </cell>
          <cell r="Q1572" t="str">
            <v>Q1 Passed</v>
          </cell>
          <cell r="R1572" t="str">
            <v>Q1.5 Passed</v>
          </cell>
          <cell r="S1572" t="str">
            <v>Qualified</v>
          </cell>
          <cell r="T1572" t="str">
            <v>NA</v>
          </cell>
          <cell r="V1572" t="str">
            <v>Tumor content 3-55%</v>
          </cell>
          <cell r="W1572" t="str">
            <v>Private Hospital</v>
          </cell>
          <cell r="X1572" t="str">
            <v>Kauvery Hospital, Elelctronic city bangalore</v>
          </cell>
          <cell r="Y1572" t="str">
            <v>Kauvery Hospital, Elelctronic city bangalore</v>
          </cell>
          <cell r="Z1572" t="str">
            <v>Dr Sreeharsha</v>
          </cell>
          <cell r="AA1572" t="str">
            <v>Prostate</v>
          </cell>
          <cell r="AB1572" t="str">
            <v>NA</v>
          </cell>
          <cell r="AC1572" t="str">
            <v>Prostate</v>
          </cell>
          <cell r="AD1572" t="str">
            <v>prostate</v>
          </cell>
          <cell r="AE1572" t="str">
            <v>Male</v>
          </cell>
          <cell r="AF1572">
            <v>66</v>
          </cell>
          <cell r="AG1572" t="str">
            <v>N</v>
          </cell>
          <cell r="AH1572">
            <v>3.8</v>
          </cell>
          <cell r="AI1572" t="str">
            <v>Maruthi</v>
          </cell>
          <cell r="AJ1572" t="str">
            <v>Surgery</v>
          </cell>
          <cell r="AK1572" t="str">
            <v>Primary</v>
          </cell>
          <cell r="AL1572" t="str">
            <v>NA</v>
          </cell>
          <cell r="AV1572">
            <v>45975</v>
          </cell>
          <cell r="AW1572">
            <v>0.65347222222222223</v>
          </cell>
          <cell r="AX1572">
            <v>0.69722222222222219</v>
          </cell>
          <cell r="AY1572">
            <v>4.3749999999999997E-2</v>
          </cell>
          <cell r="AZ1572">
            <v>0.62777777777777777</v>
          </cell>
          <cell r="BA1572">
            <v>0.13472222222222222</v>
          </cell>
          <cell r="BB1572" t="str">
            <v>0.6*1.4*1.0</v>
          </cell>
          <cell r="BC1572" t="str">
            <v>NA</v>
          </cell>
          <cell r="BD1572" t="str">
            <v>Manual</v>
          </cell>
          <cell r="BE1572">
            <v>15</v>
          </cell>
          <cell r="BF1572" t="str">
            <v>Abdul</v>
          </cell>
          <cell r="BG1572" t="str">
            <v>Y</v>
          </cell>
        </row>
        <row r="1573">
          <cell r="A1573" t="str">
            <v>FBR1Q250305</v>
          </cell>
          <cell r="B1573">
            <v>250305</v>
          </cell>
          <cell r="C1573" t="str">
            <v>R&amp;D</v>
          </cell>
          <cell r="D1573">
            <v>45975</v>
          </cell>
          <cell r="E1573">
            <v>0.47222222222222221</v>
          </cell>
          <cell r="F1573">
            <v>45962</v>
          </cell>
          <cell r="G1573">
            <v>45975</v>
          </cell>
          <cell r="H1573">
            <v>0.83125000000000004</v>
          </cell>
          <cell r="I1573">
            <v>0.35902777777777778</v>
          </cell>
          <cell r="J1573">
            <v>10</v>
          </cell>
          <cell r="K1573" t="str">
            <v>FCB-PROTOCOL-01</v>
          </cell>
          <cell r="L1573" t="str">
            <v>JSS-070</v>
          </cell>
          <cell r="M1573" t="str">
            <v>Y</v>
          </cell>
          <cell r="N1573" t="str">
            <v>COSv4.1_CaBR(1Q-Known)</v>
          </cell>
          <cell r="O1573" t="str">
            <v>Internal R&amp;D</v>
          </cell>
          <cell r="P1573" t="str">
            <v>Q1 Rejected</v>
          </cell>
          <cell r="Q1573" t="str">
            <v>Q1 Passed</v>
          </cell>
          <cell r="R1573" t="str">
            <v>Q1.5 Passed</v>
          </cell>
          <cell r="S1573" t="str">
            <v>Rejected</v>
          </cell>
          <cell r="T1573" t="str">
            <v>small size tissue used for organoid study</v>
          </cell>
          <cell r="V1573" t="str">
            <v>Tumor content 15-35%</v>
          </cell>
          <cell r="W1573" t="str">
            <v>Private Hospital</v>
          </cell>
          <cell r="X1573" t="str">
            <v>Dr Ravi Krishnappa, Mysore</v>
          </cell>
          <cell r="Y1573" t="str">
            <v>JSS Hospital, Mysore</v>
          </cell>
          <cell r="Z1573" t="str">
            <v>Dr Ravi Krishnappa, Mysore</v>
          </cell>
          <cell r="AA1573" t="str">
            <v>Ca Breast</v>
          </cell>
          <cell r="AB1573" t="str">
            <v>ER Pr +
Her2 -</v>
          </cell>
          <cell r="AC1573" t="str">
            <v>Breast+Axilla</v>
          </cell>
          <cell r="AD1573" t="str">
            <v>Left Breast</v>
          </cell>
          <cell r="AE1573" t="str">
            <v>Female</v>
          </cell>
          <cell r="AF1573">
            <v>45</v>
          </cell>
          <cell r="AG1573" t="str">
            <v>N</v>
          </cell>
          <cell r="AH1573">
            <v>6.4</v>
          </cell>
          <cell r="AI1573" t="str">
            <v>Maruthi</v>
          </cell>
          <cell r="AJ1573" t="str">
            <v>Surgery</v>
          </cell>
          <cell r="AK1573" t="str">
            <v>Proximal Ltph node</v>
          </cell>
          <cell r="AL1573" t="str">
            <v>Chemotherapy</v>
          </cell>
          <cell r="AN1573" t="str">
            <v>II</v>
          </cell>
          <cell r="AP1573" t="str">
            <v>pT4bN1M0</v>
          </cell>
          <cell r="AQ1573">
            <v>8</v>
          </cell>
          <cell r="AR1573" t="str">
            <v>Doxorubicin + cyclophosphamide+ Paclitaxel</v>
          </cell>
          <cell r="AS1573" t="str">
            <v>IDC</v>
          </cell>
          <cell r="AV1573">
            <v>45975</v>
          </cell>
          <cell r="AW1573">
            <v>0.84722222222222221</v>
          </cell>
          <cell r="AX1573" t="str">
            <v>NA</v>
          </cell>
          <cell r="AY1573" t="str">
            <v>NA</v>
          </cell>
          <cell r="AZ1573" t="str">
            <v>NA</v>
          </cell>
          <cell r="BA1573" t="str">
            <v>NA</v>
          </cell>
          <cell r="BB1573" t="str">
            <v>0.2-0.6*0.4-1.0*0.4-1.2</v>
          </cell>
          <cell r="BC1573" t="str">
            <v>NA</v>
          </cell>
          <cell r="BD1573" t="str">
            <v>Manual</v>
          </cell>
          <cell r="BE1573">
            <v>15</v>
          </cell>
          <cell r="BF1573" t="str">
            <v>Mano</v>
          </cell>
          <cell r="BG1573" t="str">
            <v>Y</v>
          </cell>
        </row>
        <row r="1574">
          <cell r="A1574" t="str">
            <v>FBR1Q250306</v>
          </cell>
          <cell r="B1574">
            <v>250306</v>
          </cell>
          <cell r="C1574" t="str">
            <v>R&amp;D</v>
          </cell>
          <cell r="D1574">
            <v>45975</v>
          </cell>
          <cell r="E1574">
            <v>0.61805555555555558</v>
          </cell>
          <cell r="F1574">
            <v>45962</v>
          </cell>
          <cell r="G1574">
            <v>45975</v>
          </cell>
          <cell r="H1574">
            <v>0.83125000000000004</v>
          </cell>
          <cell r="I1574">
            <v>0.21319444444444444</v>
          </cell>
          <cell r="J1574">
            <v>10</v>
          </cell>
          <cell r="K1574" t="str">
            <v>FCB-PROTOCOL-01</v>
          </cell>
          <cell r="L1574" t="str">
            <v>JSS-071</v>
          </cell>
          <cell r="M1574" t="str">
            <v>Y</v>
          </cell>
          <cell r="N1574" t="str">
            <v>COSv4.1_CaBR(1Q-Known)</v>
          </cell>
          <cell r="O1574" t="str">
            <v>Internal R&amp;D</v>
          </cell>
          <cell r="P1574" t="str">
            <v>Q1 Rejected</v>
          </cell>
          <cell r="Q1574" t="str">
            <v>Q1 Passed</v>
          </cell>
          <cell r="R1574" t="str">
            <v>Q1.5 Passed</v>
          </cell>
          <cell r="S1574" t="str">
            <v>FFPE-Used Organoid</v>
          </cell>
          <cell r="T1574" t="str">
            <v>small size tissue used for organoid study</v>
          </cell>
          <cell r="V1574" t="str">
            <v>Tumor content 0-6%. Average tumor content 1%</v>
          </cell>
          <cell r="W1574" t="str">
            <v>Private Hospital</v>
          </cell>
          <cell r="X1574" t="str">
            <v>Dr Ravi Krishnappa, Mysore</v>
          </cell>
          <cell r="Y1574" t="str">
            <v>JSS Hospital, Mysore</v>
          </cell>
          <cell r="Z1574" t="str">
            <v>Dr Ravi Krishnappa, Mysore</v>
          </cell>
          <cell r="AA1574" t="str">
            <v>Ca Breast</v>
          </cell>
          <cell r="AB1574" t="str">
            <v>ER Pr -
Her2 +</v>
          </cell>
          <cell r="AC1574" t="str">
            <v>Breast</v>
          </cell>
          <cell r="AD1574" t="str">
            <v>Right Breast</v>
          </cell>
          <cell r="AE1574" t="str">
            <v>Female</v>
          </cell>
          <cell r="AF1574">
            <v>41</v>
          </cell>
          <cell r="AG1574" t="str">
            <v>N</v>
          </cell>
          <cell r="AH1574">
            <v>6.4</v>
          </cell>
          <cell r="AI1574" t="str">
            <v>Maruthi</v>
          </cell>
          <cell r="AJ1574" t="str">
            <v>Surgery</v>
          </cell>
          <cell r="AK1574" t="str">
            <v>Primary</v>
          </cell>
          <cell r="AL1574" t="str">
            <v>NA</v>
          </cell>
          <cell r="AV1574">
            <v>45975</v>
          </cell>
          <cell r="AW1574">
            <v>0.85138888888888886</v>
          </cell>
          <cell r="AX1574" t="str">
            <v>NA</v>
          </cell>
          <cell r="AY1574" t="str">
            <v>NA</v>
          </cell>
          <cell r="AZ1574" t="str">
            <v>NA</v>
          </cell>
          <cell r="BA1574" t="str">
            <v>NA</v>
          </cell>
          <cell r="BB1574" t="str">
            <v>0.1-0.2*0.6*0.6
0.1-0.2*0.2*0.2
0.1-0.2*0.2*0.2</v>
          </cell>
          <cell r="BC1574" t="str">
            <v>NA</v>
          </cell>
          <cell r="BD1574" t="str">
            <v>Manual</v>
          </cell>
          <cell r="BE1574">
            <v>15</v>
          </cell>
          <cell r="BF1574" t="str">
            <v>Vasanth</v>
          </cell>
          <cell r="BG1574" t="str">
            <v>Y</v>
          </cell>
        </row>
        <row r="1575">
          <cell r="A1575" t="str">
            <v>FBR1Y250307</v>
          </cell>
          <cell r="B1575">
            <v>250307</v>
          </cell>
          <cell r="C1575" t="str">
            <v>R&amp;D</v>
          </cell>
          <cell r="D1575">
            <v>45978</v>
          </cell>
          <cell r="E1575">
            <v>0.55000000000000004</v>
          </cell>
          <cell r="F1575">
            <v>45962</v>
          </cell>
          <cell r="G1575">
            <v>45978</v>
          </cell>
          <cell r="H1575">
            <v>0.62986111111111109</v>
          </cell>
          <cell r="I1575">
            <v>7.9861111111111105E-2</v>
          </cell>
          <cell r="J1575">
            <v>3</v>
          </cell>
          <cell r="K1575" t="str">
            <v>FCB-PROTOCOL-01</v>
          </cell>
          <cell r="L1575" t="str">
            <v>CLN/PRA/366</v>
          </cell>
          <cell r="M1575" t="str">
            <v>Y</v>
          </cell>
          <cell r="N1575" t="str">
            <v>CCS Study (1Y)</v>
          </cell>
          <cell r="O1575" t="str">
            <v>Internal R&amp;D</v>
          </cell>
          <cell r="P1575" t="str">
            <v>Q1 Passed</v>
          </cell>
          <cell r="Q1575" t="str">
            <v>Not Received</v>
          </cell>
          <cell r="R1575" t="str">
            <v>Q1.5 Passed</v>
          </cell>
          <cell r="S1575" t="str">
            <v>Qualified</v>
          </cell>
          <cell r="T1575" t="str">
            <v>NA</v>
          </cell>
          <cell r="V1575" t="str">
            <v>Tumor content 70-90%</v>
          </cell>
          <cell r="W1575" t="str">
            <v>Private Hospital</v>
          </cell>
          <cell r="X1575" t="str">
            <v>Dr Prakash BV, Bangalore</v>
          </cell>
          <cell r="Y1575" t="str">
            <v>Sri Lakshmi Hospital, Bangalore</v>
          </cell>
          <cell r="Z1575" t="str">
            <v>Dr Prakash BV, Bangalore</v>
          </cell>
          <cell r="AA1575" t="str">
            <v>HNSCC</v>
          </cell>
          <cell r="AB1575" t="str">
            <v>NA</v>
          </cell>
          <cell r="AC1575" t="str">
            <v>Buccal Mucosa</v>
          </cell>
          <cell r="AD1575" t="str">
            <v>Left Buccal Mucosa</v>
          </cell>
          <cell r="AE1575" t="str">
            <v>Female</v>
          </cell>
          <cell r="AF1575">
            <v>55</v>
          </cell>
          <cell r="AG1575" t="str">
            <v>N</v>
          </cell>
          <cell r="AH1575">
            <v>5</v>
          </cell>
          <cell r="AI1575" t="str">
            <v>Kalappa</v>
          </cell>
          <cell r="AJ1575" t="str">
            <v>Surgery</v>
          </cell>
          <cell r="AK1575" t="str">
            <v>Primary</v>
          </cell>
          <cell r="AL1575" t="str">
            <v>NA</v>
          </cell>
          <cell r="AN1575" t="str">
            <v>II</v>
          </cell>
          <cell r="AP1575" t="str">
            <v>pT2N0M0</v>
          </cell>
          <cell r="AS1575" t="str">
            <v>SCC</v>
          </cell>
          <cell r="AV1575">
            <v>45978</v>
          </cell>
          <cell r="AW1575">
            <v>0.65277777777777779</v>
          </cell>
          <cell r="AX1575">
            <v>0.73611111111111116</v>
          </cell>
          <cell r="AY1575">
            <v>8.3333333333333329E-2</v>
          </cell>
          <cell r="AZ1575">
            <v>0.65625</v>
          </cell>
          <cell r="BA1575">
            <v>0.18611111111111112</v>
          </cell>
          <cell r="BB1575" t="str">
            <v>0.2-0.4*0.8-1.0*1.6-1.8
0.2*0.6*1.0</v>
          </cell>
          <cell r="BC1575" t="str">
            <v>NA</v>
          </cell>
          <cell r="BD1575" t="str">
            <v>Vibratome</v>
          </cell>
          <cell r="BE1575">
            <v>15</v>
          </cell>
          <cell r="BF1575" t="str">
            <v xml:space="preserve">sai </v>
          </cell>
          <cell r="BG1575" t="str">
            <v>N</v>
          </cell>
        </row>
        <row r="1576">
          <cell r="A1576" t="str">
            <v>FBR1Y250308</v>
          </cell>
          <cell r="B1576">
            <v>250308</v>
          </cell>
          <cell r="C1576" t="str">
            <v>R&amp;D</v>
          </cell>
          <cell r="D1576">
            <v>45978</v>
          </cell>
          <cell r="E1576">
            <v>0.57291666666666663</v>
          </cell>
          <cell r="F1576">
            <v>45962</v>
          </cell>
          <cell r="G1576">
            <v>45978</v>
          </cell>
          <cell r="H1576">
            <v>0.6743055555555556</v>
          </cell>
          <cell r="I1576">
            <v>0.10138888888888889</v>
          </cell>
          <cell r="J1576">
            <v>5</v>
          </cell>
          <cell r="K1576" t="str">
            <v>FCB-PROTOCOL-01</v>
          </cell>
          <cell r="L1576" t="str">
            <v>SIMS-018</v>
          </cell>
          <cell r="M1576" t="str">
            <v>Y</v>
          </cell>
          <cell r="N1576" t="str">
            <v>CCS Study (1Y)</v>
          </cell>
          <cell r="O1576" t="str">
            <v>Internal R&amp;D</v>
          </cell>
          <cell r="P1576" t="str">
            <v>Q1 Passed</v>
          </cell>
          <cell r="Q1576" t="str">
            <v>Q1 Passed</v>
          </cell>
          <cell r="R1576" t="str">
            <v>Q1.5 Passed</v>
          </cell>
          <cell r="S1576" t="str">
            <v>Qualified</v>
          </cell>
          <cell r="T1576" t="str">
            <v>NA</v>
          </cell>
          <cell r="V1576" t="str">
            <v>Tumor content 0-60%.Average tumor content 15%</v>
          </cell>
          <cell r="W1576" t="str">
            <v>Private Hospital</v>
          </cell>
          <cell r="X1576" t="str">
            <v>Sapthagiri ClinTrac Pvt Ltd</v>
          </cell>
          <cell r="Y1576" t="str">
            <v>Sapthagiri Institute of Medical Sciences</v>
          </cell>
          <cell r="Z1576" t="str">
            <v>Dr Nataraj</v>
          </cell>
          <cell r="AA1576" t="str">
            <v>HNSCC</v>
          </cell>
          <cell r="AB1576" t="str">
            <v>NA</v>
          </cell>
          <cell r="AC1576" t="str">
            <v>Tongue</v>
          </cell>
          <cell r="AD1576" t="str">
            <v>Left Lateral border of Tongue</v>
          </cell>
          <cell r="AE1576" t="str">
            <v>Male</v>
          </cell>
          <cell r="AF1576">
            <v>49</v>
          </cell>
          <cell r="AG1576" t="str">
            <v>N</v>
          </cell>
          <cell r="AH1576">
            <v>4.0999999999999996</v>
          </cell>
          <cell r="AI1576" t="str">
            <v>Kalappa</v>
          </cell>
          <cell r="AJ1576" t="str">
            <v>Surgery</v>
          </cell>
          <cell r="AK1576" t="str">
            <v>Primary</v>
          </cell>
          <cell r="AL1576" t="str">
            <v>NA</v>
          </cell>
          <cell r="AT1576" t="str">
            <v>Yes</v>
          </cell>
          <cell r="AU1576" t="str">
            <v>Cisplatin+RT</v>
          </cell>
          <cell r="AV1576">
            <v>45978</v>
          </cell>
          <cell r="AW1576">
            <v>0.69166666666666665</v>
          </cell>
          <cell r="AX1576">
            <v>0.77777777777777779</v>
          </cell>
          <cell r="AY1576">
            <v>8.611111111111111E-2</v>
          </cell>
          <cell r="AZ1576">
            <v>0.67638888888888893</v>
          </cell>
          <cell r="BA1576">
            <v>0.2048611111111111</v>
          </cell>
          <cell r="BB1576" t="str">
            <v>0.4-0.8*0.8-1.2*2.2
0.2-0.4*1.0-1.2*1.8-2.0</v>
          </cell>
          <cell r="BC1576" t="str">
            <v>NA</v>
          </cell>
          <cell r="BD1576" t="str">
            <v>Vibratome</v>
          </cell>
          <cell r="BE1576">
            <v>15</v>
          </cell>
          <cell r="BF1576" t="str">
            <v>Mano</v>
          </cell>
          <cell r="BG1576" t="str">
            <v>Y</v>
          </cell>
        </row>
        <row r="1577">
          <cell r="A1577" t="str">
            <v>FBR2J250309</v>
          </cell>
          <cell r="B1577">
            <v>250309</v>
          </cell>
          <cell r="C1577" t="str">
            <v>R&amp;D</v>
          </cell>
          <cell r="D1577">
            <v>45978</v>
          </cell>
          <cell r="E1577">
            <v>0.58333333333333337</v>
          </cell>
          <cell r="F1577">
            <v>45962</v>
          </cell>
          <cell r="G1577">
            <v>45978</v>
          </cell>
          <cell r="H1577">
            <v>0.76875000000000004</v>
          </cell>
          <cell r="I1577">
            <v>0.18541666666666667</v>
          </cell>
          <cell r="J1577">
            <v>15</v>
          </cell>
          <cell r="K1577" t="str">
            <v>FCB-PROTOCOL-01</v>
          </cell>
          <cell r="L1577" t="str">
            <v>JSS-072</v>
          </cell>
          <cell r="M1577" t="str">
            <v>Y</v>
          </cell>
          <cell r="N1577" t="str">
            <v>Lung (2I &amp; 2J)</v>
          </cell>
          <cell r="O1577" t="str">
            <v>Internal R&amp;D</v>
          </cell>
          <cell r="P1577" t="str">
            <v>Q1 Passed</v>
          </cell>
          <cell r="Q1577" t="str">
            <v>Q1 Passed</v>
          </cell>
          <cell r="R1577" t="str">
            <v>Q1.5 Passed</v>
          </cell>
          <cell r="S1577" t="str">
            <v>Qualified</v>
          </cell>
          <cell r="T1577" t="str">
            <v>NA</v>
          </cell>
          <cell r="V1577" t="str">
            <v>Tumor content 0-15%. Average tumor content 5%</v>
          </cell>
          <cell r="W1577" t="str">
            <v>Private Hospital</v>
          </cell>
          <cell r="X1577" t="str">
            <v>Dr Ravi Krishnappa, Mysore</v>
          </cell>
          <cell r="Y1577" t="str">
            <v>JSS Hospital, Mysore</v>
          </cell>
          <cell r="Z1577" t="str">
            <v>Dr Ravi Krishnappa, Mysore</v>
          </cell>
          <cell r="AA1577" t="str">
            <v>Lung</v>
          </cell>
          <cell r="AB1577" t="str">
            <v>NA</v>
          </cell>
          <cell r="AC1577" t="str">
            <v>Lobe</v>
          </cell>
          <cell r="AD1577" t="str">
            <v>Left upper lobe</v>
          </cell>
          <cell r="AE1577" t="str">
            <v>Male</v>
          </cell>
          <cell r="AF1577">
            <v>59</v>
          </cell>
          <cell r="AG1577" t="str">
            <v>N</v>
          </cell>
          <cell r="AH1577">
            <v>5.5</v>
          </cell>
          <cell r="AI1577" t="str">
            <v>Shashi</v>
          </cell>
          <cell r="AJ1577" t="str">
            <v>Surgery</v>
          </cell>
          <cell r="AK1577" t="str">
            <v>Primary</v>
          </cell>
          <cell r="AL1577" t="str">
            <v>NA</v>
          </cell>
          <cell r="AV1577">
            <v>45978</v>
          </cell>
          <cell r="AW1577">
            <v>0.78888888888888886</v>
          </cell>
          <cell r="AX1577">
            <v>0.82638888888888884</v>
          </cell>
          <cell r="AY1577">
            <v>3.7499999999999999E-2</v>
          </cell>
          <cell r="AZ1577">
            <v>0.64097222222222228</v>
          </cell>
          <cell r="BA1577">
            <v>0.24305555555555555</v>
          </cell>
          <cell r="BB1577" t="str">
            <v>0.4-0.6*1.0*1.2
0.2-0.4*1.6*2.4</v>
          </cell>
          <cell r="BC1577" t="str">
            <v>0.2*0.8*1.8</v>
          </cell>
          <cell r="BD1577" t="str">
            <v>Manual</v>
          </cell>
          <cell r="BE1577">
            <v>15</v>
          </cell>
          <cell r="BF1577" t="str">
            <v>Syam</v>
          </cell>
          <cell r="BG1577" t="str">
            <v>Y</v>
          </cell>
        </row>
        <row r="1578">
          <cell r="A1578" t="str">
            <v>FBR1Q250310</v>
          </cell>
          <cell r="B1578">
            <v>250310</v>
          </cell>
          <cell r="C1578" t="str">
            <v>R&amp;D</v>
          </cell>
          <cell r="D1578">
            <v>45979</v>
          </cell>
          <cell r="E1578">
            <v>0.60416666666666663</v>
          </cell>
          <cell r="F1578">
            <v>45962</v>
          </cell>
          <cell r="G1578">
            <v>45979</v>
          </cell>
          <cell r="H1578">
            <v>0.7104166666666667</v>
          </cell>
          <cell r="I1578">
            <v>0.10625</v>
          </cell>
          <cell r="J1578">
            <v>5</v>
          </cell>
          <cell r="K1578" t="str">
            <v>FCB-PROTOCOL-01</v>
          </cell>
          <cell r="L1578" t="str">
            <v>SIMS-019</v>
          </cell>
          <cell r="M1578" t="str">
            <v>Y</v>
          </cell>
          <cell r="N1578" t="str">
            <v>COSv4.2_CaBR(1Q-Unknown)</v>
          </cell>
          <cell r="O1578" t="str">
            <v>Internal R&amp;D</v>
          </cell>
          <cell r="P1578" t="str">
            <v>Q1 Passed</v>
          </cell>
          <cell r="Q1578" t="str">
            <v>Q1 Passed</v>
          </cell>
          <cell r="R1578" t="str">
            <v>Q1.5 Passed</v>
          </cell>
          <cell r="S1578" t="str">
            <v>Qualified</v>
          </cell>
          <cell r="T1578" t="str">
            <v>NA</v>
          </cell>
          <cell r="V1578" t="str">
            <v>Tumor content 4-20%</v>
          </cell>
          <cell r="W1578" t="str">
            <v>Private Hospital</v>
          </cell>
          <cell r="X1578" t="str">
            <v>Sapthagiri ClinTrac Pvt Ltd</v>
          </cell>
          <cell r="Y1578" t="str">
            <v>Sapthagiri Institute of Medical Sciences</v>
          </cell>
          <cell r="Z1578" t="str">
            <v>Dr Nataraj</v>
          </cell>
          <cell r="AA1578" t="str">
            <v>Ca Breast</v>
          </cell>
          <cell r="AB1578" t="str">
            <v>NA</v>
          </cell>
          <cell r="AC1578" t="str">
            <v>Breast</v>
          </cell>
          <cell r="AD1578" t="str">
            <v>Left Breast</v>
          </cell>
          <cell r="AE1578" t="str">
            <v>Female</v>
          </cell>
          <cell r="AF1578">
            <v>47</v>
          </cell>
          <cell r="AG1578" t="str">
            <v>N</v>
          </cell>
          <cell r="AH1578">
            <v>5.4</v>
          </cell>
          <cell r="AI1578" t="str">
            <v>Kalappa</v>
          </cell>
          <cell r="AJ1578" t="str">
            <v>Surgery</v>
          </cell>
          <cell r="AK1578" t="str">
            <v>Primary</v>
          </cell>
          <cell r="AL1578" t="str">
            <v>NA</v>
          </cell>
          <cell r="AT1578" t="str">
            <v>Yes</v>
          </cell>
          <cell r="AU1578" t="str">
            <v>Adria+Cyclo+Pacli</v>
          </cell>
          <cell r="AV1578">
            <v>45979</v>
          </cell>
          <cell r="AW1578">
            <v>0.72569444444444442</v>
          </cell>
          <cell r="AX1578">
            <v>0.77361111111111114</v>
          </cell>
          <cell r="AY1578">
            <v>4.791666666666667E-2</v>
          </cell>
          <cell r="AZ1578">
            <v>0.66736111111111107</v>
          </cell>
          <cell r="BA1578">
            <v>0.16944444444444445</v>
          </cell>
          <cell r="BB1578" t="str">
            <v>0.2-0.8*1.2-2.4*3.0
0.2-0.4*0.8-1.2*2.0</v>
          </cell>
          <cell r="BC1578" t="str">
            <v>NA</v>
          </cell>
          <cell r="BD1578" t="str">
            <v>Manual</v>
          </cell>
          <cell r="BE1578">
            <v>15</v>
          </cell>
          <cell r="BF1578" t="str">
            <v>Mano</v>
          </cell>
          <cell r="BG1578" t="str">
            <v>Y</v>
          </cell>
        </row>
        <row r="1579">
          <cell r="A1579" t="str">
            <v>FBR1Q250311</v>
          </cell>
          <cell r="B1579">
            <v>250311</v>
          </cell>
          <cell r="C1579" t="str">
            <v>R&amp;D</v>
          </cell>
          <cell r="D1579">
            <v>45980</v>
          </cell>
          <cell r="E1579">
            <v>0.42708333333333331</v>
          </cell>
          <cell r="F1579">
            <v>45962</v>
          </cell>
          <cell r="G1579">
            <v>45980</v>
          </cell>
          <cell r="H1579">
            <v>0.6118055555555556</v>
          </cell>
          <cell r="I1579">
            <v>0.18472222222222223</v>
          </cell>
          <cell r="J1579">
            <v>5</v>
          </cell>
          <cell r="K1579" t="str">
            <v>FCB-PROTOCOL-01</v>
          </cell>
          <cell r="L1579" t="str">
            <v>JSS-073</v>
          </cell>
          <cell r="M1579" t="str">
            <v>Y</v>
          </cell>
          <cell r="N1579" t="str">
            <v>No Study</v>
          </cell>
          <cell r="O1579" t="str">
            <v>Internal R&amp;D</v>
          </cell>
          <cell r="P1579" t="str">
            <v>Q1 Passed</v>
          </cell>
          <cell r="Q1579" t="str">
            <v>Q1 Passed</v>
          </cell>
          <cell r="R1579" t="str">
            <v>Q1.5 Rejected</v>
          </cell>
          <cell r="S1579" t="str">
            <v>Rejected</v>
          </cell>
          <cell r="T1579" t="str">
            <v>small size tissue used for organoid study</v>
          </cell>
          <cell r="V1579" t="str">
            <v>Tumor content 1-6%</v>
          </cell>
          <cell r="W1579" t="str">
            <v>Private Hospital</v>
          </cell>
          <cell r="X1579" t="str">
            <v>Dr Ravi Krishnappa, Mysore</v>
          </cell>
          <cell r="Y1579" t="str">
            <v>JSS Hospital, Mysore</v>
          </cell>
          <cell r="Z1579" t="str">
            <v>Dr Ravi Krishnappa, Mysore</v>
          </cell>
          <cell r="AA1579" t="str">
            <v>Ca Breast</v>
          </cell>
          <cell r="AB1579" t="str">
            <v>NA</v>
          </cell>
          <cell r="AC1579" t="str">
            <v>Breast</v>
          </cell>
          <cell r="AD1579" t="str">
            <v>Left Breast</v>
          </cell>
          <cell r="AE1579" t="str">
            <v>Female</v>
          </cell>
          <cell r="AF1579">
            <v>28</v>
          </cell>
          <cell r="AG1579" t="str">
            <v>N</v>
          </cell>
          <cell r="AH1579">
            <v>7.8</v>
          </cell>
          <cell r="AI1579" t="str">
            <v>Kalappa</v>
          </cell>
          <cell r="AJ1579" t="str">
            <v>Surgery</v>
          </cell>
          <cell r="AK1579" t="str">
            <v>Primary</v>
          </cell>
          <cell r="AL1579" t="str">
            <v>NA</v>
          </cell>
          <cell r="AS1579" t="str">
            <v>IDC</v>
          </cell>
          <cell r="AV1579">
            <v>45980</v>
          </cell>
          <cell r="AW1579">
            <v>0.64097222222222228</v>
          </cell>
          <cell r="AX1579" t="str">
            <v>NA</v>
          </cell>
          <cell r="AY1579" t="str">
            <v>NA</v>
          </cell>
          <cell r="AZ1579" t="str">
            <v>NA</v>
          </cell>
          <cell r="BA1579" t="str">
            <v>NA</v>
          </cell>
          <cell r="BB1579" t="str">
            <v>0.2*0.2-0.6*1.2
0.2-0.4*0.4-0.6*0.6-0.8</v>
          </cell>
          <cell r="BC1579" t="str">
            <v>NA</v>
          </cell>
          <cell r="BD1579" t="str">
            <v>Manual</v>
          </cell>
          <cell r="BE1579">
            <v>15</v>
          </cell>
          <cell r="BF1579" t="str">
            <v>Vasanth</v>
          </cell>
          <cell r="BG1579" t="str">
            <v>Y</v>
          </cell>
        </row>
        <row r="1580">
          <cell r="A1580" t="str">
            <v>FBR2G250312</v>
          </cell>
          <cell r="B1580">
            <v>250312</v>
          </cell>
          <cell r="C1580" t="str">
            <v>R&amp;D</v>
          </cell>
          <cell r="D1580">
            <v>45980</v>
          </cell>
          <cell r="E1580">
            <v>0.4548611111111111</v>
          </cell>
          <cell r="F1580">
            <v>45962</v>
          </cell>
          <cell r="G1580">
            <v>45980</v>
          </cell>
          <cell r="H1580">
            <v>0.71388888888888891</v>
          </cell>
          <cell r="I1580">
            <v>0.2590277777777778</v>
          </cell>
          <cell r="J1580">
            <v>2</v>
          </cell>
          <cell r="K1580" t="str">
            <v>FCB-PROTOCOL-01</v>
          </cell>
          <cell r="L1580" t="str">
            <v>VYD/445</v>
          </cell>
          <cell r="M1580" t="str">
            <v>Y</v>
          </cell>
          <cell r="N1580" t="str">
            <v>Microfragments (2G)</v>
          </cell>
          <cell r="O1580" t="str">
            <v>Internal R&amp;D</v>
          </cell>
          <cell r="P1580" t="str">
            <v>Q1 Passed</v>
          </cell>
          <cell r="Q1580" t="str">
            <v>Q1 Passed</v>
          </cell>
          <cell r="R1580" t="str">
            <v>Q1.5 Passed</v>
          </cell>
          <cell r="S1580" t="str">
            <v>Qualified</v>
          </cell>
          <cell r="T1580" t="str">
            <v>NA</v>
          </cell>
          <cell r="V1580" t="str">
            <v>Tumor content 50-70%</v>
          </cell>
          <cell r="W1580" t="str">
            <v>Private Hospital</v>
          </cell>
          <cell r="X1580" t="str">
            <v>Vydehi Hospital, Bangalore</v>
          </cell>
          <cell r="Y1580" t="str">
            <v>Vydehi Hospital, Bangalore</v>
          </cell>
          <cell r="Z1580" t="str">
            <v>Dr Amritha Prabha, Bangalore</v>
          </cell>
          <cell r="AA1580" t="str">
            <v>HNSCC</v>
          </cell>
          <cell r="AB1580" t="str">
            <v>NA</v>
          </cell>
          <cell r="AC1580" t="str">
            <v>Buccal Mucosa</v>
          </cell>
          <cell r="AD1580" t="str">
            <v>Right Buccal Mucosa</v>
          </cell>
          <cell r="AE1580" t="str">
            <v>Female</v>
          </cell>
          <cell r="AF1580">
            <v>54</v>
          </cell>
          <cell r="AG1580" t="str">
            <v>N</v>
          </cell>
          <cell r="AH1580">
            <v>5.4</v>
          </cell>
          <cell r="AI1580" t="str">
            <v>Kalappa</v>
          </cell>
          <cell r="AJ1580" t="str">
            <v>Surgery</v>
          </cell>
          <cell r="AK1580" t="str">
            <v>Primary</v>
          </cell>
          <cell r="AL1580" t="str">
            <v>NA</v>
          </cell>
          <cell r="AS1580" t="str">
            <v>SCC</v>
          </cell>
          <cell r="AV1580">
            <v>45980</v>
          </cell>
          <cell r="AW1580" t="str">
            <v>NA</v>
          </cell>
          <cell r="AX1580" t="str">
            <v>NA</v>
          </cell>
          <cell r="AY1580" t="str">
            <v>NA</v>
          </cell>
          <cell r="AZ1580" t="str">
            <v>NA</v>
          </cell>
          <cell r="BA1580" t="str">
            <v>NA</v>
          </cell>
          <cell r="BB1580" t="str">
            <v>NA</v>
          </cell>
          <cell r="BC1580" t="str">
            <v>NA</v>
          </cell>
          <cell r="BD1580" t="str">
            <v>Vibratome</v>
          </cell>
          <cell r="BE1580">
            <v>15</v>
          </cell>
          <cell r="BF1580" t="str">
            <v>Abdul</v>
          </cell>
          <cell r="BG1580" t="str">
            <v>Y</v>
          </cell>
        </row>
        <row r="1581">
          <cell r="A1581" t="str">
            <v>FBR1Y250312</v>
          </cell>
          <cell r="B1581">
            <v>250312</v>
          </cell>
          <cell r="C1581" t="str">
            <v>R&amp;D</v>
          </cell>
          <cell r="D1581">
            <v>45980</v>
          </cell>
          <cell r="E1581">
            <v>0.4548611111111111</v>
          </cell>
          <cell r="F1581">
            <v>45962</v>
          </cell>
          <cell r="G1581">
            <v>45980</v>
          </cell>
          <cell r="H1581">
            <v>0.71388888888888891</v>
          </cell>
          <cell r="I1581">
            <v>0.2590277777777778</v>
          </cell>
          <cell r="J1581">
            <v>2</v>
          </cell>
          <cell r="K1581" t="str">
            <v>FCB-PROTOCOL-01</v>
          </cell>
          <cell r="L1581" t="str">
            <v>VYD/445</v>
          </cell>
          <cell r="M1581" t="str">
            <v>Y</v>
          </cell>
          <cell r="N1581" t="str">
            <v>CCS Study (1Y)</v>
          </cell>
          <cell r="O1581" t="str">
            <v>Internal R&amp;D</v>
          </cell>
          <cell r="P1581" t="str">
            <v>Q1 Passed</v>
          </cell>
          <cell r="Q1581" t="str">
            <v>Q1 Passed</v>
          </cell>
          <cell r="R1581" t="str">
            <v>Q1.5 Passed</v>
          </cell>
          <cell r="S1581" t="str">
            <v>Qualified</v>
          </cell>
          <cell r="T1581" t="str">
            <v>NA</v>
          </cell>
          <cell r="V1581" t="str">
            <v>Tumor content 50-70%</v>
          </cell>
          <cell r="W1581" t="str">
            <v>Private Hospital</v>
          </cell>
          <cell r="X1581" t="str">
            <v>Vydehi Hospital, Bangalore</v>
          </cell>
          <cell r="Y1581" t="str">
            <v>Vydehi Hospital, Bangalore</v>
          </cell>
          <cell r="Z1581" t="str">
            <v>Dr Amritha Prabha, Bangalore</v>
          </cell>
          <cell r="AA1581" t="str">
            <v>HNSCC</v>
          </cell>
          <cell r="AB1581" t="str">
            <v>NA</v>
          </cell>
          <cell r="AC1581" t="str">
            <v>Buccal Mucosa</v>
          </cell>
          <cell r="AD1581" t="str">
            <v>Right Buccal Mucosa</v>
          </cell>
          <cell r="AE1581" t="str">
            <v>Female</v>
          </cell>
          <cell r="AF1581">
            <v>54</v>
          </cell>
          <cell r="AG1581" t="str">
            <v>N</v>
          </cell>
          <cell r="AH1581">
            <v>5.4</v>
          </cell>
          <cell r="AI1581" t="str">
            <v>Kalappa</v>
          </cell>
          <cell r="AJ1581" t="str">
            <v>Surgery</v>
          </cell>
          <cell r="AK1581" t="str">
            <v>Primary</v>
          </cell>
          <cell r="AL1581" t="str">
            <v>NA</v>
          </cell>
          <cell r="AS1581" t="str">
            <v>SCC</v>
          </cell>
          <cell r="AV1581">
            <v>45980</v>
          </cell>
          <cell r="AW1581">
            <v>0.73263888888888884</v>
          </cell>
          <cell r="AX1581">
            <v>0.8041666666666667</v>
          </cell>
          <cell r="AY1581">
            <v>7.1527777777777773E-2</v>
          </cell>
          <cell r="AZ1581">
            <v>0.54513888888888884</v>
          </cell>
          <cell r="BA1581">
            <v>0.34930555555555554</v>
          </cell>
          <cell r="BB1581" t="str">
            <v>0.4*1.2*1.6</v>
          </cell>
          <cell r="BC1581" t="str">
            <v>NA</v>
          </cell>
          <cell r="BD1581" t="str">
            <v>Vibratome</v>
          </cell>
          <cell r="BE1581">
            <v>15</v>
          </cell>
          <cell r="BF1581" t="str">
            <v>Abdul</v>
          </cell>
          <cell r="BG1581" t="str">
            <v>Y</v>
          </cell>
        </row>
        <row r="1582">
          <cell r="A1582" t="str">
            <v>FBR2S250313</v>
          </cell>
          <cell r="B1582">
            <v>250313</v>
          </cell>
          <cell r="C1582" t="str">
            <v>R&amp;D</v>
          </cell>
          <cell r="D1582">
            <v>45981</v>
          </cell>
          <cell r="E1582">
            <v>0.59722222222222221</v>
          </cell>
          <cell r="F1582">
            <v>45962</v>
          </cell>
          <cell r="G1582">
            <v>45981</v>
          </cell>
          <cell r="H1582">
            <v>0.69166666666666665</v>
          </cell>
          <cell r="I1582">
            <v>9.4444444444444442E-2</v>
          </cell>
          <cell r="J1582">
            <v>2</v>
          </cell>
          <cell r="K1582" t="str">
            <v>FCB-PROTOCOL-01</v>
          </cell>
          <cell r="L1582" t="str">
            <v>CLN/PRA/367</v>
          </cell>
          <cell r="M1582" t="str">
            <v>Y</v>
          </cell>
          <cell r="N1582" t="str">
            <v>Cos V1 (2S)</v>
          </cell>
          <cell r="O1582" t="str">
            <v>Internal R&amp;D</v>
          </cell>
          <cell r="P1582" t="str">
            <v>Q1 Passed</v>
          </cell>
          <cell r="Q1582" t="str">
            <v>Q1 Passed</v>
          </cell>
          <cell r="R1582" t="str">
            <v>Q1.5 Passed</v>
          </cell>
          <cell r="S1582" t="str">
            <v>Qualified</v>
          </cell>
          <cell r="T1582" t="str">
            <v>NA</v>
          </cell>
          <cell r="V1582" t="str">
            <v>Tumor content 15-60%</v>
          </cell>
          <cell r="W1582" t="str">
            <v>Private Hospital</v>
          </cell>
          <cell r="X1582" t="str">
            <v>Dr Prakash BV, Bangalore</v>
          </cell>
          <cell r="Y1582" t="str">
            <v>Sri Lakshmi Hospital, Bangalore</v>
          </cell>
          <cell r="Z1582" t="str">
            <v>Dr Prakash BV, Bangalore</v>
          </cell>
          <cell r="AA1582" t="str">
            <v>CRC</v>
          </cell>
          <cell r="AB1582" t="str">
            <v>NA</v>
          </cell>
          <cell r="AC1582" t="str">
            <v>colon</v>
          </cell>
          <cell r="AD1582" t="str">
            <v>Sigmoid Colon</v>
          </cell>
          <cell r="AE1582" t="str">
            <v>Female</v>
          </cell>
          <cell r="AF1582">
            <v>65</v>
          </cell>
          <cell r="AG1582" t="str">
            <v>N</v>
          </cell>
          <cell r="AH1582">
            <v>5</v>
          </cell>
          <cell r="AI1582" t="str">
            <v>Kalappa</v>
          </cell>
          <cell r="AJ1582" t="str">
            <v>Surgery</v>
          </cell>
          <cell r="AK1582" t="str">
            <v>Primary</v>
          </cell>
          <cell r="AL1582" t="str">
            <v>NA</v>
          </cell>
          <cell r="AN1582" t="str">
            <v>I</v>
          </cell>
          <cell r="AP1582" t="str">
            <v>pT2N0M0</v>
          </cell>
          <cell r="AS1582" t="str">
            <v>Adenocarcinoma</v>
          </cell>
          <cell r="AV1582">
            <v>45981</v>
          </cell>
          <cell r="AW1582">
            <v>0.7104166666666667</v>
          </cell>
          <cell r="AX1582">
            <v>0.78194444444444444</v>
          </cell>
          <cell r="AY1582">
            <v>7.1527777777777773E-2</v>
          </cell>
          <cell r="AZ1582">
            <v>0.6875</v>
          </cell>
          <cell r="BA1582">
            <v>0.18472222222222223</v>
          </cell>
          <cell r="BB1582" t="str">
            <v>0.4-0.8*2.0*3.0</v>
          </cell>
          <cell r="BC1582" t="str">
            <v>NA</v>
          </cell>
          <cell r="BD1582" t="str">
            <v>Vibratome</v>
          </cell>
          <cell r="BE1582">
            <v>13</v>
          </cell>
          <cell r="BF1582" t="str">
            <v>Vasanth</v>
          </cell>
          <cell r="BG1582" t="str">
            <v>Y</v>
          </cell>
        </row>
        <row r="1583">
          <cell r="A1583" t="str">
            <v>FBR1Q250314</v>
          </cell>
          <cell r="B1583">
            <v>250314</v>
          </cell>
          <cell r="C1583" t="str">
            <v>R&amp;D</v>
          </cell>
          <cell r="D1583">
            <v>45982</v>
          </cell>
          <cell r="E1583">
            <v>0.46875</v>
          </cell>
          <cell r="F1583">
            <v>45962</v>
          </cell>
          <cell r="G1583">
            <v>45982</v>
          </cell>
          <cell r="H1583">
            <v>0.65416666666666667</v>
          </cell>
          <cell r="I1583">
            <v>0.18541666666666667</v>
          </cell>
          <cell r="J1583">
            <v>5</v>
          </cell>
          <cell r="K1583" t="str">
            <v>FCB-PROTOCOL-01</v>
          </cell>
          <cell r="L1583" t="str">
            <v>VYD/446</v>
          </cell>
          <cell r="M1583" t="str">
            <v>Y</v>
          </cell>
          <cell r="N1583" t="str">
            <v>COSv4.2_CaBR(1Q-Unknown)</v>
          </cell>
          <cell r="O1583" t="str">
            <v>Internal R&amp;D</v>
          </cell>
          <cell r="P1583" t="str">
            <v>Q1 Passed</v>
          </cell>
          <cell r="Q1583" t="str">
            <v>Q1 Rejected</v>
          </cell>
          <cell r="R1583" t="str">
            <v>Q1.5 Passed</v>
          </cell>
          <cell r="S1583" t="str">
            <v>Qualified</v>
          </cell>
          <cell r="T1583" t="str">
            <v>Hemolysed</v>
          </cell>
          <cell r="V1583" t="str">
            <v>Tumor content 0-30%. Average tumor content 6%</v>
          </cell>
          <cell r="W1583" t="str">
            <v>Private Hospital</v>
          </cell>
          <cell r="X1583" t="str">
            <v>Vydehi Hospital, Bangalore</v>
          </cell>
          <cell r="Y1583" t="str">
            <v>Vydehi Hospital, Bangalore</v>
          </cell>
          <cell r="Z1583" t="str">
            <v>Dr Amritha Prabha, Bangalore</v>
          </cell>
          <cell r="AA1583" t="str">
            <v>Ca Breast</v>
          </cell>
          <cell r="AB1583" t="str">
            <v>NA</v>
          </cell>
          <cell r="AC1583" t="str">
            <v>Breast</v>
          </cell>
          <cell r="AD1583" t="str">
            <v>Left Breast</v>
          </cell>
          <cell r="AE1583" t="str">
            <v>Female</v>
          </cell>
          <cell r="AF1583">
            <v>36</v>
          </cell>
          <cell r="AG1583" t="str">
            <v>N</v>
          </cell>
          <cell r="AH1583">
            <v>5.6</v>
          </cell>
          <cell r="AI1583" t="str">
            <v>Kalappa</v>
          </cell>
          <cell r="AJ1583" t="str">
            <v>Surgery</v>
          </cell>
          <cell r="AK1583" t="str">
            <v>Primary</v>
          </cell>
          <cell r="AL1583" t="str">
            <v>NA</v>
          </cell>
          <cell r="AV1583">
            <v>45982</v>
          </cell>
          <cell r="AW1583">
            <v>0.68541666666666667</v>
          </cell>
          <cell r="AX1583">
            <v>0.73888888888888893</v>
          </cell>
          <cell r="AY1583">
            <v>5.347222222222222E-2</v>
          </cell>
          <cell r="AZ1583">
            <v>0.55347222222222225</v>
          </cell>
          <cell r="BA1583">
            <v>0.27013888888888887</v>
          </cell>
          <cell r="BB1583" t="str">
            <v>0.2-0.6*0.9*1.2
0.6*1.2*1.5</v>
          </cell>
          <cell r="BC1583" t="str">
            <v>NA</v>
          </cell>
          <cell r="BD1583" t="str">
            <v>Manual</v>
          </cell>
          <cell r="BE1583">
            <v>15</v>
          </cell>
          <cell r="BF1583" t="str">
            <v>Jobin</v>
          </cell>
          <cell r="BG1583" t="str">
            <v>N</v>
          </cell>
        </row>
        <row r="1584">
          <cell r="A1584" t="str">
            <v>FBR2S250315</v>
          </cell>
          <cell r="B1584">
            <v>250315</v>
          </cell>
          <cell r="C1584" t="str">
            <v>R&amp;D</v>
          </cell>
          <cell r="D1584">
            <v>45982</v>
          </cell>
          <cell r="E1584">
            <v>0.48958333333333331</v>
          </cell>
          <cell r="F1584">
            <v>45962</v>
          </cell>
          <cell r="G1584">
            <v>45982</v>
          </cell>
          <cell r="H1584">
            <v>0.65416666666666667</v>
          </cell>
          <cell r="I1584">
            <v>0.16458333333333333</v>
          </cell>
          <cell r="J1584">
            <v>15</v>
          </cell>
          <cell r="K1584" t="str">
            <v>FCB-PROTOCOL-01</v>
          </cell>
          <cell r="L1584" t="str">
            <v>JSS-074</v>
          </cell>
          <cell r="M1584" t="str">
            <v>Y</v>
          </cell>
          <cell r="N1584" t="str">
            <v>Cos V1 (2S)</v>
          </cell>
          <cell r="O1584" t="str">
            <v>Internal R&amp;D</v>
          </cell>
          <cell r="P1584" t="str">
            <v>Q1 Rejected</v>
          </cell>
          <cell r="Q1584" t="str">
            <v>Q1 Passed</v>
          </cell>
          <cell r="R1584" t="str">
            <v>Q1.5 Passed</v>
          </cell>
          <cell r="S1584" t="str">
            <v>FFPE-Used Organoid</v>
          </cell>
          <cell r="T1584" t="str">
            <v>small size tissue used for Tumoroid study</v>
          </cell>
          <cell r="V1584" t="str">
            <v>Tumor content 4-35%</v>
          </cell>
          <cell r="W1584" t="str">
            <v>Private Hospital</v>
          </cell>
          <cell r="X1584" t="str">
            <v>Dr Ravi Krishnappa, Mysore</v>
          </cell>
          <cell r="Y1584" t="str">
            <v>JSS Hospital, Mysore</v>
          </cell>
          <cell r="Z1584" t="str">
            <v>Dr Ravi Krishnappa, Mysore</v>
          </cell>
          <cell r="AA1584" t="str">
            <v>CRC</v>
          </cell>
          <cell r="AB1584" t="str">
            <v>NA</v>
          </cell>
          <cell r="AC1584" t="str">
            <v>colon</v>
          </cell>
          <cell r="AD1584" t="str">
            <v>Sigmoid Colon</v>
          </cell>
          <cell r="AE1584" t="str">
            <v>Female</v>
          </cell>
          <cell r="AF1584">
            <v>63</v>
          </cell>
          <cell r="AG1584" t="str">
            <v>N</v>
          </cell>
          <cell r="AH1584">
            <v>7.1</v>
          </cell>
          <cell r="AI1584" t="str">
            <v>Kalappa</v>
          </cell>
          <cell r="AJ1584" t="str">
            <v>Surgery</v>
          </cell>
          <cell r="AK1584" t="str">
            <v>Primary</v>
          </cell>
          <cell r="AL1584" t="str">
            <v>NA</v>
          </cell>
          <cell r="AV1584">
            <v>45982</v>
          </cell>
          <cell r="AW1584">
            <v>0.68611111111111112</v>
          </cell>
          <cell r="AX1584" t="str">
            <v>NA</v>
          </cell>
          <cell r="AY1584" t="str">
            <v>NA</v>
          </cell>
          <cell r="AZ1584" t="str">
            <v>NA</v>
          </cell>
          <cell r="BA1584" t="str">
            <v>NA</v>
          </cell>
          <cell r="BB1584" t="str">
            <v>0.2*0.4*0.8
0.1*0.4*0.6</v>
          </cell>
          <cell r="BC1584" t="str">
            <v>NA</v>
          </cell>
          <cell r="BD1584" t="str">
            <v>Manual</v>
          </cell>
          <cell r="BE1584">
            <v>13</v>
          </cell>
          <cell r="BF1584" t="str">
            <v>Abdul</v>
          </cell>
          <cell r="BG1584" t="str">
            <v>Y</v>
          </cell>
        </row>
        <row r="1585">
          <cell r="A1585" t="str">
            <v>FBR1Q250316</v>
          </cell>
          <cell r="B1585">
            <v>250316</v>
          </cell>
          <cell r="C1585" t="str">
            <v>R&amp;D</v>
          </cell>
          <cell r="D1585">
            <v>45982</v>
          </cell>
          <cell r="E1585">
            <v>0.67500000000000004</v>
          </cell>
          <cell r="F1585">
            <v>45962</v>
          </cell>
          <cell r="G1585">
            <v>45982</v>
          </cell>
          <cell r="H1585">
            <v>0.74930555555555556</v>
          </cell>
          <cell r="I1585">
            <v>7.4305555555555555E-2</v>
          </cell>
          <cell r="J1585">
            <v>3</v>
          </cell>
          <cell r="K1585" t="str">
            <v>FCB-PROTOCOL-01</v>
          </cell>
          <cell r="L1585" t="str">
            <v>VYD/447</v>
          </cell>
          <cell r="M1585" t="str">
            <v>Y</v>
          </cell>
          <cell r="N1585" t="str">
            <v>COSv4.1_CaBR(1Q-Known)</v>
          </cell>
          <cell r="O1585" t="str">
            <v>Internal R&amp;D</v>
          </cell>
          <cell r="P1585" t="str">
            <v>Q1 Passed</v>
          </cell>
          <cell r="Q1585" t="str">
            <v>Q1 Passed</v>
          </cell>
          <cell r="R1585" t="str">
            <v>Q1.5 Passed</v>
          </cell>
          <cell r="S1585" t="str">
            <v>Qualified</v>
          </cell>
          <cell r="T1585" t="str">
            <v>NA</v>
          </cell>
          <cell r="V1585" t="str">
            <v>Tumor content 40-75%</v>
          </cell>
          <cell r="W1585" t="str">
            <v>Private Hospital</v>
          </cell>
          <cell r="X1585" t="str">
            <v>Vydehi Hospital, Bangalore</v>
          </cell>
          <cell r="Y1585" t="str">
            <v>Vydehi Hospital, Bangalore</v>
          </cell>
          <cell r="Z1585" t="str">
            <v>Dr Amritha Prabha, Bangalore</v>
          </cell>
          <cell r="AA1585" t="str">
            <v>Ca Breast</v>
          </cell>
          <cell r="AB1585" t="str">
            <v xml:space="preserve">ER +
Pr -
Her2 </v>
          </cell>
          <cell r="AC1585" t="str">
            <v>Breast</v>
          </cell>
          <cell r="AD1585" t="str">
            <v>Left Breast</v>
          </cell>
          <cell r="AE1585" t="str">
            <v>Female</v>
          </cell>
          <cell r="AF1585">
            <v>64</v>
          </cell>
          <cell r="AG1585" t="str">
            <v>N</v>
          </cell>
          <cell r="AH1585">
            <v>5.8</v>
          </cell>
          <cell r="AI1585" t="str">
            <v>Kalappa</v>
          </cell>
          <cell r="AJ1585" t="str">
            <v>Surgery</v>
          </cell>
          <cell r="AK1585" t="str">
            <v>Primary</v>
          </cell>
          <cell r="AL1585" t="str">
            <v>Surgery</v>
          </cell>
          <cell r="AS1585" t="str">
            <v>IDC</v>
          </cell>
          <cell r="AV1585">
            <v>45982</v>
          </cell>
          <cell r="AW1585">
            <v>0.76249999999999996</v>
          </cell>
          <cell r="AX1585">
            <v>0.81180555555555556</v>
          </cell>
          <cell r="AY1585">
            <v>4.9305555555555554E-2</v>
          </cell>
          <cell r="AZ1585">
            <v>0.73750000000000004</v>
          </cell>
          <cell r="BA1585">
            <v>0.13680555555555557</v>
          </cell>
          <cell r="BB1585" t="str">
            <v>0.5*1.2*1.1
0.6*1.2*1.4</v>
          </cell>
          <cell r="BC1585" t="str">
            <v>0.5*1.0*1.1
0.5*1.0*1.4</v>
          </cell>
          <cell r="BD1585" t="str">
            <v>Manual</v>
          </cell>
          <cell r="BE1585">
            <v>15</v>
          </cell>
          <cell r="BF1585" t="str">
            <v>Abdul</v>
          </cell>
          <cell r="BG1585" t="str">
            <v>Y</v>
          </cell>
        </row>
        <row r="1586">
          <cell r="A1586" t="str">
            <v>FBR1Y250317</v>
          </cell>
          <cell r="B1586">
            <v>250317</v>
          </cell>
          <cell r="C1586" t="str">
            <v>R&amp;D</v>
          </cell>
          <cell r="D1586">
            <v>45985</v>
          </cell>
          <cell r="E1586">
            <v>0.45694444444444443</v>
          </cell>
          <cell r="F1586">
            <v>45962</v>
          </cell>
          <cell r="G1586">
            <v>45985</v>
          </cell>
          <cell r="H1586">
            <v>0.65347222222222223</v>
          </cell>
          <cell r="I1586">
            <v>0.19652777777777777</v>
          </cell>
          <cell r="J1586">
            <v>7</v>
          </cell>
          <cell r="K1586" t="str">
            <v>FCB-PROTOCOL-01</v>
          </cell>
          <cell r="L1586" t="str">
            <v>VYD/448</v>
          </cell>
          <cell r="M1586" t="str">
            <v>Y</v>
          </cell>
          <cell r="N1586" t="str">
            <v>CCS Study (1Y)</v>
          </cell>
          <cell r="O1586" t="str">
            <v>Internal R&amp;D</v>
          </cell>
          <cell r="P1586" t="str">
            <v>Q1 Passed</v>
          </cell>
          <cell r="Q1586" t="str">
            <v>Q1 Passed</v>
          </cell>
          <cell r="R1586" t="str">
            <v>Q1.5 Passed</v>
          </cell>
          <cell r="S1586" t="str">
            <v>Qualified</v>
          </cell>
          <cell r="T1586" t="str">
            <v>NA</v>
          </cell>
          <cell r="V1586" t="str">
            <v>Tumor content 4-40%</v>
          </cell>
          <cell r="W1586" t="str">
            <v>Private Hospital</v>
          </cell>
          <cell r="X1586" t="str">
            <v>Vydehi Hospital, Bangalore</v>
          </cell>
          <cell r="Y1586" t="str">
            <v>Vydehi Hospital, Bangalore</v>
          </cell>
          <cell r="Z1586" t="str">
            <v>Dr Amritha Prabha, Bangalore</v>
          </cell>
          <cell r="AA1586" t="str">
            <v>HNSCC</v>
          </cell>
          <cell r="AB1586" t="str">
            <v>NA</v>
          </cell>
          <cell r="AC1586" t="str">
            <v>Buccal Mucosa</v>
          </cell>
          <cell r="AD1586" t="str">
            <v>Left Buccal Mucosa</v>
          </cell>
          <cell r="AE1586" t="str">
            <v>Male</v>
          </cell>
          <cell r="AF1586">
            <v>58</v>
          </cell>
          <cell r="AG1586" t="str">
            <v>N</v>
          </cell>
          <cell r="AH1586">
            <v>5.0999999999999996</v>
          </cell>
          <cell r="AI1586" t="str">
            <v>Kalappa</v>
          </cell>
          <cell r="AJ1586" t="str">
            <v>Surgery</v>
          </cell>
          <cell r="AK1586" t="str">
            <v>Primary</v>
          </cell>
          <cell r="AL1586" t="str">
            <v>NA</v>
          </cell>
          <cell r="AS1586" t="str">
            <v>SCC</v>
          </cell>
          <cell r="AV1586">
            <v>45985</v>
          </cell>
          <cell r="AW1586">
            <v>0.67152777777777772</v>
          </cell>
          <cell r="AX1586">
            <v>0.74583333333333335</v>
          </cell>
          <cell r="AY1586">
            <v>7.4305555555555555E-2</v>
          </cell>
          <cell r="AZ1586">
            <v>0.5493055555555556</v>
          </cell>
          <cell r="BA1586">
            <v>0.28888888888888886</v>
          </cell>
          <cell r="BB1586" t="str">
            <v>0.2-0.4*0.2-1.2*1.8-2.0</v>
          </cell>
          <cell r="BC1586" t="str">
            <v>NA</v>
          </cell>
          <cell r="BD1586" t="str">
            <v>Vibratome</v>
          </cell>
          <cell r="BE1586">
            <v>15</v>
          </cell>
          <cell r="BF1586" t="str">
            <v>Mano</v>
          </cell>
          <cell r="BG1586" t="str">
            <v>Y</v>
          </cell>
        </row>
        <row r="1587">
          <cell r="A1587" t="str">
            <v>FBR1Y250318</v>
          </cell>
          <cell r="B1587">
            <v>250318</v>
          </cell>
          <cell r="C1587" t="str">
            <v>R&amp;D</v>
          </cell>
          <cell r="D1587">
            <v>45986</v>
          </cell>
          <cell r="E1587">
            <v>0.36527777777777776</v>
          </cell>
          <cell r="F1587">
            <v>45962</v>
          </cell>
          <cell r="G1587">
            <v>45986</v>
          </cell>
          <cell r="H1587">
            <v>0.62013888888888891</v>
          </cell>
          <cell r="I1587">
            <v>0.25486111111111109</v>
          </cell>
          <cell r="J1587">
            <v>2</v>
          </cell>
          <cell r="K1587" t="str">
            <v>FCB-PROTOCOL-01</v>
          </cell>
          <cell r="L1587" t="str">
            <v>VYD/449</v>
          </cell>
          <cell r="M1587" t="str">
            <v>Y</v>
          </cell>
          <cell r="N1587" t="str">
            <v>CCS Study (1Y)</v>
          </cell>
          <cell r="O1587" t="str">
            <v>Internal R&amp;D</v>
          </cell>
          <cell r="P1587" t="str">
            <v>Q1 Passed</v>
          </cell>
          <cell r="Q1587" t="str">
            <v>Q1 Passed</v>
          </cell>
          <cell r="R1587" t="str">
            <v>Q1.5 Passed</v>
          </cell>
          <cell r="S1587" t="str">
            <v>Qualified</v>
          </cell>
          <cell r="T1587" t="str">
            <v>NA</v>
          </cell>
          <cell r="V1587" t="str">
            <v>Tumor content 65-80%</v>
          </cell>
          <cell r="W1587" t="str">
            <v>Private Hospital</v>
          </cell>
          <cell r="X1587" t="str">
            <v>Vydehi Hospital, Bangalore</v>
          </cell>
          <cell r="Y1587" t="str">
            <v>Vydehi Hospital, Bangalore</v>
          </cell>
          <cell r="Z1587" t="str">
            <v>Dr Amritha Prabha, Bangalore</v>
          </cell>
          <cell r="AA1587" t="str">
            <v>HNSCC</v>
          </cell>
          <cell r="AB1587" t="str">
            <v>NA</v>
          </cell>
          <cell r="AC1587" t="str">
            <v>Buccal Mucosa</v>
          </cell>
          <cell r="AD1587" t="str">
            <v>Left Buccal Mucosa</v>
          </cell>
          <cell r="AE1587" t="str">
            <v>Male</v>
          </cell>
          <cell r="AF1587">
            <v>64</v>
          </cell>
          <cell r="AG1587" t="str">
            <v>N</v>
          </cell>
          <cell r="AH1587">
            <v>4.9000000000000004</v>
          </cell>
          <cell r="AI1587" t="str">
            <v>Shashi</v>
          </cell>
          <cell r="AJ1587" t="str">
            <v>Surgery</v>
          </cell>
          <cell r="AK1587" t="str">
            <v>Primary</v>
          </cell>
          <cell r="AL1587" t="str">
            <v>NA</v>
          </cell>
          <cell r="AS1587" t="str">
            <v>SCC</v>
          </cell>
          <cell r="AV1587">
            <v>45986</v>
          </cell>
          <cell r="AW1587">
            <v>0.63263888888888886</v>
          </cell>
          <cell r="AX1587">
            <v>0.69027777777777777</v>
          </cell>
          <cell r="AY1587">
            <v>5.7638888888888892E-2</v>
          </cell>
          <cell r="AZ1587">
            <v>0.43541666666666667</v>
          </cell>
          <cell r="BA1587">
            <v>0.32500000000000001</v>
          </cell>
          <cell r="BB1587" t="str">
            <v>0.4*0.5*0.9
0.4*0.5*1.0</v>
          </cell>
          <cell r="BC1587" t="str">
            <v>NA</v>
          </cell>
          <cell r="BD1587" t="str">
            <v>Vibratome</v>
          </cell>
          <cell r="BE1587">
            <v>15</v>
          </cell>
          <cell r="BF1587" t="str">
            <v>Mano</v>
          </cell>
          <cell r="BG1587" t="str">
            <v>N</v>
          </cell>
        </row>
        <row r="1588">
          <cell r="A1588" t="str">
            <v>FBR1J250319</v>
          </cell>
          <cell r="B1588">
            <v>250319</v>
          </cell>
          <cell r="C1588" t="str">
            <v>R&amp;D</v>
          </cell>
          <cell r="D1588">
            <v>45987</v>
          </cell>
          <cell r="E1588">
            <v>0.6020833333333333</v>
          </cell>
          <cell r="F1588">
            <v>45962</v>
          </cell>
          <cell r="G1588">
            <v>45987</v>
          </cell>
          <cell r="H1588">
            <v>0.7055555555555556</v>
          </cell>
          <cell r="I1588">
            <v>0.10347222222222222</v>
          </cell>
          <cell r="J1588">
            <v>2</v>
          </cell>
          <cell r="K1588" t="str">
            <v>FCB-PROTOCOL-01</v>
          </cell>
          <cell r="L1588" t="str">
            <v>VYD/450</v>
          </cell>
          <cell r="M1588" t="str">
            <v>Y</v>
          </cell>
          <cell r="N1588" t="str">
            <v>COS_v3.0-Gastric (1J)</v>
          </cell>
          <cell r="O1588" t="str">
            <v>Internal R&amp;D</v>
          </cell>
          <cell r="P1588" t="str">
            <v>Q1 Passed</v>
          </cell>
          <cell r="Q1588" t="str">
            <v>Q1 Passed</v>
          </cell>
          <cell r="R1588" t="str">
            <v>Q1.5 Passed</v>
          </cell>
          <cell r="S1588" t="str">
            <v>Qualified</v>
          </cell>
          <cell r="T1588" t="str">
            <v>NA</v>
          </cell>
          <cell r="V1588" t="str">
            <v>Tumor content 75-95%</v>
          </cell>
          <cell r="W1588" t="str">
            <v>Private Hospital</v>
          </cell>
          <cell r="X1588" t="str">
            <v>Vydehi Hospital, Bangalore</v>
          </cell>
          <cell r="Y1588" t="str">
            <v>Vydehi Hospital, Bangalore</v>
          </cell>
          <cell r="Z1588" t="str">
            <v>Dr Amritha Prabha, Bangalore</v>
          </cell>
          <cell r="AA1588" t="str">
            <v>GI</v>
          </cell>
          <cell r="AB1588" t="str">
            <v>NA</v>
          </cell>
          <cell r="AC1588" t="str">
            <v>Stomach</v>
          </cell>
          <cell r="AD1588" t="str">
            <v>Stomach</v>
          </cell>
          <cell r="AE1588" t="str">
            <v>Female</v>
          </cell>
          <cell r="AF1588">
            <v>47</v>
          </cell>
          <cell r="AG1588" t="str">
            <v>N</v>
          </cell>
          <cell r="AH1588">
            <v>6.7</v>
          </cell>
          <cell r="AI1588" t="str">
            <v>Maruthi</v>
          </cell>
          <cell r="AJ1588" t="str">
            <v>Surgery</v>
          </cell>
          <cell r="AK1588" t="str">
            <v>Primary</v>
          </cell>
          <cell r="AL1588" t="str">
            <v>Chemotherapy</v>
          </cell>
          <cell r="AQ1588">
            <v>4</v>
          </cell>
          <cell r="AR1588" t="str">
            <v>FLOT</v>
          </cell>
          <cell r="AS1588" t="str">
            <v>Adenocarcinoma</v>
          </cell>
          <cell r="AT1588" t="str">
            <v>Yes</v>
          </cell>
          <cell r="AU1588" t="str">
            <v>FLOT-4Cycle</v>
          </cell>
          <cell r="AV1588">
            <v>45987</v>
          </cell>
          <cell r="AW1588">
            <v>0.72083333333333333</v>
          </cell>
          <cell r="AX1588">
            <v>0.77430555555555558</v>
          </cell>
          <cell r="AY1588">
            <v>5.347222222222222E-2</v>
          </cell>
          <cell r="AZ1588">
            <v>0.67083333333333328</v>
          </cell>
          <cell r="BA1588">
            <v>0.17222222222222222</v>
          </cell>
          <cell r="BB1588" t="str">
            <v>Multiple tissue
0.2-0.3</v>
          </cell>
          <cell r="BC1588" t="str">
            <v>NA</v>
          </cell>
          <cell r="BD1588" t="str">
            <v>Manual</v>
          </cell>
          <cell r="BE1588">
            <v>13</v>
          </cell>
          <cell r="BF1588" t="str">
            <v>Vasanth</v>
          </cell>
          <cell r="BG1588" t="str">
            <v>Y</v>
          </cell>
        </row>
        <row r="1589">
          <cell r="A1589" t="str">
            <v>FBR1Y250320</v>
          </cell>
          <cell r="B1589">
            <v>250320</v>
          </cell>
          <cell r="C1589" t="str">
            <v>R&amp;D</v>
          </cell>
          <cell r="D1589">
            <v>45988</v>
          </cell>
          <cell r="E1589">
            <v>0.55277777777777781</v>
          </cell>
          <cell r="F1589">
            <v>45962</v>
          </cell>
          <cell r="G1589">
            <v>45988</v>
          </cell>
          <cell r="H1589">
            <v>0.67847222222222225</v>
          </cell>
          <cell r="I1589">
            <v>0.12569444444444444</v>
          </cell>
          <cell r="J1589">
            <v>1</v>
          </cell>
          <cell r="K1589" t="str">
            <v>FCB-PROTOCOL-01</v>
          </cell>
          <cell r="L1589" t="str">
            <v>VYD/451</v>
          </cell>
          <cell r="M1589" t="str">
            <v>Y</v>
          </cell>
          <cell r="N1589" t="str">
            <v>CCS Study (1Y)</v>
          </cell>
          <cell r="O1589" t="str">
            <v>Internal R&amp;D</v>
          </cell>
          <cell r="P1589" t="str">
            <v>Q1 Passed</v>
          </cell>
          <cell r="Q1589" t="str">
            <v>Q1 Passed</v>
          </cell>
          <cell r="R1589" t="str">
            <v>Q1.5 Passed</v>
          </cell>
          <cell r="S1589" t="str">
            <v>Qualified</v>
          </cell>
          <cell r="T1589" t="str">
            <v>NA</v>
          </cell>
          <cell r="V1589" t="str">
            <v>Tumor content 5-55%</v>
          </cell>
          <cell r="W1589" t="str">
            <v>Private Hospital</v>
          </cell>
          <cell r="X1589" t="str">
            <v>Vydehi Hospital, Bangalore</v>
          </cell>
          <cell r="Y1589" t="str">
            <v>Vydehi Hospital, Bangalore</v>
          </cell>
          <cell r="Z1589" t="str">
            <v>Dr Amritha Prabha, Bangalore</v>
          </cell>
          <cell r="AA1589" t="str">
            <v>HNSCC</v>
          </cell>
          <cell r="AB1589" t="str">
            <v>NA</v>
          </cell>
          <cell r="AC1589" t="str">
            <v>Tongue</v>
          </cell>
          <cell r="AD1589" t="str">
            <v>Left Lateral border of Tongue</v>
          </cell>
          <cell r="AE1589" t="str">
            <v>Male</v>
          </cell>
          <cell r="AF1589">
            <v>57</v>
          </cell>
          <cell r="AG1589" t="str">
            <v>N</v>
          </cell>
          <cell r="AH1589">
            <v>4.7</v>
          </cell>
          <cell r="AI1589" t="str">
            <v>Kalappa</v>
          </cell>
          <cell r="AJ1589" t="str">
            <v>Surgery</v>
          </cell>
          <cell r="AK1589" t="str">
            <v>Primary</v>
          </cell>
          <cell r="AL1589" t="str">
            <v>NA</v>
          </cell>
          <cell r="AS1589" t="str">
            <v>SCC</v>
          </cell>
          <cell r="AV1589">
            <v>45988</v>
          </cell>
          <cell r="AW1589">
            <v>0.68958333333333333</v>
          </cell>
          <cell r="AX1589">
            <v>0.76736111111111116</v>
          </cell>
          <cell r="AY1589">
            <v>7.7777777777777779E-2</v>
          </cell>
          <cell r="AZ1589">
            <v>0.64166666666666672</v>
          </cell>
          <cell r="BA1589">
            <v>0.21458333333333332</v>
          </cell>
          <cell r="BB1589" t="str">
            <v>0.4-0.5/0.2*0.4-0.8*1.2</v>
          </cell>
          <cell r="BC1589" t="str">
            <v>NA</v>
          </cell>
          <cell r="BD1589" t="str">
            <v>Vibratome</v>
          </cell>
          <cell r="BE1589">
            <v>15</v>
          </cell>
          <cell r="BF1589" t="str">
            <v>Abdul</v>
          </cell>
          <cell r="BG1589" t="str">
            <v>Y</v>
          </cell>
        </row>
        <row r="1590">
          <cell r="A1590" t="str">
            <v>FBR1Y250321</v>
          </cell>
          <cell r="B1590">
            <v>250321</v>
          </cell>
          <cell r="C1590" t="str">
            <v>R&amp;D</v>
          </cell>
          <cell r="D1590">
            <v>45988</v>
          </cell>
          <cell r="E1590">
            <v>0.58333333333333337</v>
          </cell>
          <cell r="F1590">
            <v>45962</v>
          </cell>
          <cell r="G1590">
            <v>45988</v>
          </cell>
          <cell r="H1590">
            <v>0.7</v>
          </cell>
          <cell r="I1590">
            <v>0.11666666666666667</v>
          </cell>
          <cell r="J1590">
            <v>5</v>
          </cell>
          <cell r="K1590" t="str">
            <v>FCB-PROTOCOL-01</v>
          </cell>
          <cell r="L1590" t="str">
            <v>SIMS-020</v>
          </cell>
          <cell r="M1590" t="str">
            <v>Y</v>
          </cell>
          <cell r="N1590" t="str">
            <v>CCS Study (1Y)</v>
          </cell>
          <cell r="O1590" t="str">
            <v>Internal R&amp;D</v>
          </cell>
          <cell r="P1590" t="str">
            <v>Q1 Passed</v>
          </cell>
          <cell r="Q1590" t="str">
            <v>Q1 Passed</v>
          </cell>
          <cell r="R1590" t="str">
            <v>Q1.5 Passed</v>
          </cell>
          <cell r="S1590" t="str">
            <v>Qualified</v>
          </cell>
          <cell r="T1590" t="str">
            <v>NA</v>
          </cell>
          <cell r="V1590" t="str">
            <v>Tumor content 0-15%. Average tumor content 5%</v>
          </cell>
          <cell r="W1590" t="str">
            <v>Private Hospital</v>
          </cell>
          <cell r="X1590" t="str">
            <v>Sapthagiri ClinTrac Pvt Ltd</v>
          </cell>
          <cell r="Y1590" t="str">
            <v>Sapthagiri Institute of Medical Sciences</v>
          </cell>
          <cell r="Z1590" t="str">
            <v>Dr Nataraj</v>
          </cell>
          <cell r="AA1590" t="str">
            <v>HNSCC</v>
          </cell>
          <cell r="AB1590" t="str">
            <v>NA</v>
          </cell>
          <cell r="AC1590" t="str">
            <v>Tongue</v>
          </cell>
          <cell r="AD1590" t="str">
            <v>Left Lateral border of Tongue</v>
          </cell>
          <cell r="AE1590" t="str">
            <v>Male</v>
          </cell>
          <cell r="AF1590">
            <v>64</v>
          </cell>
          <cell r="AG1590" t="str">
            <v>N</v>
          </cell>
          <cell r="AH1590">
            <v>5.3</v>
          </cell>
          <cell r="AI1590" t="str">
            <v>Shashi</v>
          </cell>
          <cell r="AJ1590" t="str">
            <v>Surgery</v>
          </cell>
          <cell r="AK1590" t="str">
            <v>Primary</v>
          </cell>
          <cell r="AL1590" t="str">
            <v>NA</v>
          </cell>
          <cell r="AT1590" t="str">
            <v>Yes</v>
          </cell>
          <cell r="AU1590" t="str">
            <v>Based on Histopath</v>
          </cell>
          <cell r="AV1590">
            <v>45988</v>
          </cell>
          <cell r="AW1590">
            <v>0.72291666666666665</v>
          </cell>
          <cell r="AX1590">
            <v>0.80208333333333337</v>
          </cell>
          <cell r="AY1590">
            <v>7.9166666666666663E-2</v>
          </cell>
          <cell r="AZ1590">
            <v>0.68541666666666667</v>
          </cell>
          <cell r="BA1590">
            <v>0.21875</v>
          </cell>
          <cell r="BB1590" t="str">
            <v>0.6*0.8-1.2*1.7</v>
          </cell>
          <cell r="BC1590" t="str">
            <v>NA</v>
          </cell>
          <cell r="BD1590" t="str">
            <v>Vibratome</v>
          </cell>
          <cell r="BE1590">
            <v>15</v>
          </cell>
          <cell r="BF1590" t="str">
            <v>Jobin</v>
          </cell>
          <cell r="BG1590" t="str">
            <v>Y</v>
          </cell>
        </row>
        <row r="1591">
          <cell r="A1591" t="str">
            <v>FBR2U250322</v>
          </cell>
          <cell r="B1591">
            <v>250322</v>
          </cell>
          <cell r="C1591" t="str">
            <v>R&amp;D</v>
          </cell>
          <cell r="D1591">
            <v>45988</v>
          </cell>
          <cell r="E1591">
            <v>0.4861111111111111</v>
          </cell>
          <cell r="F1591">
            <v>45962</v>
          </cell>
          <cell r="G1591">
            <v>45988</v>
          </cell>
          <cell r="H1591">
            <v>0.83611111111111114</v>
          </cell>
          <cell r="I1591">
            <v>0.35</v>
          </cell>
          <cell r="J1591">
            <v>10</v>
          </cell>
          <cell r="K1591" t="str">
            <v>FCB-PROTOCOL-01</v>
          </cell>
          <cell r="L1591" t="str">
            <v>CLN/DBR/259</v>
          </cell>
          <cell r="M1591" t="str">
            <v>Y</v>
          </cell>
          <cell r="N1591" t="str">
            <v>NIC (2U)</v>
          </cell>
          <cell r="O1591" t="str">
            <v>Internal R&amp;D</v>
          </cell>
          <cell r="P1591" t="str">
            <v>Q1 Passed</v>
          </cell>
          <cell r="Q1591" t="str">
            <v>Q1 Rejected</v>
          </cell>
          <cell r="R1591" t="str">
            <v>Q1.5 Passed</v>
          </cell>
          <cell r="S1591" t="str">
            <v>Qualified</v>
          </cell>
          <cell r="T1591" t="str">
            <v>Blood Clotted</v>
          </cell>
          <cell r="V1591" t="str">
            <v>Tumor content 3-80%</v>
          </cell>
          <cell r="W1591" t="str">
            <v>Private Hospital</v>
          </cell>
          <cell r="X1591" t="str">
            <v>Clinic'les- DBR &amp; SK Hospital, Tirupati</v>
          </cell>
          <cell r="Y1591" t="str">
            <v>DBR &amp; SK Hospital, Tirupati</v>
          </cell>
          <cell r="Z1591" t="str">
            <v>Dr C Jayaprakash, Tirupati</v>
          </cell>
          <cell r="AA1591" t="str">
            <v>HNSCC</v>
          </cell>
          <cell r="AB1591" t="str">
            <v>NA</v>
          </cell>
          <cell r="AC1591" t="str">
            <v>Buccal Mucosa</v>
          </cell>
          <cell r="AD1591" t="str">
            <v>Right Buccal Mucosa</v>
          </cell>
          <cell r="AE1591" t="str">
            <v>Male</v>
          </cell>
          <cell r="AF1591">
            <v>47</v>
          </cell>
          <cell r="AG1591" t="str">
            <v>N</v>
          </cell>
          <cell r="AH1591">
            <v>6.5</v>
          </cell>
          <cell r="AI1591" t="str">
            <v>Maruthi</v>
          </cell>
          <cell r="AJ1591" t="str">
            <v>Surgery</v>
          </cell>
          <cell r="AK1591" t="str">
            <v>Primary</v>
          </cell>
          <cell r="AL1591" t="str">
            <v>NA</v>
          </cell>
          <cell r="AV1591">
            <v>45988</v>
          </cell>
          <cell r="AW1591">
            <v>0.85</v>
          </cell>
          <cell r="AX1591">
            <v>0.93819444444444444</v>
          </cell>
          <cell r="AY1591">
            <v>8.819444444444445E-2</v>
          </cell>
          <cell r="AZ1591">
            <v>0.58819444444444446</v>
          </cell>
          <cell r="BA1591">
            <v>0.45208333333333334</v>
          </cell>
          <cell r="BB1591" t="str">
            <v>0.2*0.2-0.4*0.9
0.2-0.6*1.0-1.2*2.0</v>
          </cell>
          <cell r="BC1591" t="str">
            <v>NA</v>
          </cell>
          <cell r="BD1591" t="str">
            <v>Vibratome</v>
          </cell>
          <cell r="BE1591">
            <v>15</v>
          </cell>
          <cell r="BF1591" t="str">
            <v>Mouniss</v>
          </cell>
          <cell r="BG1591" t="str">
            <v>N</v>
          </cell>
        </row>
        <row r="1592">
          <cell r="A1592" t="str">
            <v>FBR1K250323</v>
          </cell>
          <cell r="B1592">
            <v>250323</v>
          </cell>
          <cell r="C1592" t="str">
            <v>R&amp;D</v>
          </cell>
          <cell r="D1592">
            <v>45989</v>
          </cell>
          <cell r="E1592">
            <v>0.4548611111111111</v>
          </cell>
          <cell r="F1592">
            <v>45962</v>
          </cell>
          <cell r="G1592">
            <v>45989</v>
          </cell>
          <cell r="H1592">
            <v>0.68472222222222223</v>
          </cell>
          <cell r="I1592">
            <v>0.2298611111111111</v>
          </cell>
          <cell r="J1592">
            <v>2</v>
          </cell>
          <cell r="K1592" t="str">
            <v>FCB-PROTOCOL-01</v>
          </cell>
          <cell r="L1592" t="str">
            <v>VYD/452</v>
          </cell>
          <cell r="M1592" t="str">
            <v>Y</v>
          </cell>
          <cell r="N1592" t="str">
            <v>DMS_v4(1K)</v>
          </cell>
          <cell r="O1592" t="str">
            <v>Internal R&amp;D</v>
          </cell>
          <cell r="P1592" t="str">
            <v>Q1 Passed</v>
          </cell>
          <cell r="Q1592" t="str">
            <v>Q1 Passed</v>
          </cell>
          <cell r="R1592" t="str">
            <v>Q1.5 Passed</v>
          </cell>
          <cell r="S1592" t="str">
            <v>Qualified</v>
          </cell>
          <cell r="T1592" t="str">
            <v>NA</v>
          </cell>
          <cell r="V1592" t="str">
            <v>Tumor content 40-75%</v>
          </cell>
          <cell r="W1592" t="str">
            <v>Private Hospital</v>
          </cell>
          <cell r="X1592" t="str">
            <v>Vydehi Hospital, Bangalore</v>
          </cell>
          <cell r="Y1592" t="str">
            <v>Vydehi Hospital, Bangalore</v>
          </cell>
          <cell r="Z1592" t="str">
            <v>Dr Amritha Prabha, Bangalore</v>
          </cell>
          <cell r="AA1592" t="str">
            <v>HNSCC</v>
          </cell>
          <cell r="AB1592" t="str">
            <v>NA</v>
          </cell>
          <cell r="AC1592" t="str">
            <v>Tongue</v>
          </cell>
          <cell r="AD1592" t="str">
            <v>Right Buccal Mucosa</v>
          </cell>
          <cell r="AE1592" t="str">
            <v>Male</v>
          </cell>
          <cell r="AF1592">
            <v>55</v>
          </cell>
          <cell r="AG1592" t="str">
            <v>N</v>
          </cell>
          <cell r="AH1592">
            <v>4.2</v>
          </cell>
          <cell r="AI1592" t="str">
            <v>Kalappa</v>
          </cell>
          <cell r="AJ1592" t="str">
            <v>Surgery</v>
          </cell>
          <cell r="AK1592" t="str">
            <v>Primary</v>
          </cell>
          <cell r="AL1592" t="str">
            <v>NA</v>
          </cell>
          <cell r="AV1592">
            <v>45989</v>
          </cell>
          <cell r="AW1592">
            <v>0.69444444444444442</v>
          </cell>
          <cell r="AX1592">
            <v>0.76944444444444449</v>
          </cell>
          <cell r="AY1592">
            <v>7.4999999999999997E-2</v>
          </cell>
          <cell r="AZ1592">
            <v>0.5395833333333333</v>
          </cell>
          <cell r="BA1592">
            <v>0.31458333333333333</v>
          </cell>
          <cell r="BB1592" t="str">
            <v>0.2-0.6*0.6-0.9*0.6-1.1</v>
          </cell>
          <cell r="BC1592" t="str">
            <v>NA</v>
          </cell>
          <cell r="BD1592" t="str">
            <v>Vibratome</v>
          </cell>
          <cell r="BE1592">
            <v>15</v>
          </cell>
          <cell r="BF1592" t="str">
            <v>Mouniss</v>
          </cell>
          <cell r="BG1592" t="str">
            <v>Y</v>
          </cell>
        </row>
        <row r="1593">
          <cell r="A1593" t="str">
            <v>FBR2A250324</v>
          </cell>
          <cell r="B1593">
            <v>250324</v>
          </cell>
          <cell r="C1593" t="str">
            <v>R&amp;D</v>
          </cell>
          <cell r="D1593">
            <v>45992</v>
          </cell>
          <cell r="E1593">
            <v>0.43611111111111112</v>
          </cell>
          <cell r="F1593">
            <v>45992</v>
          </cell>
          <cell r="G1593">
            <v>45992</v>
          </cell>
          <cell r="H1593">
            <v>0.58611111111111114</v>
          </cell>
          <cell r="I1593">
            <v>0.15</v>
          </cell>
          <cell r="J1593">
            <v>1</v>
          </cell>
          <cell r="K1593" t="str">
            <v>FCB-PROTOCOL-01</v>
          </cell>
          <cell r="L1593" t="str">
            <v>VYD/453</v>
          </cell>
          <cell r="M1593" t="str">
            <v>Y</v>
          </cell>
          <cell r="N1593" t="str">
            <v>Ovary CC (2A)</v>
          </cell>
          <cell r="O1593" t="str">
            <v>Internal R&amp;D</v>
          </cell>
          <cell r="P1593" t="str">
            <v>Q1 Passed</v>
          </cell>
          <cell r="Q1593" t="str">
            <v>Q1 Passed</v>
          </cell>
          <cell r="R1593" t="str">
            <v>Q1.5 Passed</v>
          </cell>
          <cell r="S1593" t="str">
            <v>Rejected</v>
          </cell>
          <cell r="T1593" t="str">
            <v>No Tumor</v>
          </cell>
          <cell r="V1593" t="str">
            <v>Occasional cells seen in 1-2 fragments, others no tumor</v>
          </cell>
          <cell r="W1593" t="str">
            <v>Private Hospital</v>
          </cell>
          <cell r="X1593" t="str">
            <v>Vydehi Hospital, Bangalore</v>
          </cell>
          <cell r="Y1593" t="str">
            <v>Vydehi Hospital, Bangalore</v>
          </cell>
          <cell r="Z1593" t="str">
            <v>Dr Amritha Prabha, Bangalore</v>
          </cell>
          <cell r="AA1593" t="str">
            <v>Ca Ovary</v>
          </cell>
          <cell r="AB1593" t="str">
            <v>NA</v>
          </cell>
          <cell r="AC1593" t="str">
            <v>Omentum</v>
          </cell>
          <cell r="AD1593" t="str">
            <v>Omentum</v>
          </cell>
          <cell r="AE1593" t="str">
            <v>Female</v>
          </cell>
          <cell r="AF1593">
            <v>52</v>
          </cell>
          <cell r="AG1593" t="str">
            <v>N</v>
          </cell>
          <cell r="AH1593">
            <v>5.8</v>
          </cell>
          <cell r="AI1593" t="str">
            <v>Maruthi</v>
          </cell>
          <cell r="AJ1593" t="str">
            <v>Surgery</v>
          </cell>
          <cell r="AK1593" t="str">
            <v>Primary</v>
          </cell>
          <cell r="AL1593" t="str">
            <v>Chemotherapy</v>
          </cell>
          <cell r="AQ1593">
            <v>3</v>
          </cell>
          <cell r="AR1593" t="str">
            <v>Paclitaxel &amp; Carboplatin</v>
          </cell>
          <cell r="AS1593" t="str">
            <v>High grade adenocarcinoma</v>
          </cell>
          <cell r="AV1593">
            <v>45992</v>
          </cell>
          <cell r="AW1593">
            <v>0.60624999999999996</v>
          </cell>
          <cell r="AX1593">
            <v>0.6791666666666667</v>
          </cell>
          <cell r="AY1593">
            <v>7.2916666666666671E-2</v>
          </cell>
          <cell r="AZ1593">
            <v>0.52916666666666667</v>
          </cell>
          <cell r="BA1593">
            <v>0.24305555555555555</v>
          </cell>
          <cell r="BB1593" t="str">
            <v>1.0*1.9*3.2
0.6*1.0-1.3*2.2</v>
          </cell>
          <cell r="BC1593" t="str">
            <v>0.4-0.8*1.3*1.1
0.4-0.6*1.2*1.2-1.4
0.2*0.7*0.7-0.8</v>
          </cell>
          <cell r="BD1593" t="str">
            <v>Vibratome</v>
          </cell>
          <cell r="BE1593">
            <v>14</v>
          </cell>
          <cell r="BF1593" t="str">
            <v>Jobin</v>
          </cell>
          <cell r="BG1593" t="str">
            <v>Y</v>
          </cell>
        </row>
        <row r="1594">
          <cell r="A1594" t="str">
            <v>FBR2A250325</v>
          </cell>
          <cell r="B1594">
            <v>250325</v>
          </cell>
          <cell r="C1594" t="str">
            <v>R&amp;D</v>
          </cell>
          <cell r="D1594">
            <v>45992</v>
          </cell>
          <cell r="E1594">
            <v>0.54166666666666663</v>
          </cell>
          <cell r="F1594">
            <v>45992</v>
          </cell>
          <cell r="G1594">
            <v>45992</v>
          </cell>
          <cell r="H1594">
            <v>0.70625000000000004</v>
          </cell>
          <cell r="I1594">
            <v>0.16458333333333333</v>
          </cell>
          <cell r="J1594">
            <v>15</v>
          </cell>
          <cell r="K1594" t="str">
            <v>FCB-PROTOCOL-01</v>
          </cell>
          <cell r="L1594" t="str">
            <v>JSS-075</v>
          </cell>
          <cell r="M1594" t="str">
            <v>Y</v>
          </cell>
          <cell r="N1594" t="str">
            <v>Ovary CC (2A)</v>
          </cell>
          <cell r="O1594" t="str">
            <v>Internal R&amp;D</v>
          </cell>
          <cell r="P1594" t="str">
            <v>Q1 Passed</v>
          </cell>
          <cell r="Q1594" t="str">
            <v>Q1 Passed</v>
          </cell>
          <cell r="R1594" t="str">
            <v>Q1.5 Passed</v>
          </cell>
          <cell r="S1594" t="str">
            <v>Qualified</v>
          </cell>
          <cell r="T1594" t="str">
            <v>NA</v>
          </cell>
          <cell r="V1594" t="str">
            <v>Tumor content 0-38%. Average tumor content 18%</v>
          </cell>
          <cell r="W1594" t="str">
            <v>Private Hospital</v>
          </cell>
          <cell r="X1594" t="str">
            <v>Dr Ravi Krishnappa, Mysore</v>
          </cell>
          <cell r="Y1594" t="str">
            <v>JSS Hospital, Mysore</v>
          </cell>
          <cell r="Z1594" t="str">
            <v>Dr Ravi Krishnappa, Mysore</v>
          </cell>
          <cell r="AA1594" t="str">
            <v>Ca Ovary</v>
          </cell>
          <cell r="AB1594" t="str">
            <v>NA</v>
          </cell>
          <cell r="AC1594" t="str">
            <v>Ovary</v>
          </cell>
          <cell r="AD1594" t="str">
            <v>Left Ovary</v>
          </cell>
          <cell r="AE1594" t="str">
            <v>Female</v>
          </cell>
          <cell r="AF1594">
            <v>56</v>
          </cell>
          <cell r="AG1594" t="str">
            <v>N</v>
          </cell>
          <cell r="AH1594">
            <v>5.3</v>
          </cell>
          <cell r="AI1594" t="str">
            <v>Shashi</v>
          </cell>
          <cell r="AJ1594" t="str">
            <v>Surgery</v>
          </cell>
          <cell r="AK1594" t="str">
            <v>Primary</v>
          </cell>
          <cell r="AL1594" t="str">
            <v>NA</v>
          </cell>
          <cell r="AO1594" t="str">
            <v>High Grade</v>
          </cell>
          <cell r="AV1594">
            <v>45992</v>
          </cell>
          <cell r="AW1594">
            <v>0.71666666666666667</v>
          </cell>
          <cell r="AX1594">
            <v>0.77638888888888891</v>
          </cell>
          <cell r="AY1594">
            <v>5.9722222222222225E-2</v>
          </cell>
          <cell r="AZ1594">
            <v>0.6118055555555556</v>
          </cell>
          <cell r="BA1594">
            <v>0.23472222222222222</v>
          </cell>
          <cell r="BB1594" t="str">
            <v>0.4-1.0*1.8*1.9</v>
          </cell>
          <cell r="BC1594" t="str">
            <v>NA</v>
          </cell>
          <cell r="BD1594" t="str">
            <v>Vibratome</v>
          </cell>
          <cell r="BE1594">
            <v>14</v>
          </cell>
          <cell r="BF1594" t="str">
            <v>Vasanth</v>
          </cell>
          <cell r="BG1594" t="str">
            <v>Y</v>
          </cell>
        </row>
        <row r="1595">
          <cell r="A1595" t="str">
            <v>FBR1A250326</v>
          </cell>
          <cell r="B1595">
            <v>250326</v>
          </cell>
          <cell r="C1595" t="str">
            <v>R&amp;D</v>
          </cell>
          <cell r="D1595">
            <v>45993</v>
          </cell>
          <cell r="E1595">
            <v>0.75</v>
          </cell>
          <cell r="F1595">
            <v>45992</v>
          </cell>
          <cell r="G1595">
            <v>45993</v>
          </cell>
          <cell r="H1595">
            <v>0.85138888888888886</v>
          </cell>
          <cell r="I1595">
            <v>0.10138888888888889</v>
          </cell>
          <cell r="J1595">
            <v>8</v>
          </cell>
          <cell r="K1595" t="str">
            <v>FCB-PROTOCOL-01</v>
          </cell>
          <cell r="L1595" t="str">
            <v>SIMS-021</v>
          </cell>
          <cell r="M1595" t="str">
            <v>Y</v>
          </cell>
          <cell r="N1595" t="str">
            <v>Other Indication (1A)</v>
          </cell>
          <cell r="O1595" t="str">
            <v>Internal R&amp;D</v>
          </cell>
          <cell r="P1595" t="str">
            <v>Q1 Passed</v>
          </cell>
          <cell r="Q1595" t="str">
            <v>Q1 Passed</v>
          </cell>
          <cell r="R1595" t="str">
            <v>Q1.5 Passed</v>
          </cell>
          <cell r="S1595" t="str">
            <v>Rejected</v>
          </cell>
          <cell r="T1595" t="str">
            <v>Plate Contaminated</v>
          </cell>
          <cell r="V1595" t="str">
            <v>No tumor</v>
          </cell>
          <cell r="W1595" t="str">
            <v>Private Hospital</v>
          </cell>
          <cell r="X1595" t="str">
            <v>Sapthagiri ClinTrac Pvt Ltd</v>
          </cell>
          <cell r="Y1595" t="str">
            <v>Sapthagiri Institute of Medical Sciences</v>
          </cell>
          <cell r="Z1595" t="str">
            <v>Dr Nataraj</v>
          </cell>
          <cell r="AA1595" t="str">
            <v>Pancreas</v>
          </cell>
          <cell r="AB1595" t="str">
            <v>NA</v>
          </cell>
          <cell r="AC1595" t="str">
            <v>Pancreas</v>
          </cell>
          <cell r="AD1595" t="str">
            <v>Pancreas</v>
          </cell>
          <cell r="AE1595" t="str">
            <v>Female</v>
          </cell>
          <cell r="AF1595">
            <v>46</v>
          </cell>
          <cell r="AG1595" t="str">
            <v>N</v>
          </cell>
          <cell r="AH1595">
            <v>5.8</v>
          </cell>
          <cell r="AI1595" t="str">
            <v>Kalappa</v>
          </cell>
          <cell r="AJ1595" t="str">
            <v>Surgery</v>
          </cell>
          <cell r="AK1595" t="str">
            <v>Primary</v>
          </cell>
          <cell r="AL1595" t="str">
            <v>NA</v>
          </cell>
          <cell r="AV1595">
            <v>45993</v>
          </cell>
          <cell r="AW1595">
            <v>0.86458333333333337</v>
          </cell>
          <cell r="AX1595">
            <v>0.90416666666666667</v>
          </cell>
          <cell r="AY1595">
            <v>3.9583333333333331E-2</v>
          </cell>
          <cell r="AZ1595">
            <v>0.80277777777777781</v>
          </cell>
          <cell r="BA1595">
            <v>0.15416666666666667</v>
          </cell>
          <cell r="BB1595" t="str">
            <v>0.4*1.2-1.4*2.2</v>
          </cell>
          <cell r="BC1595" t="str">
            <v>NA</v>
          </cell>
          <cell r="BD1595" t="str">
            <v>Manual</v>
          </cell>
          <cell r="BE1595">
            <v>14</v>
          </cell>
          <cell r="BF1595" t="str">
            <v>Dharani</v>
          </cell>
          <cell r="BG1595" t="str">
            <v>Y</v>
          </cell>
        </row>
        <row r="1596">
          <cell r="A1596" t="str">
            <v>FBR2U250327</v>
          </cell>
          <cell r="B1596">
            <v>250327</v>
          </cell>
          <cell r="C1596" t="str">
            <v>R&amp;D</v>
          </cell>
          <cell r="D1596">
            <v>45994</v>
          </cell>
          <cell r="E1596">
            <v>0.50694444444444442</v>
          </cell>
          <cell r="F1596">
            <v>45992</v>
          </cell>
          <cell r="G1596">
            <v>45994</v>
          </cell>
          <cell r="H1596">
            <v>0.85347222222222219</v>
          </cell>
          <cell r="I1596">
            <v>0.34652777777777777</v>
          </cell>
          <cell r="J1596">
            <v>10</v>
          </cell>
          <cell r="K1596" t="str">
            <v>FCB-PROTOCOL-01</v>
          </cell>
          <cell r="L1596" t="str">
            <v>CLN/DBR/260</v>
          </cell>
          <cell r="M1596" t="str">
            <v>Y</v>
          </cell>
          <cell r="N1596" t="str">
            <v>NIC (2U)</v>
          </cell>
          <cell r="O1596" t="str">
            <v>Internal R&amp;D</v>
          </cell>
          <cell r="P1596" t="str">
            <v>Q1 Passed</v>
          </cell>
          <cell r="Q1596" t="str">
            <v>Q1 Passed</v>
          </cell>
          <cell r="R1596" t="str">
            <v>Q1.5 Passed</v>
          </cell>
          <cell r="S1596" t="str">
            <v>Rejected</v>
          </cell>
          <cell r="T1596" t="str">
            <v>Plate Contaminated</v>
          </cell>
          <cell r="V1596" t="str">
            <v>Tumor content 70-90%</v>
          </cell>
          <cell r="W1596" t="str">
            <v>Private Hospital</v>
          </cell>
          <cell r="X1596" t="str">
            <v>Clinic'les- DBR &amp; SK Hospital, Tirupati</v>
          </cell>
          <cell r="Y1596" t="str">
            <v>DBR &amp; SK Hospital, Tirupati</v>
          </cell>
          <cell r="Z1596" t="str">
            <v>Dr C Jayaprakash, Tirupati</v>
          </cell>
          <cell r="AA1596" t="str">
            <v>HNSCC</v>
          </cell>
          <cell r="AB1596" t="str">
            <v>NA</v>
          </cell>
          <cell r="AC1596" t="str">
            <v>Buccal Mucosa</v>
          </cell>
          <cell r="AD1596" t="str">
            <v>Right Buccal Mucosa</v>
          </cell>
          <cell r="AE1596" t="str">
            <v>Female</v>
          </cell>
          <cell r="AF1596">
            <v>74</v>
          </cell>
          <cell r="AG1596" t="str">
            <v>N</v>
          </cell>
          <cell r="AH1596">
            <v>5.5</v>
          </cell>
          <cell r="AI1596" t="str">
            <v>Kalappa</v>
          </cell>
          <cell r="AJ1596" t="str">
            <v>Surgery</v>
          </cell>
          <cell r="AK1596" t="str">
            <v>Primary</v>
          </cell>
          <cell r="AL1596" t="str">
            <v>NA</v>
          </cell>
          <cell r="AV1596">
            <v>45994</v>
          </cell>
          <cell r="AW1596">
            <v>0.87361111111111112</v>
          </cell>
          <cell r="AX1596">
            <v>0.94791666666666663</v>
          </cell>
          <cell r="AY1596">
            <v>7.4305555555555555E-2</v>
          </cell>
          <cell r="AZ1596">
            <v>0.60138888888888886</v>
          </cell>
          <cell r="BA1596">
            <v>0.44097222222222221</v>
          </cell>
          <cell r="BB1596" t="str">
            <v>0.2-0.8*0.7-0.8*2.2
0.2-0.4*1.4*1.5-1.6</v>
          </cell>
          <cell r="BC1596" t="str">
            <v>NA</v>
          </cell>
          <cell r="BD1596" t="str">
            <v>Vibratome</v>
          </cell>
          <cell r="BE1596">
            <v>14</v>
          </cell>
          <cell r="BF1596" t="str">
            <v>Jobin</v>
          </cell>
          <cell r="BG1596" t="str">
            <v>N</v>
          </cell>
        </row>
        <row r="1597">
          <cell r="A1597" t="str">
            <v>FBR2G250327</v>
          </cell>
          <cell r="B1597">
            <v>250327</v>
          </cell>
          <cell r="C1597" t="str">
            <v>R&amp;D</v>
          </cell>
          <cell r="D1597">
            <v>45994</v>
          </cell>
          <cell r="E1597">
            <v>0.50694444444444442</v>
          </cell>
          <cell r="F1597">
            <v>45992</v>
          </cell>
          <cell r="G1597">
            <v>45994</v>
          </cell>
          <cell r="H1597">
            <v>0.85347222222222219</v>
          </cell>
          <cell r="I1597">
            <v>0.34652777777777777</v>
          </cell>
          <cell r="J1597">
            <v>10</v>
          </cell>
          <cell r="K1597" t="str">
            <v>FCB-PROTOCOL-01</v>
          </cell>
          <cell r="L1597" t="str">
            <v>CLN/DBR/260</v>
          </cell>
          <cell r="M1597" t="str">
            <v>Y</v>
          </cell>
          <cell r="N1597" t="str">
            <v>Microfragments (2G)</v>
          </cell>
          <cell r="O1597" t="str">
            <v>Internal R&amp;D</v>
          </cell>
          <cell r="P1597" t="str">
            <v>Q1 Passed</v>
          </cell>
          <cell r="Q1597" t="str">
            <v>Q1 Passed</v>
          </cell>
          <cell r="R1597" t="str">
            <v>Q1.5 Passed</v>
          </cell>
          <cell r="S1597" t="str">
            <v>Qualified</v>
          </cell>
          <cell r="V1597" t="str">
            <v>Tumor content 70-90%</v>
          </cell>
          <cell r="W1597" t="str">
            <v>Private Hospital</v>
          </cell>
          <cell r="X1597" t="str">
            <v>Clinic'les- DBR &amp; SK Hospital, Tirupati</v>
          </cell>
          <cell r="Y1597" t="str">
            <v>DBR &amp; SK Hospital, Tirupati</v>
          </cell>
          <cell r="Z1597" t="str">
            <v>Dr C Jayaprakash, Tirupati</v>
          </cell>
          <cell r="AA1597" t="str">
            <v>HNSCC</v>
          </cell>
          <cell r="AB1597" t="str">
            <v>NA</v>
          </cell>
          <cell r="AC1597" t="str">
            <v>Buccal Mucosa</v>
          </cell>
          <cell r="AD1597" t="str">
            <v>Right Buccal Mucosa</v>
          </cell>
          <cell r="AE1597" t="str">
            <v>Female</v>
          </cell>
          <cell r="AF1597">
            <v>74</v>
          </cell>
          <cell r="AG1597" t="str">
            <v>N</v>
          </cell>
          <cell r="AH1597">
            <v>5.5</v>
          </cell>
          <cell r="AI1597" t="str">
            <v>Kalappa</v>
          </cell>
          <cell r="AJ1597" t="str">
            <v>Surgery</v>
          </cell>
          <cell r="AK1597" t="str">
            <v>Primary</v>
          </cell>
          <cell r="AL1597" t="str">
            <v>NA</v>
          </cell>
          <cell r="AV1597">
            <v>45995</v>
          </cell>
          <cell r="AW1597">
            <v>0.87361111111111112</v>
          </cell>
          <cell r="AX1597">
            <v>0.94791666666666663</v>
          </cell>
          <cell r="AY1597">
            <v>7.4305555555555555E-2</v>
          </cell>
          <cell r="AZ1597">
            <v>0.60138888888888886</v>
          </cell>
          <cell r="BA1597">
            <v>0.44097222222222221</v>
          </cell>
          <cell r="BB1597" t="str">
            <v>0.2-0.8*0.7-0.8*2.2
0.2-0.4*1.4*1.5-1.6</v>
          </cell>
          <cell r="BC1597" t="str">
            <v>NA</v>
          </cell>
          <cell r="BD1597" t="str">
            <v>Vibratome</v>
          </cell>
          <cell r="BE1597">
            <v>14</v>
          </cell>
          <cell r="BF1597" t="str">
            <v>Kowshik</v>
          </cell>
          <cell r="BG1597" t="str">
            <v>N</v>
          </cell>
        </row>
        <row r="1598">
          <cell r="A1598" t="str">
            <v>FBR2S250328</v>
          </cell>
          <cell r="B1598">
            <v>250328</v>
          </cell>
          <cell r="C1598" t="str">
            <v>R&amp;D</v>
          </cell>
          <cell r="D1598">
            <v>45995</v>
          </cell>
          <cell r="E1598">
            <v>0.53125</v>
          </cell>
          <cell r="F1598">
            <v>45992</v>
          </cell>
          <cell r="G1598">
            <v>45995</v>
          </cell>
          <cell r="H1598">
            <v>0.62222222222222223</v>
          </cell>
          <cell r="I1598">
            <v>9.0972222222222218E-2</v>
          </cell>
          <cell r="J1598">
            <v>5</v>
          </cell>
          <cell r="K1598" t="str">
            <v>FCB-PROTOCOL-01</v>
          </cell>
          <cell r="L1598" t="str">
            <v>CLN/PRA/368</v>
          </cell>
          <cell r="M1598" t="str">
            <v>Y</v>
          </cell>
          <cell r="N1598" t="str">
            <v>Cos V1 (2S)</v>
          </cell>
          <cell r="O1598" t="str">
            <v>Internal R&amp;D</v>
          </cell>
          <cell r="P1598" t="str">
            <v>Q1 Passed</v>
          </cell>
          <cell r="Q1598" t="str">
            <v>Q1 Passed</v>
          </cell>
          <cell r="R1598" t="str">
            <v>Q1.5 Passed</v>
          </cell>
          <cell r="S1598" t="str">
            <v>Qualified</v>
          </cell>
          <cell r="T1598" t="str">
            <v>NA</v>
          </cell>
          <cell r="V1598" t="str">
            <v>Tumor content 0-15%. Average tumor content 7%</v>
          </cell>
          <cell r="W1598" t="str">
            <v>Private Hospital</v>
          </cell>
          <cell r="X1598" t="str">
            <v>Dr Prakash BV, Bangalore</v>
          </cell>
          <cell r="Y1598" t="str">
            <v>Sri Lakshmi Hospital, Bangalore</v>
          </cell>
          <cell r="Z1598" t="str">
            <v>Dr Prakash BV, Bangalore</v>
          </cell>
          <cell r="AA1598" t="str">
            <v>CRC</v>
          </cell>
          <cell r="AB1598" t="str">
            <v>NA</v>
          </cell>
          <cell r="AC1598" t="str">
            <v>colon</v>
          </cell>
          <cell r="AD1598" t="str">
            <v>Sigmoid Colon</v>
          </cell>
          <cell r="AE1598" t="str">
            <v>Male</v>
          </cell>
          <cell r="AF1598">
            <v>48</v>
          </cell>
          <cell r="AG1598" t="str">
            <v>N</v>
          </cell>
          <cell r="AH1598">
            <v>5.0999999999999996</v>
          </cell>
          <cell r="AI1598" t="str">
            <v>Kalappa</v>
          </cell>
          <cell r="AJ1598" t="str">
            <v>Surgery</v>
          </cell>
          <cell r="AK1598" t="str">
            <v>Primary</v>
          </cell>
          <cell r="AL1598" t="str">
            <v>NA</v>
          </cell>
          <cell r="AN1598" t="str">
            <v>I</v>
          </cell>
          <cell r="AP1598" t="str">
            <v>pT2N0M0</v>
          </cell>
          <cell r="AS1598" t="str">
            <v>Adenocarcinoma</v>
          </cell>
          <cell r="AV1598">
            <v>45995</v>
          </cell>
          <cell r="AW1598">
            <v>0.64097222222222228</v>
          </cell>
          <cell r="AX1598">
            <v>0.72777777777777775</v>
          </cell>
          <cell r="AY1598">
            <v>8.6805555555555552E-2</v>
          </cell>
          <cell r="AZ1598">
            <v>0.63680555555555551</v>
          </cell>
          <cell r="BA1598">
            <v>0.19652777777777777</v>
          </cell>
          <cell r="BB1598" t="str">
            <v>0.8-1.0*1.0-1.8*2.0-3.2</v>
          </cell>
          <cell r="BC1598" t="str">
            <v>0.8-1.0*1.0-1.8*2.0-3.2</v>
          </cell>
          <cell r="BD1598" t="str">
            <v>Manual</v>
          </cell>
          <cell r="BE1598">
            <v>13</v>
          </cell>
          <cell r="BF1598" t="str">
            <v>Mano</v>
          </cell>
          <cell r="BG1598" t="str">
            <v>Y</v>
          </cell>
        </row>
        <row r="1599">
          <cell r="A1599" t="str">
            <v>FBR2S250329</v>
          </cell>
          <cell r="B1599">
            <v>250329</v>
          </cell>
          <cell r="C1599" t="str">
            <v>R&amp;D</v>
          </cell>
          <cell r="D1599">
            <v>45996</v>
          </cell>
          <cell r="E1599">
            <v>0.56041666666666667</v>
          </cell>
          <cell r="F1599">
            <v>45992</v>
          </cell>
          <cell r="G1599">
            <v>45996</v>
          </cell>
          <cell r="H1599">
            <v>0.65138888888888891</v>
          </cell>
          <cell r="I1599">
            <v>9.0972222222222218E-2</v>
          </cell>
          <cell r="J1599">
            <v>3</v>
          </cell>
          <cell r="K1599" t="str">
            <v>FCB-PROTOCOL-01</v>
          </cell>
          <cell r="L1599" t="str">
            <v>CLN/PRA/369</v>
          </cell>
          <cell r="M1599" t="str">
            <v>Y</v>
          </cell>
          <cell r="N1599" t="str">
            <v>Cos V1 (2S)</v>
          </cell>
          <cell r="O1599" t="str">
            <v>Internal R&amp;D</v>
          </cell>
          <cell r="P1599" t="str">
            <v>Q1 Passed</v>
          </cell>
          <cell r="Q1599" t="str">
            <v>Q1 Passed</v>
          </cell>
          <cell r="R1599" t="str">
            <v>Q1.5 Passed</v>
          </cell>
          <cell r="S1599" t="str">
            <v>Rejected</v>
          </cell>
          <cell r="T1599" t="str">
            <v>NA</v>
          </cell>
          <cell r="V1599" t="str">
            <v>Tumor content 0-4%. Average tumor content 1%.Mucinous areas present</v>
          </cell>
          <cell r="W1599" t="str">
            <v>Private Hospital</v>
          </cell>
          <cell r="X1599" t="str">
            <v>Dr Prakash BV, Bangalore</v>
          </cell>
          <cell r="Y1599" t="str">
            <v>Sri Lakshmi Hospital, Bangalore</v>
          </cell>
          <cell r="Z1599" t="str">
            <v>Dr Prakash BV, Bangalore</v>
          </cell>
          <cell r="AA1599" t="str">
            <v>CRC</v>
          </cell>
          <cell r="AB1599" t="str">
            <v>NA</v>
          </cell>
          <cell r="AC1599" t="str">
            <v>colon</v>
          </cell>
          <cell r="AD1599" t="str">
            <v>Sigmoid Colon</v>
          </cell>
          <cell r="AE1599" t="str">
            <v>Male</v>
          </cell>
          <cell r="AF1599">
            <v>50</v>
          </cell>
          <cell r="AG1599" t="str">
            <v>N</v>
          </cell>
          <cell r="AH1599">
            <v>5.6</v>
          </cell>
          <cell r="AI1599" t="str">
            <v>Kalappa</v>
          </cell>
          <cell r="AJ1599" t="str">
            <v>Surgery</v>
          </cell>
          <cell r="AK1599" t="str">
            <v>Primary</v>
          </cell>
          <cell r="AL1599" t="str">
            <v>NA</v>
          </cell>
          <cell r="AN1599" t="str">
            <v>II</v>
          </cell>
          <cell r="AP1599" t="str">
            <v>pT4N1M0</v>
          </cell>
          <cell r="AS1599" t="str">
            <v>Adenocarcinoma</v>
          </cell>
          <cell r="AV1599">
            <v>45996</v>
          </cell>
          <cell r="AW1599">
            <v>0.67013888888888884</v>
          </cell>
          <cell r="AX1599">
            <v>0.76736111111111116</v>
          </cell>
          <cell r="AY1599">
            <v>9.7222222222222224E-2</v>
          </cell>
          <cell r="AZ1599">
            <v>0.67638888888888893</v>
          </cell>
          <cell r="BA1599">
            <v>0.20694444444444443</v>
          </cell>
          <cell r="BB1599" t="str">
            <v>0.8-1.0*1.4-1.8*2.2</v>
          </cell>
          <cell r="BC1599" t="str">
            <v>NA</v>
          </cell>
          <cell r="BD1599" t="str">
            <v>Vibratome</v>
          </cell>
          <cell r="BE1599">
            <v>13</v>
          </cell>
          <cell r="BF1599" t="str">
            <v xml:space="preserve">sai </v>
          </cell>
          <cell r="BG1599" t="str">
            <v>Y</v>
          </cell>
        </row>
        <row r="1600">
          <cell r="A1600" t="str">
            <v>FBR1Q250330</v>
          </cell>
          <cell r="B1600">
            <v>250330</v>
          </cell>
          <cell r="C1600" t="str">
            <v>R&amp;D</v>
          </cell>
          <cell r="D1600">
            <v>45996</v>
          </cell>
          <cell r="E1600">
            <v>0.44097222222222221</v>
          </cell>
          <cell r="F1600">
            <v>45992</v>
          </cell>
          <cell r="G1600">
            <v>45996</v>
          </cell>
          <cell r="H1600">
            <v>0.72430555555555554</v>
          </cell>
          <cell r="I1600">
            <v>0.28333333333333333</v>
          </cell>
          <cell r="J1600">
            <v>10</v>
          </cell>
          <cell r="K1600" t="str">
            <v>FCB-PROTOCOL-01</v>
          </cell>
          <cell r="L1600" t="str">
            <v>JSS-076</v>
          </cell>
          <cell r="M1600" t="str">
            <v>Y</v>
          </cell>
          <cell r="N1600" t="str">
            <v>COSv4.1_CaBR(1Q-Known)</v>
          </cell>
          <cell r="O1600" t="str">
            <v>Internal R&amp;D</v>
          </cell>
          <cell r="P1600" t="str">
            <v>Q1 Passed</v>
          </cell>
          <cell r="Q1600" t="str">
            <v>Q1 Rejected</v>
          </cell>
          <cell r="R1600" t="str">
            <v>Q1.5 Passed</v>
          </cell>
          <cell r="S1600" t="str">
            <v>Qualified</v>
          </cell>
          <cell r="T1600" t="str">
            <v>Bood Clotted</v>
          </cell>
          <cell r="V1600" t="str">
            <v>Tumor content 0-60%. Average tumor content15%.(Lymph node metastasis)</v>
          </cell>
          <cell r="W1600" t="str">
            <v>Private Hospital</v>
          </cell>
          <cell r="X1600" t="str">
            <v>Dr Ravi Krishnappa, Mysore</v>
          </cell>
          <cell r="Y1600" t="str">
            <v>JSS Hospital, Mysore</v>
          </cell>
          <cell r="Z1600" t="str">
            <v>Dr Ravi Krishnappa, Mysore</v>
          </cell>
          <cell r="AA1600" t="str">
            <v>Ca Breast</v>
          </cell>
          <cell r="AB1600" t="str">
            <v>ER Pr +
Her2 -</v>
          </cell>
          <cell r="AC1600" t="str">
            <v>Breast</v>
          </cell>
          <cell r="AD1600" t="str">
            <v>Right Breast</v>
          </cell>
          <cell r="AE1600" t="str">
            <v>Female</v>
          </cell>
          <cell r="AF1600">
            <v>63</v>
          </cell>
          <cell r="AG1600" t="str">
            <v>N</v>
          </cell>
          <cell r="AH1600">
            <v>5.3</v>
          </cell>
          <cell r="AI1600" t="str">
            <v>Shashi</v>
          </cell>
          <cell r="AJ1600" t="str">
            <v>Surgery</v>
          </cell>
          <cell r="AK1600" t="str">
            <v>Primary</v>
          </cell>
          <cell r="AL1600" t="str">
            <v>Chemotherapy</v>
          </cell>
          <cell r="AN1600" t="str">
            <v>II</v>
          </cell>
          <cell r="AO1600" t="str">
            <v>pT4aN1M0</v>
          </cell>
          <cell r="AQ1600">
            <v>8</v>
          </cell>
          <cell r="AR1600" t="str">
            <v>4AC &amp; 4Paclitaxel</v>
          </cell>
          <cell r="AV1600">
            <v>45996</v>
          </cell>
          <cell r="AW1600">
            <v>0.74652777777777779</v>
          </cell>
          <cell r="AX1600">
            <v>0.79166666666666663</v>
          </cell>
          <cell r="AY1600">
            <v>4.5138888888888888E-2</v>
          </cell>
          <cell r="AZ1600">
            <v>0.5083333333333333</v>
          </cell>
          <cell r="BA1600">
            <v>0.35069444444444442</v>
          </cell>
          <cell r="BB1600" t="str">
            <v>0.4-0.6*2.2*2.0</v>
          </cell>
          <cell r="BC1600" t="str">
            <v>0.2-0.4*0.6-0.8*1.8</v>
          </cell>
          <cell r="BD1600" t="str">
            <v>Manual</v>
          </cell>
          <cell r="BE1600">
            <v>14</v>
          </cell>
          <cell r="BF1600" t="str">
            <v>Jobin</v>
          </cell>
          <cell r="BG1600" t="str">
            <v>N</v>
          </cell>
        </row>
        <row r="1601">
          <cell r="A1601" t="str">
            <v>FBR2A250331</v>
          </cell>
          <cell r="B1601">
            <v>250331</v>
          </cell>
          <cell r="C1601" t="str">
            <v>R&amp;D</v>
          </cell>
          <cell r="D1601">
            <v>45999</v>
          </cell>
          <cell r="E1601">
            <v>0.625</v>
          </cell>
          <cell r="F1601">
            <v>45992</v>
          </cell>
          <cell r="G1601">
            <v>45999</v>
          </cell>
          <cell r="H1601">
            <v>0.81458333333333333</v>
          </cell>
          <cell r="I1601">
            <v>0.18958333333333333</v>
          </cell>
          <cell r="J1601">
            <v>15</v>
          </cell>
          <cell r="K1601" t="str">
            <v>FCB-PROTOCOL-01</v>
          </cell>
          <cell r="L1601" t="str">
            <v>JSS-077</v>
          </cell>
          <cell r="M1601" t="str">
            <v>Y</v>
          </cell>
          <cell r="N1601" t="str">
            <v>Ovary CC (2A)</v>
          </cell>
          <cell r="O1601" t="str">
            <v>Internal R&amp;D</v>
          </cell>
          <cell r="P1601" t="str">
            <v>Q1 Passed</v>
          </cell>
          <cell r="Q1601" t="str">
            <v>Not Received</v>
          </cell>
          <cell r="R1601" t="str">
            <v>Q1.5 Rejected</v>
          </cell>
          <cell r="S1601" t="str">
            <v>Rejected</v>
          </cell>
          <cell r="T1601" t="str">
            <v>NA</v>
          </cell>
          <cell r="V1601" t="str">
            <v>Tumor content 0-8%. Average tumor content 1%</v>
          </cell>
          <cell r="W1601" t="str">
            <v>Private Hospital</v>
          </cell>
          <cell r="X1601" t="str">
            <v>Dr Ravi Krishnappa, Mysore</v>
          </cell>
          <cell r="Y1601" t="str">
            <v>JSS Hospital, Mysore</v>
          </cell>
          <cell r="Z1601" t="str">
            <v>Dr Ravi Krishnappa, Mysore</v>
          </cell>
          <cell r="AA1601" t="str">
            <v>Ca Ovary</v>
          </cell>
          <cell r="AB1601" t="str">
            <v>NA</v>
          </cell>
          <cell r="AC1601" t="str">
            <v>Peritoneal</v>
          </cell>
          <cell r="AD1601" t="str">
            <v>Peritoneal</v>
          </cell>
          <cell r="AE1601" t="str">
            <v>Female</v>
          </cell>
          <cell r="AF1601">
            <v>50</v>
          </cell>
          <cell r="AG1601" t="str">
            <v>N</v>
          </cell>
          <cell r="AH1601">
            <v>3.5</v>
          </cell>
          <cell r="AI1601" t="str">
            <v>Kalappa</v>
          </cell>
          <cell r="AJ1601" t="str">
            <v>Surgery</v>
          </cell>
          <cell r="AK1601" t="str">
            <v>Metastatic</v>
          </cell>
          <cell r="AL1601" t="str">
            <v>NA</v>
          </cell>
          <cell r="AO1601" t="str">
            <v>High</v>
          </cell>
          <cell r="AS1601" t="str">
            <v>Adenocarcinoma</v>
          </cell>
          <cell r="AV1601">
            <v>45999</v>
          </cell>
          <cell r="AW1601">
            <v>0.85763888888888884</v>
          </cell>
          <cell r="AX1601">
            <v>0.89930555555555558</v>
          </cell>
          <cell r="AY1601">
            <v>4.1666666666666664E-2</v>
          </cell>
          <cell r="AZ1601">
            <v>0.70972222222222225</v>
          </cell>
          <cell r="BA1601">
            <v>0.27430555555555558</v>
          </cell>
          <cell r="BB1601" t="str">
            <v>0.2*0.4-1.0*1.2
0.2-0.4*1.0*1.4
0.2*1.6*2.0
0.2*0.8*1.6</v>
          </cell>
          <cell r="BC1601" t="str">
            <v>0.2*0.4*1.4
0.2-0.3*0.3-0.4*0.4</v>
          </cell>
          <cell r="BD1601" t="str">
            <v>Manual</v>
          </cell>
          <cell r="BE1601">
            <v>14</v>
          </cell>
          <cell r="BF1601" t="str">
            <v>Vasanth</v>
          </cell>
          <cell r="BG1601" t="str">
            <v>N</v>
          </cell>
        </row>
        <row r="1602">
          <cell r="A1602" t="str">
            <v>FBR1Q250332</v>
          </cell>
          <cell r="B1602">
            <v>250332</v>
          </cell>
          <cell r="C1602" t="str">
            <v>R&amp;D</v>
          </cell>
          <cell r="D1602">
            <v>45999</v>
          </cell>
          <cell r="E1602">
            <v>0.52083333333333337</v>
          </cell>
          <cell r="F1602">
            <v>45992</v>
          </cell>
          <cell r="G1602">
            <v>45999</v>
          </cell>
          <cell r="H1602">
            <v>0.86736111111111114</v>
          </cell>
          <cell r="I1602">
            <v>0.34652777777777777</v>
          </cell>
          <cell r="J1602">
            <v>10</v>
          </cell>
          <cell r="K1602" t="str">
            <v>FCB-PROTOCOL-01</v>
          </cell>
          <cell r="L1602" t="str">
            <v>CLN/DBR/261</v>
          </cell>
          <cell r="M1602" t="str">
            <v>Y</v>
          </cell>
          <cell r="N1602" t="str">
            <v>COSv4.2_CaBR(1Q-Unknown)</v>
          </cell>
          <cell r="O1602" t="str">
            <v>Internal R&amp;D</v>
          </cell>
          <cell r="P1602" t="str">
            <v>Q1 Passed</v>
          </cell>
          <cell r="Q1602" t="str">
            <v>Q1 Passed</v>
          </cell>
          <cell r="R1602" t="str">
            <v>Q1.5 Passed</v>
          </cell>
          <cell r="S1602" t="str">
            <v>Qualified</v>
          </cell>
          <cell r="T1602" t="str">
            <v>NA</v>
          </cell>
          <cell r="V1602" t="str">
            <v>Tumor content 1-15%</v>
          </cell>
          <cell r="W1602" t="str">
            <v>Private Hospital</v>
          </cell>
          <cell r="X1602" t="str">
            <v>Clinic'les- DBR &amp; SK Hospital, Tirupati</v>
          </cell>
          <cell r="Y1602" t="str">
            <v>DBR &amp; SK Hospital, Tirupati</v>
          </cell>
          <cell r="Z1602" t="str">
            <v>Dr C Jayaprakash, Tirupati</v>
          </cell>
          <cell r="AA1602" t="str">
            <v>Ca Breast</v>
          </cell>
          <cell r="AB1602" t="str">
            <v>NA</v>
          </cell>
          <cell r="AC1602" t="str">
            <v>Breast</v>
          </cell>
          <cell r="AD1602" t="str">
            <v>Left Breast</v>
          </cell>
          <cell r="AE1602" t="str">
            <v>Female</v>
          </cell>
          <cell r="AF1602">
            <v>50</v>
          </cell>
          <cell r="AG1602" t="str">
            <v>N</v>
          </cell>
          <cell r="AH1602">
            <v>5.5</v>
          </cell>
          <cell r="AI1602" t="str">
            <v>Shashi</v>
          </cell>
          <cell r="AJ1602" t="str">
            <v>Surgery</v>
          </cell>
          <cell r="AK1602" t="str">
            <v>Primary</v>
          </cell>
          <cell r="AL1602" t="str">
            <v>NA</v>
          </cell>
          <cell r="AV1602">
            <v>45999</v>
          </cell>
          <cell r="AW1602">
            <v>0.87916666666666665</v>
          </cell>
          <cell r="AX1602">
            <v>0.94791666666666663</v>
          </cell>
          <cell r="AY1602">
            <v>6.8750000000000006E-2</v>
          </cell>
          <cell r="AZ1602">
            <v>0.60138888888888886</v>
          </cell>
          <cell r="BA1602">
            <v>0.42708333333333331</v>
          </cell>
          <cell r="BB1602" t="str">
            <v>0.2-0.8*1.6*2.8</v>
          </cell>
          <cell r="BC1602" t="str">
            <v>0.2-0.8*1.4*2.6</v>
          </cell>
          <cell r="BD1602" t="str">
            <v>Manual</v>
          </cell>
          <cell r="BE1602">
            <v>14</v>
          </cell>
          <cell r="BF1602" t="str">
            <v>Mouniss</v>
          </cell>
          <cell r="BG1602" t="str">
            <v>Y</v>
          </cell>
        </row>
        <row r="1603">
          <cell r="A1603" t="str">
            <v>FBR2S250333</v>
          </cell>
          <cell r="B1603">
            <v>250333</v>
          </cell>
          <cell r="C1603" t="str">
            <v>R&amp;D</v>
          </cell>
          <cell r="D1603">
            <v>46000</v>
          </cell>
          <cell r="E1603">
            <v>0.55902777777777779</v>
          </cell>
          <cell r="F1603">
            <v>45992</v>
          </cell>
          <cell r="G1603">
            <v>46000</v>
          </cell>
          <cell r="H1603">
            <v>0.65277777777777779</v>
          </cell>
          <cell r="I1603">
            <v>9.375E-2</v>
          </cell>
          <cell r="J1603">
            <v>2</v>
          </cell>
          <cell r="K1603" t="str">
            <v>FCB-PROTOCOL-01</v>
          </cell>
          <cell r="L1603" t="str">
            <v>CLN/PRA/370</v>
          </cell>
          <cell r="M1603" t="str">
            <v>Y</v>
          </cell>
          <cell r="N1603" t="str">
            <v>Cos V1 (2S)</v>
          </cell>
          <cell r="O1603" t="str">
            <v>Internal R&amp;D</v>
          </cell>
          <cell r="P1603" t="str">
            <v>Q1 Passed</v>
          </cell>
          <cell r="Q1603" t="str">
            <v>Q1 Passed</v>
          </cell>
          <cell r="R1603" t="str">
            <v>Q1.5 Passed</v>
          </cell>
          <cell r="S1603" t="str">
            <v>Rejected</v>
          </cell>
          <cell r="T1603" t="str">
            <v>NA</v>
          </cell>
          <cell r="V1603" t="str">
            <v>1% Tumor in one explant, others no tumor</v>
          </cell>
          <cell r="W1603" t="str">
            <v>Private Hospital</v>
          </cell>
          <cell r="X1603" t="str">
            <v>Dr Prakash BV, Bangalore</v>
          </cell>
          <cell r="Y1603" t="str">
            <v>Sri Lakshmi Hospital, Bangalore</v>
          </cell>
          <cell r="Z1603" t="str">
            <v>Dr Prakash BV, Bangalore</v>
          </cell>
          <cell r="AA1603" t="str">
            <v>CRC</v>
          </cell>
          <cell r="AB1603" t="str">
            <v>NA</v>
          </cell>
          <cell r="AC1603" t="str">
            <v>colon</v>
          </cell>
          <cell r="AD1603" t="str">
            <v>Sigmoid Colon</v>
          </cell>
          <cell r="AE1603" t="str">
            <v>Male</v>
          </cell>
          <cell r="AF1603">
            <v>55</v>
          </cell>
          <cell r="AG1603" t="str">
            <v>N</v>
          </cell>
          <cell r="AH1603">
            <v>4.9000000000000004</v>
          </cell>
          <cell r="AI1603" t="str">
            <v>Kalappa</v>
          </cell>
          <cell r="AJ1603" t="str">
            <v>Surgery</v>
          </cell>
          <cell r="AK1603" t="str">
            <v>Primary</v>
          </cell>
          <cell r="AL1603" t="str">
            <v>NA</v>
          </cell>
          <cell r="AN1603" t="str">
            <v>II</v>
          </cell>
          <cell r="AP1603" t="str">
            <v>pT3N1M0</v>
          </cell>
          <cell r="AS1603" t="str">
            <v>Adenocarcinoma</v>
          </cell>
          <cell r="AV1603">
            <v>46000</v>
          </cell>
          <cell r="AW1603">
            <v>0.67638888888888893</v>
          </cell>
          <cell r="AX1603">
            <v>0.78680555555555554</v>
          </cell>
          <cell r="AY1603">
            <v>0.11041666666666666</v>
          </cell>
          <cell r="AZ1603">
            <v>0.69305555555555554</v>
          </cell>
          <cell r="BA1603">
            <v>0.22777777777777777</v>
          </cell>
          <cell r="BB1603" t="str">
            <v>0.6-0.8*0.8-1.2*1.9
0.8-1.0*0.8-1.0*2.2</v>
          </cell>
          <cell r="BC1603" t="str">
            <v>NA</v>
          </cell>
          <cell r="BD1603" t="str">
            <v>Vibratome</v>
          </cell>
          <cell r="BE1603">
            <v>13</v>
          </cell>
          <cell r="BF1603" t="str">
            <v xml:space="preserve">sai </v>
          </cell>
          <cell r="BG1603" t="str">
            <v>Y</v>
          </cell>
        </row>
        <row r="1604">
          <cell r="A1604" t="str">
            <v>FBR1Y250334</v>
          </cell>
          <cell r="B1604">
            <v>250334</v>
          </cell>
          <cell r="C1604" t="str">
            <v>R&amp;D</v>
          </cell>
          <cell r="D1604">
            <v>46000</v>
          </cell>
          <cell r="E1604">
            <v>0.625</v>
          </cell>
          <cell r="F1604">
            <v>45992</v>
          </cell>
          <cell r="G1604">
            <v>46000</v>
          </cell>
          <cell r="H1604">
            <v>0.7416666666666667</v>
          </cell>
          <cell r="I1604">
            <v>0.11666666666666667</v>
          </cell>
          <cell r="J1604">
            <v>5</v>
          </cell>
          <cell r="K1604" t="str">
            <v>FCB-PROTOCOL-01</v>
          </cell>
          <cell r="L1604" t="str">
            <v>SIMS-022</v>
          </cell>
          <cell r="M1604" t="str">
            <v>Y</v>
          </cell>
          <cell r="N1604" t="str">
            <v>CCS Study (1Y)</v>
          </cell>
          <cell r="O1604" t="str">
            <v>Internal R&amp;D</v>
          </cell>
          <cell r="P1604" t="str">
            <v>Q1 Passed</v>
          </cell>
          <cell r="Q1604" t="str">
            <v>Q1 Passed</v>
          </cell>
          <cell r="R1604" t="str">
            <v>Q1.5 Passed</v>
          </cell>
          <cell r="S1604" t="str">
            <v>Qualified</v>
          </cell>
          <cell r="T1604" t="str">
            <v>NA</v>
          </cell>
          <cell r="V1604" t="str">
            <v>95% Tumor in 1 explant only. Others No tumor</v>
          </cell>
          <cell r="W1604" t="str">
            <v>Private Hospital</v>
          </cell>
          <cell r="X1604" t="str">
            <v>Sapthagiri ClinTrac Pvt Ltd</v>
          </cell>
          <cell r="Y1604" t="str">
            <v>Sapthagiri Institute of Medical Sciences</v>
          </cell>
          <cell r="Z1604" t="str">
            <v>Dr Nataraj</v>
          </cell>
          <cell r="AA1604" t="str">
            <v>HNSCC</v>
          </cell>
          <cell r="AB1604" t="str">
            <v>NA</v>
          </cell>
          <cell r="AC1604" t="str">
            <v>Buccal Mucosa</v>
          </cell>
          <cell r="AD1604" t="str">
            <v>Left Buccal Mucosa</v>
          </cell>
          <cell r="AE1604" t="str">
            <v>Male</v>
          </cell>
          <cell r="AF1604">
            <v>48</v>
          </cell>
          <cell r="AG1604" t="str">
            <v>N</v>
          </cell>
          <cell r="AH1604">
            <v>5.8</v>
          </cell>
          <cell r="AI1604" t="str">
            <v>Kalappa</v>
          </cell>
          <cell r="AJ1604" t="str">
            <v>Surgery</v>
          </cell>
          <cell r="AK1604" t="str">
            <v>Primary</v>
          </cell>
          <cell r="AL1604" t="str">
            <v>NA</v>
          </cell>
          <cell r="AV1604">
            <v>46000</v>
          </cell>
          <cell r="AW1604">
            <v>0.75416666666666665</v>
          </cell>
          <cell r="AX1604">
            <v>0.79722222222222228</v>
          </cell>
          <cell r="AY1604">
            <v>4.3055555555555555E-2</v>
          </cell>
          <cell r="AZ1604">
            <v>0.68055555555555558</v>
          </cell>
          <cell r="BA1604">
            <v>0.17222222222222222</v>
          </cell>
          <cell r="BB1604" t="str">
            <v>0.2*0.4-0.8*1.3</v>
          </cell>
          <cell r="BC1604" t="str">
            <v>NA</v>
          </cell>
          <cell r="BD1604" t="str">
            <v>Manual</v>
          </cell>
          <cell r="BE1604">
            <v>14</v>
          </cell>
          <cell r="BF1604" t="str">
            <v>Vasanth</v>
          </cell>
          <cell r="BG1604" t="str">
            <v>Y</v>
          </cell>
        </row>
        <row r="1605">
          <cell r="A1605" t="str">
            <v>FBR1Q250335</v>
          </cell>
          <cell r="B1605">
            <v>250335</v>
          </cell>
          <cell r="C1605" t="str">
            <v>R&amp;D</v>
          </cell>
          <cell r="D1605">
            <v>46000</v>
          </cell>
          <cell r="E1605">
            <v>0.54861111111111116</v>
          </cell>
          <cell r="F1605">
            <v>45992</v>
          </cell>
          <cell r="G1605">
            <v>46000</v>
          </cell>
          <cell r="H1605">
            <v>0.89236111111111116</v>
          </cell>
          <cell r="I1605">
            <v>0.34375</v>
          </cell>
          <cell r="J1605">
            <v>10</v>
          </cell>
          <cell r="K1605" t="str">
            <v>FCB-PROTOCOL-01</v>
          </cell>
          <cell r="L1605" t="str">
            <v>CLN/DBR/262</v>
          </cell>
          <cell r="M1605" t="str">
            <v>Y</v>
          </cell>
          <cell r="N1605" t="str">
            <v>COSv4.2_CaBR(1Q-Unknown)</v>
          </cell>
          <cell r="O1605" t="str">
            <v>Internal R&amp;D</v>
          </cell>
          <cell r="P1605" t="str">
            <v>Q1 Passed</v>
          </cell>
          <cell r="Q1605" t="str">
            <v>Q1 Passed</v>
          </cell>
          <cell r="R1605" t="str">
            <v>Q1.5 Passed</v>
          </cell>
          <cell r="S1605" t="str">
            <v>Qualified</v>
          </cell>
          <cell r="T1605" t="str">
            <v>NA</v>
          </cell>
          <cell r="V1605" t="str">
            <v>Tumor content 3-15%</v>
          </cell>
          <cell r="W1605" t="str">
            <v>Private Hospital</v>
          </cell>
          <cell r="X1605" t="str">
            <v>Clinic'les- DBR &amp; SK Hospital, Tirupati</v>
          </cell>
          <cell r="Y1605" t="str">
            <v>DBR &amp; SK Hospital, Tirupati</v>
          </cell>
          <cell r="Z1605" t="str">
            <v>Dr C Jayaprakash, Tirupati</v>
          </cell>
          <cell r="AA1605" t="str">
            <v>Ca Breast</v>
          </cell>
          <cell r="AB1605" t="str">
            <v>NA</v>
          </cell>
          <cell r="AC1605" t="str">
            <v>Breast</v>
          </cell>
          <cell r="AD1605" t="str">
            <v>Right Breast</v>
          </cell>
          <cell r="AE1605" t="str">
            <v>Female</v>
          </cell>
          <cell r="AF1605">
            <v>42</v>
          </cell>
          <cell r="AG1605" t="str">
            <v>N</v>
          </cell>
          <cell r="AH1605">
            <v>6.4</v>
          </cell>
          <cell r="AI1605" t="str">
            <v>Maruthi</v>
          </cell>
          <cell r="AJ1605" t="str">
            <v>Surgery</v>
          </cell>
          <cell r="AK1605" t="str">
            <v>Primary</v>
          </cell>
          <cell r="AL1605" t="str">
            <v>NA</v>
          </cell>
          <cell r="AV1605">
            <v>46001</v>
          </cell>
          <cell r="AW1605">
            <v>0.3125</v>
          </cell>
          <cell r="AX1605">
            <v>0.34722222222222221</v>
          </cell>
          <cell r="AY1605">
            <v>3.4722222222222224E-2</v>
          </cell>
          <cell r="AZ1605">
            <v>3.472222222222222E-3</v>
          </cell>
          <cell r="BA160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B1605" t="str">
            <v>0.4-0.6*1.4*2.2</v>
          </cell>
          <cell r="BC1605" t="str">
            <v>NA</v>
          </cell>
          <cell r="BD1605" t="str">
            <v>Manual</v>
          </cell>
          <cell r="BE1605">
            <v>14</v>
          </cell>
          <cell r="BF1605" t="str">
            <v>chandan</v>
          </cell>
          <cell r="BG1605" t="str">
            <v>Y</v>
          </cell>
        </row>
        <row r="1606">
          <cell r="A1606" t="str">
            <v>FBR2S250336</v>
          </cell>
          <cell r="B1606">
            <v>250336</v>
          </cell>
          <cell r="C1606" t="str">
            <v>R&amp;D</v>
          </cell>
          <cell r="D1606">
            <v>46002</v>
          </cell>
          <cell r="E1606">
            <v>0.49166666666666664</v>
          </cell>
          <cell r="F1606">
            <v>45992</v>
          </cell>
          <cell r="G1606">
            <v>46002</v>
          </cell>
          <cell r="H1606">
            <v>0.56944444444444442</v>
          </cell>
          <cell r="I1606">
            <v>7.7777777777777779E-2</v>
          </cell>
          <cell r="J1606">
            <v>2</v>
          </cell>
          <cell r="K1606" t="str">
            <v>FCB-PROTOCOL-01</v>
          </cell>
          <cell r="L1606" t="str">
            <v>CLN/PRA/371</v>
          </cell>
          <cell r="M1606" t="str">
            <v>Y</v>
          </cell>
          <cell r="N1606" t="str">
            <v>Cos V1 (2S)</v>
          </cell>
          <cell r="O1606" t="str">
            <v>Internal R&amp;D</v>
          </cell>
          <cell r="P1606" t="str">
            <v>Q1 Passed</v>
          </cell>
          <cell r="Q1606" t="str">
            <v>Q1 Passed</v>
          </cell>
          <cell r="R1606" t="str">
            <v>Q1.5 Passed</v>
          </cell>
          <cell r="S1606" t="str">
            <v>Rejected</v>
          </cell>
          <cell r="T1606" t="str">
            <v>NA</v>
          </cell>
          <cell r="V1606" t="str">
            <v>No tumor, only normal colonic glands</v>
          </cell>
          <cell r="W1606" t="str">
            <v>Private Hospital</v>
          </cell>
          <cell r="X1606" t="str">
            <v>Dr Prakash BV, Bangalore</v>
          </cell>
          <cell r="Y1606" t="str">
            <v>Sri Lakshmi Hospital, Bangalore</v>
          </cell>
          <cell r="Z1606" t="str">
            <v>Dr Prakash BV, Bangalore</v>
          </cell>
          <cell r="AA1606" t="str">
            <v>CRC</v>
          </cell>
          <cell r="AB1606" t="str">
            <v>NA</v>
          </cell>
          <cell r="AC1606" t="str">
            <v>colon</v>
          </cell>
          <cell r="AD1606" t="str">
            <v>Sigmoid Colon</v>
          </cell>
          <cell r="AE1606" t="str">
            <v>Female</v>
          </cell>
          <cell r="AF1606">
            <v>45</v>
          </cell>
          <cell r="AG1606" t="str">
            <v>N</v>
          </cell>
          <cell r="AH1606">
            <v>4.8</v>
          </cell>
          <cell r="AI1606" t="str">
            <v>Kalappa</v>
          </cell>
          <cell r="AJ1606" t="str">
            <v>Surgery</v>
          </cell>
          <cell r="AK1606" t="str">
            <v>Primary</v>
          </cell>
          <cell r="AL1606" t="str">
            <v>NA</v>
          </cell>
          <cell r="AN1606" t="str">
            <v>II</v>
          </cell>
          <cell r="AP1606" t="str">
            <v>pT2N1M0</v>
          </cell>
          <cell r="AS1606" t="str">
            <v>Adenocarcinoma</v>
          </cell>
          <cell r="AV1606">
            <v>46002</v>
          </cell>
          <cell r="AW1606">
            <v>0.58611111111111114</v>
          </cell>
          <cell r="AX1606">
            <v>0.65972222222222221</v>
          </cell>
          <cell r="AY1606">
            <v>7.3611111111111113E-2</v>
          </cell>
          <cell r="AZ1606">
            <v>0.58194444444444449</v>
          </cell>
          <cell r="BA1606">
            <v>0.16805555555555557</v>
          </cell>
          <cell r="BB1606" t="str">
            <v>1.0-1.2*1.8*1.0-1.6</v>
          </cell>
          <cell r="BC1606" t="str">
            <v>NA</v>
          </cell>
          <cell r="BD1606" t="str">
            <v>Manual</v>
          </cell>
          <cell r="BE1606">
            <v>13</v>
          </cell>
          <cell r="BF1606" t="str">
            <v xml:space="preserve">sai </v>
          </cell>
          <cell r="BG1606" t="str">
            <v>Y</v>
          </cell>
        </row>
        <row r="1607">
          <cell r="A1607">
            <v>250337</v>
          </cell>
          <cell r="B1607">
            <v>250337</v>
          </cell>
          <cell r="C1607" t="str">
            <v>R&amp;D</v>
          </cell>
          <cell r="D1607">
            <v>46002</v>
          </cell>
          <cell r="E1607">
            <v>0.40625</v>
          </cell>
          <cell r="F1607">
            <v>45992</v>
          </cell>
          <cell r="G1607">
            <v>46002</v>
          </cell>
          <cell r="H1607">
            <v>0.62708333333333333</v>
          </cell>
          <cell r="I1607">
            <v>0.22083333333333333</v>
          </cell>
          <cell r="J1607">
            <v>0</v>
          </cell>
          <cell r="K1607" t="str">
            <v>FCB-PROTOCOL-01</v>
          </cell>
          <cell r="L1607" t="str">
            <v>SIMS-008_CT01</v>
          </cell>
          <cell r="M1607" t="str">
            <v>Y</v>
          </cell>
          <cell r="N1607" t="str">
            <v>BioBank</v>
          </cell>
          <cell r="O1607" t="str">
            <v>Internal R&amp;D</v>
          </cell>
          <cell r="P1607" t="str">
            <v>Not Received</v>
          </cell>
          <cell r="Q1607" t="str">
            <v>Q1 Passed</v>
          </cell>
          <cell r="R1607" t="str">
            <v>Q1.5 Passed</v>
          </cell>
          <cell r="S1607" t="str">
            <v>Qualified</v>
          </cell>
          <cell r="T1607" t="str">
            <v>NA</v>
          </cell>
          <cell r="V1607" t="str">
            <v>NA</v>
          </cell>
          <cell r="W1607" t="str">
            <v>Private Hospital</v>
          </cell>
          <cell r="X1607" t="str">
            <v>Sapthagiri ClinTrac Pvt Ltd</v>
          </cell>
          <cell r="Y1607" t="str">
            <v>Sapthagiri Institute of Medical Sciences</v>
          </cell>
          <cell r="Z1607" t="str">
            <v>Dr Nataraj</v>
          </cell>
          <cell r="AA1607" t="str">
            <v>Ca Ovary</v>
          </cell>
          <cell r="AB1607" t="str">
            <v>NA</v>
          </cell>
          <cell r="AC1607" t="str">
            <v>Ovary</v>
          </cell>
          <cell r="AD1607" t="str">
            <v>B/C Ovary</v>
          </cell>
          <cell r="AE1607" t="str">
            <v>Female</v>
          </cell>
          <cell r="AF1607">
            <v>35</v>
          </cell>
          <cell r="AG1607" t="str">
            <v>N</v>
          </cell>
          <cell r="AH1607">
            <v>4.8</v>
          </cell>
          <cell r="AI1607" t="str">
            <v>Kalappa</v>
          </cell>
          <cell r="AJ1607" t="str">
            <v>Chemotherapy</v>
          </cell>
          <cell r="AK1607" t="str">
            <v>Primary</v>
          </cell>
          <cell r="AL1607" t="str">
            <v>Chemotherapy</v>
          </cell>
          <cell r="AT1607">
            <v>3</v>
          </cell>
          <cell r="AU1607" t="str">
            <v>Pacli+Carbo</v>
          </cell>
          <cell r="AV1607">
            <v>46002</v>
          </cell>
          <cell r="AW1607" t="str">
            <v>NA</v>
          </cell>
          <cell r="AX1607" t="str">
            <v>NA</v>
          </cell>
          <cell r="AY1607" t="str">
            <v>NA</v>
          </cell>
          <cell r="AZ1607" t="str">
            <v>NA</v>
          </cell>
          <cell r="BA1607" t="str">
            <v>NA</v>
          </cell>
          <cell r="BB1607" t="str">
            <v>NA</v>
          </cell>
          <cell r="BC1607" t="str">
            <v>NA</v>
          </cell>
          <cell r="BD1607" t="str">
            <v>NA</v>
          </cell>
          <cell r="BE1607">
            <v>14</v>
          </cell>
          <cell r="BF1607" t="str">
            <v>NA</v>
          </cell>
          <cell r="BG1607" t="str">
            <v>Y</v>
          </cell>
        </row>
        <row r="1608">
          <cell r="A1608" t="str">
            <v>FBR2A250338</v>
          </cell>
          <cell r="B1608">
            <v>250338</v>
          </cell>
          <cell r="C1608" t="str">
            <v>R&amp;D</v>
          </cell>
          <cell r="D1608">
            <v>46003</v>
          </cell>
          <cell r="E1608">
            <v>0.5</v>
          </cell>
          <cell r="F1608">
            <v>45992</v>
          </cell>
          <cell r="G1608" t="str">
            <v>12-12-20250</v>
          </cell>
          <cell r="H1608">
            <v>0.64861111111111114</v>
          </cell>
          <cell r="I1608">
            <v>0.14861111111111111</v>
          </cell>
          <cell r="J1608">
            <v>15</v>
          </cell>
          <cell r="K1608" t="str">
            <v>FCB-PROTOCOL-01</v>
          </cell>
          <cell r="L1608" t="str">
            <v>JSS-078</v>
          </cell>
          <cell r="M1608" t="str">
            <v>Y</v>
          </cell>
          <cell r="N1608" t="str">
            <v>Ovary CC (2A)</v>
          </cell>
          <cell r="O1608" t="str">
            <v>Internal R&amp;D</v>
          </cell>
          <cell r="P1608" t="str">
            <v>Q1 Passed</v>
          </cell>
          <cell r="Q1608" t="str">
            <v>Q1 Passed</v>
          </cell>
          <cell r="R1608" t="str">
            <v>Q1.5 Rejected</v>
          </cell>
          <cell r="S1608" t="str">
            <v>Rejected</v>
          </cell>
          <cell r="T1608" t="str">
            <v>NA</v>
          </cell>
          <cell r="V1608" t="str">
            <v>No tumor</v>
          </cell>
          <cell r="W1608" t="str">
            <v>Private Hospital</v>
          </cell>
          <cell r="X1608" t="str">
            <v>Dr Ravi Krishnappa, Mysore</v>
          </cell>
          <cell r="Y1608" t="str">
            <v>JSS Hospital, Mysore</v>
          </cell>
          <cell r="Z1608" t="str">
            <v>Dr Ravi Krishnappa, Mysore</v>
          </cell>
          <cell r="AA1608" t="str">
            <v>Ca Ovary</v>
          </cell>
          <cell r="AB1608" t="str">
            <v>NA</v>
          </cell>
          <cell r="AC1608" t="str">
            <v>Ovary</v>
          </cell>
          <cell r="AD1608" t="str">
            <v>Ovary</v>
          </cell>
          <cell r="AE1608" t="str">
            <v>Female</v>
          </cell>
          <cell r="AF1608">
            <v>54</v>
          </cell>
          <cell r="AG1608" t="str">
            <v>N</v>
          </cell>
          <cell r="AH1608">
            <v>6.9</v>
          </cell>
          <cell r="AI1608" t="str">
            <v>Kalappa</v>
          </cell>
          <cell r="AJ1608" t="str">
            <v>Surgery</v>
          </cell>
          <cell r="AK1608" t="str">
            <v>Metastatic</v>
          </cell>
          <cell r="AL1608" t="str">
            <v>Chemotherapy</v>
          </cell>
          <cell r="AN1608" t="str">
            <v>IIIc</v>
          </cell>
          <cell r="AO1608">
            <v>2</v>
          </cell>
          <cell r="AQ1608">
            <v>6</v>
          </cell>
          <cell r="AR1608" t="str">
            <v>Pacli+Carbo</v>
          </cell>
          <cell r="AS1608" t="str">
            <v>Adenocarcinoma</v>
          </cell>
          <cell r="AV1608">
            <v>46003</v>
          </cell>
          <cell r="AW1608">
            <v>0.66805555555555551</v>
          </cell>
          <cell r="AX1608">
            <v>0.73750000000000004</v>
          </cell>
          <cell r="AY1608">
            <v>6.9444444444444448E-2</v>
          </cell>
          <cell r="AZ1608">
            <v>0.58888888888888891</v>
          </cell>
          <cell r="BA1608">
            <v>0.23749999999999999</v>
          </cell>
          <cell r="BB1608" t="str">
            <v>0.6-1.2*2.6*3.8</v>
          </cell>
          <cell r="BC1608" t="str">
            <v>0.6-1.2*2.2*2.6</v>
          </cell>
          <cell r="BD1608" t="str">
            <v>Manual</v>
          </cell>
          <cell r="BE1608">
            <v>14</v>
          </cell>
          <cell r="BF1608" t="str">
            <v>Jobin</v>
          </cell>
          <cell r="BG1608" t="str">
            <v>Y</v>
          </cell>
        </row>
        <row r="1609">
          <cell r="A1609" t="str">
            <v>BLB250339</v>
          </cell>
          <cell r="B1609">
            <v>250339</v>
          </cell>
          <cell r="C1609" t="str">
            <v>R&amp;D</v>
          </cell>
          <cell r="D1609">
            <v>46007</v>
          </cell>
          <cell r="E1609">
            <v>0.70833333333333337</v>
          </cell>
          <cell r="F1609">
            <v>45992</v>
          </cell>
          <cell r="G1609">
            <v>46007</v>
          </cell>
          <cell r="H1609">
            <v>0.70833333333333337</v>
          </cell>
          <cell r="I1609">
            <v>0</v>
          </cell>
          <cell r="J1609">
            <v>0</v>
          </cell>
          <cell r="K1609" t="str">
            <v>FCB-PROTOCOL-01</v>
          </cell>
          <cell r="L1609" t="str">
            <v>FBS-BLD-009</v>
          </cell>
          <cell r="M1609" t="str">
            <v>N</v>
          </cell>
          <cell r="N1609" t="str">
            <v>NA</v>
          </cell>
          <cell r="O1609" t="str">
            <v>Internal R&amp;D</v>
          </cell>
          <cell r="P1609" t="str">
            <v>NA</v>
          </cell>
          <cell r="Q1609" t="str">
            <v>Q1 Passed</v>
          </cell>
          <cell r="R1609" t="str">
            <v>Q1.5 Passed</v>
          </cell>
          <cell r="S1609" t="str">
            <v>Qualified</v>
          </cell>
          <cell r="T1609" t="str">
            <v>NA</v>
          </cell>
          <cell r="V1609" t="str">
            <v>NA</v>
          </cell>
          <cell r="W1609" t="str">
            <v>Private Hospital</v>
          </cell>
          <cell r="X1609" t="str">
            <v>Dr Prakash BV, Bangalore</v>
          </cell>
          <cell r="Y1609" t="str">
            <v>Sri Lakshmi Hospital, Bangalore</v>
          </cell>
          <cell r="Z1609" t="str">
            <v>Dr Prakash BV, Bangalore</v>
          </cell>
          <cell r="AA1609" t="str">
            <v>Healthy Blood</v>
          </cell>
          <cell r="AB1609" t="str">
            <v>NA</v>
          </cell>
          <cell r="AC1609" t="str">
            <v>Healthy Blood</v>
          </cell>
          <cell r="AD1609" t="str">
            <v>Healthy Blood</v>
          </cell>
          <cell r="AE1609" t="str">
            <v>Male</v>
          </cell>
          <cell r="AF1609">
            <v>32</v>
          </cell>
          <cell r="AG1609" t="str">
            <v>N</v>
          </cell>
          <cell r="AH1609">
            <v>4</v>
          </cell>
          <cell r="AI1609" t="str">
            <v>Kalappa</v>
          </cell>
          <cell r="AJ1609" t="str">
            <v>NA</v>
          </cell>
          <cell r="AK1609" t="str">
            <v>NA</v>
          </cell>
          <cell r="AL1609" t="str">
            <v>NA</v>
          </cell>
          <cell r="AV1609">
            <v>46007</v>
          </cell>
        </row>
        <row r="1610">
          <cell r="A1610" t="str">
            <v>BLB250340</v>
          </cell>
          <cell r="B1610">
            <v>250340</v>
          </cell>
          <cell r="C1610" t="str">
            <v>R&amp;D</v>
          </cell>
          <cell r="D1610">
            <v>46007</v>
          </cell>
          <cell r="E1610">
            <v>0.6875</v>
          </cell>
          <cell r="F1610">
            <v>45992</v>
          </cell>
          <cell r="G1610">
            <v>46007</v>
          </cell>
          <cell r="H1610">
            <v>0.6875</v>
          </cell>
          <cell r="I1610">
            <v>0</v>
          </cell>
          <cell r="J1610">
            <v>0</v>
          </cell>
          <cell r="K1610" t="str">
            <v>FCB-PROTOCOL-01</v>
          </cell>
          <cell r="L1610" t="str">
            <v>FBS-BLD-010</v>
          </cell>
          <cell r="M1610" t="str">
            <v>N</v>
          </cell>
          <cell r="N1610" t="str">
            <v>NA</v>
          </cell>
          <cell r="O1610" t="str">
            <v>Internal R&amp;D</v>
          </cell>
          <cell r="P1610" t="str">
            <v>NA</v>
          </cell>
          <cell r="Q1610" t="str">
            <v>Q1 Passed</v>
          </cell>
          <cell r="R1610" t="str">
            <v>Q1.5 Passed</v>
          </cell>
          <cell r="S1610" t="str">
            <v>Qualified</v>
          </cell>
          <cell r="T1610" t="str">
            <v>NA</v>
          </cell>
          <cell r="V1610" t="str">
            <v>NA</v>
          </cell>
          <cell r="W1610" t="str">
            <v>Private Hospital</v>
          </cell>
          <cell r="X1610" t="str">
            <v>Dr Prakash BV, Bangalore</v>
          </cell>
          <cell r="Y1610" t="str">
            <v>Sri Lakshmi Hospital, Bangalore</v>
          </cell>
          <cell r="Z1610" t="str">
            <v>Dr Prakash BV, Bangalore</v>
          </cell>
          <cell r="AA1610" t="str">
            <v>Healthy Blood</v>
          </cell>
          <cell r="AB1610" t="str">
            <v>NA</v>
          </cell>
          <cell r="AC1610" t="str">
            <v>Healthy Blood</v>
          </cell>
          <cell r="AD1610" t="str">
            <v>Healthy Blood</v>
          </cell>
          <cell r="AE1610" t="str">
            <v>Male</v>
          </cell>
          <cell r="AF1610">
            <v>36</v>
          </cell>
          <cell r="AG1610" t="str">
            <v>N</v>
          </cell>
          <cell r="AH1610">
            <v>4</v>
          </cell>
          <cell r="AI1610" t="str">
            <v>Kalappa</v>
          </cell>
          <cell r="AJ1610" t="str">
            <v>NA</v>
          </cell>
          <cell r="AK1610" t="str">
            <v>NA</v>
          </cell>
          <cell r="AL1610" t="str">
            <v>NA</v>
          </cell>
          <cell r="AV1610">
            <v>46007</v>
          </cell>
        </row>
        <row r="1611">
          <cell r="A1611" t="str">
            <v>FBR2S250341</v>
          </cell>
          <cell r="B1611">
            <v>250341</v>
          </cell>
          <cell r="C1611" t="str">
            <v>R&amp;D</v>
          </cell>
          <cell r="D1611">
            <v>46013</v>
          </cell>
          <cell r="E1611">
            <v>0.56111111111111112</v>
          </cell>
          <cell r="F1611">
            <v>45992</v>
          </cell>
          <cell r="G1611">
            <v>46013</v>
          </cell>
          <cell r="H1611">
            <v>0.64444444444444449</v>
          </cell>
          <cell r="I1611">
            <v>8.3333333333333329E-2</v>
          </cell>
          <cell r="J1611">
            <v>2</v>
          </cell>
          <cell r="K1611" t="str">
            <v>FCB-PROTOCOL-01</v>
          </cell>
          <cell r="L1611" t="str">
            <v>CLN/PRA/373</v>
          </cell>
          <cell r="M1611" t="str">
            <v>Y</v>
          </cell>
          <cell r="O1611" t="str">
            <v>Internal R&amp;D</v>
          </cell>
          <cell r="P1611" t="str">
            <v>Q1 Passed</v>
          </cell>
          <cell r="Q1611" t="str">
            <v>Not Received</v>
          </cell>
          <cell r="T1611" t="str">
            <v>NA</v>
          </cell>
          <cell r="W1611" t="str">
            <v>Private Hospital</v>
          </cell>
          <cell r="X1611" t="str">
            <v>Dr Prakash BV, Bangalore</v>
          </cell>
          <cell r="Y1611" t="str">
            <v>Sri Lakshmi Hospital, Bangalore</v>
          </cell>
          <cell r="Z1611" t="str">
            <v>Dr Prakash BV, Bangalore</v>
          </cell>
          <cell r="AA1611" t="str">
            <v>CRC</v>
          </cell>
          <cell r="AB1611" t="str">
            <v>NA</v>
          </cell>
          <cell r="AC1611" t="str">
            <v>colon</v>
          </cell>
          <cell r="AD1611" t="str">
            <v>Sigmoid Colon</v>
          </cell>
          <cell r="AE1611" t="str">
            <v>Female</v>
          </cell>
          <cell r="AF1611">
            <v>48</v>
          </cell>
          <cell r="AG1611" t="str">
            <v>N</v>
          </cell>
          <cell r="AH1611">
            <v>5.9</v>
          </cell>
          <cell r="AI1611" t="str">
            <v>Kalappa</v>
          </cell>
          <cell r="AJ1611" t="str">
            <v>Surgery</v>
          </cell>
          <cell r="AK1611" t="str">
            <v>Primary</v>
          </cell>
          <cell r="AL1611" t="str">
            <v>NA</v>
          </cell>
          <cell r="AN1611" t="str">
            <v>II</v>
          </cell>
          <cell r="AP1611" t="str">
            <v>pT2N1M0</v>
          </cell>
          <cell r="AS1611" t="str">
            <v>Adenocarcinoma</v>
          </cell>
          <cell r="AV1611">
            <v>46013</v>
          </cell>
        </row>
        <row r="1612">
          <cell r="A1612" t="str">
            <v>FBR2U250342</v>
          </cell>
          <cell r="B1612">
            <v>250342</v>
          </cell>
          <cell r="C1612" t="str">
            <v>R&amp;D</v>
          </cell>
          <cell r="D1612">
            <v>46013</v>
          </cell>
          <cell r="E1612">
            <v>0.47083333333333333</v>
          </cell>
          <cell r="F1612">
            <v>45992</v>
          </cell>
          <cell r="G1612">
            <v>46013</v>
          </cell>
          <cell r="H1612">
            <v>0.68125000000000002</v>
          </cell>
          <cell r="I1612">
            <v>0.21041666666666667</v>
          </cell>
          <cell r="J1612">
            <v>2</v>
          </cell>
          <cell r="K1612" t="str">
            <v>FCB-PROTOCOL-01</v>
          </cell>
          <cell r="L1612" t="str">
            <v>CLN/PRA/372</v>
          </cell>
          <cell r="M1612" t="str">
            <v>Y</v>
          </cell>
          <cell r="O1612" t="str">
            <v>Internal R&amp;D</v>
          </cell>
          <cell r="P1612" t="str">
            <v>Q1 Passed</v>
          </cell>
          <cell r="Q1612" t="str">
            <v>Not Received</v>
          </cell>
          <cell r="T1612" t="str">
            <v>NA</v>
          </cell>
          <cell r="W1612" t="str">
            <v>Private Hospital</v>
          </cell>
          <cell r="X1612" t="str">
            <v>Dr Prakash BV, Bangalore</v>
          </cell>
          <cell r="Y1612" t="str">
            <v>Sri Lakshmi Hospital, Bangalore</v>
          </cell>
          <cell r="Z1612" t="str">
            <v>Dr Prakash BV, Bangalore</v>
          </cell>
          <cell r="AA1612" t="str">
            <v>HNSCC</v>
          </cell>
          <cell r="AB1612" t="str">
            <v>NA</v>
          </cell>
          <cell r="AC1612" t="str">
            <v>Buccal Mucosa</v>
          </cell>
          <cell r="AD1612" t="str">
            <v>Right Buccal Mucosa</v>
          </cell>
          <cell r="AE1612" t="str">
            <v>Male</v>
          </cell>
          <cell r="AF1612">
            <v>55</v>
          </cell>
          <cell r="AG1612" t="str">
            <v>N</v>
          </cell>
          <cell r="AH1612">
            <v>6.5</v>
          </cell>
          <cell r="AI1612" t="str">
            <v>Kalappa</v>
          </cell>
          <cell r="AJ1612" t="str">
            <v>Surgery</v>
          </cell>
          <cell r="AK1612" t="str">
            <v>Primary</v>
          </cell>
          <cell r="AL1612" t="str">
            <v>NA</v>
          </cell>
          <cell r="AN1612" t="str">
            <v>II</v>
          </cell>
          <cell r="AP1612" t="str">
            <v>PT4N1M0</v>
          </cell>
          <cell r="AS1612" t="str">
            <v>SCC</v>
          </cell>
          <cell r="AV1612">
            <v>46013</v>
          </cell>
        </row>
        <row r="1613">
          <cell r="A1613" t="str">
            <v>FBR1J250343</v>
          </cell>
          <cell r="B1613">
            <v>250343</v>
          </cell>
          <cell r="C1613" t="str">
            <v>R&amp;D</v>
          </cell>
          <cell r="D1613">
            <v>46013</v>
          </cell>
          <cell r="E1613">
            <v>0.51041666666666663</v>
          </cell>
          <cell r="F1613">
            <v>45992</v>
          </cell>
          <cell r="G1613">
            <v>46013</v>
          </cell>
          <cell r="H1613">
            <v>0.68333333333333335</v>
          </cell>
          <cell r="I1613">
            <v>0.17291666666666666</v>
          </cell>
          <cell r="J1613">
            <v>15</v>
          </cell>
          <cell r="K1613" t="str">
            <v>FCB-PROTOCOL-01</v>
          </cell>
          <cell r="L1613" t="str">
            <v>JSS-079</v>
          </cell>
          <cell r="M1613" t="str">
            <v>Y</v>
          </cell>
          <cell r="O1613" t="str">
            <v>Internal R&amp;D</v>
          </cell>
          <cell r="P1613" t="str">
            <v>Q1 Passed</v>
          </cell>
          <cell r="Q1613" t="str">
            <v>Q1 Passed</v>
          </cell>
          <cell r="T1613" t="str">
            <v>NA</v>
          </cell>
          <cell r="W1613" t="str">
            <v>Private Hospital</v>
          </cell>
          <cell r="X1613" t="str">
            <v>Dr Ravi Krishnappa, Mysore</v>
          </cell>
          <cell r="Y1613" t="str">
            <v>JSS Hospital, Mysore</v>
          </cell>
          <cell r="Z1613" t="str">
            <v>Dr Ravi Krishnappa, Mysore</v>
          </cell>
          <cell r="AA1613" t="str">
            <v>Ca Ovary</v>
          </cell>
          <cell r="AB1613" t="str">
            <v>NA</v>
          </cell>
          <cell r="AC1613" t="str">
            <v>Ovary</v>
          </cell>
          <cell r="AD1613" t="str">
            <v>Ovary</v>
          </cell>
          <cell r="AE1613" t="str">
            <v>Female</v>
          </cell>
          <cell r="AF1613">
            <v>54</v>
          </cell>
          <cell r="AG1613" t="str">
            <v>N</v>
          </cell>
          <cell r="AH1613">
            <v>6.9</v>
          </cell>
          <cell r="AI1613" t="str">
            <v>Shashi</v>
          </cell>
          <cell r="AJ1613" t="str">
            <v>Surgery</v>
          </cell>
          <cell r="AK1613" t="str">
            <v>Primary</v>
          </cell>
          <cell r="AL1613" t="str">
            <v>NA</v>
          </cell>
          <cell r="AN1613" t="str">
            <v>II</v>
          </cell>
          <cell r="AP1613" t="str">
            <v>pT4</v>
          </cell>
          <cell r="AQ1613">
            <v>4</v>
          </cell>
          <cell r="AR1613" t="str">
            <v>FLOT</v>
          </cell>
          <cell r="AS1613" t="str">
            <v>Adenocarcinoma</v>
          </cell>
          <cell r="AV1613">
            <v>46013</v>
          </cell>
        </row>
        <row r="1614">
          <cell r="A1614" t="str">
            <v>FBR1Y250344</v>
          </cell>
          <cell r="B1614">
            <v>250344</v>
          </cell>
          <cell r="C1614" t="str">
            <v>R&amp;D</v>
          </cell>
          <cell r="D1614">
            <v>46013</v>
          </cell>
          <cell r="E1614">
            <v>0.62847222222222221</v>
          </cell>
          <cell r="F1614">
            <v>45992</v>
          </cell>
          <cell r="G1614">
            <v>46013</v>
          </cell>
          <cell r="H1614">
            <v>0.71666666666666667</v>
          </cell>
          <cell r="I1614">
            <v>8.819444444444445E-2</v>
          </cell>
          <cell r="J1614">
            <v>10</v>
          </cell>
          <cell r="K1614" t="str">
            <v>FCB-PROTOCOL-01</v>
          </cell>
          <cell r="L1614" t="str">
            <v>SIMS-023</v>
          </cell>
          <cell r="M1614" t="str">
            <v>Y</v>
          </cell>
          <cell r="O1614" t="str">
            <v>Internal R&amp;D</v>
          </cell>
          <cell r="P1614" t="str">
            <v>Q1 Passed</v>
          </cell>
          <cell r="Q1614" t="str">
            <v>Q1 Passed</v>
          </cell>
          <cell r="T1614" t="str">
            <v>NA</v>
          </cell>
          <cell r="W1614" t="str">
            <v>Private Hospital</v>
          </cell>
          <cell r="X1614" t="str">
            <v>Sapthagiri ClinTrac Pvt Ltd</v>
          </cell>
          <cell r="Y1614" t="str">
            <v>Sapthagiri Institute of Medical Sciences</v>
          </cell>
          <cell r="Z1614" t="str">
            <v>Dr Nataraj</v>
          </cell>
          <cell r="AA1614" t="str">
            <v>HNSCC</v>
          </cell>
          <cell r="AB1614" t="str">
            <v>NA</v>
          </cell>
          <cell r="AC1614" t="str">
            <v>Buccal Mucosa</v>
          </cell>
          <cell r="AD1614" t="str">
            <v>Left Buccal Mucosa</v>
          </cell>
          <cell r="AE1614" t="str">
            <v>Female</v>
          </cell>
          <cell r="AF1614">
            <v>72</v>
          </cell>
          <cell r="AG1614" t="str">
            <v>N</v>
          </cell>
          <cell r="AH1614">
            <v>6.5</v>
          </cell>
          <cell r="AI1614" t="str">
            <v>Kalappa</v>
          </cell>
          <cell r="AJ1614" t="str">
            <v>Surgery</v>
          </cell>
          <cell r="AK1614" t="str">
            <v>Primary</v>
          </cell>
          <cell r="AL1614" t="str">
            <v>NA</v>
          </cell>
          <cell r="AV1614">
            <v>46013</v>
          </cell>
        </row>
        <row r="1615">
          <cell r="A1615" t="str">
            <v>FBR2U260001</v>
          </cell>
          <cell r="B1615">
            <v>260001</v>
          </cell>
          <cell r="C1615" t="str">
            <v>R&amp;D</v>
          </cell>
          <cell r="D1615">
            <v>46027</v>
          </cell>
          <cell r="E1615">
            <v>0.53472222222222221</v>
          </cell>
          <cell r="F1615">
            <v>46023</v>
          </cell>
          <cell r="G1615">
            <v>46027</v>
          </cell>
          <cell r="H1615">
            <v>0.88611111111111107</v>
          </cell>
          <cell r="I1615">
            <v>0.35138888888888886</v>
          </cell>
          <cell r="J1615">
            <v>10</v>
          </cell>
          <cell r="K1615" t="str">
            <v>FCB-PROTOCOL-01</v>
          </cell>
          <cell r="L1615" t="str">
            <v>CLN/DBR/263</v>
          </cell>
          <cell r="M1615" t="str">
            <v>Y</v>
          </cell>
          <cell r="P1615" t="str">
            <v>Q1 Passed</v>
          </cell>
          <cell r="Q1615" t="str">
            <v>Q1 Passed</v>
          </cell>
          <cell r="R1615" t="str">
            <v>Q1.5 Passed</v>
          </cell>
          <cell r="S1615" t="str">
            <v>Qualified</v>
          </cell>
          <cell r="V1615" t="str">
            <v>Tumor content 45-90%</v>
          </cell>
          <cell r="W1615" t="str">
            <v>Clinic'les</v>
          </cell>
          <cell r="X1615" t="str">
            <v>Clinic'les- DBR &amp; SK Hospital, Tirupati</v>
          </cell>
          <cell r="Y1615" t="str">
            <v>DBR &amp; SK Hospital, Tirupati</v>
          </cell>
          <cell r="Z1615" t="str">
            <v>Dr C Jayaprakash</v>
          </cell>
          <cell r="AA1615" t="str">
            <v>HNSCC</v>
          </cell>
          <cell r="AB1615" t="str">
            <v>NA</v>
          </cell>
          <cell r="AC1615" t="str">
            <v>Buccal Mucosa</v>
          </cell>
          <cell r="AD1615" t="str">
            <v>Right Buccal Mucosa</v>
          </cell>
          <cell r="AE1615" t="str">
            <v>Female</v>
          </cell>
          <cell r="AF1615">
            <v>42</v>
          </cell>
          <cell r="AG1615" t="str">
            <v>N</v>
          </cell>
          <cell r="AH1615">
            <v>5.3</v>
          </cell>
          <cell r="AI1615" t="str">
            <v>Shashi</v>
          </cell>
          <cell r="AJ1615" t="str">
            <v>Surgery</v>
          </cell>
          <cell r="AK1615" t="str">
            <v>Primary</v>
          </cell>
          <cell r="AL1615" t="str">
            <v>NA</v>
          </cell>
          <cell r="AN1615" t="str">
            <v>III</v>
          </cell>
          <cell r="AP1615" t="str">
            <v>yp T3 N0 MX</v>
          </cell>
          <cell r="AS1615" t="str">
            <v xml:space="preserve">moderately differentiated squamous cell carcinoma </v>
          </cell>
        </row>
        <row r="1616">
          <cell r="A1616" t="str">
            <v>FBR2U260002</v>
          </cell>
          <cell r="B1616">
            <v>260002</v>
          </cell>
          <cell r="C1616" t="str">
            <v>R&amp;D</v>
          </cell>
          <cell r="D1616">
            <v>46028</v>
          </cell>
          <cell r="E1616">
            <v>0.56111111111111112</v>
          </cell>
          <cell r="F1616">
            <v>46023</v>
          </cell>
          <cell r="G1616">
            <v>46028</v>
          </cell>
          <cell r="H1616">
            <v>0.66319444444444442</v>
          </cell>
          <cell r="I1616">
            <v>0.10208333333333333</v>
          </cell>
          <cell r="J1616">
            <v>2</v>
          </cell>
          <cell r="K1616" t="str">
            <v>FCB-PROTOCOL-01</v>
          </cell>
          <cell r="L1616" t="str">
            <v>CLN/PRA/375</v>
          </cell>
          <cell r="M1616" t="str">
            <v>Y</v>
          </cell>
          <cell r="P1616" t="str">
            <v>Q1 Passed</v>
          </cell>
          <cell r="Q1616" t="str">
            <v>Q1 Passed</v>
          </cell>
          <cell r="R1616" t="str">
            <v>Q1.5 Passed</v>
          </cell>
          <cell r="S1616" t="str">
            <v>Qualified</v>
          </cell>
          <cell r="V1616" t="str">
            <v>Tumor content 50-85%</v>
          </cell>
          <cell r="W1616" t="str">
            <v>Private Hospital</v>
          </cell>
          <cell r="X1616" t="str">
            <v>Dr Prakash BV, Bangalore</v>
          </cell>
          <cell r="Y1616" t="str">
            <v>Sri Lakshmi Hospital, Bangalore</v>
          </cell>
          <cell r="Z1616" t="str">
            <v>Dr Prakash BV</v>
          </cell>
          <cell r="AA1616" t="str">
            <v>HNSCC</v>
          </cell>
          <cell r="AB1616" t="str">
            <v>NA</v>
          </cell>
          <cell r="AC1616" t="str">
            <v>Buccal Mucosa</v>
          </cell>
          <cell r="AD1616" t="str">
            <v>Right Buccal Mucosa</v>
          </cell>
          <cell r="AE1616" t="str">
            <v>Female</v>
          </cell>
          <cell r="AF1616">
            <v>50</v>
          </cell>
          <cell r="AG1616" t="str">
            <v>N</v>
          </cell>
          <cell r="AH1616">
            <v>4.8</v>
          </cell>
          <cell r="AI1616" t="str">
            <v>Kalappa</v>
          </cell>
          <cell r="AJ1616" t="str">
            <v>Surgery</v>
          </cell>
          <cell r="AK1616" t="str">
            <v>Primary</v>
          </cell>
          <cell r="AL1616" t="str">
            <v>NA</v>
          </cell>
        </row>
        <row r="1617">
          <cell r="A1617" t="str">
            <v>FBR2G260002</v>
          </cell>
          <cell r="B1617">
            <v>260002</v>
          </cell>
          <cell r="C1617" t="str">
            <v>R&amp;D</v>
          </cell>
          <cell r="D1617">
            <v>46028</v>
          </cell>
          <cell r="E1617">
            <v>0.56111111111111112</v>
          </cell>
          <cell r="F1617">
            <v>46023</v>
          </cell>
          <cell r="G1617">
            <v>46028</v>
          </cell>
          <cell r="H1617">
            <v>0.66319444444444442</v>
          </cell>
          <cell r="I1617">
            <v>0.10208333333333333</v>
          </cell>
          <cell r="J1617">
            <v>2</v>
          </cell>
          <cell r="K1617" t="str">
            <v>FCB-PROTOCOL-01</v>
          </cell>
          <cell r="L1617" t="str">
            <v>CLN/PRA/375</v>
          </cell>
          <cell r="M1617" t="str">
            <v>Y</v>
          </cell>
          <cell r="P1617" t="str">
            <v>Q1 Passed</v>
          </cell>
          <cell r="Q1617" t="str">
            <v>Q1 Passed</v>
          </cell>
          <cell r="R1617" t="str">
            <v>Q1.5 Passed</v>
          </cell>
          <cell r="S1617" t="str">
            <v>Qualified</v>
          </cell>
          <cell r="V1617" t="str">
            <v>Tumor content 50-85%</v>
          </cell>
          <cell r="W1617" t="str">
            <v>Private Hospital</v>
          </cell>
          <cell r="X1617" t="str">
            <v>Dr Prakash BV, Bangalore</v>
          </cell>
          <cell r="Y1617" t="str">
            <v>Sri Lakshmi Hospital, Bangalore</v>
          </cell>
          <cell r="Z1617" t="str">
            <v>Dr Prakash BV</v>
          </cell>
          <cell r="AA1617" t="str">
            <v>HNSCC</v>
          </cell>
          <cell r="AB1617" t="str">
            <v>NA</v>
          </cell>
          <cell r="AC1617" t="str">
            <v>Buccal Mucosa</v>
          </cell>
          <cell r="AD1617" t="str">
            <v>Right Buccal Mucosa</v>
          </cell>
          <cell r="AE1617" t="str">
            <v>Female</v>
          </cell>
          <cell r="AF1617">
            <v>50</v>
          </cell>
          <cell r="AG1617" t="str">
            <v>N</v>
          </cell>
          <cell r="AH1617">
            <v>4.8</v>
          </cell>
          <cell r="AI1617" t="str">
            <v>Kalappa</v>
          </cell>
          <cell r="AJ1617" t="str">
            <v>Surgery</v>
          </cell>
          <cell r="AK1617" t="str">
            <v>Primary</v>
          </cell>
          <cell r="AL1617" t="str">
            <v>NA</v>
          </cell>
        </row>
        <row r="1618">
          <cell r="A1618" t="str">
            <v>FBR2S260003</v>
          </cell>
          <cell r="B1618">
            <v>260003</v>
          </cell>
          <cell r="C1618" t="str">
            <v>R&amp;D</v>
          </cell>
          <cell r="D1618">
            <v>46030</v>
          </cell>
          <cell r="E1618">
            <v>0.53472222222222221</v>
          </cell>
          <cell r="F1618">
            <v>46023</v>
          </cell>
          <cell r="G1618">
            <v>46030</v>
          </cell>
          <cell r="H1618">
            <v>0.625</v>
          </cell>
          <cell r="I1618">
            <v>9.0277777777777776E-2</v>
          </cell>
          <cell r="J1618">
            <v>7</v>
          </cell>
          <cell r="K1618" t="str">
            <v>FCB-PROTOCOL-01</v>
          </cell>
          <cell r="L1618" t="str">
            <v>CLN/PRA/376</v>
          </cell>
          <cell r="M1618" t="str">
            <v>Y</v>
          </cell>
          <cell r="P1618" t="str">
            <v>Q1 Passed</v>
          </cell>
          <cell r="Q1618" t="str">
            <v>Q1 Rejected</v>
          </cell>
          <cell r="R1618" t="str">
            <v>Q1.5 Passed</v>
          </cell>
          <cell r="S1618" t="str">
            <v>Rejected</v>
          </cell>
          <cell r="T1618" t="str">
            <v>Contaminated</v>
          </cell>
          <cell r="V1618" t="str">
            <v>Tumor content 1-25%</v>
          </cell>
          <cell r="W1618" t="str">
            <v>Private Hospital</v>
          </cell>
          <cell r="X1618" t="str">
            <v>Dr Prakash BV, Bangalore</v>
          </cell>
          <cell r="Y1618" t="str">
            <v>Sri Lakshmi Hospital, Bangalore</v>
          </cell>
          <cell r="Z1618" t="str">
            <v>Dr Prakash BV</v>
          </cell>
          <cell r="AA1618" t="str">
            <v>CRC</v>
          </cell>
          <cell r="AB1618" t="str">
            <v>NA</v>
          </cell>
          <cell r="AC1618" t="str">
            <v>Colon</v>
          </cell>
          <cell r="AD1618" t="str">
            <v>Sigmoid Colon</v>
          </cell>
          <cell r="AE1618" t="str">
            <v>Female</v>
          </cell>
          <cell r="AF1618">
            <v>57</v>
          </cell>
          <cell r="AG1618" t="str">
            <v>N</v>
          </cell>
          <cell r="AH1618">
            <v>5.3</v>
          </cell>
          <cell r="AI1618" t="str">
            <v>Maruthi</v>
          </cell>
          <cell r="AJ1618" t="str">
            <v>Surgery</v>
          </cell>
          <cell r="AK1618" t="str">
            <v>Primary</v>
          </cell>
          <cell r="AL1618" t="str">
            <v>NA</v>
          </cell>
        </row>
        <row r="1619">
          <cell r="A1619" t="str">
            <v>FBR1K260004</v>
          </cell>
          <cell r="B1619">
            <v>260004</v>
          </cell>
          <cell r="C1619" t="str">
            <v>R&amp;D</v>
          </cell>
          <cell r="D1619">
            <v>46031</v>
          </cell>
          <cell r="E1619">
            <v>0.42638888888888887</v>
          </cell>
          <cell r="F1619">
            <v>46023</v>
          </cell>
          <cell r="G1619">
            <v>46031</v>
          </cell>
          <cell r="H1619">
            <v>0.55347222222222225</v>
          </cell>
          <cell r="I1619">
            <v>0.12708333333333333</v>
          </cell>
          <cell r="J1619">
            <v>2</v>
          </cell>
          <cell r="K1619" t="str">
            <v>FCB-PROTOCOL-01</v>
          </cell>
          <cell r="L1619" t="str">
            <v>VYD/454</v>
          </cell>
          <cell r="M1619" t="str">
            <v>Y</v>
          </cell>
          <cell r="P1619" t="str">
            <v>Q1 Passed</v>
          </cell>
          <cell r="Q1619" t="str">
            <v>Not Received</v>
          </cell>
          <cell r="R1619" t="str">
            <v>Q1.5 Passed</v>
          </cell>
          <cell r="S1619" t="str">
            <v>Qualified</v>
          </cell>
          <cell r="V1619" t="str">
            <v>Tumor content 55-75%</v>
          </cell>
          <cell r="W1619" t="str">
            <v>Private Hospital</v>
          </cell>
          <cell r="X1619" t="str">
            <v>Vydehi Hospital, Bangalore</v>
          </cell>
          <cell r="Y1619" t="str">
            <v>Vydehi Hospital, Bangalore</v>
          </cell>
          <cell r="Z1619" t="str">
            <v>Dr Amritha Prabha</v>
          </cell>
          <cell r="AA1619" t="str">
            <v>HNSCC</v>
          </cell>
          <cell r="AB1619" t="str">
            <v>NA</v>
          </cell>
          <cell r="AC1619" t="str">
            <v>Buccal Mucosa</v>
          </cell>
          <cell r="AD1619" t="str">
            <v>Right Buccal Mucosa</v>
          </cell>
          <cell r="AE1619" t="str">
            <v>Female</v>
          </cell>
          <cell r="AF1619">
            <v>49</v>
          </cell>
          <cell r="AG1619" t="str">
            <v>N</v>
          </cell>
          <cell r="AH1619">
            <v>5.0999999999999996</v>
          </cell>
          <cell r="AI1619" t="str">
            <v>Shashi</v>
          </cell>
          <cell r="AJ1619" t="str">
            <v>Surgery</v>
          </cell>
          <cell r="AK1619" t="str">
            <v>Primary</v>
          </cell>
          <cell r="AL1619" t="str">
            <v>NA</v>
          </cell>
          <cell r="AS1619" t="str">
            <v>SCC</v>
          </cell>
        </row>
        <row r="1620">
          <cell r="A1620" t="str">
            <v>FBR2U260005</v>
          </cell>
          <cell r="B1620">
            <v>260005</v>
          </cell>
          <cell r="C1620" t="str">
            <v>R&amp;D</v>
          </cell>
          <cell r="D1620">
            <v>46031</v>
          </cell>
          <cell r="E1620">
            <v>0.54861111111111116</v>
          </cell>
          <cell r="F1620">
            <v>46023</v>
          </cell>
          <cell r="G1620">
            <v>46031</v>
          </cell>
          <cell r="H1620">
            <v>0.88541666666666663</v>
          </cell>
          <cell r="I1620">
            <v>0.33680555555555558</v>
          </cell>
          <cell r="J1620">
            <v>10</v>
          </cell>
          <cell r="K1620" t="str">
            <v>FCB-PROTOCOL-01</v>
          </cell>
          <cell r="L1620" t="str">
            <v>CLN/DBR/264</v>
          </cell>
          <cell r="M1620" t="str">
            <v>Y</v>
          </cell>
          <cell r="P1620" t="str">
            <v>Q1 Passed</v>
          </cell>
          <cell r="Q1620" t="str">
            <v>Q1 Passed</v>
          </cell>
          <cell r="R1620" t="str">
            <v>Q1.5 Passed</v>
          </cell>
          <cell r="S1620" t="str">
            <v>Qualified</v>
          </cell>
          <cell r="V1620" t="str">
            <v>Tumor content 45-90%</v>
          </cell>
          <cell r="W1620" t="str">
            <v>Clinic'les</v>
          </cell>
          <cell r="X1620" t="str">
            <v>Clinic'les- DBR &amp; SK Hospital, Tirupati</v>
          </cell>
          <cell r="Y1620" t="str">
            <v>DBR &amp; SK Hospital, Tirupati</v>
          </cell>
          <cell r="Z1620" t="str">
            <v>Dr C Jayaprakash</v>
          </cell>
          <cell r="AA1620" t="str">
            <v>HNSCC</v>
          </cell>
          <cell r="AB1620" t="str">
            <v>NA</v>
          </cell>
          <cell r="AC1620" t="str">
            <v>Buccal Mucosa</v>
          </cell>
          <cell r="AD1620" t="str">
            <v>Left Buccal Mucosa</v>
          </cell>
          <cell r="AE1620" t="str">
            <v>Male</v>
          </cell>
          <cell r="AF1620">
            <v>64</v>
          </cell>
          <cell r="AG1620" t="str">
            <v>N</v>
          </cell>
          <cell r="AH1620">
            <v>6.8</v>
          </cell>
          <cell r="AI1620" t="str">
            <v>Maruthi</v>
          </cell>
          <cell r="AJ1620" t="str">
            <v>Surgery</v>
          </cell>
          <cell r="AK1620" t="str">
            <v>Primary</v>
          </cell>
          <cell r="AL1620" t="str">
            <v>NA</v>
          </cell>
          <cell r="AN1620" t="str">
            <v>II</v>
          </cell>
          <cell r="AP1620" t="str">
            <v>T2 N0 Mx</v>
          </cell>
          <cell r="AS1620" t="str">
            <v xml:space="preserve">well differentiated squamous cell carcinoma </v>
          </cell>
        </row>
        <row r="1621">
          <cell r="A1621" t="str">
            <v>FBR2S260006</v>
          </cell>
          <cell r="B1621">
            <v>260006</v>
          </cell>
          <cell r="C1621" t="str">
            <v>R&amp;D</v>
          </cell>
          <cell r="D1621">
            <v>46034</v>
          </cell>
          <cell r="E1621">
            <v>0.52152777777777781</v>
          </cell>
          <cell r="F1621">
            <v>46023</v>
          </cell>
          <cell r="G1621">
            <v>46034</v>
          </cell>
          <cell r="H1621">
            <v>0.59236111111111112</v>
          </cell>
          <cell r="I1621">
            <v>7.0833333333333331E-2</v>
          </cell>
          <cell r="J1621">
            <v>4</v>
          </cell>
          <cell r="K1621" t="str">
            <v>FCB-PROTOCOL-01</v>
          </cell>
          <cell r="L1621" t="str">
            <v>CLN/PRA/377</v>
          </cell>
          <cell r="M1621" t="str">
            <v>Y</v>
          </cell>
          <cell r="P1621" t="str">
            <v>Q1 Passed</v>
          </cell>
          <cell r="Q1621" t="str">
            <v>Q1 Passed</v>
          </cell>
          <cell r="R1621" t="str">
            <v>Q1.5 Passed</v>
          </cell>
          <cell r="S1621" t="str">
            <v>Rejected</v>
          </cell>
          <cell r="V1621" t="str">
            <v>Most fragments show pools of mucin with scattered tumor cells</v>
          </cell>
          <cell r="W1621" t="str">
            <v>Private Hospital</v>
          </cell>
          <cell r="X1621" t="str">
            <v>Dr Prakash BV, Bangalore</v>
          </cell>
          <cell r="Y1621" t="str">
            <v>Sri Lakshmi Hospital, Bangalore</v>
          </cell>
          <cell r="Z1621" t="str">
            <v>Dr Prakash BV</v>
          </cell>
          <cell r="AA1621" t="str">
            <v>CRC</v>
          </cell>
          <cell r="AB1621" t="str">
            <v>NA</v>
          </cell>
          <cell r="AC1621" t="str">
            <v>Colon</v>
          </cell>
          <cell r="AD1621" t="str">
            <v>Caecum</v>
          </cell>
          <cell r="AE1621" t="str">
            <v>Male</v>
          </cell>
          <cell r="AF1621">
            <v>68</v>
          </cell>
          <cell r="AG1621" t="str">
            <v>N</v>
          </cell>
          <cell r="AH1621">
            <v>4.9000000000000004</v>
          </cell>
          <cell r="AI1621" t="str">
            <v>Shashi</v>
          </cell>
          <cell r="AJ1621" t="str">
            <v>Surgery</v>
          </cell>
          <cell r="AK1621" t="str">
            <v>Primary</v>
          </cell>
          <cell r="AL1621" t="str">
            <v>NA</v>
          </cell>
          <cell r="AN1621" t="str">
            <v>II</v>
          </cell>
          <cell r="AP1621" t="str">
            <v>pT4N2M0</v>
          </cell>
          <cell r="AS1621" t="str">
            <v>Ademocarcinoma</v>
          </cell>
        </row>
        <row r="1622">
          <cell r="A1622" t="str">
            <v>FBR2U250007</v>
          </cell>
          <cell r="B1622">
            <v>260007</v>
          </cell>
          <cell r="C1622" t="str">
            <v>R&amp;D</v>
          </cell>
          <cell r="D1622">
            <v>46035</v>
          </cell>
          <cell r="E1622">
            <v>0.43055555555555558</v>
          </cell>
          <cell r="F1622">
            <v>46023</v>
          </cell>
          <cell r="G1622">
            <v>46035</v>
          </cell>
          <cell r="H1622">
            <v>0.59930555555555554</v>
          </cell>
          <cell r="I1622">
            <v>0.16875000000000001</v>
          </cell>
          <cell r="J1622">
            <v>7</v>
          </cell>
          <cell r="K1622" t="str">
            <v>FCB-PROTOCOL-01</v>
          </cell>
          <cell r="L1622" t="str">
            <v>VYD/455</v>
          </cell>
          <cell r="M1622" t="str">
            <v>Y</v>
          </cell>
          <cell r="P1622" t="str">
            <v>Q1 Passed</v>
          </cell>
          <cell r="Q1622" t="str">
            <v>Q1 Passed</v>
          </cell>
          <cell r="R1622" t="str">
            <v>Q1.5 Passed</v>
          </cell>
          <cell r="S1622" t="str">
            <v>Qualified</v>
          </cell>
          <cell r="V1622" t="str">
            <v>Tumor content 2-65%</v>
          </cell>
          <cell r="W1622" t="str">
            <v>Private Hospital</v>
          </cell>
          <cell r="X1622" t="str">
            <v>Vydehi Hospital, Bangalore</v>
          </cell>
          <cell r="Y1622" t="str">
            <v>Vydehi Hospital, Bangalore</v>
          </cell>
          <cell r="Z1622" t="str">
            <v>Dr Amritha Prabha</v>
          </cell>
          <cell r="AA1622" t="str">
            <v>HNSCC</v>
          </cell>
          <cell r="AB1622" t="str">
            <v>NA</v>
          </cell>
          <cell r="AC1622" t="str">
            <v>Tongue</v>
          </cell>
          <cell r="AD1622" t="str">
            <v>Left border of tongue</v>
          </cell>
          <cell r="AE1622" t="str">
            <v>Male</v>
          </cell>
          <cell r="AF1622">
            <v>48</v>
          </cell>
          <cell r="AG1622" t="str">
            <v>N</v>
          </cell>
          <cell r="AH1622">
            <v>5.0999999999999996</v>
          </cell>
          <cell r="AI1622" t="str">
            <v>Kalappa</v>
          </cell>
          <cell r="AJ1622" t="str">
            <v>Surgery</v>
          </cell>
          <cell r="AK1622" t="str">
            <v>Primary</v>
          </cell>
          <cell r="AL1622" t="str">
            <v>NA</v>
          </cell>
        </row>
        <row r="1623">
          <cell r="A1623" t="str">
            <v>BLB260008</v>
          </cell>
          <cell r="B1623">
            <v>260008</v>
          </cell>
          <cell r="C1623" t="str">
            <v>R&amp;D</v>
          </cell>
          <cell r="D1623">
            <v>46035</v>
          </cell>
          <cell r="E1623">
            <v>0.625</v>
          </cell>
          <cell r="F1623">
            <v>46023</v>
          </cell>
          <cell r="G1623">
            <v>46035</v>
          </cell>
          <cell r="H1623">
            <v>0.65277777777777779</v>
          </cell>
          <cell r="I1623">
            <v>2.7777777777777776E-2</v>
          </cell>
          <cell r="J1623">
            <v>0</v>
          </cell>
          <cell r="K1623" t="str">
            <v>FCB-PROTOCOL-01</v>
          </cell>
          <cell r="L1623" t="str">
            <v>FBS-BLD-011</v>
          </cell>
          <cell r="M1623" t="str">
            <v>Y</v>
          </cell>
          <cell r="P1623" t="str">
            <v>NA</v>
          </cell>
          <cell r="Q1623" t="str">
            <v>Q1 Passed</v>
          </cell>
          <cell r="R1623" t="str">
            <v>Q1.5 Passed</v>
          </cell>
          <cell r="S1623" t="str">
            <v>Qualified</v>
          </cell>
          <cell r="T1623" t="str">
            <v>NA</v>
          </cell>
          <cell r="V1623" t="str">
            <v>NA</v>
          </cell>
          <cell r="W1623" t="str">
            <v>Private Hospital</v>
          </cell>
          <cell r="X1623" t="str">
            <v>Dr Prakash BV, Bangalore</v>
          </cell>
          <cell r="Y1623" t="str">
            <v>Sri Lakshmi Hospital, Bangalore</v>
          </cell>
          <cell r="Z1623" t="str">
            <v>Dr Prakash BV</v>
          </cell>
          <cell r="AA1623" t="str">
            <v>Healthy blood</v>
          </cell>
          <cell r="AB1623" t="str">
            <v>NA</v>
          </cell>
          <cell r="AC1623" t="str">
            <v>Blood</v>
          </cell>
          <cell r="AD1623" t="str">
            <v>Blood</v>
          </cell>
          <cell r="AE1623" t="str">
            <v>Female</v>
          </cell>
          <cell r="AF1623">
            <v>38</v>
          </cell>
          <cell r="AG1623" t="str">
            <v>N</v>
          </cell>
          <cell r="AH1623">
            <v>4</v>
          </cell>
          <cell r="AI1623" t="str">
            <v>Maruthi</v>
          </cell>
          <cell r="AJ1623" t="str">
            <v>NA</v>
          </cell>
          <cell r="AK1623" t="str">
            <v>NA</v>
          </cell>
          <cell r="AL1623" t="str">
            <v>NA</v>
          </cell>
        </row>
        <row r="1624">
          <cell r="A1624" t="str">
            <v xml:space="preserve">FBR2S260009 </v>
          </cell>
          <cell r="B1624">
            <v>260009</v>
          </cell>
          <cell r="C1624" t="str">
            <v>R&amp;D</v>
          </cell>
          <cell r="D1624">
            <v>46036</v>
          </cell>
          <cell r="E1624">
            <v>0.44791666666666669</v>
          </cell>
          <cell r="F1624">
            <v>46023</v>
          </cell>
          <cell r="G1624">
            <v>46036</v>
          </cell>
          <cell r="H1624">
            <v>0.64861111111111114</v>
          </cell>
          <cell r="I1624">
            <v>0.20069444444444445</v>
          </cell>
          <cell r="J1624">
            <v>5</v>
          </cell>
          <cell r="K1624" t="str">
            <v>FCB-PROTOCOL-01</v>
          </cell>
          <cell r="L1624" t="str">
            <v>JSS-081</v>
          </cell>
          <cell r="M1624" t="str">
            <v>Y</v>
          </cell>
          <cell r="P1624" t="str">
            <v>Q1 Passed</v>
          </cell>
          <cell r="Q1624" t="str">
            <v>Q1 Passed</v>
          </cell>
          <cell r="R1624" t="str">
            <v>Q1.5 Passed</v>
          </cell>
          <cell r="S1624" t="str">
            <v>Qualified</v>
          </cell>
          <cell r="V1624" t="str">
            <v>Tumor content 1-45%</v>
          </cell>
          <cell r="W1624" t="str">
            <v>Private Hospital</v>
          </cell>
          <cell r="X1624" t="str">
            <v>Dr Ravi Krishnappa, Mysore</v>
          </cell>
          <cell r="Y1624" t="str">
            <v>JSS Hospital, Mysore</v>
          </cell>
          <cell r="Z1624" t="str">
            <v>Dr Ravi Krishnappa</v>
          </cell>
          <cell r="AA1624" t="str">
            <v>CRC</v>
          </cell>
          <cell r="AB1624" t="str">
            <v>NA</v>
          </cell>
          <cell r="AC1624" t="str">
            <v>Colon</v>
          </cell>
          <cell r="AD1624" t="str">
            <v>Sigmoid Colon</v>
          </cell>
          <cell r="AE1624" t="str">
            <v>Male</v>
          </cell>
          <cell r="AF1624">
            <v>80</v>
          </cell>
          <cell r="AG1624" t="str">
            <v>N</v>
          </cell>
          <cell r="AH1624">
            <v>6.8</v>
          </cell>
          <cell r="AI1624" t="str">
            <v>Maruthi</v>
          </cell>
          <cell r="AJ1624" t="str">
            <v>Surgery</v>
          </cell>
          <cell r="AK1624" t="str">
            <v>Primary</v>
          </cell>
          <cell r="AL1624" t="str">
            <v>NA</v>
          </cell>
        </row>
        <row r="1625">
          <cell r="A1625" t="str">
            <v>FBR1Y260010</v>
          </cell>
          <cell r="B1625">
            <v>260010</v>
          </cell>
          <cell r="C1625" t="str">
            <v>R&amp;D</v>
          </cell>
          <cell r="D1625">
            <v>46038</v>
          </cell>
          <cell r="E1625">
            <v>0.46875</v>
          </cell>
          <cell r="F1625">
            <v>46023</v>
          </cell>
          <cell r="G1625">
            <v>46038</v>
          </cell>
          <cell r="H1625">
            <v>0.68194444444444446</v>
          </cell>
          <cell r="I1625">
            <v>0.21319444444444444</v>
          </cell>
          <cell r="J1625">
            <v>15</v>
          </cell>
          <cell r="K1625" t="str">
            <v>FCB-PROTOCOL-01</v>
          </cell>
          <cell r="L1625" t="str">
            <v>JSS-082</v>
          </cell>
          <cell r="M1625" t="str">
            <v>Y</v>
          </cell>
          <cell r="P1625" t="str">
            <v>Q1 Passed</v>
          </cell>
          <cell r="Q1625" t="str">
            <v>Q1 Passed</v>
          </cell>
          <cell r="R1625" t="str">
            <v>Q1.5 Passed</v>
          </cell>
          <cell r="S1625" t="str">
            <v>Qualified</v>
          </cell>
          <cell r="V1625" t="str">
            <v>Tumor content 0-98%.Average tumor content 80%</v>
          </cell>
          <cell r="W1625" t="str">
            <v>Private Hospital</v>
          </cell>
          <cell r="X1625" t="str">
            <v>Dr Ravi Krishnappa, Mysore</v>
          </cell>
          <cell r="Y1625" t="str">
            <v>JSS Hospital, Mysore</v>
          </cell>
          <cell r="Z1625" t="str">
            <v>Dr Ravi Krishnappa</v>
          </cell>
          <cell r="AA1625" t="str">
            <v>HNSCC</v>
          </cell>
          <cell r="AB1625" t="str">
            <v>NA</v>
          </cell>
          <cell r="AC1625" t="str">
            <v>Buccal Mucosa</v>
          </cell>
          <cell r="AD1625" t="str">
            <v>Left Buccal Mucosa</v>
          </cell>
          <cell r="AE1625" t="str">
            <v>Female</v>
          </cell>
          <cell r="AF1625">
            <v>65</v>
          </cell>
          <cell r="AG1625" t="str">
            <v>N</v>
          </cell>
          <cell r="AH1625">
            <v>5.3</v>
          </cell>
          <cell r="AI1625" t="str">
            <v>Shashi</v>
          </cell>
          <cell r="AJ1625" t="str">
            <v>Surgery</v>
          </cell>
          <cell r="AK1625" t="str">
            <v>Primary</v>
          </cell>
          <cell r="AL1625" t="str">
            <v>NA</v>
          </cell>
        </row>
        <row r="1626">
          <cell r="A1626" t="str">
            <v>FBR1Q260011</v>
          </cell>
          <cell r="B1626">
            <v>260011</v>
          </cell>
          <cell r="C1626" t="str">
            <v>R&amp;D</v>
          </cell>
          <cell r="D1626">
            <v>46039</v>
          </cell>
          <cell r="E1626">
            <v>0.47569444444444442</v>
          </cell>
          <cell r="F1626">
            <v>46023</v>
          </cell>
          <cell r="G1626">
            <v>46039</v>
          </cell>
          <cell r="H1626">
            <v>0.5625</v>
          </cell>
          <cell r="I1626">
            <v>8.6805555555555552E-2</v>
          </cell>
          <cell r="J1626">
            <v>5</v>
          </cell>
          <cell r="K1626" t="str">
            <v>FCB-PROTOCOL-01</v>
          </cell>
          <cell r="L1626" t="str">
            <v>VYD/456</v>
          </cell>
          <cell r="M1626" t="str">
            <v>Y</v>
          </cell>
          <cell r="P1626" t="str">
            <v>Q1 Passed</v>
          </cell>
          <cell r="Q1626" t="str">
            <v>Q1 Passed</v>
          </cell>
          <cell r="R1626" t="str">
            <v>Q1.5 Passed</v>
          </cell>
          <cell r="S1626" t="str">
            <v>Qualified</v>
          </cell>
          <cell r="V1626" t="str">
            <v>Tumor content 5-95%</v>
          </cell>
          <cell r="W1626" t="str">
            <v>Private Hospital</v>
          </cell>
          <cell r="X1626" t="str">
            <v>Vydehi Hospital, Bangalore</v>
          </cell>
          <cell r="Y1626" t="str">
            <v>Vydehi Hospital, Bangalore</v>
          </cell>
          <cell r="Z1626" t="str">
            <v>Dr Amritha Prabha</v>
          </cell>
          <cell r="AA1626" t="str">
            <v>Ca Breast</v>
          </cell>
          <cell r="AB1626" t="str">
            <v>TNBC</v>
          </cell>
          <cell r="AC1626" t="str">
            <v>Breast</v>
          </cell>
          <cell r="AD1626" t="str">
            <v xml:space="preserve"> Left Breast</v>
          </cell>
          <cell r="AE1626" t="str">
            <v>Female</v>
          </cell>
          <cell r="AF1626">
            <v>42</v>
          </cell>
          <cell r="AG1626" t="str">
            <v>N</v>
          </cell>
          <cell r="AH1626">
            <v>5.2</v>
          </cell>
          <cell r="AI1626" t="str">
            <v>Kalappa</v>
          </cell>
          <cell r="AJ1626" t="str">
            <v>Surgery</v>
          </cell>
          <cell r="AK1626" t="str">
            <v>Primary</v>
          </cell>
          <cell r="AL1626" t="str">
            <v>Chemotherapy</v>
          </cell>
          <cell r="AQ1626">
            <v>8</v>
          </cell>
          <cell r="AR1626" t="str">
            <v>4AC+4Pacli</v>
          </cell>
          <cell r="AS1626" t="str">
            <v>IDC</v>
          </cell>
        </row>
        <row r="1627">
          <cell r="A1627" t="str">
            <v>FBR1K260012</v>
          </cell>
          <cell r="B1627">
            <v>260012</v>
          </cell>
          <cell r="C1627" t="str">
            <v>R&amp;D</v>
          </cell>
          <cell r="D1627">
            <v>46041</v>
          </cell>
          <cell r="E1627">
            <v>0.54374999999999996</v>
          </cell>
          <cell r="F1627">
            <v>46023</v>
          </cell>
          <cell r="G1627">
            <v>46222</v>
          </cell>
          <cell r="H1627">
            <v>0.6743055555555556</v>
          </cell>
          <cell r="I1627">
            <v>0.13055555555555556</v>
          </cell>
          <cell r="J1627">
            <v>1</v>
          </cell>
          <cell r="K1627" t="str">
            <v>FCB-PROTOCOL-01</v>
          </cell>
          <cell r="L1627" t="str">
            <v>VYD/457</v>
          </cell>
          <cell r="M1627" t="str">
            <v>Y</v>
          </cell>
          <cell r="P1627" t="str">
            <v>Q1 Passed</v>
          </cell>
          <cell r="Q1627" t="str">
            <v>Q1 Passed</v>
          </cell>
          <cell r="R1627" t="str">
            <v>Q1.5 Passed</v>
          </cell>
          <cell r="S1627" t="str">
            <v>Qualified</v>
          </cell>
          <cell r="V1627" t="str">
            <v>Tumor content 10-70%</v>
          </cell>
          <cell r="W1627" t="str">
            <v>Private Hospital</v>
          </cell>
          <cell r="X1627" t="str">
            <v>Vydehi Hospital, Bangalore</v>
          </cell>
          <cell r="Y1627" t="str">
            <v>Vydehi Hospital, Bangalore</v>
          </cell>
          <cell r="Z1627" t="str">
            <v>Dr Amritha Prabha</v>
          </cell>
          <cell r="AA1627" t="str">
            <v>HNSCC</v>
          </cell>
          <cell r="AB1627" t="str">
            <v>NA</v>
          </cell>
          <cell r="AC1627" t="str">
            <v>Buccal Mucosa</v>
          </cell>
          <cell r="AD1627" t="str">
            <v>Right Buccal Mucosa</v>
          </cell>
          <cell r="AE1627" t="str">
            <v>Female</v>
          </cell>
          <cell r="AF1627">
            <v>48</v>
          </cell>
          <cell r="AG1627" t="str">
            <v>N</v>
          </cell>
          <cell r="AH1627">
            <v>4.3</v>
          </cell>
          <cell r="AI1627" t="str">
            <v>Kalappa</v>
          </cell>
          <cell r="AJ1627" t="str">
            <v>Surgery</v>
          </cell>
          <cell r="AK1627" t="str">
            <v>Primary</v>
          </cell>
          <cell r="AL1627" t="str">
            <v>NA</v>
          </cell>
        </row>
        <row r="1628">
          <cell r="A1628" t="str">
            <v>FBR2S260013</v>
          </cell>
          <cell r="B1628">
            <v>260013</v>
          </cell>
          <cell r="C1628" t="str">
            <v>R&amp;D</v>
          </cell>
          <cell r="D1628">
            <v>46041</v>
          </cell>
          <cell r="E1628">
            <v>0.42708333333333331</v>
          </cell>
          <cell r="F1628">
            <v>46023</v>
          </cell>
          <cell r="G1628">
            <v>46222</v>
          </cell>
          <cell r="H1628">
            <v>0.7368055555555556</v>
          </cell>
          <cell r="I1628">
            <v>0.30972222222222223</v>
          </cell>
          <cell r="J1628">
            <v>15</v>
          </cell>
          <cell r="K1628" t="str">
            <v>FCB-PROTOCOL-01</v>
          </cell>
          <cell r="L1628" t="str">
            <v>JSS-083</v>
          </cell>
          <cell r="M1628" t="str">
            <v>Y</v>
          </cell>
          <cell r="P1628" t="str">
            <v>Q1 Passed</v>
          </cell>
          <cell r="Q1628" t="str">
            <v>Q1 Passed</v>
          </cell>
          <cell r="R1628" t="str">
            <v>Q1.5 Passed</v>
          </cell>
          <cell r="S1628" t="str">
            <v>Qualified</v>
          </cell>
          <cell r="V1628" t="str">
            <v>Tumor content 4-45%</v>
          </cell>
          <cell r="W1628" t="str">
            <v>Private Hospital</v>
          </cell>
          <cell r="X1628" t="str">
            <v>Dr Ravi Krishnappa, Mysore</v>
          </cell>
          <cell r="Y1628" t="str">
            <v>JSS Hospital, Mysore</v>
          </cell>
          <cell r="Z1628" t="str">
            <v>Dr Ravi Krishnappa</v>
          </cell>
          <cell r="AA1628" t="str">
            <v>CRC</v>
          </cell>
          <cell r="AB1628" t="str">
            <v>NA</v>
          </cell>
          <cell r="AC1628" t="str">
            <v>Colon</v>
          </cell>
          <cell r="AD1628" t="str">
            <v>Sigmoid Colon</v>
          </cell>
          <cell r="AE1628" t="str">
            <v>Female</v>
          </cell>
          <cell r="AF1628">
            <v>32</v>
          </cell>
          <cell r="AG1628" t="str">
            <v>N</v>
          </cell>
          <cell r="AH1628">
            <v>5.0999999999999996</v>
          </cell>
          <cell r="AI1628" t="str">
            <v>Kalappa</v>
          </cell>
          <cell r="AJ1628" t="str">
            <v>Surgery</v>
          </cell>
          <cell r="AK1628" t="str">
            <v>Primary</v>
          </cell>
          <cell r="AL1628" t="str">
            <v>NA</v>
          </cell>
          <cell r="AO1628">
            <v>2</v>
          </cell>
          <cell r="AP1628" t="str">
            <v>pT3N1</v>
          </cell>
          <cell r="AS1628" t="str">
            <v>Adenocarcinoma</v>
          </cell>
        </row>
        <row r="1629">
          <cell r="A1629" t="str">
            <v xml:space="preserve">FBR2S260014 </v>
          </cell>
          <cell r="B1629">
            <v>260014</v>
          </cell>
          <cell r="C1629" t="str">
            <v>R&amp;D</v>
          </cell>
          <cell r="D1629">
            <v>46041</v>
          </cell>
          <cell r="E1629">
            <v>0.53680555555555554</v>
          </cell>
          <cell r="F1629">
            <v>46023</v>
          </cell>
          <cell r="G1629">
            <v>46222</v>
          </cell>
          <cell r="H1629">
            <v>0.83333333333333337</v>
          </cell>
          <cell r="I1629">
            <v>0.29652777777777778</v>
          </cell>
          <cell r="J1629">
            <v>1</v>
          </cell>
          <cell r="K1629" t="str">
            <v>FCB-PROTOCOL-01</v>
          </cell>
          <cell r="L1629" t="str">
            <v>VYD/458</v>
          </cell>
          <cell r="M1629" t="str">
            <v>Y</v>
          </cell>
          <cell r="P1629" t="str">
            <v>Q1 Passed</v>
          </cell>
          <cell r="Q1629" t="str">
            <v>Q1 Rejected</v>
          </cell>
          <cell r="R1629" t="str">
            <v>Compromised</v>
          </cell>
          <cell r="S1629" t="str">
            <v>Qualified</v>
          </cell>
          <cell r="V1629" t="str">
            <v>Tumor content 15-85%</v>
          </cell>
          <cell r="W1629" t="str">
            <v>Private Hospital</v>
          </cell>
          <cell r="X1629" t="str">
            <v>Vydehi Hospital, Bangalore</v>
          </cell>
          <cell r="Y1629" t="str">
            <v>Vydehi Hospital, Bangalore</v>
          </cell>
          <cell r="Z1629" t="str">
            <v>Dr Amritha Prabha</v>
          </cell>
          <cell r="AA1629" t="str">
            <v>CRC</v>
          </cell>
          <cell r="AB1629" t="str">
            <v>NA</v>
          </cell>
          <cell r="AC1629" t="str">
            <v>Rectum</v>
          </cell>
          <cell r="AD1629" t="str">
            <v>Lower Rectum</v>
          </cell>
          <cell r="AE1629" t="str">
            <v>Male</v>
          </cell>
          <cell r="AF1629">
            <v>31</v>
          </cell>
          <cell r="AG1629" t="str">
            <v>N</v>
          </cell>
          <cell r="AH1629">
            <v>6.3</v>
          </cell>
          <cell r="AI1629" t="str">
            <v>Kalappa</v>
          </cell>
          <cell r="AJ1629" t="str">
            <v>Surgery</v>
          </cell>
          <cell r="AK1629" t="str">
            <v>Primary</v>
          </cell>
          <cell r="AL1629" t="str">
            <v>NA</v>
          </cell>
        </row>
        <row r="1630">
          <cell r="A1630" t="str">
            <v>FBR1Q260015</v>
          </cell>
          <cell r="B1630">
            <v>260015</v>
          </cell>
          <cell r="C1630" t="str">
            <v>R&amp;D</v>
          </cell>
          <cell r="D1630">
            <v>46042</v>
          </cell>
          <cell r="E1630">
            <v>0.53472222222222221</v>
          </cell>
          <cell r="F1630">
            <v>46023</v>
          </cell>
          <cell r="G1630">
            <v>46042</v>
          </cell>
          <cell r="H1630">
            <v>0.89166666666666672</v>
          </cell>
          <cell r="I1630">
            <v>0.35694444444444445</v>
          </cell>
          <cell r="J1630">
            <v>10</v>
          </cell>
          <cell r="K1630" t="str">
            <v>FCB-PROTOCOL-01</v>
          </cell>
          <cell r="L1630" t="str">
            <v>CLN/DBR/265</v>
          </cell>
          <cell r="M1630" t="str">
            <v>Y</v>
          </cell>
          <cell r="P1630" t="str">
            <v>Q1 Passed</v>
          </cell>
          <cell r="Q1630" t="str">
            <v>Q1 Passed</v>
          </cell>
          <cell r="R1630" t="str">
            <v>Q1.5 Passed</v>
          </cell>
          <cell r="S1630" t="str">
            <v>Qualified</v>
          </cell>
          <cell r="V1630" t="str">
            <v>Tumor content 0-8%. Average tumor content 2%</v>
          </cell>
          <cell r="W1630" t="str">
            <v>Clinic'les</v>
          </cell>
          <cell r="X1630" t="str">
            <v>Clinic'les- DBR &amp; SK Hospital, Tirupati</v>
          </cell>
          <cell r="Y1630" t="str">
            <v>DBR &amp; SK Hospital, Tirupati</v>
          </cell>
          <cell r="Z1630" t="str">
            <v>Dr C Jayaprakash</v>
          </cell>
          <cell r="AA1630" t="str">
            <v>Ca Breast</v>
          </cell>
          <cell r="AB1630" t="str">
            <v>NA</v>
          </cell>
          <cell r="AC1630" t="str">
            <v>Breast</v>
          </cell>
          <cell r="AD1630" t="str">
            <v>Right Breast</v>
          </cell>
          <cell r="AE1630" t="str">
            <v>Female</v>
          </cell>
          <cell r="AF1630">
            <v>65</v>
          </cell>
          <cell r="AG1630" t="str">
            <v>N</v>
          </cell>
          <cell r="AH1630">
            <v>4.9000000000000004</v>
          </cell>
          <cell r="AI1630" t="str">
            <v>Kalappa</v>
          </cell>
          <cell r="AJ1630" t="str">
            <v>Surgery</v>
          </cell>
          <cell r="AK1630" t="str">
            <v>Primary</v>
          </cell>
          <cell r="AL1630" t="str">
            <v>NA</v>
          </cell>
          <cell r="AN1630" t="str">
            <v>IIIa</v>
          </cell>
          <cell r="AP1630" t="str">
            <v>T2 N2 Mx</v>
          </cell>
          <cell r="AS1630" t="str">
            <v xml:space="preserve">invasive duct cell adenocarcinoma </v>
          </cell>
        </row>
        <row r="1631">
          <cell r="A1631" t="str">
            <v>FBR1K260016</v>
          </cell>
          <cell r="B1631">
            <v>260016</v>
          </cell>
          <cell r="C1631" t="str">
            <v>R&amp;D</v>
          </cell>
          <cell r="D1631">
            <v>46043</v>
          </cell>
          <cell r="E1631">
            <v>0.52916666666666667</v>
          </cell>
          <cell r="F1631">
            <v>46023</v>
          </cell>
          <cell r="G1631">
            <v>46043</v>
          </cell>
          <cell r="H1631">
            <v>0.60624999999999996</v>
          </cell>
          <cell r="I1631">
            <v>7.7083333333333337E-2</v>
          </cell>
          <cell r="J1631">
            <v>3</v>
          </cell>
          <cell r="K1631" t="str">
            <v>FCB-PROTOCOL-01</v>
          </cell>
          <cell r="L1631" t="str">
            <v>CLN/PRA/378</v>
          </cell>
          <cell r="M1631" t="str">
            <v>Y</v>
          </cell>
          <cell r="P1631" t="str">
            <v>Q1 Passed</v>
          </cell>
          <cell r="Q1631" t="str">
            <v>Q1 Passed</v>
          </cell>
          <cell r="R1631" t="str">
            <v>Q1.5 Passed</v>
          </cell>
          <cell r="S1631" t="str">
            <v>Qualified</v>
          </cell>
          <cell r="V1631" t="str">
            <v>Tumor content 45-85%</v>
          </cell>
          <cell r="W1631" t="str">
            <v>Private Hospital</v>
          </cell>
          <cell r="X1631" t="str">
            <v>Dr Prakash BV, Bangalore</v>
          </cell>
          <cell r="Y1631" t="str">
            <v>Sri Lakshmi Hospital, Bangalore</v>
          </cell>
          <cell r="Z1631" t="str">
            <v>Dr Prakash BV</v>
          </cell>
          <cell r="AA1631" t="str">
            <v>HNSCC</v>
          </cell>
          <cell r="AB1631" t="str">
            <v>NA</v>
          </cell>
          <cell r="AC1631" t="str">
            <v>Buccal Mucosa</v>
          </cell>
          <cell r="AD1631" t="str">
            <v>Right Buccal Mucosa</v>
          </cell>
          <cell r="AE1631" t="str">
            <v>Female</v>
          </cell>
          <cell r="AF1631">
            <v>45</v>
          </cell>
          <cell r="AG1631" t="str">
            <v>N</v>
          </cell>
          <cell r="AH1631">
            <v>4.8</v>
          </cell>
          <cell r="AI1631" t="str">
            <v>Kalappa</v>
          </cell>
          <cell r="AJ1631" t="str">
            <v>Surgery</v>
          </cell>
          <cell r="AK1631" t="str">
            <v>Primary</v>
          </cell>
          <cell r="AL1631" t="str">
            <v>NA</v>
          </cell>
          <cell r="AN1631" t="str">
            <v>II</v>
          </cell>
          <cell r="AP1631" t="str">
            <v>pT2N0M0</v>
          </cell>
          <cell r="AS1631" t="str">
            <v>SCC</v>
          </cell>
        </row>
        <row r="1632">
          <cell r="A1632" t="str">
            <v>FBR1J260017</v>
          </cell>
          <cell r="B1632">
            <v>260017</v>
          </cell>
          <cell r="C1632" t="str">
            <v>R&amp;D</v>
          </cell>
          <cell r="D1632">
            <v>46044</v>
          </cell>
          <cell r="E1632">
            <v>0.56388888888888888</v>
          </cell>
          <cell r="F1632">
            <v>46023</v>
          </cell>
          <cell r="G1632">
            <v>46044</v>
          </cell>
          <cell r="H1632">
            <v>0.66388888888888886</v>
          </cell>
          <cell r="I1632">
            <v>0.1</v>
          </cell>
          <cell r="J1632">
            <v>3</v>
          </cell>
          <cell r="K1632" t="str">
            <v>FCB-PROTOCOL-01</v>
          </cell>
          <cell r="L1632" t="str">
            <v>CLN/PRA/379</v>
          </cell>
          <cell r="M1632" t="str">
            <v>Y</v>
          </cell>
          <cell r="P1632" t="str">
            <v>Q1 Passed</v>
          </cell>
          <cell r="Q1632" t="str">
            <v>Q1 Passed</v>
          </cell>
          <cell r="R1632" t="str">
            <v>Q1.5 Passed</v>
          </cell>
          <cell r="S1632" t="str">
            <v>Qualified</v>
          </cell>
          <cell r="V1632" t="str">
            <v>Tumor content 1-25%</v>
          </cell>
          <cell r="W1632" t="str">
            <v>Private Hospital</v>
          </cell>
          <cell r="X1632" t="str">
            <v>Dr Prakash BV, Bangalore</v>
          </cell>
          <cell r="Y1632" t="str">
            <v>Sri Lakshmi Hospital, Bangalore</v>
          </cell>
          <cell r="Z1632" t="str">
            <v>Dr Prakash BV</v>
          </cell>
          <cell r="AA1632" t="str">
            <v>GI</v>
          </cell>
          <cell r="AB1632" t="str">
            <v>NA</v>
          </cell>
          <cell r="AC1632" t="str">
            <v>cyanoacrylate</v>
          </cell>
          <cell r="AD1632" t="str">
            <v>cyanoacrylate</v>
          </cell>
          <cell r="AE1632" t="str">
            <v>Male</v>
          </cell>
          <cell r="AF1632">
            <v>45</v>
          </cell>
          <cell r="AG1632" t="str">
            <v>N</v>
          </cell>
          <cell r="AH1632">
            <v>5.0999999999999996</v>
          </cell>
          <cell r="AI1632" t="str">
            <v>Kalappa</v>
          </cell>
          <cell r="AJ1632" t="str">
            <v>Surgery</v>
          </cell>
          <cell r="AK1632" t="str">
            <v>Primary</v>
          </cell>
          <cell r="AL1632" t="str">
            <v>NA</v>
          </cell>
          <cell r="AN1632" t="str">
            <v>II</v>
          </cell>
          <cell r="AP1632" t="str">
            <v>pT3N2M0</v>
          </cell>
          <cell r="AS1632" t="str">
            <v>Adenocarcinoma</v>
          </cell>
        </row>
        <row r="1633">
          <cell r="A1633" t="str">
            <v>FBR2U260018</v>
          </cell>
          <cell r="B1633">
            <v>260018</v>
          </cell>
          <cell r="C1633" t="str">
            <v>R&amp;D</v>
          </cell>
          <cell r="D1633">
            <v>46044</v>
          </cell>
          <cell r="E1633">
            <v>0.52777777777777779</v>
          </cell>
          <cell r="F1633">
            <v>46023</v>
          </cell>
          <cell r="G1633">
            <v>46044</v>
          </cell>
          <cell r="H1633">
            <v>0.91388888888888886</v>
          </cell>
          <cell r="I1633">
            <v>0.38611111111111113</v>
          </cell>
          <cell r="J1633">
            <v>5</v>
          </cell>
          <cell r="K1633" t="str">
            <v>FCB-PROTOCOL-01</v>
          </cell>
          <cell r="L1633" t="str">
            <v>CLN/DBR/266</v>
          </cell>
          <cell r="M1633" t="str">
            <v>Y</v>
          </cell>
          <cell r="P1633" t="str">
            <v>Q1 Passed</v>
          </cell>
          <cell r="Q1633" t="str">
            <v>Q1 Passed</v>
          </cell>
          <cell r="R1633" t="str">
            <v>Q1.5 Passed</v>
          </cell>
          <cell r="S1633" t="str">
            <v>Qualified</v>
          </cell>
          <cell r="V1633" t="str">
            <v>Tumor content 40-65% with good immune presence</v>
          </cell>
          <cell r="W1633" t="str">
            <v>Clinic'les</v>
          </cell>
          <cell r="X1633" t="str">
            <v>Clinic'les- DBR &amp; SK Hospital, Tirupati</v>
          </cell>
          <cell r="Y1633" t="str">
            <v>DBR &amp; SK Hospital, Tirupati</v>
          </cell>
          <cell r="Z1633" t="str">
            <v>Dr C Jayaprakash</v>
          </cell>
          <cell r="AA1633" t="str">
            <v>HNSCC</v>
          </cell>
          <cell r="AB1633" t="str">
            <v>NA</v>
          </cell>
          <cell r="AC1633" t="str">
            <v>Buccal Mucosa</v>
          </cell>
          <cell r="AD1633" t="str">
            <v>Left Buccal Mucosa</v>
          </cell>
          <cell r="AE1633" t="str">
            <v>Female</v>
          </cell>
          <cell r="AF1633">
            <v>66</v>
          </cell>
          <cell r="AG1633" t="str">
            <v>N</v>
          </cell>
          <cell r="AH1633">
            <v>4.8</v>
          </cell>
          <cell r="AI1633" t="str">
            <v>Shashi</v>
          </cell>
          <cell r="AJ1633" t="str">
            <v>Surgery</v>
          </cell>
          <cell r="AK1633" t="str">
            <v>Primary</v>
          </cell>
          <cell r="AL1633" t="str">
            <v>NA</v>
          </cell>
          <cell r="AN1633" t="str">
            <v>IVa</v>
          </cell>
          <cell r="AP1633" t="str">
            <v>T4a N0 Mx</v>
          </cell>
          <cell r="AS1633" t="str">
            <v xml:space="preserve">well differentiated squamous cell carcinoma </v>
          </cell>
        </row>
        <row r="1634">
          <cell r="A1634" t="str">
            <v>FBR1J260019</v>
          </cell>
          <cell r="B1634">
            <v>260019</v>
          </cell>
          <cell r="C1634" t="str">
            <v>R&amp;D</v>
          </cell>
          <cell r="D1634">
            <v>46049</v>
          </cell>
          <cell r="E1634">
            <v>0.53194444444444444</v>
          </cell>
          <cell r="F1634">
            <v>46023</v>
          </cell>
          <cell r="G1634">
            <v>46049</v>
          </cell>
          <cell r="H1634">
            <v>0.67222222222222228</v>
          </cell>
          <cell r="I1634">
            <v>0.14027777777777778</v>
          </cell>
          <cell r="J1634">
            <v>11</v>
          </cell>
          <cell r="K1634" t="str">
            <v>FCB-PROTOCOL-01</v>
          </cell>
          <cell r="L1634" t="str">
            <v>VYD/459</v>
          </cell>
          <cell r="M1634" t="str">
            <v>Y</v>
          </cell>
          <cell r="P1634" t="str">
            <v>Q1 Passed</v>
          </cell>
          <cell r="Q1634" t="str">
            <v>Q1 Passed</v>
          </cell>
          <cell r="R1634" t="str">
            <v>Q1.5 Passed</v>
          </cell>
          <cell r="S1634" t="str">
            <v>Qualified</v>
          </cell>
          <cell r="V1634" t="str">
            <v>Tumor content 0-65%. Average tumor content 20%</v>
          </cell>
          <cell r="W1634" t="str">
            <v>Private Hospital</v>
          </cell>
          <cell r="X1634" t="str">
            <v>Vydehi Hospital, Bangalore</v>
          </cell>
          <cell r="Y1634" t="str">
            <v>Vydehi Hospital, Bangalore</v>
          </cell>
          <cell r="Z1634" t="str">
            <v>Dr Amritha Prabha</v>
          </cell>
          <cell r="AA1634" t="str">
            <v>GI</v>
          </cell>
          <cell r="AB1634" t="str">
            <v>NA</v>
          </cell>
          <cell r="AC1634" t="str">
            <v>Stomach</v>
          </cell>
          <cell r="AD1634" t="str">
            <v>Stomach</v>
          </cell>
          <cell r="AE1634" t="str">
            <v>Male</v>
          </cell>
          <cell r="AF1634">
            <v>60</v>
          </cell>
          <cell r="AG1634" t="str">
            <v>N</v>
          </cell>
          <cell r="AH1634">
            <v>4.0999999999999996</v>
          </cell>
          <cell r="AI1634" t="str">
            <v>Kalappa</v>
          </cell>
          <cell r="AJ1634" t="str">
            <v>Surgery</v>
          </cell>
          <cell r="AK1634" t="str">
            <v>Primary</v>
          </cell>
          <cell r="AL1634" t="str">
            <v>NA</v>
          </cell>
        </row>
        <row r="1635">
          <cell r="A1635" t="str">
            <v>FBR1J260020</v>
          </cell>
          <cell r="B1635">
            <v>260020</v>
          </cell>
          <cell r="C1635" t="str">
            <v>R&amp;D</v>
          </cell>
          <cell r="D1635">
            <v>46052</v>
          </cell>
          <cell r="E1635">
            <v>0.49652777777777779</v>
          </cell>
          <cell r="F1635">
            <v>46023</v>
          </cell>
          <cell r="G1635">
            <v>46052</v>
          </cell>
          <cell r="H1635">
            <v>0.69861111111111107</v>
          </cell>
          <cell r="I1635">
            <v>0.20208333333333334</v>
          </cell>
          <cell r="J1635">
            <v>5</v>
          </cell>
          <cell r="K1635" t="str">
            <v>FCB-PROTOCOL-01</v>
          </cell>
          <cell r="L1635" t="str">
            <v>JSS-084</v>
          </cell>
          <cell r="M1635" t="str">
            <v>Y</v>
          </cell>
          <cell r="P1635" t="str">
            <v>Q1 Passed</v>
          </cell>
          <cell r="Q1635" t="str">
            <v>Q1 Rejected</v>
          </cell>
          <cell r="R1635" t="str">
            <v>Q1.5 Passed</v>
          </cell>
          <cell r="S1635" t="str">
            <v>Rejected</v>
          </cell>
          <cell r="T1635" t="str">
            <v>IV Fluid mixed</v>
          </cell>
          <cell r="V1635" t="str">
            <v>No Tumor</v>
          </cell>
          <cell r="W1635" t="str">
            <v>Private Hospital</v>
          </cell>
          <cell r="X1635" t="str">
            <v>Dr Ravi Krishnappa, Mysore</v>
          </cell>
          <cell r="Y1635" t="str">
            <v>JSS Hospital, Mysore</v>
          </cell>
          <cell r="Z1635" t="str">
            <v>Dr Ravi Krishnappa</v>
          </cell>
          <cell r="AA1635" t="str">
            <v>GI</v>
          </cell>
          <cell r="AB1635" t="str">
            <v>NA</v>
          </cell>
          <cell r="AC1635" t="str">
            <v>Stomach</v>
          </cell>
          <cell r="AD1635" t="str">
            <v>Stomach</v>
          </cell>
          <cell r="AE1635" t="str">
            <v>Male</v>
          </cell>
          <cell r="AF1635">
            <v>56</v>
          </cell>
          <cell r="AG1635" t="str">
            <v>N</v>
          </cell>
          <cell r="AH1635">
            <v>6.8</v>
          </cell>
          <cell r="AI1635" t="str">
            <v>Maruthi</v>
          </cell>
          <cell r="AJ1635" t="str">
            <v>Surgery</v>
          </cell>
          <cell r="AK1635" t="str">
            <v>Primary</v>
          </cell>
          <cell r="AL1635" t="str">
            <v>Chemotherapy</v>
          </cell>
          <cell r="AN1635" t="str">
            <v>II</v>
          </cell>
          <cell r="AP1635" t="str">
            <v>pT4a</v>
          </cell>
          <cell r="AS1635" t="str">
            <v>Adenocarcinoma</v>
          </cell>
        </row>
        <row r="1636">
          <cell r="A1636" t="str">
            <v>FBR2S260021</v>
          </cell>
          <cell r="B1636">
            <v>260021</v>
          </cell>
          <cell r="C1636" t="str">
            <v>R&amp;D</v>
          </cell>
          <cell r="D1636">
            <v>46055</v>
          </cell>
          <cell r="E1636">
            <v>0.51736111111111116</v>
          </cell>
          <cell r="F1636">
            <v>46054</v>
          </cell>
          <cell r="G1636">
            <v>46055</v>
          </cell>
          <cell r="H1636">
            <v>0.625</v>
          </cell>
          <cell r="I1636">
            <v>0.1076388888888889</v>
          </cell>
          <cell r="J1636">
            <v>5</v>
          </cell>
          <cell r="K1636" t="str">
            <v>FCB-PROTOCOL-01</v>
          </cell>
          <cell r="L1636" t="str">
            <v>CLN/PRA/380</v>
          </cell>
          <cell r="M1636" t="str">
            <v>Y</v>
          </cell>
          <cell r="P1636" t="str">
            <v>Q1 Passed</v>
          </cell>
          <cell r="Q1636" t="str">
            <v>Q1 Passed</v>
          </cell>
          <cell r="R1636" t="str">
            <v>Q1.5 Passed</v>
          </cell>
          <cell r="S1636" t="str">
            <v>Qualified</v>
          </cell>
          <cell r="V1636" t="str">
            <v>Tumor content 0-40%. Average tumor content 5%</v>
          </cell>
          <cell r="W1636" t="str">
            <v>Private Hospital</v>
          </cell>
          <cell r="X1636" t="str">
            <v>Dr Prakash BV, Bangalore</v>
          </cell>
          <cell r="Y1636" t="str">
            <v>Sri Lakshmi Hospital, Bangalore</v>
          </cell>
          <cell r="Z1636" t="str">
            <v>Dr Prakash BV</v>
          </cell>
          <cell r="AA1636" t="str">
            <v>CRC</v>
          </cell>
          <cell r="AB1636" t="str">
            <v>NA</v>
          </cell>
          <cell r="AC1636" t="str">
            <v>Colon</v>
          </cell>
          <cell r="AD1636" t="str">
            <v>Sigmoid Colon</v>
          </cell>
          <cell r="AE1636" t="str">
            <v>Male</v>
          </cell>
          <cell r="AF1636">
            <v>60</v>
          </cell>
          <cell r="AG1636" t="str">
            <v>N</v>
          </cell>
          <cell r="AH1636">
            <v>4.3</v>
          </cell>
          <cell r="AI1636" t="str">
            <v>Kalappa</v>
          </cell>
          <cell r="AJ1636" t="str">
            <v>Surgery</v>
          </cell>
          <cell r="AK1636" t="str">
            <v>Primary</v>
          </cell>
          <cell r="AL1636" t="str">
            <v>NA</v>
          </cell>
          <cell r="AN1636" t="str">
            <v>II</v>
          </cell>
          <cell r="AP1636" t="str">
            <v>pT4N2M0</v>
          </cell>
          <cell r="AS1636" t="str">
            <v>Adenocarcinoma</v>
          </cell>
        </row>
        <row r="1637">
          <cell r="A1637" t="str">
            <v>FBR1Q260022</v>
          </cell>
          <cell r="B1637">
            <v>260022</v>
          </cell>
          <cell r="C1637" t="str">
            <v>R&amp;D</v>
          </cell>
          <cell r="D1637">
            <v>46056</v>
          </cell>
          <cell r="E1637">
            <v>0.53125</v>
          </cell>
          <cell r="F1637">
            <v>46054</v>
          </cell>
          <cell r="G1637">
            <v>46056</v>
          </cell>
          <cell r="H1637">
            <v>0.60069444444444442</v>
          </cell>
          <cell r="I1637">
            <v>6.9444444444444448E-2</v>
          </cell>
          <cell r="J1637">
            <v>3</v>
          </cell>
          <cell r="K1637" t="str">
            <v>FCB-PROTOCOL-01</v>
          </cell>
          <cell r="L1637" t="str">
            <v>CLN/PRA/381</v>
          </cell>
          <cell r="M1637" t="str">
            <v>Y</v>
          </cell>
          <cell r="P1637" t="str">
            <v>Q1 Passed</v>
          </cell>
          <cell r="Q1637" t="str">
            <v>Not Received</v>
          </cell>
          <cell r="R1637" t="str">
            <v>Q1.5 Passed</v>
          </cell>
          <cell r="S1637" t="str">
            <v>Qualified</v>
          </cell>
          <cell r="V1637" t="str">
            <v>Tumor content 8-45%</v>
          </cell>
          <cell r="W1637" t="str">
            <v>Private Hospital</v>
          </cell>
          <cell r="X1637" t="str">
            <v>Dr Prakash BV, Bangalore</v>
          </cell>
          <cell r="Y1637" t="str">
            <v>Sri Lakshmi Hospital, Bangalore</v>
          </cell>
          <cell r="Z1637" t="str">
            <v>Dr Prakash BV</v>
          </cell>
          <cell r="AA1637" t="str">
            <v>Ca Breast</v>
          </cell>
          <cell r="AB1637" t="str">
            <v>NA</v>
          </cell>
          <cell r="AC1637" t="str">
            <v>Breast</v>
          </cell>
          <cell r="AD1637" t="str">
            <v>Left Breast</v>
          </cell>
          <cell r="AE1637" t="str">
            <v>Female</v>
          </cell>
          <cell r="AF1637">
            <v>55</v>
          </cell>
          <cell r="AG1637" t="str">
            <v>N</v>
          </cell>
          <cell r="AH1637">
            <v>5.4</v>
          </cell>
          <cell r="AI1637" t="str">
            <v>Shashi</v>
          </cell>
          <cell r="AJ1637" t="str">
            <v>Surgery</v>
          </cell>
          <cell r="AK1637" t="str">
            <v>Primary</v>
          </cell>
          <cell r="AL1637" t="str">
            <v>NA</v>
          </cell>
          <cell r="AN1637" t="str">
            <v>II</v>
          </cell>
          <cell r="AP1637" t="str">
            <v>pT3N2M0</v>
          </cell>
          <cell r="AS1637" t="str">
            <v>Ductal Carcinoma</v>
          </cell>
        </row>
        <row r="1638">
          <cell r="A1638" t="str">
            <v>FBR1Q260023</v>
          </cell>
          <cell r="B1638">
            <v>260023</v>
          </cell>
          <cell r="C1638" t="str">
            <v>R&amp;D</v>
          </cell>
          <cell r="D1638">
            <v>46056</v>
          </cell>
          <cell r="E1638">
            <v>0.53472222222222221</v>
          </cell>
          <cell r="F1638">
            <v>46054</v>
          </cell>
          <cell r="G1638">
            <v>46056</v>
          </cell>
          <cell r="H1638">
            <v>0.85138888888888886</v>
          </cell>
          <cell r="I1638">
            <v>0.31666666666666665</v>
          </cell>
          <cell r="J1638">
            <v>10</v>
          </cell>
          <cell r="K1638" t="str">
            <v>FCB-PROTOCOL-01</v>
          </cell>
          <cell r="L1638" t="str">
            <v>CLN/DBR/267</v>
          </cell>
          <cell r="M1638" t="str">
            <v>Y</v>
          </cell>
          <cell r="P1638" t="str">
            <v>Q1 Passed</v>
          </cell>
          <cell r="Q1638" t="str">
            <v>Q1 Passed</v>
          </cell>
          <cell r="R1638" t="str">
            <v>Q1.5 Passed</v>
          </cell>
          <cell r="S1638" t="str">
            <v>Qualified</v>
          </cell>
          <cell r="V1638" t="str">
            <v>Tumor content 8-75%</v>
          </cell>
          <cell r="W1638" t="str">
            <v>Clinic'les</v>
          </cell>
          <cell r="X1638" t="str">
            <v>Clinic'les- DBR &amp; SK Hospital, Tirupati</v>
          </cell>
          <cell r="Y1638" t="str">
            <v>DBR &amp; SK Hospital, Tirupati</v>
          </cell>
          <cell r="Z1638" t="str">
            <v>Dr C Jayaprakash</v>
          </cell>
          <cell r="AA1638" t="str">
            <v>Ca Breast</v>
          </cell>
          <cell r="AB1638" t="str">
            <v>NA</v>
          </cell>
          <cell r="AC1638" t="str">
            <v>Breast</v>
          </cell>
          <cell r="AD1638" t="str">
            <v>Left Breast</v>
          </cell>
          <cell r="AE1638" t="str">
            <v>Female</v>
          </cell>
          <cell r="AF1638">
            <v>64</v>
          </cell>
          <cell r="AG1638" t="str">
            <v>N</v>
          </cell>
          <cell r="AH1638">
            <v>5.3</v>
          </cell>
          <cell r="AI1638" t="str">
            <v>Kalappa</v>
          </cell>
          <cell r="AJ1638" t="str">
            <v>Surgery</v>
          </cell>
          <cell r="AK1638" t="str">
            <v>Primary</v>
          </cell>
          <cell r="AL1638" t="str">
            <v>NA</v>
          </cell>
          <cell r="AN1638" t="str">
            <v>IIa</v>
          </cell>
          <cell r="AP1638" t="str">
            <v>T2 N0 Mx</v>
          </cell>
          <cell r="AS1638" t="str">
            <v xml:space="preserve">Invasive duct cell adenocarcinoma </v>
          </cell>
        </row>
        <row r="1639">
          <cell r="A1639" t="str">
            <v>FBR2S260024</v>
          </cell>
          <cell r="B1639">
            <v>260024</v>
          </cell>
          <cell r="C1639" t="str">
            <v>R&amp;D</v>
          </cell>
          <cell r="D1639">
            <v>46057</v>
          </cell>
          <cell r="E1639">
            <v>0.46875</v>
          </cell>
          <cell r="F1639">
            <v>46054</v>
          </cell>
          <cell r="G1639">
            <v>46057</v>
          </cell>
          <cell r="H1639">
            <v>0.77500000000000002</v>
          </cell>
          <cell r="I1639">
            <v>0.30625000000000002</v>
          </cell>
          <cell r="J1639">
            <v>15</v>
          </cell>
          <cell r="K1639" t="str">
            <v>FCB-PROTOCOL-01</v>
          </cell>
          <cell r="L1639" t="str">
            <v>JSS-085</v>
          </cell>
          <cell r="M1639" t="str">
            <v>Y</v>
          </cell>
          <cell r="P1639" t="str">
            <v>Q1 Passed</v>
          </cell>
          <cell r="Q1639" t="str">
            <v>Q1 Rejected</v>
          </cell>
          <cell r="R1639" t="str">
            <v>Q1.5 Passed</v>
          </cell>
          <cell r="S1639" t="str">
            <v>Contaminated</v>
          </cell>
          <cell r="V1639" t="str">
            <v>Tumor content 0-70%.Average tumor content 28%</v>
          </cell>
          <cell r="W1639" t="str">
            <v>Private Hospital</v>
          </cell>
          <cell r="X1639" t="str">
            <v>Dr Ravi Krishnappa, Mysore</v>
          </cell>
          <cell r="Y1639" t="str">
            <v>JSS Hospital, Mysore</v>
          </cell>
          <cell r="Z1639" t="str">
            <v>Dr Ravi Krishnappa</v>
          </cell>
          <cell r="AA1639" t="str">
            <v>CRC</v>
          </cell>
          <cell r="AB1639" t="str">
            <v>NA</v>
          </cell>
          <cell r="AC1639" t="str">
            <v>Colon</v>
          </cell>
          <cell r="AD1639" t="str">
            <v>Sigmoid Colon</v>
          </cell>
          <cell r="AE1639" t="str">
            <v>Female</v>
          </cell>
          <cell r="AF1639">
            <v>78</v>
          </cell>
          <cell r="AG1639" t="str">
            <v>N</v>
          </cell>
          <cell r="AH1639">
            <v>5.5</v>
          </cell>
          <cell r="AI1639" t="str">
            <v>Kalappa</v>
          </cell>
          <cell r="AJ1639" t="str">
            <v>Surgery</v>
          </cell>
          <cell r="AK1639" t="str">
            <v>Primary</v>
          </cell>
          <cell r="AL1639" t="str">
            <v>NA</v>
          </cell>
          <cell r="AN1639" t="str">
            <v>II</v>
          </cell>
          <cell r="AP1639" t="str">
            <v>pT4N1M0</v>
          </cell>
          <cell r="AS1639" t="str">
            <v>Adenocarcinoma</v>
          </cell>
        </row>
        <row r="1640">
          <cell r="A1640" t="str">
            <v>FBR2Q260025</v>
          </cell>
          <cell r="B1640">
            <v>260025</v>
          </cell>
          <cell r="C1640" t="str">
            <v>R&amp;D</v>
          </cell>
          <cell r="D1640">
            <v>46058</v>
          </cell>
          <cell r="E1640">
            <v>0.45555555555555555</v>
          </cell>
          <cell r="F1640">
            <v>46054</v>
          </cell>
          <cell r="G1640">
            <v>46058</v>
          </cell>
          <cell r="H1640">
            <v>0.57986111111111116</v>
          </cell>
          <cell r="I1640">
            <v>0.12430555555555556</v>
          </cell>
          <cell r="J1640">
            <v>2</v>
          </cell>
          <cell r="K1640" t="str">
            <v>FCB-PROTOCOL-01</v>
          </cell>
          <cell r="L1640" t="str">
            <v>VYD/460</v>
          </cell>
          <cell r="M1640" t="str">
            <v>Y</v>
          </cell>
          <cell r="P1640" t="str">
            <v>Q1 Passed</v>
          </cell>
          <cell r="Q1640" t="str">
            <v>Q1 Rejected</v>
          </cell>
          <cell r="R1640" t="str">
            <v>Q1.5 Passed</v>
          </cell>
          <cell r="S1640" t="str">
            <v>Qualified</v>
          </cell>
          <cell r="V1640" t="str">
            <v>Tumor content 0-85%.Average tumor content 30%</v>
          </cell>
          <cell r="W1640" t="str">
            <v>Private Hospital</v>
          </cell>
          <cell r="X1640" t="str">
            <v>Vydehi Hospital, Bangalore</v>
          </cell>
          <cell r="Y1640" t="str">
            <v>Vydehi Hospital, Bangalore</v>
          </cell>
          <cell r="Z1640" t="str">
            <v>Dr Amritha Prabha</v>
          </cell>
          <cell r="AA1640" t="str">
            <v>HNSCC</v>
          </cell>
          <cell r="AB1640" t="str">
            <v>NA</v>
          </cell>
          <cell r="AC1640" t="str">
            <v>Tongue</v>
          </cell>
          <cell r="AD1640" t="str">
            <v>Right Lateral Border of Tongue</v>
          </cell>
          <cell r="AE1640" t="str">
            <v>Female</v>
          </cell>
          <cell r="AF1640">
            <v>37</v>
          </cell>
          <cell r="AG1640" t="str">
            <v>N</v>
          </cell>
          <cell r="AH1640">
            <v>5.6</v>
          </cell>
          <cell r="AI1640" t="str">
            <v>Kalappa</v>
          </cell>
          <cell r="AJ1640" t="str">
            <v>Surgery</v>
          </cell>
          <cell r="AK1640" t="str">
            <v>Primary</v>
          </cell>
          <cell r="AL1640" t="str">
            <v>NA</v>
          </cell>
        </row>
        <row r="1641">
          <cell r="A1641" t="str">
            <v>FBR2U260026</v>
          </cell>
          <cell r="B1641">
            <v>260026</v>
          </cell>
          <cell r="C1641" t="str">
            <v>R&amp;D</v>
          </cell>
          <cell r="D1641">
            <v>46059</v>
          </cell>
          <cell r="E1641">
            <v>0.53819444444444442</v>
          </cell>
          <cell r="F1641">
            <v>46054</v>
          </cell>
          <cell r="G1641">
            <v>46059</v>
          </cell>
          <cell r="H1641">
            <v>0.84583333333333333</v>
          </cell>
          <cell r="I1641">
            <v>0.30763888888888891</v>
          </cell>
          <cell r="J1641">
            <v>10</v>
          </cell>
          <cell r="K1641" t="str">
            <v>FCB-PROTOCOL-01</v>
          </cell>
          <cell r="L1641" t="str">
            <v>CLN/DBR/268</v>
          </cell>
          <cell r="M1641" t="str">
            <v>Y</v>
          </cell>
          <cell r="P1641" t="str">
            <v>Q1 Passed</v>
          </cell>
          <cell r="Q1641" t="str">
            <v>Q1 Passed</v>
          </cell>
          <cell r="R1641" t="str">
            <v>Q1.5 Passed</v>
          </cell>
          <cell r="S1641" t="str">
            <v>Qualified</v>
          </cell>
          <cell r="V1641" t="str">
            <v>Tumor content 45-70% with good immune presence</v>
          </cell>
          <cell r="W1641" t="str">
            <v>Clinic'les</v>
          </cell>
          <cell r="X1641" t="str">
            <v>Clinic'les- DBR &amp; SK Hospital, Tirupati</v>
          </cell>
          <cell r="Y1641" t="str">
            <v>DBR &amp; SK Hospital, Tirupati</v>
          </cell>
          <cell r="Z1641" t="str">
            <v>Dr C Jayaprakash</v>
          </cell>
          <cell r="AA1641" t="str">
            <v>HNSCC</v>
          </cell>
          <cell r="AB1641" t="str">
            <v>NA</v>
          </cell>
          <cell r="AC1641" t="str">
            <v>Buccal Mucosa</v>
          </cell>
          <cell r="AD1641" t="str">
            <v>Left Buccal Mucosa</v>
          </cell>
          <cell r="AE1641" t="str">
            <v>Female</v>
          </cell>
          <cell r="AF1641">
            <v>68</v>
          </cell>
          <cell r="AG1641" t="str">
            <v>N</v>
          </cell>
          <cell r="AH1641">
            <v>6.8</v>
          </cell>
          <cell r="AI1641" t="str">
            <v>Maruthi</v>
          </cell>
          <cell r="AJ1641" t="str">
            <v>Surgery</v>
          </cell>
          <cell r="AK1641" t="str">
            <v>Primary</v>
          </cell>
          <cell r="AL1641" t="str">
            <v>NA</v>
          </cell>
          <cell r="AN1641" t="str">
            <v>IVa</v>
          </cell>
          <cell r="AP1641" t="str">
            <v>T4a N2 MX</v>
          </cell>
          <cell r="AS1641" t="str">
            <v xml:space="preserve">Consistent with well differentiated squamous cell carcinoma </v>
          </cell>
        </row>
        <row r="1642">
          <cell r="A1642" t="str">
            <v>FBR1Q260027</v>
          </cell>
          <cell r="B1642">
            <v>260027</v>
          </cell>
          <cell r="C1642" t="str">
            <v>R&amp;D</v>
          </cell>
          <cell r="D1642">
            <v>46062</v>
          </cell>
          <cell r="E1642">
            <v>0.46180555555555558</v>
          </cell>
          <cell r="F1642">
            <v>46054</v>
          </cell>
          <cell r="G1642">
            <v>46062</v>
          </cell>
          <cell r="H1642">
            <v>0.56597222222222221</v>
          </cell>
          <cell r="I1642">
            <v>0.10416666666666667</v>
          </cell>
          <cell r="J1642">
            <v>3</v>
          </cell>
          <cell r="K1642" t="str">
            <v>FCB-PROTOCOL-01</v>
          </cell>
          <cell r="L1642" t="str">
            <v>CLN/PRA/382</v>
          </cell>
          <cell r="M1642" t="str">
            <v>Y</v>
          </cell>
          <cell r="P1642" t="str">
            <v>Q1 Passed</v>
          </cell>
          <cell r="Q1642" t="str">
            <v>Q1 Passed</v>
          </cell>
          <cell r="R1642" t="str">
            <v>Q1.5 Passed</v>
          </cell>
          <cell r="S1642" t="str">
            <v>Qualified</v>
          </cell>
          <cell r="V1642" t="str">
            <v>Tumor content 55-85%</v>
          </cell>
          <cell r="W1642" t="str">
            <v>Private Hospital</v>
          </cell>
          <cell r="X1642" t="str">
            <v>Dr Prakash BV, Bangalore</v>
          </cell>
          <cell r="Y1642" t="str">
            <v>Sri Lakshmi Hospital, Bangalore</v>
          </cell>
          <cell r="Z1642" t="str">
            <v>Dr Prakash BV</v>
          </cell>
          <cell r="AA1642" t="str">
            <v>Ca Breast</v>
          </cell>
          <cell r="AB1642" t="str">
            <v>NA</v>
          </cell>
          <cell r="AC1642" t="str">
            <v>Breast</v>
          </cell>
          <cell r="AD1642" t="str">
            <v>Left Breast</v>
          </cell>
          <cell r="AE1642" t="str">
            <v>Female</v>
          </cell>
          <cell r="AF1642">
            <v>35</v>
          </cell>
          <cell r="AG1642" t="str">
            <v>N</v>
          </cell>
          <cell r="AH1642">
            <v>4.8</v>
          </cell>
          <cell r="AI1642" t="str">
            <v>Kalappa</v>
          </cell>
          <cell r="AJ1642" t="str">
            <v>Surgery</v>
          </cell>
          <cell r="AK1642" t="str">
            <v>Primary</v>
          </cell>
          <cell r="AL1642" t="str">
            <v>NA</v>
          </cell>
          <cell r="AN1642" t="str">
            <v>II</v>
          </cell>
          <cell r="AP1642" t="str">
            <v>pT2N1M0</v>
          </cell>
          <cell r="AS1642" t="str">
            <v>Ductal Carcinoma</v>
          </cell>
        </row>
        <row r="1643">
          <cell r="A1643" t="str">
            <v>FBR1Q260028</v>
          </cell>
          <cell r="B1643">
            <v>260028</v>
          </cell>
          <cell r="C1643" t="str">
            <v>R&amp;D</v>
          </cell>
          <cell r="D1643">
            <v>46062</v>
          </cell>
          <cell r="E1643">
            <v>0.42916666666666664</v>
          </cell>
          <cell r="F1643">
            <v>46054</v>
          </cell>
          <cell r="G1643">
            <v>46062</v>
          </cell>
          <cell r="H1643">
            <v>0.5805555555555556</v>
          </cell>
          <cell r="I1643">
            <v>0.15138888888888888</v>
          </cell>
          <cell r="J1643">
            <v>3</v>
          </cell>
          <cell r="K1643" t="str">
            <v>FCB-PROTOCOL-01</v>
          </cell>
          <cell r="L1643" t="str">
            <v>VYD/461</v>
          </cell>
          <cell r="M1643" t="str">
            <v>Y</v>
          </cell>
          <cell r="P1643" t="str">
            <v>Q1 Passed</v>
          </cell>
          <cell r="Q1643" t="str">
            <v>Q1 Passed</v>
          </cell>
          <cell r="R1643" t="str">
            <v>Q1.5 Passed</v>
          </cell>
          <cell r="S1643" t="str">
            <v>Qualified</v>
          </cell>
          <cell r="V1643" t="str">
            <v>Tumor content 0-10%.Average tumor content 3%</v>
          </cell>
          <cell r="W1643" t="str">
            <v>Private Hospital</v>
          </cell>
          <cell r="X1643" t="str">
            <v>Vydehi Hospital, Bangalore</v>
          </cell>
          <cell r="Y1643" t="str">
            <v>Vydehi Hospital, Bangalore</v>
          </cell>
          <cell r="Z1643" t="str">
            <v>Dr Amritha Prabha</v>
          </cell>
          <cell r="AA1643" t="str">
            <v>Ca Breast</v>
          </cell>
          <cell r="AB1643" t="str">
            <v>NA</v>
          </cell>
          <cell r="AC1643" t="str">
            <v>Breast</v>
          </cell>
          <cell r="AD1643" t="str">
            <v>Left Breast</v>
          </cell>
          <cell r="AE1643" t="str">
            <v>Female</v>
          </cell>
          <cell r="AF1643">
            <v>57</v>
          </cell>
          <cell r="AG1643" t="str">
            <v>N</v>
          </cell>
          <cell r="AH1643">
            <v>5.6</v>
          </cell>
          <cell r="AI1643" t="str">
            <v>Maruthi</v>
          </cell>
          <cell r="AJ1643" t="str">
            <v>Surgery</v>
          </cell>
          <cell r="AK1643" t="str">
            <v>Primary</v>
          </cell>
          <cell r="AL1643" t="str">
            <v>NA</v>
          </cell>
          <cell r="AS1643" t="str">
            <v>IDC</v>
          </cell>
        </row>
        <row r="1644">
          <cell r="A1644" t="str">
            <v>FBR2U260029</v>
          </cell>
          <cell r="B1644">
            <v>260029</v>
          </cell>
          <cell r="C1644" t="str">
            <v>R&amp;D</v>
          </cell>
          <cell r="D1644">
            <v>46062</v>
          </cell>
          <cell r="E1644">
            <v>0.56944444444444442</v>
          </cell>
          <cell r="F1644">
            <v>46054</v>
          </cell>
          <cell r="G1644">
            <v>46062</v>
          </cell>
          <cell r="H1644">
            <v>0.87847222222222221</v>
          </cell>
          <cell r="I1644">
            <v>0.30902777777777779</v>
          </cell>
          <cell r="J1644">
            <v>10</v>
          </cell>
          <cell r="K1644" t="str">
            <v>FCB-PROTOCOL-01</v>
          </cell>
          <cell r="L1644" t="str">
            <v>CLN/DBR/269</v>
          </cell>
          <cell r="M1644" t="str">
            <v>Y</v>
          </cell>
          <cell r="P1644" t="str">
            <v>Q1 Passed</v>
          </cell>
          <cell r="Q1644" t="str">
            <v>Q1 Passed</v>
          </cell>
          <cell r="R1644" t="str">
            <v>Q1.5 Passed</v>
          </cell>
          <cell r="S1644" t="str">
            <v>Qualified</v>
          </cell>
          <cell r="V1644" t="str">
            <v>Tumor content 1-90%</v>
          </cell>
          <cell r="W1644" t="str">
            <v>Clinic'les</v>
          </cell>
          <cell r="X1644" t="str">
            <v>Clinic'les- DBR &amp; SK Hospital, Tirupati</v>
          </cell>
          <cell r="Y1644" t="str">
            <v>DBR &amp; SK Hospital, Tirupati</v>
          </cell>
          <cell r="Z1644" t="str">
            <v>Dr C Jayaprakash</v>
          </cell>
          <cell r="AA1644" t="str">
            <v>HNSCC</v>
          </cell>
          <cell r="AB1644" t="str">
            <v>NA</v>
          </cell>
          <cell r="AC1644" t="str">
            <v>Tongue</v>
          </cell>
          <cell r="AD1644" t="str">
            <v>Right Tongue</v>
          </cell>
          <cell r="AE1644" t="str">
            <v>Female</v>
          </cell>
          <cell r="AF1644">
            <v>59</v>
          </cell>
          <cell r="AG1644" t="str">
            <v>N</v>
          </cell>
          <cell r="AH1644">
            <v>5.0999999999999996</v>
          </cell>
          <cell r="AI1644" t="str">
            <v>Shashi</v>
          </cell>
          <cell r="AJ1644" t="str">
            <v>Surgery</v>
          </cell>
          <cell r="AK1644" t="str">
            <v>Primary</v>
          </cell>
          <cell r="AL1644" t="str">
            <v>NA</v>
          </cell>
          <cell r="AN1644" t="str">
            <v>II</v>
          </cell>
          <cell r="AP1644" t="str">
            <v>T2 N0 Mx</v>
          </cell>
          <cell r="AS1644" t="str">
            <v xml:space="preserve">Consistent with moderately differentiated squamous cell carcinoma </v>
          </cell>
        </row>
        <row r="1645">
          <cell r="A1645" t="str">
            <v>BLB260030</v>
          </cell>
          <cell r="B1645">
            <v>260030</v>
          </cell>
          <cell r="C1645" t="str">
            <v>R&amp;D</v>
          </cell>
          <cell r="D1645">
            <v>46063</v>
          </cell>
          <cell r="E1645">
            <v>0.42708333333333331</v>
          </cell>
          <cell r="F1645">
            <v>46054</v>
          </cell>
          <cell r="G1645">
            <v>46063</v>
          </cell>
          <cell r="H1645">
            <v>0</v>
          </cell>
          <cell r="I1645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K1645" t="str">
            <v>FCB-PROTOCOL-01</v>
          </cell>
          <cell r="L1645" t="str">
            <v>SIMC-19 (CT-01)</v>
          </cell>
          <cell r="M1645" t="str">
            <v>N</v>
          </cell>
          <cell r="P1645" t="str">
            <v>Not Received</v>
          </cell>
          <cell r="Q1645" t="str">
            <v>Q1 Passed</v>
          </cell>
          <cell r="R1645" t="str">
            <v>Q1.5 Passed</v>
          </cell>
          <cell r="S1645" t="str">
            <v>Qualified</v>
          </cell>
          <cell r="V1645" t="str">
            <v>NA</v>
          </cell>
          <cell r="W1645" t="str">
            <v>Private Hospital</v>
          </cell>
          <cell r="X1645" t="str">
            <v>Sapthagiri ClinTrac Pvt Ltd</v>
          </cell>
          <cell r="Y1645" t="str">
            <v>Sapthagiri Institute of Medical Sciences</v>
          </cell>
          <cell r="Z1645" t="str">
            <v>Dr Nataraj</v>
          </cell>
          <cell r="AA1645" t="str">
            <v>Ca Breast</v>
          </cell>
          <cell r="AB1645" t="str">
            <v>NA</v>
          </cell>
        </row>
        <row r="1646">
          <cell r="A1646" t="str">
            <v>FBR2A260031</v>
          </cell>
          <cell r="B1646">
            <v>260031</v>
          </cell>
          <cell r="C1646" t="str">
            <v>R&amp;D</v>
          </cell>
          <cell r="D1646">
            <v>46064</v>
          </cell>
          <cell r="E1646">
            <v>0.46875</v>
          </cell>
          <cell r="F1646">
            <v>46054</v>
          </cell>
          <cell r="G1646">
            <v>46064</v>
          </cell>
          <cell r="H1646">
            <v>0.67222222222222228</v>
          </cell>
          <cell r="I1646">
            <v>0.20347222222222222</v>
          </cell>
          <cell r="J1646">
            <v>15</v>
          </cell>
          <cell r="K1646" t="str">
            <v>FCB-PROTOCOL-01</v>
          </cell>
          <cell r="L1646" t="str">
            <v>JSS-086</v>
          </cell>
          <cell r="M1646" t="str">
            <v>Y</v>
          </cell>
          <cell r="P1646" t="str">
            <v>Q1 Passed</v>
          </cell>
          <cell r="Q1646" t="str">
            <v>Q1 Rejected</v>
          </cell>
          <cell r="R1646" t="str">
            <v>Q1.5 Rejected</v>
          </cell>
          <cell r="S1646" t="str">
            <v>Rejected</v>
          </cell>
          <cell r="T1646" t="str">
            <v>Low Hb value</v>
          </cell>
          <cell r="V1646" t="str">
            <v>No tumor</v>
          </cell>
          <cell r="W1646" t="str">
            <v>Private Hospital</v>
          </cell>
          <cell r="X1646" t="str">
            <v>Dr Ravi Krishnappa, Mysore</v>
          </cell>
          <cell r="Y1646" t="str">
            <v>JSS Hospital, Mysore</v>
          </cell>
          <cell r="Z1646" t="str">
            <v>Dr Ravi Krishnappa</v>
          </cell>
          <cell r="AA1646" t="str">
            <v>Ca Ovary</v>
          </cell>
          <cell r="AB1646" t="str">
            <v>NA</v>
          </cell>
          <cell r="AC1646" t="str">
            <v>Ovary</v>
          </cell>
          <cell r="AD1646" t="str">
            <v>B/L Ovary</v>
          </cell>
          <cell r="AE1646" t="str">
            <v>Female</v>
          </cell>
          <cell r="AF1646">
            <v>65</v>
          </cell>
          <cell r="AG1646" t="str">
            <v>N</v>
          </cell>
          <cell r="AH1646">
            <v>6.8</v>
          </cell>
          <cell r="AI1646" t="str">
            <v>Kalappa</v>
          </cell>
          <cell r="AJ1646" t="str">
            <v>Surgery</v>
          </cell>
          <cell r="AK1646" t="str">
            <v>Primary</v>
          </cell>
          <cell r="AL1646" t="str">
            <v>Chemotherapy</v>
          </cell>
          <cell r="AN1646" t="str">
            <v>II</v>
          </cell>
          <cell r="AQ1646">
            <v>6</v>
          </cell>
          <cell r="AR1646" t="str">
            <v>Pacli+Crabo</v>
          </cell>
          <cell r="AS1646" t="str">
            <v>Adenocarcinoma</v>
          </cell>
        </row>
        <row r="1647">
          <cell r="A1647" t="str">
            <v>FBR1Y260032</v>
          </cell>
          <cell r="B1647">
            <v>260032</v>
          </cell>
          <cell r="C1647" t="str">
            <v>R&amp;D</v>
          </cell>
          <cell r="D1647">
            <v>46065</v>
          </cell>
          <cell r="E1647">
            <v>0.44097222222222221</v>
          </cell>
          <cell r="F1647">
            <v>46054</v>
          </cell>
          <cell r="G1647">
            <v>46065</v>
          </cell>
          <cell r="H1647">
            <v>0.60763888888888884</v>
          </cell>
          <cell r="I1647">
            <v>0.16666666666666666</v>
          </cell>
          <cell r="J1647">
            <v>3</v>
          </cell>
          <cell r="K1647" t="str">
            <v>FCB-PROTOCOL-01</v>
          </cell>
          <cell r="L1647" t="str">
            <v>VYD/462</v>
          </cell>
          <cell r="M1647" t="str">
            <v>Y</v>
          </cell>
          <cell r="P1647" t="str">
            <v>Q1 Passed</v>
          </cell>
          <cell r="Q1647" t="str">
            <v>Q1 Rejected</v>
          </cell>
          <cell r="R1647" t="str">
            <v>Q1.5 Passed</v>
          </cell>
          <cell r="S1647" t="str">
            <v>Qualified</v>
          </cell>
          <cell r="T1647" t="str">
            <v>Blood Heamolysed</v>
          </cell>
          <cell r="V1647" t="str">
            <v>Tumor content 65-85% with good immune presence</v>
          </cell>
          <cell r="W1647" t="str">
            <v>Private Hospital</v>
          </cell>
          <cell r="X1647" t="str">
            <v>Vydehi Hospital, Bangalore</v>
          </cell>
          <cell r="Y1647" t="str">
            <v>Vydehi Hospital, Bangalore</v>
          </cell>
          <cell r="Z1647" t="str">
            <v>Dr Amritha Prabha</v>
          </cell>
          <cell r="AA1647" t="str">
            <v>HNSCC</v>
          </cell>
          <cell r="AB1647" t="str">
            <v>NA</v>
          </cell>
          <cell r="AC1647" t="str">
            <v>Buccal Mucosa</v>
          </cell>
          <cell r="AD1647" t="str">
            <v>Left Buccal Mucosa</v>
          </cell>
          <cell r="AE1647" t="str">
            <v>Female</v>
          </cell>
          <cell r="AF1647">
            <v>42</v>
          </cell>
          <cell r="AG1647" t="str">
            <v>N</v>
          </cell>
          <cell r="AH1647">
            <v>6.2</v>
          </cell>
          <cell r="AI1647" t="str">
            <v>Kalappa</v>
          </cell>
          <cell r="AJ1647" t="str">
            <v>Surgery</v>
          </cell>
          <cell r="AK1647" t="str">
            <v>Primary</v>
          </cell>
          <cell r="AL1647" t="str">
            <v>Surgery</v>
          </cell>
          <cell r="AS1647" t="str">
            <v>SCC</v>
          </cell>
        </row>
        <row r="1648">
          <cell r="A1648" t="str">
            <v>FBR1Q260033</v>
          </cell>
          <cell r="B1648">
            <v>260033</v>
          </cell>
          <cell r="C1648" t="str">
            <v>R&amp;D</v>
          </cell>
          <cell r="D1648">
            <v>46070</v>
          </cell>
          <cell r="E1648">
            <v>0.55069444444444449</v>
          </cell>
          <cell r="F1648">
            <v>46054</v>
          </cell>
          <cell r="G1648">
            <v>46070</v>
          </cell>
          <cell r="H1648">
            <v>0.64027777777777772</v>
          </cell>
          <cell r="I1648">
            <v>8.9583333333333334E-2</v>
          </cell>
          <cell r="J1648">
            <v>2</v>
          </cell>
          <cell r="K1648" t="str">
            <v>FCB-PROTOCOL-01</v>
          </cell>
          <cell r="L1648" t="str">
            <v>CLN/PRA/383</v>
          </cell>
          <cell r="M1648" t="str">
            <v>Y</v>
          </cell>
          <cell r="P1648" t="str">
            <v>Q1 Passed</v>
          </cell>
          <cell r="Q1648" t="str">
            <v>Q1 Passed</v>
          </cell>
          <cell r="R1648" t="str">
            <v>Q1.5 Passed</v>
          </cell>
          <cell r="S1648" t="str">
            <v>Rejected</v>
          </cell>
          <cell r="V1648" t="str">
            <v>No tumor</v>
          </cell>
          <cell r="W1648" t="str">
            <v>Private Hospital</v>
          </cell>
          <cell r="X1648" t="str">
            <v>Dr Prakash BV, Bangalore</v>
          </cell>
          <cell r="Y1648" t="str">
            <v>Sri Lakshmi Hospital, Bangalore</v>
          </cell>
          <cell r="Z1648" t="str">
            <v>Dr Prakash BV</v>
          </cell>
          <cell r="AA1648" t="str">
            <v>Ca Breast</v>
          </cell>
          <cell r="AB1648" t="str">
            <v>NA</v>
          </cell>
          <cell r="AC1648" t="str">
            <v>Breast</v>
          </cell>
          <cell r="AD1648" t="str">
            <v>Left Breast</v>
          </cell>
          <cell r="AE1648" t="str">
            <v>Female</v>
          </cell>
          <cell r="AF1648">
            <v>56</v>
          </cell>
          <cell r="AG1648" t="str">
            <v>N</v>
          </cell>
          <cell r="AH1648">
            <v>5.9</v>
          </cell>
          <cell r="AI1648" t="str">
            <v>Shashi</v>
          </cell>
          <cell r="AJ1648" t="str">
            <v>Surgery</v>
          </cell>
          <cell r="AK1648" t="str">
            <v>Primary</v>
          </cell>
          <cell r="AL1648" t="str">
            <v>NA</v>
          </cell>
          <cell r="AN1648" t="str">
            <v>II</v>
          </cell>
          <cell r="AP1648" t="str">
            <v>pT3N1M0</v>
          </cell>
        </row>
        <row r="1649">
          <cell r="A1649" t="str">
            <v>FBR2S260034</v>
          </cell>
          <cell r="B1649">
            <v>260034</v>
          </cell>
          <cell r="C1649" t="str">
            <v>R&amp;D</v>
          </cell>
          <cell r="D1649">
            <v>46070</v>
          </cell>
          <cell r="E1649">
            <v>0.63055555555555554</v>
          </cell>
          <cell r="F1649">
            <v>46054</v>
          </cell>
          <cell r="G1649">
            <v>46070</v>
          </cell>
          <cell r="H1649">
            <v>0.72638888888888886</v>
          </cell>
          <cell r="I1649">
            <v>9.583333333333334E-2</v>
          </cell>
          <cell r="J1649">
            <v>2</v>
          </cell>
          <cell r="K1649" t="str">
            <v>FCB-PROTOCOL-01</v>
          </cell>
          <cell r="L1649" t="str">
            <v>CLN/PRA/384</v>
          </cell>
          <cell r="M1649" t="str">
            <v>Y</v>
          </cell>
          <cell r="P1649" t="str">
            <v>Q1 Passed</v>
          </cell>
          <cell r="Q1649" t="str">
            <v>Q1 Passed</v>
          </cell>
          <cell r="R1649" t="str">
            <v>Q1.5 Passed</v>
          </cell>
          <cell r="S1649" t="str">
            <v>Qualified</v>
          </cell>
          <cell r="V1649" t="str">
            <v>Tumor content 0-35%.Average tumor content 9%</v>
          </cell>
          <cell r="W1649" t="str">
            <v>Private Hospital</v>
          </cell>
          <cell r="X1649" t="str">
            <v>Dr Prakash BV, Bangalore</v>
          </cell>
          <cell r="Y1649" t="str">
            <v>Sri Lakshmi Hospital, Bangalore</v>
          </cell>
          <cell r="Z1649" t="str">
            <v>Dr Prakash BV</v>
          </cell>
          <cell r="AA1649" t="str">
            <v>CRC</v>
          </cell>
          <cell r="AB1649" t="str">
            <v>NA</v>
          </cell>
          <cell r="AC1649" t="str">
            <v>Colon</v>
          </cell>
          <cell r="AD1649" t="str">
            <v>Sigmoid Colon</v>
          </cell>
          <cell r="AE1649" t="str">
            <v>Male</v>
          </cell>
          <cell r="AF1649">
            <v>48</v>
          </cell>
          <cell r="AG1649" t="str">
            <v>N</v>
          </cell>
          <cell r="AH1649">
            <v>4.7</v>
          </cell>
          <cell r="AI1649" t="str">
            <v>Kalappa</v>
          </cell>
          <cell r="AJ1649" t="str">
            <v>Surgery</v>
          </cell>
          <cell r="AK1649" t="str">
            <v>Primary</v>
          </cell>
          <cell r="AL1649" t="str">
            <v>NA</v>
          </cell>
          <cell r="AN1649" t="str">
            <v>II</v>
          </cell>
          <cell r="AP1649" t="str">
            <v>pT2N0M0</v>
          </cell>
          <cell r="AS1649" t="str">
            <v>Adenocarcinoma</v>
          </cell>
        </row>
        <row r="1650">
          <cell r="A1650" t="str">
            <v>FBR2U260035</v>
          </cell>
          <cell r="B1650">
            <v>260035</v>
          </cell>
          <cell r="C1650" t="str">
            <v>R&amp;D</v>
          </cell>
          <cell r="D1650">
            <v>46071</v>
          </cell>
          <cell r="E1650">
            <v>0.47083333333333333</v>
          </cell>
          <cell r="F1650">
            <v>46054</v>
          </cell>
          <cell r="G1650">
            <v>46071</v>
          </cell>
          <cell r="H1650">
            <v>0.59722222222222221</v>
          </cell>
          <cell r="I1650">
            <v>0.12638888888888888</v>
          </cell>
          <cell r="J1650">
            <v>4</v>
          </cell>
          <cell r="K1650" t="str">
            <v>FCB-PROTOCOL-01</v>
          </cell>
          <cell r="L1650" t="str">
            <v>VYD/463</v>
          </cell>
          <cell r="M1650" t="str">
            <v>Y</v>
          </cell>
          <cell r="P1650" t="str">
            <v>Q1 Passed</v>
          </cell>
          <cell r="Q1650" t="str">
            <v>Q1 Passed</v>
          </cell>
          <cell r="R1650" t="str">
            <v>Q1.5 Passed</v>
          </cell>
          <cell r="S1650" t="str">
            <v>Qualified</v>
          </cell>
          <cell r="V1650" t="str">
            <v>Tumor content 5-75%</v>
          </cell>
          <cell r="W1650" t="str">
            <v>Private Hospital</v>
          </cell>
          <cell r="X1650" t="str">
            <v>Vydehi Hospital, Bangalore</v>
          </cell>
          <cell r="Y1650" t="str">
            <v>Vydehi Hospital, Bangalore</v>
          </cell>
          <cell r="Z1650" t="str">
            <v>Dr Amritha Prabha</v>
          </cell>
          <cell r="AA1650" t="str">
            <v>HNSCC</v>
          </cell>
          <cell r="AB1650" t="str">
            <v>NA</v>
          </cell>
          <cell r="AC1650" t="str">
            <v>Buccal Mucosa</v>
          </cell>
          <cell r="AD1650" t="str">
            <v>Left Buccal Mucosa</v>
          </cell>
          <cell r="AE1650" t="str">
            <v>Male</v>
          </cell>
          <cell r="AF1650">
            <v>47</v>
          </cell>
          <cell r="AG1650" t="str">
            <v>N</v>
          </cell>
          <cell r="AH1650">
            <v>5.0999999999999996</v>
          </cell>
          <cell r="AI1650" t="str">
            <v>Kalappa</v>
          </cell>
          <cell r="AJ1650" t="str">
            <v>Surgery</v>
          </cell>
          <cell r="AK1650" t="str">
            <v>Primary</v>
          </cell>
          <cell r="AL1650" t="str">
            <v>NA</v>
          </cell>
          <cell r="AS1650" t="str">
            <v>SCC</v>
          </cell>
        </row>
        <row r="1651">
          <cell r="A1651">
            <v>260036</v>
          </cell>
          <cell r="B1651">
            <v>260036</v>
          </cell>
          <cell r="C1651" t="str">
            <v>R&amp;D</v>
          </cell>
          <cell r="D1651">
            <v>46071</v>
          </cell>
          <cell r="E1651">
            <v>0.58472222222222225</v>
          </cell>
          <cell r="F1651">
            <v>46054</v>
          </cell>
          <cell r="G1651">
            <v>46071</v>
          </cell>
          <cell r="H1651">
            <v>0.69097222222222221</v>
          </cell>
          <cell r="I1651">
            <v>0.10625</v>
          </cell>
          <cell r="J1651">
            <v>6</v>
          </cell>
          <cell r="K1651" t="str">
            <v>FCB-PROTOCOL-01</v>
          </cell>
          <cell r="L1651" t="str">
            <v>SIMC-026</v>
          </cell>
          <cell r="M1651" t="str">
            <v>Y</v>
          </cell>
          <cell r="P1651" t="str">
            <v>Q1 Rejected</v>
          </cell>
          <cell r="Q1651" t="str">
            <v>Q1 Rejected</v>
          </cell>
          <cell r="R1651" t="str">
            <v>Q1.5 Rejected</v>
          </cell>
          <cell r="S1651" t="str">
            <v>Rejected</v>
          </cell>
          <cell r="T1651" t="str">
            <v>Tissue was Floating</v>
          </cell>
          <cell r="V1651" t="str">
            <v>NA</v>
          </cell>
          <cell r="W1651" t="str">
            <v>Private Hospital</v>
          </cell>
          <cell r="X1651" t="str">
            <v>Sapthagiri ClinTrac Pvt Ltd</v>
          </cell>
          <cell r="Y1651" t="str">
            <v>Sapthagiri Institute of Medical Sciences</v>
          </cell>
          <cell r="Z1651" t="str">
            <v>Dr Nataraj</v>
          </cell>
          <cell r="AA1651" t="str">
            <v>CRC</v>
          </cell>
          <cell r="AB1651" t="str">
            <v>NA</v>
          </cell>
          <cell r="AC1651" t="str">
            <v>Caecum</v>
          </cell>
          <cell r="AD1651" t="str">
            <v>Caecum</v>
          </cell>
          <cell r="AE1651" t="str">
            <v>Female</v>
          </cell>
          <cell r="AF1651">
            <v>70</v>
          </cell>
          <cell r="AG1651" t="str">
            <v>N</v>
          </cell>
          <cell r="AH1651">
            <v>4.2</v>
          </cell>
          <cell r="AI1651" t="str">
            <v>Kalappa</v>
          </cell>
          <cell r="AJ1651" t="str">
            <v>Surgery</v>
          </cell>
          <cell r="AK1651" t="str">
            <v>Primary</v>
          </cell>
          <cell r="AL1651" t="str">
            <v>NA</v>
          </cell>
        </row>
        <row r="1652">
          <cell r="A1652" t="str">
            <v>FBR2U260037</v>
          </cell>
          <cell r="B1652">
            <v>260037</v>
          </cell>
          <cell r="C1652" t="str">
            <v>R&amp;D</v>
          </cell>
          <cell r="D1652">
            <v>46073</v>
          </cell>
          <cell r="E1652">
            <v>0.59583333333333333</v>
          </cell>
          <cell r="F1652">
            <v>46054</v>
          </cell>
          <cell r="G1652">
            <v>46073</v>
          </cell>
          <cell r="H1652">
            <v>0.67361111111111116</v>
          </cell>
          <cell r="I1652">
            <v>7.7777777777777779E-2</v>
          </cell>
          <cell r="J1652">
            <v>2</v>
          </cell>
          <cell r="K1652" t="str">
            <v>FCB-PROTOCOL-01</v>
          </cell>
          <cell r="L1652" t="str">
            <v>VYD/464</v>
          </cell>
          <cell r="M1652" t="str">
            <v>Y</v>
          </cell>
          <cell r="P1652" t="str">
            <v>Q1 Passed</v>
          </cell>
          <cell r="Q1652" t="str">
            <v>Q1 Passed</v>
          </cell>
          <cell r="R1652" t="str">
            <v>Q1.5 Passed</v>
          </cell>
          <cell r="S1652" t="str">
            <v>Qualified</v>
          </cell>
          <cell r="V1652" t="str">
            <v>Tumor content 12-45%</v>
          </cell>
          <cell r="W1652" t="str">
            <v>Private Hospital</v>
          </cell>
          <cell r="X1652" t="str">
            <v>Vydehi Hospital, Bangalore</v>
          </cell>
          <cell r="Y1652" t="str">
            <v>Vydehi Hospital, Bangalore</v>
          </cell>
          <cell r="Z1652" t="str">
            <v>Dr Amritha Prabha</v>
          </cell>
          <cell r="AA1652" t="str">
            <v>HNSCC</v>
          </cell>
          <cell r="AB1652" t="str">
            <v>NA</v>
          </cell>
          <cell r="AC1652" t="str">
            <v>Buccal Mucosa</v>
          </cell>
          <cell r="AD1652" t="str">
            <v>Left Buccal Mucosa</v>
          </cell>
          <cell r="AE1652" t="str">
            <v>Female</v>
          </cell>
          <cell r="AF1652">
            <v>56</v>
          </cell>
          <cell r="AG1652" t="str">
            <v>N</v>
          </cell>
          <cell r="AH1652">
            <v>5.6</v>
          </cell>
          <cell r="AI1652" t="str">
            <v>Kalappa</v>
          </cell>
          <cell r="AJ1652" t="str">
            <v>Surgery</v>
          </cell>
          <cell r="AK1652" t="str">
            <v>Primary</v>
          </cell>
          <cell r="AL1652" t="str">
            <v>NA</v>
          </cell>
          <cell r="AS1652" t="str">
            <v>SCC</v>
          </cell>
        </row>
        <row r="1653">
          <cell r="A1653">
            <v>260038</v>
          </cell>
          <cell r="B1653">
            <v>260038</v>
          </cell>
          <cell r="C1653" t="str">
            <v>R&amp;D</v>
          </cell>
          <cell r="D1653">
            <v>46073</v>
          </cell>
          <cell r="E1653">
            <v>0.47916666666666669</v>
          </cell>
          <cell r="F1653">
            <v>46054</v>
          </cell>
          <cell r="G1653">
            <v>46073</v>
          </cell>
          <cell r="H1653">
            <v>0.76736111111111116</v>
          </cell>
          <cell r="I1653">
            <v>0.28819444444444442</v>
          </cell>
          <cell r="J1653">
            <v>10</v>
          </cell>
          <cell r="K1653" t="str">
            <v>FCB-PROTOCOL-01</v>
          </cell>
          <cell r="L1653" t="str">
            <v>CLN/DBR/270</v>
          </cell>
          <cell r="M1653" t="str">
            <v>Y</v>
          </cell>
          <cell r="P1653" t="str">
            <v>Q1 Rejected</v>
          </cell>
          <cell r="Q1653" t="str">
            <v>Q1 Passed</v>
          </cell>
          <cell r="R1653" t="str">
            <v>Q1.5 Rejected</v>
          </cell>
          <cell r="S1653" t="str">
            <v>Rejected</v>
          </cell>
          <cell r="T1653" t="str">
            <v xml:space="preserve"> transport buffer is frozen as ice</v>
          </cell>
          <cell r="V1653" t="str">
            <v>NA</v>
          </cell>
          <cell r="W1653" t="str">
            <v>Clinic'les</v>
          </cell>
          <cell r="X1653" t="str">
            <v>Clinic'les- DBR &amp; SK Hospital, Tirupati</v>
          </cell>
          <cell r="Y1653" t="str">
            <v>DBR &amp; SK Hospital, Tirupati</v>
          </cell>
          <cell r="Z1653" t="str">
            <v>Dr C Jayaprakash</v>
          </cell>
          <cell r="AA1653" t="str">
            <v>HNSCC</v>
          </cell>
          <cell r="AB1653" t="str">
            <v>NA</v>
          </cell>
          <cell r="AC1653" t="str">
            <v>Buccal Mucosa</v>
          </cell>
          <cell r="AD1653" t="str">
            <v>Right Buccal Mucosa</v>
          </cell>
          <cell r="AE1653" t="str">
            <v>Female</v>
          </cell>
          <cell r="AF1653">
            <v>73</v>
          </cell>
          <cell r="AG1653" t="str">
            <v>N</v>
          </cell>
          <cell r="AH1653">
            <v>5.3</v>
          </cell>
          <cell r="AI1653" t="str">
            <v>Shashi</v>
          </cell>
          <cell r="AJ1653" t="str">
            <v>Surgery</v>
          </cell>
          <cell r="AK1653" t="str">
            <v>Primary</v>
          </cell>
          <cell r="AL1653" t="str">
            <v>NA</v>
          </cell>
        </row>
        <row r="1654">
          <cell r="A1654" t="str">
            <v>FBR2U260039</v>
          </cell>
          <cell r="B1654">
            <v>260039</v>
          </cell>
          <cell r="C1654" t="str">
            <v>R&amp;D</v>
          </cell>
          <cell r="D1654">
            <v>46076</v>
          </cell>
          <cell r="E1654">
            <v>0.61319444444444449</v>
          </cell>
          <cell r="F1654">
            <v>46054</v>
          </cell>
          <cell r="G1654">
            <v>46076</v>
          </cell>
          <cell r="H1654">
            <v>0.68958333333333333</v>
          </cell>
          <cell r="I1654">
            <v>7.6388888888888895E-2</v>
          </cell>
          <cell r="J1654">
            <v>3</v>
          </cell>
          <cell r="K1654" t="str">
            <v>FCB-PROTOCOL-01</v>
          </cell>
          <cell r="L1654" t="str">
            <v>CLN/PRA/385</v>
          </cell>
          <cell r="M1654" t="str">
            <v>Y</v>
          </cell>
          <cell r="P1654" t="str">
            <v>Q1 Passed</v>
          </cell>
          <cell r="Q1654" t="str">
            <v>Not Received</v>
          </cell>
          <cell r="R1654" t="str">
            <v>Q1.5 Passed</v>
          </cell>
          <cell r="S1654" t="str">
            <v>Rejected</v>
          </cell>
          <cell r="V1654" t="str">
            <v>Tumor content 15-70%</v>
          </cell>
          <cell r="W1654" t="str">
            <v>Private Hospital</v>
          </cell>
          <cell r="X1654" t="str">
            <v>Dr Prakash BV, Bangalore</v>
          </cell>
          <cell r="Y1654" t="str">
            <v>Sri Lakshmi Hospital, Bangalore</v>
          </cell>
          <cell r="Z1654" t="str">
            <v>Dr Prakash BV</v>
          </cell>
          <cell r="AA1654" t="str">
            <v>HNSCC</v>
          </cell>
          <cell r="AB1654" t="str">
            <v>NA</v>
          </cell>
          <cell r="AC1654" t="str">
            <v>Buccal Mucosa</v>
          </cell>
          <cell r="AD1654" t="str">
            <v>Left Buccal Mucosa</v>
          </cell>
          <cell r="AE1654" t="str">
            <v>Male</v>
          </cell>
          <cell r="AF1654">
            <v>40</v>
          </cell>
          <cell r="AG1654" t="str">
            <v>N</v>
          </cell>
          <cell r="AH1654">
            <v>6</v>
          </cell>
          <cell r="AI1654" t="str">
            <v>Shashi</v>
          </cell>
          <cell r="AJ1654" t="str">
            <v>Surgery</v>
          </cell>
          <cell r="AK1654" t="str">
            <v>Primary</v>
          </cell>
          <cell r="AL1654" t="str">
            <v>NA</v>
          </cell>
          <cell r="AN1654" t="str">
            <v>III</v>
          </cell>
          <cell r="AP1654" t="str">
            <v>pT4N1M0</v>
          </cell>
          <cell r="AS1654" t="str">
            <v>SCC</v>
          </cell>
        </row>
        <row r="1655">
          <cell r="A1655" t="str">
            <v>FBR1Y260040</v>
          </cell>
          <cell r="B1655">
            <v>260040</v>
          </cell>
          <cell r="C1655" t="str">
            <v>R&amp;D</v>
          </cell>
          <cell r="D1655">
            <v>46076</v>
          </cell>
          <cell r="E1655">
            <v>0.48958333333333331</v>
          </cell>
          <cell r="F1655">
            <v>46054</v>
          </cell>
          <cell r="G1655">
            <v>46076</v>
          </cell>
          <cell r="H1655">
            <v>0.69513888888888886</v>
          </cell>
          <cell r="I1655">
            <v>0.20555555555555555</v>
          </cell>
          <cell r="J1655">
            <v>5</v>
          </cell>
          <cell r="K1655" t="str">
            <v>FCB-PROTOCOL-01</v>
          </cell>
          <cell r="L1655" t="str">
            <v>VYD/465</v>
          </cell>
          <cell r="M1655" t="str">
            <v>Y</v>
          </cell>
          <cell r="P1655" t="str">
            <v>Q1 Passed</v>
          </cell>
          <cell r="Q1655" t="str">
            <v>Q1 Passed</v>
          </cell>
          <cell r="R1655" t="str">
            <v>Q1.5 Passed</v>
          </cell>
          <cell r="S1655" t="str">
            <v>Qualified</v>
          </cell>
          <cell r="V1655" t="str">
            <v>Tumor content 50-70%</v>
          </cell>
          <cell r="W1655" t="str">
            <v>Private Hospital</v>
          </cell>
          <cell r="X1655" t="str">
            <v>Vydehi Hospital, Bangalore</v>
          </cell>
          <cell r="Y1655" t="str">
            <v>Vydehi Hospital, Bangalore</v>
          </cell>
          <cell r="Z1655" t="str">
            <v>Dr Amritha Prabha</v>
          </cell>
          <cell r="AA1655" t="str">
            <v>HNSCC</v>
          </cell>
          <cell r="AB1655" t="str">
            <v>NA</v>
          </cell>
          <cell r="AC1655" t="str">
            <v>Tongue</v>
          </cell>
          <cell r="AD1655" t="str">
            <v>Left Lateral Border of Tongue</v>
          </cell>
          <cell r="AE1655" t="str">
            <v>Male</v>
          </cell>
          <cell r="AF1655">
            <v>61</v>
          </cell>
          <cell r="AG1655" t="str">
            <v>N</v>
          </cell>
          <cell r="AH1655">
            <v>6.3</v>
          </cell>
          <cell r="AI1655" t="str">
            <v>Maruthi</v>
          </cell>
          <cell r="AJ1655" t="str">
            <v>Surgery</v>
          </cell>
          <cell r="AK1655" t="str">
            <v>Primary</v>
          </cell>
          <cell r="AL1655" t="str">
            <v>NA</v>
          </cell>
          <cell r="AS1655" t="str">
            <v>SCC</v>
          </cell>
        </row>
        <row r="1656">
          <cell r="A1656">
            <v>260041</v>
          </cell>
          <cell r="B1656">
            <v>260041</v>
          </cell>
          <cell r="C1656" t="str">
            <v>R&amp;D</v>
          </cell>
          <cell r="D1656">
            <v>46076</v>
          </cell>
          <cell r="E1656">
            <v>0.47222222222222221</v>
          </cell>
          <cell r="F1656">
            <v>46054</v>
          </cell>
          <cell r="G1656">
            <v>46076</v>
          </cell>
          <cell r="H1656">
            <v>0.82986111111111116</v>
          </cell>
          <cell r="I1656">
            <v>0.3576388888888889</v>
          </cell>
          <cell r="J1656">
            <v>10</v>
          </cell>
          <cell r="K1656" t="str">
            <v>FCB-PROTOCOL-01</v>
          </cell>
          <cell r="L1656" t="str">
            <v>CLN/DBR/271</v>
          </cell>
          <cell r="M1656" t="str">
            <v>Y</v>
          </cell>
          <cell r="P1656" t="str">
            <v>Q1 Rejected</v>
          </cell>
          <cell r="Q1656" t="str">
            <v>Q1 Rejected</v>
          </cell>
          <cell r="R1656" t="str">
            <v>Q1.5 Rejected</v>
          </cell>
          <cell r="S1656" t="str">
            <v>Rejected</v>
          </cell>
          <cell r="T1656" t="str">
            <v>Tissue was frozen</v>
          </cell>
          <cell r="V1656" t="str">
            <v>FFPE</v>
          </cell>
          <cell r="W1656" t="str">
            <v>Clinic'les</v>
          </cell>
          <cell r="X1656" t="str">
            <v>Clinic'les- DBR &amp; SK Hospital, Tirupati</v>
          </cell>
          <cell r="Y1656" t="str">
            <v>DBR &amp; SK Hospital, Tirupati</v>
          </cell>
          <cell r="Z1656" t="str">
            <v>Dr C Jayaprakash</v>
          </cell>
          <cell r="AA1656" t="str">
            <v>HNSCC</v>
          </cell>
          <cell r="AB1656" t="str">
            <v>NA</v>
          </cell>
          <cell r="AC1656" t="str">
            <v>Buccal Mucosa</v>
          </cell>
          <cell r="AD1656" t="str">
            <v>Right Buccal Mucosa</v>
          </cell>
          <cell r="AE1656" t="str">
            <v>Female</v>
          </cell>
          <cell r="AF1656">
            <v>60</v>
          </cell>
          <cell r="AG1656" t="str">
            <v>N</v>
          </cell>
          <cell r="AH1656">
            <v>5.6</v>
          </cell>
          <cell r="AI1656" t="str">
            <v>Kalappa</v>
          </cell>
          <cell r="AJ1656" t="str">
            <v>Surgery</v>
          </cell>
          <cell r="AK1656" t="str">
            <v>Primary</v>
          </cell>
          <cell r="AL1656" t="str">
            <v>NA</v>
          </cell>
        </row>
        <row r="1657">
          <cell r="A1657" t="str">
            <v>FBR1Y260042</v>
          </cell>
          <cell r="B1657">
            <v>260042</v>
          </cell>
          <cell r="C1657" t="str">
            <v>R&amp;D</v>
          </cell>
          <cell r="D1657">
            <v>46077</v>
          </cell>
          <cell r="E1657">
            <v>0.49722222222222223</v>
          </cell>
          <cell r="F1657">
            <v>46054</v>
          </cell>
          <cell r="G1657">
            <v>46077</v>
          </cell>
          <cell r="H1657">
            <v>0.60486111111111107</v>
          </cell>
          <cell r="I1657">
            <v>0.1076388888888889</v>
          </cell>
          <cell r="J1657">
            <v>9</v>
          </cell>
          <cell r="K1657" t="str">
            <v>FCB-PROTOCOL-01</v>
          </cell>
          <cell r="L1657" t="str">
            <v>VYD/466</v>
          </cell>
          <cell r="M1657" t="str">
            <v>Y</v>
          </cell>
          <cell r="P1657" t="str">
            <v>Q1 Passed</v>
          </cell>
          <cell r="Q1657" t="str">
            <v>Q1 Passed</v>
          </cell>
          <cell r="R1657" t="str">
            <v>Q1.5 Passed</v>
          </cell>
          <cell r="S1657" t="str">
            <v>Qualified</v>
          </cell>
          <cell r="V1657" t="str">
            <v>Tumor content 5-90%</v>
          </cell>
          <cell r="W1657" t="str">
            <v>Private Hospital</v>
          </cell>
          <cell r="X1657" t="str">
            <v>Vydehi Hospital, Bangalore</v>
          </cell>
          <cell r="Y1657" t="str">
            <v>Vydehi Hospital, Bangalore</v>
          </cell>
          <cell r="Z1657" t="str">
            <v>Dr Amritha Prabha</v>
          </cell>
          <cell r="AA1657" t="str">
            <v>HNSCC</v>
          </cell>
          <cell r="AB1657" t="str">
            <v>NA</v>
          </cell>
          <cell r="AC1657" t="str">
            <v>Buccal Mucosa</v>
          </cell>
          <cell r="AD1657" t="str">
            <v>Left Buccal Mucosa</v>
          </cell>
          <cell r="AE1657" t="str">
            <v>Male</v>
          </cell>
          <cell r="AF1657">
            <v>43</v>
          </cell>
          <cell r="AG1657" t="str">
            <v>N</v>
          </cell>
          <cell r="AH1657">
            <v>6.1</v>
          </cell>
          <cell r="AI1657" t="str">
            <v>Maruthi</v>
          </cell>
          <cell r="AJ1657" t="str">
            <v>Surgery</v>
          </cell>
          <cell r="AK1657" t="str">
            <v>Primary</v>
          </cell>
          <cell r="AL1657" t="str">
            <v>NA</v>
          </cell>
          <cell r="AS1657" t="str">
            <v>SCC</v>
          </cell>
        </row>
        <row r="1658">
          <cell r="A1658" t="str">
            <v>FBB1T260043</v>
          </cell>
          <cell r="B1658">
            <v>260043</v>
          </cell>
          <cell r="C1658" t="str">
            <v>Biopharma</v>
          </cell>
          <cell r="D1658">
            <v>46077</v>
          </cell>
          <cell r="E1658">
            <v>0.56805555555555554</v>
          </cell>
          <cell r="F1658">
            <v>46054</v>
          </cell>
          <cell r="G1658">
            <v>46077</v>
          </cell>
          <cell r="H1658">
            <v>0.64513888888888893</v>
          </cell>
          <cell r="I1658">
            <v>7.7083333333333337E-2</v>
          </cell>
          <cell r="J1658">
            <v>2</v>
          </cell>
          <cell r="K1658" t="str">
            <v>FCB-PROTOCOL-01</v>
          </cell>
          <cell r="L1658" t="str">
            <v>CLN/PRA/386</v>
          </cell>
          <cell r="M1658" t="str">
            <v>Y</v>
          </cell>
          <cell r="P1658" t="str">
            <v>Q1 Passed</v>
          </cell>
          <cell r="Q1658" t="str">
            <v>Q1 Passed</v>
          </cell>
          <cell r="R1658" t="str">
            <v>Q1.5 Passed</v>
          </cell>
          <cell r="S1658" t="str">
            <v>Qualified</v>
          </cell>
          <cell r="V1658" t="str">
            <v>Tumor content 20-60% with good immune presence</v>
          </cell>
          <cell r="W1658" t="str">
            <v>Private Hospital</v>
          </cell>
          <cell r="X1658" t="str">
            <v>Dr Prakash BV, Bangalore</v>
          </cell>
          <cell r="Y1658" t="str">
            <v>Sri Lakshmi Hospital, Bangalore</v>
          </cell>
          <cell r="Z1658" t="str">
            <v>Dr Prakash BV</v>
          </cell>
          <cell r="AA1658" t="str">
            <v>HNSCC</v>
          </cell>
          <cell r="AB1658" t="str">
            <v>NA</v>
          </cell>
          <cell r="AC1658" t="str">
            <v>GBS</v>
          </cell>
          <cell r="AD1658" t="str">
            <v>Right Lower GBS</v>
          </cell>
          <cell r="AE1658" t="str">
            <v>Female</v>
          </cell>
          <cell r="AF1658">
            <v>68</v>
          </cell>
          <cell r="AG1658" t="str">
            <v>N</v>
          </cell>
          <cell r="AH1658">
            <v>6.2</v>
          </cell>
          <cell r="AI1658" t="str">
            <v>Kalappa</v>
          </cell>
          <cell r="AJ1658" t="str">
            <v>Surgery</v>
          </cell>
          <cell r="AK1658" t="str">
            <v>Primary</v>
          </cell>
          <cell r="AL1658" t="str">
            <v>NA</v>
          </cell>
          <cell r="AN1658" t="str">
            <v>III</v>
          </cell>
          <cell r="AP1658" t="str">
            <v>pT3N1M0</v>
          </cell>
          <cell r="AS1658" t="str">
            <v>SCC</v>
          </cell>
        </row>
        <row r="1659">
          <cell r="A1659" t="str">
            <v>FBR1Y260043</v>
          </cell>
          <cell r="B1659">
            <v>260043</v>
          </cell>
          <cell r="C1659" t="str">
            <v>Biopharma</v>
          </cell>
          <cell r="D1659">
            <v>46077</v>
          </cell>
          <cell r="E1659">
            <v>0.56805555555555554</v>
          </cell>
          <cell r="F1659">
            <v>46054</v>
          </cell>
          <cell r="G1659">
            <v>46077</v>
          </cell>
          <cell r="H1659">
            <v>0.64513888888888893</v>
          </cell>
          <cell r="I1659">
            <v>7.7083333333333337E-2</v>
          </cell>
          <cell r="J1659">
            <v>2</v>
          </cell>
          <cell r="K1659" t="str">
            <v>FCB-PROTOCOL-01</v>
          </cell>
          <cell r="L1659" t="str">
            <v>CLN/PRA/386</v>
          </cell>
          <cell r="M1659" t="str">
            <v>Y</v>
          </cell>
          <cell r="P1659" t="str">
            <v>Q1 Passed</v>
          </cell>
          <cell r="Q1659" t="str">
            <v>Q1 Passed</v>
          </cell>
          <cell r="R1659" t="str">
            <v>Q1.5 Passed</v>
          </cell>
          <cell r="S1659" t="str">
            <v>Qualified</v>
          </cell>
          <cell r="V1659" t="str">
            <v>Tumor content 20-60% with good immune presence</v>
          </cell>
          <cell r="W1659" t="str">
            <v>Private Hospital</v>
          </cell>
          <cell r="X1659" t="str">
            <v>Dr Prakash BV, Bangalore</v>
          </cell>
          <cell r="Y1659" t="str">
            <v>Sri Lakshmi Hospital, Bangalore</v>
          </cell>
          <cell r="Z1659" t="str">
            <v>Dr Prakash BV</v>
          </cell>
          <cell r="AA1659" t="str">
            <v>HNSCC</v>
          </cell>
          <cell r="AB1659" t="str">
            <v>NA</v>
          </cell>
          <cell r="AC1659" t="str">
            <v>GBS</v>
          </cell>
          <cell r="AD1659" t="str">
            <v>Right Lower GBS</v>
          </cell>
          <cell r="AE1659" t="str">
            <v>Female</v>
          </cell>
          <cell r="AF1659">
            <v>68</v>
          </cell>
          <cell r="AG1659" t="str">
            <v>N</v>
          </cell>
          <cell r="AH1659">
            <v>6.2</v>
          </cell>
          <cell r="AI1659" t="str">
            <v>Kalappa</v>
          </cell>
          <cell r="AJ1659" t="str">
            <v>Surgery</v>
          </cell>
          <cell r="AK1659" t="str">
            <v>Primary</v>
          </cell>
          <cell r="AL1659" t="str">
            <v>NA</v>
          </cell>
          <cell r="AN1659" t="str">
            <v>III</v>
          </cell>
          <cell r="AP1659" t="str">
            <v>pT3N1M0</v>
          </cell>
          <cell r="AS1659" t="str">
            <v>SCC</v>
          </cell>
        </row>
        <row r="1660">
          <cell r="A1660" t="str">
            <v>FBR1J260044</v>
          </cell>
          <cell r="B1660">
            <v>260044</v>
          </cell>
          <cell r="C1660" t="str">
            <v>R&amp;D</v>
          </cell>
          <cell r="D1660">
            <v>46077</v>
          </cell>
          <cell r="E1660">
            <v>0.55555555555555558</v>
          </cell>
          <cell r="F1660">
            <v>46054</v>
          </cell>
          <cell r="G1660">
            <v>46077</v>
          </cell>
          <cell r="H1660">
            <v>0.84444444444444444</v>
          </cell>
          <cell r="I1660">
            <v>0.28888888888888886</v>
          </cell>
          <cell r="J1660">
            <v>5</v>
          </cell>
          <cell r="K1660" t="str">
            <v>FCB-PROTOCOL-01</v>
          </cell>
          <cell r="L1660" t="str">
            <v>CLN/DBR/272</v>
          </cell>
          <cell r="M1660" t="str">
            <v>Y</v>
          </cell>
          <cell r="P1660" t="str">
            <v>Q1 Passed</v>
          </cell>
          <cell r="Q1660" t="str">
            <v>Q1 Passed</v>
          </cell>
          <cell r="R1660" t="str">
            <v>Q1.5 Passed</v>
          </cell>
          <cell r="S1660" t="str">
            <v>Qualified</v>
          </cell>
          <cell r="V1660" t="str">
            <v>Tumor content 10-75%</v>
          </cell>
          <cell r="W1660" t="str">
            <v>Clinic'les</v>
          </cell>
          <cell r="X1660" t="str">
            <v>Clinic'les- DBR &amp; SK Hospital, Tirupati</v>
          </cell>
          <cell r="Y1660" t="str">
            <v>DBR &amp; SK Hospital, Tirupati</v>
          </cell>
          <cell r="Z1660" t="str">
            <v>Dr C Jayaprakash</v>
          </cell>
          <cell r="AA1660" t="str">
            <v>GI</v>
          </cell>
          <cell r="AB1660" t="str">
            <v>NA</v>
          </cell>
          <cell r="AC1660" t="str">
            <v>Stomach</v>
          </cell>
          <cell r="AD1660" t="str">
            <v>Stomach</v>
          </cell>
          <cell r="AE1660" t="str">
            <v>Male</v>
          </cell>
          <cell r="AF1660">
            <v>52</v>
          </cell>
          <cell r="AG1660" t="str">
            <v>N</v>
          </cell>
          <cell r="AH1660">
            <v>5.5</v>
          </cell>
          <cell r="AI1660" t="str">
            <v>Shashi</v>
          </cell>
          <cell r="AJ1660" t="str">
            <v>Surgery</v>
          </cell>
          <cell r="AK1660" t="str">
            <v>Primary</v>
          </cell>
          <cell r="AL1660" t="str">
            <v>Chemotherapy</v>
          </cell>
          <cell r="AN1660" t="str">
            <v>Ib</v>
          </cell>
          <cell r="AP1660" t="str">
            <v>ypT1a N1a Mx</v>
          </cell>
          <cell r="AQ1660">
            <v>3</v>
          </cell>
          <cell r="AR1660" t="str">
            <v>Oxaliplatin, 5FU, Leucovorin</v>
          </cell>
          <cell r="AS1660" t="str">
            <v xml:space="preserve">well differentiated adenocarcinoma </v>
          </cell>
        </row>
        <row r="1661">
          <cell r="A1661" t="str">
            <v>FBR1Q260045</v>
          </cell>
          <cell r="B1661">
            <v>260045</v>
          </cell>
          <cell r="C1661" t="str">
            <v>R&amp;D</v>
          </cell>
          <cell r="D1661">
            <v>46079</v>
          </cell>
          <cell r="E1661">
            <v>0.41249999999999998</v>
          </cell>
          <cell r="F1661">
            <v>46054</v>
          </cell>
          <cell r="G1661">
            <v>46079</v>
          </cell>
          <cell r="H1661">
            <v>0.59583333333333333</v>
          </cell>
          <cell r="I1661">
            <v>0.18333333333333332</v>
          </cell>
          <cell r="J1661">
            <v>6</v>
          </cell>
          <cell r="K1661" t="str">
            <v>FCB-PROTOCOL-01</v>
          </cell>
          <cell r="L1661" t="str">
            <v>VYD/467</v>
          </cell>
          <cell r="M1661" t="str">
            <v>Y</v>
          </cell>
          <cell r="P1661" t="str">
            <v>Q1 Passed</v>
          </cell>
          <cell r="Q1661" t="str">
            <v>Q1 Passed</v>
          </cell>
          <cell r="R1661" t="str">
            <v>Q1.5 Passed</v>
          </cell>
          <cell r="S1661" t="str">
            <v>Qualified</v>
          </cell>
          <cell r="V1661" t="str">
            <v>Tumor content 0-15%. Average tumor content 3%</v>
          </cell>
          <cell r="W1661" t="str">
            <v>Private Hospital</v>
          </cell>
          <cell r="X1661" t="str">
            <v>Vydehi Hospital, Bangalore</v>
          </cell>
          <cell r="Y1661" t="str">
            <v>Vydehi Hospital, Bangalore</v>
          </cell>
          <cell r="Z1661" t="str">
            <v>Dr Amritha Prabha</v>
          </cell>
          <cell r="AA1661" t="str">
            <v>Ca Breast</v>
          </cell>
          <cell r="AB1661" t="str">
            <v>Er Pr +, Her2 neu +</v>
          </cell>
          <cell r="AC1661" t="str">
            <v>Breast</v>
          </cell>
          <cell r="AD1661" t="str">
            <v>Right Breast</v>
          </cell>
          <cell r="AE1661" t="str">
            <v>Female</v>
          </cell>
          <cell r="AF1661">
            <v>49</v>
          </cell>
          <cell r="AG1661" t="str">
            <v>N</v>
          </cell>
          <cell r="AH1661">
            <v>4.9000000000000004</v>
          </cell>
          <cell r="AI1661" t="str">
            <v>Kalappa</v>
          </cell>
          <cell r="AJ1661" t="str">
            <v>Surgery</v>
          </cell>
          <cell r="AK1661" t="str">
            <v>Primary</v>
          </cell>
          <cell r="AL1661" t="str">
            <v>NA</v>
          </cell>
        </row>
        <row r="1662">
          <cell r="A1662" t="str">
            <v>FBR2S260046</v>
          </cell>
          <cell r="B1662">
            <v>260046</v>
          </cell>
          <cell r="C1662" t="str">
            <v>R&amp;D</v>
          </cell>
          <cell r="D1662">
            <v>46079</v>
          </cell>
          <cell r="E1662">
            <v>0.78611111111111109</v>
          </cell>
          <cell r="F1662">
            <v>46054</v>
          </cell>
          <cell r="G1662">
            <v>46079</v>
          </cell>
          <cell r="H1662">
            <v>0.88541666666666663</v>
          </cell>
          <cell r="I1662">
            <v>9.930555555555555E-2</v>
          </cell>
          <cell r="J1662">
            <v>7</v>
          </cell>
          <cell r="K1662" t="str">
            <v>FCB-PROTOCOL-01</v>
          </cell>
          <cell r="L1662" t="str">
            <v>SIMC-027</v>
          </cell>
          <cell r="M1662" t="str">
            <v>Y</v>
          </cell>
          <cell r="P1662" t="str">
            <v>Q1 Rejected</v>
          </cell>
          <cell r="Q1662" t="str">
            <v>Q1 Rejected</v>
          </cell>
          <cell r="R1662" t="str">
            <v>Q1.5 Rejected</v>
          </cell>
          <cell r="S1662" t="str">
            <v>Qualified</v>
          </cell>
          <cell r="T1662" t="str">
            <v>Very small size tissue butv used for organoid</v>
          </cell>
          <cell r="V1662" t="str">
            <v>FFPE</v>
          </cell>
          <cell r="W1662" t="str">
            <v>Private Hospital</v>
          </cell>
          <cell r="X1662" t="str">
            <v>Sapthagiri ClinTrac Pvt Ltd</v>
          </cell>
          <cell r="Y1662" t="str">
            <v>Sapthagiri Institute of Medical Sciences</v>
          </cell>
          <cell r="Z1662" t="str">
            <v>Dr Nataraj</v>
          </cell>
          <cell r="AA1662" t="str">
            <v>CRC</v>
          </cell>
          <cell r="AB1662" t="str">
            <v>NA</v>
          </cell>
          <cell r="AC1662" t="str">
            <v>Colon</v>
          </cell>
          <cell r="AD1662" t="str">
            <v>Accending colon</v>
          </cell>
          <cell r="AE1662" t="str">
            <v>Male</v>
          </cell>
          <cell r="AF1662">
            <v>47</v>
          </cell>
          <cell r="AG1662" t="str">
            <v>N</v>
          </cell>
          <cell r="AH1662">
            <v>6.2</v>
          </cell>
          <cell r="AI1662" t="str">
            <v>Maruthi</v>
          </cell>
          <cell r="AJ1662" t="str">
            <v>Surgery</v>
          </cell>
          <cell r="AK1662" t="str">
            <v>Primary</v>
          </cell>
          <cell r="AL1662" t="str">
            <v>NA</v>
          </cell>
        </row>
        <row r="1663">
          <cell r="A1663" t="str">
            <v>FBR1Q260047</v>
          </cell>
          <cell r="B1663">
            <v>260047</v>
          </cell>
          <cell r="C1663" t="str">
            <v>R&amp;D</v>
          </cell>
          <cell r="D1663">
            <v>46079</v>
          </cell>
          <cell r="E1663">
            <v>0.47222222222222221</v>
          </cell>
          <cell r="F1663">
            <v>46054</v>
          </cell>
          <cell r="G1663">
            <v>46079</v>
          </cell>
          <cell r="H1663">
            <v>0.90972222222222221</v>
          </cell>
          <cell r="I1663">
            <v>0.4375</v>
          </cell>
          <cell r="J1663">
            <v>10</v>
          </cell>
          <cell r="K1663" t="str">
            <v>FCB-PROTOCOL-01</v>
          </cell>
          <cell r="L1663" t="str">
            <v>CLN/DBR/273</v>
          </cell>
          <cell r="M1663" t="str">
            <v>Y</v>
          </cell>
          <cell r="P1663" t="str">
            <v>Q1 Passed</v>
          </cell>
          <cell r="Q1663" t="str">
            <v>Q1 Passed</v>
          </cell>
          <cell r="R1663" t="str">
            <v>Q1.5 Passed</v>
          </cell>
          <cell r="S1663" t="str">
            <v>Qualified</v>
          </cell>
          <cell r="V1663" t="str">
            <v>Tumor content 0-35%.Average tumor content 7%</v>
          </cell>
          <cell r="W1663" t="str">
            <v>Clinic'les</v>
          </cell>
          <cell r="X1663" t="str">
            <v>Clinic'les- DBR &amp; SK Hospital, Tirupati</v>
          </cell>
          <cell r="Y1663" t="str">
            <v>DBR &amp; SK Hospital, Tirupati</v>
          </cell>
          <cell r="Z1663" t="str">
            <v>Dr C Jayaprakash</v>
          </cell>
          <cell r="AA1663" t="str">
            <v>Ca Breast</v>
          </cell>
          <cell r="AB1663" t="str">
            <v>NA</v>
          </cell>
          <cell r="AC1663" t="str">
            <v>Breast</v>
          </cell>
          <cell r="AD1663" t="str">
            <v>Right Breast</v>
          </cell>
          <cell r="AE1663" t="str">
            <v>Female</v>
          </cell>
          <cell r="AF1663">
            <v>61</v>
          </cell>
          <cell r="AG1663" t="str">
            <v>N</v>
          </cell>
          <cell r="AH1663">
            <v>6.8</v>
          </cell>
          <cell r="AI1663" t="str">
            <v>Maruthi</v>
          </cell>
          <cell r="AJ1663" t="str">
            <v>Surgery</v>
          </cell>
          <cell r="AK1663" t="str">
            <v>Primary</v>
          </cell>
          <cell r="AL1663" t="str">
            <v>NA</v>
          </cell>
          <cell r="AN1663" t="str">
            <v>IIa</v>
          </cell>
          <cell r="AP1663" t="str">
            <v>T2 N0 Mx</v>
          </cell>
          <cell r="AS1663" t="str">
            <v xml:space="preserve">Invasive duct cell adenocarcinoma </v>
          </cell>
        </row>
        <row r="1664">
          <cell r="A1664" t="str">
            <v>FBB1T260048</v>
          </cell>
          <cell r="B1664">
            <v>260048</v>
          </cell>
          <cell r="C1664" t="str">
            <v>Biopharma</v>
          </cell>
          <cell r="D1664">
            <v>46079</v>
          </cell>
          <cell r="E1664">
            <v>0.57638888888888884</v>
          </cell>
          <cell r="F1664">
            <v>46054</v>
          </cell>
          <cell r="G1664">
            <v>46079</v>
          </cell>
          <cell r="H1664">
            <v>0.90972222222222221</v>
          </cell>
          <cell r="I1664">
            <v>0.33333333333333331</v>
          </cell>
          <cell r="J1664">
            <v>10</v>
          </cell>
          <cell r="K1664" t="str">
            <v>FCB-PROTOCOL-01</v>
          </cell>
          <cell r="L1664" t="str">
            <v>CLN/DBR/274</v>
          </cell>
          <cell r="M1664" t="str">
            <v>Y</v>
          </cell>
          <cell r="P1664" t="str">
            <v>Q1 Passed</v>
          </cell>
          <cell r="Q1664" t="str">
            <v>Q1 Passed</v>
          </cell>
          <cell r="R1664" t="str">
            <v>Q1.5 Passed</v>
          </cell>
          <cell r="S1664" t="str">
            <v>Qualified</v>
          </cell>
          <cell r="V1664" t="str">
            <v>Tumor content 80-94%</v>
          </cell>
          <cell r="W1664" t="str">
            <v>Clinic'les</v>
          </cell>
          <cell r="X1664" t="str">
            <v>Clinic'les- DBR &amp; SK Hospital, Tirupati</v>
          </cell>
          <cell r="Y1664" t="str">
            <v>DBR &amp; SK Hospital, Tirupati</v>
          </cell>
          <cell r="Z1664" t="str">
            <v>Dr C Jayaprakash</v>
          </cell>
          <cell r="AA1664" t="str">
            <v>HNSCC</v>
          </cell>
          <cell r="AB1664" t="str">
            <v>NA</v>
          </cell>
          <cell r="AC1664" t="str">
            <v>Buccal Mucosa</v>
          </cell>
          <cell r="AD1664" t="str">
            <v>Left Buccal Mucosa</v>
          </cell>
          <cell r="AE1664" t="str">
            <v>Male</v>
          </cell>
          <cell r="AF1664">
            <v>43</v>
          </cell>
          <cell r="AG1664" t="str">
            <v>N</v>
          </cell>
          <cell r="AH1664">
            <v>6.8</v>
          </cell>
          <cell r="AI1664" t="str">
            <v>Maruthi</v>
          </cell>
          <cell r="AJ1664" t="str">
            <v>Surgery</v>
          </cell>
          <cell r="AK1664" t="str">
            <v>Primary</v>
          </cell>
          <cell r="AL1664" t="str">
            <v>NA</v>
          </cell>
          <cell r="AN1664" t="str">
            <v>IVa</v>
          </cell>
          <cell r="AP1664" t="str">
            <v>T4a N1 Mx</v>
          </cell>
          <cell r="AQ1664">
            <v>3</v>
          </cell>
          <cell r="AR1664" t="str">
            <v>Oxaliplatin, 5FU, Leucovorin</v>
          </cell>
          <cell r="AS1664" t="str">
            <v xml:space="preserve">consistent with well differentiated squamous cell carcinoma </v>
          </cell>
        </row>
        <row r="1665">
          <cell r="A1665" t="str">
            <v>FBB1T260049</v>
          </cell>
          <cell r="B1665">
            <v>260049</v>
          </cell>
          <cell r="C1665" t="str">
            <v>Biopharma</v>
          </cell>
          <cell r="D1665">
            <v>46080</v>
          </cell>
          <cell r="E1665">
            <v>0.35069444444444442</v>
          </cell>
          <cell r="F1665">
            <v>46054</v>
          </cell>
          <cell r="G1665">
            <v>46080</v>
          </cell>
          <cell r="H1665">
            <v>0.42291666666666666</v>
          </cell>
          <cell r="I1665">
            <v>7.2222222222222215E-2</v>
          </cell>
          <cell r="J1665">
            <v>2</v>
          </cell>
          <cell r="K1665" t="str">
            <v>FCB-PROTOCOL-01</v>
          </cell>
          <cell r="L1665" t="str">
            <v>CLN/PRA/387</v>
          </cell>
          <cell r="M1665" t="str">
            <v>Y</v>
          </cell>
          <cell r="P1665" t="str">
            <v>Q1 Passed</v>
          </cell>
          <cell r="Q1665" t="str">
            <v>Q1 Passed</v>
          </cell>
          <cell r="R1665" t="str">
            <v>Q1.5 Passed</v>
          </cell>
          <cell r="S1665" t="str">
            <v>Rejected</v>
          </cell>
          <cell r="V1665" t="str">
            <v>Tumor content 55-90% with good immune presence</v>
          </cell>
          <cell r="W1665" t="str">
            <v>Private Hospital</v>
          </cell>
          <cell r="X1665" t="str">
            <v>Dr Prakash BV, Bangalore</v>
          </cell>
          <cell r="Y1665" t="str">
            <v>Sri Lakshmi Hospital, Bangalore</v>
          </cell>
          <cell r="Z1665" t="str">
            <v>Dr Prakash BV</v>
          </cell>
          <cell r="AA1665" t="str">
            <v>HNSCC</v>
          </cell>
          <cell r="AB1665" t="str">
            <v>NA</v>
          </cell>
          <cell r="AC1665" t="str">
            <v>Hard Palate</v>
          </cell>
          <cell r="AD1665" t="str">
            <v>Left Hard Palate</v>
          </cell>
          <cell r="AE1665" t="str">
            <v>Male</v>
          </cell>
          <cell r="AF1665">
            <v>65</v>
          </cell>
          <cell r="AG1665" t="str">
            <v>N</v>
          </cell>
          <cell r="AH1665">
            <v>4.7</v>
          </cell>
          <cell r="AI1665" t="str">
            <v>Kalappa</v>
          </cell>
          <cell r="AJ1665" t="str">
            <v>Surgery</v>
          </cell>
          <cell r="AK1665" t="str">
            <v>Primary</v>
          </cell>
          <cell r="AL1665" t="str">
            <v>NA</v>
          </cell>
          <cell r="AP1665" t="str">
            <v>pT4aN0M0</v>
          </cell>
          <cell r="AS1665" t="str">
            <v>SCC</v>
          </cell>
        </row>
        <row r="1666">
          <cell r="A1666">
            <v>260050</v>
          </cell>
          <cell r="B1666">
            <v>260050</v>
          </cell>
          <cell r="C1666" t="str">
            <v>R&amp;D</v>
          </cell>
          <cell r="D1666">
            <v>46081</v>
          </cell>
          <cell r="E1666">
            <v>0.43055555555555558</v>
          </cell>
          <cell r="F1666">
            <v>46054</v>
          </cell>
          <cell r="G1666">
            <v>46081</v>
          </cell>
          <cell r="H1666">
            <v>0.5444444444444444</v>
          </cell>
          <cell r="I1666">
            <v>0.11388888888888889</v>
          </cell>
          <cell r="J1666">
            <v>2</v>
          </cell>
          <cell r="K1666" t="str">
            <v>FCB-PROTOCOL-01</v>
          </cell>
          <cell r="L1666" t="str">
            <v>VYD/468</v>
          </cell>
          <cell r="M1666" t="str">
            <v>Y</v>
          </cell>
          <cell r="P1666" t="str">
            <v>Q1 Rejected</v>
          </cell>
          <cell r="Q1666" t="str">
            <v>Q1 Rejected</v>
          </cell>
          <cell r="R1666" t="str">
            <v>Q1.5 Rejected</v>
          </cell>
          <cell r="S1666" t="str">
            <v>Rejected</v>
          </cell>
          <cell r="T1666" t="str">
            <v>Very small size tissue</v>
          </cell>
          <cell r="V1666" t="str">
            <v>FFPE</v>
          </cell>
          <cell r="W1666" t="str">
            <v>Private Hospital</v>
          </cell>
          <cell r="X1666" t="str">
            <v>Vydehi Hospital, Bangalore</v>
          </cell>
          <cell r="Y1666" t="str">
            <v>Vydehi Hospital, Bangalore</v>
          </cell>
          <cell r="Z1666" t="str">
            <v>Dr Amritha Prabha</v>
          </cell>
          <cell r="AA1666" t="str">
            <v>HNSCC</v>
          </cell>
          <cell r="AB1666" t="str">
            <v>NA</v>
          </cell>
          <cell r="AC1666" t="str">
            <v>Buccal Mucosa</v>
          </cell>
          <cell r="AD1666" t="str">
            <v>Right Buccal Mucosa</v>
          </cell>
          <cell r="AE1666" t="str">
            <v>Male</v>
          </cell>
          <cell r="AF1666">
            <v>49</v>
          </cell>
          <cell r="AG1666" t="str">
            <v>N</v>
          </cell>
          <cell r="AH1666">
            <v>5.0999999999999996</v>
          </cell>
          <cell r="AI1666" t="str">
            <v>Kalappa</v>
          </cell>
          <cell r="AJ1666" t="str">
            <v>Surgery</v>
          </cell>
          <cell r="AK1666" t="str">
            <v>Primary</v>
          </cell>
          <cell r="AL1666" t="str">
            <v>NA</v>
          </cell>
          <cell r="AS1666" t="str">
            <v>SCC</v>
          </cell>
        </row>
        <row r="1667">
          <cell r="A1667" t="str">
            <v>FBB1T260051</v>
          </cell>
          <cell r="B1667">
            <v>260051</v>
          </cell>
          <cell r="C1667" t="str">
            <v>Biopharma</v>
          </cell>
          <cell r="D1667">
            <v>46083</v>
          </cell>
          <cell r="E1667">
            <v>0.5</v>
          </cell>
          <cell r="F1667">
            <v>46082</v>
          </cell>
          <cell r="G1667">
            <v>46083</v>
          </cell>
          <cell r="H1667">
            <v>0.59722222222222221</v>
          </cell>
          <cell r="I1667">
            <v>9.7222222222222224E-2</v>
          </cell>
          <cell r="J1667">
            <v>2</v>
          </cell>
          <cell r="K1667" t="str">
            <v>FCB-PROTOCOL-01</v>
          </cell>
          <cell r="L1667" t="str">
            <v>VYD/469</v>
          </cell>
          <cell r="M1667" t="str">
            <v>Y</v>
          </cell>
          <cell r="P1667" t="str">
            <v>Q1 Passed</v>
          </cell>
          <cell r="Q1667" t="str">
            <v>Q1 Passed</v>
          </cell>
          <cell r="R1667" t="str">
            <v>Q1.5 Passed</v>
          </cell>
          <cell r="S1667" t="str">
            <v>Qualified</v>
          </cell>
          <cell r="V1667" t="str">
            <v>Tumor content 60-75%</v>
          </cell>
          <cell r="W1667" t="str">
            <v>Private Hospital</v>
          </cell>
          <cell r="X1667" t="str">
            <v>Vydehi Hospital, Bangalore</v>
          </cell>
          <cell r="Y1667" t="str">
            <v>Vydehi Hospital, Bangalore</v>
          </cell>
          <cell r="Z1667" t="str">
            <v>Dr Amritha Prabha</v>
          </cell>
          <cell r="AA1667" t="str">
            <v>HNSCC</v>
          </cell>
          <cell r="AB1667" t="str">
            <v>NA</v>
          </cell>
          <cell r="AC1667" t="str">
            <v>Buccal Mucosa</v>
          </cell>
          <cell r="AD1667" t="str">
            <v>Left Buccal Mucosa</v>
          </cell>
          <cell r="AE1667" t="str">
            <v>Female</v>
          </cell>
          <cell r="AF1667">
            <v>51</v>
          </cell>
          <cell r="AG1667" t="str">
            <v>N</v>
          </cell>
          <cell r="AH1667">
            <v>5.0999999999999996</v>
          </cell>
          <cell r="AI1667" t="str">
            <v>Kalappa</v>
          </cell>
          <cell r="AJ1667" t="str">
            <v>Surgery</v>
          </cell>
          <cell r="AK1667" t="str">
            <v>Primary</v>
          </cell>
          <cell r="AL1667" t="str">
            <v>NA</v>
          </cell>
          <cell r="AS1667" t="str">
            <v>SCC</v>
          </cell>
        </row>
        <row r="1668">
          <cell r="A1668" t="str">
            <v>FBB1R260051</v>
          </cell>
          <cell r="B1668">
            <v>260051</v>
          </cell>
          <cell r="C1668" t="str">
            <v>Biopharma</v>
          </cell>
          <cell r="D1668">
            <v>46083</v>
          </cell>
          <cell r="E1668">
            <v>0.5</v>
          </cell>
          <cell r="F1668">
            <v>46082</v>
          </cell>
          <cell r="G1668">
            <v>46083</v>
          </cell>
          <cell r="H1668">
            <v>0.59722222222222221</v>
          </cell>
          <cell r="I1668">
            <v>9.7222222222222224E-2</v>
          </cell>
          <cell r="J1668">
            <v>2</v>
          </cell>
          <cell r="K1668" t="str">
            <v>FCB-PROTOCOL-01</v>
          </cell>
          <cell r="L1668" t="str">
            <v>VYD/469</v>
          </cell>
          <cell r="M1668" t="str">
            <v>Y</v>
          </cell>
          <cell r="P1668" t="str">
            <v>Q1 Passed</v>
          </cell>
          <cell r="Q1668" t="str">
            <v>Q1 Passed</v>
          </cell>
          <cell r="R1668" t="str">
            <v>Q1.5 Passed</v>
          </cell>
          <cell r="S1668" t="str">
            <v>Qualified</v>
          </cell>
          <cell r="V1668" t="str">
            <v>Tumor content 45-70%</v>
          </cell>
          <cell r="W1668" t="str">
            <v>Private Hospital</v>
          </cell>
          <cell r="X1668" t="str">
            <v>Vydehi Hospital, Bangalore</v>
          </cell>
          <cell r="Y1668" t="str">
            <v>Vydehi Hospital, Bangalore</v>
          </cell>
          <cell r="Z1668" t="str">
            <v>Dr Amritha Prabha</v>
          </cell>
          <cell r="AA1668" t="str">
            <v>HNSCC</v>
          </cell>
          <cell r="AB1668" t="str">
            <v>NA</v>
          </cell>
          <cell r="AC1668" t="str">
            <v>Buccal Mucosa</v>
          </cell>
          <cell r="AD1668" t="str">
            <v>Left Buccal Mucosa</v>
          </cell>
          <cell r="AE1668" t="str">
            <v>Female</v>
          </cell>
          <cell r="AF1668">
            <v>51</v>
          </cell>
          <cell r="AG1668" t="str">
            <v>N</v>
          </cell>
          <cell r="AH1668">
            <v>5.0999999999999996</v>
          </cell>
          <cell r="AI1668" t="str">
            <v>Kalappa</v>
          </cell>
          <cell r="AJ1668" t="str">
            <v>Surgery</v>
          </cell>
          <cell r="AK1668" t="str">
            <v>Primary</v>
          </cell>
          <cell r="AL1668" t="str">
            <v>NA</v>
          </cell>
          <cell r="AS1668" t="str">
            <v>SCC</v>
          </cell>
        </row>
        <row r="1669">
          <cell r="A1669" t="str">
            <v>FBR2U260052</v>
          </cell>
          <cell r="B1669">
            <v>260052</v>
          </cell>
          <cell r="C1669" t="str">
            <v>R&amp;D</v>
          </cell>
          <cell r="D1669">
            <v>46083</v>
          </cell>
          <cell r="E1669">
            <v>0.53055555555555556</v>
          </cell>
          <cell r="F1669">
            <v>46082</v>
          </cell>
          <cell r="G1669">
            <v>46083</v>
          </cell>
          <cell r="H1669">
            <v>0.60902777777777772</v>
          </cell>
          <cell r="I1669">
            <v>7.8472222222222221E-2</v>
          </cell>
          <cell r="J1669">
            <v>1</v>
          </cell>
          <cell r="K1669" t="str">
            <v>FCB-PROTOCOL-01</v>
          </cell>
          <cell r="L1669" t="str">
            <v>CLN/PRA/388</v>
          </cell>
          <cell r="M1669" t="str">
            <v>Y</v>
          </cell>
          <cell r="P1669" t="str">
            <v>Q1 Passed</v>
          </cell>
          <cell r="Q1669" t="str">
            <v>Not Received</v>
          </cell>
          <cell r="R1669" t="str">
            <v>Q1.5 Passed</v>
          </cell>
          <cell r="S1669" t="str">
            <v>Contaminated</v>
          </cell>
          <cell r="V1669" t="str">
            <v>Tumor content 30-45%</v>
          </cell>
          <cell r="W1669" t="str">
            <v>Private Hospital</v>
          </cell>
          <cell r="X1669" t="str">
            <v>Dr Prakash BV, Bangalore</v>
          </cell>
          <cell r="Y1669" t="str">
            <v>Sri Lakshmi Hospital, Bangalore</v>
          </cell>
          <cell r="Z1669" t="str">
            <v>Dr Prakash BV</v>
          </cell>
          <cell r="AA1669" t="str">
            <v>HNSCC</v>
          </cell>
          <cell r="AB1669" t="str">
            <v>NA</v>
          </cell>
          <cell r="AC1669" t="str">
            <v>Lip</v>
          </cell>
          <cell r="AD1669" t="str">
            <v>Lip</v>
          </cell>
          <cell r="AE1669" t="str">
            <v>Male</v>
          </cell>
          <cell r="AF1669">
            <v>62</v>
          </cell>
          <cell r="AG1669" t="str">
            <v>N</v>
          </cell>
          <cell r="AH1669">
            <v>4.7</v>
          </cell>
          <cell r="AI1669" t="str">
            <v>Kalappa</v>
          </cell>
          <cell r="AJ1669" t="str">
            <v>Surgery</v>
          </cell>
          <cell r="AK1669" t="str">
            <v>Primary</v>
          </cell>
          <cell r="AL1669" t="str">
            <v>NA</v>
          </cell>
          <cell r="AP1669" t="str">
            <v>pT4N1M0</v>
          </cell>
          <cell r="AS1669" t="str">
            <v>SCC</v>
          </cell>
        </row>
        <row r="1670">
          <cell r="A1670" t="str">
            <v>FBR1Q260053</v>
          </cell>
          <cell r="B1670">
            <v>260053</v>
          </cell>
          <cell r="C1670" t="str">
            <v>R&amp;D</v>
          </cell>
          <cell r="D1670">
            <v>46083</v>
          </cell>
          <cell r="E1670">
            <v>0.45833333333333331</v>
          </cell>
          <cell r="F1670">
            <v>46082</v>
          </cell>
          <cell r="G1670">
            <v>46083</v>
          </cell>
          <cell r="H1670">
            <v>0.65625</v>
          </cell>
          <cell r="I1670">
            <v>0.19791666666666666</v>
          </cell>
          <cell r="J1670">
            <v>15</v>
          </cell>
          <cell r="K1670" t="str">
            <v>FCB-PROTOCOL-01</v>
          </cell>
          <cell r="L1670" t="str">
            <v>JSS-087</v>
          </cell>
          <cell r="M1670" t="str">
            <v>Y</v>
          </cell>
          <cell r="P1670" t="str">
            <v>Q1 Passed</v>
          </cell>
          <cell r="Q1670" t="str">
            <v>Not Received</v>
          </cell>
          <cell r="R1670" t="str">
            <v>Q1.5 Passed</v>
          </cell>
          <cell r="S1670" t="str">
            <v>Qualified</v>
          </cell>
          <cell r="T1670" t="str">
            <v>only tumoroid</v>
          </cell>
          <cell r="V1670" t="str">
            <v>Tumor content 1-40%</v>
          </cell>
          <cell r="W1670" t="str">
            <v>Private Hospital</v>
          </cell>
          <cell r="X1670" t="str">
            <v>Dr Ravi Krishnappa, Mysore</v>
          </cell>
          <cell r="Y1670" t="str">
            <v>JSS Hospital, Mysore</v>
          </cell>
          <cell r="Z1670" t="str">
            <v>Dr Ravi Krishnappa</v>
          </cell>
          <cell r="AA1670" t="str">
            <v>Ca Breast</v>
          </cell>
          <cell r="AB1670" t="str">
            <v>NA</v>
          </cell>
          <cell r="AC1670" t="str">
            <v>Breast</v>
          </cell>
          <cell r="AD1670" t="str">
            <v>Left Breast</v>
          </cell>
          <cell r="AE1670" t="str">
            <v>Female</v>
          </cell>
          <cell r="AF1670">
            <v>61</v>
          </cell>
          <cell r="AG1670" t="str">
            <v>N</v>
          </cell>
          <cell r="AH1670">
            <v>5.6</v>
          </cell>
          <cell r="AI1670" t="str">
            <v>Maruti</v>
          </cell>
          <cell r="AJ1670" t="str">
            <v>Surgery</v>
          </cell>
          <cell r="AK1670" t="str">
            <v>Primary</v>
          </cell>
          <cell r="AL1670" t="str">
            <v>NA</v>
          </cell>
          <cell r="AN1670" t="str">
            <v>II</v>
          </cell>
          <cell r="AP1670" t="str">
            <v>pT1N0M0</v>
          </cell>
          <cell r="AS1670" t="str">
            <v>IDC</v>
          </cell>
        </row>
        <row r="1671">
          <cell r="A1671" t="str">
            <v>FBR1J260054</v>
          </cell>
          <cell r="B1671">
            <v>260054</v>
          </cell>
          <cell r="C1671" t="str">
            <v>R&amp;D</v>
          </cell>
          <cell r="D1671">
            <v>46083</v>
          </cell>
          <cell r="E1671">
            <v>0.59722222222222221</v>
          </cell>
          <cell r="F1671">
            <v>46082</v>
          </cell>
          <cell r="G1671">
            <v>46083</v>
          </cell>
          <cell r="H1671">
            <v>0.66180555555555554</v>
          </cell>
          <cell r="I1671">
            <v>6.458333333333334E-2</v>
          </cell>
          <cell r="J1671">
            <v>1</v>
          </cell>
          <cell r="K1671" t="str">
            <v>FCB-PROTOCOL-01</v>
          </cell>
          <cell r="L1671" t="str">
            <v>VYD/470</v>
          </cell>
          <cell r="M1671" t="str">
            <v>Y</v>
          </cell>
          <cell r="P1671" t="str">
            <v>Q1 Passed</v>
          </cell>
          <cell r="Q1671" t="str">
            <v>Q1 Passed</v>
          </cell>
          <cell r="R1671" t="str">
            <v>Compromised</v>
          </cell>
          <cell r="S1671" t="str">
            <v>Qualified</v>
          </cell>
          <cell r="T1671" t="str">
            <v>only tumoroid</v>
          </cell>
          <cell r="V1671" t="str">
            <v>Tumor content 0-25%. Average tumor content 4%</v>
          </cell>
          <cell r="W1671" t="str">
            <v>Private Hospital</v>
          </cell>
          <cell r="X1671" t="str">
            <v>Vydehi Hospital, Bangalore</v>
          </cell>
          <cell r="Y1671" t="str">
            <v>Vydehi Hospital, Bangalore</v>
          </cell>
          <cell r="Z1671" t="str">
            <v>Dr Amritha Prabha</v>
          </cell>
          <cell r="AA1671" t="str">
            <v>GI</v>
          </cell>
          <cell r="AB1671" t="str">
            <v>NA</v>
          </cell>
          <cell r="AC1671" t="str">
            <v>Pyloric antrum</v>
          </cell>
          <cell r="AD1671" t="str">
            <v>Pyloric antrum</v>
          </cell>
          <cell r="AE1671" t="str">
            <v>Male</v>
          </cell>
          <cell r="AF1671">
            <v>55</v>
          </cell>
          <cell r="AG1671" t="str">
            <v>N</v>
          </cell>
          <cell r="AH1671">
            <v>7.1</v>
          </cell>
          <cell r="AI1671" t="str">
            <v>Shashi</v>
          </cell>
          <cell r="AJ1671" t="str">
            <v>Surgery</v>
          </cell>
          <cell r="AK1671" t="str">
            <v>Primary</v>
          </cell>
          <cell r="AL1671" t="str">
            <v>NA</v>
          </cell>
          <cell r="AS1671" t="str">
            <v>Adenocarcinoma</v>
          </cell>
        </row>
        <row r="1672">
          <cell r="A1672" t="str">
            <v>FBB1R260055</v>
          </cell>
          <cell r="B1672">
            <v>260055</v>
          </cell>
          <cell r="C1672" t="str">
            <v>Biopharma</v>
          </cell>
          <cell r="D1672">
            <v>46084</v>
          </cell>
          <cell r="E1672">
            <v>0.56111111111111112</v>
          </cell>
          <cell r="F1672">
            <v>46082</v>
          </cell>
          <cell r="G1672">
            <v>46084</v>
          </cell>
          <cell r="H1672">
            <v>0.6333333333333333</v>
          </cell>
          <cell r="I1672">
            <v>7.2222222222222215E-2</v>
          </cell>
          <cell r="J1672">
            <v>2</v>
          </cell>
          <cell r="K1672" t="str">
            <v>FCB-PROTOCOL-01</v>
          </cell>
          <cell r="L1672" t="str">
            <v>CLN/PRA/389</v>
          </cell>
          <cell r="M1672" t="str">
            <v>Y</v>
          </cell>
          <cell r="P1672" t="str">
            <v>Q1 Passed</v>
          </cell>
          <cell r="Q1672" t="str">
            <v>Q1 Passed</v>
          </cell>
          <cell r="R1672" t="str">
            <v>Q1.5 Passed</v>
          </cell>
          <cell r="S1672" t="str">
            <v>Rejected</v>
          </cell>
          <cell r="T1672" t="str">
            <v>High necrosis</v>
          </cell>
          <cell r="V1672" t="str">
            <v>Tumor content 65-85%</v>
          </cell>
          <cell r="W1672" t="str">
            <v>Private Hospital</v>
          </cell>
          <cell r="X1672" t="str">
            <v>Dr Prakash BV, Bangalore</v>
          </cell>
          <cell r="Y1672" t="str">
            <v>Sri Lakshmi Hospital, Bangalore</v>
          </cell>
          <cell r="Z1672" t="str">
            <v>Dr Prakash BV</v>
          </cell>
          <cell r="AA1672" t="str">
            <v>HNSCC</v>
          </cell>
          <cell r="AB1672" t="str">
            <v>NA</v>
          </cell>
          <cell r="AC1672" t="str">
            <v>Buccal Mucosa</v>
          </cell>
          <cell r="AD1672" t="str">
            <v>Right Buccal Mucosa</v>
          </cell>
          <cell r="AE1672" t="str">
            <v>Female</v>
          </cell>
          <cell r="AF1672">
            <v>40</v>
          </cell>
          <cell r="AG1672" t="str">
            <v>N</v>
          </cell>
          <cell r="AH1672">
            <v>5.9</v>
          </cell>
          <cell r="AI1672" t="str">
            <v>Shashi</v>
          </cell>
          <cell r="AJ1672" t="str">
            <v>Surgery</v>
          </cell>
          <cell r="AK1672" t="str">
            <v>Primary</v>
          </cell>
          <cell r="AL1672" t="str">
            <v>NA</v>
          </cell>
          <cell r="AN1672" t="str">
            <v>IVa</v>
          </cell>
          <cell r="AP1672" t="str">
            <v>pT4N2bM0</v>
          </cell>
          <cell r="AS1672" t="str">
            <v>SCC</v>
          </cell>
        </row>
        <row r="1673">
          <cell r="A1673" t="str">
            <v>FBB1T260056</v>
          </cell>
          <cell r="B1673">
            <v>260056</v>
          </cell>
          <cell r="C1673" t="str">
            <v>Biopharma</v>
          </cell>
          <cell r="D1673">
            <v>46084</v>
          </cell>
          <cell r="E1673">
            <v>0.47569444444444442</v>
          </cell>
          <cell r="F1673">
            <v>46082</v>
          </cell>
          <cell r="G1673">
            <v>46084</v>
          </cell>
          <cell r="H1673">
            <v>0.77222222222222225</v>
          </cell>
          <cell r="I1673">
            <v>0.29652777777777778</v>
          </cell>
          <cell r="J1673">
            <v>10</v>
          </cell>
          <cell r="K1673" t="str">
            <v>FCB-PROTOCOL-01</v>
          </cell>
          <cell r="L1673" t="str">
            <v>CLN/DBR/275</v>
          </cell>
          <cell r="M1673" t="str">
            <v>Y</v>
          </cell>
          <cell r="P1673" t="str">
            <v>Q1 Passed</v>
          </cell>
          <cell r="Q1673" t="str">
            <v>Q1 Passed</v>
          </cell>
          <cell r="R1673" t="str">
            <v>Q1.5 Passed</v>
          </cell>
          <cell r="S1673" t="str">
            <v>Qualified</v>
          </cell>
          <cell r="V1673" t="str">
            <v>Tumor content 55-85%</v>
          </cell>
          <cell r="W1673" t="str">
            <v>Clinic'les</v>
          </cell>
          <cell r="X1673" t="str">
            <v>Clinic'les- DBR &amp; SK Hospital, Tirupati</v>
          </cell>
          <cell r="Y1673" t="str">
            <v>DBR &amp; SK Hospital, Tirupati</v>
          </cell>
          <cell r="Z1673" t="str">
            <v>Dr C Jayaprakash</v>
          </cell>
          <cell r="AA1673" t="str">
            <v>HNSCC</v>
          </cell>
          <cell r="AB1673" t="str">
            <v>NA</v>
          </cell>
          <cell r="AC1673" t="str">
            <v>Buccal Mucosa</v>
          </cell>
          <cell r="AD1673" t="str">
            <v>Right Buccal Mucosa</v>
          </cell>
          <cell r="AE1673" t="str">
            <v>Female</v>
          </cell>
          <cell r="AF1673">
            <v>85</v>
          </cell>
          <cell r="AG1673" t="str">
            <v>N</v>
          </cell>
          <cell r="AH1673">
            <v>5.9</v>
          </cell>
          <cell r="AI1673" t="str">
            <v>Kalappa</v>
          </cell>
          <cell r="AJ1673" t="str">
            <v>Surgery</v>
          </cell>
          <cell r="AK1673" t="str">
            <v>Primary</v>
          </cell>
          <cell r="AL1673" t="str">
            <v>NA</v>
          </cell>
        </row>
        <row r="1674">
          <cell r="A1674" t="str">
            <v>FBR1Y260057</v>
          </cell>
          <cell r="B1674">
            <v>260057</v>
          </cell>
          <cell r="C1674" t="str">
            <v>R&amp;D</v>
          </cell>
          <cell r="D1674">
            <v>46085</v>
          </cell>
          <cell r="E1674">
            <v>0.49166666666666664</v>
          </cell>
          <cell r="F1674">
            <v>46082</v>
          </cell>
          <cell r="G1674">
            <v>46085</v>
          </cell>
          <cell r="H1674">
            <v>0.57291666666666663</v>
          </cell>
          <cell r="I1674">
            <v>8.1250000000000003E-2</v>
          </cell>
          <cell r="J1674">
            <v>2</v>
          </cell>
          <cell r="K1674" t="str">
            <v>FCB-PROTOCOL-01</v>
          </cell>
          <cell r="L1674" t="str">
            <v>CLN/PRA/390</v>
          </cell>
          <cell r="M1674" t="str">
            <v>Y</v>
          </cell>
          <cell r="P1674" t="str">
            <v>Q1 Passed</v>
          </cell>
          <cell r="Q1674" t="str">
            <v>Q1 Passed</v>
          </cell>
          <cell r="R1674" t="str">
            <v>Compromised</v>
          </cell>
          <cell r="S1674" t="str">
            <v>Rejected</v>
          </cell>
          <cell r="T1674" t="str">
            <v>Powdery Tissue</v>
          </cell>
          <cell r="V1674" t="str">
            <v>Tumor content 35-80%</v>
          </cell>
          <cell r="W1674" t="str">
            <v>Private Hospital</v>
          </cell>
          <cell r="X1674" t="str">
            <v>Dr Prakash BV, Bangalore</v>
          </cell>
          <cell r="Y1674" t="str">
            <v>Sri Lakshmi Hospital, Bangalore</v>
          </cell>
          <cell r="Z1674" t="str">
            <v>Dr Prakash BV</v>
          </cell>
          <cell r="AA1674" t="str">
            <v>HNSCC</v>
          </cell>
          <cell r="AB1674" t="str">
            <v>NA</v>
          </cell>
          <cell r="AC1674" t="str">
            <v>Buccal Mucosa</v>
          </cell>
          <cell r="AD1674" t="str">
            <v>Left Buccal Mucosa</v>
          </cell>
          <cell r="AE1674" t="str">
            <v>Female</v>
          </cell>
          <cell r="AF1674">
            <v>50</v>
          </cell>
          <cell r="AG1674" t="str">
            <v>N</v>
          </cell>
          <cell r="AH1674">
            <v>6.6</v>
          </cell>
          <cell r="AI1674" t="str">
            <v>Kalappa</v>
          </cell>
          <cell r="AJ1674" t="str">
            <v>Surgery</v>
          </cell>
          <cell r="AK1674" t="str">
            <v>Primary</v>
          </cell>
          <cell r="AL1674" t="str">
            <v>NA</v>
          </cell>
          <cell r="AP1674" t="str">
            <v>pT3N1M0</v>
          </cell>
          <cell r="AS1674" t="str">
            <v>SCC</v>
          </cell>
        </row>
        <row r="1675">
          <cell r="A1675" t="str">
            <v>FBB1T260058</v>
          </cell>
          <cell r="B1675">
            <v>260058</v>
          </cell>
          <cell r="C1675" t="str">
            <v>Biopharma</v>
          </cell>
          <cell r="D1675">
            <v>46086</v>
          </cell>
          <cell r="E1675">
            <v>0.57777777777777772</v>
          </cell>
          <cell r="F1675">
            <v>46082</v>
          </cell>
          <cell r="G1675">
            <v>46086</v>
          </cell>
          <cell r="H1675">
            <v>0.66527777777777775</v>
          </cell>
          <cell r="I1675">
            <v>8.7499999999999994E-2</v>
          </cell>
          <cell r="J1675">
            <v>3</v>
          </cell>
          <cell r="K1675" t="str">
            <v>FCB-PROTOCOL-01</v>
          </cell>
          <cell r="L1675" t="str">
            <v>CLN/PRA/391</v>
          </cell>
          <cell r="M1675" t="str">
            <v>Y</v>
          </cell>
          <cell r="P1675" t="str">
            <v>Q1 Passed</v>
          </cell>
          <cell r="Q1675" t="str">
            <v>Q1 Passed</v>
          </cell>
          <cell r="R1675" t="str">
            <v>Q1.5 Passed</v>
          </cell>
          <cell r="V1675" t="str">
            <v>Tumor content 0-35%. Average tumor content 10%. Two fragments without tumor.</v>
          </cell>
          <cell r="W1675" t="str">
            <v>Private Hospital</v>
          </cell>
          <cell r="X1675" t="str">
            <v>Dr Prakash BV, Bangalore</v>
          </cell>
          <cell r="Y1675" t="str">
            <v>Belaku Hospital</v>
          </cell>
          <cell r="Z1675" t="str">
            <v>Dr Prakash BV</v>
          </cell>
          <cell r="AA1675" t="str">
            <v>HNSCC</v>
          </cell>
          <cell r="AB1675" t="str">
            <v>NA</v>
          </cell>
          <cell r="AC1675" t="str">
            <v>Buccal Mucosa</v>
          </cell>
          <cell r="AD1675" t="str">
            <v>Left Buccal Mucosa</v>
          </cell>
          <cell r="AE1675" t="str">
            <v>Male</v>
          </cell>
          <cell r="AF1675">
            <v>68</v>
          </cell>
          <cell r="AG1675" t="str">
            <v>N</v>
          </cell>
          <cell r="AH1675">
            <v>3.6</v>
          </cell>
          <cell r="AI1675" t="str">
            <v>Kalappa</v>
          </cell>
          <cell r="AJ1675" t="str">
            <v>Surgery</v>
          </cell>
          <cell r="AK1675" t="str">
            <v>Primary</v>
          </cell>
          <cell r="AL1675" t="str">
            <v>NA</v>
          </cell>
          <cell r="AN1675" t="str">
            <v>III</v>
          </cell>
          <cell r="AP1675" t="str">
            <v>pT3N1M0</v>
          </cell>
          <cell r="AS1675" t="str">
            <v>SCC</v>
          </cell>
        </row>
        <row r="1676">
          <cell r="A1676" t="str">
            <v>FBR1K260059</v>
          </cell>
          <cell r="B1676">
            <v>260059</v>
          </cell>
          <cell r="C1676" t="str">
            <v>R&amp;D</v>
          </cell>
          <cell r="D1676">
            <v>46087</v>
          </cell>
          <cell r="E1676">
            <v>0.60833333333333328</v>
          </cell>
          <cell r="F1676">
            <v>46082</v>
          </cell>
          <cell r="G1676">
            <v>46087</v>
          </cell>
          <cell r="H1676">
            <v>0.68472222222222223</v>
          </cell>
          <cell r="I1676">
            <v>7.6388888888888895E-2</v>
          </cell>
          <cell r="J1676">
            <v>2</v>
          </cell>
          <cell r="K1676" t="str">
            <v>FCB-PROTOCOL-01</v>
          </cell>
          <cell r="L1676" t="str">
            <v>CLN/PRA/392</v>
          </cell>
          <cell r="M1676" t="str">
            <v>Y</v>
          </cell>
          <cell r="P1676" t="str">
            <v>Q1 Passed</v>
          </cell>
          <cell r="Q1676" t="str">
            <v>Not Received</v>
          </cell>
          <cell r="R1676" t="str">
            <v>Compromised</v>
          </cell>
          <cell r="S1676" t="str">
            <v>Qualified</v>
          </cell>
          <cell r="V1676" t="str">
            <v>Tumor content 3-75%</v>
          </cell>
          <cell r="W1676" t="str">
            <v>Private Hospital</v>
          </cell>
          <cell r="X1676" t="str">
            <v>Dr Prakash BV, Bangalore</v>
          </cell>
          <cell r="Y1676" t="str">
            <v>Belaku Hospital</v>
          </cell>
          <cell r="Z1676" t="str">
            <v>Dr Prakash BV</v>
          </cell>
          <cell r="AA1676" t="str">
            <v>HNSCC</v>
          </cell>
          <cell r="AB1676" t="str">
            <v>NA</v>
          </cell>
          <cell r="AC1676" t="str">
            <v>Buccal Mucosa</v>
          </cell>
          <cell r="AD1676" t="str">
            <v>Left Buccal Mucosa</v>
          </cell>
          <cell r="AE1676" t="str">
            <v>Female</v>
          </cell>
          <cell r="AF1676">
            <v>40</v>
          </cell>
          <cell r="AG1676" t="str">
            <v>N</v>
          </cell>
          <cell r="AH1676">
            <v>5.5</v>
          </cell>
          <cell r="AI1676" t="str">
            <v>Shashi</v>
          </cell>
          <cell r="AJ1676" t="str">
            <v>Surgery</v>
          </cell>
          <cell r="AK1676" t="str">
            <v>Primary</v>
          </cell>
          <cell r="AL1676" t="str">
            <v>NA</v>
          </cell>
          <cell r="AP1676" t="str">
            <v>pT4N2M0</v>
          </cell>
          <cell r="AS1676" t="str">
            <v>SCC</v>
          </cell>
        </row>
        <row r="1677">
          <cell r="A1677" t="str">
            <v>FBB1R260060</v>
          </cell>
          <cell r="B1677">
            <v>260060</v>
          </cell>
          <cell r="C1677" t="str">
            <v>Biopharma</v>
          </cell>
          <cell r="D1677">
            <v>46088</v>
          </cell>
          <cell r="E1677">
            <v>0.52569444444444446</v>
          </cell>
          <cell r="F1677">
            <v>46082</v>
          </cell>
          <cell r="G1677">
            <v>46088</v>
          </cell>
          <cell r="H1677">
            <v>0.60972222222222228</v>
          </cell>
          <cell r="I1677">
            <v>8.4027777777777785E-2</v>
          </cell>
          <cell r="J1677">
            <v>3</v>
          </cell>
          <cell r="K1677" t="str">
            <v>FCB-PROTOCOL-01</v>
          </cell>
          <cell r="L1677" t="str">
            <v>CLN/PRA/393</v>
          </cell>
          <cell r="M1677" t="str">
            <v>Y</v>
          </cell>
          <cell r="P1677" t="str">
            <v>Q1 Passed</v>
          </cell>
          <cell r="Q1677" t="str">
            <v>Q1 Passed</v>
          </cell>
          <cell r="R1677" t="str">
            <v>Q1.5 Passed</v>
          </cell>
          <cell r="S1677" t="str">
            <v>Rejected</v>
          </cell>
          <cell r="T1677" t="str">
            <v>Low Tumor</v>
          </cell>
          <cell r="V1677" t="str">
            <v>Tumor content 0-30%. Average tumor content 10%</v>
          </cell>
          <cell r="W1677" t="str">
            <v>Private Hospital</v>
          </cell>
          <cell r="X1677" t="str">
            <v>Dr Prakash BV, Bangalore</v>
          </cell>
          <cell r="Y1677" t="str">
            <v>Sri Lakshmi Hospital, Bangalore</v>
          </cell>
          <cell r="Z1677" t="str">
            <v>Dr Prakash BV</v>
          </cell>
          <cell r="AA1677" t="str">
            <v>HNSCC</v>
          </cell>
          <cell r="AB1677" t="str">
            <v>NA</v>
          </cell>
          <cell r="AC1677" t="str">
            <v>Buccal Mucosa</v>
          </cell>
          <cell r="AD1677" t="str">
            <v>Left Buccal Mucosa</v>
          </cell>
          <cell r="AE1677" t="str">
            <v>Female</v>
          </cell>
          <cell r="AF1677">
            <v>50</v>
          </cell>
          <cell r="AG1677" t="str">
            <v>N</v>
          </cell>
          <cell r="AH1677">
            <v>5.3</v>
          </cell>
          <cell r="AI1677" t="str">
            <v>Shashi</v>
          </cell>
          <cell r="AJ1677" t="str">
            <v>Surgery</v>
          </cell>
          <cell r="AK1677" t="str">
            <v>Primary</v>
          </cell>
          <cell r="AL1677" t="str">
            <v>NA</v>
          </cell>
          <cell r="AP1677" t="str">
            <v>pT4N2M0</v>
          </cell>
          <cell r="AS1677" t="str">
            <v>SCC</v>
          </cell>
        </row>
        <row r="1678">
          <cell r="A1678" t="str">
            <v>FBB1T260061</v>
          </cell>
          <cell r="B1678">
            <v>260061</v>
          </cell>
          <cell r="C1678" t="str">
            <v>Biopharma</v>
          </cell>
          <cell r="D1678">
            <v>46092</v>
          </cell>
          <cell r="E1678">
            <v>0.48333333333333334</v>
          </cell>
          <cell r="F1678">
            <v>46082</v>
          </cell>
          <cell r="G1678">
            <v>46092</v>
          </cell>
          <cell r="H1678">
            <v>0.64166666666666672</v>
          </cell>
          <cell r="I1678">
            <v>0.15833333333333333</v>
          </cell>
          <cell r="J1678">
            <v>13</v>
          </cell>
          <cell r="K1678" t="str">
            <v>FCB-PROTOCOL-01</v>
          </cell>
          <cell r="L1678" t="str">
            <v>VYD/471</v>
          </cell>
          <cell r="M1678" t="str">
            <v>Y</v>
          </cell>
          <cell r="P1678" t="str">
            <v>Q1 Passed</v>
          </cell>
          <cell r="Q1678" t="str">
            <v>Q1 Passed</v>
          </cell>
          <cell r="R1678" t="str">
            <v>Q1.5 Passed</v>
          </cell>
          <cell r="S1678" t="str">
            <v>Rejected</v>
          </cell>
          <cell r="T1678" t="str">
            <v>Low Tumor</v>
          </cell>
          <cell r="V1678" t="str">
            <v>Tumor content 0-90%. Average tumor content is 29%. 3 fragments without tumor</v>
          </cell>
          <cell r="W1678" t="str">
            <v>Private Hospital</v>
          </cell>
          <cell r="X1678" t="str">
            <v>Vydehi Hospital, Bangalore</v>
          </cell>
          <cell r="Y1678" t="str">
            <v>Vydehi Hospital, Bangalore</v>
          </cell>
          <cell r="Z1678" t="str">
            <v>Dr Amritha Prabha</v>
          </cell>
          <cell r="AA1678" t="str">
            <v>HNSCC</v>
          </cell>
          <cell r="AB1678" t="str">
            <v>NA</v>
          </cell>
          <cell r="AC1678" t="str">
            <v>Buccal Mucosa</v>
          </cell>
          <cell r="AD1678" t="str">
            <v>Left Buccal Mucosa</v>
          </cell>
          <cell r="AE1678" t="str">
            <v>Female</v>
          </cell>
          <cell r="AF1678">
            <v>67</v>
          </cell>
          <cell r="AG1678" t="str">
            <v>N</v>
          </cell>
          <cell r="AH1678">
            <v>6.3</v>
          </cell>
          <cell r="AI1678" t="str">
            <v>Kalappa</v>
          </cell>
          <cell r="AJ1678" t="str">
            <v>Surgery</v>
          </cell>
          <cell r="AK1678" t="str">
            <v>Primary</v>
          </cell>
          <cell r="AL1678" t="str">
            <v>NA</v>
          </cell>
          <cell r="AS1678" t="str">
            <v>Carcinoma</v>
          </cell>
        </row>
        <row r="1679">
          <cell r="A1679" t="str">
            <v>FBB1R260062</v>
          </cell>
          <cell r="B1679">
            <v>260062</v>
          </cell>
          <cell r="C1679" t="str">
            <v>Biopharma</v>
          </cell>
          <cell r="D1679">
            <v>46092</v>
          </cell>
          <cell r="E1679">
            <v>0.61319444444444449</v>
          </cell>
          <cell r="F1679">
            <v>46082</v>
          </cell>
          <cell r="G1679">
            <v>46092</v>
          </cell>
          <cell r="H1679">
            <v>0.69861111111111107</v>
          </cell>
          <cell r="I1679">
            <v>8.5416666666666669E-2</v>
          </cell>
          <cell r="J1679">
            <v>2</v>
          </cell>
          <cell r="K1679" t="str">
            <v>FCB-PROTOCOL-01</v>
          </cell>
          <cell r="L1679" t="str">
            <v>CLN/PRA/394</v>
          </cell>
          <cell r="M1679" t="str">
            <v>Y</v>
          </cell>
          <cell r="P1679" t="str">
            <v>Q1 Passed</v>
          </cell>
          <cell r="Q1679" t="str">
            <v>Q1 Passed</v>
          </cell>
          <cell r="R1679" t="str">
            <v>Q1.5 Passed</v>
          </cell>
          <cell r="S1679" t="str">
            <v>Qualified</v>
          </cell>
          <cell r="V1679" t="str">
            <v>Tumor content 6-78%</v>
          </cell>
          <cell r="W1679" t="str">
            <v>Private Hospital</v>
          </cell>
          <cell r="X1679" t="str">
            <v>Dr Prakash BV, Bangalore</v>
          </cell>
          <cell r="Y1679" t="str">
            <v>Sri Lakshmi Hospital, Bangalore</v>
          </cell>
          <cell r="Z1679" t="str">
            <v>Dr Prakash BV</v>
          </cell>
          <cell r="AA1679" t="str">
            <v>HNSCC</v>
          </cell>
          <cell r="AB1679" t="str">
            <v>NA</v>
          </cell>
          <cell r="AC1679" t="str">
            <v>Tongue</v>
          </cell>
          <cell r="AD1679" t="str">
            <v>Left Lateral Border of Tongue</v>
          </cell>
          <cell r="AE1679" t="str">
            <v>Male</v>
          </cell>
          <cell r="AF1679">
            <v>52</v>
          </cell>
          <cell r="AG1679" t="str">
            <v>N</v>
          </cell>
          <cell r="AH1679">
            <v>6.9</v>
          </cell>
          <cell r="AI1679" t="str">
            <v>Kalappa</v>
          </cell>
          <cell r="AJ1679" t="str">
            <v>Surgery</v>
          </cell>
          <cell r="AK1679" t="str">
            <v>Primary</v>
          </cell>
          <cell r="AL1679" t="str">
            <v>NA</v>
          </cell>
          <cell r="AP1679" t="str">
            <v>pT4N2M0</v>
          </cell>
          <cell r="AS1679" t="str">
            <v>SCC</v>
          </cell>
        </row>
        <row r="1680">
          <cell r="A1680" t="str">
            <v>FBB1T260062</v>
          </cell>
          <cell r="B1680">
            <v>260062</v>
          </cell>
          <cell r="C1680" t="str">
            <v>Biopharma</v>
          </cell>
          <cell r="D1680">
            <v>46092</v>
          </cell>
          <cell r="E1680">
            <v>0.61319444444444449</v>
          </cell>
          <cell r="F1680">
            <v>46082</v>
          </cell>
          <cell r="G1680">
            <v>46092</v>
          </cell>
          <cell r="H1680">
            <v>0.69861111111111107</v>
          </cell>
          <cell r="I1680">
            <v>8.5416666666666669E-2</v>
          </cell>
          <cell r="J1680">
            <v>2</v>
          </cell>
          <cell r="K1680" t="str">
            <v>FCB-PROTOCOL-01</v>
          </cell>
          <cell r="L1680" t="str">
            <v>CLN/PRA/394</v>
          </cell>
          <cell r="M1680" t="str">
            <v>Y</v>
          </cell>
          <cell r="P1680" t="str">
            <v>Q1 Passed</v>
          </cell>
          <cell r="Q1680" t="str">
            <v>Q1 Passed</v>
          </cell>
          <cell r="R1680" t="str">
            <v>Q1.5 Passed</v>
          </cell>
          <cell r="S1680" t="str">
            <v>Qualified</v>
          </cell>
          <cell r="V1680" t="str">
            <v>Tumor content 4-55%</v>
          </cell>
          <cell r="W1680" t="str">
            <v>Private Hospital</v>
          </cell>
          <cell r="X1680" t="str">
            <v>Dr Prakash BV, Bangalore</v>
          </cell>
          <cell r="Y1680" t="str">
            <v>Sri Lakshmi Hospital, Bangalore</v>
          </cell>
          <cell r="Z1680" t="str">
            <v>Dr Prakash BV</v>
          </cell>
          <cell r="AA1680" t="str">
            <v>HNSCC</v>
          </cell>
          <cell r="AB1680" t="str">
            <v>NA</v>
          </cell>
          <cell r="AC1680" t="str">
            <v>Tongue</v>
          </cell>
          <cell r="AD1680" t="str">
            <v>Left Lateral Border of Tongue</v>
          </cell>
          <cell r="AE1680" t="str">
            <v>Male</v>
          </cell>
          <cell r="AF1680">
            <v>52</v>
          </cell>
          <cell r="AG1680" t="str">
            <v>N</v>
          </cell>
          <cell r="AH1680">
            <v>6.9</v>
          </cell>
          <cell r="AI1680" t="str">
            <v>Kalappa</v>
          </cell>
          <cell r="AJ1680" t="str">
            <v>Surgery</v>
          </cell>
          <cell r="AK1680" t="str">
            <v>Primary</v>
          </cell>
          <cell r="AL1680" t="str">
            <v>NA</v>
          </cell>
          <cell r="AP1680" t="str">
            <v>pT4N2M0</v>
          </cell>
          <cell r="AS1680" t="str">
            <v>SCC</v>
          </cell>
        </row>
        <row r="1681">
          <cell r="A1681" t="str">
            <v>FBR2A260063</v>
          </cell>
          <cell r="B1681">
            <v>260063</v>
          </cell>
          <cell r="C1681" t="str">
            <v>R&amp;D</v>
          </cell>
          <cell r="D1681">
            <v>46092</v>
          </cell>
          <cell r="E1681">
            <v>0.4861111111111111</v>
          </cell>
          <cell r="F1681">
            <v>46082</v>
          </cell>
          <cell r="G1681">
            <v>46092</v>
          </cell>
          <cell r="H1681">
            <v>0.71944444444444444</v>
          </cell>
          <cell r="I1681">
            <v>0.23333333333333334</v>
          </cell>
          <cell r="J1681">
            <v>15</v>
          </cell>
          <cell r="K1681" t="str">
            <v>FCB-PROTOCOL-01</v>
          </cell>
          <cell r="L1681" t="str">
            <v>JSS-088</v>
          </cell>
          <cell r="M1681" t="str">
            <v>Y</v>
          </cell>
          <cell r="P1681" t="str">
            <v>Q1 Passed</v>
          </cell>
          <cell r="Q1681" t="str">
            <v>Not Received</v>
          </cell>
          <cell r="R1681" t="str">
            <v>Q1.5 Passed</v>
          </cell>
          <cell r="S1681" t="str">
            <v>Rejected</v>
          </cell>
          <cell r="T1681" t="str">
            <v>No Tumor</v>
          </cell>
          <cell r="V1681" t="str">
            <v>No tumor</v>
          </cell>
          <cell r="W1681" t="str">
            <v>Private Hospital</v>
          </cell>
          <cell r="X1681" t="str">
            <v>Dr Ravi Krishnappa, Mysore</v>
          </cell>
          <cell r="Y1681" t="str">
            <v>JSS Hospital, Mysore</v>
          </cell>
          <cell r="Z1681" t="str">
            <v>Dr Ravi Krishnappa</v>
          </cell>
          <cell r="AA1681" t="str">
            <v>Ca Ovary</v>
          </cell>
          <cell r="AB1681" t="str">
            <v>NA</v>
          </cell>
          <cell r="AC1681" t="str">
            <v>Ovary</v>
          </cell>
          <cell r="AD1681" t="str">
            <v>Left Ovary</v>
          </cell>
          <cell r="AE1681" t="str">
            <v>Female</v>
          </cell>
          <cell r="AF1681">
            <v>62</v>
          </cell>
          <cell r="AG1681" t="str">
            <v>N</v>
          </cell>
          <cell r="AH1681">
            <v>5.9</v>
          </cell>
          <cell r="AI1681" t="str">
            <v>Kalappa</v>
          </cell>
          <cell r="AJ1681" t="str">
            <v>Surgery</v>
          </cell>
          <cell r="AK1681" t="str">
            <v>Primary</v>
          </cell>
          <cell r="AL1681" t="str">
            <v>Chemotherapy</v>
          </cell>
          <cell r="AN1681" t="str">
            <v>IIIc</v>
          </cell>
          <cell r="AQ1681">
            <v>6</v>
          </cell>
          <cell r="AR1681" t="str">
            <v>Paclitaxel+Carboplatin</v>
          </cell>
          <cell r="AS1681" t="str">
            <v>Adenocarcinoma</v>
          </cell>
        </row>
        <row r="1682">
          <cell r="A1682" t="str">
            <v>FBB1R260064</v>
          </cell>
          <cell r="B1682">
            <v>260064</v>
          </cell>
          <cell r="C1682" t="str">
            <v>Biopharma</v>
          </cell>
          <cell r="D1682">
            <v>46092</v>
          </cell>
          <cell r="E1682">
            <v>0.4826388888888889</v>
          </cell>
          <cell r="F1682">
            <v>46082</v>
          </cell>
          <cell r="G1682">
            <v>46092</v>
          </cell>
          <cell r="H1682">
            <v>0.81944444444444442</v>
          </cell>
          <cell r="I1682">
            <v>0.33680555555555558</v>
          </cell>
          <cell r="J1682">
            <v>10</v>
          </cell>
          <cell r="K1682" t="str">
            <v>FCB-PROTOCOL-01</v>
          </cell>
          <cell r="L1682" t="str">
            <v>CLN/DBR/276</v>
          </cell>
          <cell r="M1682" t="str">
            <v>Y</v>
          </cell>
          <cell r="P1682" t="str">
            <v>Q1 Passed</v>
          </cell>
          <cell r="Q1682" t="str">
            <v>Q1 Passed</v>
          </cell>
          <cell r="R1682" t="str">
            <v>Q1.5 Passed</v>
          </cell>
          <cell r="S1682" t="str">
            <v>Qualified</v>
          </cell>
          <cell r="V1682" t="str">
            <v>Tumor content 45-70%</v>
          </cell>
          <cell r="W1682" t="str">
            <v>Clinic'les</v>
          </cell>
          <cell r="X1682" t="str">
            <v>Clinic'les- DBR &amp; SK Hospital, Tirupati</v>
          </cell>
          <cell r="Y1682" t="str">
            <v>DBR &amp; SK Hospital, Tirupati</v>
          </cell>
          <cell r="Z1682" t="str">
            <v>Dr C Jayaprakash</v>
          </cell>
          <cell r="AA1682" t="str">
            <v>HNSCC</v>
          </cell>
          <cell r="AB1682" t="str">
            <v>NA</v>
          </cell>
          <cell r="AC1682" t="str">
            <v>Tongue</v>
          </cell>
          <cell r="AD1682" t="str">
            <v>Rght Tongue</v>
          </cell>
          <cell r="AE1682" t="str">
            <v>Male</v>
          </cell>
          <cell r="AF1682">
            <v>50</v>
          </cell>
          <cell r="AG1682" t="str">
            <v>N</v>
          </cell>
          <cell r="AH1682">
            <v>7.6</v>
          </cell>
          <cell r="AI1682" t="str">
            <v>Kalappa</v>
          </cell>
          <cell r="AJ1682" t="str">
            <v>Surgery</v>
          </cell>
          <cell r="AK1682" t="str">
            <v>Primary</v>
          </cell>
          <cell r="AL1682" t="str">
            <v>NA</v>
          </cell>
        </row>
        <row r="1683">
          <cell r="A1683" t="str">
            <v>FBR1Q260065</v>
          </cell>
          <cell r="B1683">
            <v>260065</v>
          </cell>
          <cell r="C1683" t="str">
            <v>R&amp;D</v>
          </cell>
          <cell r="D1683">
            <v>46093</v>
          </cell>
          <cell r="E1683">
            <v>0.59027777777777779</v>
          </cell>
          <cell r="F1683">
            <v>46082</v>
          </cell>
          <cell r="G1683">
            <v>46093</v>
          </cell>
          <cell r="H1683">
            <v>0.67152777777777772</v>
          </cell>
          <cell r="I1683">
            <v>8.1250000000000003E-2</v>
          </cell>
          <cell r="J1683">
            <v>5</v>
          </cell>
          <cell r="K1683" t="str">
            <v>FCB-PROTOCOL-01</v>
          </cell>
          <cell r="L1683" t="str">
            <v>CLN/PRA/395</v>
          </cell>
          <cell r="M1683" t="str">
            <v>Y</v>
          </cell>
          <cell r="P1683" t="str">
            <v>Q1 Passed</v>
          </cell>
          <cell r="Q1683" t="str">
            <v>Q1 Passed</v>
          </cell>
          <cell r="R1683" t="str">
            <v>Q1.5 Passed</v>
          </cell>
          <cell r="S1683" t="str">
            <v>Qualified</v>
          </cell>
          <cell r="T1683" t="str">
            <v>Only Organoid</v>
          </cell>
          <cell r="V1683" t="str">
            <v>Tumor content 2-15%</v>
          </cell>
          <cell r="W1683" t="str">
            <v>Private Hospital</v>
          </cell>
          <cell r="X1683" t="str">
            <v>Dr Prakash BV, Bangalore</v>
          </cell>
          <cell r="Y1683" t="str">
            <v>Sri Lakshmi Hospital, Bangalore</v>
          </cell>
          <cell r="Z1683" t="str">
            <v>Dr Prakash BV</v>
          </cell>
          <cell r="AA1683" t="str">
            <v>Ca Breast</v>
          </cell>
          <cell r="AB1683" t="str">
            <v>NA</v>
          </cell>
          <cell r="AC1683" t="str">
            <v>Breast</v>
          </cell>
          <cell r="AD1683" t="str">
            <v>Left Breast</v>
          </cell>
          <cell r="AE1683" t="str">
            <v>Female</v>
          </cell>
          <cell r="AF1683">
            <v>52</v>
          </cell>
          <cell r="AG1683" t="str">
            <v>N</v>
          </cell>
          <cell r="AH1683">
            <v>5.6</v>
          </cell>
          <cell r="AI1683" t="str">
            <v>Kalappa</v>
          </cell>
          <cell r="AJ1683" t="str">
            <v>Surgery</v>
          </cell>
          <cell r="AK1683" t="str">
            <v>Primary</v>
          </cell>
          <cell r="AL1683" t="str">
            <v>NA</v>
          </cell>
          <cell r="AP1683" t="str">
            <v>pT2N1M0</v>
          </cell>
        </row>
        <row r="1684">
          <cell r="A1684" t="str">
            <v>FBR1Q260066</v>
          </cell>
          <cell r="B1684">
            <v>260066</v>
          </cell>
          <cell r="C1684" t="str">
            <v>R&amp;D</v>
          </cell>
          <cell r="D1684">
            <v>46097</v>
          </cell>
          <cell r="E1684">
            <v>0.41319444444444442</v>
          </cell>
          <cell r="F1684">
            <v>46082</v>
          </cell>
          <cell r="G1684">
            <v>46097</v>
          </cell>
          <cell r="H1684">
            <v>0.57986111111111116</v>
          </cell>
          <cell r="I1684">
            <v>0.16666666666666666</v>
          </cell>
          <cell r="J1684">
            <v>10</v>
          </cell>
          <cell r="K1684" t="str">
            <v>FCB-PROTOCOL-01</v>
          </cell>
          <cell r="L1684" t="str">
            <v>VYD/472</v>
          </cell>
          <cell r="M1684" t="str">
            <v>Y</v>
          </cell>
          <cell r="P1684" t="str">
            <v>Q1 Passed</v>
          </cell>
          <cell r="Q1684" t="str">
            <v>Q1 Passed</v>
          </cell>
          <cell r="V1684" t="str">
            <v>Private Hospital</v>
          </cell>
          <cell r="W1684" t="str">
            <v>Vydehi Hospital, Bangalore</v>
          </cell>
          <cell r="X1684" t="str">
            <v>Vydehi Hospital, Bangalore</v>
          </cell>
          <cell r="Y1684" t="str">
            <v>Dr Amritha Prabha</v>
          </cell>
          <cell r="Z1684" t="str">
            <v>Ca Breast</v>
          </cell>
          <cell r="AA1684" t="str">
            <v>Er Pr +, Her2 -</v>
          </cell>
          <cell r="AB1684" t="str">
            <v>Breast</v>
          </cell>
          <cell r="AC1684" t="str">
            <v>Right Breast</v>
          </cell>
          <cell r="AD1684" t="str">
            <v>Female</v>
          </cell>
          <cell r="AE1684">
            <v>67</v>
          </cell>
          <cell r="AF1684" t="str">
            <v>N</v>
          </cell>
          <cell r="AG1684">
            <v>5.5</v>
          </cell>
          <cell r="AH1684" t="str">
            <v>Kalappa</v>
          </cell>
          <cell r="AI1684" t="str">
            <v>Surgery</v>
          </cell>
          <cell r="AJ1684" t="str">
            <v>Primary</v>
          </cell>
          <cell r="AK1684" t="str">
            <v>NA</v>
          </cell>
          <cell r="AR1684" t="str">
            <v>IDC</v>
          </cell>
        </row>
        <row r="1685">
          <cell r="A1685" t="str">
            <v>FBR2S260067</v>
          </cell>
          <cell r="B1685">
            <v>260067</v>
          </cell>
          <cell r="C1685" t="str">
            <v>R&amp;D</v>
          </cell>
          <cell r="D1685">
            <v>46097</v>
          </cell>
          <cell r="E1685">
            <v>0.46875</v>
          </cell>
          <cell r="F1685">
            <v>46082</v>
          </cell>
          <cell r="G1685">
            <v>46097</v>
          </cell>
          <cell r="H1685">
            <v>0.71736111111111112</v>
          </cell>
          <cell r="I1685">
            <v>0.24861111111111112</v>
          </cell>
          <cell r="J1685">
            <v>15</v>
          </cell>
          <cell r="K1685" t="str">
            <v>FCB-PROTOCOL-01</v>
          </cell>
          <cell r="L1685" t="str">
            <v>JSS-089</v>
          </cell>
          <cell r="M1685" t="str">
            <v>Y</v>
          </cell>
          <cell r="P1685" t="str">
            <v>Q1 Passed</v>
          </cell>
          <cell r="Q1685" t="str">
            <v>Q1 Passed</v>
          </cell>
          <cell r="T1685" t="str">
            <v>Only Organoid</v>
          </cell>
          <cell r="V1685" t="str">
            <v>Private Hospital</v>
          </cell>
          <cell r="W1685" t="str">
            <v>Dr Ravi Krishnappa, Mysore</v>
          </cell>
          <cell r="X1685" t="str">
            <v>JSS Hospital, Mysore</v>
          </cell>
          <cell r="Y1685" t="str">
            <v>Dr Ravi Krishnappa</v>
          </cell>
          <cell r="Z1685" t="str">
            <v>CRC</v>
          </cell>
          <cell r="AA1685" t="str">
            <v>NA</v>
          </cell>
          <cell r="AB1685" t="str">
            <v>Colon</v>
          </cell>
          <cell r="AC1685" t="str">
            <v>Decending Colon</v>
          </cell>
          <cell r="AD1685" t="str">
            <v>Male</v>
          </cell>
          <cell r="AE1685">
            <v>40</v>
          </cell>
          <cell r="AF1685" t="str">
            <v>N</v>
          </cell>
          <cell r="AG1685">
            <v>6.3</v>
          </cell>
          <cell r="AH1685" t="str">
            <v>Maruti</v>
          </cell>
          <cell r="AI1685" t="str">
            <v>Surgery</v>
          </cell>
          <cell r="AJ1685" t="str">
            <v>Primary</v>
          </cell>
          <cell r="AK1685" t="str">
            <v>NA</v>
          </cell>
          <cell r="AO1685" t="str">
            <v>pT4N2M0</v>
          </cell>
          <cell r="AR1685" t="str">
            <v>Adenocarcinoma</v>
          </cell>
        </row>
        <row r="1686">
          <cell r="A1686" t="str">
            <v>FBR1Q260068</v>
          </cell>
          <cell r="B1686">
            <v>260068</v>
          </cell>
          <cell r="C1686" t="str">
            <v>R&amp;D</v>
          </cell>
          <cell r="D1686">
            <v>46097</v>
          </cell>
          <cell r="E1686">
            <v>0.55208333333333337</v>
          </cell>
          <cell r="F1686">
            <v>46082</v>
          </cell>
          <cell r="G1686">
            <v>46097</v>
          </cell>
          <cell r="H1686">
            <v>0.71736111111111112</v>
          </cell>
          <cell r="I1686">
            <v>0.16527777777777777</v>
          </cell>
          <cell r="J1686">
            <v>15</v>
          </cell>
          <cell r="K1686" t="str">
            <v>FCB-PROTOCOL-01</v>
          </cell>
          <cell r="L1686" t="str">
            <v>JSS-090</v>
          </cell>
          <cell r="M1686" t="str">
            <v>Y</v>
          </cell>
          <cell r="P1686" t="str">
            <v>Q1 Passed</v>
          </cell>
          <cell r="Q1686" t="str">
            <v>Q1 Passed</v>
          </cell>
          <cell r="T1686" t="str">
            <v>Only Organoid</v>
          </cell>
          <cell r="V1686" t="str">
            <v>Private Hospital</v>
          </cell>
          <cell r="W1686" t="str">
            <v>Dr Ravi Krishnappa, Mysore</v>
          </cell>
          <cell r="X1686" t="str">
            <v>JSS Hospital, Mysore</v>
          </cell>
          <cell r="Y1686" t="str">
            <v>Dr Ravi Krishnappa</v>
          </cell>
          <cell r="Z1686" t="str">
            <v>Ca Breast</v>
          </cell>
          <cell r="AA1686" t="str">
            <v>Er Pr +, Her2 -</v>
          </cell>
          <cell r="AB1686" t="str">
            <v>Breast</v>
          </cell>
          <cell r="AC1686" t="str">
            <v>Left Breast</v>
          </cell>
          <cell r="AD1686" t="str">
            <v>Female</v>
          </cell>
          <cell r="AE1686">
            <v>48</v>
          </cell>
          <cell r="AF1686" t="str">
            <v>N</v>
          </cell>
          <cell r="AG1686">
            <v>6.3</v>
          </cell>
          <cell r="AH1686" t="str">
            <v>Maruthi</v>
          </cell>
          <cell r="AI1686" t="str">
            <v>Surgery</v>
          </cell>
          <cell r="AJ1686" t="str">
            <v>Primary</v>
          </cell>
          <cell r="AK1686" t="str">
            <v>NA</v>
          </cell>
          <cell r="AO1686" t="str">
            <v>pT2N1M1</v>
          </cell>
        </row>
        <row r="1687">
          <cell r="A1687" t="str">
            <v>FBB1R260069</v>
          </cell>
          <cell r="B1687">
            <v>260069</v>
          </cell>
          <cell r="C1687" t="str">
            <v>Biopharma</v>
          </cell>
          <cell r="D1687">
            <v>46097</v>
          </cell>
          <cell r="E1687">
            <v>0.61458333333333337</v>
          </cell>
          <cell r="F1687">
            <v>46082</v>
          </cell>
          <cell r="G1687">
            <v>46097</v>
          </cell>
          <cell r="H1687">
            <v>0.81944444444444442</v>
          </cell>
          <cell r="I1687">
            <v>0.2048611111111111</v>
          </cell>
          <cell r="J1687">
            <v>17</v>
          </cell>
          <cell r="K1687" t="str">
            <v>FCB-PROTOCOL-01</v>
          </cell>
          <cell r="L1687" t="str">
            <v>SIMC-028</v>
          </cell>
          <cell r="M1687" t="str">
            <v>Y</v>
          </cell>
          <cell r="P1687" t="str">
            <v>Q1 Passed</v>
          </cell>
          <cell r="Q1687" t="str">
            <v>Q1 Passed</v>
          </cell>
          <cell r="V1687" t="str">
            <v>Private Hospital</v>
          </cell>
          <cell r="W1687" t="str">
            <v>Sapthagiri ClinTrac Pvt Ltd</v>
          </cell>
          <cell r="X1687" t="str">
            <v>Sapthagiri Institute of Medical Sciences</v>
          </cell>
          <cell r="Y1687" t="str">
            <v>Dr Nataraj</v>
          </cell>
          <cell r="Z1687" t="str">
            <v>HNSCC</v>
          </cell>
          <cell r="AA1687" t="str">
            <v>NA</v>
          </cell>
          <cell r="AB1687" t="str">
            <v>Tongue</v>
          </cell>
          <cell r="AC1687" t="str">
            <v>Right Lateral Border of Tongue</v>
          </cell>
          <cell r="AD1687" t="str">
            <v>Female</v>
          </cell>
          <cell r="AE1687">
            <v>63</v>
          </cell>
          <cell r="AF1687" t="str">
            <v>N</v>
          </cell>
          <cell r="AG1687">
            <v>8.6</v>
          </cell>
          <cell r="AI1687" t="str">
            <v>Surgery</v>
          </cell>
          <cell r="AJ1687" t="str">
            <v>Primary</v>
          </cell>
          <cell r="AK1687" t="str">
            <v>NA</v>
          </cell>
        </row>
        <row r="1688">
          <cell r="A1688" t="str">
            <v>FBR1Y260070</v>
          </cell>
          <cell r="B1688">
            <v>260070</v>
          </cell>
          <cell r="C1688" t="str">
            <v>R&amp;D</v>
          </cell>
          <cell r="D1688">
            <v>46098</v>
          </cell>
          <cell r="E1688">
            <v>0.48125000000000001</v>
          </cell>
          <cell r="F1688">
            <v>46082</v>
          </cell>
          <cell r="G1688">
            <v>46098</v>
          </cell>
          <cell r="H1688">
            <v>0.6430555555555556</v>
          </cell>
          <cell r="I1688">
            <v>0.16180555555555556</v>
          </cell>
          <cell r="J1688">
            <v>3</v>
          </cell>
          <cell r="K1688" t="str">
            <v>FCB-PROTOCOL-01</v>
          </cell>
          <cell r="L1688" t="str">
            <v>VYD/473</v>
          </cell>
          <cell r="M1688" t="str">
            <v>Y</v>
          </cell>
          <cell r="P1688" t="str">
            <v>Q1 Passed</v>
          </cell>
          <cell r="Q1688" t="str">
            <v>Q1 Passed</v>
          </cell>
          <cell r="V1688" t="str">
            <v>Private Hospital</v>
          </cell>
          <cell r="W1688" t="str">
            <v>Vydehi Hospital, Bangalore</v>
          </cell>
          <cell r="X1688" t="str">
            <v>Vydehi Hospital, Bangalore</v>
          </cell>
          <cell r="Y1688" t="str">
            <v>Dr Amritha Prabha</v>
          </cell>
          <cell r="Z1688" t="str">
            <v>HNSCC</v>
          </cell>
          <cell r="AA1688" t="str">
            <v>NA</v>
          </cell>
          <cell r="AB1688" t="str">
            <v>Buccal Mucosa</v>
          </cell>
          <cell r="AC1688" t="str">
            <v>Right Buccal Mucosa</v>
          </cell>
          <cell r="AD1688" t="str">
            <v>Female</v>
          </cell>
          <cell r="AE1688">
            <v>50</v>
          </cell>
          <cell r="AF1688" t="str">
            <v>N</v>
          </cell>
          <cell r="AG1688">
            <v>4.4000000000000004</v>
          </cell>
          <cell r="AH1688" t="str">
            <v>Kalappa</v>
          </cell>
          <cell r="AI1688" t="str">
            <v>Surgery</v>
          </cell>
          <cell r="AJ1688" t="str">
            <v>Primary</v>
          </cell>
          <cell r="AK1688" t="str">
            <v>NA</v>
          </cell>
          <cell r="AR1688" t="str">
            <v>scc</v>
          </cell>
        </row>
        <row r="1689">
          <cell r="A1689" t="str">
            <v>Register ID</v>
          </cell>
          <cell r="B1689" t="str">
            <v>CASE No</v>
          </cell>
          <cell r="C1689" t="str">
            <v>Register Type</v>
          </cell>
          <cell r="D1689" t="str">
            <v>Sample Collection Date</v>
          </cell>
          <cell r="E1689" t="str">
            <v>Sample Collection Time</v>
          </cell>
          <cell r="F1689" t="str">
            <v>Month</v>
          </cell>
          <cell r="G1689" t="str">
            <v>Sample Received Date</v>
          </cell>
          <cell r="H1689" t="str">
            <v>Sample Received Time</v>
          </cell>
          <cell r="I1689" t="str">
            <v>Sample Received TAT</v>
          </cell>
          <cell r="J1689" t="str">
            <v>Ischemic time</v>
          </cell>
          <cell r="K1689" t="str">
            <v>Protocol</v>
          </cell>
          <cell r="L1689" t="str">
            <v>Patient ID</v>
          </cell>
          <cell r="M1689" t="str">
            <v>ICF</v>
          </cell>
          <cell r="N1689" t="str">
            <v>Project</v>
          </cell>
          <cell r="O1689" t="str">
            <v>Primary study</v>
          </cell>
          <cell r="P1689" t="str">
            <v>Q1 Qualification for Tissue</v>
          </cell>
          <cell r="Q1689" t="str">
            <v>Q1 Qualification for Blood</v>
          </cell>
          <cell r="R1689" t="str">
            <v>Q1.5 Qualification (Compromised samples)</v>
          </cell>
          <cell r="S1689" t="str">
            <v>1st level Attrition</v>
          </cell>
          <cell r="T1689" t="str">
            <v>Q2 Passed</v>
          </cell>
          <cell r="U1689" t="str">
            <v>2nd level Attrition</v>
          </cell>
          <cell r="V1689" t="str">
            <v>Reason</v>
          </cell>
          <cell r="W1689" t="str">
            <v>Tumor Content</v>
          </cell>
          <cell r="X1689" t="str">
            <v>Type of relationship</v>
          </cell>
          <cell r="Y1689" t="str">
            <v>Relationship</v>
          </cell>
          <cell r="Z1689" t="str">
            <v>Hospital</v>
          </cell>
          <cell r="AA1689" t="str">
            <v>Physican</v>
          </cell>
          <cell r="AB1689" t="str">
            <v>Cancer Type</v>
          </cell>
          <cell r="AC1689" t="str">
            <v>Cancer Sub Type</v>
          </cell>
          <cell r="AD1689" t="str">
            <v>Site</v>
          </cell>
          <cell r="AE1689" t="str">
            <v>Site Details</v>
          </cell>
          <cell r="AF1689" t="str">
            <v>Gender</v>
          </cell>
          <cell r="AG1689" t="str">
            <v>Age</v>
          </cell>
          <cell r="AH1689" t="str">
            <v>Is Active Infection</v>
          </cell>
          <cell r="AI1689" t="str">
            <v>Temprature</v>
          </cell>
          <cell r="AJ1689" t="str">
            <v>Logistic</v>
          </cell>
          <cell r="AK1689" t="str">
            <v>Procedure Type</v>
          </cell>
          <cell r="AL1689" t="str">
            <v>Sample Type</v>
          </cell>
          <cell r="AM1689" t="str">
            <v>Therapy</v>
          </cell>
          <cell r="AN1689" t="str">
            <v>cTNM</v>
          </cell>
          <cell r="AO1689" t="str">
            <v>Cancer Stage</v>
          </cell>
          <cell r="AP1689" t="str">
            <v>Cancer Grade</v>
          </cell>
          <cell r="AQ1689" t="str">
            <v>pTNM</v>
          </cell>
          <cell r="AR1689" t="str">
            <v>Treatment Arms</v>
          </cell>
          <cell r="AS1689" t="str">
            <v>Drug Name</v>
          </cell>
          <cell r="AT1689" t="str">
            <v>Histopath</v>
          </cell>
          <cell r="AU1689" t="str">
            <v>Post Surgery
Treatment Arms</v>
          </cell>
          <cell r="AV1689" t="str">
            <v>Post Surgery
Drug Name</v>
          </cell>
          <cell r="AW1689" t="str">
            <v>Sample Processing Date</v>
          </cell>
          <cell r="AX1689" t="str">
            <v>Sample Processing Time</v>
          </cell>
          <cell r="AY1689" t="str">
            <v>Time to Processing</v>
          </cell>
          <cell r="AZ1689" t="str">
            <v>Processing Time to Culture</v>
          </cell>
          <cell r="BA1689" t="str">
            <v>Ext TAT</v>
          </cell>
          <cell r="BB1689" t="str">
            <v>Actual TAT</v>
          </cell>
          <cell r="BC1689" t="str">
            <v>Tissue Size pre processing</v>
          </cell>
          <cell r="BD1689" t="str">
            <v>Tissue size post processing</v>
          </cell>
          <cell r="BE1689" t="str">
            <v>Explant Size</v>
          </cell>
          <cell r="BF1689" t="str">
            <v>Room #</v>
          </cell>
          <cell r="BG1689" t="str">
            <v>Processed By</v>
          </cell>
        </row>
        <row r="1690">
          <cell r="A1690" t="str">
            <v>FBR210001</v>
          </cell>
          <cell r="B1690">
            <v>210001</v>
          </cell>
          <cell r="C1690" t="str">
            <v>R&amp;D</v>
          </cell>
          <cell r="D1690">
            <v>44203</v>
          </cell>
          <cell r="E1690">
            <v>0.16666666666666666</v>
          </cell>
          <cell r="F1690">
            <v>44197</v>
          </cell>
          <cell r="G1690">
            <v>44203</v>
          </cell>
          <cell r="H1690">
            <v>0.33333333333333331</v>
          </cell>
          <cell r="I1690">
            <v>0.16666666666666666</v>
          </cell>
          <cell r="K1690" t="str">
            <v>MBT-TB-070 v1.1</v>
          </cell>
          <cell r="L1690" t="str">
            <v>CLN/PRA/01/0042</v>
          </cell>
          <cell r="M1690" t="str">
            <v>Y</v>
          </cell>
          <cell r="N1690" t="str">
            <v>Drug Modulation</v>
          </cell>
          <cell r="O1690" t="str">
            <v>Internal R&amp;D</v>
          </cell>
          <cell r="S1690" t="str">
            <v>Q1 Passed</v>
          </cell>
          <cell r="T1690" t="str">
            <v>Q2 Passed</v>
          </cell>
          <cell r="W1690" t="str">
            <v>Clinic'les</v>
          </cell>
          <cell r="X1690" t="str">
            <v>Clinic'les- Dr Prakash BV, Bangalore</v>
          </cell>
          <cell r="Y1690" t="str">
            <v>Sri Lakshmi Hospital, Bangalore</v>
          </cell>
          <cell r="Z1690" t="str">
            <v>Dr Prakash BV, Bangalore</v>
          </cell>
          <cell r="AA1690" t="str">
            <v>HNSCC</v>
          </cell>
          <cell r="AC1690" t="str">
            <v>Buccal Mucosa</v>
          </cell>
          <cell r="AD1690" t="str">
            <v>Right Buccal Mucosa</v>
          </cell>
          <cell r="AE1690" t="str">
            <v>Female</v>
          </cell>
          <cell r="AF1690">
            <v>65</v>
          </cell>
          <cell r="AG1690" t="str">
            <v>No</v>
          </cell>
          <cell r="AI1690" t="str">
            <v>Sashi</v>
          </cell>
          <cell r="AJ1690" t="str">
            <v>Surgery</v>
          </cell>
          <cell r="AK1690" t="str">
            <v>Primary</v>
          </cell>
          <cell r="AL1690" t="str">
            <v>Chemotherapy</v>
          </cell>
          <cell r="AN1690" t="str">
            <v>IVA</v>
          </cell>
          <cell r="AO1690" t="str">
            <v>III</v>
          </cell>
          <cell r="AP1690" t="str">
            <v>pT4N2M0</v>
          </cell>
          <cell r="AQ1690">
            <v>3</v>
          </cell>
          <cell r="AR1690" t="str">
            <v>Paclitaxel + Carboplatin</v>
          </cell>
          <cell r="AS1690" t="str">
            <v>Squamous Cell Carcinoma</v>
          </cell>
          <cell r="AV1690">
            <v>44203</v>
          </cell>
          <cell r="AW1690">
            <v>0.34722222222222221</v>
          </cell>
          <cell r="AX1690">
            <v>0.46944444444444444</v>
          </cell>
          <cell r="AY1690">
            <v>0.12222222222222222</v>
          </cell>
          <cell r="AZ1690">
            <v>1.3888888888888888E-2</v>
          </cell>
          <cell r="BA1690">
            <v>0.18055555555555555</v>
          </cell>
          <cell r="BB1690" t="str">
            <v>1.2*1.64*2.2</v>
          </cell>
          <cell r="BC1690" t="str">
            <v>1.0*1.6*2.0</v>
          </cell>
          <cell r="BD1690" t="str">
            <v>2*4*450</v>
          </cell>
          <cell r="BE1690">
            <v>3</v>
          </cell>
          <cell r="BF1690" t="str">
            <v>Vasanth</v>
          </cell>
          <cell r="BG1690" t="str">
            <v>Q</v>
          </cell>
        </row>
        <row r="1691">
          <cell r="A1691" t="str">
            <v>FBR210002</v>
          </cell>
          <cell r="B1691">
            <v>210002</v>
          </cell>
          <cell r="C1691" t="str">
            <v>R&amp;D</v>
          </cell>
          <cell r="D1691">
            <v>44206</v>
          </cell>
          <cell r="E1691">
            <v>0.25</v>
          </cell>
          <cell r="F1691">
            <v>44197</v>
          </cell>
          <cell r="G1691">
            <v>44206</v>
          </cell>
          <cell r="H1691">
            <v>0.35416666666666669</v>
          </cell>
          <cell r="I1691">
            <v>0.10416666666666667</v>
          </cell>
          <cell r="K1691" t="str">
            <v>MBT-TB-070 v1.1</v>
          </cell>
          <cell r="L1691" t="str">
            <v>CLN/PRA/01/0043</v>
          </cell>
          <cell r="M1691" t="str">
            <v>Y</v>
          </cell>
          <cell r="N1691" t="str">
            <v>Drug Modulation</v>
          </cell>
          <cell r="O1691" t="str">
            <v>Internal R&amp;D</v>
          </cell>
          <cell r="S1691" t="str">
            <v>Q1 Passed</v>
          </cell>
          <cell r="T1691" t="str">
            <v>Q2 Passed</v>
          </cell>
          <cell r="W1691" t="str">
            <v>Clinic'les</v>
          </cell>
          <cell r="X1691" t="str">
            <v>Clinic'les- Dr Prakash BV, Bangalore</v>
          </cell>
          <cell r="Y1691" t="str">
            <v>Sri Lakshmi Hospital, Bangalore</v>
          </cell>
          <cell r="Z1691" t="str">
            <v>Dr Prakash BV, Bangalore</v>
          </cell>
          <cell r="AA1691" t="str">
            <v>HNSCC</v>
          </cell>
          <cell r="AC1691" t="str">
            <v>Alveolus</v>
          </cell>
          <cell r="AD1691" t="str">
            <v>Left Lower Alveolus</v>
          </cell>
          <cell r="AE1691" t="str">
            <v>Female</v>
          </cell>
          <cell r="AF1691">
            <v>65</v>
          </cell>
          <cell r="AG1691" t="str">
            <v>No</v>
          </cell>
          <cell r="AI1691" t="str">
            <v>Sashi</v>
          </cell>
          <cell r="AJ1691" t="str">
            <v>Surgery</v>
          </cell>
          <cell r="AK1691" t="str">
            <v>Primary</v>
          </cell>
          <cell r="AL1691" t="str">
            <v>Chemotherapy + Radiotherapy</v>
          </cell>
          <cell r="AN1691" t="str">
            <v>IVA</v>
          </cell>
          <cell r="AO1691" t="str">
            <v>III</v>
          </cell>
          <cell r="AP1691" t="str">
            <v>pT4N2M0</v>
          </cell>
          <cell r="AR1691" t="str">
            <v>Cisplatin</v>
          </cell>
          <cell r="AS1691" t="str">
            <v>Squamous Cell Carcinoma</v>
          </cell>
          <cell r="AV1691">
            <v>44206</v>
          </cell>
          <cell r="AW1691">
            <v>0.36458333333333331</v>
          </cell>
          <cell r="AX1691">
            <v>0.45833333333333331</v>
          </cell>
          <cell r="AY1691">
            <v>9.375E-2</v>
          </cell>
          <cell r="AZ1691">
            <v>1.0416666666666666E-2</v>
          </cell>
          <cell r="BA1691">
            <v>0.11458333333333333</v>
          </cell>
          <cell r="BB1691" t="str">
            <v>0.4*1.0*2.2</v>
          </cell>
          <cell r="BC1691" t="str">
            <v>0.4*1.0*2.2</v>
          </cell>
          <cell r="BD1691" t="str">
            <v>2*4*450</v>
          </cell>
          <cell r="BE1691">
            <v>3</v>
          </cell>
          <cell r="BF1691" t="str">
            <v>Kowshik</v>
          </cell>
          <cell r="BG1691" t="str">
            <v>Q</v>
          </cell>
        </row>
        <row r="1692">
          <cell r="A1692" t="str">
            <v>FBR210003</v>
          </cell>
          <cell r="B1692">
            <v>210003</v>
          </cell>
          <cell r="C1692" t="str">
            <v>R&amp;D</v>
          </cell>
          <cell r="D1692">
            <v>44208</v>
          </cell>
          <cell r="E1692">
            <v>0.25</v>
          </cell>
          <cell r="F1692">
            <v>44197</v>
          </cell>
          <cell r="G1692">
            <v>44208</v>
          </cell>
          <cell r="H1692">
            <v>0.35416666666666669</v>
          </cell>
          <cell r="I1692">
            <v>0.10416666666666667</v>
          </cell>
          <cell r="K1692" t="str">
            <v>MBT-TB-070 v1.1</v>
          </cell>
          <cell r="L1692" t="str">
            <v>CLN/PRA/01/0044</v>
          </cell>
          <cell r="M1692" t="str">
            <v>Y</v>
          </cell>
          <cell r="N1692" t="str">
            <v>Other Indication</v>
          </cell>
          <cell r="O1692" t="str">
            <v>Internal R&amp;D</v>
          </cell>
          <cell r="S1692" t="str">
            <v>Q1 Passed</v>
          </cell>
          <cell r="T1692" t="str">
            <v>Q2 Passed</v>
          </cell>
          <cell r="W1692" t="str">
            <v>Clinic'les</v>
          </cell>
          <cell r="X1692" t="str">
            <v>Clinic'les- Dr Prakash BV, Bangalore</v>
          </cell>
          <cell r="Y1692" t="str">
            <v>Sri Lakshmi Hospital, Bangalore</v>
          </cell>
          <cell r="Z1692" t="str">
            <v>Dr Prakash BV, Bangalore</v>
          </cell>
          <cell r="AA1692" t="str">
            <v>Ca Breast</v>
          </cell>
          <cell r="AC1692" t="str">
            <v>Breast</v>
          </cell>
          <cell r="AD1692" t="str">
            <v>Left Breast</v>
          </cell>
          <cell r="AE1692" t="str">
            <v>Female</v>
          </cell>
          <cell r="AF1692">
            <v>60</v>
          </cell>
          <cell r="AG1692" t="str">
            <v>No</v>
          </cell>
          <cell r="AI1692" t="str">
            <v>Sashi</v>
          </cell>
          <cell r="AJ1692" t="str">
            <v>Surgery</v>
          </cell>
          <cell r="AK1692" t="str">
            <v>Primary</v>
          </cell>
          <cell r="AN1692" t="str">
            <v>II</v>
          </cell>
          <cell r="AO1692" t="str">
            <v>I</v>
          </cell>
          <cell r="AP1692" t="str">
            <v>pT2N0M0</v>
          </cell>
          <cell r="AS1692" t="str">
            <v>Infiltrating ductal Carcinoma</v>
          </cell>
          <cell r="AT1692" t="str">
            <v>8 cycles</v>
          </cell>
          <cell r="AU1692" t="str">
            <v>4Ac+4Paclitaxane+ Adriamycin+ Cyclophosphamide+ Paclitaxane</v>
          </cell>
          <cell r="AV1692">
            <v>44208</v>
          </cell>
          <cell r="AW1692">
            <v>0.36458333333333331</v>
          </cell>
          <cell r="AX1692">
            <v>0.4826388888888889</v>
          </cell>
          <cell r="AY1692">
            <v>0.11805555555555555</v>
          </cell>
          <cell r="AZ1692">
            <v>1.0416666666666666E-2</v>
          </cell>
          <cell r="BA1692">
            <v>0.11458333333333333</v>
          </cell>
          <cell r="BB1692" t="str">
            <v>0.6*1.8*4.0</v>
          </cell>
          <cell r="BC1692" t="str">
            <v>0.6*1.4*3.6</v>
          </cell>
          <cell r="BD1692" t="str">
            <v>2*4*450</v>
          </cell>
          <cell r="BE1692">
            <v>3</v>
          </cell>
          <cell r="BF1692" t="str">
            <v>Kowshik</v>
          </cell>
          <cell r="BG1692" t="str">
            <v>Q</v>
          </cell>
        </row>
        <row r="1693">
          <cell r="A1693" t="str">
            <v>FBR210004</v>
          </cell>
          <cell r="B1693">
            <v>210004</v>
          </cell>
          <cell r="C1693" t="str">
            <v>R&amp;D</v>
          </cell>
          <cell r="D1693">
            <v>44209</v>
          </cell>
          <cell r="E1693">
            <v>0.25</v>
          </cell>
          <cell r="F1693">
            <v>44197</v>
          </cell>
          <cell r="G1693">
            <v>44209</v>
          </cell>
          <cell r="H1693">
            <v>0.375</v>
          </cell>
          <cell r="I1693">
            <v>0.125</v>
          </cell>
          <cell r="K1693" t="str">
            <v>MBT-TB-070 v1.1</v>
          </cell>
          <cell r="L1693" t="str">
            <v>CLN/PRA/01/0045</v>
          </cell>
          <cell r="M1693" t="str">
            <v>Y</v>
          </cell>
          <cell r="N1693" t="str">
            <v>Other Indication</v>
          </cell>
          <cell r="O1693" t="str">
            <v>Internal R&amp;D</v>
          </cell>
          <cell r="S1693" t="str">
            <v>Q1 Passed</v>
          </cell>
          <cell r="W1693" t="str">
            <v>Clinic'les</v>
          </cell>
          <cell r="X1693" t="str">
            <v>Clinic'les- Dr Prakash BV, Bangalore</v>
          </cell>
          <cell r="Y1693" t="str">
            <v>Sri Lakshmi Hospital, Bangalore</v>
          </cell>
          <cell r="Z1693" t="str">
            <v>Dr Prakash BV, Bangalore</v>
          </cell>
          <cell r="AA1693" t="str">
            <v>GI</v>
          </cell>
          <cell r="AB1693" t="str">
            <v>Stomach</v>
          </cell>
          <cell r="AC1693" t="str">
            <v>Antrum</v>
          </cell>
          <cell r="AD1693" t="str">
            <v>Pyloric Antrum of Stomach</v>
          </cell>
          <cell r="AE1693" t="str">
            <v>Female</v>
          </cell>
          <cell r="AF1693">
            <v>65</v>
          </cell>
          <cell r="AG1693" t="str">
            <v>No</v>
          </cell>
          <cell r="AI1693" t="str">
            <v>Sashi</v>
          </cell>
          <cell r="AJ1693" t="str">
            <v>Surgery</v>
          </cell>
          <cell r="AK1693" t="str">
            <v>Primary</v>
          </cell>
          <cell r="AN1693" t="str">
            <v>III</v>
          </cell>
          <cell r="AO1693" t="str">
            <v>II</v>
          </cell>
          <cell r="AP1693" t="str">
            <v>pT3N1M0</v>
          </cell>
          <cell r="AS1693" t="str">
            <v>Adenocarcinoma</v>
          </cell>
          <cell r="AT1693" t="str">
            <v>6 cycles</v>
          </cell>
          <cell r="AU1693" t="str">
            <v>DCF+ Docitaxane+ Cisplatin+ 5FU</v>
          </cell>
          <cell r="AV1693">
            <v>44209</v>
          </cell>
          <cell r="AW1693">
            <v>0.40277777777777779</v>
          </cell>
          <cell r="AX1693">
            <v>0.46875</v>
          </cell>
          <cell r="AY1693">
            <v>6.5972222222222224E-2</v>
          </cell>
          <cell r="AZ1693">
            <v>2.7777777777777776E-2</v>
          </cell>
          <cell r="BA1693">
            <v>0.15277777777777779</v>
          </cell>
          <cell r="BB1693" t="str">
            <v>0.8*1.4*1.6
0.8*1.4*1.8</v>
          </cell>
          <cell r="BC1693" t="str">
            <v>0.8*1.4*1.6
0.8*1.4*1.6</v>
          </cell>
          <cell r="BD1693" t="str">
            <v>2*4*450</v>
          </cell>
          <cell r="BE1693">
            <v>3</v>
          </cell>
          <cell r="BF1693" t="str">
            <v>Kowshik</v>
          </cell>
          <cell r="BG1693" t="str">
            <v>Q</v>
          </cell>
        </row>
        <row r="1694">
          <cell r="A1694" t="str">
            <v>FBR210005</v>
          </cell>
          <cell r="B1694">
            <v>210005</v>
          </cell>
          <cell r="C1694" t="str">
            <v>R&amp;D</v>
          </cell>
          <cell r="D1694">
            <v>44210</v>
          </cell>
          <cell r="E1694">
            <v>0.375</v>
          </cell>
          <cell r="F1694">
            <v>44197</v>
          </cell>
          <cell r="G1694">
            <v>44210</v>
          </cell>
          <cell r="H1694">
            <v>0.5</v>
          </cell>
          <cell r="I1694">
            <v>0.125</v>
          </cell>
          <cell r="J1694">
            <v>5</v>
          </cell>
          <cell r="K1694" t="str">
            <v>MBT-TB-070 v1.1</v>
          </cell>
          <cell r="L1694" t="str">
            <v>CLN/PRA/01/0046</v>
          </cell>
          <cell r="M1694" t="str">
            <v>Y</v>
          </cell>
          <cell r="N1694" t="str">
            <v>Drug Modulation</v>
          </cell>
          <cell r="O1694" t="str">
            <v>Internal R&amp;D</v>
          </cell>
          <cell r="S1694" t="str">
            <v>Q1 Rejected</v>
          </cell>
          <cell r="T1694" t="str">
            <v>Q2 Passed</v>
          </cell>
          <cell r="U1694" t="str">
            <v>Blood sample was hemolyzed post spinning</v>
          </cell>
          <cell r="W1694" t="str">
            <v>Clinic'les</v>
          </cell>
          <cell r="X1694" t="str">
            <v>Clinic'les- Dr Prakash BV, Bangalore</v>
          </cell>
          <cell r="Y1694" t="str">
            <v>Sri Lakshmi Hospital, Bangalore</v>
          </cell>
          <cell r="Z1694" t="str">
            <v>Dr Prakash BV, Bangalore</v>
          </cell>
          <cell r="AA1694" t="str">
            <v>HNSCC</v>
          </cell>
          <cell r="AC1694" t="str">
            <v>Alveolus</v>
          </cell>
          <cell r="AD1694" t="str">
            <v>Left Lower Alveolus</v>
          </cell>
          <cell r="AE1694" t="str">
            <v>Female</v>
          </cell>
          <cell r="AF1694">
            <v>60</v>
          </cell>
          <cell r="AG1694" t="str">
            <v>No</v>
          </cell>
          <cell r="AI1694" t="str">
            <v>Sashi</v>
          </cell>
          <cell r="AJ1694" t="str">
            <v>Surgery</v>
          </cell>
          <cell r="AK1694" t="str">
            <v>Primary</v>
          </cell>
          <cell r="AN1694" t="str">
            <v>IVA</v>
          </cell>
          <cell r="AO1694" t="str">
            <v>III</v>
          </cell>
          <cell r="AP1694" t="str">
            <v>pT4N2M0</v>
          </cell>
          <cell r="AS1694" t="str">
            <v>Squamous Cell Carcinoma</v>
          </cell>
          <cell r="AV1694">
            <v>44210</v>
          </cell>
          <cell r="AW1694">
            <v>0.5625</v>
          </cell>
          <cell r="AX1694">
            <v>0.62847222222222221</v>
          </cell>
          <cell r="AY1694">
            <v>6.5972222222222224E-2</v>
          </cell>
          <cell r="AZ1694">
            <v>6.25E-2</v>
          </cell>
          <cell r="BA1694">
            <v>0.1875</v>
          </cell>
          <cell r="BB1694" t="str">
            <v>0.6*1.8*1.6</v>
          </cell>
          <cell r="BC1694" t="str">
            <v>0.6*1.8*1.6</v>
          </cell>
          <cell r="BD1694" t="str">
            <v>2*4*450</v>
          </cell>
          <cell r="BE1694">
            <v>3</v>
          </cell>
          <cell r="BF1694" t="str">
            <v>Kowshik</v>
          </cell>
          <cell r="BG1694" t="str">
            <v>NQ</v>
          </cell>
        </row>
        <row r="1695">
          <cell r="A1695" t="str">
            <v>FBR210006</v>
          </cell>
          <cell r="B1695">
            <v>210006</v>
          </cell>
          <cell r="C1695" t="str">
            <v>R&amp;D</v>
          </cell>
          <cell r="D1695">
            <v>44211</v>
          </cell>
          <cell r="E1695">
            <v>0.29166666666666669</v>
          </cell>
          <cell r="F1695">
            <v>44197</v>
          </cell>
          <cell r="G1695">
            <v>44211</v>
          </cell>
          <cell r="H1695">
            <v>0.39583333333333331</v>
          </cell>
          <cell r="I1695">
            <v>0.10416666666666667</v>
          </cell>
          <cell r="K1695" t="str">
            <v>MBT-TB-070 v1.1</v>
          </cell>
          <cell r="L1695" t="str">
            <v>CLN/PRA/01/0047</v>
          </cell>
          <cell r="M1695" t="str">
            <v>Y</v>
          </cell>
          <cell r="N1695" t="str">
            <v>Drug Modulation</v>
          </cell>
          <cell r="O1695" t="str">
            <v>Internal R&amp;D</v>
          </cell>
          <cell r="S1695" t="str">
            <v>Q1 Passed</v>
          </cell>
          <cell r="T1695" t="str">
            <v>Q2 Passed</v>
          </cell>
          <cell r="W1695" t="str">
            <v>Clinic'les</v>
          </cell>
          <cell r="X1695" t="str">
            <v>Clinic'les- Dr Prakash BV, Bangalore</v>
          </cell>
          <cell r="Y1695" t="str">
            <v>Sri Lakshmi Hospital, Bangalore</v>
          </cell>
          <cell r="Z1695" t="str">
            <v>Dr Prakash BV, Bangalore</v>
          </cell>
          <cell r="AA1695" t="str">
            <v>HNSCC</v>
          </cell>
          <cell r="AC1695" t="str">
            <v>Tongue</v>
          </cell>
          <cell r="AD1695" t="str">
            <v>Right Base of Tongue</v>
          </cell>
          <cell r="AE1695" t="str">
            <v>Male</v>
          </cell>
          <cell r="AF1695">
            <v>45</v>
          </cell>
          <cell r="AI1695" t="str">
            <v>Sashi</v>
          </cell>
          <cell r="AJ1695" t="str">
            <v>Surgery</v>
          </cell>
          <cell r="AK1695" t="str">
            <v>Primary</v>
          </cell>
          <cell r="AN1695" t="str">
            <v>IVA</v>
          </cell>
          <cell r="AO1695" t="str">
            <v>III</v>
          </cell>
          <cell r="AP1695" t="str">
            <v>pT4N2M0</v>
          </cell>
          <cell r="AS1695" t="str">
            <v>Squamous Cell Carcinoma</v>
          </cell>
          <cell r="AV1695">
            <v>44211</v>
          </cell>
          <cell r="AW1695">
            <v>0.40277777777777779</v>
          </cell>
          <cell r="AX1695">
            <v>0.5</v>
          </cell>
          <cell r="AY1695">
            <v>9.7222222222222224E-2</v>
          </cell>
          <cell r="AZ1695">
            <v>6.9444444444444441E-3</v>
          </cell>
          <cell r="BA1695">
            <v>0.1111111111111111</v>
          </cell>
          <cell r="BB1695" t="str">
            <v>0.8*1.6*3.0</v>
          </cell>
          <cell r="BC1695" t="str">
            <v>0.7*1.6*3.0</v>
          </cell>
          <cell r="BD1695" t="str">
            <v>2*4*450</v>
          </cell>
          <cell r="BE1695">
            <v>4</v>
          </cell>
          <cell r="BF1695" t="str">
            <v>Kowshik</v>
          </cell>
          <cell r="BG1695" t="str">
            <v>Q</v>
          </cell>
        </row>
        <row r="1696">
          <cell r="A1696" t="str">
            <v>FBR1A210007</v>
          </cell>
          <cell r="B1696">
            <v>210007</v>
          </cell>
          <cell r="C1696" t="str">
            <v>R&amp;D</v>
          </cell>
          <cell r="D1696">
            <v>44212</v>
          </cell>
          <cell r="E1696">
            <v>0.35416666666666669</v>
          </cell>
          <cell r="F1696">
            <v>44197</v>
          </cell>
          <cell r="G1696">
            <v>44212</v>
          </cell>
          <cell r="H1696">
            <v>0.4375</v>
          </cell>
          <cell r="I1696">
            <v>8.3333333333333329E-2</v>
          </cell>
          <cell r="K1696" t="str">
            <v>MBT-TB-070 v1.1</v>
          </cell>
          <cell r="L1696" t="str">
            <v>CLN/PRA/01/0048</v>
          </cell>
          <cell r="M1696" t="str">
            <v>Y</v>
          </cell>
          <cell r="N1696" t="str">
            <v>Other Indication</v>
          </cell>
          <cell r="O1696" t="str">
            <v>Internal R&amp;D</v>
          </cell>
          <cell r="S1696" t="str">
            <v>Q1 Passed</v>
          </cell>
          <cell r="W1696" t="str">
            <v>Clinic'les</v>
          </cell>
          <cell r="X1696" t="str">
            <v>Clinic'les- Dr Prakash BV, Bangalore</v>
          </cell>
          <cell r="Y1696" t="str">
            <v>Sri Lakshmi Hospital, Bangalore</v>
          </cell>
          <cell r="Z1696" t="str">
            <v>Dr Prakash BV, Bangalore</v>
          </cell>
          <cell r="AA1696" t="str">
            <v>GI</v>
          </cell>
          <cell r="AB1696" t="str">
            <v>Stomach</v>
          </cell>
          <cell r="AC1696" t="str">
            <v>Stomach</v>
          </cell>
          <cell r="AD1696" t="str">
            <v>Stomach</v>
          </cell>
          <cell r="AE1696" t="str">
            <v>Female</v>
          </cell>
          <cell r="AF1696">
            <v>88</v>
          </cell>
          <cell r="AG1696" t="str">
            <v>No</v>
          </cell>
          <cell r="AI1696" t="str">
            <v>Sashi</v>
          </cell>
          <cell r="AJ1696" t="str">
            <v>Surgery</v>
          </cell>
          <cell r="AK1696" t="str">
            <v>Primary</v>
          </cell>
          <cell r="AN1696" t="str">
            <v>III</v>
          </cell>
          <cell r="AO1696" t="str">
            <v>II</v>
          </cell>
          <cell r="AP1696" t="str">
            <v>pT3N1M0</v>
          </cell>
          <cell r="AS1696" t="str">
            <v>Adenocarcinoma</v>
          </cell>
          <cell r="AT1696" t="str">
            <v>6 cycles</v>
          </cell>
          <cell r="AU1696" t="str">
            <v>DCF+ Docitaxane+ Cisplatin+ 5FU</v>
          </cell>
          <cell r="AV1696">
            <v>44212</v>
          </cell>
          <cell r="AW1696">
            <v>0.45833333333333331</v>
          </cell>
          <cell r="AX1696">
            <v>0.53472222222222221</v>
          </cell>
          <cell r="AY1696">
            <v>7.6388888888888895E-2</v>
          </cell>
          <cell r="AZ1696">
            <v>2.0833333333333332E-2</v>
          </cell>
          <cell r="BA1696">
            <v>0.10416666666666667</v>
          </cell>
          <cell r="BB1696" t="str">
            <v>1.0*2.0*3.6</v>
          </cell>
          <cell r="BC1696" t="str">
            <v>1.0*2.0*2.8</v>
          </cell>
          <cell r="BD1696" t="str">
            <v>2*4*450</v>
          </cell>
          <cell r="BE1696">
            <v>4</v>
          </cell>
          <cell r="BF1696" t="str">
            <v>Kowshik</v>
          </cell>
          <cell r="BG1696" t="str">
            <v>Q</v>
          </cell>
        </row>
        <row r="1697">
          <cell r="A1697" t="str">
            <v>FBR210008</v>
          </cell>
          <cell r="B1697">
            <v>210008</v>
          </cell>
          <cell r="C1697" t="str">
            <v>R&amp;D</v>
          </cell>
          <cell r="D1697">
            <v>44214</v>
          </cell>
          <cell r="E1697">
            <v>0.25</v>
          </cell>
          <cell r="F1697">
            <v>44197</v>
          </cell>
          <cell r="G1697">
            <v>44214</v>
          </cell>
          <cell r="H1697">
            <v>0.35416666666666669</v>
          </cell>
          <cell r="I1697">
            <v>0.10416666666666667</v>
          </cell>
          <cell r="K1697" t="str">
            <v>MBT-TB-070 v1.1</v>
          </cell>
          <cell r="L1697" t="str">
            <v>CLN/PRA/01/0049</v>
          </cell>
          <cell r="M1697" t="str">
            <v>Y</v>
          </cell>
          <cell r="N1697" t="str">
            <v>No Study</v>
          </cell>
          <cell r="O1697" t="str">
            <v>1st level attrition</v>
          </cell>
          <cell r="S1697" t="str">
            <v>Q1 rejected</v>
          </cell>
          <cell r="T1697" t="str">
            <v>Q2 Passed</v>
          </cell>
          <cell r="U1697" t="str">
            <v>Esophageal sample</v>
          </cell>
          <cell r="W1697" t="str">
            <v>Clinic'les</v>
          </cell>
          <cell r="X1697" t="str">
            <v>Clinic'les- Dr Prakash BV, Bangalore</v>
          </cell>
          <cell r="Y1697" t="str">
            <v>Sri Lakshmi Hospital, Bangalore</v>
          </cell>
          <cell r="Z1697" t="str">
            <v>Dr Prakash BV, Bangalore</v>
          </cell>
          <cell r="AA1697" t="str">
            <v>GI</v>
          </cell>
          <cell r="AB1697" t="str">
            <v>Esophagus</v>
          </cell>
          <cell r="AC1697" t="str">
            <v>Esophagus</v>
          </cell>
          <cell r="AD1697" t="str">
            <v>Esophagus</v>
          </cell>
          <cell r="AE1697" t="str">
            <v>Male</v>
          </cell>
          <cell r="AF1697">
            <v>60</v>
          </cell>
          <cell r="AG1697" t="str">
            <v>No</v>
          </cell>
          <cell r="AI1697" t="str">
            <v>Sashi</v>
          </cell>
          <cell r="AJ1697" t="str">
            <v>Surgery</v>
          </cell>
          <cell r="AK1697" t="str">
            <v>Primary</v>
          </cell>
          <cell r="AN1697" t="str">
            <v>III</v>
          </cell>
          <cell r="AO1697" t="str">
            <v>II</v>
          </cell>
          <cell r="AP1697" t="str">
            <v>pT3N1M0</v>
          </cell>
          <cell r="AS1697" t="str">
            <v>Squamous Cell Carcinoma</v>
          </cell>
        </row>
        <row r="1698">
          <cell r="A1698" t="str">
            <v>FBR1A210009</v>
          </cell>
          <cell r="B1698">
            <v>210009</v>
          </cell>
          <cell r="C1698" t="str">
            <v>R&amp;D</v>
          </cell>
          <cell r="D1698">
            <v>44218</v>
          </cell>
          <cell r="E1698">
            <v>0.33333333333333331</v>
          </cell>
          <cell r="F1698">
            <v>44197</v>
          </cell>
          <cell r="G1698">
            <v>44218</v>
          </cell>
          <cell r="H1698">
            <v>0.5625</v>
          </cell>
          <cell r="I1698">
            <v>0.22916666666666666</v>
          </cell>
          <cell r="K1698" t="str">
            <v>MBT-TB-070 v1.1</v>
          </cell>
          <cell r="L1698" t="str">
            <v>CLN/PRA/01/0050</v>
          </cell>
          <cell r="M1698" t="str">
            <v>Y</v>
          </cell>
          <cell r="N1698" t="str">
            <v>Other Indication</v>
          </cell>
          <cell r="O1698" t="str">
            <v>Internal R&amp;D</v>
          </cell>
          <cell r="S1698" t="str">
            <v>Q1 Passed</v>
          </cell>
          <cell r="W1698" t="str">
            <v>Clinic'les</v>
          </cell>
          <cell r="X1698" t="str">
            <v>Clinic'les- Dr Prakash BV, Bangalore</v>
          </cell>
          <cell r="Y1698" t="str">
            <v>Sri Lakshmi Hospital, Bangalore</v>
          </cell>
          <cell r="Z1698" t="str">
            <v>Dr Prakash BV, Bangalore</v>
          </cell>
          <cell r="AA1698" t="str">
            <v>GI</v>
          </cell>
          <cell r="AB1698" t="str">
            <v>Stomach</v>
          </cell>
          <cell r="AC1698" t="str">
            <v>Stomach</v>
          </cell>
          <cell r="AD1698" t="str">
            <v>Antrum</v>
          </cell>
          <cell r="AE1698" t="str">
            <v>Male</v>
          </cell>
          <cell r="AF1698">
            <v>70</v>
          </cell>
          <cell r="AG1698" t="str">
            <v>No</v>
          </cell>
          <cell r="AI1698" t="str">
            <v>Sashi</v>
          </cell>
          <cell r="AJ1698" t="str">
            <v>Surgery</v>
          </cell>
          <cell r="AK1698" t="str">
            <v>Primary</v>
          </cell>
          <cell r="AN1698" t="str">
            <v>III</v>
          </cell>
          <cell r="AO1698" t="str">
            <v>II</v>
          </cell>
          <cell r="AP1698" t="str">
            <v>pT3N1M0</v>
          </cell>
          <cell r="AS1698" t="str">
            <v>Adenocarcinoma</v>
          </cell>
          <cell r="AT1698" t="str">
            <v>6 cycles</v>
          </cell>
          <cell r="AU1698" t="str">
            <v>DCF+ Docitaxane+ Cisplatin+ 5FU</v>
          </cell>
          <cell r="AV1698">
            <v>44218</v>
          </cell>
          <cell r="AW1698">
            <v>0.67013888888888884</v>
          </cell>
          <cell r="AX1698">
            <v>0.76041666666666663</v>
          </cell>
          <cell r="AY1698">
            <v>9.0277777777777776E-2</v>
          </cell>
          <cell r="AZ1698">
            <v>0.1076388888888889</v>
          </cell>
          <cell r="BA1698">
            <v>0.33680555555555558</v>
          </cell>
          <cell r="BB1698" t="str">
            <v>0.85*1.05*2.2</v>
          </cell>
          <cell r="BC1698" t="str">
            <v>0.85*1.05*2.2</v>
          </cell>
          <cell r="BD1698" t="str">
            <v>2*4*450</v>
          </cell>
          <cell r="BE1698">
            <v>4</v>
          </cell>
          <cell r="BF1698" t="str">
            <v>Vasanth</v>
          </cell>
          <cell r="BG1698" t="str">
            <v>Q</v>
          </cell>
        </row>
        <row r="1699">
          <cell r="A1699" t="str">
            <v>FBR1A210010</v>
          </cell>
          <cell r="B1699">
            <v>210010</v>
          </cell>
          <cell r="C1699" t="str">
            <v>R&amp;D</v>
          </cell>
          <cell r="D1699">
            <v>44218</v>
          </cell>
          <cell r="E1699">
            <v>0.29166666666666669</v>
          </cell>
          <cell r="F1699">
            <v>44197</v>
          </cell>
          <cell r="G1699">
            <v>44218</v>
          </cell>
          <cell r="H1699">
            <v>0.5625</v>
          </cell>
          <cell r="I1699">
            <v>0.27083333333333331</v>
          </cell>
          <cell r="K1699" t="str">
            <v>MBT-TB-070 v1.1</v>
          </cell>
          <cell r="L1699" t="str">
            <v>CLN/PRA/01/0051</v>
          </cell>
          <cell r="M1699" t="str">
            <v>Y</v>
          </cell>
          <cell r="N1699" t="str">
            <v>Other Indication</v>
          </cell>
          <cell r="O1699" t="str">
            <v>Internal R&amp;D</v>
          </cell>
          <cell r="S1699" t="str">
            <v>Q1 Passed</v>
          </cell>
          <cell r="T1699" t="str">
            <v>Q2 Passed</v>
          </cell>
          <cell r="U1699" t="str">
            <v>Blood sample was hemolyzed post spinning</v>
          </cell>
          <cell r="W1699" t="str">
            <v>Clinic'les</v>
          </cell>
          <cell r="X1699" t="str">
            <v>Clinic'les- Dr Prakash BV, Bangalore</v>
          </cell>
          <cell r="Y1699" t="str">
            <v>Sri Lakshmi Hospital, Bangalore</v>
          </cell>
          <cell r="Z1699" t="str">
            <v>Dr Prakash BV, Bangalore</v>
          </cell>
          <cell r="AA1699" t="str">
            <v>Ca Breast</v>
          </cell>
          <cell r="AC1699" t="str">
            <v>Breast</v>
          </cell>
          <cell r="AD1699" t="str">
            <v>Left Breast</v>
          </cell>
          <cell r="AE1699" t="str">
            <v>Female</v>
          </cell>
          <cell r="AF1699">
            <v>50</v>
          </cell>
          <cell r="AG1699" t="str">
            <v>No</v>
          </cell>
          <cell r="AI1699" t="str">
            <v>Sashi</v>
          </cell>
          <cell r="AJ1699" t="str">
            <v>Surgery</v>
          </cell>
          <cell r="AK1699" t="str">
            <v>Primary</v>
          </cell>
          <cell r="AN1699" t="str">
            <v>II</v>
          </cell>
          <cell r="AO1699" t="str">
            <v>I</v>
          </cell>
          <cell r="AP1699" t="str">
            <v>pT2N0M0</v>
          </cell>
          <cell r="AS1699" t="str">
            <v>Infiltrating ductal Carcinoma</v>
          </cell>
          <cell r="AT1699" t="str">
            <v>8 cycles</v>
          </cell>
          <cell r="AU1699" t="str">
            <v>4Ac+4Paclitaxane+ Adriamycin+ Cyclophosphamide+ Paclitaxane</v>
          </cell>
          <cell r="AV1699">
            <v>44218</v>
          </cell>
          <cell r="AW1699">
            <v>0.64236111111111116</v>
          </cell>
          <cell r="AX1699">
            <v>0.76388888888888884</v>
          </cell>
          <cell r="AY1699">
            <v>0.12152777777777778</v>
          </cell>
          <cell r="AZ1699">
            <v>7.9861111111111105E-2</v>
          </cell>
          <cell r="BA1699">
            <v>0.35069444444444442</v>
          </cell>
          <cell r="BB1699" t="str">
            <v>2.6*2.2*2.6</v>
          </cell>
          <cell r="BC1699" t="str">
            <v>2.4*2.2*2.6</v>
          </cell>
          <cell r="BD1699" t="str">
            <v>2*4*450</v>
          </cell>
          <cell r="BE1699">
            <v>4</v>
          </cell>
          <cell r="BF1699" t="str">
            <v>Sindhu</v>
          </cell>
          <cell r="BG1699" t="str">
            <v>NQ</v>
          </cell>
        </row>
        <row r="1700">
          <cell r="A1700" t="str">
            <v>FBR1A210011</v>
          </cell>
          <cell r="B1700">
            <v>210011</v>
          </cell>
          <cell r="C1700" t="str">
            <v>R&amp;D</v>
          </cell>
          <cell r="D1700">
            <v>44219</v>
          </cell>
          <cell r="E1700">
            <v>0.29166666666666669</v>
          </cell>
          <cell r="F1700">
            <v>44197</v>
          </cell>
          <cell r="G1700">
            <v>44219</v>
          </cell>
          <cell r="H1700">
            <v>0.45833333333333331</v>
          </cell>
          <cell r="I1700">
            <v>0.16666666666666666</v>
          </cell>
          <cell r="K1700" t="str">
            <v>MBT-TB-070 v1.1</v>
          </cell>
          <cell r="L1700" t="str">
            <v>CLN/PRA/01/0052</v>
          </cell>
          <cell r="M1700" t="str">
            <v>Y</v>
          </cell>
          <cell r="N1700" t="str">
            <v>Other Indication</v>
          </cell>
          <cell r="O1700" t="str">
            <v>Internal R&amp;D</v>
          </cell>
          <cell r="S1700" t="str">
            <v>Q1 Passed</v>
          </cell>
          <cell r="T1700" t="str">
            <v>Q2 Passed</v>
          </cell>
          <cell r="W1700" t="str">
            <v>Clinic'les</v>
          </cell>
          <cell r="X1700" t="str">
            <v>Clinic'les- Dr Prakash BV, Bangalore</v>
          </cell>
          <cell r="Y1700" t="str">
            <v>Sri Lakshmi Hospital, Bangalore</v>
          </cell>
          <cell r="Z1700" t="str">
            <v>Dr Prakash BV, Bangalore</v>
          </cell>
          <cell r="AA1700" t="str">
            <v>RCC</v>
          </cell>
          <cell r="AC1700" t="str">
            <v>Kidney</v>
          </cell>
          <cell r="AD1700" t="str">
            <v>Left Kidney</v>
          </cell>
          <cell r="AE1700" t="str">
            <v>Male</v>
          </cell>
          <cell r="AF1700">
            <v>55</v>
          </cell>
          <cell r="AG1700" t="str">
            <v>No</v>
          </cell>
          <cell r="AI1700" t="str">
            <v>Sashi</v>
          </cell>
          <cell r="AJ1700" t="str">
            <v>Surgery</v>
          </cell>
          <cell r="AK1700" t="str">
            <v>Primary</v>
          </cell>
          <cell r="AN1700" t="str">
            <v>II</v>
          </cell>
          <cell r="AO1700" t="str">
            <v>I</v>
          </cell>
          <cell r="AP1700" t="str">
            <v>pT2N0M0</v>
          </cell>
          <cell r="AS1700" t="str">
            <v>Renal Cell Carcinoma</v>
          </cell>
          <cell r="AV1700">
            <v>44219</v>
          </cell>
          <cell r="AW1700">
            <v>0.50763888888888886</v>
          </cell>
          <cell r="AX1700">
            <v>0.58333333333333337</v>
          </cell>
          <cell r="AY1700">
            <v>7.5694444444444439E-2</v>
          </cell>
          <cell r="AZ1700">
            <v>4.9305555555555554E-2</v>
          </cell>
          <cell r="BA1700">
            <v>0.21597222222222223</v>
          </cell>
          <cell r="BB1700" t="str">
            <v>1.05*1.6*3.0</v>
          </cell>
          <cell r="BC1700" t="str">
            <v>1.05*1.6*3.0</v>
          </cell>
          <cell r="BD1700" t="str">
            <v>2*4*450</v>
          </cell>
          <cell r="BE1700">
            <v>4</v>
          </cell>
          <cell r="BF1700" t="str">
            <v>Vasanth</v>
          </cell>
          <cell r="BG1700" t="str">
            <v>Q</v>
          </cell>
        </row>
        <row r="1701">
          <cell r="A1701" t="str">
            <v>FBB1A210012</v>
          </cell>
          <cell r="B1701">
            <v>210012</v>
          </cell>
          <cell r="C1701" t="str">
            <v>Biopharma</v>
          </cell>
          <cell r="D1701">
            <v>44224</v>
          </cell>
          <cell r="E1701">
            <v>0.4375</v>
          </cell>
          <cell r="F1701">
            <v>44197</v>
          </cell>
          <cell r="G1701">
            <v>44224</v>
          </cell>
          <cell r="H1701">
            <v>0.54166666666666663</v>
          </cell>
          <cell r="I1701">
            <v>0.10416666666666667</v>
          </cell>
          <cell r="J1701">
            <v>1</v>
          </cell>
          <cell r="K1701" t="str">
            <v>MBT-TB-070 v2.0</v>
          </cell>
          <cell r="L1701" t="str">
            <v>BBH001</v>
          </cell>
          <cell r="M1701" t="str">
            <v>Y</v>
          </cell>
          <cell r="N1701" t="str">
            <v>BP001_SOW1_2020</v>
          </cell>
          <cell r="O1701" t="str">
            <v>Biopharma</v>
          </cell>
          <cell r="S1701" t="str">
            <v>Q1 Passed</v>
          </cell>
          <cell r="T1701" t="str">
            <v>Q2 Rejected</v>
          </cell>
          <cell r="U1701" t="str">
            <v>Blood clots</v>
          </cell>
          <cell r="W1701" t="str">
            <v>Independent</v>
          </cell>
          <cell r="X1701" t="str">
            <v>Bangalore Baptist Hospital, Hebbal</v>
          </cell>
          <cell r="Y1701" t="str">
            <v>Bangalore Baptist Hospital, Hebbal</v>
          </cell>
          <cell r="Z1701" t="str">
            <v>Dr Manjula BV, Bangalore</v>
          </cell>
          <cell r="AA1701" t="str">
            <v>HNSCC</v>
          </cell>
          <cell r="AC1701" t="str">
            <v>Alveolus</v>
          </cell>
          <cell r="AD1701" t="str">
            <v>Left Lower Alveolus</v>
          </cell>
          <cell r="AE1701" t="str">
            <v>Female</v>
          </cell>
          <cell r="AF1701">
            <v>61</v>
          </cell>
          <cell r="AI1701" t="str">
            <v>Sashi</v>
          </cell>
          <cell r="AJ1701" t="str">
            <v>Surgery</v>
          </cell>
          <cell r="AK1701" t="str">
            <v>Primary</v>
          </cell>
          <cell r="AM1701" t="str">
            <v>cT2N0M0</v>
          </cell>
          <cell r="AN1701" t="str">
            <v>IVA</v>
          </cell>
          <cell r="AP1701" t="str">
            <v>pT4aN2b</v>
          </cell>
          <cell r="AS1701" t="str">
            <v>Left hemimandibulectomy
Moderately differentiated squamous cell carcinoma invading underlying bone</v>
          </cell>
          <cell r="AV1701">
            <v>44224</v>
          </cell>
          <cell r="AW1701">
            <v>0.54513888888888884</v>
          </cell>
          <cell r="AX1701">
            <v>0.61111111111111116</v>
          </cell>
          <cell r="AY1701">
            <v>6.5972222222222224E-2</v>
          </cell>
          <cell r="AZ1701">
            <v>3.472222222222222E-3</v>
          </cell>
          <cell r="BA1701">
            <v>0.1076388888888889</v>
          </cell>
          <cell r="BB1701" t="str">
            <v>0.4*0.8*1.0
0.6*0.8*1.0</v>
          </cell>
          <cell r="BC1701" t="str">
            <v>0.4*0.8*1.0
0.4*0.8*1.0</v>
          </cell>
          <cell r="BD1701" t="str">
            <v>2*4*450</v>
          </cell>
          <cell r="BE1701">
            <v>4</v>
          </cell>
          <cell r="BF1701" t="str">
            <v>Kowshik</v>
          </cell>
          <cell r="BG1701" t="str">
            <v>Q</v>
          </cell>
        </row>
        <row r="1702">
          <cell r="A1702" t="str">
            <v>FBR210013</v>
          </cell>
          <cell r="B1702">
            <v>210013</v>
          </cell>
          <cell r="C1702" t="str">
            <v>R&amp;D</v>
          </cell>
          <cell r="D1702">
            <v>44224</v>
          </cell>
          <cell r="E1702">
            <v>0.29166666666666669</v>
          </cell>
          <cell r="F1702">
            <v>44197</v>
          </cell>
          <cell r="G1702">
            <v>44224</v>
          </cell>
          <cell r="H1702">
            <v>0.5625</v>
          </cell>
          <cell r="I1702">
            <v>0.27083333333333331</v>
          </cell>
          <cell r="K1702" t="str">
            <v>MBT-TB-070 v1.1</v>
          </cell>
          <cell r="L1702" t="str">
            <v>CLN/PRA/01/0053</v>
          </cell>
          <cell r="M1702" t="str">
            <v>Y</v>
          </cell>
          <cell r="N1702" t="str">
            <v>Biobank</v>
          </cell>
          <cell r="O1702" t="str">
            <v>Biobank</v>
          </cell>
          <cell r="S1702" t="str">
            <v>Q1 Passed</v>
          </cell>
          <cell r="U1702" t="str">
            <v>Fatty tissue- post processing</v>
          </cell>
          <cell r="W1702" t="str">
            <v>Clinic'les</v>
          </cell>
          <cell r="X1702" t="str">
            <v>Clinic'les- Dr Prakash BV, Bangalore</v>
          </cell>
          <cell r="Y1702" t="str">
            <v>Sri Lakshmi Hospital, Bangalore</v>
          </cell>
          <cell r="Z1702" t="str">
            <v>Dr Prakash BV, Bangalore</v>
          </cell>
          <cell r="AA1702" t="str">
            <v>Ca Breast</v>
          </cell>
          <cell r="AC1702" t="str">
            <v>Breast</v>
          </cell>
          <cell r="AD1702" t="str">
            <v>Right Breast</v>
          </cell>
          <cell r="AE1702" t="str">
            <v>Female</v>
          </cell>
          <cell r="AF1702">
            <v>50</v>
          </cell>
          <cell r="AG1702" t="str">
            <v>No</v>
          </cell>
          <cell r="AI1702" t="str">
            <v>Anil</v>
          </cell>
          <cell r="AJ1702" t="str">
            <v>Surgery</v>
          </cell>
          <cell r="AK1702" t="str">
            <v>Primary</v>
          </cell>
          <cell r="AL1702" t="str">
            <v>Chemotherapy</v>
          </cell>
          <cell r="AN1702" t="str">
            <v>II</v>
          </cell>
          <cell r="AO1702" t="str">
            <v>I</v>
          </cell>
          <cell r="AP1702" t="str">
            <v>pT2N0M0</v>
          </cell>
          <cell r="AQ1702" t="str">
            <v>3 cycles</v>
          </cell>
          <cell r="AR1702" t="str">
            <v>Epirubicin + Pacitaxel</v>
          </cell>
          <cell r="AS1702" t="str">
            <v>Infiltrating ductal Carcinoma</v>
          </cell>
          <cell r="AT1702" t="str">
            <v>8 cycles</v>
          </cell>
          <cell r="AU1702" t="str">
            <v>4Ac+4Paclitaxane+ Adriamycin+ Cyclophosphamide+ Paclitaxane</v>
          </cell>
        </row>
        <row r="1703">
          <cell r="A1703" t="str">
            <v>FBR210014</v>
          </cell>
          <cell r="B1703">
            <v>210014</v>
          </cell>
          <cell r="C1703" t="str">
            <v>R&amp;D</v>
          </cell>
          <cell r="D1703">
            <v>44231</v>
          </cell>
          <cell r="E1703">
            <v>0.81944444444444442</v>
          </cell>
          <cell r="F1703">
            <v>44228</v>
          </cell>
          <cell r="G1703">
            <v>44232</v>
          </cell>
          <cell r="H1703">
            <v>0.5625</v>
          </cell>
          <cell r="I1703">
            <v>0.74305555555555558</v>
          </cell>
          <cell r="J1703">
            <v>5</v>
          </cell>
          <cell r="K1703" t="str">
            <v>MBT-TB-070 v1.1</v>
          </cell>
          <cell r="L1703" t="str">
            <v>CLN/TNG/001</v>
          </cell>
          <cell r="M1703" t="str">
            <v>Y</v>
          </cell>
          <cell r="N1703" t="str">
            <v>No Study</v>
          </cell>
          <cell r="O1703" t="str">
            <v>1st level attrition</v>
          </cell>
          <cell r="S1703" t="str">
            <v>Q1 Rejected</v>
          </cell>
          <cell r="T1703" t="str">
            <v>Q2 Passed</v>
          </cell>
          <cell r="U1703" t="str">
            <v>blood clots, blood hemolyzed, 18hrs TAT</v>
          </cell>
          <cell r="W1703" t="str">
            <v>Clinic'les</v>
          </cell>
          <cell r="X1703" t="str">
            <v>Clinic'les- Thangam Hospital, Namakkal</v>
          </cell>
          <cell r="Y1703" t="str">
            <v>Thangam Hospital, Namakkal</v>
          </cell>
          <cell r="Z1703" t="str">
            <v>Dr Saravanan, Namakkal</v>
          </cell>
          <cell r="AA1703" t="str">
            <v>HNSCC</v>
          </cell>
          <cell r="AC1703" t="str">
            <v>Buccal Mucosa</v>
          </cell>
          <cell r="AD1703" t="str">
            <v>Right Buccal Mucosa</v>
          </cell>
          <cell r="AE1703" t="str">
            <v>Male</v>
          </cell>
          <cell r="AF1703">
            <v>32</v>
          </cell>
          <cell r="AG1703" t="str">
            <v>No</v>
          </cell>
          <cell r="AI1703" t="str">
            <v>Clinc'les</v>
          </cell>
          <cell r="AJ1703" t="str">
            <v>Surgery</v>
          </cell>
          <cell r="AK1703" t="str">
            <v>Primary</v>
          </cell>
          <cell r="AL1703" t="str">
            <v>Chemotherapy</v>
          </cell>
          <cell r="AM1703" t="str">
            <v>pT4aN1M0</v>
          </cell>
          <cell r="AQ1703" t="str">
            <v>1 cycle</v>
          </cell>
          <cell r="AR1703" t="str">
            <v>Cisplatin + 5FU</v>
          </cell>
        </row>
        <row r="1704">
          <cell r="A1704" t="str">
            <v>FBB1A210015</v>
          </cell>
          <cell r="B1704">
            <v>210015</v>
          </cell>
          <cell r="C1704" t="str">
            <v>Biopharma</v>
          </cell>
          <cell r="D1704">
            <v>44234</v>
          </cell>
          <cell r="E1704">
            <v>0.25</v>
          </cell>
          <cell r="F1704">
            <v>44228</v>
          </cell>
          <cell r="G1704">
            <v>44234</v>
          </cell>
          <cell r="H1704">
            <v>0.33333333333333331</v>
          </cell>
          <cell r="I1704">
            <v>8.3333333333333329E-2</v>
          </cell>
          <cell r="K1704" t="str">
            <v>MBT-TB-070 v1.1</v>
          </cell>
          <cell r="L1704" t="str">
            <v>CLN/PRA/01/0054</v>
          </cell>
          <cell r="M1704" t="str">
            <v>Y</v>
          </cell>
          <cell r="N1704" t="str">
            <v>BP001_SOW1_2020</v>
          </cell>
          <cell r="O1704" t="str">
            <v>Biopharma</v>
          </cell>
          <cell r="S1704" t="str">
            <v>Q1 Passed</v>
          </cell>
          <cell r="T1704" t="str">
            <v>Q2 Passed</v>
          </cell>
          <cell r="W1704" t="str">
            <v>Clinic'les</v>
          </cell>
          <cell r="X1704" t="str">
            <v>Clinic'les- Dr Prakash BV, Bangalore</v>
          </cell>
          <cell r="Y1704" t="str">
            <v>Sri Lakshmi Hospital, Bangalore</v>
          </cell>
          <cell r="Z1704" t="str">
            <v>Dr Prakash BV, Bangalore</v>
          </cell>
          <cell r="AA1704" t="str">
            <v>HNSCC</v>
          </cell>
          <cell r="AC1704" t="str">
            <v>Alveolus</v>
          </cell>
          <cell r="AD1704" t="str">
            <v>Left Lower Alveolus</v>
          </cell>
          <cell r="AE1704" t="str">
            <v>Female</v>
          </cell>
          <cell r="AF1704">
            <v>65</v>
          </cell>
          <cell r="AG1704" t="str">
            <v>No</v>
          </cell>
          <cell r="AI1704" t="str">
            <v>Sashi</v>
          </cell>
          <cell r="AJ1704" t="str">
            <v>Surgery</v>
          </cell>
          <cell r="AK1704" t="str">
            <v>Primary</v>
          </cell>
          <cell r="AN1704" t="str">
            <v>IVA</v>
          </cell>
          <cell r="AO1704" t="str">
            <v>III</v>
          </cell>
          <cell r="AP1704" t="str">
            <v>pT4N2M0</v>
          </cell>
          <cell r="AS1704" t="str">
            <v>Squamous Cell Carcinoma</v>
          </cell>
          <cell r="AV1704">
            <v>44234</v>
          </cell>
          <cell r="AW1704">
            <v>0.42708333333333331</v>
          </cell>
          <cell r="AX1704">
            <v>0.52083333333333337</v>
          </cell>
          <cell r="AY1704">
            <v>9.375E-2</v>
          </cell>
          <cell r="AZ1704">
            <v>9.375E-2</v>
          </cell>
          <cell r="BA1704">
            <v>0.17708333333333334</v>
          </cell>
          <cell r="BB1704" t="str">
            <v>2.2*2.4*3.4</v>
          </cell>
          <cell r="BC1704" t="str">
            <v>2.0*2.4*3.3</v>
          </cell>
          <cell r="BD1704" t="str">
            <v>2*4*450</v>
          </cell>
          <cell r="BE1704">
            <v>4</v>
          </cell>
          <cell r="BF1704" t="str">
            <v>Kowshik</v>
          </cell>
          <cell r="BG1704" t="str">
            <v>Q</v>
          </cell>
        </row>
        <row r="1705">
          <cell r="A1705" t="str">
            <v>FBR1D210015</v>
          </cell>
          <cell r="B1705">
            <v>210015</v>
          </cell>
          <cell r="C1705" t="str">
            <v>R&amp;D</v>
          </cell>
          <cell r="D1705">
            <v>44234</v>
          </cell>
          <cell r="E1705">
            <v>0.25</v>
          </cell>
          <cell r="F1705">
            <v>44228</v>
          </cell>
          <cell r="G1705">
            <v>44234</v>
          </cell>
          <cell r="H1705">
            <v>0.33333333333333331</v>
          </cell>
          <cell r="I1705">
            <v>8.3333333333333329E-2</v>
          </cell>
          <cell r="K1705" t="str">
            <v>MBT-TB-070 v1.1</v>
          </cell>
          <cell r="L1705" t="str">
            <v>CLN/PRA/01/0054</v>
          </cell>
          <cell r="M1705" t="str">
            <v>Y</v>
          </cell>
          <cell r="N1705" t="str">
            <v>Positive Control Study</v>
          </cell>
          <cell r="O1705" t="str">
            <v>Internal R&amp;D</v>
          </cell>
          <cell r="S1705" t="str">
            <v>Q1 Passed</v>
          </cell>
          <cell r="T1705" t="str">
            <v>Q2 Passed</v>
          </cell>
          <cell r="W1705" t="str">
            <v>Clinic'les</v>
          </cell>
          <cell r="X1705" t="str">
            <v>Clinic'les- Dr Prakash BV, Bangalore</v>
          </cell>
          <cell r="Y1705" t="str">
            <v>Sri Lakshmi Hospital, Bangalore</v>
          </cell>
          <cell r="Z1705" t="str">
            <v>Dr Prakash BV, Bangalore</v>
          </cell>
          <cell r="AA1705" t="str">
            <v>HNSCC</v>
          </cell>
          <cell r="AC1705" t="str">
            <v>Alveolus</v>
          </cell>
          <cell r="AD1705" t="str">
            <v>Left Lower Alveolus</v>
          </cell>
          <cell r="AE1705" t="str">
            <v>Female</v>
          </cell>
          <cell r="AF1705">
            <v>65</v>
          </cell>
          <cell r="AG1705" t="str">
            <v>No</v>
          </cell>
          <cell r="AI1705" t="str">
            <v>Sashi</v>
          </cell>
          <cell r="AJ1705" t="str">
            <v>Surgery</v>
          </cell>
          <cell r="AK1705" t="str">
            <v>Primary</v>
          </cell>
          <cell r="AN1705" t="str">
            <v>IVA</v>
          </cell>
          <cell r="AO1705" t="str">
            <v>III</v>
          </cell>
          <cell r="AP1705" t="str">
            <v>pT4N2M0</v>
          </cell>
          <cell r="AS1705" t="str">
            <v>Squamous Cell Carcinoma</v>
          </cell>
          <cell r="AV1705">
            <v>44234</v>
          </cell>
          <cell r="AW1705">
            <v>0.42708333333333331</v>
          </cell>
          <cell r="AX1705">
            <v>0.52083333333333337</v>
          </cell>
          <cell r="AY1705">
            <v>9.375E-2</v>
          </cell>
          <cell r="AZ1705">
            <v>9.375E-2</v>
          </cell>
          <cell r="BA1705">
            <v>0.17708333333333334</v>
          </cell>
          <cell r="BB1705" t="str">
            <v>2.2*2.4*3.4</v>
          </cell>
          <cell r="BC1705" t="str">
            <v>2.0*2.4*3.3</v>
          </cell>
          <cell r="BD1705" t="str">
            <v>2*4*450</v>
          </cell>
          <cell r="BE1705">
            <v>4</v>
          </cell>
          <cell r="BF1705" t="str">
            <v>Kowshik</v>
          </cell>
          <cell r="BG1705" t="str">
            <v>Q</v>
          </cell>
        </row>
        <row r="1706">
          <cell r="A1706" t="str">
            <v>FBR1A210016</v>
          </cell>
          <cell r="B1706">
            <v>210016</v>
          </cell>
          <cell r="C1706" t="str">
            <v>R&amp;D</v>
          </cell>
          <cell r="D1706">
            <v>44238</v>
          </cell>
          <cell r="E1706">
            <v>0.25</v>
          </cell>
          <cell r="F1706">
            <v>44228</v>
          </cell>
          <cell r="G1706">
            <v>44238</v>
          </cell>
          <cell r="H1706">
            <v>0.58333333333333337</v>
          </cell>
          <cell r="I1706">
            <v>0.33333333333333331</v>
          </cell>
          <cell r="K1706" t="str">
            <v>MBT-TB-070 v1.1</v>
          </cell>
          <cell r="L1706" t="str">
            <v>CLN/PRA/01/0055</v>
          </cell>
          <cell r="M1706" t="str">
            <v>Y</v>
          </cell>
          <cell r="N1706" t="str">
            <v>Other Indication</v>
          </cell>
          <cell r="O1706" t="str">
            <v>Internal R&amp;D</v>
          </cell>
          <cell r="S1706" t="str">
            <v>Q1 Passed</v>
          </cell>
          <cell r="T1706" t="str">
            <v>Q2 Passed</v>
          </cell>
          <cell r="W1706" t="str">
            <v>Clinic'les</v>
          </cell>
          <cell r="X1706" t="str">
            <v>Clinic'les- Dr Prakash BV, Bangalore</v>
          </cell>
          <cell r="Y1706" t="str">
            <v>Sri Lakshmi Hospital, Bangalore</v>
          </cell>
          <cell r="Z1706" t="str">
            <v>Dr Prakash BV, Bangalore</v>
          </cell>
          <cell r="AA1706" t="str">
            <v>GI</v>
          </cell>
          <cell r="AB1706" t="str">
            <v>Stomach</v>
          </cell>
          <cell r="AC1706" t="str">
            <v>Stomach</v>
          </cell>
          <cell r="AD1706" t="str">
            <v>Stomach</v>
          </cell>
          <cell r="AE1706" t="str">
            <v>Male</v>
          </cell>
          <cell r="AF1706">
            <v>65</v>
          </cell>
          <cell r="AG1706" t="str">
            <v>No</v>
          </cell>
          <cell r="AI1706" t="str">
            <v>Sashi</v>
          </cell>
          <cell r="AJ1706" t="str">
            <v>Surgery</v>
          </cell>
          <cell r="AN1706" t="str">
            <v>III</v>
          </cell>
          <cell r="AO1706" t="str">
            <v>III</v>
          </cell>
          <cell r="AP1706" t="str">
            <v>pT3N1M0</v>
          </cell>
          <cell r="AS1706" t="str">
            <v>Adenocarcinoma</v>
          </cell>
          <cell r="AT1706" t="str">
            <v>6 cycles</v>
          </cell>
          <cell r="AU1706" t="str">
            <v>DCF+ Docitaxane+ Cisplatin+ 5FU</v>
          </cell>
          <cell r="AV1706">
            <v>44238</v>
          </cell>
          <cell r="AW1706">
            <v>0.60416666666666663</v>
          </cell>
          <cell r="AX1706">
            <v>0.67708333333333337</v>
          </cell>
          <cell r="AY1706">
            <v>7.2916666666666671E-2</v>
          </cell>
          <cell r="AZ1706">
            <v>2.0833333333333332E-2</v>
          </cell>
          <cell r="BA1706">
            <v>0.35416666666666669</v>
          </cell>
          <cell r="BB1706" t="str">
            <v>1.5*1.6*2.2</v>
          </cell>
          <cell r="BC1706" t="str">
            <v>1.5*1.6*2.2</v>
          </cell>
          <cell r="BD1706" t="str">
            <v>2*4*450</v>
          </cell>
          <cell r="BE1706">
            <v>4</v>
          </cell>
          <cell r="BF1706" t="str">
            <v>Kowshik</v>
          </cell>
          <cell r="BG1706" t="str">
            <v>Q</v>
          </cell>
        </row>
        <row r="1707">
          <cell r="A1707" t="str">
            <v>FBR1B210017</v>
          </cell>
          <cell r="B1707">
            <v>210017</v>
          </cell>
          <cell r="C1707" t="str">
            <v>R&amp;D</v>
          </cell>
          <cell r="D1707">
            <v>44239</v>
          </cell>
          <cell r="E1707">
            <v>0.91666666666666663</v>
          </cell>
          <cell r="F1707">
            <v>44228</v>
          </cell>
          <cell r="G1707">
            <v>44239</v>
          </cell>
          <cell r="H1707">
            <v>0.99652777777777779</v>
          </cell>
          <cell r="I1707">
            <v>7.9861111111111105E-2</v>
          </cell>
          <cell r="K1707" t="str">
            <v>MBT-TB-070 v1.1</v>
          </cell>
          <cell r="L1707" t="str">
            <v>CLN/PRA/01/0056</v>
          </cell>
          <cell r="M1707" t="str">
            <v>Y</v>
          </cell>
          <cell r="N1707" t="str">
            <v>DMS_v2</v>
          </cell>
          <cell r="O1707" t="str">
            <v>Internal R&amp;D</v>
          </cell>
          <cell r="S1707" t="str">
            <v>Q1 Passed</v>
          </cell>
          <cell r="T1707" t="str">
            <v>Q2 Passed</v>
          </cell>
          <cell r="U1707" t="str">
            <v>Blood sample was hemolyzed post spinning</v>
          </cell>
          <cell r="V1707" t="str">
            <v>Good</v>
          </cell>
          <cell r="W1707" t="str">
            <v>Clinic'les</v>
          </cell>
          <cell r="X1707" t="str">
            <v>Clinic'les- Dr Prakash BV, Bangalore</v>
          </cell>
          <cell r="Y1707" t="str">
            <v>Sri Lakshmi Hospital, Bangalore</v>
          </cell>
          <cell r="Z1707" t="str">
            <v>Dr Prakash BV, Bangalore</v>
          </cell>
          <cell r="AA1707" t="str">
            <v>HNSCC</v>
          </cell>
          <cell r="AC1707" t="str">
            <v>GBS</v>
          </cell>
          <cell r="AD1707" t="str">
            <v>Right Lower GBS</v>
          </cell>
          <cell r="AE1707" t="str">
            <v>Female</v>
          </cell>
          <cell r="AF1707">
            <v>35</v>
          </cell>
          <cell r="AG1707" t="str">
            <v>No</v>
          </cell>
          <cell r="AI1707" t="str">
            <v>Anil</v>
          </cell>
          <cell r="AJ1707" t="str">
            <v>Surgery</v>
          </cell>
          <cell r="AK1707" t="str">
            <v>Primary</v>
          </cell>
          <cell r="AN1707" t="str">
            <v>II</v>
          </cell>
          <cell r="AO1707" t="str">
            <v>II</v>
          </cell>
          <cell r="AP1707" t="str">
            <v>pT3N1M0</v>
          </cell>
          <cell r="AS1707" t="str">
            <v>Squamous Cell Carcinoma</v>
          </cell>
          <cell r="AV1707">
            <v>44240</v>
          </cell>
          <cell r="AW1707">
            <v>0.375</v>
          </cell>
          <cell r="AX1707">
            <v>0.59722222222222221</v>
          </cell>
          <cell r="AY1707">
            <v>0.22222222222222221</v>
          </cell>
          <cell r="AZ1707">
            <v>0.37847222222222221</v>
          </cell>
          <cell r="BA1707">
            <v>0.45833333333333331</v>
          </cell>
          <cell r="BB1707" t="str">
            <v>0.8*1.2*2.2</v>
          </cell>
          <cell r="BC1707" t="str">
            <v>0.8*1.2*2.2</v>
          </cell>
          <cell r="BD1707" t="str">
            <v>2*4*450</v>
          </cell>
          <cell r="BE1707">
            <v>4</v>
          </cell>
          <cell r="BF1707" t="str">
            <v>Sindhu</v>
          </cell>
          <cell r="BG1707" t="str">
            <v>NQ</v>
          </cell>
        </row>
        <row r="1708">
          <cell r="A1708" t="str">
            <v>FBR1A210018</v>
          </cell>
          <cell r="B1708">
            <v>210018</v>
          </cell>
          <cell r="C1708" t="str">
            <v>R&amp;D</v>
          </cell>
          <cell r="D1708">
            <v>44239</v>
          </cell>
          <cell r="E1708">
            <v>0.875</v>
          </cell>
          <cell r="F1708">
            <v>44228</v>
          </cell>
          <cell r="G1708">
            <v>44239</v>
          </cell>
          <cell r="H1708">
            <v>0.99652777777777779</v>
          </cell>
          <cell r="I1708">
            <v>0.12152777777777778</v>
          </cell>
          <cell r="K1708" t="str">
            <v>MBT-TB-070 v1.1</v>
          </cell>
          <cell r="L1708" t="str">
            <v>CLN/PRA/01/0057</v>
          </cell>
          <cell r="M1708" t="str">
            <v>Y</v>
          </cell>
          <cell r="N1708" t="str">
            <v>Other Indication</v>
          </cell>
          <cell r="O1708" t="str">
            <v>Internal R&amp;D</v>
          </cell>
          <cell r="S1708" t="str">
            <v>Q1 Passed</v>
          </cell>
          <cell r="T1708" t="str">
            <v>Q2 Passed</v>
          </cell>
          <cell r="V1708" t="str">
            <v>Good- Signet ring cell carcinoma( Not Adenocarcinoma)</v>
          </cell>
          <cell r="W1708" t="str">
            <v>Clinic'les</v>
          </cell>
          <cell r="X1708" t="str">
            <v>Clinic'les- Dr Prakash BV, Bangalore</v>
          </cell>
          <cell r="Y1708" t="str">
            <v>Sri Lakshmi Hospital, Bangalore</v>
          </cell>
          <cell r="Z1708" t="str">
            <v>Dr Prakash BV, Bangalore</v>
          </cell>
          <cell r="AA1708" t="str">
            <v>GI</v>
          </cell>
          <cell r="AB1708" t="str">
            <v>Stomach</v>
          </cell>
          <cell r="AC1708" t="str">
            <v>Stomach</v>
          </cell>
          <cell r="AD1708" t="str">
            <v>Stomach</v>
          </cell>
          <cell r="AE1708" t="str">
            <v>Female</v>
          </cell>
          <cell r="AF1708">
            <v>60</v>
          </cell>
          <cell r="AG1708" t="str">
            <v>No</v>
          </cell>
          <cell r="AI1708" t="str">
            <v>Anil</v>
          </cell>
          <cell r="AJ1708" t="str">
            <v>Surgery</v>
          </cell>
          <cell r="AK1708" t="str">
            <v>Primary</v>
          </cell>
          <cell r="AN1708" t="str">
            <v>II</v>
          </cell>
          <cell r="AO1708" t="str">
            <v>II</v>
          </cell>
          <cell r="AP1708" t="str">
            <v>pT3N1M0</v>
          </cell>
          <cell r="AS1708" t="str">
            <v>Adenocarcinoma</v>
          </cell>
          <cell r="AT1708" t="str">
            <v>6 cycles</v>
          </cell>
          <cell r="AU1708" t="str">
            <v>DCF+ Docitaxane+ Cisplatin+ 5FU</v>
          </cell>
          <cell r="AV1708">
            <v>44240</v>
          </cell>
          <cell r="AW1708">
            <v>0.5</v>
          </cell>
          <cell r="AX1708">
            <v>0.64583333333333337</v>
          </cell>
          <cell r="AY1708">
            <v>0.14583333333333334</v>
          </cell>
          <cell r="AZ1708">
            <v>0.50347222222222221</v>
          </cell>
          <cell r="BA1708">
            <v>0.625</v>
          </cell>
          <cell r="BB1708" t="str">
            <v>2.0*2.0*2.2</v>
          </cell>
          <cell r="BC1708" t="str">
            <v>2.0*2.0*2.2</v>
          </cell>
          <cell r="BD1708" t="str">
            <v>2*4*450</v>
          </cell>
          <cell r="BE1708">
            <v>4</v>
          </cell>
          <cell r="BF1708" t="str">
            <v>Sindhu</v>
          </cell>
          <cell r="BG1708" t="str">
            <v>Q</v>
          </cell>
        </row>
        <row r="1709">
          <cell r="A1709" t="str">
            <v>FBR1B210019</v>
          </cell>
          <cell r="B1709">
            <v>210019</v>
          </cell>
          <cell r="C1709" t="str">
            <v>R&amp;D</v>
          </cell>
          <cell r="D1709">
            <v>44240</v>
          </cell>
          <cell r="E1709">
            <v>0.6875</v>
          </cell>
          <cell r="F1709">
            <v>44228</v>
          </cell>
          <cell r="G1709">
            <v>44240</v>
          </cell>
          <cell r="H1709">
            <v>0.77083333333333337</v>
          </cell>
          <cell r="I1709">
            <v>8.3333333333333329E-2</v>
          </cell>
          <cell r="K1709" t="str">
            <v>MBT-TB-070 v1.1</v>
          </cell>
          <cell r="L1709" t="str">
            <v>CLN/PRA/01/0058</v>
          </cell>
          <cell r="M1709" t="str">
            <v>Y</v>
          </cell>
          <cell r="N1709" t="str">
            <v>DMS_v2</v>
          </cell>
          <cell r="O1709" t="str">
            <v>Internal R&amp;D</v>
          </cell>
          <cell r="S1709" t="str">
            <v>Q1 Passed</v>
          </cell>
          <cell r="T1709" t="str">
            <v>Q2 Passed</v>
          </cell>
          <cell r="V1709" t="str">
            <v>Good</v>
          </cell>
          <cell r="W1709" t="str">
            <v>Clinic'les</v>
          </cell>
          <cell r="X1709" t="str">
            <v>Clinic'les- Dr Prakash BV, Bangalore</v>
          </cell>
          <cell r="Y1709" t="str">
            <v>Sri Lakshmi Hospital, Bangalore</v>
          </cell>
          <cell r="Z1709" t="str">
            <v>Dr Prakash BV, Bangalore</v>
          </cell>
          <cell r="AA1709" t="str">
            <v>HNSCC</v>
          </cell>
          <cell r="AC1709" t="str">
            <v>Buccal Mucosa</v>
          </cell>
          <cell r="AD1709" t="str">
            <v>Left Buccal Mucosa</v>
          </cell>
          <cell r="AE1709" t="str">
            <v>Male</v>
          </cell>
          <cell r="AF1709">
            <v>45</v>
          </cell>
          <cell r="AG1709" t="str">
            <v>No</v>
          </cell>
          <cell r="AI1709" t="str">
            <v>Anil</v>
          </cell>
          <cell r="AJ1709" t="str">
            <v>Surgery</v>
          </cell>
          <cell r="AK1709" t="str">
            <v>Primary</v>
          </cell>
          <cell r="AN1709" t="str">
            <v>I</v>
          </cell>
          <cell r="AO1709" t="str">
            <v>I</v>
          </cell>
          <cell r="AP1709" t="str">
            <v>pT1N0M0</v>
          </cell>
          <cell r="AS1709" t="str">
            <v>Squamous Cell Carcinoma</v>
          </cell>
        </row>
        <row r="1710">
          <cell r="A1710" t="str">
            <v>FBR1A210020</v>
          </cell>
          <cell r="B1710">
            <v>210020</v>
          </cell>
          <cell r="C1710" t="str">
            <v>R&amp;D</v>
          </cell>
          <cell r="D1710">
            <v>44240</v>
          </cell>
          <cell r="E1710">
            <v>0.70833333333333337</v>
          </cell>
          <cell r="F1710">
            <v>44228</v>
          </cell>
          <cell r="G1710">
            <v>44240</v>
          </cell>
          <cell r="H1710">
            <v>0.77083333333333337</v>
          </cell>
          <cell r="I1710">
            <v>6.25E-2</v>
          </cell>
          <cell r="K1710" t="str">
            <v>MBT-TB-070 v1.1</v>
          </cell>
          <cell r="L1710" t="str">
            <v>CLN/PRA/01/0059</v>
          </cell>
          <cell r="M1710" t="str">
            <v>Y</v>
          </cell>
          <cell r="N1710" t="str">
            <v>Other Indication</v>
          </cell>
          <cell r="O1710" t="str">
            <v>Internal R&amp;D</v>
          </cell>
          <cell r="S1710" t="str">
            <v>Q1 Passed</v>
          </cell>
          <cell r="T1710" t="str">
            <v>Q2 Passed</v>
          </cell>
          <cell r="V1710" t="str">
            <v>Good</v>
          </cell>
          <cell r="W1710" t="str">
            <v>Clinic'les</v>
          </cell>
          <cell r="X1710" t="str">
            <v>Clinic'les- Dr Prakash BV, Bangalore</v>
          </cell>
          <cell r="Y1710" t="str">
            <v>Sri Lakshmi Hospital, Bangalore</v>
          </cell>
          <cell r="Z1710" t="str">
            <v>Dr Prakash BV, Bangalore</v>
          </cell>
          <cell r="AA1710" t="str">
            <v>Ca Breast</v>
          </cell>
          <cell r="AC1710" t="str">
            <v>Breast</v>
          </cell>
          <cell r="AD1710" t="str">
            <v>Right Breast</v>
          </cell>
          <cell r="AE1710" t="str">
            <v>Female</v>
          </cell>
          <cell r="AF1710">
            <v>60</v>
          </cell>
          <cell r="AG1710" t="str">
            <v>No</v>
          </cell>
          <cell r="AI1710" t="str">
            <v>Anil</v>
          </cell>
          <cell r="AJ1710" t="str">
            <v>Surgery</v>
          </cell>
          <cell r="AK1710" t="str">
            <v>Primary</v>
          </cell>
          <cell r="AN1710" t="str">
            <v>II</v>
          </cell>
          <cell r="AO1710" t="str">
            <v>II</v>
          </cell>
          <cell r="AP1710" t="str">
            <v>pT2N0M0</v>
          </cell>
          <cell r="AS1710" t="str">
            <v>Infiltrating ductal Carcinoma</v>
          </cell>
          <cell r="AT1710" t="str">
            <v>8 cycles</v>
          </cell>
          <cell r="AU1710" t="str">
            <v>4Ac+4Paclitaxane+ Adriamycin+ Cyclophosphamide+ Paclitaxane</v>
          </cell>
          <cell r="AV1710">
            <v>44240</v>
          </cell>
          <cell r="AW1710">
            <v>0.77222222222222225</v>
          </cell>
          <cell r="AX1710">
            <v>0.875</v>
          </cell>
          <cell r="AY1710">
            <v>0.10277777777777777</v>
          </cell>
          <cell r="AZ1710">
            <v>1.3888888888888889E-3</v>
          </cell>
          <cell r="BA1710">
            <v>6.3888888888888884E-2</v>
          </cell>
          <cell r="BB1710" t="str">
            <v>1.6*2.4*3.4</v>
          </cell>
          <cell r="BC1710" t="str">
            <v>1.2*1.4*1.6</v>
          </cell>
          <cell r="BD1710" t="str">
            <v>2*4*450</v>
          </cell>
          <cell r="BE1710">
            <v>4</v>
          </cell>
          <cell r="BF1710" t="str">
            <v>Vasanth</v>
          </cell>
          <cell r="BG1710" t="str">
            <v>NQ</v>
          </cell>
        </row>
        <row r="1711">
          <cell r="A1711" t="str">
            <v>FBB1A210021</v>
          </cell>
          <cell r="B1711">
            <v>210021</v>
          </cell>
          <cell r="C1711" t="str">
            <v>Biopharma</v>
          </cell>
          <cell r="D1711">
            <v>44241</v>
          </cell>
          <cell r="E1711">
            <v>0.4375</v>
          </cell>
          <cell r="F1711">
            <v>44228</v>
          </cell>
          <cell r="G1711">
            <v>44241</v>
          </cell>
          <cell r="H1711">
            <v>0.60416666666666663</v>
          </cell>
          <cell r="I1711">
            <v>0.16666666666666666</v>
          </cell>
          <cell r="K1711" t="str">
            <v>MBT-TB-070 v1.1</v>
          </cell>
          <cell r="L1711" t="str">
            <v>CLN/PRA/01/0060</v>
          </cell>
          <cell r="M1711" t="str">
            <v>Y</v>
          </cell>
          <cell r="N1711" t="str">
            <v>DMS_v2</v>
          </cell>
          <cell r="O1711" t="str">
            <v>Internal R&amp;D</v>
          </cell>
          <cell r="S1711" t="str">
            <v>Q1 Passed</v>
          </cell>
          <cell r="T1711" t="str">
            <v>Q2 Passed</v>
          </cell>
          <cell r="W1711" t="str">
            <v>Clinic'les</v>
          </cell>
          <cell r="X1711" t="str">
            <v>Clinic'les- Dr Prakash BV, Bangalore</v>
          </cell>
          <cell r="Y1711" t="str">
            <v>Sri Lakshmi Hospital, Bangalore</v>
          </cell>
          <cell r="Z1711" t="str">
            <v>Dr Prakash BV, Bangalore</v>
          </cell>
          <cell r="AA1711" t="str">
            <v>HNSCC</v>
          </cell>
          <cell r="AC1711" t="str">
            <v>Tongue</v>
          </cell>
          <cell r="AD1711" t="str">
            <v>Dorsum of Tongue</v>
          </cell>
          <cell r="AE1711" t="str">
            <v>Female</v>
          </cell>
          <cell r="AF1711">
            <v>40</v>
          </cell>
          <cell r="AG1711" t="str">
            <v>No</v>
          </cell>
          <cell r="AI1711" t="str">
            <v>Sashi</v>
          </cell>
          <cell r="AJ1711" t="str">
            <v>Surgery</v>
          </cell>
          <cell r="AK1711" t="str">
            <v>Primary</v>
          </cell>
          <cell r="AN1711" t="str">
            <v>II</v>
          </cell>
          <cell r="AO1711" t="str">
            <v>II</v>
          </cell>
          <cell r="AP1711" t="str">
            <v>pT2N0M0</v>
          </cell>
          <cell r="AS1711" t="str">
            <v>Squamous Cell Carcinoma</v>
          </cell>
          <cell r="AV1711">
            <v>44241</v>
          </cell>
          <cell r="AW1711">
            <v>0.63194444444444442</v>
          </cell>
          <cell r="AX1711">
            <v>0.70833333333333337</v>
          </cell>
          <cell r="AY1711">
            <v>7.6388888888888895E-2</v>
          </cell>
          <cell r="AZ1711">
            <v>2.7777777777777776E-2</v>
          </cell>
          <cell r="BA1711">
            <v>0.19444444444444445</v>
          </cell>
          <cell r="BB1711" t="str">
            <v>1.4*2.2*3.0</v>
          </cell>
          <cell r="BC1711" t="str">
            <v>1.4*2.2*3.0</v>
          </cell>
          <cell r="BD1711" t="str">
            <v>2*4*450</v>
          </cell>
          <cell r="BE1711">
            <v>4</v>
          </cell>
          <cell r="BF1711" t="str">
            <v>Vasanth</v>
          </cell>
          <cell r="BG1711" t="str">
            <v>Q</v>
          </cell>
        </row>
        <row r="1712">
          <cell r="A1712" t="str">
            <v>FBR1B210021</v>
          </cell>
          <cell r="B1712">
            <v>210021</v>
          </cell>
          <cell r="C1712" t="str">
            <v>R&amp;D</v>
          </cell>
          <cell r="D1712">
            <v>44241</v>
          </cell>
          <cell r="E1712">
            <v>0.4375</v>
          </cell>
          <cell r="F1712">
            <v>44228</v>
          </cell>
          <cell r="G1712">
            <v>44241</v>
          </cell>
          <cell r="H1712">
            <v>0.60416666666666663</v>
          </cell>
          <cell r="I1712">
            <v>0.16666666666666666</v>
          </cell>
          <cell r="K1712" t="str">
            <v>MBT-TB-070 v1.1</v>
          </cell>
          <cell r="L1712" t="str">
            <v>CLN/PRA/01/0060</v>
          </cell>
          <cell r="M1712" t="str">
            <v>Y</v>
          </cell>
          <cell r="N1712" t="str">
            <v>DMS_v2</v>
          </cell>
          <cell r="O1712" t="str">
            <v>Internal R&amp;D</v>
          </cell>
          <cell r="S1712" t="str">
            <v>Q1 Passed</v>
          </cell>
          <cell r="T1712" t="str">
            <v>Q2 Passed</v>
          </cell>
          <cell r="V1712" t="str">
            <v>Good</v>
          </cell>
          <cell r="W1712" t="str">
            <v>Clinic'les</v>
          </cell>
          <cell r="X1712" t="str">
            <v>Clinic'les- Dr Prakash BV, Bangalore</v>
          </cell>
          <cell r="Y1712" t="str">
            <v>Sri Lakshmi Hospital, Bangalore</v>
          </cell>
          <cell r="Z1712" t="str">
            <v>Dr Prakash BV, Bangalore</v>
          </cell>
          <cell r="AA1712" t="str">
            <v>HNSCC</v>
          </cell>
          <cell r="AC1712" t="str">
            <v>Tongue</v>
          </cell>
          <cell r="AD1712" t="str">
            <v>Dorsum of Tongue</v>
          </cell>
          <cell r="AE1712" t="str">
            <v>Female</v>
          </cell>
          <cell r="AF1712">
            <v>40</v>
          </cell>
          <cell r="AG1712" t="str">
            <v>No</v>
          </cell>
          <cell r="AI1712" t="str">
            <v>Sashi</v>
          </cell>
          <cell r="AJ1712" t="str">
            <v>Surgery</v>
          </cell>
          <cell r="AK1712" t="str">
            <v>Primary</v>
          </cell>
          <cell r="AN1712" t="str">
            <v>II</v>
          </cell>
          <cell r="AO1712" t="str">
            <v>II</v>
          </cell>
          <cell r="AP1712" t="str">
            <v>pT2N0M0</v>
          </cell>
          <cell r="AS1712" t="str">
            <v>Squamous Cell Carcinoma</v>
          </cell>
          <cell r="AV1712">
            <v>44241</v>
          </cell>
          <cell r="AW1712">
            <v>0.63194444444444442</v>
          </cell>
          <cell r="AX1712">
            <v>0.70833333333333337</v>
          </cell>
          <cell r="AY1712">
            <v>7.6388888888888895E-2</v>
          </cell>
          <cell r="AZ1712">
            <v>2.7777777777777776E-2</v>
          </cell>
          <cell r="BA1712">
            <v>0.19444444444444445</v>
          </cell>
          <cell r="BB1712" t="str">
            <v>1.4*2.2*3.0</v>
          </cell>
          <cell r="BC1712" t="str">
            <v>1.4*2.2*3.0</v>
          </cell>
          <cell r="BD1712" t="str">
            <v>2*4*450</v>
          </cell>
          <cell r="BE1712">
            <v>4</v>
          </cell>
          <cell r="BF1712" t="str">
            <v>Vasanth</v>
          </cell>
          <cell r="BG1712" t="str">
            <v>Q</v>
          </cell>
        </row>
        <row r="1713">
          <cell r="A1713" t="str">
            <v>FBR1B210022</v>
          </cell>
          <cell r="B1713">
            <v>210022</v>
          </cell>
          <cell r="C1713" t="str">
            <v>R&amp;D</v>
          </cell>
          <cell r="D1713">
            <v>44246</v>
          </cell>
          <cell r="E1713">
            <v>0.375</v>
          </cell>
          <cell r="F1713">
            <v>44228</v>
          </cell>
          <cell r="G1713">
            <v>44246</v>
          </cell>
          <cell r="H1713">
            <v>0.5625</v>
          </cell>
          <cell r="I1713">
            <v>0.1875</v>
          </cell>
          <cell r="K1713" t="str">
            <v>MBT-TB-070 v1.1</v>
          </cell>
          <cell r="L1713" t="str">
            <v>CLN/PRA/01/0061</v>
          </cell>
          <cell r="M1713" t="str">
            <v>Y</v>
          </cell>
          <cell r="N1713" t="str">
            <v>DMS_v2.1</v>
          </cell>
          <cell r="O1713" t="str">
            <v>Internal R&amp;D</v>
          </cell>
          <cell r="S1713" t="str">
            <v>Q1 Passed</v>
          </cell>
          <cell r="T1713" t="str">
            <v>Q2 Passed</v>
          </cell>
          <cell r="V1713" t="str">
            <v>Good *however looks glandular not H&amp;N</v>
          </cell>
          <cell r="W1713" t="str">
            <v>Clinic'les</v>
          </cell>
          <cell r="X1713" t="str">
            <v>Clinic'les- Dr Prakash BV, Bangalore</v>
          </cell>
          <cell r="Y1713" t="str">
            <v>Sri Lakshmi Hospital, Bangalore</v>
          </cell>
          <cell r="Z1713" t="str">
            <v>Dr Prakash BV, Bangalore</v>
          </cell>
          <cell r="AA1713" t="str">
            <v>HNSCC</v>
          </cell>
          <cell r="AC1713" t="str">
            <v>Maxilla</v>
          </cell>
          <cell r="AD1713" t="str">
            <v>Right Hard Palate with Maxilla</v>
          </cell>
          <cell r="AE1713" t="str">
            <v>Male</v>
          </cell>
          <cell r="AF1713">
            <v>60</v>
          </cell>
          <cell r="AG1713" t="str">
            <v>No</v>
          </cell>
          <cell r="AI1713" t="str">
            <v>Sashi</v>
          </cell>
          <cell r="AJ1713" t="str">
            <v>Surgery</v>
          </cell>
          <cell r="AK1713" t="str">
            <v>Primary</v>
          </cell>
          <cell r="AN1713" t="str">
            <v>IVA</v>
          </cell>
          <cell r="AO1713" t="str">
            <v>III</v>
          </cell>
          <cell r="AP1713" t="str">
            <v>pT4aN1M0</v>
          </cell>
          <cell r="AS1713" t="str">
            <v>Squamous Cell Carcinoma</v>
          </cell>
          <cell r="AV1713">
            <v>44246</v>
          </cell>
          <cell r="AW1713">
            <v>0.56944444444444442</v>
          </cell>
          <cell r="AX1713">
            <v>0.68055555555555558</v>
          </cell>
          <cell r="AY1713">
            <v>0.1111111111111111</v>
          </cell>
          <cell r="AZ1713">
            <v>6.9444444444444441E-3</v>
          </cell>
          <cell r="BA1713">
            <v>0.19444444444444445</v>
          </cell>
          <cell r="BD1713" t="str">
            <v>2*4*450</v>
          </cell>
          <cell r="BE1713">
            <v>4</v>
          </cell>
          <cell r="BF1713" t="str">
            <v>Sindhu</v>
          </cell>
          <cell r="BG1713" t="str">
            <v>Q</v>
          </cell>
        </row>
        <row r="1714">
          <cell r="A1714" t="str">
            <v>FBR1A210023</v>
          </cell>
          <cell r="B1714">
            <v>210023</v>
          </cell>
          <cell r="C1714" t="str">
            <v>R&amp;D</v>
          </cell>
          <cell r="D1714">
            <v>44246</v>
          </cell>
          <cell r="E1714">
            <v>0.33333333333333331</v>
          </cell>
          <cell r="F1714">
            <v>44228</v>
          </cell>
          <cell r="G1714">
            <v>44246</v>
          </cell>
          <cell r="H1714">
            <v>0.5625</v>
          </cell>
          <cell r="I1714">
            <v>0.22916666666666666</v>
          </cell>
          <cell r="K1714" t="str">
            <v>MBT-TB-070 v1.1</v>
          </cell>
          <cell r="L1714" t="str">
            <v>CLN/PRA/01/0062</v>
          </cell>
          <cell r="M1714" t="str">
            <v>Y</v>
          </cell>
          <cell r="N1714" t="str">
            <v>Other Indication</v>
          </cell>
          <cell r="O1714" t="str">
            <v>Internal R&amp;D</v>
          </cell>
          <cell r="S1714" t="str">
            <v>Q1 Passed</v>
          </cell>
          <cell r="T1714" t="str">
            <v>Q2 Passed</v>
          </cell>
          <cell r="V1714" t="str">
            <v>Each Arm&gt;5%</v>
          </cell>
          <cell r="W1714" t="str">
            <v>Clinic'les</v>
          </cell>
          <cell r="X1714" t="str">
            <v>Clinic'les- Dr Prakash BV, Bangalore</v>
          </cell>
          <cell r="Y1714" t="str">
            <v>Sri Lakshmi Hospital, Bangalore</v>
          </cell>
          <cell r="Z1714" t="str">
            <v>Dr Prakash BV, Bangalore</v>
          </cell>
          <cell r="AA1714" t="str">
            <v>Ca Breast</v>
          </cell>
          <cell r="AC1714" t="str">
            <v>Breast</v>
          </cell>
          <cell r="AD1714" t="str">
            <v>Breast</v>
          </cell>
          <cell r="AE1714" t="str">
            <v>Female</v>
          </cell>
          <cell r="AF1714">
            <v>40</v>
          </cell>
          <cell r="AG1714" t="str">
            <v>No</v>
          </cell>
          <cell r="AI1714" t="str">
            <v>Sashi</v>
          </cell>
          <cell r="AJ1714" t="str">
            <v>Surgery</v>
          </cell>
          <cell r="AK1714" t="str">
            <v>Primary</v>
          </cell>
          <cell r="AN1714" t="str">
            <v>III</v>
          </cell>
          <cell r="AO1714" t="str">
            <v>II</v>
          </cell>
          <cell r="AP1714" t="str">
            <v>pT3N0M0</v>
          </cell>
          <cell r="AS1714" t="str">
            <v>Infiltrating ductal Carcinoma</v>
          </cell>
          <cell r="AT1714" t="str">
            <v>8 cycles</v>
          </cell>
          <cell r="AU1714" t="str">
            <v>4Ac+4Paclitaxane+ Adriamycin+ Cyclophosphamide+ Paclitaxane</v>
          </cell>
        </row>
        <row r="1715">
          <cell r="A1715" t="str">
            <v>FBB1A210024</v>
          </cell>
          <cell r="B1715">
            <v>210024</v>
          </cell>
          <cell r="C1715" t="str">
            <v>Biopharma</v>
          </cell>
          <cell r="D1715">
            <v>44249</v>
          </cell>
          <cell r="E1715">
            <v>0.6020833333333333</v>
          </cell>
          <cell r="F1715">
            <v>44228</v>
          </cell>
          <cell r="G1715">
            <v>44249</v>
          </cell>
          <cell r="H1715">
            <v>0.7006944444444444</v>
          </cell>
          <cell r="I1715">
            <v>9.8611111111111108E-2</v>
          </cell>
          <cell r="J1715">
            <v>0</v>
          </cell>
          <cell r="K1715" t="str">
            <v>MBT-TB-070 v2.0</v>
          </cell>
          <cell r="L1715" t="str">
            <v>BBH002</v>
          </cell>
          <cell r="M1715" t="str">
            <v>Y</v>
          </cell>
          <cell r="N1715" t="str">
            <v>BP001_SOW1_2020</v>
          </cell>
          <cell r="O1715" t="str">
            <v>Biopharma</v>
          </cell>
          <cell r="S1715" t="str">
            <v>Q1 Passed</v>
          </cell>
          <cell r="T1715" t="str">
            <v>Q2 Passed</v>
          </cell>
          <cell r="V1715" t="str">
            <v>Good</v>
          </cell>
          <cell r="W1715" t="str">
            <v>Independent</v>
          </cell>
          <cell r="X1715" t="str">
            <v>Bangalore Baptist Hospital, Hebbal</v>
          </cell>
          <cell r="Y1715" t="str">
            <v>Bangalore Baptist Hospital, Hebbal</v>
          </cell>
          <cell r="Z1715" t="str">
            <v>Dr Manjula BV, Bangalore</v>
          </cell>
          <cell r="AA1715" t="str">
            <v>HNSCC</v>
          </cell>
          <cell r="AC1715" t="str">
            <v>RMT</v>
          </cell>
          <cell r="AD1715" t="str">
            <v>Right RMT</v>
          </cell>
          <cell r="AE1715" t="str">
            <v>Male</v>
          </cell>
          <cell r="AF1715">
            <v>62</v>
          </cell>
          <cell r="AG1715" t="str">
            <v>No</v>
          </cell>
          <cell r="AI1715" t="str">
            <v>Sashi</v>
          </cell>
          <cell r="AJ1715" t="str">
            <v>Surgery</v>
          </cell>
          <cell r="AK1715" t="str">
            <v>Primary</v>
          </cell>
          <cell r="AO1715" t="str">
            <v>II</v>
          </cell>
          <cell r="AP1715" t="str">
            <v>pT3N0M0</v>
          </cell>
          <cell r="AS1715" t="str">
            <v>Squamous Cell Carcinoma</v>
          </cell>
          <cell r="AV1715">
            <v>44249</v>
          </cell>
          <cell r="AW1715">
            <v>0.70833333333333337</v>
          </cell>
          <cell r="AX1715">
            <v>0.80208333333333337</v>
          </cell>
          <cell r="AY1715">
            <v>9.375E-2</v>
          </cell>
          <cell r="AZ1715">
            <v>7.6388888888888886E-3</v>
          </cell>
          <cell r="BA1715">
            <v>0.10625</v>
          </cell>
          <cell r="BB1715" t="str">
            <v>0.6*1.0*1.8
0.4*0.8*1.8
0.2*0.2*0.4
0.2*0.2*0.6
0.2*0.2*0.4</v>
          </cell>
          <cell r="BC1715" t="str">
            <v>0.6*1.0*1.8
0.4*0.8*1.8
0.2*0.2*0.4
0.2*0.2*0.6
0.2*0.2*0.4</v>
          </cell>
          <cell r="BD1715" t="str">
            <v>2*4*450</v>
          </cell>
          <cell r="BE1715">
            <v>4</v>
          </cell>
          <cell r="BF1715" t="str">
            <v>Vasanth</v>
          </cell>
          <cell r="BG1715" t="str">
            <v>Q</v>
          </cell>
        </row>
        <row r="1716">
          <cell r="A1716" t="str">
            <v>FBR1B210024</v>
          </cell>
          <cell r="B1716">
            <v>210024</v>
          </cell>
          <cell r="C1716" t="str">
            <v>R&amp;D</v>
          </cell>
          <cell r="D1716">
            <v>44249</v>
          </cell>
          <cell r="E1716">
            <v>0.6020833333333333</v>
          </cell>
          <cell r="F1716">
            <v>44228</v>
          </cell>
          <cell r="G1716">
            <v>44249</v>
          </cell>
          <cell r="H1716">
            <v>0.7006944444444444</v>
          </cell>
          <cell r="I1716">
            <v>9.8611111111111108E-2</v>
          </cell>
          <cell r="J1716">
            <v>0</v>
          </cell>
          <cell r="K1716" t="str">
            <v>MBT-TB-070 v2.0</v>
          </cell>
          <cell r="L1716" t="str">
            <v>BBH002</v>
          </cell>
          <cell r="M1716" t="str">
            <v>Y</v>
          </cell>
          <cell r="N1716" t="str">
            <v>DMS_v2.1</v>
          </cell>
          <cell r="O1716" t="str">
            <v>Internal R&amp;D</v>
          </cell>
          <cell r="S1716" t="str">
            <v>Q1 Passed</v>
          </cell>
          <cell r="W1716" t="str">
            <v>Independent</v>
          </cell>
          <cell r="X1716" t="str">
            <v>Bangalore Baptist Hospital, Hebbal</v>
          </cell>
          <cell r="Y1716" t="str">
            <v>Bangalore Baptist Hospital, Hebbal</v>
          </cell>
          <cell r="Z1716" t="str">
            <v>Dr Manjula BV, Bangalore</v>
          </cell>
          <cell r="AA1716" t="str">
            <v>HNSCC</v>
          </cell>
          <cell r="AC1716" t="str">
            <v>RMT</v>
          </cell>
          <cell r="AD1716" t="str">
            <v>Right RMT</v>
          </cell>
          <cell r="AE1716" t="str">
            <v>Male</v>
          </cell>
          <cell r="AF1716">
            <v>62</v>
          </cell>
          <cell r="AG1716" t="str">
            <v>No</v>
          </cell>
          <cell r="AI1716" t="str">
            <v>Sashi</v>
          </cell>
          <cell r="AJ1716" t="str">
            <v>Surgery</v>
          </cell>
          <cell r="AK1716" t="str">
            <v>Primary</v>
          </cell>
          <cell r="AN1716" t="str">
            <v>III</v>
          </cell>
          <cell r="AO1716" t="str">
            <v>II</v>
          </cell>
          <cell r="AP1716" t="str">
            <v>pT3N0M0</v>
          </cell>
          <cell r="AS1716" t="str">
            <v>Squamous Cell Carcinoma</v>
          </cell>
          <cell r="AV1716">
            <v>44249</v>
          </cell>
          <cell r="AW1716">
            <v>0.70833333333333337</v>
          </cell>
          <cell r="AX1716">
            <v>0.80208333333333337</v>
          </cell>
          <cell r="AY1716">
            <v>9.375E-2</v>
          </cell>
          <cell r="AZ1716">
            <v>7.6388888888888886E-3</v>
          </cell>
          <cell r="BA1716">
            <v>0.10625</v>
          </cell>
          <cell r="BB1716" t="str">
            <v>0.6*1.0*1.8
0.4*0.8*1.8
0.2*0.2*0.4
0.2*0.2*0.6
0.2*0.2*0.4</v>
          </cell>
          <cell r="BC1716" t="str">
            <v>0.6*1.0*1.8
0.4*0.8*1.8
0.2*0.2*0.4
0.2*0.2*0.6
0.2*0.2*0.4</v>
          </cell>
          <cell r="BD1716" t="str">
            <v>2*4*450</v>
          </cell>
          <cell r="BE1716">
            <v>4</v>
          </cell>
          <cell r="BF1716" t="str">
            <v>Vasanth</v>
          </cell>
          <cell r="BG1716" t="str">
            <v>Q</v>
          </cell>
        </row>
        <row r="1717">
          <cell r="A1717" t="str">
            <v>FBR1B210025</v>
          </cell>
          <cell r="B1717">
            <v>210025</v>
          </cell>
          <cell r="C1717" t="str">
            <v>R&amp;D</v>
          </cell>
          <cell r="D1717">
            <v>44250</v>
          </cell>
          <cell r="E1717">
            <v>0.9375</v>
          </cell>
          <cell r="F1717">
            <v>44228</v>
          </cell>
          <cell r="G1717">
            <v>44251</v>
          </cell>
          <cell r="H1717">
            <v>0</v>
          </cell>
          <cell r="I1717">
            <v>6.25E-2</v>
          </cell>
          <cell r="K1717" t="str">
            <v>MBT-TB-070 v1.1</v>
          </cell>
          <cell r="L1717" t="str">
            <v>CLN/PRA/01/0063</v>
          </cell>
          <cell r="M1717" t="str">
            <v>Y</v>
          </cell>
          <cell r="N1717" t="str">
            <v>No Study</v>
          </cell>
          <cell r="O1717" t="str">
            <v>1st level attrition</v>
          </cell>
          <cell r="S1717" t="str">
            <v>Q1 Rejected</v>
          </cell>
          <cell r="T1717" t="str">
            <v>Q2 Passed</v>
          </cell>
          <cell r="U1717" t="str">
            <v>Sample received in old buffer tube</v>
          </cell>
          <cell r="V1717" t="str">
            <v>Good</v>
          </cell>
          <cell r="W1717" t="str">
            <v>Clinic'les</v>
          </cell>
          <cell r="X1717" t="str">
            <v>Clinic'les- Dr Prakash BV, Bangalore</v>
          </cell>
          <cell r="Y1717" t="str">
            <v>Sri Lakshmi Hospital, Bangalore</v>
          </cell>
          <cell r="Z1717" t="str">
            <v>Dr Prakash BV, Bangalore</v>
          </cell>
          <cell r="AA1717" t="str">
            <v>HNSCC</v>
          </cell>
          <cell r="AC1717" t="str">
            <v>GBS</v>
          </cell>
          <cell r="AD1717" t="str">
            <v>Left Lower GBS</v>
          </cell>
          <cell r="AE1717" t="str">
            <v>Male</v>
          </cell>
          <cell r="AF1717">
            <v>56</v>
          </cell>
          <cell r="AG1717" t="str">
            <v>No</v>
          </cell>
          <cell r="AI1717" t="str">
            <v>Sashi</v>
          </cell>
          <cell r="AJ1717" t="str">
            <v>Surgery</v>
          </cell>
          <cell r="AK1717" t="str">
            <v>Primary</v>
          </cell>
          <cell r="AN1717" t="str">
            <v>II</v>
          </cell>
          <cell r="AO1717" t="str">
            <v>I</v>
          </cell>
          <cell r="AP1717" t="str">
            <v>pT2N0M0</v>
          </cell>
          <cell r="AS1717" t="str">
            <v>Squamous Cell Carcinoma</v>
          </cell>
          <cell r="AV1717">
            <v>44251</v>
          </cell>
          <cell r="AW1717">
            <v>0.32291666666666669</v>
          </cell>
          <cell r="AX1717">
            <v>0.40972222222222221</v>
          </cell>
        </row>
        <row r="1718">
          <cell r="A1718" t="str">
            <v>FBR1B210026</v>
          </cell>
          <cell r="B1718">
            <v>210026</v>
          </cell>
          <cell r="C1718" t="str">
            <v>R&amp;D</v>
          </cell>
          <cell r="D1718">
            <v>44251</v>
          </cell>
          <cell r="E1718">
            <v>0.29166666666666669</v>
          </cell>
          <cell r="F1718">
            <v>44228</v>
          </cell>
          <cell r="G1718">
            <v>44251</v>
          </cell>
          <cell r="H1718">
            <v>0.375</v>
          </cell>
          <cell r="I1718">
            <v>8.3333333333333329E-2</v>
          </cell>
          <cell r="K1718" t="str">
            <v>MBT-TB-070 v1.1</v>
          </cell>
          <cell r="L1718" t="str">
            <v>CLN/PRA/01/0064</v>
          </cell>
          <cell r="M1718" t="str">
            <v>Y</v>
          </cell>
          <cell r="N1718" t="str">
            <v>DMS_v2.1</v>
          </cell>
          <cell r="O1718" t="str">
            <v>Internal R&amp;D</v>
          </cell>
          <cell r="S1718" t="str">
            <v>Q1 Passed</v>
          </cell>
          <cell r="V1718" t="str">
            <v>High</v>
          </cell>
          <cell r="W1718" t="str">
            <v>Clinic'les</v>
          </cell>
          <cell r="X1718" t="str">
            <v>Clinic'les- Dr Prakash BV, Bangalore</v>
          </cell>
          <cell r="Y1718" t="str">
            <v>Sri Lakshmi Hospital, Bangalore</v>
          </cell>
          <cell r="Z1718" t="str">
            <v>Dr Prakash BV, Bangalore</v>
          </cell>
          <cell r="AA1718" t="str">
            <v>HNSCC</v>
          </cell>
          <cell r="AC1718" t="str">
            <v>Tongue</v>
          </cell>
          <cell r="AD1718" t="str">
            <v>Left Lateral Tongue</v>
          </cell>
          <cell r="AE1718" t="str">
            <v>Male</v>
          </cell>
          <cell r="AF1718">
            <v>51</v>
          </cell>
          <cell r="AG1718" t="str">
            <v>No</v>
          </cell>
          <cell r="AI1718" t="str">
            <v>Partha</v>
          </cell>
          <cell r="AJ1718" t="str">
            <v>Surgery</v>
          </cell>
          <cell r="AK1718" t="str">
            <v>Primary</v>
          </cell>
          <cell r="AN1718" t="str">
            <v>II</v>
          </cell>
          <cell r="AO1718" t="str">
            <v>I</v>
          </cell>
          <cell r="AP1718" t="str">
            <v>pT2N0M0</v>
          </cell>
          <cell r="AQ1718" t="str">
            <v>2 cycles</v>
          </cell>
          <cell r="AR1718" t="str">
            <v>Paclitaxel+ Carboplatin</v>
          </cell>
          <cell r="AS1718" t="str">
            <v>Squamous Cell Carcinoma</v>
          </cell>
          <cell r="AV1718">
            <v>44251</v>
          </cell>
          <cell r="AW1718">
            <v>0.37708333333333333</v>
          </cell>
          <cell r="AX1718">
            <v>0.4909722222222222</v>
          </cell>
          <cell r="BB1718" t="str">
            <v>0.5x0.2*0.6x0.2*1.7x0.2</v>
          </cell>
          <cell r="BC1718" t="str">
            <v>0.5x0.2*0.6x0.2*1.7x0.2</v>
          </cell>
          <cell r="BD1718" t="str">
            <v>2*4*450</v>
          </cell>
          <cell r="BE1718">
            <v>4</v>
          </cell>
          <cell r="BF1718" t="str">
            <v>GS</v>
          </cell>
          <cell r="BG1718" t="str">
            <v>Q</v>
          </cell>
        </row>
        <row r="1719">
          <cell r="A1719" t="str">
            <v>FBR1B210027</v>
          </cell>
          <cell r="B1719">
            <v>210027</v>
          </cell>
          <cell r="C1719" t="str">
            <v>R&amp;D</v>
          </cell>
          <cell r="D1719">
            <v>44253</v>
          </cell>
          <cell r="E1719">
            <v>0.79166666666666663</v>
          </cell>
          <cell r="F1719">
            <v>44228</v>
          </cell>
          <cell r="G1719">
            <v>44254</v>
          </cell>
          <cell r="H1719">
            <v>0.52430555555555558</v>
          </cell>
          <cell r="I1719">
            <v>0.73263888888888884</v>
          </cell>
          <cell r="J1719">
            <v>24</v>
          </cell>
          <cell r="K1719" t="str">
            <v>MBT-TB-070 v1.1</v>
          </cell>
          <cell r="L1719" t="str">
            <v>CLN/SMG/14/002</v>
          </cell>
          <cell r="M1719" t="str">
            <v>Y</v>
          </cell>
          <cell r="N1719" t="str">
            <v>DMS_v2.1</v>
          </cell>
          <cell r="O1719" t="str">
            <v>Internal R&amp;D</v>
          </cell>
          <cell r="S1719" t="str">
            <v>Q1 Rejected</v>
          </cell>
          <cell r="T1719" t="str">
            <v>Q2 Passed</v>
          </cell>
          <cell r="U1719" t="str">
            <v>Blood sample was hemolyzed post spinning</v>
          </cell>
          <cell r="W1719" t="str">
            <v>Clinic'les</v>
          </cell>
          <cell r="X1719" t="str">
            <v>Clinic'les- Shanmuga Hospital, Salem</v>
          </cell>
          <cell r="Y1719" t="str">
            <v>Shanmuga Hospital, Salem</v>
          </cell>
          <cell r="AA1719" t="str">
            <v>HNSCC</v>
          </cell>
          <cell r="AC1719" t="str">
            <v>Buccal Mucosa</v>
          </cell>
          <cell r="AD1719" t="str">
            <v>Buccal Mucosa</v>
          </cell>
          <cell r="AE1719" t="str">
            <v>Female</v>
          </cell>
          <cell r="AF1719">
            <v>55</v>
          </cell>
          <cell r="AG1719" t="str">
            <v>No</v>
          </cell>
          <cell r="AI1719" t="str">
            <v>Clinc'les/Partha</v>
          </cell>
          <cell r="AJ1719" t="str">
            <v>Surgery</v>
          </cell>
          <cell r="AK1719" t="str">
            <v>Primary</v>
          </cell>
          <cell r="AV1719">
            <v>44254</v>
          </cell>
          <cell r="AW1719">
            <v>0.52777777777777779</v>
          </cell>
          <cell r="AX1719">
            <v>0.60416666666666663</v>
          </cell>
          <cell r="BB1719" t="str">
            <v>1.8*1.2*1.8</v>
          </cell>
          <cell r="BC1719" t="str">
            <v>1.0*1.0*1.4</v>
          </cell>
          <cell r="BD1719" t="str">
            <v>2*4*450</v>
          </cell>
          <cell r="BE1719">
            <v>4</v>
          </cell>
          <cell r="BF1719" t="str">
            <v>VK</v>
          </cell>
          <cell r="BG1719" t="str">
            <v>NQ</v>
          </cell>
        </row>
        <row r="1720">
          <cell r="A1720" t="str">
            <v>FBR1A210028</v>
          </cell>
          <cell r="B1720">
            <v>210028</v>
          </cell>
          <cell r="C1720" t="str">
            <v>R&amp;D</v>
          </cell>
          <cell r="D1720">
            <v>44260</v>
          </cell>
          <cell r="E1720">
            <v>0.82986111111111116</v>
          </cell>
          <cell r="F1720">
            <v>44256</v>
          </cell>
          <cell r="G1720">
            <v>44261</v>
          </cell>
          <cell r="H1720">
            <v>0.36805555555555558</v>
          </cell>
          <cell r="I1720">
            <v>0.53819444444444442</v>
          </cell>
          <cell r="J1720">
            <v>10</v>
          </cell>
          <cell r="K1720" t="str">
            <v>MBT-TB-070 v1.1</v>
          </cell>
          <cell r="L1720" t="str">
            <v>CLN/SMG/14/003</v>
          </cell>
          <cell r="M1720" t="str">
            <v>Y</v>
          </cell>
          <cell r="N1720" t="str">
            <v>Other Indication</v>
          </cell>
          <cell r="O1720" t="str">
            <v>Internal R&amp;D</v>
          </cell>
          <cell r="S1720" t="str">
            <v>Q1 Passed</v>
          </cell>
          <cell r="T1720" t="str">
            <v>Q2 Passed</v>
          </cell>
          <cell r="V1720" t="str">
            <v>Varies between 0-40%</v>
          </cell>
          <cell r="W1720" t="str">
            <v>Clinic'les</v>
          </cell>
          <cell r="X1720" t="str">
            <v>Clinic'les- Shanmuga Hospital, Salem</v>
          </cell>
          <cell r="Y1720" t="str">
            <v>Shanmuga Hospital, Salem</v>
          </cell>
          <cell r="AA1720" t="str">
            <v>Ca Breast</v>
          </cell>
          <cell r="AC1720" t="str">
            <v>Breast</v>
          </cell>
          <cell r="AD1720" t="str">
            <v>Left Breast</v>
          </cell>
          <cell r="AE1720" t="str">
            <v>Female</v>
          </cell>
          <cell r="AF1720">
            <v>60</v>
          </cell>
          <cell r="AG1720" t="str">
            <v>No</v>
          </cell>
          <cell r="AI1720" t="str">
            <v>Clinc'les/Partha</v>
          </cell>
          <cell r="AJ1720" t="str">
            <v>Surgery</v>
          </cell>
          <cell r="AK1720" t="str">
            <v>Primary</v>
          </cell>
          <cell r="AN1720" t="str">
            <v>NA</v>
          </cell>
          <cell r="AO1720" t="str">
            <v>II</v>
          </cell>
          <cell r="AP1720" t="str">
            <v>pT4N0Mx</v>
          </cell>
          <cell r="AS1720" t="str">
            <v>Invasive ductal Carcinoma</v>
          </cell>
          <cell r="AV1720">
            <v>44261</v>
          </cell>
          <cell r="AW1720">
            <v>0.375</v>
          </cell>
          <cell r="AX1720">
            <v>0.47916666666666669</v>
          </cell>
          <cell r="AY1720">
            <v>0.10416666666666667</v>
          </cell>
          <cell r="AZ1720">
            <v>6.9444444444444441E-3</v>
          </cell>
          <cell r="BA1720">
            <v>0.54513888888888884</v>
          </cell>
          <cell r="BB1720" t="str">
            <v>0.8*1.8*1.2
0.6*1.2*2.4
0.8*1.6*2.4</v>
          </cell>
          <cell r="BC1720" t="str">
            <v>0.8*1.0*1.2
0.6*0.8*1.0
0.8*0.8*0.8
0.6*1.0*0.8</v>
          </cell>
          <cell r="BD1720" t="str">
            <v>2*4*450</v>
          </cell>
          <cell r="BE1720">
            <v>4</v>
          </cell>
          <cell r="BF1720" t="str">
            <v>Kowshik</v>
          </cell>
          <cell r="BG1720" t="str">
            <v>Q</v>
          </cell>
        </row>
        <row r="1721">
          <cell r="A1721" t="str">
            <v>FBB1A210029</v>
          </cell>
          <cell r="B1721">
            <v>210029</v>
          </cell>
          <cell r="C1721" t="str">
            <v>Biopharma</v>
          </cell>
          <cell r="D1721">
            <v>44261</v>
          </cell>
          <cell r="E1721">
            <v>0.36458333333333331</v>
          </cell>
          <cell r="F1721">
            <v>44256</v>
          </cell>
          <cell r="G1721">
            <v>44261</v>
          </cell>
          <cell r="H1721">
            <v>0.4513888888888889</v>
          </cell>
          <cell r="I1721">
            <v>8.6805555555555552E-2</v>
          </cell>
          <cell r="K1721" t="str">
            <v>MBT-TB-070 v1.1</v>
          </cell>
          <cell r="L1721" t="str">
            <v>CLN/PRA/01/0065</v>
          </cell>
          <cell r="M1721" t="str">
            <v>Y</v>
          </cell>
          <cell r="N1721" t="str">
            <v>BP001_SOW1_2020</v>
          </cell>
          <cell r="O1721" t="str">
            <v>Biopharma</v>
          </cell>
          <cell r="S1721" t="str">
            <v>Q1 Passed</v>
          </cell>
          <cell r="T1721" t="str">
            <v>Q2 Passed</v>
          </cell>
          <cell r="V1721" t="str">
            <v>Good</v>
          </cell>
          <cell r="W1721" t="str">
            <v>Clinic'les</v>
          </cell>
          <cell r="X1721" t="str">
            <v>Clinic'les- Dr Prakash BV, Bangalore</v>
          </cell>
          <cell r="Y1721" t="str">
            <v>Sri Lakshmi Hospital, Bangalore</v>
          </cell>
          <cell r="Z1721" t="str">
            <v>Dr Prakash BV, Bangalore</v>
          </cell>
          <cell r="AA1721" t="str">
            <v>HNSCC</v>
          </cell>
          <cell r="AC1721" t="str">
            <v>Alveolus</v>
          </cell>
          <cell r="AD1721" t="str">
            <v>Right Lower Alveolus</v>
          </cell>
          <cell r="AE1721" t="str">
            <v>Female</v>
          </cell>
          <cell r="AF1721">
            <v>55</v>
          </cell>
          <cell r="AG1721" t="str">
            <v>No</v>
          </cell>
          <cell r="AI1721" t="str">
            <v>Sashi</v>
          </cell>
          <cell r="AJ1721" t="str">
            <v>Surgery</v>
          </cell>
          <cell r="AK1721" t="str">
            <v>Primary</v>
          </cell>
          <cell r="AN1721" t="str">
            <v>IVA</v>
          </cell>
          <cell r="AO1721" t="str">
            <v>I</v>
          </cell>
          <cell r="AP1721" t="str">
            <v>pT4aN1M0</v>
          </cell>
          <cell r="AS1721" t="str">
            <v>Squamous Cell Carcinoma</v>
          </cell>
          <cell r="AV1721">
            <v>44261</v>
          </cell>
          <cell r="AW1721">
            <v>0.45833333333333331</v>
          </cell>
          <cell r="AX1721">
            <v>0.52500000000000002</v>
          </cell>
          <cell r="AY1721">
            <v>6.6666666666666666E-2</v>
          </cell>
          <cell r="AZ1721">
            <v>6.9444444444444441E-3</v>
          </cell>
          <cell r="BA1721">
            <v>9.375E-2</v>
          </cell>
          <cell r="BB1721" t="str">
            <v>0.6*2.2*1.6
0.8*2.4*1.8</v>
          </cell>
          <cell r="BC1721" t="str">
            <v>0.6*1.6*1.4
0.8*1.6*1.4
0.6*0.6*1.0</v>
          </cell>
          <cell r="BD1721" t="str">
            <v>2*4*450</v>
          </cell>
          <cell r="BE1721">
            <v>4</v>
          </cell>
          <cell r="BF1721" t="str">
            <v>Sindhu</v>
          </cell>
          <cell r="BG1721" t="str">
            <v>Q</v>
          </cell>
        </row>
        <row r="1722">
          <cell r="A1722" t="str">
            <v>FBR1E210029</v>
          </cell>
          <cell r="B1722">
            <v>210029</v>
          </cell>
          <cell r="C1722" t="str">
            <v>R&amp;D</v>
          </cell>
          <cell r="D1722">
            <v>44261</v>
          </cell>
          <cell r="E1722">
            <v>0.36458333333333331</v>
          </cell>
          <cell r="F1722">
            <v>44256</v>
          </cell>
          <cell r="G1722">
            <v>44261</v>
          </cell>
          <cell r="H1722">
            <v>0.4513888888888889</v>
          </cell>
          <cell r="I1722">
            <v>8.6805555555555552E-2</v>
          </cell>
          <cell r="K1722" t="str">
            <v>MBT-TB-070 v1.1</v>
          </cell>
          <cell r="L1722" t="str">
            <v>CLN/PRA/01/0065</v>
          </cell>
          <cell r="M1722" t="str">
            <v>Y</v>
          </cell>
          <cell r="N1722" t="str">
            <v>Immune Infiltration Expt</v>
          </cell>
          <cell r="O1722" t="str">
            <v>Internal R&amp;D</v>
          </cell>
          <cell r="S1722" t="str">
            <v>Q1 Passed</v>
          </cell>
          <cell r="T1722" t="str">
            <v>Q2 Passed</v>
          </cell>
          <cell r="V1722" t="str">
            <v>High tumour content; hot tumour</v>
          </cell>
          <cell r="W1722" t="str">
            <v>Clinic'les</v>
          </cell>
          <cell r="X1722" t="str">
            <v>Clinic'les- Dr Prakash BV, Bangalore</v>
          </cell>
          <cell r="Y1722" t="str">
            <v>Sri Lakshmi Hospital, Bangalore</v>
          </cell>
          <cell r="Z1722" t="str">
            <v>Dr Prakash BV, Bangalore</v>
          </cell>
          <cell r="AA1722" t="str">
            <v>HNSCC</v>
          </cell>
          <cell r="AC1722" t="str">
            <v>Alveolus</v>
          </cell>
          <cell r="AD1722" t="str">
            <v>Right Lower Alveolus</v>
          </cell>
          <cell r="AE1722" t="str">
            <v>Female</v>
          </cell>
          <cell r="AF1722">
            <v>55</v>
          </cell>
          <cell r="AG1722" t="str">
            <v>No</v>
          </cell>
          <cell r="AI1722" t="str">
            <v>Sashi</v>
          </cell>
          <cell r="AJ1722" t="str">
            <v>Surgery</v>
          </cell>
          <cell r="AK1722" t="str">
            <v>Primary</v>
          </cell>
          <cell r="AN1722" t="str">
            <v>IVA</v>
          </cell>
          <cell r="AO1722" t="str">
            <v>I</v>
          </cell>
          <cell r="AP1722" t="str">
            <v>pT4aN1M0</v>
          </cell>
          <cell r="AS1722" t="str">
            <v>Squamous Cell Carcinoma</v>
          </cell>
          <cell r="AV1722">
            <v>44261</v>
          </cell>
          <cell r="AW1722">
            <v>0.45833333333333331</v>
          </cell>
          <cell r="AX1722">
            <v>0.52500000000000002</v>
          </cell>
          <cell r="AY1722">
            <v>6.6666666666666666E-2</v>
          </cell>
          <cell r="AZ1722">
            <v>6.9444444444444441E-3</v>
          </cell>
          <cell r="BA1722">
            <v>9.375E-2</v>
          </cell>
          <cell r="BB1722" t="str">
            <v>0.6*2.2*1.6
0.8*2.4*1.8</v>
          </cell>
          <cell r="BC1722" t="str">
            <v>0.6*1.6*1.4
0.8*1.6*1.4
0.6*0.6*1.0</v>
          </cell>
          <cell r="BD1722" t="str">
            <v>2*4*450</v>
          </cell>
          <cell r="BE1722">
            <v>4</v>
          </cell>
          <cell r="BF1722" t="str">
            <v>Sindhu</v>
          </cell>
          <cell r="BG1722" t="str">
            <v>Q</v>
          </cell>
        </row>
        <row r="1723">
          <cell r="A1723" t="str">
            <v>FBR1B210030</v>
          </cell>
          <cell r="B1723">
            <v>210030</v>
          </cell>
          <cell r="C1723" t="str">
            <v>R&amp;D</v>
          </cell>
          <cell r="D1723">
            <v>44263</v>
          </cell>
          <cell r="E1723">
            <v>0.97916666666666663</v>
          </cell>
          <cell r="F1723">
            <v>44256</v>
          </cell>
          <cell r="G1723">
            <v>44264</v>
          </cell>
          <cell r="H1723">
            <v>3.125E-2</v>
          </cell>
          <cell r="I1723">
            <v>5.2083333333333336E-2</v>
          </cell>
          <cell r="K1723" t="str">
            <v>MBT-TB-070 v1.1</v>
          </cell>
          <cell r="L1723" t="str">
            <v>CLN/PRA/01/0066</v>
          </cell>
          <cell r="M1723" t="str">
            <v>Y</v>
          </cell>
          <cell r="N1723" t="str">
            <v>Culture Improvement</v>
          </cell>
          <cell r="O1723" t="str">
            <v>Internal R&amp;D</v>
          </cell>
          <cell r="S1723" t="str">
            <v>Q1 Passed</v>
          </cell>
          <cell r="T1723" t="str">
            <v>Q2 Passed</v>
          </cell>
          <cell r="V1723" t="str">
            <v>Tumour only in 1/3 explants</v>
          </cell>
          <cell r="W1723" t="str">
            <v>Clinic'les</v>
          </cell>
          <cell r="X1723" t="str">
            <v>Clinic'les- Dr Prakash BV, Bangalore</v>
          </cell>
          <cell r="Y1723" t="str">
            <v>Sri Lakshmi Hospital, Bangalore</v>
          </cell>
          <cell r="Z1723" t="str">
            <v>Dr Prakash BV, Bangalore</v>
          </cell>
          <cell r="AA1723" t="str">
            <v>HNSCC</v>
          </cell>
          <cell r="AC1723" t="str">
            <v>Buccal Mucosa</v>
          </cell>
          <cell r="AD1723" t="str">
            <v>Right Buccal Mucosa</v>
          </cell>
          <cell r="AE1723" t="str">
            <v>Female</v>
          </cell>
          <cell r="AF1723">
            <v>48</v>
          </cell>
          <cell r="AG1723" t="str">
            <v>No</v>
          </cell>
          <cell r="AI1723" t="str">
            <v>Sashi/Partha</v>
          </cell>
          <cell r="AJ1723" t="str">
            <v>Surgery</v>
          </cell>
          <cell r="AK1723" t="str">
            <v>Primary</v>
          </cell>
          <cell r="AN1723" t="str">
            <v>III</v>
          </cell>
          <cell r="AO1723" t="str">
            <v>II</v>
          </cell>
          <cell r="AP1723" t="str">
            <v>pT3N0M0</v>
          </cell>
          <cell r="AS1723" t="str">
            <v>Squamous Cell Carcinoma</v>
          </cell>
          <cell r="AV1723">
            <v>44264</v>
          </cell>
          <cell r="AW1723">
            <v>0.3611111111111111</v>
          </cell>
          <cell r="AX1723">
            <v>0.47638888888888886</v>
          </cell>
          <cell r="AY1723">
            <v>0.11527777777777778</v>
          </cell>
          <cell r="AZ1723">
            <v>0.3298611111111111</v>
          </cell>
          <cell r="BA1723">
            <v>0.38194444444444442</v>
          </cell>
          <cell r="BB1723" t="str">
            <v>0.4*1.6*4.6
0.6*1.0*1.4
0.4*0.6*1.6</v>
          </cell>
          <cell r="BC1723" t="str">
            <v>0.4*1.6*4.6
0.6*1.0*1.4
0.4*0.6*1.6</v>
          </cell>
          <cell r="BD1723" t="str">
            <v>2*4*450</v>
          </cell>
          <cell r="BE1723">
            <v>4</v>
          </cell>
          <cell r="BF1723" t="str">
            <v>Vasanth</v>
          </cell>
          <cell r="BG1723" t="str">
            <v>Q</v>
          </cell>
        </row>
        <row r="1724">
          <cell r="A1724" t="str">
            <v>FBR1C210030</v>
          </cell>
          <cell r="B1724">
            <v>210030</v>
          </cell>
          <cell r="C1724" t="str">
            <v>R&amp;D</v>
          </cell>
          <cell r="D1724">
            <v>44263</v>
          </cell>
          <cell r="E1724">
            <v>0.97916666666666663</v>
          </cell>
          <cell r="F1724">
            <v>44256</v>
          </cell>
          <cell r="G1724">
            <v>44264</v>
          </cell>
          <cell r="H1724">
            <v>3.125E-2</v>
          </cell>
          <cell r="I1724">
            <v>5.2083333333333336E-2</v>
          </cell>
          <cell r="K1724" t="str">
            <v>MBT-TB-070 v1.1</v>
          </cell>
          <cell r="L1724" t="str">
            <v>CLN/PRA/01/0066</v>
          </cell>
          <cell r="M1724" t="str">
            <v>Y</v>
          </cell>
          <cell r="N1724" t="str">
            <v>Culture Improvement</v>
          </cell>
          <cell r="O1724" t="str">
            <v>Internal R&amp;D</v>
          </cell>
          <cell r="S1724" t="str">
            <v>Q1 Passed</v>
          </cell>
          <cell r="T1724" t="str">
            <v>Q2 Passed</v>
          </cell>
          <cell r="V1724" t="str">
            <v>Tumour only in 1/3 explants</v>
          </cell>
          <cell r="W1724" t="str">
            <v>Clinic'les</v>
          </cell>
          <cell r="X1724" t="str">
            <v>Clinic'les- Dr Prakash BV, Bangalore</v>
          </cell>
          <cell r="Y1724" t="str">
            <v>Sri Lakshmi Hospital, Bangalore</v>
          </cell>
          <cell r="Z1724" t="str">
            <v>Dr Prakash BV, Bangalore</v>
          </cell>
          <cell r="AA1724" t="str">
            <v>HNSCC</v>
          </cell>
          <cell r="AC1724" t="str">
            <v>Buccal Mucosa</v>
          </cell>
          <cell r="AD1724" t="str">
            <v>Right Buccal Mucosa</v>
          </cell>
          <cell r="AE1724" t="str">
            <v>Female</v>
          </cell>
          <cell r="AF1724">
            <v>48</v>
          </cell>
          <cell r="AG1724" t="str">
            <v>No</v>
          </cell>
          <cell r="AI1724" t="str">
            <v>Sashi/Partha</v>
          </cell>
          <cell r="AJ1724" t="str">
            <v>Surgery</v>
          </cell>
          <cell r="AK1724" t="str">
            <v>Primary</v>
          </cell>
          <cell r="AN1724" t="str">
            <v>III</v>
          </cell>
          <cell r="AO1724" t="str">
            <v>II</v>
          </cell>
          <cell r="AP1724" t="str">
            <v>pT3N0M0</v>
          </cell>
          <cell r="AS1724" t="str">
            <v>Squamous Cell Carcinoma</v>
          </cell>
          <cell r="AV1724">
            <v>44264</v>
          </cell>
          <cell r="AW1724">
            <v>0.3611111111111111</v>
          </cell>
          <cell r="AX1724">
            <v>0.47638888888888886</v>
          </cell>
          <cell r="AY1724">
            <v>0.11527777777777778</v>
          </cell>
          <cell r="AZ1724">
            <v>0.3298611111111111</v>
          </cell>
          <cell r="BA1724">
            <v>0.38194444444444442</v>
          </cell>
          <cell r="BB1724" t="str">
            <v>0.4*1.6*4.6
0.6*1.0*1.4
0.4*0.6*1.6</v>
          </cell>
          <cell r="BC1724" t="str">
            <v>0.4*1.6*4.6
0.6*1.0*1.4
0.4*0.6*1.6</v>
          </cell>
          <cell r="BD1724" t="str">
            <v>2*4*450</v>
          </cell>
          <cell r="BE1724">
            <v>4</v>
          </cell>
          <cell r="BF1724" t="str">
            <v>Vasanth</v>
          </cell>
          <cell r="BG1724" t="str">
            <v>Q</v>
          </cell>
        </row>
        <row r="1725">
          <cell r="A1725" t="str">
            <v>FBR1A210031</v>
          </cell>
          <cell r="B1725">
            <v>210031</v>
          </cell>
          <cell r="C1725" t="str">
            <v>R&amp;D</v>
          </cell>
          <cell r="D1725">
            <v>44264</v>
          </cell>
          <cell r="E1725">
            <v>0.25</v>
          </cell>
          <cell r="F1725">
            <v>44256</v>
          </cell>
          <cell r="G1725">
            <v>44264</v>
          </cell>
          <cell r="H1725">
            <v>0.39583333333333331</v>
          </cell>
          <cell r="I1725">
            <v>0.14583333333333334</v>
          </cell>
          <cell r="K1725" t="str">
            <v>MBT-TB-070 v1.1</v>
          </cell>
          <cell r="L1725" t="str">
            <v>CLN/PRA/01/0067</v>
          </cell>
          <cell r="M1725" t="str">
            <v>Y</v>
          </cell>
          <cell r="N1725" t="str">
            <v>Other Indication</v>
          </cell>
          <cell r="O1725" t="str">
            <v>Internal R&amp;D</v>
          </cell>
          <cell r="S1725" t="str">
            <v>Q1 Passed</v>
          </cell>
          <cell r="V1725" t="str">
            <v>High tumour content</v>
          </cell>
          <cell r="W1725" t="str">
            <v>Clinic'les</v>
          </cell>
          <cell r="X1725" t="str">
            <v>Clinic'les- Dr Prakash BV, Bangalore</v>
          </cell>
          <cell r="Y1725" t="str">
            <v>Sri Lakshmi Hospital, Bangalore</v>
          </cell>
          <cell r="Z1725" t="str">
            <v>Dr Prakash BV, Bangalore</v>
          </cell>
          <cell r="AA1725" t="str">
            <v>GI</v>
          </cell>
          <cell r="AB1725" t="str">
            <v>Stomach</v>
          </cell>
          <cell r="AC1725" t="str">
            <v>Stomach</v>
          </cell>
          <cell r="AD1725" t="str">
            <v>Stomach</v>
          </cell>
          <cell r="AE1725" t="str">
            <v>Male</v>
          </cell>
          <cell r="AF1725">
            <v>36</v>
          </cell>
          <cell r="AG1725" t="str">
            <v>No</v>
          </cell>
          <cell r="AI1725" t="str">
            <v>Sashi</v>
          </cell>
          <cell r="AJ1725" t="str">
            <v>Surgery</v>
          </cell>
          <cell r="AK1725" t="str">
            <v>Primary</v>
          </cell>
          <cell r="AN1725" t="str">
            <v>II</v>
          </cell>
          <cell r="AO1725" t="str">
            <v>II</v>
          </cell>
          <cell r="AP1725" t="str">
            <v>pT3N1M0</v>
          </cell>
          <cell r="AS1725" t="str">
            <v>Adenocarcinoma</v>
          </cell>
          <cell r="AT1725" t="str">
            <v>6 cycles</v>
          </cell>
          <cell r="AU1725" t="str">
            <v>FEC+ 5FU+ Epirubicin+ Cyclophosphamide</v>
          </cell>
          <cell r="AV1725">
            <v>44264</v>
          </cell>
          <cell r="AW1725">
            <v>0.47916666666666669</v>
          </cell>
          <cell r="AX1725">
            <v>0.59513888888888888</v>
          </cell>
          <cell r="AY1725">
            <v>0.11597222222222223</v>
          </cell>
          <cell r="AZ1725">
            <v>8.3333333333333329E-2</v>
          </cell>
          <cell r="BA1725">
            <v>0.22916666666666666</v>
          </cell>
          <cell r="BB1725" t="str">
            <v>2.0*1.8*2.8</v>
          </cell>
          <cell r="BC1725" t="str">
            <v>2.0*1.8*2.8</v>
          </cell>
          <cell r="BD1725" t="str">
            <v>2*4*450</v>
          </cell>
          <cell r="BE1725">
            <v>4</v>
          </cell>
          <cell r="BF1725" t="str">
            <v>Kowshik</v>
          </cell>
          <cell r="BG1725" t="str">
            <v>Q</v>
          </cell>
        </row>
        <row r="1726">
          <cell r="A1726" t="str">
            <v>FBR1A210032</v>
          </cell>
          <cell r="B1726">
            <v>210032</v>
          </cell>
          <cell r="C1726" t="str">
            <v>R&amp;D</v>
          </cell>
          <cell r="D1726">
            <v>44264</v>
          </cell>
          <cell r="E1726">
            <v>0.33333333333333331</v>
          </cell>
          <cell r="F1726">
            <v>44256</v>
          </cell>
          <cell r="G1726">
            <v>44264</v>
          </cell>
          <cell r="H1726">
            <v>0.39583333333333331</v>
          </cell>
          <cell r="I1726">
            <v>6.25E-2</v>
          </cell>
          <cell r="K1726" t="str">
            <v>MBT-TB-070 v1.1</v>
          </cell>
          <cell r="L1726" t="str">
            <v>CLN/PRA/01/0068</v>
          </cell>
          <cell r="M1726" t="str">
            <v>Y</v>
          </cell>
          <cell r="N1726" t="str">
            <v>Other Indication</v>
          </cell>
          <cell r="O1726" t="str">
            <v>Internal R&amp;D</v>
          </cell>
          <cell r="S1726" t="str">
            <v>Q1 Rejected</v>
          </cell>
          <cell r="T1726" t="str">
            <v>Q2 Passed</v>
          </cell>
          <cell r="U1726" t="str">
            <v>Buffer Volume less than 21ml</v>
          </cell>
          <cell r="W1726" t="str">
            <v>Clinic'les</v>
          </cell>
          <cell r="X1726" t="str">
            <v>Clinic'les- Dr Prakash BV, Bangalore</v>
          </cell>
          <cell r="Y1726" t="str">
            <v>Sri Lakshmi Hospital, Bangalore</v>
          </cell>
          <cell r="Z1726" t="str">
            <v>Dr Prakash BV, Bangalore</v>
          </cell>
          <cell r="AA1726" t="str">
            <v>Ca Breast</v>
          </cell>
          <cell r="AC1726" t="str">
            <v>Breast</v>
          </cell>
          <cell r="AD1726" t="str">
            <v>Right Breast</v>
          </cell>
          <cell r="AE1726" t="str">
            <v>Female</v>
          </cell>
          <cell r="AF1726">
            <v>50</v>
          </cell>
          <cell r="AG1726" t="str">
            <v>No</v>
          </cell>
          <cell r="AI1726" t="str">
            <v>Sashi</v>
          </cell>
          <cell r="AJ1726" t="str">
            <v>Surgery</v>
          </cell>
          <cell r="AK1726" t="str">
            <v>Primary</v>
          </cell>
          <cell r="AL1726" t="str">
            <v>Chemotherapy</v>
          </cell>
          <cell r="AN1726" t="str">
            <v>III</v>
          </cell>
          <cell r="AO1726" t="str">
            <v>II</v>
          </cell>
          <cell r="AP1726" t="str">
            <v>pT2N0M0</v>
          </cell>
          <cell r="AQ1726" t="str">
            <v>6 cycles</v>
          </cell>
          <cell r="AR1726" t="str">
            <v>5FU+ cyclophosphamide+ Adriamycin</v>
          </cell>
          <cell r="AS1726" t="str">
            <v>Infiltrating ductal Carcinoma</v>
          </cell>
          <cell r="AT1726" t="str">
            <v>8 cycles</v>
          </cell>
          <cell r="AU1726" t="str">
            <v>4Ac+4Paclitaxel+ Adriamycin+ Cyclophosphamide+ Paclitaxane</v>
          </cell>
        </row>
        <row r="1727">
          <cell r="A1727" t="str">
            <v>FBR1A210033</v>
          </cell>
          <cell r="B1727">
            <v>210033</v>
          </cell>
          <cell r="C1727" t="str">
            <v>R&amp;D</v>
          </cell>
          <cell r="D1727">
            <v>44264</v>
          </cell>
          <cell r="E1727">
            <v>0.875</v>
          </cell>
          <cell r="F1727">
            <v>44256</v>
          </cell>
          <cell r="G1727">
            <v>44264</v>
          </cell>
          <cell r="H1727">
            <v>0.91666666666666663</v>
          </cell>
          <cell r="I1727">
            <v>4.1666666666666664E-2</v>
          </cell>
          <cell r="K1727" t="str">
            <v>MBT-TB-070 v1.1</v>
          </cell>
          <cell r="L1727" t="str">
            <v>CLN/PRA/01/0069</v>
          </cell>
          <cell r="M1727" t="str">
            <v>Y</v>
          </cell>
          <cell r="N1727" t="str">
            <v>Other Indication</v>
          </cell>
          <cell r="O1727" t="str">
            <v>Internal R&amp;D</v>
          </cell>
          <cell r="S1727" t="str">
            <v>Q1 Passed</v>
          </cell>
          <cell r="T1727" t="str">
            <v>Q2 Passed</v>
          </cell>
          <cell r="V1727" t="str">
            <v>Tumor in 7/13 explants</v>
          </cell>
          <cell r="W1727" t="str">
            <v>Clinic'les</v>
          </cell>
          <cell r="X1727" t="str">
            <v>Clinic'les- Dr Prakash BV, Bangalore</v>
          </cell>
          <cell r="Y1727" t="str">
            <v>Sri Lakshmi Hospital, Bangalore</v>
          </cell>
          <cell r="Z1727" t="str">
            <v>Dr Prakash BV, Bangalore</v>
          </cell>
          <cell r="AA1727" t="str">
            <v>Ca Ovary</v>
          </cell>
          <cell r="AC1727" t="str">
            <v>Ovary</v>
          </cell>
          <cell r="AD1727" t="str">
            <v>Ovary</v>
          </cell>
          <cell r="AE1727" t="str">
            <v>Female</v>
          </cell>
          <cell r="AF1727">
            <v>56</v>
          </cell>
          <cell r="AG1727" t="str">
            <v>No</v>
          </cell>
          <cell r="AI1727" t="str">
            <v>Sashi/Partha</v>
          </cell>
          <cell r="AK1727" t="str">
            <v>Primary</v>
          </cell>
          <cell r="AN1727" t="str">
            <v>III</v>
          </cell>
          <cell r="AO1727" t="str">
            <v>II</v>
          </cell>
          <cell r="AP1727" t="str">
            <v>pT3N0M0</v>
          </cell>
          <cell r="AQ1727" t="str">
            <v>6 cycles</v>
          </cell>
          <cell r="AR1727" t="str">
            <v>Pacitaxel+ Carboplatin</v>
          </cell>
          <cell r="AS1727" t="str">
            <v>Serous Cystadenocarcinoma</v>
          </cell>
          <cell r="AT1727" t="str">
            <v>6 cycles</v>
          </cell>
          <cell r="AU1727" t="str">
            <v>Paclitaxel+Carboplatin</v>
          </cell>
          <cell r="AV1727">
            <v>44265</v>
          </cell>
          <cell r="AW1727">
            <v>0.40625</v>
          </cell>
          <cell r="AX1727">
            <v>0.52083333333333337</v>
          </cell>
          <cell r="AY1727">
            <v>0.11458333333333333</v>
          </cell>
          <cell r="AZ1727">
            <v>0.48958333333333331</v>
          </cell>
          <cell r="BA1727">
            <v>0.53125</v>
          </cell>
          <cell r="BB1727" t="str">
            <v>1.2*2.2*1.8</v>
          </cell>
          <cell r="BC1727" t="str">
            <v>1.2*2.2*1.8</v>
          </cell>
          <cell r="BD1727" t="str">
            <v>2*4*450</v>
          </cell>
          <cell r="BE1727">
            <v>4</v>
          </cell>
          <cell r="BF1727" t="str">
            <v>Kowshik</v>
          </cell>
          <cell r="BG1727" t="str">
            <v>Q</v>
          </cell>
        </row>
        <row r="1728">
          <cell r="A1728" t="str">
            <v>FBR1A210034</v>
          </cell>
          <cell r="B1728">
            <v>210034</v>
          </cell>
          <cell r="C1728" t="str">
            <v>R&amp;D</v>
          </cell>
          <cell r="D1728">
            <v>44265</v>
          </cell>
          <cell r="E1728">
            <v>0.78194444444444444</v>
          </cell>
          <cell r="F1728">
            <v>44256</v>
          </cell>
          <cell r="G1728">
            <v>44266</v>
          </cell>
          <cell r="H1728">
            <v>0.33333333333333331</v>
          </cell>
          <cell r="I1728">
            <v>0.55138888888888893</v>
          </cell>
          <cell r="J1728">
            <v>61</v>
          </cell>
          <cell r="K1728" t="str">
            <v>MBT-TB-070 v1.1</v>
          </cell>
          <cell r="L1728" t="str">
            <v>CLN/SMG/14/004</v>
          </cell>
          <cell r="M1728" t="str">
            <v>Y</v>
          </cell>
          <cell r="N1728" t="str">
            <v>Other Indication</v>
          </cell>
          <cell r="O1728" t="str">
            <v>Internal R&amp;D</v>
          </cell>
          <cell r="S1728" t="str">
            <v>Q1 Passed</v>
          </cell>
          <cell r="T1728" t="str">
            <v>Q2 Passed</v>
          </cell>
          <cell r="V1728" t="str">
            <v>Tumour content 0-40%</v>
          </cell>
          <cell r="W1728" t="str">
            <v>Clinic'les</v>
          </cell>
          <cell r="X1728" t="str">
            <v>Clinic'les- Shanmuga Hospital, Salem</v>
          </cell>
          <cell r="Y1728" t="str">
            <v>Shanmuga Hospital, Salem</v>
          </cell>
          <cell r="AA1728" t="str">
            <v>Ca Breast</v>
          </cell>
          <cell r="AC1728" t="str">
            <v>Breast</v>
          </cell>
          <cell r="AD1728" t="str">
            <v>Left Breast</v>
          </cell>
          <cell r="AE1728" t="str">
            <v>Female</v>
          </cell>
          <cell r="AF1728">
            <v>50</v>
          </cell>
          <cell r="AG1728" t="str">
            <v>No</v>
          </cell>
          <cell r="AI1728" t="str">
            <v>Partha</v>
          </cell>
          <cell r="AJ1728" t="str">
            <v>Surgery</v>
          </cell>
          <cell r="AK1728" t="str">
            <v>Primary</v>
          </cell>
          <cell r="AN1728" t="str">
            <v>NA</v>
          </cell>
          <cell r="AO1728" t="str">
            <v>II</v>
          </cell>
          <cell r="AP1728" t="str">
            <v>pT2N1Mx</v>
          </cell>
          <cell r="AS1728" t="str">
            <v>ER-, PR-, HER2+; Invasive ductal Carcinoma</v>
          </cell>
          <cell r="AV1728">
            <v>44266</v>
          </cell>
          <cell r="AW1728">
            <v>0.375</v>
          </cell>
          <cell r="AX1728">
            <v>0.51388888888888884</v>
          </cell>
          <cell r="AY1728">
            <v>0.1388888888888889</v>
          </cell>
          <cell r="AZ1728">
            <v>4.1666666666666664E-2</v>
          </cell>
          <cell r="BA1728">
            <v>0.53125</v>
          </cell>
          <cell r="BB1728" t="str">
            <v>1.6*3.0*4.2
1.4*2.4*2.6</v>
          </cell>
          <cell r="BC1728" t="str">
            <v>1.4*2.2*3.6
0.8*1.8*2.5</v>
          </cell>
          <cell r="BD1728" t="str">
            <v>2*4*450</v>
          </cell>
          <cell r="BE1728">
            <v>4</v>
          </cell>
          <cell r="BF1728" t="str">
            <v>Vasanth</v>
          </cell>
          <cell r="BG1728" t="str">
            <v>Q</v>
          </cell>
        </row>
        <row r="1729">
          <cell r="A1729" t="str">
            <v>FBR1B210035</v>
          </cell>
          <cell r="B1729">
            <v>210035</v>
          </cell>
          <cell r="C1729" t="str">
            <v>R&amp;D</v>
          </cell>
          <cell r="D1729">
            <v>44266</v>
          </cell>
          <cell r="E1729">
            <v>0.47916666666666669</v>
          </cell>
          <cell r="F1729">
            <v>44256</v>
          </cell>
          <cell r="G1729">
            <v>44266</v>
          </cell>
          <cell r="H1729">
            <v>0.55208333333333337</v>
          </cell>
          <cell r="I1729">
            <v>7.2916666666666671E-2</v>
          </cell>
          <cell r="J1729">
            <v>0</v>
          </cell>
          <cell r="K1729" t="str">
            <v>MBT-TB-070 v2.0</v>
          </cell>
          <cell r="L1729" t="str">
            <v>BBH003</v>
          </cell>
          <cell r="M1729" t="str">
            <v>Y</v>
          </cell>
          <cell r="N1729" t="str">
            <v>DMS_v2.1</v>
          </cell>
          <cell r="O1729" t="str">
            <v>Internal R&amp;D</v>
          </cell>
          <cell r="S1729" t="str">
            <v>Q1 Passed</v>
          </cell>
          <cell r="T1729" t="str">
            <v>Q2 Passed</v>
          </cell>
          <cell r="V1729" t="str">
            <v>Tumour content 30-70% ; hot tumour</v>
          </cell>
          <cell r="W1729" t="str">
            <v>Independent</v>
          </cell>
          <cell r="X1729" t="str">
            <v>Bangalore Baptist Hospital, Hebbal</v>
          </cell>
          <cell r="Y1729" t="str">
            <v>Bangalore Baptist Hospital, Hebbal</v>
          </cell>
          <cell r="Z1729" t="str">
            <v>Dr Manjula BV, Bangalore</v>
          </cell>
          <cell r="AA1729" t="str">
            <v>HNSCC</v>
          </cell>
          <cell r="AC1729" t="str">
            <v>Larynx</v>
          </cell>
          <cell r="AD1729" t="str">
            <v>SSC Larynx- right AE fold</v>
          </cell>
          <cell r="AE1729" t="str">
            <v>Female</v>
          </cell>
          <cell r="AF1729">
            <v>62</v>
          </cell>
          <cell r="AG1729" t="str">
            <v>No</v>
          </cell>
          <cell r="AI1729" t="str">
            <v>Partha</v>
          </cell>
          <cell r="AJ1729" t="str">
            <v>Surgery</v>
          </cell>
          <cell r="AK1729" t="str">
            <v>Primary</v>
          </cell>
          <cell r="AM1729" t="str">
            <v>cT4N2bM0</v>
          </cell>
          <cell r="AN1729" t="str">
            <v>III</v>
          </cell>
          <cell r="AO1729" t="str">
            <v>II</v>
          </cell>
          <cell r="AP1729" t="str">
            <v>pT3N3b</v>
          </cell>
          <cell r="AS1729" t="str">
            <v>Squamous Cell Carcinoma</v>
          </cell>
          <cell r="AV1729">
            <v>44266</v>
          </cell>
          <cell r="AW1729">
            <v>0.61458333333333337</v>
          </cell>
          <cell r="AX1729">
            <v>0.6875</v>
          </cell>
          <cell r="AY1729">
            <v>7.2916666666666671E-2</v>
          </cell>
          <cell r="AZ1729">
            <v>6.25E-2</v>
          </cell>
          <cell r="BA1729">
            <v>0.13541666666666666</v>
          </cell>
          <cell r="BB1729" t="str">
            <v>2.8*2.6*1.8</v>
          </cell>
          <cell r="BC1729" t="str">
            <v>2.4*1.6*1.4</v>
          </cell>
          <cell r="BD1729" t="str">
            <v>2*4*450</v>
          </cell>
          <cell r="BE1729">
            <v>4</v>
          </cell>
          <cell r="BF1729" t="str">
            <v>Kowshik</v>
          </cell>
          <cell r="BG1729" t="str">
            <v>Q</v>
          </cell>
        </row>
        <row r="1730">
          <cell r="A1730" t="str">
            <v>FBR1B210036</v>
          </cell>
          <cell r="B1730">
            <v>210036</v>
          </cell>
          <cell r="C1730" t="str">
            <v>R&amp;D</v>
          </cell>
          <cell r="D1730">
            <v>44268</v>
          </cell>
          <cell r="E1730">
            <v>8.3333333333333329E-2</v>
          </cell>
          <cell r="F1730">
            <v>44256</v>
          </cell>
          <cell r="G1730">
            <v>44268</v>
          </cell>
          <cell r="H1730">
            <v>0.1875</v>
          </cell>
          <cell r="I1730">
            <v>0.10416666666666667</v>
          </cell>
          <cell r="K1730" t="str">
            <v>MBT-TB-070 v1.1</v>
          </cell>
          <cell r="L1730" t="str">
            <v>CLN/PRA/01/0070</v>
          </cell>
          <cell r="M1730" t="str">
            <v>Y</v>
          </cell>
          <cell r="N1730" t="str">
            <v>DMS_v2.1</v>
          </cell>
          <cell r="O1730" t="str">
            <v>Internal R&amp;D</v>
          </cell>
          <cell r="S1730" t="str">
            <v>Q1 Passed</v>
          </cell>
          <cell r="T1730" t="str">
            <v>Q2 Passed</v>
          </cell>
          <cell r="V1730" t="str">
            <v>High tumor content with good immune component</v>
          </cell>
          <cell r="W1730" t="str">
            <v>Clinic'les</v>
          </cell>
          <cell r="X1730" t="str">
            <v>Clinic'les- Dr Prakash BV, Bangalore</v>
          </cell>
          <cell r="Y1730" t="str">
            <v>Maatru Hospital, Bangalore</v>
          </cell>
          <cell r="Z1730" t="str">
            <v>Dr Prakash BV, Bangalore</v>
          </cell>
          <cell r="AA1730" t="str">
            <v>HNSCC</v>
          </cell>
          <cell r="AC1730" t="str">
            <v>Hard Palate</v>
          </cell>
          <cell r="AD1730" t="str">
            <v>Hard Palate</v>
          </cell>
          <cell r="AE1730" t="str">
            <v>Female</v>
          </cell>
          <cell r="AF1730">
            <v>60</v>
          </cell>
          <cell r="AG1730" t="str">
            <v>No</v>
          </cell>
          <cell r="AI1730" t="str">
            <v>Sashi/Partha</v>
          </cell>
          <cell r="AJ1730" t="str">
            <v>Surgery</v>
          </cell>
          <cell r="AK1730" t="str">
            <v>Primary</v>
          </cell>
          <cell r="AN1730" t="str">
            <v>II</v>
          </cell>
          <cell r="AO1730" t="str">
            <v>II</v>
          </cell>
          <cell r="AP1730" t="str">
            <v>pT2N0M0</v>
          </cell>
          <cell r="AS1730" t="str">
            <v>Squamous Cell Carcinoma</v>
          </cell>
          <cell r="AV1730">
            <v>44268</v>
          </cell>
          <cell r="AW1730">
            <v>0.40277777777777779</v>
          </cell>
          <cell r="AX1730">
            <v>0.47916666666666669</v>
          </cell>
          <cell r="AY1730">
            <v>7.6388888888888895E-2</v>
          </cell>
          <cell r="AZ1730">
            <v>0.21527777777777779</v>
          </cell>
          <cell r="BA1730">
            <v>0.31944444444444442</v>
          </cell>
          <cell r="BB1730" t="str">
            <v>0.8*2.2*3.6</v>
          </cell>
          <cell r="BC1730" t="str">
            <v>0.8*2.0*2.0
0.8*2.2*1.6</v>
          </cell>
          <cell r="BD1730" t="str">
            <v>2*4*450</v>
          </cell>
          <cell r="BE1730">
            <v>4</v>
          </cell>
          <cell r="BF1730" t="str">
            <v>Kowshik</v>
          </cell>
          <cell r="BG1730" t="str">
            <v>Q</v>
          </cell>
        </row>
        <row r="1731">
          <cell r="A1731" t="str">
            <v>FBR1A210037</v>
          </cell>
          <cell r="B1731">
            <v>210037</v>
          </cell>
          <cell r="C1731" t="str">
            <v>R&amp;D</v>
          </cell>
          <cell r="D1731">
            <v>44269</v>
          </cell>
          <cell r="E1731">
            <v>0.58333333333333337</v>
          </cell>
          <cell r="F1731">
            <v>44256</v>
          </cell>
          <cell r="G1731">
            <v>44269</v>
          </cell>
          <cell r="H1731">
            <v>0.64583333333333337</v>
          </cell>
          <cell r="I1731">
            <v>6.25E-2</v>
          </cell>
          <cell r="K1731" t="str">
            <v>MBT-TB-070 v1.1</v>
          </cell>
          <cell r="L1731" t="str">
            <v>CLN/PRA/01/0071</v>
          </cell>
          <cell r="M1731" t="str">
            <v>Y</v>
          </cell>
          <cell r="N1731" t="str">
            <v>Other Indication</v>
          </cell>
          <cell r="O1731" t="str">
            <v>Internal R&amp;D</v>
          </cell>
          <cell r="S1731" t="str">
            <v>Q1 Passed</v>
          </cell>
          <cell r="V1731" t="str">
            <v>Very low tumor content ;only in 3-4 explants/20 (2-10%)</v>
          </cell>
          <cell r="W1731" t="str">
            <v>Clinic'les</v>
          </cell>
          <cell r="X1731" t="str">
            <v>Clinic'les- Dr Prakash BV, Bangalore</v>
          </cell>
          <cell r="Y1731" t="str">
            <v>Sri Lakshmi Hospital, Bangalore</v>
          </cell>
          <cell r="Z1731" t="str">
            <v>Dr Prakash BV, Bangalore</v>
          </cell>
          <cell r="AA1731" t="str">
            <v>Ca Breast</v>
          </cell>
          <cell r="AC1731" t="str">
            <v>Breast</v>
          </cell>
          <cell r="AD1731" t="str">
            <v>Right Breast</v>
          </cell>
          <cell r="AE1731" t="str">
            <v>Female</v>
          </cell>
          <cell r="AF1731">
            <v>65</v>
          </cell>
          <cell r="AG1731" t="str">
            <v>No</v>
          </cell>
          <cell r="AI1731" t="str">
            <v>Sashi</v>
          </cell>
          <cell r="AJ1731" t="str">
            <v>Surgery</v>
          </cell>
          <cell r="AK1731" t="str">
            <v>Primary</v>
          </cell>
          <cell r="AN1731" t="str">
            <v>III</v>
          </cell>
          <cell r="AO1731" t="str">
            <v>II</v>
          </cell>
          <cell r="AP1731" t="str">
            <v>pT3N1M0</v>
          </cell>
          <cell r="AS1731" t="str">
            <v>Infiltrating ductal Carcinoma</v>
          </cell>
          <cell r="AT1731" t="str">
            <v>8 cycles</v>
          </cell>
          <cell r="AU1731" t="str">
            <v>4Ac+4Paclitaxel+ Adriamycin+ Cyclophosphamide+ Paclitaxane</v>
          </cell>
          <cell r="AV1731">
            <v>44269</v>
          </cell>
          <cell r="AW1731">
            <v>0.67638888888888893</v>
          </cell>
          <cell r="AX1731">
            <v>0.77013888888888893</v>
          </cell>
          <cell r="AY1731">
            <v>9.375E-2</v>
          </cell>
          <cell r="AZ1731">
            <v>3.0555555555555555E-2</v>
          </cell>
          <cell r="BA1731">
            <v>9.3055555555555558E-2</v>
          </cell>
          <cell r="BB1731" t="str">
            <v>2.2*3.6*4.4</v>
          </cell>
          <cell r="BC1731" t="str">
            <v>1.8*2.2*2.6</v>
          </cell>
          <cell r="BD1731" t="str">
            <v>2*4*450</v>
          </cell>
          <cell r="BE1731">
            <v>4</v>
          </cell>
          <cell r="BF1731" t="str">
            <v>Vasanth</v>
          </cell>
          <cell r="BG1731" t="str">
            <v>Q</v>
          </cell>
        </row>
        <row r="1732">
          <cell r="A1732" t="str">
            <v>FBR1B210038</v>
          </cell>
          <cell r="B1732">
            <v>210038</v>
          </cell>
          <cell r="C1732" t="str">
            <v>R&amp;D</v>
          </cell>
          <cell r="D1732">
            <v>44270</v>
          </cell>
          <cell r="E1732">
            <v>0.51041666666666663</v>
          </cell>
          <cell r="F1732">
            <v>44256</v>
          </cell>
          <cell r="G1732">
            <v>44270</v>
          </cell>
          <cell r="H1732">
            <v>0.60416666666666663</v>
          </cell>
          <cell r="I1732">
            <v>9.375E-2</v>
          </cell>
          <cell r="J1732">
            <v>0</v>
          </cell>
          <cell r="K1732" t="str">
            <v>MBT-TB-070 v2.0</v>
          </cell>
          <cell r="L1732" t="str">
            <v>BBH004</v>
          </cell>
          <cell r="M1732" t="str">
            <v>Y</v>
          </cell>
          <cell r="N1732" t="str">
            <v>DMS_v2.1</v>
          </cell>
          <cell r="O1732" t="str">
            <v>Internal R&amp;D</v>
          </cell>
          <cell r="S1732" t="str">
            <v>Q1 Rejected</v>
          </cell>
          <cell r="T1732" t="str">
            <v>Q2 Passed</v>
          </cell>
          <cell r="U1732" t="str">
            <v>Sample size was too small</v>
          </cell>
          <cell r="V1732" t="str">
            <v>Low tumor content,high immune component</v>
          </cell>
          <cell r="W1732" t="str">
            <v>Independent</v>
          </cell>
          <cell r="X1732" t="str">
            <v>Bangalore Baptist Hospital, Hebbal</v>
          </cell>
          <cell r="Y1732" t="str">
            <v>Bangalore Baptist Hospital, Hebbal</v>
          </cell>
          <cell r="Z1732" t="str">
            <v>Dr Manjula BV, Bangalore</v>
          </cell>
          <cell r="AA1732" t="str">
            <v>HNSCC</v>
          </cell>
          <cell r="AC1732" t="str">
            <v>Buccal Mucosa</v>
          </cell>
          <cell r="AD1732" t="str">
            <v>Right Buccal Mucosa</v>
          </cell>
          <cell r="AE1732" t="str">
            <v>Male</v>
          </cell>
          <cell r="AF1732">
            <v>40</v>
          </cell>
          <cell r="AG1732" t="str">
            <v>No</v>
          </cell>
          <cell r="AI1732" t="str">
            <v>Partha</v>
          </cell>
          <cell r="AJ1732" t="str">
            <v>Surgery</v>
          </cell>
          <cell r="AK1732" t="str">
            <v>Primary</v>
          </cell>
          <cell r="AV1732">
            <v>44270</v>
          </cell>
          <cell r="AW1732">
            <v>0.625</v>
          </cell>
          <cell r="AX1732">
            <v>0.6875</v>
          </cell>
          <cell r="BB1732" t="str">
            <v>0.6*0.8*1.4</v>
          </cell>
          <cell r="BC1732" t="str">
            <v>0.6*0.8*1.4</v>
          </cell>
          <cell r="BD1732" t="str">
            <v>2*4*450</v>
          </cell>
          <cell r="BE1732">
            <v>4</v>
          </cell>
          <cell r="BF1732" t="str">
            <v>KJ</v>
          </cell>
          <cell r="BG1732" t="str">
            <v>Q</v>
          </cell>
        </row>
        <row r="1733">
          <cell r="A1733" t="str">
            <v>FBR1A210039</v>
          </cell>
          <cell r="B1733">
            <v>210039</v>
          </cell>
          <cell r="C1733" t="str">
            <v>R&amp;D</v>
          </cell>
          <cell r="D1733">
            <v>44271</v>
          </cell>
          <cell r="E1733">
            <v>0.83333333333333337</v>
          </cell>
          <cell r="F1733">
            <v>44256</v>
          </cell>
          <cell r="G1733">
            <v>44271</v>
          </cell>
          <cell r="H1733">
            <v>0.90277777777777779</v>
          </cell>
          <cell r="I1733">
            <v>6.9444444444444448E-2</v>
          </cell>
          <cell r="K1733" t="str">
            <v>MBT-TB-070 v1.1</v>
          </cell>
          <cell r="L1733" t="str">
            <v>CLN/PRA/01/0072</v>
          </cell>
          <cell r="M1733" t="str">
            <v>Y</v>
          </cell>
          <cell r="N1733" t="str">
            <v>Other Indication</v>
          </cell>
          <cell r="O1733" t="str">
            <v>Internal R&amp;D</v>
          </cell>
          <cell r="S1733" t="str">
            <v>Q1 Passed</v>
          </cell>
          <cell r="V1733" t="str">
            <v>Good tumour content, areas of necrosis +nt</v>
          </cell>
          <cell r="W1733" t="str">
            <v>Clinic'les</v>
          </cell>
          <cell r="X1733" t="str">
            <v>Clinic'les- Dr Prakash BV, Bangalore</v>
          </cell>
          <cell r="Y1733" t="str">
            <v>Sri Lakshmi Hospital, Bangalore</v>
          </cell>
          <cell r="Z1733" t="str">
            <v>Dr Prakash BV, Bangalore</v>
          </cell>
          <cell r="AA1733" t="str">
            <v>RCC</v>
          </cell>
          <cell r="AC1733" t="str">
            <v>Kidney</v>
          </cell>
          <cell r="AD1733" t="str">
            <v>Left Kidney</v>
          </cell>
          <cell r="AE1733" t="str">
            <v>Male</v>
          </cell>
          <cell r="AF1733">
            <v>60</v>
          </cell>
          <cell r="AG1733" t="str">
            <v>No</v>
          </cell>
          <cell r="AI1733" t="str">
            <v>Sashi/Partha</v>
          </cell>
          <cell r="AJ1733" t="str">
            <v>Surgery</v>
          </cell>
          <cell r="AK1733" t="str">
            <v>Primary</v>
          </cell>
          <cell r="AN1733" t="str">
            <v>II</v>
          </cell>
          <cell r="AO1733" t="str">
            <v>II</v>
          </cell>
          <cell r="AP1733" t="str">
            <v>pT2N0M0</v>
          </cell>
          <cell r="AS1733" t="str">
            <v>Clear cell carcinoma</v>
          </cell>
          <cell r="AV1733">
            <v>44272</v>
          </cell>
          <cell r="AW1733">
            <v>0.79513888888888884</v>
          </cell>
          <cell r="AX1733">
            <v>0.9145833333333333</v>
          </cell>
          <cell r="BB1733" t="str">
            <v>1.2*2.6*5.0</v>
          </cell>
          <cell r="BC1733" t="str">
            <v>1.2*2.6*5.0</v>
          </cell>
          <cell r="BE1733">
            <v>4</v>
          </cell>
          <cell r="BF1733" t="str">
            <v>Vasanth</v>
          </cell>
          <cell r="BG1733" t="str">
            <v>Q</v>
          </cell>
        </row>
        <row r="1734">
          <cell r="A1734">
            <v>210040</v>
          </cell>
          <cell r="B1734">
            <v>210040</v>
          </cell>
          <cell r="C1734" t="str">
            <v>R&amp;D</v>
          </cell>
          <cell r="D1734">
            <v>44272</v>
          </cell>
          <cell r="E1734">
            <v>0.79166666666666663</v>
          </cell>
          <cell r="F1734">
            <v>44256</v>
          </cell>
          <cell r="G1734">
            <v>44273</v>
          </cell>
          <cell r="H1734">
            <v>5.2083333333333336E-2</v>
          </cell>
          <cell r="I1734">
            <v>0.26041666666666669</v>
          </cell>
          <cell r="J1734">
            <v>30</v>
          </cell>
          <cell r="K1734" t="str">
            <v>MBT-TB-070 v1.1</v>
          </cell>
          <cell r="L1734" t="str">
            <v>CLN/SMG/14/005</v>
          </cell>
          <cell r="M1734" t="str">
            <v>Y</v>
          </cell>
          <cell r="N1734" t="str">
            <v>Other Indication</v>
          </cell>
          <cell r="O1734" t="str">
            <v>Internal R&amp;D</v>
          </cell>
          <cell r="S1734" t="str">
            <v>Q1 Rejected</v>
          </cell>
          <cell r="U1734" t="str">
            <v>Not suitable for vibratome</v>
          </cell>
          <cell r="W1734" t="str">
            <v>Clinic'les</v>
          </cell>
          <cell r="X1734" t="str">
            <v>Clinic'les- Shanmuga Hospital, Salem</v>
          </cell>
          <cell r="Y1734" t="str">
            <v>Shanmuga Hospital, Salem</v>
          </cell>
          <cell r="AA1734" t="str">
            <v>Ca Breast</v>
          </cell>
          <cell r="AC1734" t="str">
            <v>Breast</v>
          </cell>
          <cell r="AD1734" t="str">
            <v>Right Breast</v>
          </cell>
          <cell r="AE1734" t="str">
            <v>Female</v>
          </cell>
          <cell r="AF1734">
            <v>55</v>
          </cell>
          <cell r="AG1734" t="str">
            <v>No</v>
          </cell>
          <cell r="AI1734" t="str">
            <v>Sashi/Partha</v>
          </cell>
          <cell r="AJ1734" t="str">
            <v>Surgery</v>
          </cell>
          <cell r="AK1734" t="str">
            <v>Primary</v>
          </cell>
          <cell r="AN1734" t="str">
            <v>NA</v>
          </cell>
          <cell r="AP1734" t="str">
            <v>pT1aN0Mx</v>
          </cell>
          <cell r="AS1734" t="str">
            <v>ER-, PR-, HER2+; Ductal carcinoam insitu with comedo necrosis and foci suggestive of Invasive breast carcinoma</v>
          </cell>
          <cell r="AV1734">
            <v>44273</v>
          </cell>
          <cell r="AW1734">
            <v>0.30555555555555558</v>
          </cell>
        </row>
        <row r="1735">
          <cell r="A1735" t="str">
            <v>FBR1B210041</v>
          </cell>
          <cell r="B1735">
            <v>210041</v>
          </cell>
          <cell r="C1735" t="str">
            <v>R&amp;D</v>
          </cell>
          <cell r="D1735">
            <v>44280</v>
          </cell>
          <cell r="E1735">
            <v>0.1875</v>
          </cell>
          <cell r="F1735">
            <v>44256</v>
          </cell>
          <cell r="G1735">
            <v>44280</v>
          </cell>
          <cell r="H1735">
            <v>0.23958333333333334</v>
          </cell>
          <cell r="I1735">
            <v>5.2083333333333336E-2</v>
          </cell>
          <cell r="K1735" t="str">
            <v>MBT-TB-070 v1.1</v>
          </cell>
          <cell r="L1735" t="str">
            <v>CLN/PRA/01/0073</v>
          </cell>
          <cell r="M1735" t="str">
            <v>Y</v>
          </cell>
          <cell r="N1735" t="str">
            <v>DMS_v2.1</v>
          </cell>
          <cell r="O1735" t="str">
            <v>Internal R&amp;D</v>
          </cell>
          <cell r="S1735" t="str">
            <v>Q1 Rejected</v>
          </cell>
          <cell r="U1735" t="str">
            <v>Blood sample was hemolyzed post spinning</v>
          </cell>
          <cell r="V1735" t="str">
            <v>Good tumour content</v>
          </cell>
          <cell r="W1735" t="str">
            <v>Clinic'les</v>
          </cell>
          <cell r="X1735" t="str">
            <v>Clinic'les- Dr Prakash BV, Bangalore</v>
          </cell>
          <cell r="Y1735" t="str">
            <v>Sri Lakshmi Hospital, Bangalore</v>
          </cell>
          <cell r="Z1735" t="str">
            <v>Dr Prakash BV, Bangalore</v>
          </cell>
          <cell r="AA1735" t="str">
            <v>HNSCC</v>
          </cell>
          <cell r="AC1735" t="str">
            <v>Tongue</v>
          </cell>
          <cell r="AD1735" t="str">
            <v>Left Lateral Tongue</v>
          </cell>
          <cell r="AE1735" t="str">
            <v>Male</v>
          </cell>
          <cell r="AF1735">
            <v>55</v>
          </cell>
          <cell r="AG1735" t="str">
            <v>No</v>
          </cell>
          <cell r="AI1735" t="str">
            <v>Sashi/Partha</v>
          </cell>
          <cell r="AJ1735" t="str">
            <v>Surgery</v>
          </cell>
          <cell r="AK1735" t="str">
            <v>Primary</v>
          </cell>
          <cell r="AN1735" t="str">
            <v>II</v>
          </cell>
          <cell r="AO1735" t="str">
            <v>II</v>
          </cell>
          <cell r="AP1735" t="str">
            <v>pT2N0M0</v>
          </cell>
          <cell r="AS1735" t="str">
            <v>Squamous Cell Carcinoma</v>
          </cell>
          <cell r="AV1735">
            <v>44280</v>
          </cell>
          <cell r="AW1735">
            <v>0.36458333333333331</v>
          </cell>
          <cell r="AX1735">
            <v>0.52083333333333337</v>
          </cell>
          <cell r="AY1735">
            <v>0.15625</v>
          </cell>
          <cell r="AZ1735">
            <v>0.125</v>
          </cell>
          <cell r="BA1735">
            <v>0.17708333333333334</v>
          </cell>
          <cell r="BB1735" t="str">
            <v>1.0*1.4*2.0</v>
          </cell>
          <cell r="BC1735" t="str">
            <v>1.0*1.4*2.0</v>
          </cell>
          <cell r="BD1735" t="str">
            <v>2*4*450</v>
          </cell>
          <cell r="BE1735">
            <v>4</v>
          </cell>
          <cell r="BF1735" t="str">
            <v>Kowshik</v>
          </cell>
          <cell r="BG1735" t="str">
            <v>NQ</v>
          </cell>
        </row>
        <row r="1736">
          <cell r="A1736" t="str">
            <v>FBR1A210042</v>
          </cell>
          <cell r="B1736">
            <v>210042</v>
          </cell>
          <cell r="C1736" t="str">
            <v>R&amp;D</v>
          </cell>
          <cell r="D1736">
            <v>44282</v>
          </cell>
          <cell r="E1736">
            <v>0.70833333333333337</v>
          </cell>
          <cell r="F1736">
            <v>44256</v>
          </cell>
          <cell r="G1736">
            <v>44282</v>
          </cell>
          <cell r="H1736">
            <v>0.76041666666666663</v>
          </cell>
          <cell r="I1736">
            <v>5.2083333333333336E-2</v>
          </cell>
          <cell r="K1736" t="str">
            <v>MBT-TB-070 v1.1</v>
          </cell>
          <cell r="L1736" t="str">
            <v>CLN/PRA/01/0074</v>
          </cell>
          <cell r="M1736" t="str">
            <v>Y</v>
          </cell>
          <cell r="N1736" t="str">
            <v>No Study</v>
          </cell>
          <cell r="O1736" t="str">
            <v>1st level attrition</v>
          </cell>
          <cell r="S1736" t="str">
            <v>Q1 Rejected</v>
          </cell>
          <cell r="T1736" t="str">
            <v>Q2 Passed</v>
          </cell>
          <cell r="U1736" t="str">
            <v>Fatty tissue</v>
          </cell>
          <cell r="V1736" t="str">
            <v xml:space="preserve">Very low tumor content </v>
          </cell>
          <cell r="W1736" t="str">
            <v>Clinic'les</v>
          </cell>
          <cell r="X1736" t="str">
            <v>Clinic'les- Dr Prakash BV, Bangalore</v>
          </cell>
          <cell r="Y1736" t="str">
            <v>Sri Lakshmi Hospital, Bangalore</v>
          </cell>
          <cell r="Z1736" t="str">
            <v>Dr Prakash BV, Bangalore</v>
          </cell>
          <cell r="AA1736" t="str">
            <v>Ca Breast</v>
          </cell>
          <cell r="AC1736" t="str">
            <v>Breast</v>
          </cell>
          <cell r="AD1736" t="str">
            <v>Left Breast</v>
          </cell>
          <cell r="AE1736" t="str">
            <v>Female</v>
          </cell>
          <cell r="AF1736">
            <v>47</v>
          </cell>
          <cell r="AG1736" t="str">
            <v>No</v>
          </cell>
          <cell r="AI1736" t="str">
            <v>Sashi</v>
          </cell>
          <cell r="AJ1736" t="str">
            <v>Surgery</v>
          </cell>
          <cell r="AN1736" t="str">
            <v>I</v>
          </cell>
          <cell r="AO1736" t="str">
            <v>I</v>
          </cell>
          <cell r="AP1736" t="str">
            <v>pT1N0M0</v>
          </cell>
          <cell r="AS1736" t="str">
            <v>Infiltrating ductal carcinoma</v>
          </cell>
          <cell r="AT1736" t="str">
            <v>8 cycles</v>
          </cell>
          <cell r="AU1736" t="str">
            <v>4Ac+4Paclitaxel+ Adriamycin+ Cyclophosphamide+ Paclitaxane</v>
          </cell>
          <cell r="AV1736">
            <v>44282</v>
          </cell>
          <cell r="AW1736">
            <v>0.77083333333333337</v>
          </cell>
        </row>
        <row r="1737">
          <cell r="A1737" t="str">
            <v>FBB1A210043</v>
          </cell>
          <cell r="B1737">
            <v>210043</v>
          </cell>
          <cell r="C1737" t="str">
            <v>Biopharma</v>
          </cell>
          <cell r="D1737">
            <v>44283</v>
          </cell>
          <cell r="E1737">
            <v>0.54166666666666663</v>
          </cell>
          <cell r="F1737">
            <v>44256</v>
          </cell>
          <cell r="G1737">
            <v>44283</v>
          </cell>
          <cell r="H1737">
            <v>0.60416666666666663</v>
          </cell>
          <cell r="I1737">
            <v>6.25E-2</v>
          </cell>
          <cell r="K1737" t="str">
            <v>MBT-TB-070 v1.1</v>
          </cell>
          <cell r="L1737" t="str">
            <v>CLN/PRA/01/0075</v>
          </cell>
          <cell r="M1737" t="str">
            <v>Y</v>
          </cell>
          <cell r="N1737" t="str">
            <v>BP001_SOW1_2020</v>
          </cell>
          <cell r="O1737" t="str">
            <v>Biopharma</v>
          </cell>
          <cell r="S1737" t="str">
            <v>Q1 Passed</v>
          </cell>
          <cell r="T1737" t="str">
            <v>Q2 Passed</v>
          </cell>
          <cell r="V1737" t="str">
            <v>Good tumor content,high immune component</v>
          </cell>
          <cell r="W1737" t="str">
            <v>Clinic'les</v>
          </cell>
          <cell r="X1737" t="str">
            <v>Clinic'les- Dr Prakash BV, Bangalore</v>
          </cell>
          <cell r="Y1737" t="str">
            <v>Aswad Hospital, Bangalore</v>
          </cell>
          <cell r="Z1737" t="str">
            <v>Dr Prakash BV, Bangalore</v>
          </cell>
          <cell r="AA1737" t="str">
            <v>HNSCC</v>
          </cell>
          <cell r="AC1737" t="str">
            <v>Hard Palate</v>
          </cell>
          <cell r="AD1737" t="str">
            <v>Hard Palate</v>
          </cell>
          <cell r="AE1737" t="str">
            <v>Female</v>
          </cell>
          <cell r="AF1737">
            <v>45</v>
          </cell>
          <cell r="AG1737" t="str">
            <v>No</v>
          </cell>
          <cell r="AI1737" t="str">
            <v>Partha</v>
          </cell>
          <cell r="AJ1737" t="str">
            <v>Surgery</v>
          </cell>
          <cell r="AK1737" t="str">
            <v>Primary</v>
          </cell>
          <cell r="AN1737" t="str">
            <v>IVA</v>
          </cell>
          <cell r="AO1737" t="str">
            <v>II</v>
          </cell>
          <cell r="AP1737" t="str">
            <v>pT4aN1M0</v>
          </cell>
          <cell r="AS1737" t="str">
            <v>Squamous Cell Carcinoma</v>
          </cell>
          <cell r="AV1737">
            <v>44283</v>
          </cell>
          <cell r="AW1737">
            <v>0.625</v>
          </cell>
          <cell r="AX1737">
            <v>0.70833333333333337</v>
          </cell>
          <cell r="AY1737">
            <v>8.3333333333333329E-2</v>
          </cell>
          <cell r="AZ1737">
            <v>2.0833333333333332E-2</v>
          </cell>
          <cell r="BA1737">
            <v>8.3333333333333329E-2</v>
          </cell>
          <cell r="BB1737" t="str">
            <v>1.0*2.0*2.6
1.0*1.8*2.4</v>
          </cell>
          <cell r="BC1737" t="str">
            <v>1.0*1.8*2.4
0.8*1.2*2.4</v>
          </cell>
          <cell r="BD1737" t="str">
            <v>2*4*450</v>
          </cell>
          <cell r="BE1737">
            <v>4</v>
          </cell>
          <cell r="BF1737" t="str">
            <v>Kowshik</v>
          </cell>
          <cell r="BG1737" t="str">
            <v>Q</v>
          </cell>
        </row>
        <row r="1738">
          <cell r="A1738" t="str">
            <v>FBR1A210044</v>
          </cell>
          <cell r="B1738">
            <v>210044</v>
          </cell>
          <cell r="C1738" t="str">
            <v>R&amp;D</v>
          </cell>
          <cell r="D1738">
            <v>44288</v>
          </cell>
          <cell r="E1738">
            <v>0.3125</v>
          </cell>
          <cell r="F1738">
            <v>44287</v>
          </cell>
          <cell r="G1738">
            <v>44288</v>
          </cell>
          <cell r="H1738">
            <v>0.375</v>
          </cell>
          <cell r="I1738">
            <v>6.25E-2</v>
          </cell>
          <cell r="K1738" t="str">
            <v>MBT-TB-070 v1.1</v>
          </cell>
          <cell r="L1738" t="str">
            <v>CLN/PRA/01/0076</v>
          </cell>
          <cell r="M1738" t="str">
            <v>Y</v>
          </cell>
          <cell r="N1738" t="str">
            <v>Other Indication</v>
          </cell>
          <cell r="O1738" t="str">
            <v>Internal R&amp;D</v>
          </cell>
          <cell r="S1738" t="str">
            <v>Q1 Passed</v>
          </cell>
          <cell r="T1738" t="str">
            <v>Q2 Passed</v>
          </cell>
          <cell r="V1738" t="str">
            <v>Low tumor content 0-20%</v>
          </cell>
          <cell r="W1738" t="str">
            <v>Clinic'les</v>
          </cell>
          <cell r="X1738" t="str">
            <v>Clinic'les- Dr Prakash BV, Bangalore</v>
          </cell>
          <cell r="Y1738" t="str">
            <v>Sri Lakshmi Hospital, Bangalore</v>
          </cell>
          <cell r="Z1738" t="str">
            <v>Dr Prakash BV, Bangalore</v>
          </cell>
          <cell r="AA1738" t="str">
            <v>Ca Breast</v>
          </cell>
          <cell r="AC1738" t="str">
            <v>Breast</v>
          </cell>
          <cell r="AD1738" t="str">
            <v>Right Breast</v>
          </cell>
          <cell r="AE1738" t="str">
            <v>Female</v>
          </cell>
          <cell r="AF1738">
            <v>56</v>
          </cell>
          <cell r="AG1738" t="str">
            <v>No</v>
          </cell>
          <cell r="AI1738" t="str">
            <v>Sashi</v>
          </cell>
          <cell r="AJ1738" t="str">
            <v>Surgery</v>
          </cell>
          <cell r="AK1738" t="str">
            <v>Primary</v>
          </cell>
          <cell r="AL1738" t="str">
            <v>Chemotherapy</v>
          </cell>
          <cell r="AN1738" t="str">
            <v>II</v>
          </cell>
          <cell r="AO1738" t="str">
            <v>II</v>
          </cell>
          <cell r="AP1738" t="str">
            <v>pT2N0M0</v>
          </cell>
          <cell r="AQ1738" t="str">
            <v>2 cycles</v>
          </cell>
          <cell r="AR1738" t="str">
            <v>Pacitaxel</v>
          </cell>
          <cell r="AS1738" t="str">
            <v>DCIS- Ductal carcinoma In Situ</v>
          </cell>
          <cell r="AV1738">
            <v>44288</v>
          </cell>
          <cell r="AW1738">
            <v>0.43055555555555558</v>
          </cell>
          <cell r="AX1738">
            <v>0.48958333333333331</v>
          </cell>
          <cell r="AY1738">
            <v>5.9027777777777776E-2</v>
          </cell>
          <cell r="AZ1738">
            <v>5.5555555555555552E-2</v>
          </cell>
          <cell r="BA1738">
            <v>0.11805555555555555</v>
          </cell>
          <cell r="BB1738" t="str">
            <v>3.5*5.0*6.4</v>
          </cell>
          <cell r="BC1738" t="str">
            <v>0.8*1.0*1.2
0.6*0.6*1.4</v>
          </cell>
          <cell r="BD1738" t="str">
            <v>2*4*450</v>
          </cell>
          <cell r="BE1738">
            <v>15</v>
          </cell>
          <cell r="BF1738" t="str">
            <v>Kowshik/ Gowri</v>
          </cell>
          <cell r="BG1738" t="str">
            <v>Q</v>
          </cell>
        </row>
        <row r="1739">
          <cell r="A1739" t="str">
            <v>FBB1A210045</v>
          </cell>
          <cell r="B1739">
            <v>210045</v>
          </cell>
          <cell r="C1739" t="str">
            <v>Biopharma</v>
          </cell>
          <cell r="D1739">
            <v>44289</v>
          </cell>
          <cell r="E1739">
            <v>0.79861111111111116</v>
          </cell>
          <cell r="F1739">
            <v>44287</v>
          </cell>
          <cell r="G1739">
            <v>44289</v>
          </cell>
          <cell r="H1739">
            <v>0.875</v>
          </cell>
          <cell r="I1739">
            <v>7.6388888888888895E-2</v>
          </cell>
          <cell r="K1739" t="str">
            <v>MBT-TB-070 v1.1</v>
          </cell>
          <cell r="L1739" t="str">
            <v>CLN/PRA/01/0077</v>
          </cell>
          <cell r="M1739" t="str">
            <v>Y</v>
          </cell>
          <cell r="N1739" t="str">
            <v>BP001_SOW1_2020</v>
          </cell>
          <cell r="O1739" t="str">
            <v>Biopharma</v>
          </cell>
          <cell r="S1739" t="str">
            <v>Q1 Passed</v>
          </cell>
          <cell r="T1739" t="str">
            <v>Q2 Passed</v>
          </cell>
          <cell r="V1739" t="str">
            <v>High tumor content with good immune component</v>
          </cell>
          <cell r="W1739" t="str">
            <v>Clinic'les</v>
          </cell>
          <cell r="X1739" t="str">
            <v>Clinic'les- Dr Prakash BV, Bangalore</v>
          </cell>
          <cell r="Y1739" t="str">
            <v>Sri Lakshmi Hospital, Bangalore</v>
          </cell>
          <cell r="Z1739" t="str">
            <v>Dr Prakash BV, Bangalore</v>
          </cell>
          <cell r="AA1739" t="str">
            <v>HNSCC</v>
          </cell>
          <cell r="AC1739" t="str">
            <v>GBS</v>
          </cell>
          <cell r="AD1739" t="str">
            <v>Right Lower GBS</v>
          </cell>
          <cell r="AE1739" t="str">
            <v>Female</v>
          </cell>
          <cell r="AF1739">
            <v>56</v>
          </cell>
          <cell r="AG1739" t="str">
            <v>No</v>
          </cell>
          <cell r="AI1739" t="str">
            <v>Partha</v>
          </cell>
          <cell r="AJ1739" t="str">
            <v>Surgery</v>
          </cell>
          <cell r="AK1739" t="str">
            <v>Primary</v>
          </cell>
          <cell r="AN1739" t="str">
            <v>IVA</v>
          </cell>
          <cell r="AO1739" t="str">
            <v>II</v>
          </cell>
          <cell r="AP1739" t="str">
            <v>pT4aN1M0</v>
          </cell>
          <cell r="AS1739" t="str">
            <v>Squamous Cell Carcinoma</v>
          </cell>
          <cell r="AV1739">
            <v>44290</v>
          </cell>
          <cell r="AW1739">
            <v>0.32291666666666669</v>
          </cell>
          <cell r="AX1739">
            <v>0.41666666666666669</v>
          </cell>
          <cell r="AY1739">
            <v>9.375E-2</v>
          </cell>
          <cell r="AZ1739">
            <v>0.44791666666666669</v>
          </cell>
          <cell r="BA1739">
            <v>0.52430555555555558</v>
          </cell>
          <cell r="BB1739" t="str">
            <v>1.2*1.8*3.6</v>
          </cell>
          <cell r="BC1739" t="str">
            <v>1.2*1.8*3.6</v>
          </cell>
          <cell r="BD1739" t="str">
            <v>2*4*450</v>
          </cell>
          <cell r="BE1739">
            <v>15</v>
          </cell>
          <cell r="BF1739" t="str">
            <v>Kowshik</v>
          </cell>
          <cell r="BG1739" t="str">
            <v>Q</v>
          </cell>
        </row>
        <row r="1740">
          <cell r="A1740" t="str">
            <v>FBB1A210046</v>
          </cell>
          <cell r="B1740">
            <v>210046</v>
          </cell>
          <cell r="C1740" t="str">
            <v>Biopharma</v>
          </cell>
          <cell r="D1740">
            <v>44294</v>
          </cell>
          <cell r="E1740">
            <v>0.86111111111111116</v>
          </cell>
          <cell r="F1740">
            <v>44287</v>
          </cell>
          <cell r="G1740">
            <v>44295</v>
          </cell>
          <cell r="H1740">
            <v>4.1666666666666664E-2</v>
          </cell>
          <cell r="I1740">
            <v>0.18055555555555555</v>
          </cell>
          <cell r="K1740" t="str">
            <v>MBT-TB-070 v1.1</v>
          </cell>
          <cell r="L1740" t="str">
            <v>CLN/PRA/01/0079</v>
          </cell>
          <cell r="M1740" t="str">
            <v>Y</v>
          </cell>
          <cell r="N1740" t="str">
            <v>BP001_SOW1_2020</v>
          </cell>
          <cell r="O1740" t="str">
            <v>Biopharma</v>
          </cell>
          <cell r="S1740" t="str">
            <v>Q1 Passed</v>
          </cell>
          <cell r="T1740" t="str">
            <v>Q2 Passed</v>
          </cell>
          <cell r="V1740" t="str">
            <v>Good tumour content</v>
          </cell>
          <cell r="W1740" t="str">
            <v>Clinic'les</v>
          </cell>
          <cell r="X1740" t="str">
            <v>Clinic'les- Dr Prakash BV, Bangalore</v>
          </cell>
          <cell r="Y1740" t="str">
            <v>Sri Lakshmi Hospital, Bangalore</v>
          </cell>
          <cell r="Z1740" t="str">
            <v>Dr Prakash BV, Bangalore</v>
          </cell>
          <cell r="AA1740" t="str">
            <v>HNSCC</v>
          </cell>
          <cell r="AC1740" t="str">
            <v>Tongue</v>
          </cell>
          <cell r="AD1740" t="str">
            <v>Right Lateral Tongue</v>
          </cell>
          <cell r="AE1740" t="str">
            <v>Female</v>
          </cell>
          <cell r="AF1740">
            <v>60</v>
          </cell>
          <cell r="AG1740" t="str">
            <v>No</v>
          </cell>
          <cell r="AI1740" t="str">
            <v>Partha</v>
          </cell>
          <cell r="AJ1740" t="str">
            <v>Surgery</v>
          </cell>
          <cell r="AK1740" t="str">
            <v>Primary</v>
          </cell>
          <cell r="AN1740" t="str">
            <v>II</v>
          </cell>
          <cell r="AO1740" t="str">
            <v>II</v>
          </cell>
          <cell r="AP1740" t="str">
            <v>pT2N0M0</v>
          </cell>
          <cell r="AQ1740" t="str">
            <v>3 cycles</v>
          </cell>
          <cell r="AR1740" t="str">
            <v>Pacitaxel+ Carboplatin</v>
          </cell>
          <cell r="AS1740" t="str">
            <v>Squamous Cell Carcinoma</v>
          </cell>
          <cell r="AV1740">
            <v>44295</v>
          </cell>
          <cell r="AW1740">
            <v>0.27083333333333331</v>
          </cell>
          <cell r="AX1740">
            <v>0.35138888888888886</v>
          </cell>
          <cell r="AY1740">
            <v>8.0555555555555561E-2</v>
          </cell>
          <cell r="AZ1740">
            <v>0.22916666666666666</v>
          </cell>
          <cell r="BA1740">
            <v>0.40972222222222221</v>
          </cell>
          <cell r="BB1740" t="str">
            <v>0.8*1.6*2.6
1.0*1.8*2.65</v>
          </cell>
          <cell r="BC1740" t="str">
            <v>0.8*1.6*2.6
1.0*1.8*2.65</v>
          </cell>
          <cell r="BD1740" t="str">
            <v>2*4*450</v>
          </cell>
          <cell r="BE1740">
            <v>15</v>
          </cell>
          <cell r="BF1740" t="str">
            <v>Kowshik</v>
          </cell>
          <cell r="BG1740" t="str">
            <v>Q</v>
          </cell>
        </row>
        <row r="1741">
          <cell r="A1741" t="str">
            <v>FBR1B210046</v>
          </cell>
          <cell r="B1741">
            <v>210046</v>
          </cell>
          <cell r="C1741" t="str">
            <v>R&amp;D</v>
          </cell>
          <cell r="D1741">
            <v>44294</v>
          </cell>
          <cell r="E1741">
            <v>0.86111111111111116</v>
          </cell>
          <cell r="F1741">
            <v>44287</v>
          </cell>
          <cell r="G1741">
            <v>44295</v>
          </cell>
          <cell r="H1741">
            <v>4.1666666666666664E-2</v>
          </cell>
          <cell r="I1741">
            <v>0.18055555555555555</v>
          </cell>
          <cell r="K1741" t="str">
            <v>MBT-TB-070 v1.1</v>
          </cell>
          <cell r="L1741" t="str">
            <v>CLN/PRA/01/0079</v>
          </cell>
          <cell r="M1741" t="str">
            <v>Y</v>
          </cell>
          <cell r="N1741" t="str">
            <v>BP001_SOW1_2020</v>
          </cell>
          <cell r="O1741" t="str">
            <v>Biopharma</v>
          </cell>
          <cell r="S1741" t="str">
            <v>Q1 Passed</v>
          </cell>
          <cell r="T1741" t="str">
            <v>Q2 Passed</v>
          </cell>
          <cell r="W1741" t="str">
            <v>Clinic'les</v>
          </cell>
          <cell r="X1741" t="str">
            <v>Clinic'les- Dr Prakash BV, Bangalore</v>
          </cell>
          <cell r="Y1741" t="str">
            <v>Sri Lakshmi Hospital, Bangalore</v>
          </cell>
          <cell r="Z1741" t="str">
            <v>Dr Prakash BV, Bangalore</v>
          </cell>
          <cell r="AA1741" t="str">
            <v>HNSCC</v>
          </cell>
          <cell r="AC1741" t="str">
            <v>Tongue</v>
          </cell>
          <cell r="AD1741" t="str">
            <v>Right Lateral Tongue</v>
          </cell>
          <cell r="AE1741" t="str">
            <v>Female</v>
          </cell>
          <cell r="AF1741">
            <v>60</v>
          </cell>
          <cell r="AG1741" t="str">
            <v>No</v>
          </cell>
          <cell r="AI1741" t="str">
            <v>Partha</v>
          </cell>
          <cell r="AJ1741" t="str">
            <v>Surgery</v>
          </cell>
          <cell r="AK1741" t="str">
            <v>Primary</v>
          </cell>
          <cell r="AN1741" t="str">
            <v>II</v>
          </cell>
          <cell r="AO1741" t="str">
            <v>II</v>
          </cell>
          <cell r="AP1741" t="str">
            <v>pT2N0M0</v>
          </cell>
          <cell r="AQ1741" t="str">
            <v>3 cycles</v>
          </cell>
          <cell r="AR1741" t="str">
            <v>Pacitaxel+ Carboplatin</v>
          </cell>
          <cell r="AS1741" t="str">
            <v>Squamous Cell Carcinoma</v>
          </cell>
          <cell r="AV1741">
            <v>44295</v>
          </cell>
          <cell r="AW1741">
            <v>0.27083333333333331</v>
          </cell>
          <cell r="AZ1741">
            <v>0.22916666666666666</v>
          </cell>
          <cell r="BA1741">
            <v>0.40972222222222221</v>
          </cell>
          <cell r="BB1741" t="str">
            <v>0.8*1.6*2.6
1.0*1.8*2.65</v>
          </cell>
          <cell r="BC1741" t="str">
            <v>0.8*1.6*2.6
1.0*1.8*2.65</v>
          </cell>
          <cell r="BD1741" t="str">
            <v>2*4*450</v>
          </cell>
          <cell r="BE1741">
            <v>15</v>
          </cell>
          <cell r="BF1741" t="str">
            <v>Kowshik</v>
          </cell>
          <cell r="BG1741" t="str">
            <v>Q</v>
          </cell>
        </row>
        <row r="1742">
          <cell r="A1742" t="str">
            <v>FBR1A210047</v>
          </cell>
          <cell r="B1742">
            <v>210047</v>
          </cell>
          <cell r="C1742" t="str">
            <v>R&amp;D</v>
          </cell>
          <cell r="D1742">
            <v>44294</v>
          </cell>
          <cell r="E1742">
            <v>0.95833333333333337</v>
          </cell>
          <cell r="F1742">
            <v>44287</v>
          </cell>
          <cell r="G1742">
            <v>44295</v>
          </cell>
          <cell r="H1742">
            <v>4.1666666666666664E-2</v>
          </cell>
          <cell r="I1742">
            <v>8.3333333333333329E-2</v>
          </cell>
          <cell r="K1742" t="str">
            <v>MBT-TB-070 v1.1</v>
          </cell>
          <cell r="L1742" t="str">
            <v>CLN/PRA/01/0078</v>
          </cell>
          <cell r="M1742" t="str">
            <v>Y</v>
          </cell>
          <cell r="N1742" t="str">
            <v>Other Indication</v>
          </cell>
          <cell r="O1742" t="str">
            <v>Internal R&amp;D</v>
          </cell>
          <cell r="S1742" t="str">
            <v>Q1 Passed</v>
          </cell>
          <cell r="T1742" t="str">
            <v>Q2 Passed</v>
          </cell>
          <cell r="V1742" t="str">
            <v>Ductal epithelial cells  in L ;however mostly benign hyperplastic or in-situ</v>
          </cell>
          <cell r="W1742" t="str">
            <v>Clinic'les</v>
          </cell>
          <cell r="X1742" t="str">
            <v>Clinic'les- Dr Prakash BV, Bangalore</v>
          </cell>
          <cell r="Y1742" t="str">
            <v>Unani Hospital, Bangalore</v>
          </cell>
          <cell r="Z1742" t="str">
            <v>Dr Prakash BV, Bangalore</v>
          </cell>
          <cell r="AA1742" t="str">
            <v>Ca Breast</v>
          </cell>
          <cell r="AC1742" t="str">
            <v>Breast</v>
          </cell>
          <cell r="AD1742" t="str">
            <v>Right Breast</v>
          </cell>
          <cell r="AE1742" t="str">
            <v>Female</v>
          </cell>
          <cell r="AF1742">
            <v>50</v>
          </cell>
          <cell r="AG1742" t="str">
            <v>No</v>
          </cell>
          <cell r="AI1742" t="str">
            <v>Partha</v>
          </cell>
          <cell r="AJ1742" t="str">
            <v>Surgery</v>
          </cell>
          <cell r="AK1742" t="str">
            <v>Primary</v>
          </cell>
          <cell r="AN1742" t="str">
            <v>III</v>
          </cell>
          <cell r="AO1742" t="str">
            <v>III</v>
          </cell>
          <cell r="AP1742" t="str">
            <v>pT3N1M0</v>
          </cell>
          <cell r="AS1742" t="str">
            <v>DCIS- Ductal carcinoma In Situ</v>
          </cell>
          <cell r="AT1742" t="str">
            <v>8 cycles</v>
          </cell>
          <cell r="AU1742" t="str">
            <v>4Ac+4Paclitaxel+ Adriamycin+ Cyclophosphamide+ Paclitaxane</v>
          </cell>
          <cell r="AV1742">
            <v>44295</v>
          </cell>
          <cell r="AW1742">
            <v>0.27777777777777779</v>
          </cell>
          <cell r="AX1742">
            <v>0.45833333333333331</v>
          </cell>
          <cell r="AY1742">
            <v>0.18055555555555555</v>
          </cell>
          <cell r="AZ1742">
            <v>0.2361111111111111</v>
          </cell>
          <cell r="BA1742">
            <v>0.31944444444444442</v>
          </cell>
          <cell r="BB1742" t="str">
            <v>1.6*1.2*3.2</v>
          </cell>
          <cell r="BC1742" t="str">
            <v>1.6*1.2*3.0</v>
          </cell>
          <cell r="BD1742" t="str">
            <v>2*4*450 &amp; Manual</v>
          </cell>
          <cell r="BE1742">
            <v>15</v>
          </cell>
          <cell r="BF1742" t="str">
            <v>Gowri</v>
          </cell>
          <cell r="BG1742" t="str">
            <v>Q</v>
          </cell>
        </row>
        <row r="1743">
          <cell r="A1743" t="str">
            <v>FBR1A210048</v>
          </cell>
          <cell r="B1743">
            <v>210048</v>
          </cell>
          <cell r="C1743" t="str">
            <v>R&amp;D</v>
          </cell>
          <cell r="D1743">
            <v>44297</v>
          </cell>
          <cell r="E1743">
            <v>0.44791666666666669</v>
          </cell>
          <cell r="F1743">
            <v>44287</v>
          </cell>
          <cell r="G1743">
            <v>44297</v>
          </cell>
          <cell r="H1743">
            <v>0.51388888888888884</v>
          </cell>
          <cell r="I1743">
            <v>6.5972222222222224E-2</v>
          </cell>
          <cell r="K1743" t="str">
            <v>MBT-TB-070 v1.1</v>
          </cell>
          <cell r="L1743" t="str">
            <v>CLN/PRA/01/0080</v>
          </cell>
          <cell r="M1743" t="str">
            <v>Y</v>
          </cell>
          <cell r="N1743" t="str">
            <v>Other Indication</v>
          </cell>
          <cell r="O1743" t="str">
            <v>Internal R&amp;D</v>
          </cell>
          <cell r="S1743" t="str">
            <v>Q1 Passed</v>
          </cell>
          <cell r="T1743" t="str">
            <v>Q2 Rejected</v>
          </cell>
          <cell r="V1743" t="str">
            <v>Good tumor content</v>
          </cell>
          <cell r="W1743" t="str">
            <v>Clinic'les</v>
          </cell>
          <cell r="X1743" t="str">
            <v>Clinic'les- Dr Prakash BV, Bangalore</v>
          </cell>
          <cell r="Y1743" t="str">
            <v>Essential Hospital, Banglaore</v>
          </cell>
          <cell r="Z1743" t="str">
            <v>Dr Prakash BV, Bangalore</v>
          </cell>
          <cell r="AA1743" t="str">
            <v>GI</v>
          </cell>
          <cell r="AB1743" t="str">
            <v>Stomach</v>
          </cell>
          <cell r="AC1743" t="str">
            <v>Stomach</v>
          </cell>
          <cell r="AD1743" t="str">
            <v>Antrum of Stomach</v>
          </cell>
          <cell r="AE1743" t="str">
            <v>Male</v>
          </cell>
          <cell r="AF1743">
            <v>55</v>
          </cell>
          <cell r="AG1743" t="str">
            <v>No</v>
          </cell>
          <cell r="AI1743" t="str">
            <v>Partha</v>
          </cell>
          <cell r="AJ1743" t="str">
            <v>Surgery</v>
          </cell>
          <cell r="AK1743" t="str">
            <v>Primary</v>
          </cell>
          <cell r="AN1743" t="str">
            <v>III</v>
          </cell>
          <cell r="AO1743" t="str">
            <v>II</v>
          </cell>
          <cell r="AP1743" t="str">
            <v>pT3N2M0</v>
          </cell>
          <cell r="AS1743" t="str">
            <v>Adenocarcinoma</v>
          </cell>
          <cell r="AV1743">
            <v>44297</v>
          </cell>
          <cell r="AW1743">
            <v>0.52083333333333337</v>
          </cell>
          <cell r="AX1743">
            <v>0.66111111111111109</v>
          </cell>
          <cell r="AY1743">
            <v>0.14027777777777778</v>
          </cell>
          <cell r="AZ1743">
            <v>6.9444444444444441E-3</v>
          </cell>
          <cell r="BA1743">
            <v>7.2916666666666671E-2</v>
          </cell>
          <cell r="BB1743" t="str">
            <v>1.4*2.2*3.0</v>
          </cell>
          <cell r="BC1743" t="str">
            <v>1.4*2.2*3.0</v>
          </cell>
          <cell r="BD1743" t="str">
            <v>2*4*450</v>
          </cell>
          <cell r="BE1743">
            <v>15</v>
          </cell>
          <cell r="BF1743" t="str">
            <v>Kowshik</v>
          </cell>
          <cell r="BG1743" t="str">
            <v>Q</v>
          </cell>
        </row>
        <row r="1744">
          <cell r="A1744" t="str">
            <v>FBB1A210049</v>
          </cell>
          <cell r="B1744">
            <v>210049</v>
          </cell>
          <cell r="C1744" t="str">
            <v>Biopharma</v>
          </cell>
          <cell r="D1744">
            <v>44297</v>
          </cell>
          <cell r="E1744">
            <v>0.77083333333333337</v>
          </cell>
          <cell r="F1744">
            <v>44287</v>
          </cell>
          <cell r="G1744">
            <v>44297</v>
          </cell>
          <cell r="H1744">
            <v>0.83333333333333337</v>
          </cell>
          <cell r="I1744">
            <v>6.25E-2</v>
          </cell>
          <cell r="K1744" t="str">
            <v>MBT-TB-070 v1.1</v>
          </cell>
          <cell r="L1744" t="str">
            <v>CLN/PRA/01/0081</v>
          </cell>
          <cell r="M1744" t="str">
            <v>Y</v>
          </cell>
          <cell r="N1744" t="str">
            <v>BP001_SOW1_2020</v>
          </cell>
          <cell r="O1744" t="str">
            <v>Biopharma</v>
          </cell>
          <cell r="S1744" t="str">
            <v>Q1 Rejected</v>
          </cell>
          <cell r="T1744" t="str">
            <v>Q2 Rejected</v>
          </cell>
          <cell r="U1744" t="str">
            <v>Fatty tissue</v>
          </cell>
          <cell r="W1744" t="str">
            <v>Clinic'les</v>
          </cell>
          <cell r="X1744" t="str">
            <v>Clinic'les- Dr Prakash BV, Bangalore</v>
          </cell>
          <cell r="Y1744" t="str">
            <v>Aswad Hospital, Bangalore</v>
          </cell>
          <cell r="Z1744" t="str">
            <v>Dr Prakash BV, Bangalore</v>
          </cell>
          <cell r="AA1744" t="str">
            <v>HNSCC</v>
          </cell>
          <cell r="AC1744" t="str">
            <v>Buccal Mucosa</v>
          </cell>
          <cell r="AD1744" t="str">
            <v>Right Buccal Mucosa</v>
          </cell>
          <cell r="AE1744" t="str">
            <v>Male</v>
          </cell>
          <cell r="AF1744">
            <v>60</v>
          </cell>
          <cell r="AG1744" t="str">
            <v>No</v>
          </cell>
          <cell r="AI1744" t="str">
            <v>Partha</v>
          </cell>
          <cell r="AJ1744" t="str">
            <v>Surgery</v>
          </cell>
          <cell r="AK1744" t="str">
            <v>Primary</v>
          </cell>
          <cell r="AN1744" t="str">
            <v>II</v>
          </cell>
          <cell r="AO1744" t="str">
            <v>I</v>
          </cell>
          <cell r="AP1744" t="str">
            <v>pT2N0M0</v>
          </cell>
          <cell r="AS1744" t="str">
            <v>Squamous Cell Carcinoma</v>
          </cell>
          <cell r="AV1744">
            <v>44298</v>
          </cell>
          <cell r="AW1744">
            <v>0.21527777777777779</v>
          </cell>
          <cell r="AZ1744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E1744">
            <v>15</v>
          </cell>
          <cell r="BF1744" t="str">
            <v>Kowshik</v>
          </cell>
          <cell r="BG1744" t="str">
            <v>Q</v>
          </cell>
        </row>
        <row r="1745">
          <cell r="A1745" t="str">
            <v>FBR1B210050</v>
          </cell>
          <cell r="B1745">
            <v>210050</v>
          </cell>
          <cell r="C1745" t="str">
            <v>R&amp;D</v>
          </cell>
          <cell r="D1745">
            <v>44299</v>
          </cell>
          <cell r="E1745">
            <v>0.63194444444444442</v>
          </cell>
          <cell r="F1745">
            <v>44287</v>
          </cell>
          <cell r="G1745">
            <v>44299</v>
          </cell>
          <cell r="H1745">
            <v>0.67361111111111116</v>
          </cell>
          <cell r="I1745">
            <v>4.1666666666666664E-2</v>
          </cell>
          <cell r="K1745" t="str">
            <v>MBT-TB-070 v1.1</v>
          </cell>
          <cell r="L1745" t="str">
            <v>CLN/PRA/01/0082</v>
          </cell>
          <cell r="M1745" t="str">
            <v>Y</v>
          </cell>
          <cell r="N1745" t="str">
            <v>DMS_v2.1</v>
          </cell>
          <cell r="O1745" t="str">
            <v>Internal R&amp;D</v>
          </cell>
          <cell r="S1745" t="str">
            <v>Q1 Rejected</v>
          </cell>
          <cell r="T1745" t="str">
            <v>Q2 Rejected</v>
          </cell>
          <cell r="U1745" t="str">
            <v>Necrotic sample</v>
          </cell>
          <cell r="V1745" t="str">
            <v xml:space="preserve">No tumor </v>
          </cell>
          <cell r="W1745" t="str">
            <v>Clinic'les</v>
          </cell>
          <cell r="X1745" t="str">
            <v>Clinic'les- Dr Prakash BV, Bangalore</v>
          </cell>
          <cell r="Y1745" t="str">
            <v>Sri Lakshmi Hospital, Bangalore</v>
          </cell>
          <cell r="Z1745" t="str">
            <v>Dr Prakash BV, Bangalore</v>
          </cell>
          <cell r="AA1745" t="str">
            <v>HNSCC</v>
          </cell>
          <cell r="AC1745" t="str">
            <v>Hypopharynx</v>
          </cell>
          <cell r="AD1745" t="str">
            <v>Hypopharynx</v>
          </cell>
          <cell r="AE1745" t="str">
            <v>Male</v>
          </cell>
          <cell r="AF1745">
            <v>55</v>
          </cell>
          <cell r="AG1745" t="str">
            <v>No</v>
          </cell>
          <cell r="AI1745" t="str">
            <v>Partha</v>
          </cell>
          <cell r="AJ1745" t="str">
            <v>Surgery</v>
          </cell>
          <cell r="AK1745" t="str">
            <v>Primary</v>
          </cell>
          <cell r="AN1745" t="str">
            <v>II</v>
          </cell>
          <cell r="AO1745" t="str">
            <v>II</v>
          </cell>
          <cell r="AP1745" t="str">
            <v>pT2N0M0</v>
          </cell>
          <cell r="AQ1745" t="str">
            <v>6 cycles</v>
          </cell>
          <cell r="AR1745" t="str">
            <v>Cisplatin</v>
          </cell>
          <cell r="AS1745" t="str">
            <v>Squamous Cell Carcinoma</v>
          </cell>
          <cell r="AV1745">
            <v>44299</v>
          </cell>
          <cell r="AW1745">
            <v>0.67361111111111116</v>
          </cell>
          <cell r="AX1745">
            <v>0.76527777777777772</v>
          </cell>
          <cell r="AY1745">
            <v>9.166666666666666E-2</v>
          </cell>
          <cell r="AZ1745">
            <v>0</v>
          </cell>
          <cell r="BA1745">
            <v>4.1666666666666664E-2</v>
          </cell>
          <cell r="BB1745" t="str">
            <v>1.4*1.6*2.4
1.4*2.0*2.2</v>
          </cell>
          <cell r="BC1745" t="str">
            <v>1.4*1.6*2.4
1.4*2.0*2.2</v>
          </cell>
          <cell r="BD1745" t="str">
            <v>2*4*450</v>
          </cell>
          <cell r="BE1745">
            <v>15</v>
          </cell>
          <cell r="BF1745" t="str">
            <v>Kowshik</v>
          </cell>
        </row>
        <row r="1746">
          <cell r="A1746" t="str">
            <v>FBR1C210050</v>
          </cell>
          <cell r="B1746">
            <v>210050</v>
          </cell>
          <cell r="C1746" t="str">
            <v>R&amp;D</v>
          </cell>
          <cell r="D1746">
            <v>44299</v>
          </cell>
          <cell r="E1746">
            <v>0.63194444444444442</v>
          </cell>
          <cell r="F1746">
            <v>44287</v>
          </cell>
          <cell r="G1746">
            <v>44299</v>
          </cell>
          <cell r="H1746">
            <v>0.67361111111111116</v>
          </cell>
          <cell r="I1746">
            <v>4.1666666666666664E-2</v>
          </cell>
          <cell r="K1746" t="str">
            <v>MBT-TB-070 v1.1</v>
          </cell>
          <cell r="L1746" t="str">
            <v>CLN/PRA/01/0082</v>
          </cell>
          <cell r="M1746" t="str">
            <v>Y</v>
          </cell>
          <cell r="N1746" t="str">
            <v>Culture Improvement</v>
          </cell>
          <cell r="O1746" t="str">
            <v>Internal R&amp;D</v>
          </cell>
          <cell r="S1746" t="str">
            <v>Q1 Rejected</v>
          </cell>
          <cell r="T1746" t="str">
            <v>Q2 Rejected</v>
          </cell>
          <cell r="U1746" t="str">
            <v>Necrotic sample</v>
          </cell>
          <cell r="V1746" t="str">
            <v>Unconventional small tumour groups in 3/7 explants (2-5%)</v>
          </cell>
          <cell r="W1746" t="str">
            <v>Clinic'les</v>
          </cell>
          <cell r="X1746" t="str">
            <v>Clinic'les- Dr Prakash BV, Bangalore</v>
          </cell>
          <cell r="Y1746" t="str">
            <v>Sri Lakshmi Hospital, Bangalore</v>
          </cell>
          <cell r="Z1746" t="str">
            <v>Dr Prakash BV, Bangalore</v>
          </cell>
          <cell r="AA1746" t="str">
            <v>HNSCC</v>
          </cell>
          <cell r="AC1746" t="str">
            <v>Hypopharynx</v>
          </cell>
          <cell r="AD1746" t="str">
            <v>Hypopharynx</v>
          </cell>
          <cell r="AE1746" t="str">
            <v>Male</v>
          </cell>
          <cell r="AF1746">
            <v>55</v>
          </cell>
          <cell r="AG1746" t="str">
            <v>No</v>
          </cell>
          <cell r="AI1746" t="str">
            <v>Partha</v>
          </cell>
          <cell r="AJ1746" t="str">
            <v>Surgery</v>
          </cell>
          <cell r="AK1746" t="str">
            <v>Primary</v>
          </cell>
          <cell r="AN1746" t="str">
            <v>II</v>
          </cell>
          <cell r="AO1746" t="str">
            <v>II</v>
          </cell>
          <cell r="AP1746" t="str">
            <v>pT2N0M0</v>
          </cell>
          <cell r="AQ1746" t="str">
            <v>6 cycles</v>
          </cell>
          <cell r="AR1746" t="str">
            <v>Cisplatin</v>
          </cell>
          <cell r="AS1746" t="str">
            <v>Squamous Cell Carcinoma</v>
          </cell>
          <cell r="AV1746">
            <v>44299</v>
          </cell>
          <cell r="AW1746">
            <v>0.67361111111111116</v>
          </cell>
          <cell r="AX1746">
            <v>0.76527777777777772</v>
          </cell>
          <cell r="AY1746">
            <v>9.166666666666666E-2</v>
          </cell>
          <cell r="AZ1746">
            <v>0</v>
          </cell>
          <cell r="BA1746">
            <v>4.1666666666666664E-2</v>
          </cell>
          <cell r="BB1746" t="str">
            <v>1.4*1.6*2.4
1.4*2.0*2.2</v>
          </cell>
          <cell r="BC1746" t="str">
            <v>1.4*1.6*2.4
1.4*2.0*2.2</v>
          </cell>
          <cell r="BD1746" t="str">
            <v>2*4*450</v>
          </cell>
          <cell r="BE1746">
            <v>15</v>
          </cell>
          <cell r="BF1746" t="str">
            <v>Kowshik</v>
          </cell>
          <cell r="BG1746" t="str">
            <v>Q</v>
          </cell>
        </row>
        <row r="1747">
          <cell r="A1747" t="str">
            <v>FBR1C210051</v>
          </cell>
          <cell r="B1747">
            <v>210051</v>
          </cell>
          <cell r="C1747" t="str">
            <v>R&amp;D</v>
          </cell>
          <cell r="D1747">
            <v>44301</v>
          </cell>
          <cell r="E1747">
            <v>0.69444444444444442</v>
          </cell>
          <cell r="F1747">
            <v>44287</v>
          </cell>
          <cell r="G1747">
            <v>44301</v>
          </cell>
          <cell r="H1747">
            <v>0.75694444444444442</v>
          </cell>
          <cell r="I1747">
            <v>6.25E-2</v>
          </cell>
          <cell r="J1747">
            <v>0</v>
          </cell>
          <cell r="K1747" t="str">
            <v>MBT-TB-070 v2.0</v>
          </cell>
          <cell r="L1747" t="str">
            <v>BBH005</v>
          </cell>
          <cell r="M1747" t="str">
            <v>Y</v>
          </cell>
          <cell r="N1747" t="str">
            <v>Culture Improvement</v>
          </cell>
          <cell r="O1747" t="str">
            <v>Internal R&amp;D</v>
          </cell>
          <cell r="S1747" t="str">
            <v>Q1 Rejected</v>
          </cell>
          <cell r="T1747" t="str">
            <v>Q2 Passed</v>
          </cell>
          <cell r="U1747" t="str">
            <v>Sample size was too small</v>
          </cell>
          <cell r="V1747" t="str">
            <v>Good tumor content and high immune component</v>
          </cell>
          <cell r="W1747" t="str">
            <v>Independent</v>
          </cell>
          <cell r="X1747" t="str">
            <v>Bangalore Baptist Hospital, Hebbal</v>
          </cell>
          <cell r="Y1747" t="str">
            <v>Bangalore Baptist Hospital, Hebbal</v>
          </cell>
          <cell r="Z1747" t="str">
            <v>Dr Manjula BV, Bangalore</v>
          </cell>
          <cell r="AA1747" t="str">
            <v>HNSCC</v>
          </cell>
          <cell r="AC1747" t="str">
            <v>RMT</v>
          </cell>
          <cell r="AD1747" t="str">
            <v>Right RMT</v>
          </cell>
          <cell r="AE1747" t="str">
            <v>Male</v>
          </cell>
          <cell r="AF1747">
            <v>46</v>
          </cell>
          <cell r="AG1747" t="str">
            <v>No</v>
          </cell>
          <cell r="AI1747" t="str">
            <v>Partha</v>
          </cell>
          <cell r="AJ1747" t="str">
            <v>Surgery</v>
          </cell>
          <cell r="AK1747" t="str">
            <v>Primary</v>
          </cell>
          <cell r="AV1747">
            <v>44301</v>
          </cell>
          <cell r="AW1747">
            <v>0.77083333333333337</v>
          </cell>
          <cell r="AX1747">
            <v>0.82291666666666663</v>
          </cell>
          <cell r="AY1747">
            <v>5.2083333333333336E-2</v>
          </cell>
          <cell r="AZ1747">
            <v>1.3888888888888888E-2</v>
          </cell>
          <cell r="BA1747">
            <v>7.6388888888888895E-2</v>
          </cell>
          <cell r="BB1747" t="str">
            <v>0.4*0.8*0.6
0.6*0.8*0.8
0.4*0.6*1.0</v>
          </cell>
          <cell r="BC1747" t="str">
            <v>0.4*0.8*0.6
0.6*0.8*0.8
0.4*0.6*1.0</v>
          </cell>
          <cell r="BD1747" t="str">
            <v>2*4*450</v>
          </cell>
          <cell r="BE1747">
            <v>15</v>
          </cell>
          <cell r="BF1747" t="str">
            <v>Kowshik</v>
          </cell>
          <cell r="BG1747" t="str">
            <v>Q</v>
          </cell>
        </row>
        <row r="1748">
          <cell r="A1748" t="str">
            <v>FBR1B210052</v>
          </cell>
          <cell r="B1748">
            <v>210052</v>
          </cell>
          <cell r="C1748" t="str">
            <v>R&amp;D</v>
          </cell>
          <cell r="D1748">
            <v>44302</v>
          </cell>
          <cell r="E1748">
            <v>0.48958333333333331</v>
          </cell>
          <cell r="F1748">
            <v>44287</v>
          </cell>
          <cell r="G1748">
            <v>44302</v>
          </cell>
          <cell r="H1748">
            <v>0.88541666666666663</v>
          </cell>
          <cell r="I1748">
            <v>0.39583333333333331</v>
          </cell>
          <cell r="J1748">
            <v>2</v>
          </cell>
          <cell r="K1748" t="str">
            <v>FCB-PROTOCOL-01_v1</v>
          </cell>
          <cell r="L1748" t="str">
            <v>CLN/DBR/001</v>
          </cell>
          <cell r="M1748" t="str">
            <v>Y</v>
          </cell>
          <cell r="N1748" t="str">
            <v>DMS_v2.1</v>
          </cell>
          <cell r="O1748" t="str">
            <v>Internal R&amp;D</v>
          </cell>
          <cell r="S1748" t="str">
            <v>Q1 Passed</v>
          </cell>
          <cell r="T1748" t="str">
            <v>Q2 Passed</v>
          </cell>
          <cell r="U1748" t="str">
            <v>Blood sample was hemolyzed post spinning</v>
          </cell>
          <cell r="V1748" t="str">
            <v>Good tumor content and high immune component</v>
          </cell>
          <cell r="W1748" t="str">
            <v>Clinic'les</v>
          </cell>
          <cell r="X1748" t="str">
            <v>Clinic'les- DBR &amp; SK Hospital, Tirupati</v>
          </cell>
          <cell r="Y1748" t="str">
            <v>DBR &amp; SK Hospital, Tirupati</v>
          </cell>
          <cell r="Z1748" t="str">
            <v>Dr C Jayaprakash, Tirupati</v>
          </cell>
          <cell r="AA1748" t="str">
            <v>HNSCC</v>
          </cell>
          <cell r="AC1748" t="str">
            <v>Buccal Mucosa</v>
          </cell>
          <cell r="AD1748" t="str">
            <v>Right Buccal Mucosa</v>
          </cell>
          <cell r="AE1748" t="str">
            <v>Female</v>
          </cell>
          <cell r="AF1748">
            <v>50</v>
          </cell>
          <cell r="AG1748" t="str">
            <v>No</v>
          </cell>
          <cell r="AI1748" t="str">
            <v>Partha</v>
          </cell>
          <cell r="AJ1748" t="str">
            <v>Surgery</v>
          </cell>
          <cell r="AK1748" t="str">
            <v>Primary</v>
          </cell>
          <cell r="AV1748">
            <v>44303</v>
          </cell>
          <cell r="AW1748">
            <v>0.25694444444444442</v>
          </cell>
          <cell r="AX1748">
            <v>0.35416666666666669</v>
          </cell>
          <cell r="AY1748">
            <v>9.7222222222222224E-2</v>
          </cell>
          <cell r="AZ1748">
            <v>0.37152777777777779</v>
          </cell>
          <cell r="BA1748">
            <v>0.78819444444444442</v>
          </cell>
          <cell r="BB1748" t="str">
            <v>1.2*2.6*2.2</v>
          </cell>
          <cell r="BC1748" t="str">
            <v>1.2*2.6*2.2</v>
          </cell>
          <cell r="BD1748" t="str">
            <v>2*4*450</v>
          </cell>
          <cell r="BE1748">
            <v>15</v>
          </cell>
          <cell r="BF1748" t="str">
            <v>Kowshik</v>
          </cell>
          <cell r="BG1748" t="str">
            <v>NQ</v>
          </cell>
        </row>
        <row r="1749">
          <cell r="A1749" t="str">
            <v>FBR1C210052</v>
          </cell>
          <cell r="B1749">
            <v>210052</v>
          </cell>
          <cell r="C1749" t="str">
            <v>R&amp;D</v>
          </cell>
          <cell r="D1749">
            <v>44302</v>
          </cell>
          <cell r="E1749">
            <v>0.48958333333333331</v>
          </cell>
          <cell r="F1749">
            <v>44287</v>
          </cell>
          <cell r="G1749">
            <v>44302</v>
          </cell>
          <cell r="H1749">
            <v>0.88541666666666663</v>
          </cell>
          <cell r="I1749">
            <v>0.39583333333333331</v>
          </cell>
          <cell r="J1749">
            <v>2</v>
          </cell>
          <cell r="K1749" t="str">
            <v>FCB-PROTOCOL-01_v1</v>
          </cell>
          <cell r="L1749" t="str">
            <v>CLN/DBR/001</v>
          </cell>
          <cell r="M1749" t="str">
            <v>Y</v>
          </cell>
          <cell r="N1749" t="str">
            <v>DMS_v2.1</v>
          </cell>
          <cell r="O1749" t="str">
            <v>Internal R&amp;D</v>
          </cell>
          <cell r="S1749" t="str">
            <v>Q1 Passed</v>
          </cell>
          <cell r="T1749" t="str">
            <v>Q2 Passed</v>
          </cell>
          <cell r="U1749" t="str">
            <v>Blood sample was hemolyzed post spinning</v>
          </cell>
          <cell r="V1749" t="str">
            <v>Good tumor content and high immune component</v>
          </cell>
          <cell r="W1749" t="str">
            <v>Clinic'les</v>
          </cell>
          <cell r="X1749" t="str">
            <v>Clinic'les- DBR &amp; SK Hospital, Tirupati</v>
          </cell>
          <cell r="Y1749" t="str">
            <v>DBR &amp; SK Hospital, Tirupati</v>
          </cell>
          <cell r="Z1749" t="str">
            <v>Dr C Jayaprakash, Tirupati</v>
          </cell>
          <cell r="AA1749" t="str">
            <v>HNSCC</v>
          </cell>
          <cell r="AC1749" t="str">
            <v>Buccal Mucosa</v>
          </cell>
          <cell r="AD1749" t="str">
            <v>Right Buccal Mucosa</v>
          </cell>
          <cell r="AE1749" t="str">
            <v>Female</v>
          </cell>
          <cell r="AF1749">
            <v>50</v>
          </cell>
          <cell r="AG1749" t="str">
            <v>No</v>
          </cell>
          <cell r="AI1749" t="str">
            <v>Partha</v>
          </cell>
          <cell r="AJ1749" t="str">
            <v>Surgery</v>
          </cell>
          <cell r="AK1749" t="str">
            <v>Primary</v>
          </cell>
          <cell r="AV1749">
            <v>44303</v>
          </cell>
          <cell r="AW1749">
            <v>0.25694444444444442</v>
          </cell>
          <cell r="AX1749">
            <v>0.35416666666666669</v>
          </cell>
          <cell r="AY1749">
            <v>9.7222222222222224E-2</v>
          </cell>
          <cell r="AZ1749">
            <v>0.37152777777777779</v>
          </cell>
          <cell r="BA1749">
            <v>0.78819444444444442</v>
          </cell>
          <cell r="BB1749" t="str">
            <v>1.2*2.6*2.2</v>
          </cell>
          <cell r="BC1749" t="str">
            <v>1.2*2.6*2.2</v>
          </cell>
          <cell r="BD1749" t="str">
            <v>2*4*450</v>
          </cell>
          <cell r="BE1749">
            <v>15</v>
          </cell>
          <cell r="BF1749" t="str">
            <v>Kowshik</v>
          </cell>
          <cell r="BG1749" t="str">
            <v>NQ</v>
          </cell>
        </row>
        <row r="1750">
          <cell r="A1750" t="str">
            <v>FBB1A210053</v>
          </cell>
          <cell r="B1750">
            <v>210053</v>
          </cell>
          <cell r="C1750" t="str">
            <v>Biopharma</v>
          </cell>
          <cell r="D1750">
            <v>44303</v>
          </cell>
          <cell r="E1750">
            <v>0.48958333333333331</v>
          </cell>
          <cell r="F1750">
            <v>44287</v>
          </cell>
          <cell r="G1750">
            <v>44303</v>
          </cell>
          <cell r="H1750">
            <v>0.88541666666666663</v>
          </cell>
          <cell r="I1750">
            <v>0.39583333333333331</v>
          </cell>
          <cell r="J1750">
            <v>10</v>
          </cell>
          <cell r="K1750" t="str">
            <v>FCB-PROTOCOL-01_v1</v>
          </cell>
          <cell r="L1750" t="str">
            <v>CLN/DBR/002</v>
          </cell>
          <cell r="M1750" t="str">
            <v>Y</v>
          </cell>
          <cell r="N1750" t="str">
            <v>BP001_SOW1_2020</v>
          </cell>
          <cell r="O1750" t="str">
            <v>Biopharma</v>
          </cell>
          <cell r="S1750" t="str">
            <v>Q1 Passed</v>
          </cell>
          <cell r="T1750" t="str">
            <v>Q2 Passed</v>
          </cell>
          <cell r="V1750" t="str">
            <v>Good tumor content and high immune component</v>
          </cell>
          <cell r="W1750" t="str">
            <v>Clinic'les</v>
          </cell>
          <cell r="X1750" t="str">
            <v>Clinic'les- DBR &amp; SK Hospital, Tirupati</v>
          </cell>
          <cell r="Y1750" t="str">
            <v>DBR &amp; SK Hospital, Tirupati</v>
          </cell>
          <cell r="Z1750" t="str">
            <v>Dr C Jayaprakash, Tirupati</v>
          </cell>
          <cell r="AA1750" t="str">
            <v>HNSCC</v>
          </cell>
          <cell r="AC1750" t="str">
            <v>Buccal Mucosa</v>
          </cell>
          <cell r="AD1750" t="str">
            <v>Buccal Mucosa</v>
          </cell>
          <cell r="AE1750" t="str">
            <v>Female</v>
          </cell>
          <cell r="AF1750">
            <v>38</v>
          </cell>
          <cell r="AG1750" t="str">
            <v>No</v>
          </cell>
          <cell r="AI1750" t="str">
            <v>Partha</v>
          </cell>
          <cell r="AJ1750" t="str">
            <v>Surgery</v>
          </cell>
          <cell r="AK1750" t="str">
            <v>Primary</v>
          </cell>
          <cell r="AN1750" t="str">
            <v>III</v>
          </cell>
          <cell r="AP1750" t="str">
            <v>T3N1MX</v>
          </cell>
          <cell r="AS1750" t="str">
            <v>Moderately differentiated squamous cell carcinoma</v>
          </cell>
          <cell r="AV1750">
            <v>44304</v>
          </cell>
          <cell r="AW1750">
            <v>0.28125</v>
          </cell>
          <cell r="AX1750">
            <v>0.36249999999999999</v>
          </cell>
          <cell r="AY1750">
            <v>8.1250000000000003E-2</v>
          </cell>
          <cell r="AZ1750">
            <v>0.39583333333333331</v>
          </cell>
          <cell r="BA1750">
            <v>0.79166666666666663</v>
          </cell>
          <cell r="BB1750" t="str">
            <v>1.0*1.8*2.8
0.8*0.8*1.2</v>
          </cell>
          <cell r="BC1750" t="str">
            <v>1.0*1.8*2.8
0.8*0.8*1.2</v>
          </cell>
          <cell r="BD1750" t="str">
            <v>2*4*450</v>
          </cell>
          <cell r="BE1750">
            <v>15</v>
          </cell>
          <cell r="BF1750" t="str">
            <v>Kowshik</v>
          </cell>
          <cell r="BG1750" t="str">
            <v>Q</v>
          </cell>
        </row>
        <row r="1751">
          <cell r="A1751" t="str">
            <v>FBR1A210054</v>
          </cell>
          <cell r="B1751">
            <v>210054</v>
          </cell>
          <cell r="C1751" t="str">
            <v>R&amp;D</v>
          </cell>
          <cell r="D1751">
            <v>44312</v>
          </cell>
          <cell r="E1751">
            <v>0.5625</v>
          </cell>
          <cell r="F1751">
            <v>44287</v>
          </cell>
          <cell r="G1751">
            <v>44312</v>
          </cell>
          <cell r="H1751">
            <v>0.875</v>
          </cell>
          <cell r="I1751">
            <v>0.3125</v>
          </cell>
          <cell r="J1751">
            <v>30</v>
          </cell>
          <cell r="K1751" t="str">
            <v>MBT-TB-070 v1.1</v>
          </cell>
          <cell r="L1751" t="str">
            <v>CLN/SMG/006</v>
          </cell>
          <cell r="M1751" t="str">
            <v>Y</v>
          </cell>
          <cell r="N1751" t="str">
            <v>Other Indication</v>
          </cell>
          <cell r="O1751" t="str">
            <v>Internal R&amp;D</v>
          </cell>
          <cell r="S1751" t="str">
            <v>Q1 Passed</v>
          </cell>
          <cell r="T1751" t="str">
            <v>Q2 Passed</v>
          </cell>
          <cell r="U1751" t="str">
            <v>Blood tube was expired but blood qualified</v>
          </cell>
          <cell r="V1751" t="str">
            <v>Tumor content varies between 4-35%</v>
          </cell>
          <cell r="W1751" t="str">
            <v>Clinic'les</v>
          </cell>
          <cell r="X1751" t="str">
            <v>Clinic'les- Shanmuga Hospital, Salem</v>
          </cell>
          <cell r="Y1751" t="str">
            <v>Shanmuga Hospital, Salem</v>
          </cell>
          <cell r="AA1751" t="str">
            <v>Ca Breast</v>
          </cell>
          <cell r="AC1751" t="str">
            <v>Breast</v>
          </cell>
          <cell r="AD1751" t="str">
            <v>Bilateral Breast</v>
          </cell>
          <cell r="AE1751" t="str">
            <v>Female</v>
          </cell>
          <cell r="AF1751">
            <v>48</v>
          </cell>
          <cell r="AG1751" t="str">
            <v>No</v>
          </cell>
          <cell r="AI1751" t="str">
            <v>Partha</v>
          </cell>
          <cell r="AJ1751" t="str">
            <v>Surgery</v>
          </cell>
          <cell r="AK1751" t="str">
            <v>Primary</v>
          </cell>
          <cell r="AN1751" t="str">
            <v>NA</v>
          </cell>
          <cell r="AO1751" t="str">
            <v>I</v>
          </cell>
          <cell r="AP1751" t="str">
            <v>pT2N0Mx</v>
          </cell>
          <cell r="AS1751" t="str">
            <v>ER+, PR+, HER2-; Invasive Breast Carcinoma</v>
          </cell>
          <cell r="AV1751">
            <v>44313</v>
          </cell>
          <cell r="AW1751">
            <v>0.2986111111111111</v>
          </cell>
          <cell r="AX1751">
            <v>0.33402777777777776</v>
          </cell>
          <cell r="AY1751">
            <v>3.5416666666666666E-2</v>
          </cell>
          <cell r="AZ1751">
            <v>0.4236111111111111</v>
          </cell>
          <cell r="BA1751">
            <v>0.73611111111111116</v>
          </cell>
          <cell r="BB1751" t="str">
            <v>0.8*1.8*2.2</v>
          </cell>
          <cell r="BC1751" t="str">
            <v>0.8*1.4*2.2</v>
          </cell>
          <cell r="BD1751" t="str">
            <v>2*2*2</v>
          </cell>
          <cell r="BE1751">
            <v>15</v>
          </cell>
          <cell r="BF1751" t="str">
            <v>Gowri</v>
          </cell>
          <cell r="BG1751" t="str">
            <v>Q</v>
          </cell>
        </row>
        <row r="1752">
          <cell r="A1752" t="str">
            <v>FBR1A210055</v>
          </cell>
          <cell r="B1752">
            <v>210055</v>
          </cell>
          <cell r="C1752" t="str">
            <v>R&amp;D</v>
          </cell>
          <cell r="D1752">
            <v>44315</v>
          </cell>
          <cell r="E1752">
            <v>0.41666666666666669</v>
          </cell>
          <cell r="F1752">
            <v>44287</v>
          </cell>
          <cell r="G1752">
            <v>44315</v>
          </cell>
          <cell r="H1752">
            <v>0.45833333333333331</v>
          </cell>
          <cell r="I1752">
            <v>4.1666666666666664E-2</v>
          </cell>
          <cell r="K1752" t="str">
            <v>MBT-TB-070 v1.1</v>
          </cell>
          <cell r="L1752" t="str">
            <v>CLN/PRA/01/0083</v>
          </cell>
          <cell r="M1752" t="str">
            <v>Y</v>
          </cell>
          <cell r="N1752" t="str">
            <v>Other Indication</v>
          </cell>
          <cell r="O1752" t="str">
            <v>Internal R&amp;D</v>
          </cell>
          <cell r="S1752" t="str">
            <v>Q1 Passed</v>
          </cell>
          <cell r="T1752" t="str">
            <v>Q2 Passed</v>
          </cell>
          <cell r="V1752" t="str">
            <v>Good tumor content with ?post-therapy changes</v>
          </cell>
          <cell r="W1752" t="str">
            <v>Clinic'les</v>
          </cell>
          <cell r="X1752" t="str">
            <v>Clinic'les- Dr Prakash BV, Bangalore</v>
          </cell>
          <cell r="Y1752" t="str">
            <v>Sri Lakshmi Hospital, Bangalore</v>
          </cell>
          <cell r="Z1752" t="str">
            <v>Dr Prakash BV, Bangalore</v>
          </cell>
          <cell r="AA1752" t="str">
            <v>Ca Breast</v>
          </cell>
          <cell r="AC1752" t="str">
            <v>Breast</v>
          </cell>
          <cell r="AD1752" t="str">
            <v>Left Breast</v>
          </cell>
          <cell r="AE1752" t="str">
            <v>Female</v>
          </cell>
          <cell r="AF1752">
            <v>30</v>
          </cell>
          <cell r="AG1752" t="str">
            <v>No</v>
          </cell>
          <cell r="AI1752" t="str">
            <v>Sashi</v>
          </cell>
          <cell r="AJ1752" t="str">
            <v>Surgery</v>
          </cell>
          <cell r="AK1752" t="str">
            <v>Primary</v>
          </cell>
          <cell r="AL1752" t="str">
            <v>Chemotherapy</v>
          </cell>
          <cell r="AN1752" t="str">
            <v>III</v>
          </cell>
          <cell r="AO1752" t="str">
            <v>III</v>
          </cell>
          <cell r="AP1752" t="str">
            <v>pT3N2M0</v>
          </cell>
          <cell r="AQ1752" t="str">
            <v>5 cycles</v>
          </cell>
          <cell r="AR1752" t="str">
            <v>Cisplatin</v>
          </cell>
          <cell r="AS1752" t="str">
            <v>Infiltrating ductal Carcinoma</v>
          </cell>
          <cell r="AT1752" t="str">
            <v>8 cycles</v>
          </cell>
          <cell r="AU1752" t="str">
            <v>4Ac+4Paclitaxel+ Adriamycin+ Cyclophosphamide+ Paclitaxane</v>
          </cell>
          <cell r="AV1752">
            <v>44315</v>
          </cell>
          <cell r="AW1752">
            <v>0.4826388888888889</v>
          </cell>
          <cell r="AX1752">
            <v>0.53194444444444444</v>
          </cell>
          <cell r="AY1752">
            <v>4.9305555555555554E-2</v>
          </cell>
          <cell r="AZ1752">
            <v>2.4305555555555556E-2</v>
          </cell>
          <cell r="BA1752">
            <v>6.5972222222222224E-2</v>
          </cell>
          <cell r="BB1752" t="str">
            <v>1.6*2.6*4.6</v>
          </cell>
          <cell r="BC1752" t="str">
            <v>1.0*1.6*4.0</v>
          </cell>
          <cell r="BD1752" t="str">
            <v>2*2*2</v>
          </cell>
          <cell r="BE1752">
            <v>15</v>
          </cell>
          <cell r="BF1752" t="str">
            <v>Gowri</v>
          </cell>
          <cell r="BG1752" t="str">
            <v>Q</v>
          </cell>
        </row>
        <row r="1753">
          <cell r="A1753" t="str">
            <v>FBB1A210056</v>
          </cell>
          <cell r="B1753">
            <v>210056</v>
          </cell>
          <cell r="C1753" t="str">
            <v>Biopharma</v>
          </cell>
          <cell r="D1753">
            <v>44333</v>
          </cell>
          <cell r="E1753">
            <v>0.51527777777777772</v>
          </cell>
          <cell r="F1753">
            <v>44317</v>
          </cell>
          <cell r="G1753">
            <v>44333</v>
          </cell>
          <cell r="H1753">
            <v>0.59027777777777779</v>
          </cell>
          <cell r="I1753">
            <v>7.4999999999999997E-2</v>
          </cell>
          <cell r="J1753">
            <v>6</v>
          </cell>
          <cell r="K1753" t="str">
            <v>FCB-PROTOCOL-01_v1</v>
          </cell>
          <cell r="L1753" t="str">
            <v>VYD/001</v>
          </cell>
          <cell r="M1753" t="str">
            <v>Y</v>
          </cell>
          <cell r="N1753" t="str">
            <v>BP001_SOW1_2020</v>
          </cell>
          <cell r="O1753" t="str">
            <v>Biopharma</v>
          </cell>
          <cell r="S1753" t="str">
            <v>Q1 Passed</v>
          </cell>
          <cell r="T1753" t="str">
            <v>Q2 Passed</v>
          </cell>
          <cell r="V1753" t="str">
            <v>Tumor content varies between 20-60%</v>
          </cell>
          <cell r="W1753" t="str">
            <v>Clinic'les</v>
          </cell>
          <cell r="X1753" t="str">
            <v>Clinic'les- Vydehi Hospital, Bangalore</v>
          </cell>
          <cell r="Y1753" t="str">
            <v>Vydehi Hospital, Bangalore</v>
          </cell>
          <cell r="Z1753" t="str">
            <v>Dr Amritha Prabha, Bangalore</v>
          </cell>
          <cell r="AA1753" t="str">
            <v>HNSCC</v>
          </cell>
          <cell r="AC1753" t="str">
            <v>Buccal Suculus</v>
          </cell>
          <cell r="AD1753" t="str">
            <v>Left Gingiva Buccal Suculus</v>
          </cell>
          <cell r="AE1753" t="str">
            <v>Female</v>
          </cell>
          <cell r="AF1753">
            <v>52</v>
          </cell>
          <cell r="AG1753" t="str">
            <v>No</v>
          </cell>
          <cell r="AI1753" t="str">
            <v>Sashi/Kalappa</v>
          </cell>
          <cell r="AJ1753" t="str">
            <v>Surgery</v>
          </cell>
          <cell r="AK1753" t="str">
            <v>Primary</v>
          </cell>
          <cell r="AN1753" t="str">
            <v>IVA</v>
          </cell>
          <cell r="AO1753">
            <v>2</v>
          </cell>
          <cell r="AP1753" t="str">
            <v>T4aN0M0</v>
          </cell>
          <cell r="AS1753" t="str">
            <v>Squamous Cell Carcinoma</v>
          </cell>
          <cell r="AV1753">
            <v>44333</v>
          </cell>
          <cell r="AW1753">
            <v>0.60416666666666663</v>
          </cell>
          <cell r="AX1753">
            <v>0.70833333333333337</v>
          </cell>
          <cell r="AY1753">
            <v>0.10416666666666667</v>
          </cell>
          <cell r="AZ1753">
            <v>1.3888888888888888E-2</v>
          </cell>
          <cell r="BA1753">
            <v>8.8888888888888892E-2</v>
          </cell>
          <cell r="BB1753" t="str">
            <v>1.05*1.45*1.45</v>
          </cell>
          <cell r="BC1753" t="str">
            <v>0.8*1.4*1.4</v>
          </cell>
          <cell r="BD1753" t="str">
            <v>2*4*450</v>
          </cell>
          <cell r="BE1753">
            <v>15</v>
          </cell>
          <cell r="BF1753" t="str">
            <v>Vasanth</v>
          </cell>
          <cell r="BG1753" t="str">
            <v>Q</v>
          </cell>
        </row>
        <row r="1754">
          <cell r="A1754" t="str">
            <v>FBB1A210057</v>
          </cell>
          <cell r="B1754">
            <v>210057</v>
          </cell>
          <cell r="C1754" t="str">
            <v>Biopharma</v>
          </cell>
          <cell r="D1754">
            <v>44335</v>
          </cell>
          <cell r="E1754">
            <v>0.46250000000000002</v>
          </cell>
          <cell r="F1754">
            <v>44317</v>
          </cell>
          <cell r="G1754">
            <v>44335</v>
          </cell>
          <cell r="H1754">
            <v>0.54583333333333328</v>
          </cell>
          <cell r="I1754">
            <v>8.3333333333333329E-2</v>
          </cell>
          <cell r="J1754">
            <v>1</v>
          </cell>
          <cell r="K1754" t="str">
            <v>FCB-PROTOCOL-01_v1</v>
          </cell>
          <cell r="L1754" t="str">
            <v>VYD/002</v>
          </cell>
          <cell r="M1754" t="str">
            <v>Y</v>
          </cell>
          <cell r="N1754" t="str">
            <v>BP001_SOW1_2020</v>
          </cell>
          <cell r="O1754" t="str">
            <v>Biopharma</v>
          </cell>
          <cell r="S1754" t="str">
            <v>Q1 Passed</v>
          </cell>
          <cell r="T1754" t="str">
            <v>Q2 Passed</v>
          </cell>
          <cell r="V1754" t="str">
            <v>Good tumour content</v>
          </cell>
          <cell r="W1754" t="str">
            <v>Clinic'les</v>
          </cell>
          <cell r="X1754" t="str">
            <v>Clinic'les- Vydehi Hospital, Bangalore</v>
          </cell>
          <cell r="Y1754" t="str">
            <v>Vydehi Hospital, Bangalore</v>
          </cell>
          <cell r="Z1754" t="str">
            <v>Dr Amritha Prabha, Bangalore</v>
          </cell>
          <cell r="AA1754" t="str">
            <v>HNSCC</v>
          </cell>
          <cell r="AC1754" t="str">
            <v>Alveolus</v>
          </cell>
          <cell r="AD1754" t="str">
            <v>Right Lower Alveolus, Right Lower GBS</v>
          </cell>
          <cell r="AE1754" t="str">
            <v>Female</v>
          </cell>
          <cell r="AF1754">
            <v>48</v>
          </cell>
          <cell r="AG1754" t="str">
            <v>No</v>
          </cell>
          <cell r="AI1754" t="str">
            <v>Sashi</v>
          </cell>
          <cell r="AJ1754" t="str">
            <v>Surgery</v>
          </cell>
          <cell r="AK1754" t="str">
            <v>Primary</v>
          </cell>
          <cell r="AN1754" t="str">
            <v>IVA</v>
          </cell>
          <cell r="AO1754">
            <v>2</v>
          </cell>
          <cell r="AP1754" t="str">
            <v>T4aN2bM0</v>
          </cell>
          <cell r="AS1754" t="str">
            <v>Well Differentiated Squamous Cell Carcinoma</v>
          </cell>
          <cell r="AV1754">
            <v>44335</v>
          </cell>
          <cell r="AW1754">
            <v>0.55902777777777779</v>
          </cell>
          <cell r="AX1754">
            <v>0.65277777777777779</v>
          </cell>
          <cell r="AY1754">
            <v>9.375E-2</v>
          </cell>
          <cell r="AZ1754">
            <v>1.3194444444444444E-2</v>
          </cell>
          <cell r="BA1754">
            <v>9.6527777777777782E-2</v>
          </cell>
          <cell r="BB1754" t="str">
            <v>1.6*1.8*2.0</v>
          </cell>
          <cell r="BC1754" t="str">
            <v>1.6*1.8*2.0</v>
          </cell>
          <cell r="BD1754" t="str">
            <v>2*4*450</v>
          </cell>
          <cell r="BE1754">
            <v>15</v>
          </cell>
          <cell r="BF1754" t="str">
            <v>Vasanth</v>
          </cell>
          <cell r="BG1754" t="str">
            <v>Q</v>
          </cell>
        </row>
        <row r="1755">
          <cell r="A1755" t="str">
            <v>FBB1B210058</v>
          </cell>
          <cell r="B1755">
            <v>210058</v>
          </cell>
          <cell r="C1755" t="str">
            <v>Biopharma</v>
          </cell>
          <cell r="D1755">
            <v>44342</v>
          </cell>
          <cell r="E1755">
            <v>0.49583333333333335</v>
          </cell>
          <cell r="F1755">
            <v>44317</v>
          </cell>
          <cell r="G1755">
            <v>44342</v>
          </cell>
          <cell r="H1755">
            <v>0.5625</v>
          </cell>
          <cell r="I1755">
            <v>6.6666666666666666E-2</v>
          </cell>
          <cell r="J1755">
            <v>7</v>
          </cell>
          <cell r="K1755" t="str">
            <v>FCB-PROTOCOL-01_v1</v>
          </cell>
          <cell r="L1755" t="str">
            <v>VYD/003</v>
          </cell>
          <cell r="M1755" t="str">
            <v>Y</v>
          </cell>
          <cell r="N1755" t="str">
            <v>BP002_SOW1_2021</v>
          </cell>
          <cell r="O1755" t="str">
            <v>Biopharma</v>
          </cell>
          <cell r="S1755" t="str">
            <v>Q1 Passed</v>
          </cell>
          <cell r="T1755" t="str">
            <v>Q2 Passed</v>
          </cell>
          <cell r="V1755" t="str">
            <v>Tumour content varies between 0-80%</v>
          </cell>
          <cell r="W1755" t="str">
            <v>Clinic'les</v>
          </cell>
          <cell r="X1755" t="str">
            <v>Clinic'les- Vydehi Hospital, Bangalore</v>
          </cell>
          <cell r="Y1755" t="str">
            <v>Vydehi Hospital, Bangalore</v>
          </cell>
          <cell r="Z1755" t="str">
            <v>Dr Amritha Prabha, Bangalore</v>
          </cell>
          <cell r="AA1755" t="str">
            <v>HNSCC</v>
          </cell>
          <cell r="AC1755" t="str">
            <v>Maxilla</v>
          </cell>
          <cell r="AD1755" t="str">
            <v>Left Maxilla</v>
          </cell>
          <cell r="AE1755" t="str">
            <v>Female</v>
          </cell>
          <cell r="AF1755">
            <v>61</v>
          </cell>
          <cell r="AG1755" t="str">
            <v>No</v>
          </cell>
          <cell r="AI1755" t="str">
            <v>Sashi</v>
          </cell>
          <cell r="AJ1755" t="str">
            <v>Surgery</v>
          </cell>
          <cell r="AK1755" t="str">
            <v>Primary</v>
          </cell>
          <cell r="AN1755" t="str">
            <v>IVA</v>
          </cell>
          <cell r="AO1755" t="str">
            <v>II</v>
          </cell>
          <cell r="AP1755" t="str">
            <v>pT4aN1M0</v>
          </cell>
          <cell r="AS1755" t="str">
            <v>Squamous Cell Carcinoma</v>
          </cell>
          <cell r="AV1755">
            <v>44342</v>
          </cell>
          <cell r="AW1755">
            <v>0.65277777777777779</v>
          </cell>
          <cell r="AX1755">
            <v>0.72569444444444442</v>
          </cell>
          <cell r="AY1755">
            <v>7.2916666666666671E-2</v>
          </cell>
          <cell r="AZ1755">
            <v>9.0277777777777776E-2</v>
          </cell>
          <cell r="BA1755">
            <v>0.15694444444444444</v>
          </cell>
          <cell r="BB1755" t="str">
            <v>1.2*1.8*3.0</v>
          </cell>
          <cell r="BC1755" t="str">
            <v>1.2*1.8*3.0</v>
          </cell>
          <cell r="BD1755" t="str">
            <v>2*4*450</v>
          </cell>
          <cell r="BE1755">
            <v>15</v>
          </cell>
          <cell r="BF1755" t="str">
            <v>Rajashekhar/ Vasanth</v>
          </cell>
          <cell r="BG1755" t="str">
            <v>Q</v>
          </cell>
        </row>
        <row r="1756">
          <cell r="A1756" t="str">
            <v>FBR1H210058</v>
          </cell>
          <cell r="B1756">
            <v>210058</v>
          </cell>
          <cell r="C1756" t="str">
            <v>R&amp;D</v>
          </cell>
          <cell r="D1756">
            <v>44342</v>
          </cell>
          <cell r="E1756">
            <v>0.49583333333333335</v>
          </cell>
          <cell r="F1756">
            <v>44317</v>
          </cell>
          <cell r="G1756">
            <v>44342</v>
          </cell>
          <cell r="H1756">
            <v>0.5625</v>
          </cell>
          <cell r="I1756">
            <v>6.6666666666666666E-2</v>
          </cell>
          <cell r="J1756">
            <v>7</v>
          </cell>
          <cell r="K1756" t="str">
            <v>FCB-PROTOCOL-01_v1</v>
          </cell>
          <cell r="L1756" t="str">
            <v>VYD/003</v>
          </cell>
          <cell r="M1756" t="str">
            <v>Y</v>
          </cell>
          <cell r="N1756" t="str">
            <v>DMS_v3</v>
          </cell>
          <cell r="O1756" t="str">
            <v>Internal R&amp;D</v>
          </cell>
          <cell r="S1756" t="str">
            <v>Q1 Passed</v>
          </cell>
          <cell r="W1756" t="str">
            <v>Clinic'les</v>
          </cell>
          <cell r="X1756" t="str">
            <v>Clinic'les- Vydehi Hospital, Bangalore</v>
          </cell>
          <cell r="Y1756" t="str">
            <v>Vydehi Hospital, Bangalore</v>
          </cell>
          <cell r="Z1756" t="str">
            <v>Dr Amritha Prabha, Bangalore</v>
          </cell>
          <cell r="AA1756" t="str">
            <v>HNSCC</v>
          </cell>
          <cell r="AC1756" t="str">
            <v>Maxilla</v>
          </cell>
          <cell r="AD1756" t="str">
            <v>Left Maxilla</v>
          </cell>
          <cell r="AE1756" t="str">
            <v>Female</v>
          </cell>
          <cell r="AF1756">
            <v>61</v>
          </cell>
          <cell r="AG1756" t="str">
            <v>No</v>
          </cell>
          <cell r="AI1756" t="str">
            <v>Sashi</v>
          </cell>
          <cell r="AJ1756" t="str">
            <v>Surgery</v>
          </cell>
          <cell r="AK1756" t="str">
            <v>Primary</v>
          </cell>
          <cell r="AN1756" t="str">
            <v>IVA</v>
          </cell>
          <cell r="AO1756" t="str">
            <v>II</v>
          </cell>
          <cell r="AP1756" t="str">
            <v>pT4aN1M0</v>
          </cell>
          <cell r="AS1756" t="str">
            <v>Squamous Cell Carcinoma</v>
          </cell>
          <cell r="AV1756">
            <v>44342</v>
          </cell>
          <cell r="AW1756">
            <v>0.65277777777777779</v>
          </cell>
          <cell r="AX1756">
            <v>0.72569444444444442</v>
          </cell>
          <cell r="AY1756">
            <v>7.2916666666666671E-2</v>
          </cell>
          <cell r="AZ1756">
            <v>9.0277777777777776E-2</v>
          </cell>
          <cell r="BA1756">
            <v>0.15694444444444444</v>
          </cell>
          <cell r="BB1756" t="str">
            <v>1.2*1.8*3.0</v>
          </cell>
          <cell r="BC1756" t="str">
            <v>1.2*1.8*3.0</v>
          </cell>
          <cell r="BD1756" t="str">
            <v>2*4*450</v>
          </cell>
          <cell r="BE1756">
            <v>15</v>
          </cell>
          <cell r="BF1756" t="str">
            <v>Rajashekhar/ Vasanth</v>
          </cell>
          <cell r="BG1756" t="str">
            <v>Q</v>
          </cell>
        </row>
        <row r="1757">
          <cell r="A1757" t="str">
            <v>FBB1B210059</v>
          </cell>
          <cell r="B1757">
            <v>210059</v>
          </cell>
          <cell r="C1757" t="str">
            <v>Biopharma</v>
          </cell>
          <cell r="D1757">
            <v>44348</v>
          </cell>
          <cell r="E1757">
            <v>0.75</v>
          </cell>
          <cell r="F1757">
            <v>44348</v>
          </cell>
          <cell r="G1757">
            <v>44348</v>
          </cell>
          <cell r="H1757">
            <v>0.82291666666666663</v>
          </cell>
          <cell r="I1757">
            <v>7.2916666666666671E-2</v>
          </cell>
          <cell r="K1757" t="str">
            <v>MBT-TB-070 v1.1</v>
          </cell>
          <cell r="L1757" t="str">
            <v>CLN/PRA/01/0084</v>
          </cell>
          <cell r="M1757" t="str">
            <v>Y</v>
          </cell>
          <cell r="N1757" t="str">
            <v>DMS_v3</v>
          </cell>
          <cell r="O1757" t="str">
            <v>Internal R&amp;D</v>
          </cell>
          <cell r="S1757" t="str">
            <v>Q1 Passed</v>
          </cell>
          <cell r="T1757" t="str">
            <v>Q2 Rejected</v>
          </cell>
          <cell r="V1757" t="str">
            <v>Good tumor content</v>
          </cell>
          <cell r="W1757" t="str">
            <v>Clinic'les</v>
          </cell>
          <cell r="X1757" t="str">
            <v>Clinic'les- Dr Prakash BV, Bangalore</v>
          </cell>
          <cell r="Y1757" t="str">
            <v>Sri Lakshmi Hospital, Bangalore</v>
          </cell>
          <cell r="Z1757" t="str">
            <v>Dr Prakash BV, Bangalore</v>
          </cell>
          <cell r="AA1757" t="str">
            <v>HNSCC</v>
          </cell>
          <cell r="AC1757" t="str">
            <v>GBS</v>
          </cell>
          <cell r="AD1757" t="str">
            <v>Right Lower GBS</v>
          </cell>
          <cell r="AE1757" t="str">
            <v>Female</v>
          </cell>
          <cell r="AG1757" t="str">
            <v>No</v>
          </cell>
          <cell r="AI1757" t="str">
            <v>Sashi</v>
          </cell>
          <cell r="AJ1757" t="str">
            <v>Surgery</v>
          </cell>
          <cell r="AK1757" t="str">
            <v>Primary</v>
          </cell>
          <cell r="AN1757" t="str">
            <v>IVA</v>
          </cell>
          <cell r="AO1757" t="str">
            <v>II</v>
          </cell>
          <cell r="AP1757" t="str">
            <v>pT4aN1M0</v>
          </cell>
          <cell r="AS1757" t="str">
            <v>Squamous Cell Carcinoma</v>
          </cell>
        </row>
        <row r="1758">
          <cell r="A1758" t="str">
            <v>FBR1H210059</v>
          </cell>
          <cell r="B1758">
            <v>210059</v>
          </cell>
          <cell r="C1758" t="str">
            <v>R&amp;D</v>
          </cell>
          <cell r="D1758">
            <v>44348</v>
          </cell>
          <cell r="E1758">
            <v>0.75</v>
          </cell>
          <cell r="F1758">
            <v>44348</v>
          </cell>
          <cell r="G1758">
            <v>44348</v>
          </cell>
          <cell r="H1758">
            <v>0.82291666666666663</v>
          </cell>
          <cell r="I1758">
            <v>7.2916666666666671E-2</v>
          </cell>
          <cell r="K1758" t="str">
            <v>MBT-TB-070 v1.1</v>
          </cell>
          <cell r="L1758" t="str">
            <v>CLN/PRA/01/0084</v>
          </cell>
          <cell r="M1758" t="str">
            <v>Y</v>
          </cell>
          <cell r="N1758" t="str">
            <v>DMS_v3</v>
          </cell>
          <cell r="O1758" t="str">
            <v>Internal R&amp;D</v>
          </cell>
          <cell r="S1758" t="str">
            <v>Q1 Passed</v>
          </cell>
          <cell r="T1758" t="str">
            <v>Q2 Passed</v>
          </cell>
          <cell r="U1758" t="str">
            <v>Sample contaminated after overnight incubation</v>
          </cell>
          <cell r="V1758" t="str">
            <v>Good tumor content</v>
          </cell>
          <cell r="W1758" t="str">
            <v>Clinic'les</v>
          </cell>
          <cell r="X1758" t="str">
            <v>Clinic'les- Dr Prakash BV, Bangalore</v>
          </cell>
          <cell r="Y1758" t="str">
            <v>Sri Lakshmi Hospital, Bangalore</v>
          </cell>
          <cell r="Z1758" t="str">
            <v>Dr Prakash BV, Bangalore</v>
          </cell>
          <cell r="AA1758" t="str">
            <v>HNSCC</v>
          </cell>
          <cell r="AC1758" t="str">
            <v>GBS</v>
          </cell>
          <cell r="AD1758" t="str">
            <v>Right Lower GBS</v>
          </cell>
          <cell r="AE1758" t="str">
            <v>Female</v>
          </cell>
          <cell r="AG1758" t="str">
            <v>No</v>
          </cell>
          <cell r="AI1758" t="str">
            <v>Sashi</v>
          </cell>
          <cell r="AJ1758" t="str">
            <v>Surgery</v>
          </cell>
          <cell r="AK1758" t="str">
            <v>Primary</v>
          </cell>
          <cell r="AN1758" t="str">
            <v>IVA</v>
          </cell>
          <cell r="AO1758" t="str">
            <v>II</v>
          </cell>
          <cell r="AP1758" t="str">
            <v>pT4aN1M0</v>
          </cell>
          <cell r="AS1758" t="str">
            <v>Squamous Cell Carcinoma</v>
          </cell>
        </row>
        <row r="1759">
          <cell r="A1759" t="str">
            <v>FBR1A210060</v>
          </cell>
          <cell r="B1759">
            <v>210060</v>
          </cell>
          <cell r="C1759" t="str">
            <v>R&amp;D</v>
          </cell>
          <cell r="D1759">
            <v>44348</v>
          </cell>
          <cell r="E1759">
            <v>0.77083333333333337</v>
          </cell>
          <cell r="F1759">
            <v>44348</v>
          </cell>
          <cell r="G1759">
            <v>44348</v>
          </cell>
          <cell r="H1759">
            <v>0.82291666666666663</v>
          </cell>
          <cell r="I1759">
            <v>5.2083333333333336E-2</v>
          </cell>
          <cell r="K1759" t="str">
            <v>MBT-TB-070 v1.1</v>
          </cell>
          <cell r="L1759" t="str">
            <v>CLN/PRA/01/0085</v>
          </cell>
          <cell r="M1759" t="str">
            <v>Y</v>
          </cell>
          <cell r="N1759" t="str">
            <v>Other Indication</v>
          </cell>
          <cell r="O1759" t="str">
            <v>Internal R&amp;D</v>
          </cell>
          <cell r="S1759" t="str">
            <v>Q1 Passed</v>
          </cell>
          <cell r="T1759" t="str">
            <v>Q2 Rejected</v>
          </cell>
          <cell r="V1759" t="str">
            <v>No tumor</v>
          </cell>
          <cell r="W1759" t="str">
            <v>Clinic'les</v>
          </cell>
          <cell r="X1759" t="str">
            <v>Clinic'les- Dr Prakash BV, Bangalore</v>
          </cell>
          <cell r="Y1759" t="str">
            <v>Sri Lakshmi Hospital, Bangalore</v>
          </cell>
          <cell r="Z1759" t="str">
            <v>Dr Prakash BV, Bangalore</v>
          </cell>
          <cell r="AA1759" t="str">
            <v>GI</v>
          </cell>
          <cell r="AB1759" t="str">
            <v>Stomach</v>
          </cell>
          <cell r="AC1759" t="str">
            <v>Stomach</v>
          </cell>
          <cell r="AD1759" t="str">
            <v>O.G. Junction</v>
          </cell>
          <cell r="AE1759" t="str">
            <v>Female</v>
          </cell>
          <cell r="AG1759" t="str">
            <v>No</v>
          </cell>
          <cell r="AI1759" t="str">
            <v>Sashi</v>
          </cell>
          <cell r="AJ1759" t="str">
            <v>Surgery</v>
          </cell>
          <cell r="AK1759" t="str">
            <v>Primary</v>
          </cell>
          <cell r="AN1759" t="str">
            <v>III</v>
          </cell>
          <cell r="AO1759" t="str">
            <v>II</v>
          </cell>
          <cell r="AP1759" t="str">
            <v>pT3N2M0</v>
          </cell>
          <cell r="AQ1759" t="str">
            <v>6 cycles</v>
          </cell>
          <cell r="AR1759" t="str">
            <v>5 FU + oxaliplatin + + Paclitaxel</v>
          </cell>
          <cell r="AS1759" t="str">
            <v>Squamous Cell Carcinoma</v>
          </cell>
          <cell r="AV1759">
            <v>44348</v>
          </cell>
          <cell r="AW1759">
            <v>0.85277777777777775</v>
          </cell>
          <cell r="AZ1759">
            <v>2.9861111111111113E-2</v>
          </cell>
          <cell r="BA1759">
            <v>8.1944444444444445E-2</v>
          </cell>
          <cell r="BB1759" t="str">
            <v>1.0*2.2*2.6</v>
          </cell>
          <cell r="BC1759" t="str">
            <v>1.0*2.2*2.6</v>
          </cell>
          <cell r="BD1759" t="str">
            <v>2*2*2
1*1*1 for inserts</v>
          </cell>
          <cell r="BE1759">
            <v>15</v>
          </cell>
          <cell r="BF1759" t="str">
            <v>Gowri</v>
          </cell>
          <cell r="BG1759" t="str">
            <v>Q</v>
          </cell>
        </row>
        <row r="1760">
          <cell r="A1760" t="str">
            <v>FBR1A210061</v>
          </cell>
          <cell r="B1760">
            <v>210061</v>
          </cell>
          <cell r="C1760" t="str">
            <v>R&amp;D</v>
          </cell>
          <cell r="D1760">
            <v>44349</v>
          </cell>
          <cell r="E1760">
            <v>0.40625</v>
          </cell>
          <cell r="F1760">
            <v>44348</v>
          </cell>
          <cell r="G1760">
            <v>44349</v>
          </cell>
          <cell r="H1760">
            <v>0.47222222222222221</v>
          </cell>
          <cell r="I1760">
            <v>6.5972222222222224E-2</v>
          </cell>
          <cell r="K1760" t="str">
            <v>MBT-TB-070 v1.1</v>
          </cell>
          <cell r="L1760" t="str">
            <v>CLN/PRA/01/0086</v>
          </cell>
          <cell r="M1760" t="str">
            <v>Y</v>
          </cell>
          <cell r="N1760" t="str">
            <v>Other Indication</v>
          </cell>
          <cell r="O1760" t="str">
            <v>Internal R&amp;D</v>
          </cell>
          <cell r="S1760" t="str">
            <v>Q1 Passed</v>
          </cell>
          <cell r="T1760" t="str">
            <v>Q2 Passed</v>
          </cell>
          <cell r="V1760" t="str">
            <v>No tumor ,         ?Occassional  isolated cells in 1-2 explants</v>
          </cell>
          <cell r="W1760" t="str">
            <v>Clinic'les</v>
          </cell>
          <cell r="X1760" t="str">
            <v>Clinic'les- Dr Prakash BV, Bangalore</v>
          </cell>
          <cell r="Y1760" t="str">
            <v>Sri Lakshmi Hospital, Bangalore</v>
          </cell>
          <cell r="Z1760" t="str">
            <v>Dr Prakash BV, Bangalore</v>
          </cell>
          <cell r="AA1760" t="str">
            <v>Ca Breast</v>
          </cell>
          <cell r="AC1760" t="str">
            <v>Breast</v>
          </cell>
          <cell r="AD1760" t="str">
            <v>Right Breast</v>
          </cell>
          <cell r="AE1760" t="str">
            <v>Female</v>
          </cell>
          <cell r="AG1760" t="str">
            <v>No</v>
          </cell>
          <cell r="AI1760" t="str">
            <v>Partha</v>
          </cell>
          <cell r="AJ1760" t="str">
            <v>Surgery</v>
          </cell>
          <cell r="AK1760" t="str">
            <v>Primary</v>
          </cell>
          <cell r="AL1760" t="str">
            <v>Chemotherapy</v>
          </cell>
          <cell r="AN1760" t="str">
            <v>III</v>
          </cell>
          <cell r="AO1760" t="str">
            <v>II</v>
          </cell>
          <cell r="AP1760" t="str">
            <v>pT3N1M0</v>
          </cell>
          <cell r="AQ1760" t="str">
            <v>6 cycles</v>
          </cell>
          <cell r="AR1760" t="str">
            <v>Paclitaxel</v>
          </cell>
          <cell r="AS1760" t="str">
            <v>Infiltrating ductal Carcinoma</v>
          </cell>
          <cell r="AT1760" t="str">
            <v>8 cycles</v>
          </cell>
          <cell r="AU1760" t="str">
            <v>4Ac+4Paclitaxel+ Adriamycin+ Cyclophosphamide+ Paclitaxane</v>
          </cell>
          <cell r="AV1760">
            <v>44349</v>
          </cell>
          <cell r="AW1760">
            <v>0.5</v>
          </cell>
          <cell r="AX1760">
            <v>0.57638888888888884</v>
          </cell>
          <cell r="AY1760">
            <v>7.6388888888888895E-2</v>
          </cell>
          <cell r="AZ1760">
            <v>2.7777777777777776E-2</v>
          </cell>
          <cell r="BA1760">
            <v>9.375E-2</v>
          </cell>
          <cell r="BB1760" t="str">
            <v>1.0*4.2*3.0</v>
          </cell>
          <cell r="BC1760" t="str">
            <v>0.6*2.2*1.8</v>
          </cell>
          <cell r="BD1760" t="str">
            <v>2*2*2</v>
          </cell>
          <cell r="BE1760">
            <v>4</v>
          </cell>
          <cell r="BF1760" t="str">
            <v>Manimaran</v>
          </cell>
          <cell r="BG1760" t="str">
            <v>Q</v>
          </cell>
        </row>
        <row r="1761">
          <cell r="A1761" t="str">
            <v>FBB1B210062</v>
          </cell>
          <cell r="B1761">
            <v>210062</v>
          </cell>
          <cell r="C1761" t="str">
            <v>Biopharma</v>
          </cell>
          <cell r="D1761">
            <v>44350</v>
          </cell>
          <cell r="E1761">
            <v>0.41666666666666669</v>
          </cell>
          <cell r="F1761">
            <v>44348</v>
          </cell>
          <cell r="G1761">
            <v>44350</v>
          </cell>
          <cell r="H1761">
            <v>0.49791666666666667</v>
          </cell>
          <cell r="I1761">
            <v>8.1250000000000003E-2</v>
          </cell>
          <cell r="K1761" t="str">
            <v>MBT-TB-070 v1.1</v>
          </cell>
          <cell r="L1761" t="str">
            <v>CLN/PRA/01/0087</v>
          </cell>
          <cell r="M1761" t="str">
            <v>Y</v>
          </cell>
          <cell r="N1761" t="str">
            <v>BP002_SOW1_2021</v>
          </cell>
          <cell r="O1761" t="str">
            <v>Biopharma</v>
          </cell>
          <cell r="S1761" t="str">
            <v>Q1 Passed</v>
          </cell>
          <cell r="T1761" t="str">
            <v>Q2 Passed</v>
          </cell>
          <cell r="V1761" t="str">
            <v>Tumour content varies between 0-95% with good immune component</v>
          </cell>
          <cell r="W1761" t="str">
            <v>Clinic'les</v>
          </cell>
          <cell r="X1761" t="str">
            <v>Clinic'les- Dr Prakash BV, Bangalore</v>
          </cell>
          <cell r="Y1761" t="str">
            <v>Sri Lakshmi Hospital, Bangalore</v>
          </cell>
          <cell r="Z1761" t="str">
            <v>Dr Prakash BV, Bangalore</v>
          </cell>
          <cell r="AA1761" t="str">
            <v>HNSCC</v>
          </cell>
          <cell r="AC1761" t="str">
            <v>Tongue</v>
          </cell>
          <cell r="AD1761" t="str">
            <v>Tongue</v>
          </cell>
          <cell r="AE1761" t="str">
            <v>Female</v>
          </cell>
          <cell r="AF1761">
            <v>40</v>
          </cell>
          <cell r="AG1761" t="str">
            <v>No</v>
          </cell>
          <cell r="AI1761" t="str">
            <v>Sashi</v>
          </cell>
          <cell r="AJ1761" t="str">
            <v>Surgery</v>
          </cell>
          <cell r="AK1761" t="str">
            <v>Primary</v>
          </cell>
          <cell r="AN1761" t="str">
            <v>III</v>
          </cell>
          <cell r="AO1761" t="str">
            <v>II</v>
          </cell>
          <cell r="AP1761" t="str">
            <v>pT3N1M0</v>
          </cell>
          <cell r="AQ1761" t="str">
            <v>2 cycles</v>
          </cell>
          <cell r="AR1761" t="str">
            <v>Paclitaxel + Carboplatin</v>
          </cell>
          <cell r="AS1761" t="str">
            <v>Squamous Cell Carcinoma</v>
          </cell>
          <cell r="AV1761">
            <v>44350</v>
          </cell>
          <cell r="AW1761">
            <v>0.52777777777777779</v>
          </cell>
          <cell r="AX1761">
            <v>0.64236111111111116</v>
          </cell>
          <cell r="AY1761">
            <v>0.11458333333333333</v>
          </cell>
          <cell r="AZ1761">
            <v>2.9861111111111113E-2</v>
          </cell>
          <cell r="BA1761">
            <v>0.1111111111111111</v>
          </cell>
          <cell r="BB1761" t="str">
            <v>1.05*1.8*3.2</v>
          </cell>
          <cell r="BC1761" t="str">
            <v>1.05*1.8*3.2</v>
          </cell>
          <cell r="BD1761" t="str">
            <v>2*4*450</v>
          </cell>
          <cell r="BE1761">
            <v>4</v>
          </cell>
          <cell r="BF1761" t="str">
            <v>Vasanth</v>
          </cell>
          <cell r="BG1761" t="str">
            <v>Q</v>
          </cell>
        </row>
        <row r="1762">
          <cell r="A1762" t="str">
            <v>FBR1H210062</v>
          </cell>
          <cell r="B1762">
            <v>210062</v>
          </cell>
          <cell r="C1762" t="str">
            <v>R&amp;D</v>
          </cell>
          <cell r="D1762">
            <v>44350</v>
          </cell>
          <cell r="E1762">
            <v>0.41666666666666669</v>
          </cell>
          <cell r="F1762">
            <v>44348</v>
          </cell>
          <cell r="G1762">
            <v>44350</v>
          </cell>
          <cell r="H1762">
            <v>0.49791666666666667</v>
          </cell>
          <cell r="I1762">
            <v>8.1250000000000003E-2</v>
          </cell>
          <cell r="K1762" t="str">
            <v>MBT-TB-070 v1.1</v>
          </cell>
          <cell r="L1762" t="str">
            <v>CLN/PRA/01/0087</v>
          </cell>
          <cell r="M1762" t="str">
            <v>Y</v>
          </cell>
          <cell r="N1762" t="str">
            <v>DMS_v3</v>
          </cell>
          <cell r="O1762" t="str">
            <v>Internal R&amp;D</v>
          </cell>
          <cell r="S1762" t="str">
            <v>Q1 Passed</v>
          </cell>
          <cell r="T1762" t="str">
            <v>Q2 Rejected</v>
          </cell>
          <cell r="W1762" t="str">
            <v>Clinic'les</v>
          </cell>
          <cell r="X1762" t="str">
            <v>Clinic'les- Dr Prakash BV, Bangalore</v>
          </cell>
          <cell r="Y1762" t="str">
            <v>Sri Lakshmi Hospital, Bangalore</v>
          </cell>
          <cell r="Z1762" t="str">
            <v>Dr Prakash BV, Bangalore</v>
          </cell>
          <cell r="AA1762" t="str">
            <v>HNSCC</v>
          </cell>
          <cell r="AC1762" t="str">
            <v>Tongue</v>
          </cell>
          <cell r="AD1762" t="str">
            <v>Tongue</v>
          </cell>
          <cell r="AE1762" t="str">
            <v>Female</v>
          </cell>
          <cell r="AF1762">
            <v>40</v>
          </cell>
          <cell r="AG1762" t="str">
            <v>No</v>
          </cell>
          <cell r="AI1762" t="str">
            <v>Sashi</v>
          </cell>
          <cell r="AJ1762" t="str">
            <v>Surgery</v>
          </cell>
          <cell r="AK1762" t="str">
            <v>Primary</v>
          </cell>
          <cell r="AN1762" t="str">
            <v>III</v>
          </cell>
          <cell r="AO1762" t="str">
            <v>II</v>
          </cell>
          <cell r="AP1762" t="str">
            <v>pT3N1M0</v>
          </cell>
          <cell r="AQ1762" t="str">
            <v>2 cycles</v>
          </cell>
          <cell r="AR1762" t="str">
            <v>Paclitaxel + Carboplatin</v>
          </cell>
          <cell r="AS1762" t="str">
            <v>Squamous Cell Carcinoma</v>
          </cell>
          <cell r="AV1762">
            <v>44350</v>
          </cell>
          <cell r="AW1762">
            <v>0.52777777777777779</v>
          </cell>
          <cell r="AX1762">
            <v>0.64236111111111116</v>
          </cell>
          <cell r="AY1762">
            <v>0.11458333333333333</v>
          </cell>
          <cell r="AZ1762">
            <v>2.9861111111111113E-2</v>
          </cell>
          <cell r="BA1762">
            <v>0.1111111111111111</v>
          </cell>
          <cell r="BB1762" t="str">
            <v>1.05*1.8*3.2</v>
          </cell>
          <cell r="BC1762" t="str">
            <v>1.05*1.8*3.2</v>
          </cell>
          <cell r="BD1762" t="str">
            <v>2*4*450</v>
          </cell>
          <cell r="BE1762">
            <v>4</v>
          </cell>
          <cell r="BF1762" t="str">
            <v>Vasanth</v>
          </cell>
          <cell r="BG1762" t="str">
            <v>Q</v>
          </cell>
        </row>
        <row r="1763">
          <cell r="A1763" t="str">
            <v>FBR1A210063</v>
          </cell>
          <cell r="B1763">
            <v>210063</v>
          </cell>
          <cell r="C1763" t="str">
            <v>R&amp;D</v>
          </cell>
          <cell r="D1763">
            <v>44350</v>
          </cell>
          <cell r="E1763">
            <v>0.4513888888888889</v>
          </cell>
          <cell r="F1763">
            <v>44348</v>
          </cell>
          <cell r="G1763">
            <v>44350</v>
          </cell>
          <cell r="H1763">
            <v>0.49791666666666667</v>
          </cell>
          <cell r="I1763">
            <v>4.6527777777777779E-2</v>
          </cell>
          <cell r="K1763" t="str">
            <v>MBT-TB-070 v1.1</v>
          </cell>
          <cell r="L1763" t="str">
            <v>CLN/PRA/01/0088</v>
          </cell>
          <cell r="M1763" t="str">
            <v>Y</v>
          </cell>
          <cell r="N1763" t="str">
            <v>Other Indication</v>
          </cell>
          <cell r="O1763" t="str">
            <v>Internal R&amp;D</v>
          </cell>
          <cell r="S1763" t="str">
            <v>Q1 Passed</v>
          </cell>
          <cell r="T1763" t="str">
            <v>Q2 Passed</v>
          </cell>
          <cell r="V1763" t="str">
            <v>No tumor</v>
          </cell>
          <cell r="W1763" t="str">
            <v>Clinic'les</v>
          </cell>
          <cell r="X1763" t="str">
            <v>Clinic'les- Dr Prakash BV, Bangalore</v>
          </cell>
          <cell r="Y1763" t="str">
            <v>Sri Lakshmi Hospital, Bangalore</v>
          </cell>
          <cell r="Z1763" t="str">
            <v>Dr Prakash BV, Bangalore</v>
          </cell>
          <cell r="AA1763" t="str">
            <v>Ca Breast</v>
          </cell>
          <cell r="AC1763" t="str">
            <v>Breast</v>
          </cell>
          <cell r="AD1763" t="str">
            <v>Left Breast</v>
          </cell>
          <cell r="AE1763" t="str">
            <v>Female</v>
          </cell>
          <cell r="AF1763">
            <v>35</v>
          </cell>
          <cell r="AG1763" t="str">
            <v>No</v>
          </cell>
          <cell r="AI1763" t="str">
            <v>Sashi</v>
          </cell>
          <cell r="AJ1763" t="str">
            <v>Surgery</v>
          </cell>
          <cell r="AK1763" t="str">
            <v>Primary</v>
          </cell>
          <cell r="AN1763" t="str">
            <v>II</v>
          </cell>
          <cell r="AO1763" t="str">
            <v>II</v>
          </cell>
          <cell r="AP1763" t="str">
            <v>pT2N0M0</v>
          </cell>
          <cell r="AS1763" t="str">
            <v>Infiltrating ductal Carcinoma</v>
          </cell>
          <cell r="AT1763" t="str">
            <v>8 cycles</v>
          </cell>
          <cell r="AU1763" t="str">
            <v>4Ac+4Paclitaxel+ Adriamycin+ Cyclophosphamide+ Paclitaxane</v>
          </cell>
          <cell r="AV1763">
            <v>44350</v>
          </cell>
          <cell r="AW1763">
            <v>0.52777777777777779</v>
          </cell>
          <cell r="AX1763">
            <v>0.64930555555555558</v>
          </cell>
          <cell r="AY1763">
            <v>0.12152777777777778</v>
          </cell>
          <cell r="AZ1763">
            <v>2.9861111111111113E-2</v>
          </cell>
          <cell r="BA1763">
            <v>7.6388888888888895E-2</v>
          </cell>
          <cell r="BB1763" t="str">
            <v>2.0*2.2*2.6</v>
          </cell>
          <cell r="BC1763" t="str">
            <v>2.0*2.2*2.6</v>
          </cell>
          <cell r="BD1763" t="str">
            <v>2*2*2</v>
          </cell>
          <cell r="BE1763">
            <v>4</v>
          </cell>
          <cell r="BF1763" t="str">
            <v>Gowri</v>
          </cell>
          <cell r="BG1763" t="str">
            <v>Q</v>
          </cell>
        </row>
        <row r="1764">
          <cell r="A1764" t="str">
            <v>FBR1H210064</v>
          </cell>
          <cell r="B1764">
            <v>210064</v>
          </cell>
          <cell r="C1764" t="str">
            <v>R&amp;D</v>
          </cell>
          <cell r="D1764">
            <v>44351</v>
          </cell>
          <cell r="E1764">
            <v>0.53194444444444444</v>
          </cell>
          <cell r="F1764">
            <v>44348</v>
          </cell>
          <cell r="G1764">
            <v>44351</v>
          </cell>
          <cell r="H1764">
            <v>0.60069444444444442</v>
          </cell>
          <cell r="I1764">
            <v>6.8750000000000006E-2</v>
          </cell>
          <cell r="J1764">
            <v>4</v>
          </cell>
          <cell r="K1764" t="str">
            <v>FCB-PROTOCOL-01_v1</v>
          </cell>
          <cell r="L1764" t="str">
            <v>VYD/004</v>
          </cell>
          <cell r="M1764" t="str">
            <v>Y</v>
          </cell>
          <cell r="N1764" t="str">
            <v>DMS_v3</v>
          </cell>
          <cell r="O1764" t="str">
            <v>Internal R&amp;D</v>
          </cell>
          <cell r="S1764" t="str">
            <v>Q1 Passed</v>
          </cell>
          <cell r="T1764" t="str">
            <v>Q2 Passed</v>
          </cell>
          <cell r="V1764" t="str">
            <v>Good tumor content and immune component</v>
          </cell>
          <cell r="W1764" t="str">
            <v>Clinic'les</v>
          </cell>
          <cell r="X1764" t="str">
            <v>Clinic'les- Vydehi Hospital, Bangalore</v>
          </cell>
          <cell r="Y1764" t="str">
            <v>Vydehi Hospital, Bangalore</v>
          </cell>
          <cell r="Z1764" t="str">
            <v>Dr Amritha Prabha, Bangalore</v>
          </cell>
          <cell r="AA1764" t="str">
            <v>HNSCC</v>
          </cell>
          <cell r="AC1764" t="str">
            <v>Alveolus</v>
          </cell>
          <cell r="AD1764" t="str">
            <v>Left Lower Alveolus</v>
          </cell>
          <cell r="AE1764" t="str">
            <v>Female</v>
          </cell>
          <cell r="AF1764">
            <v>51</v>
          </cell>
          <cell r="AG1764" t="str">
            <v>No</v>
          </cell>
          <cell r="AI1764" t="str">
            <v>Sashi</v>
          </cell>
          <cell r="AJ1764" t="str">
            <v>Surgery</v>
          </cell>
          <cell r="AK1764" t="str">
            <v>Primary</v>
          </cell>
          <cell r="AN1764" t="str">
            <v>IVA</v>
          </cell>
          <cell r="AO1764" t="str">
            <v>II</v>
          </cell>
          <cell r="AP1764" t="str">
            <v>pT4AN0M0</v>
          </cell>
          <cell r="AS1764" t="str">
            <v>Moderately differentiated Squamous Cell Carcinoma; Currently undergoing radiotherapy</v>
          </cell>
          <cell r="AT1764" t="str">
            <v>Radiotherapy</v>
          </cell>
          <cell r="AV1764">
            <v>44351</v>
          </cell>
          <cell r="AW1764">
            <v>0.63749999999999996</v>
          </cell>
          <cell r="AX1764">
            <v>0.72916666666666663</v>
          </cell>
          <cell r="AY1764">
            <v>9.166666666666666E-2</v>
          </cell>
          <cell r="AZ1764">
            <v>3.6805555555555557E-2</v>
          </cell>
          <cell r="BA1764">
            <v>0.10555555555555556</v>
          </cell>
          <cell r="BB1764" t="str">
            <v>0.6*1.0*1.2
1.0*1.2*1.2
0.45*1.4*2.2</v>
          </cell>
          <cell r="BC1764" t="str">
            <v>0.6*1.0*1.2
1.0*1.2*1.2
0.45*1.4*2.2</v>
          </cell>
          <cell r="BD1764" t="str">
            <v>2*4*450</v>
          </cell>
          <cell r="BE1764">
            <v>4</v>
          </cell>
          <cell r="BF1764" t="str">
            <v>Gowrishankar</v>
          </cell>
          <cell r="BG1764" t="str">
            <v>Q</v>
          </cell>
        </row>
        <row r="1765">
          <cell r="A1765" t="str">
            <v>FBR1A210065</v>
          </cell>
          <cell r="B1765">
            <v>210065</v>
          </cell>
          <cell r="C1765" t="str">
            <v>R&amp;D</v>
          </cell>
          <cell r="D1765">
            <v>44351</v>
          </cell>
          <cell r="E1765">
            <v>0.72916666666666663</v>
          </cell>
          <cell r="F1765">
            <v>44348</v>
          </cell>
          <cell r="G1765">
            <v>44351</v>
          </cell>
          <cell r="H1765">
            <v>0.7944444444444444</v>
          </cell>
          <cell r="I1765">
            <v>6.5277777777777782E-2</v>
          </cell>
          <cell r="K1765" t="str">
            <v>MBT-TB-070 v1.1</v>
          </cell>
          <cell r="L1765" t="str">
            <v>CLN/PRA/01/0089</v>
          </cell>
          <cell r="M1765" t="str">
            <v>Y</v>
          </cell>
          <cell r="N1765" t="str">
            <v>Other Indication</v>
          </cell>
          <cell r="O1765" t="str">
            <v>Internal R&amp;D</v>
          </cell>
          <cell r="S1765" t="str">
            <v>Q1 Passed</v>
          </cell>
          <cell r="T1765" t="str">
            <v>Q2 Passed</v>
          </cell>
          <cell r="V1765" t="str">
            <v>Intestinal metaplasia, no tumor</v>
          </cell>
          <cell r="W1765" t="str">
            <v>Clinic'les</v>
          </cell>
          <cell r="X1765" t="str">
            <v>Clinic'les- Dr Prakash BV, Bangalore</v>
          </cell>
          <cell r="Y1765" t="str">
            <v>Sri Lakshmi Hospital, Bangalore</v>
          </cell>
          <cell r="Z1765" t="str">
            <v>Dr Prakash BV, Bangalore</v>
          </cell>
          <cell r="AA1765" t="str">
            <v>GI</v>
          </cell>
          <cell r="AB1765" t="str">
            <v>Stomach</v>
          </cell>
          <cell r="AC1765" t="str">
            <v>Stomach</v>
          </cell>
          <cell r="AD1765" t="str">
            <v>Stomach</v>
          </cell>
          <cell r="AE1765" t="str">
            <v>Female</v>
          </cell>
          <cell r="AF1765">
            <v>40</v>
          </cell>
          <cell r="AG1765" t="str">
            <v>No</v>
          </cell>
          <cell r="AI1765" t="str">
            <v>Sashi</v>
          </cell>
          <cell r="AJ1765" t="str">
            <v>Surgery</v>
          </cell>
          <cell r="AK1765" t="str">
            <v>Primary</v>
          </cell>
          <cell r="AN1765" t="str">
            <v>III</v>
          </cell>
          <cell r="AO1765" t="str">
            <v>II</v>
          </cell>
          <cell r="AP1765" t="str">
            <v>pT3N1M0</v>
          </cell>
          <cell r="AQ1765" t="str">
            <v>6 cycles</v>
          </cell>
          <cell r="AR1765" t="str">
            <v>5 FU + Leucovorin + Oxaloplatin + paclitaxel</v>
          </cell>
          <cell r="AS1765" t="str">
            <v>Adenocarcinoma</v>
          </cell>
          <cell r="AV1765">
            <v>44351</v>
          </cell>
          <cell r="AW1765">
            <v>0.82013888888888886</v>
          </cell>
          <cell r="AX1765">
            <v>0.94444444444444442</v>
          </cell>
          <cell r="AY1765">
            <v>0.12430555555555556</v>
          </cell>
          <cell r="AZ1765">
            <v>2.5694444444444443E-2</v>
          </cell>
          <cell r="BA1765">
            <v>9.0972222222222218E-2</v>
          </cell>
          <cell r="BB1765" t="str">
            <v>2.0*4.6*3.8</v>
          </cell>
          <cell r="BC1765" t="str">
            <v>1.8*4.4*3.0</v>
          </cell>
          <cell r="BD1765" t="str">
            <v>2*2*2</v>
          </cell>
          <cell r="BE1765">
            <v>4</v>
          </cell>
          <cell r="BF1765" t="str">
            <v>Gowri</v>
          </cell>
          <cell r="BG1765" t="str">
            <v>Q</v>
          </cell>
        </row>
        <row r="1766">
          <cell r="A1766" t="str">
            <v>FBR1A210066</v>
          </cell>
          <cell r="B1766">
            <v>210066</v>
          </cell>
          <cell r="C1766" t="str">
            <v>R&amp;D</v>
          </cell>
          <cell r="D1766">
            <v>44355</v>
          </cell>
          <cell r="E1766">
            <v>0.47916666666666669</v>
          </cell>
          <cell r="F1766">
            <v>44348</v>
          </cell>
          <cell r="G1766">
            <v>44355</v>
          </cell>
          <cell r="H1766">
            <v>0.54583333333333328</v>
          </cell>
          <cell r="I1766">
            <v>6.6666666666666666E-2</v>
          </cell>
          <cell r="K1766" t="str">
            <v>MBT-TB-070 v1.1</v>
          </cell>
          <cell r="L1766" t="str">
            <v>CLN/PRA/01/0090</v>
          </cell>
          <cell r="M1766" t="str">
            <v>Y</v>
          </cell>
          <cell r="N1766" t="str">
            <v>Other Indication</v>
          </cell>
          <cell r="O1766" t="str">
            <v>Internal R&amp;D</v>
          </cell>
          <cell r="S1766" t="str">
            <v>Q1 Passed</v>
          </cell>
          <cell r="T1766" t="str">
            <v>Q2 Passed</v>
          </cell>
          <cell r="V1766" t="str">
            <v>No tumor; only stroma with inflammatory cells, macrophages and fibroblasts</v>
          </cell>
          <cell r="W1766" t="str">
            <v>Clinic'les</v>
          </cell>
          <cell r="X1766" t="str">
            <v>Clinic'les- Dr Prakash BV, Bangalore</v>
          </cell>
          <cell r="Y1766" t="str">
            <v>Sri Lakshmi Hospital, Bangalore</v>
          </cell>
          <cell r="Z1766" t="str">
            <v>Dr Prakash BV, Bangalore</v>
          </cell>
          <cell r="AA1766" t="str">
            <v>Ca Breast</v>
          </cell>
          <cell r="AC1766" t="str">
            <v>Breast</v>
          </cell>
          <cell r="AD1766" t="str">
            <v>Right Breast</v>
          </cell>
          <cell r="AE1766" t="str">
            <v>Female</v>
          </cell>
          <cell r="AF1766">
            <v>65</v>
          </cell>
          <cell r="AG1766" t="str">
            <v>No</v>
          </cell>
          <cell r="AI1766" t="str">
            <v>Partha</v>
          </cell>
          <cell r="AJ1766" t="str">
            <v>Surgery</v>
          </cell>
          <cell r="AK1766" t="str">
            <v>Primary</v>
          </cell>
          <cell r="AN1766" t="str">
            <v>III</v>
          </cell>
          <cell r="AO1766" t="str">
            <v>II</v>
          </cell>
          <cell r="AP1766" t="str">
            <v>pT3N2M0</v>
          </cell>
          <cell r="AS1766" t="str">
            <v>Infiltrating ductal Carcinoma</v>
          </cell>
          <cell r="AT1766" t="str">
            <v>8 cycles</v>
          </cell>
          <cell r="AU1766" t="str">
            <v>4Ac+4Paclitaxel+ Adriamycin+ Cyclophosphamide+ Paclitaxane</v>
          </cell>
          <cell r="AV1766">
            <v>44355</v>
          </cell>
          <cell r="AW1766">
            <v>0.58750000000000002</v>
          </cell>
          <cell r="AZ1766">
            <v>4.1666666666666664E-2</v>
          </cell>
          <cell r="BA1766">
            <v>0.10833333333333334</v>
          </cell>
          <cell r="BB1766" t="str">
            <v>1.6*4.2*2.8</v>
          </cell>
          <cell r="BC1766" t="str">
            <v>1.4*3.8*2.4</v>
          </cell>
          <cell r="BD1766" t="str">
            <v>2*2*2</v>
          </cell>
          <cell r="BE1766">
            <v>4</v>
          </cell>
          <cell r="BF1766" t="str">
            <v>Gowri</v>
          </cell>
          <cell r="BG1766" t="str">
            <v>Q</v>
          </cell>
        </row>
        <row r="1767">
          <cell r="A1767" t="str">
            <v>FBR1H210067</v>
          </cell>
          <cell r="B1767">
            <v>210067</v>
          </cell>
          <cell r="C1767" t="str">
            <v>R&amp;D</v>
          </cell>
          <cell r="D1767">
            <v>44356</v>
          </cell>
          <cell r="E1767">
            <v>0.42152777777777778</v>
          </cell>
          <cell r="F1767">
            <v>44348</v>
          </cell>
          <cell r="G1767">
            <v>44356</v>
          </cell>
          <cell r="H1767">
            <v>0.55555555555555558</v>
          </cell>
          <cell r="I1767">
            <v>0.13402777777777777</v>
          </cell>
          <cell r="K1767" t="str">
            <v>FCB-PROTOCOL-01_v1</v>
          </cell>
          <cell r="L1767" t="str">
            <v>VYD/005</v>
          </cell>
          <cell r="M1767" t="str">
            <v>Y</v>
          </cell>
          <cell r="N1767" t="str">
            <v>DMS_v3</v>
          </cell>
          <cell r="O1767" t="str">
            <v>Internal R&amp;D</v>
          </cell>
          <cell r="S1767" t="str">
            <v>Q1 Passed</v>
          </cell>
          <cell r="T1767" t="str">
            <v>Q2 Passed</v>
          </cell>
          <cell r="V1767" t="str">
            <v xml:space="preserve">High tumor content </v>
          </cell>
          <cell r="W1767" t="str">
            <v>Clinic'les</v>
          </cell>
          <cell r="X1767" t="str">
            <v>Clinic'les- Vydehi Hospital, Bangalore</v>
          </cell>
          <cell r="Y1767" t="str">
            <v>Vydehi Hospital, Bangalore</v>
          </cell>
          <cell r="Z1767" t="str">
            <v>Dr Amritha Prabha, Bangalore</v>
          </cell>
          <cell r="AA1767" t="str">
            <v>HNSCC</v>
          </cell>
          <cell r="AC1767" t="str">
            <v>Lip</v>
          </cell>
          <cell r="AD1767" t="str">
            <v>Lower Lip</v>
          </cell>
          <cell r="AE1767" t="str">
            <v>Male</v>
          </cell>
          <cell r="AF1767">
            <v>68</v>
          </cell>
          <cell r="AG1767" t="str">
            <v>No</v>
          </cell>
          <cell r="AI1767" t="str">
            <v>Sashi</v>
          </cell>
          <cell r="AJ1767" t="str">
            <v>Surgery</v>
          </cell>
          <cell r="AK1767" t="str">
            <v>Primary</v>
          </cell>
          <cell r="AN1767" t="str">
            <v>I</v>
          </cell>
          <cell r="AO1767" t="str">
            <v>I</v>
          </cell>
          <cell r="AP1767" t="str">
            <v>pT2Nx</v>
          </cell>
          <cell r="AS1767" t="str">
            <v>Well Differentiated Squamous Cell Carcinoma; Currently undergoing radiotherapy</v>
          </cell>
          <cell r="AT1767" t="str">
            <v>Radiotherapy</v>
          </cell>
          <cell r="AV1767">
            <v>44356</v>
          </cell>
          <cell r="AW1767">
            <v>0.6069444444444444</v>
          </cell>
          <cell r="AX1767">
            <v>0.70277777777777772</v>
          </cell>
          <cell r="AY1767">
            <v>9.583333333333334E-2</v>
          </cell>
          <cell r="AZ1767">
            <v>5.1388888888888887E-2</v>
          </cell>
          <cell r="BA1767">
            <v>0.18541666666666667</v>
          </cell>
          <cell r="BB1767" t="str">
            <v>0.8*1.6*1.4</v>
          </cell>
          <cell r="BC1767" t="str">
            <v>0.8*1.6*1.4</v>
          </cell>
          <cell r="BD1767" t="str">
            <v>2*4*450</v>
          </cell>
          <cell r="BE1767">
            <v>4</v>
          </cell>
          <cell r="BF1767" t="str">
            <v>Vasanth</v>
          </cell>
          <cell r="BG1767" t="str">
            <v>Q</v>
          </cell>
        </row>
        <row r="1768">
          <cell r="A1768" t="str">
            <v>FBR1A210068</v>
          </cell>
          <cell r="B1768">
            <v>210068</v>
          </cell>
          <cell r="C1768" t="str">
            <v>R&amp;D</v>
          </cell>
          <cell r="D1768">
            <v>44358</v>
          </cell>
          <cell r="E1768">
            <v>0.77777777777777779</v>
          </cell>
          <cell r="F1768">
            <v>44348</v>
          </cell>
          <cell r="G1768">
            <v>44358</v>
          </cell>
          <cell r="H1768">
            <v>0.82638888888888884</v>
          </cell>
          <cell r="I1768">
            <v>4.8611111111111112E-2</v>
          </cell>
          <cell r="K1768" t="str">
            <v>MBT-TB-070 v1.1</v>
          </cell>
          <cell r="L1768" t="str">
            <v>CLN/PRA/01/0091</v>
          </cell>
          <cell r="M1768" t="str">
            <v>Y</v>
          </cell>
          <cell r="N1768" t="str">
            <v>Other Indication</v>
          </cell>
          <cell r="O1768" t="str">
            <v>Internal R&amp;D</v>
          </cell>
          <cell r="S1768" t="str">
            <v>Q1 Passed</v>
          </cell>
          <cell r="T1768" t="str">
            <v>Q2 Rejected</v>
          </cell>
          <cell r="V1768" t="str">
            <v>Scanty tumor:0-30%</v>
          </cell>
          <cell r="W1768" t="str">
            <v>Clinic'les</v>
          </cell>
          <cell r="X1768" t="str">
            <v>Clinic'les- Dr Prakash BV, Bangalore</v>
          </cell>
          <cell r="Y1768" t="str">
            <v>Sri Lakshmi Hospital, Bangalore</v>
          </cell>
          <cell r="Z1768" t="str">
            <v>Dr Prakash BV, Bangalore</v>
          </cell>
          <cell r="AA1768" t="str">
            <v>GI</v>
          </cell>
          <cell r="AB1768" t="str">
            <v>Stomach</v>
          </cell>
          <cell r="AC1768" t="str">
            <v>Stomach</v>
          </cell>
          <cell r="AD1768" t="str">
            <v>Antrum of Stomach</v>
          </cell>
          <cell r="AE1768" t="str">
            <v>Female</v>
          </cell>
          <cell r="AF1768">
            <v>55</v>
          </cell>
          <cell r="AG1768" t="str">
            <v>No</v>
          </cell>
          <cell r="AI1768" t="str">
            <v>Partha</v>
          </cell>
          <cell r="AJ1768" t="str">
            <v>Surgery</v>
          </cell>
          <cell r="AK1768" t="str">
            <v>Primary</v>
          </cell>
          <cell r="AN1768" t="str">
            <v>III</v>
          </cell>
          <cell r="AO1768" t="str">
            <v>II</v>
          </cell>
          <cell r="AP1768" t="str">
            <v>pT3N1M0</v>
          </cell>
          <cell r="AS1768" t="str">
            <v>Adenocarcinoma</v>
          </cell>
          <cell r="AT1768" t="str">
            <v>6 cycles</v>
          </cell>
          <cell r="AU1768" t="str">
            <v>FEC+ Cyclophosphamide+ 5FU+ Epirubucin</v>
          </cell>
          <cell r="AV1768">
            <v>44358</v>
          </cell>
          <cell r="AW1768">
            <v>0.84375</v>
          </cell>
          <cell r="AX1768">
            <v>0.91666666666666663</v>
          </cell>
          <cell r="AY1768">
            <v>7.2916666666666671E-2</v>
          </cell>
          <cell r="AZ1768">
            <v>1.7361111111111112E-2</v>
          </cell>
          <cell r="BA1768">
            <v>6.5972222222222224E-2</v>
          </cell>
          <cell r="BB1768" t="str">
            <v>1.0*3.0*3.6</v>
          </cell>
          <cell r="BC1768" t="str">
            <v>1.0*3.0*3.4</v>
          </cell>
          <cell r="BD1768" t="str">
            <v>2*2*2</v>
          </cell>
          <cell r="BE1768">
            <v>4</v>
          </cell>
          <cell r="BF1768" t="str">
            <v>Kowshik</v>
          </cell>
          <cell r="BG1768" t="str">
            <v>Q</v>
          </cell>
        </row>
        <row r="1769">
          <cell r="A1769" t="str">
            <v>FBR1A210069</v>
          </cell>
          <cell r="B1769">
            <v>210069</v>
          </cell>
          <cell r="C1769" t="str">
            <v>R&amp;D</v>
          </cell>
          <cell r="D1769">
            <v>44359</v>
          </cell>
          <cell r="E1769">
            <v>0.85416666666666663</v>
          </cell>
          <cell r="F1769">
            <v>44348</v>
          </cell>
          <cell r="G1769">
            <v>44359</v>
          </cell>
          <cell r="H1769">
            <v>0.89583333333333337</v>
          </cell>
          <cell r="I1769">
            <v>4.1666666666666664E-2</v>
          </cell>
          <cell r="K1769" t="str">
            <v>MBT-TB-070 v1.1</v>
          </cell>
          <cell r="L1769" t="str">
            <v>CLN/PRA/01/0092</v>
          </cell>
          <cell r="M1769" t="str">
            <v>Y</v>
          </cell>
          <cell r="N1769" t="str">
            <v>Other Indication</v>
          </cell>
          <cell r="O1769" t="str">
            <v>Internal R&amp;D</v>
          </cell>
          <cell r="S1769" t="str">
            <v>Q1 Rejected</v>
          </cell>
          <cell r="T1769" t="str">
            <v>Q2 Passed</v>
          </cell>
          <cell r="U1769" t="str">
            <v>Blood sample was hemolyzed post spinning</v>
          </cell>
          <cell r="V1769" t="str">
            <v>Good tumor content</v>
          </cell>
          <cell r="W1769" t="str">
            <v>Clinic'les</v>
          </cell>
          <cell r="X1769" t="str">
            <v>Clinic'les- Dr Prakash BV, Bangalore</v>
          </cell>
          <cell r="Y1769" t="str">
            <v>Sri Lakshmi Hospital, Bangalore</v>
          </cell>
          <cell r="Z1769" t="str">
            <v>Dr Prakash BV, Bangalore</v>
          </cell>
          <cell r="AA1769" t="str">
            <v>GI</v>
          </cell>
          <cell r="AB1769" t="str">
            <v>Stomach</v>
          </cell>
          <cell r="AC1769" t="str">
            <v>Stomach</v>
          </cell>
          <cell r="AD1769" t="str">
            <v>Stomach</v>
          </cell>
          <cell r="AE1769" t="str">
            <v>Male</v>
          </cell>
          <cell r="AF1769">
            <v>60</v>
          </cell>
          <cell r="AG1769" t="str">
            <v>No</v>
          </cell>
          <cell r="AI1769" t="str">
            <v>Sashi</v>
          </cell>
          <cell r="AJ1769" t="str">
            <v>Surgery</v>
          </cell>
          <cell r="AK1769" t="str">
            <v>Primary</v>
          </cell>
          <cell r="AN1769" t="str">
            <v>III</v>
          </cell>
          <cell r="AO1769" t="str">
            <v>II</v>
          </cell>
          <cell r="AP1769" t="str">
            <v>pT3N1M0</v>
          </cell>
          <cell r="AS1769" t="str">
            <v>Adenocarcinoma</v>
          </cell>
          <cell r="AV1769">
            <v>44360</v>
          </cell>
          <cell r="AW1769">
            <v>0.46180555555555558</v>
          </cell>
          <cell r="AX1769">
            <v>0.53125</v>
          </cell>
          <cell r="AY1769">
            <v>6.9444444444444448E-2</v>
          </cell>
          <cell r="AZ1769">
            <v>0.56597222222222221</v>
          </cell>
          <cell r="BA1769">
            <v>0.60763888888888884</v>
          </cell>
          <cell r="BB1769" t="str">
            <v>1.2*2.2*3.0</v>
          </cell>
          <cell r="BC1769" t="str">
            <v>1.2*2.0*3.0</v>
          </cell>
          <cell r="BD1769" t="str">
            <v>2*2*2</v>
          </cell>
          <cell r="BE1769">
            <v>4</v>
          </cell>
          <cell r="BF1769" t="str">
            <v>Kowshik</v>
          </cell>
          <cell r="BG1769" t="str">
            <v>NQ</v>
          </cell>
        </row>
        <row r="1770">
          <cell r="A1770" t="str">
            <v>FBR1A210070</v>
          </cell>
          <cell r="B1770">
            <v>210070</v>
          </cell>
          <cell r="C1770" t="str">
            <v>R&amp;D</v>
          </cell>
          <cell r="D1770">
            <v>44362</v>
          </cell>
          <cell r="E1770">
            <v>0.79166666666666663</v>
          </cell>
          <cell r="F1770">
            <v>44348</v>
          </cell>
          <cell r="G1770">
            <v>44362</v>
          </cell>
          <cell r="H1770">
            <v>0.90347222222222223</v>
          </cell>
          <cell r="I1770">
            <v>0.11180555555555556</v>
          </cell>
          <cell r="K1770" t="str">
            <v>MBT-TB-070 v1.1</v>
          </cell>
          <cell r="L1770" t="str">
            <v>CLN/PRA/01/0093</v>
          </cell>
          <cell r="M1770" t="str">
            <v>Y</v>
          </cell>
          <cell r="N1770" t="str">
            <v>Other Indication</v>
          </cell>
          <cell r="O1770" t="str">
            <v>Internal R&amp;D</v>
          </cell>
          <cell r="S1770" t="str">
            <v>Q1 Passed</v>
          </cell>
          <cell r="T1770" t="str">
            <v>Q2 Passed</v>
          </cell>
          <cell r="V1770" t="str">
            <v xml:space="preserve">High tumor content </v>
          </cell>
          <cell r="W1770" t="str">
            <v>Clinic'les</v>
          </cell>
          <cell r="X1770" t="str">
            <v>Clinic'les- Dr Prakash BV, Bangalore</v>
          </cell>
          <cell r="Y1770" t="str">
            <v>Sri Lakshmi Hospital, Bangalore</v>
          </cell>
          <cell r="Z1770" t="str">
            <v>Dr Prakash BV, Bangalore</v>
          </cell>
          <cell r="AA1770" t="str">
            <v>GI</v>
          </cell>
          <cell r="AB1770" t="str">
            <v>Stomach</v>
          </cell>
          <cell r="AC1770" t="str">
            <v>Stomach</v>
          </cell>
          <cell r="AD1770" t="str">
            <v>Stomach</v>
          </cell>
          <cell r="AE1770" t="str">
            <v>Female</v>
          </cell>
          <cell r="AF1770">
            <v>60</v>
          </cell>
          <cell r="AG1770" t="str">
            <v>No</v>
          </cell>
          <cell r="AI1770" t="str">
            <v>Sashi</v>
          </cell>
          <cell r="AJ1770" t="str">
            <v>Surgery</v>
          </cell>
          <cell r="AK1770" t="str">
            <v>Primary</v>
          </cell>
          <cell r="AN1770" t="str">
            <v>III</v>
          </cell>
          <cell r="AO1770" t="str">
            <v>II</v>
          </cell>
          <cell r="AP1770" t="str">
            <v>pT3N1M0</v>
          </cell>
          <cell r="AS1770" t="str">
            <v>Adenocarcinoma</v>
          </cell>
          <cell r="AV1770">
            <v>44363</v>
          </cell>
          <cell r="AW1770">
            <v>0.38541666666666669</v>
          </cell>
          <cell r="AZ1770">
            <v>0.56597222222222221</v>
          </cell>
          <cell r="BA1770">
            <v>0.60763888888888884</v>
          </cell>
          <cell r="BB1770" t="str">
            <v>0.8*2.4*4.4</v>
          </cell>
          <cell r="BC1770" t="str">
            <v>0.8*2.4*4.4</v>
          </cell>
          <cell r="BD1770" t="str">
            <v>2*2*2</v>
          </cell>
          <cell r="BE1770">
            <v>15</v>
          </cell>
          <cell r="BF1770" t="str">
            <v>Gowri</v>
          </cell>
          <cell r="BG1770" t="str">
            <v>Q</v>
          </cell>
        </row>
        <row r="1771">
          <cell r="A1771" t="str">
            <v>FBB1B210071</v>
          </cell>
          <cell r="B1771">
            <v>210071</v>
          </cell>
          <cell r="C1771" t="str">
            <v>Biopharma</v>
          </cell>
          <cell r="D1771">
            <v>44362</v>
          </cell>
          <cell r="E1771">
            <v>0.85416666666666663</v>
          </cell>
          <cell r="F1771">
            <v>44348</v>
          </cell>
          <cell r="G1771">
            <v>44362</v>
          </cell>
          <cell r="H1771">
            <v>0.90347222222222223</v>
          </cell>
          <cell r="I1771">
            <v>4.9305555555555554E-2</v>
          </cell>
          <cell r="K1771" t="str">
            <v>MBT-TB-070 v1.1</v>
          </cell>
          <cell r="L1771" t="str">
            <v>CLN/PRA/01/0094</v>
          </cell>
          <cell r="M1771" t="str">
            <v>Y</v>
          </cell>
          <cell r="N1771" t="str">
            <v>BP002_SOW1_2021</v>
          </cell>
          <cell r="O1771" t="str">
            <v>Biopharma</v>
          </cell>
          <cell r="S1771" t="str">
            <v>Q1 Passed</v>
          </cell>
          <cell r="T1771" t="str">
            <v>Q2 Rejected</v>
          </cell>
          <cell r="V1771" t="str">
            <v>Good tumor content with very high immune component</v>
          </cell>
          <cell r="W1771" t="str">
            <v>Clinic'les</v>
          </cell>
          <cell r="X1771" t="str">
            <v>Clinic'les- Dr Prakash BV, Bangalore</v>
          </cell>
          <cell r="Y1771" t="str">
            <v>Sri Lakshmi Hospital, Bangalore</v>
          </cell>
          <cell r="Z1771" t="str">
            <v>Dr Prakash BV, Bangalore</v>
          </cell>
          <cell r="AA1771" t="str">
            <v>HNSCC</v>
          </cell>
          <cell r="AC1771" t="str">
            <v>Tongue</v>
          </cell>
          <cell r="AD1771" t="str">
            <v>Left Lateral Tongue</v>
          </cell>
          <cell r="AE1771" t="str">
            <v>Female</v>
          </cell>
          <cell r="AF1771">
            <v>70</v>
          </cell>
          <cell r="AG1771" t="str">
            <v>No</v>
          </cell>
          <cell r="AI1771" t="str">
            <v>Sashi</v>
          </cell>
          <cell r="AJ1771" t="str">
            <v>Surgery</v>
          </cell>
          <cell r="AK1771" t="str">
            <v>Primary</v>
          </cell>
          <cell r="AN1771" t="str">
            <v>II</v>
          </cell>
          <cell r="AO1771" t="str">
            <v>II</v>
          </cell>
          <cell r="AP1771" t="str">
            <v>pT3N2M0</v>
          </cell>
          <cell r="AS1771" t="str">
            <v>Squamous Cell Carcinoma</v>
          </cell>
          <cell r="AV1771">
            <v>44363</v>
          </cell>
          <cell r="AW1771">
            <v>0.35069444444444442</v>
          </cell>
          <cell r="AX1771">
            <v>0.43055555555555558</v>
          </cell>
          <cell r="AY1771">
            <v>7.9861111111111105E-2</v>
          </cell>
          <cell r="AZ1771">
            <v>0.44722222222222224</v>
          </cell>
          <cell r="BA1771">
            <v>0.49652777777777779</v>
          </cell>
          <cell r="BB1771" t="str">
            <v>0.8*1.0*3.2</v>
          </cell>
          <cell r="BC1771" t="str">
            <v>0.8*1.0*3.2</v>
          </cell>
          <cell r="BD1771" t="str">
            <v>2*4*450</v>
          </cell>
          <cell r="BE1771">
            <v>15</v>
          </cell>
          <cell r="BF1771" t="str">
            <v>Kowshik</v>
          </cell>
          <cell r="BG1771" t="str">
            <v>Q</v>
          </cell>
        </row>
        <row r="1772">
          <cell r="A1772" t="str">
            <v>FBB1B210072</v>
          </cell>
          <cell r="B1772">
            <v>210072</v>
          </cell>
          <cell r="C1772" t="str">
            <v>Biopharma</v>
          </cell>
          <cell r="D1772">
            <v>44364</v>
          </cell>
          <cell r="E1772">
            <v>0.52777777777777779</v>
          </cell>
          <cell r="F1772">
            <v>44348</v>
          </cell>
          <cell r="G1772">
            <v>44364</v>
          </cell>
          <cell r="H1772">
            <v>0.58888888888888891</v>
          </cell>
          <cell r="I1772">
            <v>6.1111111111111109E-2</v>
          </cell>
          <cell r="K1772" t="str">
            <v>FCB-PROTOCOL-01_v1</v>
          </cell>
          <cell r="L1772" t="str">
            <v>VYD/006</v>
          </cell>
          <cell r="M1772" t="str">
            <v>Y</v>
          </cell>
          <cell r="N1772" t="str">
            <v>BP002_SOW1_2021</v>
          </cell>
          <cell r="O1772" t="str">
            <v>Biopharma</v>
          </cell>
          <cell r="S1772" t="str">
            <v>Q1 Rejected</v>
          </cell>
          <cell r="T1772" t="str">
            <v>Q2 Passed</v>
          </cell>
          <cell r="U1772" t="str">
            <v>Blood sample was hemolyzed post spinning; Sample used for FMO control</v>
          </cell>
          <cell r="V1772" t="str">
            <v>Tumor varies between 0-70%, high immune component</v>
          </cell>
          <cell r="W1772" t="str">
            <v>Clinic'les</v>
          </cell>
          <cell r="X1772" t="str">
            <v>Clinic'les- Vydehi Hospital, Bangalore</v>
          </cell>
          <cell r="Y1772" t="str">
            <v>Vydehi Hospital, Bangalore</v>
          </cell>
          <cell r="Z1772" t="str">
            <v>Dr Amritha Prabha, Bangalore</v>
          </cell>
          <cell r="AA1772" t="str">
            <v>HNSCC</v>
          </cell>
          <cell r="AC1772" t="str">
            <v>Alveolus</v>
          </cell>
          <cell r="AD1772" t="str">
            <v>Left Lower Alveolus</v>
          </cell>
          <cell r="AE1772" t="str">
            <v>Male</v>
          </cell>
          <cell r="AF1772">
            <v>46</v>
          </cell>
          <cell r="AG1772" t="str">
            <v>No</v>
          </cell>
          <cell r="AI1772" t="str">
            <v>Sashi</v>
          </cell>
          <cell r="AJ1772" t="str">
            <v>Surgery</v>
          </cell>
          <cell r="AK1772" t="str">
            <v>Primary</v>
          </cell>
          <cell r="AN1772" t="str">
            <v>II</v>
          </cell>
          <cell r="AO1772" t="str">
            <v>I</v>
          </cell>
          <cell r="AP1772" t="str">
            <v>pT2N0</v>
          </cell>
          <cell r="AS1772" t="str">
            <v>Well Differentiated Squamous Cell Carcinoma</v>
          </cell>
          <cell r="AV1772">
            <v>44364</v>
          </cell>
          <cell r="AW1772">
            <v>0.60486111111111107</v>
          </cell>
          <cell r="AX1772">
            <v>0.6875</v>
          </cell>
          <cell r="AY1772">
            <v>8.2638888888888887E-2</v>
          </cell>
          <cell r="AZ1772">
            <v>1.5972222222222221E-2</v>
          </cell>
          <cell r="BA1772">
            <v>7.7083333333333337E-2</v>
          </cell>
          <cell r="BB1772" t="str">
            <v>1.0*1.2*1.0</v>
          </cell>
          <cell r="BC1772" t="str">
            <v>1.0*1.2*1.0</v>
          </cell>
          <cell r="BD1772" t="str">
            <v>2*4*450</v>
          </cell>
          <cell r="BE1772">
            <v>15</v>
          </cell>
          <cell r="BF1772" t="str">
            <v>Gowrishankar</v>
          </cell>
          <cell r="BG1772" t="str">
            <v>NQ</v>
          </cell>
        </row>
        <row r="1773">
          <cell r="A1773" t="str">
            <v>FBR1H210073</v>
          </cell>
          <cell r="B1773">
            <v>210073</v>
          </cell>
          <cell r="C1773" t="str">
            <v>R&amp;D</v>
          </cell>
          <cell r="D1773">
            <v>44364</v>
          </cell>
          <cell r="E1773">
            <v>0.77083333333333337</v>
          </cell>
          <cell r="F1773">
            <v>44348</v>
          </cell>
          <cell r="G1773">
            <v>44364</v>
          </cell>
          <cell r="H1773">
            <v>0.89930555555555558</v>
          </cell>
          <cell r="I1773">
            <v>0.12847222222222221</v>
          </cell>
          <cell r="K1773" t="str">
            <v>MBT-TB-070 v1.1</v>
          </cell>
          <cell r="L1773" t="str">
            <v>CLN/PRA/01/0095</v>
          </cell>
          <cell r="M1773" t="str">
            <v>Y</v>
          </cell>
          <cell r="N1773" t="str">
            <v>DMS_v3</v>
          </cell>
          <cell r="O1773" t="str">
            <v>Internal R&amp;D</v>
          </cell>
          <cell r="S1773" t="str">
            <v>Q1 Passed</v>
          </cell>
          <cell r="T1773" t="str">
            <v>Q2 Passed</v>
          </cell>
          <cell r="V1773" t="str">
            <v>Good tumor content,</v>
          </cell>
          <cell r="W1773" t="str">
            <v>Clinic'les</v>
          </cell>
          <cell r="X1773" t="str">
            <v>Clinic'les- Dr Prakash BV, Bangalore</v>
          </cell>
          <cell r="Y1773" t="str">
            <v>Sri Lakshmi Hospital, Bangalore</v>
          </cell>
          <cell r="Z1773" t="str">
            <v>Dr Prakash BV, Bangalore</v>
          </cell>
          <cell r="AA1773" t="str">
            <v>HNSCC</v>
          </cell>
          <cell r="AC1773" t="str">
            <v>Pharynx</v>
          </cell>
          <cell r="AD1773" t="str">
            <v>Pharynx</v>
          </cell>
          <cell r="AE1773" t="str">
            <v>Female</v>
          </cell>
          <cell r="AF1773">
            <v>60</v>
          </cell>
          <cell r="AG1773" t="str">
            <v>No</v>
          </cell>
          <cell r="AI1773" t="str">
            <v>Partha</v>
          </cell>
          <cell r="AJ1773" t="str">
            <v>Surgery</v>
          </cell>
          <cell r="AK1773" t="str">
            <v>Primary</v>
          </cell>
          <cell r="AL1773" t="str">
            <v>Chemo+ Radio</v>
          </cell>
          <cell r="AN1773" t="str">
            <v>II</v>
          </cell>
          <cell r="AO1773" t="str">
            <v>II</v>
          </cell>
          <cell r="AP1773" t="str">
            <v>pT2N0M0</v>
          </cell>
          <cell r="AQ1773" t="str">
            <v>5 cycles</v>
          </cell>
          <cell r="AR1773" t="str">
            <v>Cisplatin</v>
          </cell>
          <cell r="AS1773" t="str">
            <v>Squamous Cell Carcinoma</v>
          </cell>
          <cell r="AV1773">
            <v>44365</v>
          </cell>
          <cell r="AW1773">
            <v>0.27777777777777779</v>
          </cell>
          <cell r="AX1773">
            <v>0.37152777777777779</v>
          </cell>
          <cell r="AY1773">
            <v>9.375E-2</v>
          </cell>
          <cell r="AZ1773">
            <v>0.37847222222222221</v>
          </cell>
          <cell r="BA1773">
            <v>0.50694444444444442</v>
          </cell>
          <cell r="BB1773" t="str">
            <v>1.0*1.4*2.8</v>
          </cell>
          <cell r="BC1773" t="str">
            <v>1.0*1.4*2.8</v>
          </cell>
          <cell r="BD1773" t="str">
            <v>2*4*450</v>
          </cell>
          <cell r="BE1773">
            <v>15</v>
          </cell>
          <cell r="BF1773" t="str">
            <v>Kowshik</v>
          </cell>
          <cell r="BG1773" t="str">
            <v>Q</v>
          </cell>
        </row>
        <row r="1774">
          <cell r="A1774" t="str">
            <v>FBR1H210074</v>
          </cell>
          <cell r="B1774">
            <v>210074</v>
          </cell>
          <cell r="C1774" t="str">
            <v>R&amp;D</v>
          </cell>
          <cell r="D1774">
            <v>44364</v>
          </cell>
          <cell r="E1774">
            <v>0.83333333333333337</v>
          </cell>
          <cell r="F1774">
            <v>44348</v>
          </cell>
          <cell r="G1774">
            <v>44364</v>
          </cell>
          <cell r="H1774">
            <v>0.89930555555555558</v>
          </cell>
          <cell r="I1774">
            <v>6.5972222222222224E-2</v>
          </cell>
          <cell r="K1774" t="str">
            <v>MBT-TB-070 v1.1</v>
          </cell>
          <cell r="L1774" t="str">
            <v>CLN/PRA/01/0096</v>
          </cell>
          <cell r="M1774" t="str">
            <v>Y</v>
          </cell>
          <cell r="N1774" t="str">
            <v>DMS_v3</v>
          </cell>
          <cell r="O1774" t="str">
            <v>Internal R&amp;D</v>
          </cell>
          <cell r="S1774" t="str">
            <v>Q1 Passed</v>
          </cell>
          <cell r="T1774" t="str">
            <v>Q2 Rejected</v>
          </cell>
          <cell r="V1774" t="str">
            <v>Good tumor content</v>
          </cell>
          <cell r="W1774" t="str">
            <v>Clinic'les</v>
          </cell>
          <cell r="X1774" t="str">
            <v>Clinic'les- Dr Prakash BV, Bangalore</v>
          </cell>
          <cell r="Y1774" t="str">
            <v>Sri Lakshmi Hospital, Bangalore</v>
          </cell>
          <cell r="Z1774" t="str">
            <v>Dr Prakash BV, Bangalore</v>
          </cell>
          <cell r="AA1774" t="str">
            <v>HNSCC</v>
          </cell>
          <cell r="AC1774" t="str">
            <v>Supra Glottis</v>
          </cell>
          <cell r="AD1774" t="str">
            <v>Supra Glottis</v>
          </cell>
          <cell r="AE1774" t="str">
            <v>Female</v>
          </cell>
          <cell r="AF1774">
            <v>50</v>
          </cell>
          <cell r="AG1774" t="str">
            <v>No</v>
          </cell>
          <cell r="AI1774" t="str">
            <v>Partha</v>
          </cell>
          <cell r="AJ1774" t="str">
            <v>Surgery</v>
          </cell>
          <cell r="AK1774" t="str">
            <v>Primary</v>
          </cell>
          <cell r="AN1774" t="str">
            <v>II</v>
          </cell>
          <cell r="AO1774" t="str">
            <v>II</v>
          </cell>
          <cell r="AP1774" t="str">
            <v>pT3N2M0</v>
          </cell>
          <cell r="AS1774" t="str">
            <v>Squamous Cell Carcinoma</v>
          </cell>
          <cell r="AV1774">
            <v>44365</v>
          </cell>
          <cell r="AW1774">
            <v>0.29652777777777778</v>
          </cell>
          <cell r="AX1774">
            <v>0.45</v>
          </cell>
          <cell r="AY1774">
            <v>0.15347222222222223</v>
          </cell>
          <cell r="AZ1774">
            <v>0.3972222222222222</v>
          </cell>
          <cell r="BA1774">
            <v>0.46319444444444446</v>
          </cell>
          <cell r="BB1774" t="str">
            <v>0.8*1.4*1.4</v>
          </cell>
          <cell r="BC1774" t="str">
            <v>0.8*1.4*1.4</v>
          </cell>
          <cell r="BD1774" t="str">
            <v>2*4*450</v>
          </cell>
          <cell r="BE1774">
            <v>15</v>
          </cell>
          <cell r="BF1774" t="str">
            <v>GS</v>
          </cell>
          <cell r="BG1774" t="str">
            <v>Q</v>
          </cell>
        </row>
        <row r="1775">
          <cell r="A1775" t="str">
            <v>FBR1H210075</v>
          </cell>
          <cell r="B1775">
            <v>210075</v>
          </cell>
          <cell r="C1775" t="str">
            <v>R&amp;D</v>
          </cell>
          <cell r="D1775">
            <v>44366</v>
          </cell>
          <cell r="E1775">
            <v>0.82638888888888884</v>
          </cell>
          <cell r="F1775">
            <v>44348</v>
          </cell>
          <cell r="G1775">
            <v>44366</v>
          </cell>
          <cell r="K1775" t="str">
            <v>MBT-TB-070 v1.1</v>
          </cell>
          <cell r="L1775" t="str">
            <v>CLN/PRA/01/0097</v>
          </cell>
          <cell r="M1775" t="str">
            <v>Y</v>
          </cell>
          <cell r="N1775" t="str">
            <v>DMS_v3</v>
          </cell>
          <cell r="O1775" t="str">
            <v>Internal R&amp;D</v>
          </cell>
          <cell r="S1775" t="str">
            <v>Q2 Rejected</v>
          </cell>
          <cell r="T1775" t="str">
            <v>Q2 Passed</v>
          </cell>
          <cell r="U1775" t="str">
            <v>Due to Quality of soft, powedery, sponge</v>
          </cell>
          <cell r="W1775" t="str">
            <v>Clinic'les</v>
          </cell>
          <cell r="X1775" t="str">
            <v>Clinic'les- Dr Prakash BV, Bangalore</v>
          </cell>
          <cell r="Y1775" t="str">
            <v>Sri Lakshmi Hospital, Bangalore</v>
          </cell>
          <cell r="Z1775" t="str">
            <v>Dr Prakash BV, Bangalore</v>
          </cell>
          <cell r="AA1775" t="str">
            <v>HNSCC</v>
          </cell>
          <cell r="AC1775" t="str">
            <v>Mandible</v>
          </cell>
          <cell r="AD1775" t="str">
            <v>Right Mandible</v>
          </cell>
          <cell r="AE1775" t="str">
            <v>Female</v>
          </cell>
          <cell r="AF1775">
            <v>50</v>
          </cell>
          <cell r="AG1775" t="str">
            <v>No</v>
          </cell>
          <cell r="AI1775" t="str">
            <v>Sashi</v>
          </cell>
          <cell r="AJ1775" t="str">
            <v>Surgery</v>
          </cell>
          <cell r="AK1775" t="str">
            <v>Primary</v>
          </cell>
          <cell r="AN1775" t="str">
            <v>IVA</v>
          </cell>
          <cell r="AO1775" t="str">
            <v>III</v>
          </cell>
          <cell r="AP1775" t="str">
            <v>pT4AN1M0</v>
          </cell>
          <cell r="AS1775" t="str">
            <v>Squamous Cell Carcinoma</v>
          </cell>
        </row>
        <row r="1776">
          <cell r="A1776" t="str">
            <v>FBR1E210076</v>
          </cell>
          <cell r="B1776">
            <v>210076</v>
          </cell>
          <cell r="C1776" t="str">
            <v>R&amp;D</v>
          </cell>
          <cell r="D1776">
            <v>44368</v>
          </cell>
          <cell r="E1776">
            <v>0.54374999999999996</v>
          </cell>
          <cell r="F1776">
            <v>44348</v>
          </cell>
          <cell r="G1776">
            <v>44368</v>
          </cell>
          <cell r="H1776">
            <v>0.64930555555555558</v>
          </cell>
          <cell r="I1776">
            <v>0.10555555555555556</v>
          </cell>
          <cell r="K1776" t="str">
            <v>FCB-PROTOCOL-01_v1</v>
          </cell>
          <cell r="L1776" t="str">
            <v>VYD/007</v>
          </cell>
          <cell r="M1776" t="str">
            <v>Y</v>
          </cell>
          <cell r="N1776" t="str">
            <v>VPD</v>
          </cell>
          <cell r="O1776" t="str">
            <v>Internal R&amp;D</v>
          </cell>
          <cell r="S1776" t="str">
            <v>Q1 Passed</v>
          </cell>
          <cell r="T1776" t="str">
            <v>Q2 Passed</v>
          </cell>
          <cell r="V1776" t="str">
            <v>Good tumor content</v>
          </cell>
          <cell r="W1776" t="str">
            <v>Clinic'les</v>
          </cell>
          <cell r="X1776" t="str">
            <v>Clinic'les- Vydehi Hospital, Bangalore</v>
          </cell>
          <cell r="Y1776" t="str">
            <v>Vydehi Hospital, Bangalore</v>
          </cell>
          <cell r="Z1776" t="str">
            <v>Dr Amritha Prabha, Bangalore</v>
          </cell>
          <cell r="AA1776" t="str">
            <v>HNSCC</v>
          </cell>
          <cell r="AC1776" t="str">
            <v>Larynx</v>
          </cell>
          <cell r="AD1776" t="str">
            <v>Supra Glottis</v>
          </cell>
          <cell r="AE1776" t="str">
            <v>Male</v>
          </cell>
          <cell r="AF1776">
            <v>74</v>
          </cell>
          <cell r="AG1776" t="str">
            <v>No</v>
          </cell>
          <cell r="AI1776" t="str">
            <v>Kalappa</v>
          </cell>
          <cell r="AJ1776" t="str">
            <v>Surgery</v>
          </cell>
          <cell r="AK1776" t="str">
            <v>Primary</v>
          </cell>
          <cell r="AN1776" t="str">
            <v>IVA</v>
          </cell>
          <cell r="AO1776" t="str">
            <v>II</v>
          </cell>
          <cell r="AP1776" t="str">
            <v>pT4AN0M0</v>
          </cell>
          <cell r="AS1776" t="str">
            <v>Moderately differentiated Squamous Cell Carcinoma; Currently undergoing radiotherapy</v>
          </cell>
          <cell r="AT1776" t="str">
            <v>Radiotherapy</v>
          </cell>
          <cell r="AV1776">
            <v>44368</v>
          </cell>
          <cell r="AW1776">
            <v>0.70208333333333328</v>
          </cell>
          <cell r="AX1776">
            <v>0.75694444444444442</v>
          </cell>
          <cell r="AY1776">
            <v>5.486111111111111E-2</v>
          </cell>
          <cell r="AZ1776">
            <v>5.2777777777777778E-2</v>
          </cell>
          <cell r="BA1776">
            <v>0.15833333333333333</v>
          </cell>
          <cell r="BB1776" t="str">
            <v>0.8*1.4*2.5</v>
          </cell>
          <cell r="BC1776" t="str">
            <v>0.8*1.4*2.5</v>
          </cell>
          <cell r="BD1776" t="str">
            <v>2*4*450</v>
          </cell>
          <cell r="BE1776">
            <v>15</v>
          </cell>
          <cell r="BF1776" t="str">
            <v>Vasanth</v>
          </cell>
          <cell r="BG1776" t="str">
            <v>Q</v>
          </cell>
        </row>
        <row r="1777">
          <cell r="A1777" t="str">
            <v>FBR1J210077</v>
          </cell>
          <cell r="B1777">
            <v>210077</v>
          </cell>
          <cell r="C1777" t="str">
            <v>R&amp;D</v>
          </cell>
          <cell r="D1777">
            <v>44369</v>
          </cell>
          <cell r="E1777">
            <v>0.88541666666666663</v>
          </cell>
          <cell r="F1777">
            <v>44348</v>
          </cell>
          <cell r="G1777">
            <v>44369</v>
          </cell>
          <cell r="H1777">
            <v>0.93402777777777779</v>
          </cell>
          <cell r="I1777">
            <v>4.8611111111111112E-2</v>
          </cell>
          <cell r="K1777" t="str">
            <v>MBT-TB-070 v1.1</v>
          </cell>
          <cell r="L1777" t="str">
            <v>CLN/PRA/01/0098</v>
          </cell>
          <cell r="M1777" t="str">
            <v>Y</v>
          </cell>
          <cell r="N1777" t="str">
            <v>COS_V3</v>
          </cell>
          <cell r="O1777" t="str">
            <v>Internal R&amp;D</v>
          </cell>
          <cell r="S1777" t="str">
            <v>Q1 Passed</v>
          </cell>
          <cell r="T1777" t="str">
            <v>Q2 Passed</v>
          </cell>
          <cell r="V1777" t="str">
            <v>Good tumor content</v>
          </cell>
          <cell r="W1777" t="str">
            <v>Clinic'les</v>
          </cell>
          <cell r="X1777" t="str">
            <v>Clinic'les- Dr Prakash BV, Bangalore</v>
          </cell>
          <cell r="Y1777" t="str">
            <v>Sri Lakshmi Hospital, Bangalore</v>
          </cell>
          <cell r="Z1777" t="str">
            <v>Dr Prakash BV, Bangalore</v>
          </cell>
          <cell r="AA1777" t="str">
            <v>GI</v>
          </cell>
          <cell r="AB1777" t="str">
            <v>Stomach</v>
          </cell>
          <cell r="AC1777" t="str">
            <v>Stomach</v>
          </cell>
          <cell r="AD1777" t="str">
            <v>Stomach</v>
          </cell>
          <cell r="AE1777" t="str">
            <v>Female</v>
          </cell>
          <cell r="AF1777">
            <v>55</v>
          </cell>
          <cell r="AG1777" t="str">
            <v>No</v>
          </cell>
          <cell r="AI1777" t="str">
            <v>Partha</v>
          </cell>
          <cell r="AJ1777" t="str">
            <v>Surgery</v>
          </cell>
          <cell r="AK1777" t="str">
            <v>Primary</v>
          </cell>
          <cell r="AN1777" t="str">
            <v>II</v>
          </cell>
          <cell r="AO1777" t="str">
            <v>III</v>
          </cell>
          <cell r="AP1777" t="str">
            <v>pT2N0M0</v>
          </cell>
          <cell r="AS1777" t="str">
            <v>Adenocarcinoma</v>
          </cell>
          <cell r="AV1777">
            <v>44370</v>
          </cell>
          <cell r="AW1777">
            <v>0.40972222222222221</v>
          </cell>
          <cell r="AX1777">
            <v>0.52083333333333337</v>
          </cell>
          <cell r="AY1777">
            <v>0.1111111111111111</v>
          </cell>
          <cell r="AZ1777">
            <v>0.56597222222222221</v>
          </cell>
          <cell r="BA1777">
            <v>0.60763888888888884</v>
          </cell>
          <cell r="BB1777" t="str">
            <v>1.5*2.2*2.6</v>
          </cell>
          <cell r="BC1777" t="str">
            <v>1.5*2.2*2.5</v>
          </cell>
          <cell r="BD1777" t="str">
            <v>2*2*2</v>
          </cell>
          <cell r="BE1777">
            <v>15</v>
          </cell>
          <cell r="BF1777" t="str">
            <v>Vasanth</v>
          </cell>
          <cell r="BG1777" t="str">
            <v>Q</v>
          </cell>
        </row>
        <row r="1778">
          <cell r="A1778" t="str">
            <v>FBR1K210078</v>
          </cell>
          <cell r="B1778">
            <v>210078</v>
          </cell>
          <cell r="C1778" t="str">
            <v>R&amp;D</v>
          </cell>
          <cell r="D1778">
            <v>44372</v>
          </cell>
          <cell r="E1778">
            <v>0.43958333333333333</v>
          </cell>
          <cell r="F1778">
            <v>44348</v>
          </cell>
          <cell r="G1778">
            <v>44372</v>
          </cell>
          <cell r="H1778">
            <v>0.54166666666666663</v>
          </cell>
          <cell r="I1778">
            <v>0.10208333333333333</v>
          </cell>
          <cell r="K1778" t="str">
            <v>FCB-PROTOCOL-01_v1</v>
          </cell>
          <cell r="L1778" t="str">
            <v>VYD/008</v>
          </cell>
          <cell r="M1778" t="str">
            <v>Y</v>
          </cell>
          <cell r="N1778" t="str">
            <v>DMS_v4</v>
          </cell>
          <cell r="O1778" t="str">
            <v>Internal R&amp;D</v>
          </cell>
          <cell r="S1778" t="str">
            <v>Q1 Passed</v>
          </cell>
          <cell r="T1778" t="str">
            <v>Q2 Passed</v>
          </cell>
          <cell r="V1778" t="str">
            <v>Tumor in 6/7 explants</v>
          </cell>
          <cell r="W1778" t="str">
            <v>Clinic'les</v>
          </cell>
          <cell r="X1778" t="str">
            <v>Clinic'les- Vydehi Hospital, Bangalore</v>
          </cell>
          <cell r="Y1778" t="str">
            <v>Vydehi Hospital, Bangalore</v>
          </cell>
          <cell r="Z1778" t="str">
            <v>Dr Amritha Prabha, Bangalore</v>
          </cell>
          <cell r="AA1778" t="str">
            <v>HNSCC</v>
          </cell>
          <cell r="AC1778" t="str">
            <v>Lip</v>
          </cell>
          <cell r="AD1778" t="str">
            <v>Lower Lip &amp; Central Arch</v>
          </cell>
          <cell r="AE1778" t="str">
            <v>Male</v>
          </cell>
          <cell r="AF1778">
            <v>58</v>
          </cell>
          <cell r="AG1778" t="str">
            <v>No</v>
          </cell>
          <cell r="AI1778" t="str">
            <v>Sashi</v>
          </cell>
          <cell r="AJ1778" t="str">
            <v>Surgery</v>
          </cell>
          <cell r="AK1778" t="str">
            <v>Local Recurrent</v>
          </cell>
          <cell r="AL1778" t="str">
            <v>Chemo+ Radio+ Surgery</v>
          </cell>
          <cell r="AN1778" t="str">
            <v>IVA</v>
          </cell>
          <cell r="AO1778" t="str">
            <v>II</v>
          </cell>
          <cell r="AP1778" t="str">
            <v>pT4AN0M0</v>
          </cell>
          <cell r="AQ1778" t="str">
            <v>6 cycles+ 4 cycles</v>
          </cell>
          <cell r="AR1778" t="str">
            <v>Cisplatin, Methotrexate+ 5FU</v>
          </cell>
          <cell r="AS1778" t="str">
            <v>Moderately differentiated Squamous Cell Carcinoma</v>
          </cell>
          <cell r="AV1778">
            <v>44372</v>
          </cell>
          <cell r="AW1778">
            <v>0.55208333333333337</v>
          </cell>
          <cell r="AX1778">
            <v>0.625</v>
          </cell>
          <cell r="AY1778">
            <v>7.2916666666666671E-2</v>
          </cell>
          <cell r="AZ1778">
            <v>1.0416666666666666E-2</v>
          </cell>
          <cell r="BA1778">
            <v>0.1125</v>
          </cell>
          <cell r="BB1778" t="str">
            <v>1.0*1.2*2.0
0.8*1.0*1.6</v>
          </cell>
          <cell r="BC1778" t="str">
            <v>1.0*1.2*2.0
0.8*1.0*1.6</v>
          </cell>
          <cell r="BD1778" t="str">
            <v>2*4*450</v>
          </cell>
          <cell r="BE1778">
            <v>15</v>
          </cell>
          <cell r="BF1778" t="str">
            <v>Kowshik</v>
          </cell>
          <cell r="BG1778" t="str">
            <v>Q</v>
          </cell>
        </row>
        <row r="1779">
          <cell r="A1779" t="str">
            <v>FBB1B210079</v>
          </cell>
          <cell r="B1779">
            <v>210079</v>
          </cell>
          <cell r="C1779" t="str">
            <v>Biopharma</v>
          </cell>
          <cell r="D1779">
            <v>44374</v>
          </cell>
          <cell r="E1779">
            <v>0.72916666666666663</v>
          </cell>
          <cell r="F1779">
            <v>44348</v>
          </cell>
          <cell r="G1779">
            <v>44374</v>
          </cell>
          <cell r="H1779">
            <v>0.79166666666666663</v>
          </cell>
          <cell r="I1779">
            <v>6.25E-2</v>
          </cell>
          <cell r="K1779" t="str">
            <v>MBT-TB-070 v1.1</v>
          </cell>
          <cell r="L1779" t="str">
            <v>CLN/PRA/01/0099</v>
          </cell>
          <cell r="M1779" t="str">
            <v>Y</v>
          </cell>
          <cell r="N1779" t="str">
            <v>BP002_SOW1_2021</v>
          </cell>
          <cell r="O1779" t="str">
            <v>Biopharma</v>
          </cell>
          <cell r="S1779" t="str">
            <v>Q1 Passed</v>
          </cell>
          <cell r="T1779" t="str">
            <v>Q2 Passed</v>
          </cell>
          <cell r="U1779" t="str">
            <v>FMO sample</v>
          </cell>
          <cell r="W1779" t="str">
            <v>Clinic'les</v>
          </cell>
          <cell r="X1779" t="str">
            <v>Clinic'les- Dr Prakash BV, Bangalore</v>
          </cell>
          <cell r="Y1779" t="str">
            <v>Sri Lakshmi Hospital, Bangalore</v>
          </cell>
          <cell r="Z1779" t="str">
            <v>Dr Prakash BV, Bangalore</v>
          </cell>
          <cell r="AA1779" t="str">
            <v>HNSCC</v>
          </cell>
          <cell r="AC1779" t="str">
            <v>Alveolus</v>
          </cell>
          <cell r="AD1779" t="str">
            <v>Left Lower Alveolus</v>
          </cell>
          <cell r="AE1779" t="str">
            <v>Male</v>
          </cell>
          <cell r="AF1779">
            <v>50</v>
          </cell>
          <cell r="AG1779" t="str">
            <v>No</v>
          </cell>
          <cell r="AI1779" t="str">
            <v>Sashi</v>
          </cell>
          <cell r="AJ1779" t="str">
            <v>Surgery</v>
          </cell>
          <cell r="AK1779" t="str">
            <v>Primary</v>
          </cell>
          <cell r="AL1779" t="str">
            <v>Chemo</v>
          </cell>
          <cell r="AN1779" t="str">
            <v>IVA</v>
          </cell>
          <cell r="AO1779" t="str">
            <v>II</v>
          </cell>
          <cell r="AP1779" t="str">
            <v>pT4AN1M0</v>
          </cell>
          <cell r="AQ1779" t="str">
            <v>2 cycles</v>
          </cell>
          <cell r="AR1779" t="str">
            <v>Paclitaxel + Carboplatin</v>
          </cell>
          <cell r="AS1779" t="str">
            <v>Squamous Cell Carcinoma</v>
          </cell>
          <cell r="AV1779">
            <v>44374</v>
          </cell>
          <cell r="AW1779">
            <v>0.80902777777777779</v>
          </cell>
          <cell r="AX1779">
            <v>0.89583333333333337</v>
          </cell>
          <cell r="AY1779">
            <v>8.6805555555555552E-2</v>
          </cell>
          <cell r="AZ1779">
            <v>1.7361111111111112E-2</v>
          </cell>
          <cell r="BA1779">
            <v>7.9861111111111105E-2</v>
          </cell>
          <cell r="BB1779" t="str">
            <v>1.35*2.0*4.2</v>
          </cell>
          <cell r="BC1779" t="str">
            <v>1.35*2.0*4.2</v>
          </cell>
          <cell r="BD1779" t="str">
            <v>2*4*450</v>
          </cell>
          <cell r="BE1779">
            <v>15</v>
          </cell>
          <cell r="BF1779" t="str">
            <v>Kowshik</v>
          </cell>
          <cell r="BG1779" t="str">
            <v>Q</v>
          </cell>
        </row>
        <row r="1780">
          <cell r="A1780" t="str">
            <v>FBR1K210079</v>
          </cell>
          <cell r="B1780">
            <v>210079</v>
          </cell>
          <cell r="C1780" t="str">
            <v>R&amp;D</v>
          </cell>
          <cell r="D1780">
            <v>44374</v>
          </cell>
          <cell r="E1780">
            <v>0.72916666666666663</v>
          </cell>
          <cell r="F1780">
            <v>44348</v>
          </cell>
          <cell r="G1780">
            <v>44374</v>
          </cell>
          <cell r="H1780">
            <v>0.79166666666666663</v>
          </cell>
          <cell r="I1780">
            <v>6.25E-2</v>
          </cell>
          <cell r="K1780" t="str">
            <v>MBT-TB-070 v1.1</v>
          </cell>
          <cell r="L1780" t="str">
            <v>CLN/PRA/01/0099</v>
          </cell>
          <cell r="M1780" t="str">
            <v>Y</v>
          </cell>
          <cell r="N1780" t="str">
            <v>DMS_v4</v>
          </cell>
          <cell r="O1780" t="str">
            <v>Internal R&amp;D</v>
          </cell>
          <cell r="S1780" t="str">
            <v>Q1 Passed</v>
          </cell>
          <cell r="T1780" t="str">
            <v>Q2 Passed</v>
          </cell>
          <cell r="V1780" t="str">
            <v xml:space="preserve">Good tumor content with immune component  </v>
          </cell>
          <cell r="W1780" t="str">
            <v>Clinic'les</v>
          </cell>
          <cell r="X1780" t="str">
            <v>Clinic'les- Dr Prakash BV, Bangalore</v>
          </cell>
          <cell r="Y1780" t="str">
            <v>Sri Lakshmi Hospital, Bangalore</v>
          </cell>
          <cell r="Z1780" t="str">
            <v>Dr Prakash BV, Bangalore</v>
          </cell>
          <cell r="AA1780" t="str">
            <v>HNSCC</v>
          </cell>
          <cell r="AC1780" t="str">
            <v>Alveolus</v>
          </cell>
          <cell r="AD1780" t="str">
            <v>Left Lower Alveolus</v>
          </cell>
          <cell r="AE1780" t="str">
            <v>Male</v>
          </cell>
          <cell r="AF1780">
            <v>50</v>
          </cell>
          <cell r="AG1780" t="str">
            <v>No</v>
          </cell>
          <cell r="AI1780" t="str">
            <v>Sashi</v>
          </cell>
          <cell r="AJ1780" t="str">
            <v>Surgery</v>
          </cell>
          <cell r="AK1780" t="str">
            <v>Primary</v>
          </cell>
          <cell r="AL1780" t="str">
            <v>Chemo</v>
          </cell>
          <cell r="AN1780" t="str">
            <v>IVA</v>
          </cell>
          <cell r="AO1780" t="str">
            <v>II</v>
          </cell>
          <cell r="AP1780" t="str">
            <v>pT4AN1M0</v>
          </cell>
          <cell r="AQ1780" t="str">
            <v>2 cycles</v>
          </cell>
          <cell r="AR1780" t="str">
            <v>Paclitaxel + Carboplatin</v>
          </cell>
          <cell r="AS1780" t="str">
            <v>Squamous Cell Carcinoma</v>
          </cell>
          <cell r="AV1780">
            <v>44374</v>
          </cell>
          <cell r="AW1780">
            <v>0.80902777777777779</v>
          </cell>
          <cell r="AX1780">
            <v>0.89583333333333337</v>
          </cell>
          <cell r="AY1780">
            <v>8.6805555555555552E-2</v>
          </cell>
          <cell r="AZ1780">
            <v>1.7361111111111112E-2</v>
          </cell>
          <cell r="BA1780">
            <v>7.9861111111111105E-2</v>
          </cell>
          <cell r="BB1780" t="str">
            <v>1.35*2.0*4.2</v>
          </cell>
          <cell r="BC1780" t="str">
            <v>1.35*2.0*4.2</v>
          </cell>
          <cell r="BD1780" t="str">
            <v>2*4*450</v>
          </cell>
          <cell r="BE1780">
            <v>15</v>
          </cell>
          <cell r="BF1780" t="str">
            <v>Kowshik</v>
          </cell>
          <cell r="BG1780" t="str">
            <v>Q</v>
          </cell>
        </row>
        <row r="1781">
          <cell r="A1781" t="str">
            <v>FBR1A210080</v>
          </cell>
          <cell r="B1781">
            <v>210080</v>
          </cell>
          <cell r="C1781" t="str">
            <v>R&amp;D</v>
          </cell>
          <cell r="D1781">
            <v>44374</v>
          </cell>
          <cell r="E1781">
            <v>0.77777777777777779</v>
          </cell>
          <cell r="F1781">
            <v>44348</v>
          </cell>
          <cell r="G1781">
            <v>44374</v>
          </cell>
          <cell r="H1781">
            <v>0.83750000000000002</v>
          </cell>
          <cell r="I1781">
            <v>5.9722222222222225E-2</v>
          </cell>
          <cell r="K1781" t="str">
            <v>MBT-TB-070 v1.1</v>
          </cell>
          <cell r="L1781" t="str">
            <v>CLN/PRA/01/0100</v>
          </cell>
          <cell r="M1781" t="str">
            <v>Y</v>
          </cell>
          <cell r="N1781" t="str">
            <v>Other Indication</v>
          </cell>
          <cell r="O1781" t="str">
            <v>Internal R&amp;D</v>
          </cell>
          <cell r="S1781" t="str">
            <v>Q1 Passed</v>
          </cell>
          <cell r="T1781" t="str">
            <v>Q2 Passed</v>
          </cell>
          <cell r="V1781" t="str">
            <v>Scanty tumor in 6/14 explants</v>
          </cell>
          <cell r="W1781" t="str">
            <v>Clinic'les</v>
          </cell>
          <cell r="X1781" t="str">
            <v>Clinic'les- Dr Prakash BV, Bangalore</v>
          </cell>
          <cell r="Y1781" t="str">
            <v>Sri Lakshmi Hospital, Bangalore</v>
          </cell>
          <cell r="Z1781" t="str">
            <v>Dr Prakash BV, Bangalore</v>
          </cell>
          <cell r="AA1781" t="str">
            <v>RCC</v>
          </cell>
          <cell r="AC1781" t="str">
            <v>Kidney</v>
          </cell>
          <cell r="AD1781" t="str">
            <v>Left Kidney</v>
          </cell>
          <cell r="AE1781" t="str">
            <v>Female</v>
          </cell>
          <cell r="AF1781">
            <v>60</v>
          </cell>
          <cell r="AG1781" t="str">
            <v>No</v>
          </cell>
          <cell r="AI1781" t="str">
            <v>Partha</v>
          </cell>
          <cell r="AJ1781" t="str">
            <v>Surgery</v>
          </cell>
          <cell r="AK1781" t="str">
            <v>Primary</v>
          </cell>
          <cell r="AN1781" t="str">
            <v>II</v>
          </cell>
          <cell r="AO1781" t="str">
            <v>II</v>
          </cell>
          <cell r="AP1781" t="str">
            <v>pT2N0M0</v>
          </cell>
          <cell r="AS1781" t="str">
            <v>Clear cell carcinoma</v>
          </cell>
          <cell r="AV1781">
            <v>44375</v>
          </cell>
          <cell r="AW1781">
            <v>0.32430555555555557</v>
          </cell>
          <cell r="AX1781">
            <v>0.39305555555555555</v>
          </cell>
          <cell r="AY1781">
            <v>6.8750000000000006E-2</v>
          </cell>
          <cell r="AZ1781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781" t="e">
            <v>#VALUE!</v>
          </cell>
          <cell r="BB1781" t="str">
            <v>1.3*2.0*3.4</v>
          </cell>
          <cell r="BC1781" t="str">
            <v>1.3*2.0*3.4</v>
          </cell>
          <cell r="BD1781" t="str">
            <v>2*4*450</v>
          </cell>
          <cell r="BE1781">
            <v>15</v>
          </cell>
          <cell r="BF1781" t="str">
            <v>Kowshik</v>
          </cell>
          <cell r="BG1781" t="str">
            <v>Q</v>
          </cell>
        </row>
        <row r="1782">
          <cell r="A1782" t="str">
            <v>FBR1A210081</v>
          </cell>
          <cell r="B1782">
            <v>210081</v>
          </cell>
          <cell r="C1782" t="str">
            <v>R&amp;D</v>
          </cell>
          <cell r="D1782">
            <v>44375</v>
          </cell>
          <cell r="E1782">
            <v>0.37986111111111109</v>
          </cell>
          <cell r="F1782">
            <v>44348</v>
          </cell>
          <cell r="G1782">
            <v>44375</v>
          </cell>
          <cell r="H1782">
            <v>0.53125</v>
          </cell>
          <cell r="I1782">
            <v>0.15138888888888888</v>
          </cell>
          <cell r="J1782">
            <v>5</v>
          </cell>
          <cell r="K1782" t="str">
            <v>FCB-PROTOCOL-01_v1</v>
          </cell>
          <cell r="L1782" t="str">
            <v>VYD/009</v>
          </cell>
          <cell r="M1782" t="str">
            <v>Y</v>
          </cell>
          <cell r="N1782" t="str">
            <v>Other Indication</v>
          </cell>
          <cell r="O1782" t="str">
            <v>Internal R&amp;D</v>
          </cell>
          <cell r="S1782" t="str">
            <v>Q1 Passed</v>
          </cell>
          <cell r="T1782" t="str">
            <v>Q2 Rejected</v>
          </cell>
          <cell r="V1782" t="str">
            <v xml:space="preserve">Scanty to maximum tumor content upto about 40% </v>
          </cell>
          <cell r="W1782" t="str">
            <v>Clinic'les</v>
          </cell>
          <cell r="X1782" t="str">
            <v>Clinic'les- Vydehi Hospital, Bangalore</v>
          </cell>
          <cell r="Y1782" t="str">
            <v>Vydehi Hospital, Bangalore</v>
          </cell>
          <cell r="Z1782" t="str">
            <v>Dr Amritha Prabha, Bangalore</v>
          </cell>
          <cell r="AA1782" t="str">
            <v>Ca Breast</v>
          </cell>
          <cell r="AC1782" t="str">
            <v>Breast</v>
          </cell>
          <cell r="AD1782" t="str">
            <v>Right Breast</v>
          </cell>
          <cell r="AE1782" t="str">
            <v>Female</v>
          </cell>
          <cell r="AF1782">
            <v>53</v>
          </cell>
          <cell r="AG1782" t="str">
            <v>No</v>
          </cell>
          <cell r="AI1782" t="str">
            <v>Kalappa</v>
          </cell>
          <cell r="AJ1782" t="str">
            <v>Surgery</v>
          </cell>
          <cell r="AK1782" t="str">
            <v>Primary</v>
          </cell>
          <cell r="AL1782" t="str">
            <v>Chemo+ Radiotherapy</v>
          </cell>
          <cell r="AN1782" t="str">
            <v>NA</v>
          </cell>
          <cell r="AO1782" t="str">
            <v>NA</v>
          </cell>
          <cell r="AP1782" t="str">
            <v>NA</v>
          </cell>
          <cell r="AR1782" t="str">
            <v>Trastuzumab+Tamoxifen+Aromatase Inhibitors</v>
          </cell>
          <cell r="AS1782" t="str">
            <v>TPBC- Infiltrating ductal carcinoma</v>
          </cell>
          <cell r="AV1782">
            <v>44375</v>
          </cell>
          <cell r="AW1782">
            <v>0.60069444444444442</v>
          </cell>
          <cell r="AX1782">
            <v>0.64583333333333337</v>
          </cell>
          <cell r="AY1782">
            <v>4.5138888888888888E-2</v>
          </cell>
          <cell r="AZ1782">
            <v>6.9444444444444448E-2</v>
          </cell>
          <cell r="BA1782">
            <v>0.22083333333333333</v>
          </cell>
          <cell r="BB1782" t="str">
            <v>1.2*1.6*1.8</v>
          </cell>
          <cell r="BC1782" t="str">
            <v>1.2*1.0*1.2</v>
          </cell>
          <cell r="BD1782" t="str">
            <v>2*2*2</v>
          </cell>
          <cell r="BE1782">
            <v>15</v>
          </cell>
          <cell r="BF1782" t="str">
            <v>Vasanth</v>
          </cell>
          <cell r="BG1782" t="str">
            <v>Q</v>
          </cell>
        </row>
        <row r="1783">
          <cell r="A1783">
            <v>210082</v>
          </cell>
          <cell r="B1783">
            <v>210082</v>
          </cell>
          <cell r="C1783" t="str">
            <v>R&amp;D</v>
          </cell>
          <cell r="D1783">
            <v>44375</v>
          </cell>
          <cell r="E1783">
            <v>0.56944444444444442</v>
          </cell>
          <cell r="F1783">
            <v>44348</v>
          </cell>
          <cell r="G1783">
            <v>44375</v>
          </cell>
          <cell r="H1783">
            <v>0.62291666666666667</v>
          </cell>
          <cell r="I1783">
            <v>5.347222222222222E-2</v>
          </cell>
          <cell r="K1783" t="str">
            <v>FCB-PROTOCOL-01_v1</v>
          </cell>
          <cell r="L1783" t="str">
            <v>VYD/010</v>
          </cell>
          <cell r="M1783" t="str">
            <v>Y</v>
          </cell>
          <cell r="N1783" t="str">
            <v>No Study</v>
          </cell>
          <cell r="O1783" t="str">
            <v>1st level attrition</v>
          </cell>
          <cell r="S1783" t="str">
            <v>Q1 Rejected</v>
          </cell>
          <cell r="T1783" t="str">
            <v>Q2 Passed</v>
          </cell>
          <cell r="U1783" t="str">
            <v>Sample size was too small</v>
          </cell>
          <cell r="W1783" t="str">
            <v>Clinic'les</v>
          </cell>
          <cell r="X1783" t="str">
            <v>Clinic'les- Vydehi Hospital, Bangalore</v>
          </cell>
          <cell r="Y1783" t="str">
            <v>Vydehi Hospital, Bangalore</v>
          </cell>
          <cell r="Z1783" t="str">
            <v>Dr Amritha Prabha, Bangalore</v>
          </cell>
          <cell r="AA1783" t="str">
            <v>HNSCC</v>
          </cell>
          <cell r="AC1783" t="str">
            <v>GBS</v>
          </cell>
          <cell r="AD1783" t="str">
            <v>Left Lower GBS</v>
          </cell>
          <cell r="AE1783" t="str">
            <v>Female</v>
          </cell>
          <cell r="AF1783">
            <v>48</v>
          </cell>
          <cell r="AG1783" t="str">
            <v>No</v>
          </cell>
          <cell r="AI1783" t="str">
            <v>Sashi</v>
          </cell>
          <cell r="AJ1783" t="str">
            <v>Surgery</v>
          </cell>
          <cell r="AK1783" t="str">
            <v>Primary</v>
          </cell>
          <cell r="AS1783" t="str">
            <v>Moderately differentiated Squamous Cell Carcinoma</v>
          </cell>
        </row>
        <row r="1784">
          <cell r="A1784" t="str">
            <v>FBR1K210083</v>
          </cell>
          <cell r="B1784">
            <v>210083</v>
          </cell>
          <cell r="C1784" t="str">
            <v>R&amp;D</v>
          </cell>
          <cell r="D1784">
            <v>44375</v>
          </cell>
          <cell r="E1784">
            <v>0.84375</v>
          </cell>
          <cell r="F1784">
            <v>44348</v>
          </cell>
          <cell r="G1784">
            <v>44375</v>
          </cell>
          <cell r="H1784">
            <v>0.88749999999999996</v>
          </cell>
          <cell r="I1784">
            <v>4.3749999999999997E-2</v>
          </cell>
          <cell r="K1784" t="str">
            <v>MBT-TB-070 v1.1</v>
          </cell>
          <cell r="L1784" t="str">
            <v>CLN/PRA/01/0101</v>
          </cell>
          <cell r="M1784" t="str">
            <v>Y</v>
          </cell>
          <cell r="N1784" t="str">
            <v>DMS_v4</v>
          </cell>
          <cell r="O1784" t="str">
            <v>Internal R&amp;D</v>
          </cell>
          <cell r="S1784" t="str">
            <v>Q1 Passed</v>
          </cell>
          <cell r="V1784" t="str">
            <v>Tumor in 4/7 explants</v>
          </cell>
          <cell r="W1784" t="str">
            <v>Clinic'les</v>
          </cell>
          <cell r="X1784" t="str">
            <v>Clinic'les- Dr Prakash BV, Bangalore</v>
          </cell>
          <cell r="Y1784" t="str">
            <v>Sri Lakshmi Hospital, Bangalore</v>
          </cell>
          <cell r="Z1784" t="str">
            <v>Dr Prakash BV, Bangalore</v>
          </cell>
          <cell r="AA1784" t="str">
            <v>HNSCC</v>
          </cell>
          <cell r="AC1784" t="str">
            <v>Pharynx</v>
          </cell>
          <cell r="AD1784" t="str">
            <v>Hypopharynx</v>
          </cell>
          <cell r="AE1784" t="str">
            <v>Female</v>
          </cell>
          <cell r="AF1784">
            <v>50</v>
          </cell>
          <cell r="AG1784" t="str">
            <v>No</v>
          </cell>
          <cell r="AI1784" t="str">
            <v>Sashi</v>
          </cell>
          <cell r="AJ1784" t="str">
            <v>Surgery</v>
          </cell>
          <cell r="AK1784" t="str">
            <v>Primary</v>
          </cell>
          <cell r="AL1784" t="str">
            <v>Chemo</v>
          </cell>
          <cell r="AQ1784" t="str">
            <v>2 cycles</v>
          </cell>
          <cell r="AR1784" t="str">
            <v>Paclitaxel + Carboplatin</v>
          </cell>
          <cell r="AV1784">
            <v>44366</v>
          </cell>
          <cell r="AW1784">
            <v>0.375</v>
          </cell>
          <cell r="AZ1784">
            <v>0.48749999999999999</v>
          </cell>
          <cell r="BA1784">
            <v>0.53125</v>
          </cell>
          <cell r="BB1784" t="str">
            <v>0.8*3.6*2.6</v>
          </cell>
          <cell r="BC1784" t="str">
            <v>0.6*2.2*1.6</v>
          </cell>
          <cell r="BD1784" t="str">
            <v>2*4*450
2*2*2</v>
          </cell>
          <cell r="BE1784">
            <v>15</v>
          </cell>
          <cell r="BF1784" t="str">
            <v>Rajshekhar/ Kowshik</v>
          </cell>
          <cell r="BG1784" t="str">
            <v>Q</v>
          </cell>
        </row>
        <row r="1785">
          <cell r="A1785" t="str">
            <v>FBB1B210084</v>
          </cell>
          <cell r="B1785">
            <v>210084</v>
          </cell>
          <cell r="C1785" t="str">
            <v>Biopharma</v>
          </cell>
          <cell r="D1785">
            <v>44378</v>
          </cell>
          <cell r="E1785">
            <v>0.48958333333333331</v>
          </cell>
          <cell r="F1785">
            <v>44378</v>
          </cell>
          <cell r="G1785">
            <v>44378</v>
          </cell>
          <cell r="H1785">
            <v>0.56180555555555556</v>
          </cell>
          <cell r="I1785">
            <v>7.2222222222222215E-2</v>
          </cell>
          <cell r="K1785" t="str">
            <v>MBT-TB-070 v2.0</v>
          </cell>
          <cell r="L1785" t="str">
            <v>BBH006</v>
          </cell>
          <cell r="M1785" t="str">
            <v>Y</v>
          </cell>
          <cell r="N1785" t="str">
            <v>BP002_SOW1_2021</v>
          </cell>
          <cell r="O1785" t="str">
            <v>Biopharma</v>
          </cell>
          <cell r="S1785" t="str">
            <v>Q1 Rejected</v>
          </cell>
          <cell r="T1785" t="str">
            <v>Q2 Passed</v>
          </cell>
          <cell r="U1785" t="str">
            <v>Blood sample was hemolyzed</v>
          </cell>
          <cell r="V1785" t="str">
            <v>Scanty tumor in 5/7 explants;High immune component</v>
          </cell>
          <cell r="W1785" t="str">
            <v>Independent</v>
          </cell>
          <cell r="X1785" t="str">
            <v>Bangalore Baptist Hospital, Hebbal</v>
          </cell>
          <cell r="Y1785" t="str">
            <v>Bangalore Baptist Hospital, Hebbal</v>
          </cell>
          <cell r="Z1785" t="str">
            <v>Dr Manjula BV, Bangalore</v>
          </cell>
          <cell r="AA1785" t="str">
            <v>HNSCC</v>
          </cell>
          <cell r="AC1785" t="str">
            <v>Buccal Mucosa, RMT</v>
          </cell>
          <cell r="AD1785" t="str">
            <v>Right Buccal Mucosa, Right RMT</v>
          </cell>
          <cell r="AE1785" t="str">
            <v>Male</v>
          </cell>
          <cell r="AF1785">
            <v>40</v>
          </cell>
          <cell r="AG1785" t="str">
            <v>No</v>
          </cell>
          <cell r="AI1785" t="str">
            <v>Partha</v>
          </cell>
          <cell r="AJ1785" t="str">
            <v>Surgery</v>
          </cell>
          <cell r="AK1785" t="str">
            <v>Primary</v>
          </cell>
          <cell r="AL1785" t="str">
            <v>Chemo</v>
          </cell>
          <cell r="AQ1785" t="str">
            <v>2 cycles</v>
          </cell>
          <cell r="AR1785" t="str">
            <v>TPF</v>
          </cell>
          <cell r="AV1785">
            <v>44378</v>
          </cell>
          <cell r="AW1785">
            <v>0.58680555555555558</v>
          </cell>
          <cell r="AX1785">
            <v>0.76388888888888884</v>
          </cell>
          <cell r="AY1785">
            <v>0.17708333333333334</v>
          </cell>
          <cell r="AZ1785">
            <v>2.5000000000000001E-2</v>
          </cell>
          <cell r="BA1785">
            <v>9.7222222222222224E-2</v>
          </cell>
          <cell r="BB1785" t="str">
            <v>0.6*1.0*1.6
0.4*0.8*1.2
0.8*1.4*1.6
0.4*0.6*1.4
0.2*0.4*0.8
0.2*0.6*0.6</v>
          </cell>
          <cell r="BC1785" t="str">
            <v>0.6*1.0*1.6
0.4*0.8*1.2
0.8*1.4*1.6
0.4*0.6*1.4
0.2*0.4*0.8
0.2*0.6*0.6</v>
          </cell>
          <cell r="BD1785" t="str">
            <v>2*4*450</v>
          </cell>
          <cell r="BE1785">
            <v>15</v>
          </cell>
          <cell r="BF1785" t="str">
            <v>Rajshekhar</v>
          </cell>
          <cell r="BG1785" t="str">
            <v>NQ</v>
          </cell>
        </row>
        <row r="1786">
          <cell r="A1786" t="str">
            <v>FBR1A210085</v>
          </cell>
          <cell r="B1786">
            <v>210085</v>
          </cell>
          <cell r="C1786" t="str">
            <v>R&amp;D</v>
          </cell>
          <cell r="D1786">
            <v>44378</v>
          </cell>
          <cell r="E1786">
            <v>0.57361111111111107</v>
          </cell>
          <cell r="F1786">
            <v>44378</v>
          </cell>
          <cell r="G1786">
            <v>44378</v>
          </cell>
          <cell r="H1786">
            <v>0.63194444444444442</v>
          </cell>
          <cell r="I1786">
            <v>5.8333333333333334E-2</v>
          </cell>
          <cell r="J1786">
            <v>6</v>
          </cell>
          <cell r="K1786" t="str">
            <v>FCB-PROTOCOL-01_v1</v>
          </cell>
          <cell r="L1786" t="str">
            <v>VYD/011</v>
          </cell>
          <cell r="M1786" t="str">
            <v>Y</v>
          </cell>
          <cell r="N1786" t="str">
            <v>Other Indication</v>
          </cell>
          <cell r="O1786" t="str">
            <v>Internal R&amp;D</v>
          </cell>
          <cell r="S1786" t="str">
            <v>Q1 Passed</v>
          </cell>
          <cell r="T1786" t="str">
            <v>Q2 Passed</v>
          </cell>
          <cell r="V1786" t="str">
            <v>Scanty tumor in 6/7 explants</v>
          </cell>
          <cell r="W1786" t="str">
            <v>Clinic'les</v>
          </cell>
          <cell r="X1786" t="str">
            <v>Clinic'les- Vydehi Hospital, Bangalore</v>
          </cell>
          <cell r="Y1786" t="str">
            <v>Vydehi Hospital, Bangalore</v>
          </cell>
          <cell r="Z1786" t="str">
            <v>Dr Amritha Prabha, Bangalore</v>
          </cell>
          <cell r="AA1786" t="str">
            <v>Ca Breast</v>
          </cell>
          <cell r="AC1786" t="str">
            <v>Breast</v>
          </cell>
          <cell r="AD1786" t="str">
            <v>Right Breast</v>
          </cell>
          <cell r="AE1786" t="str">
            <v>Female</v>
          </cell>
          <cell r="AF1786">
            <v>55</v>
          </cell>
          <cell r="AG1786" t="str">
            <v>No</v>
          </cell>
          <cell r="AI1786" t="str">
            <v>Kalappa</v>
          </cell>
          <cell r="AJ1786" t="str">
            <v>Surgery</v>
          </cell>
          <cell r="AK1786" t="str">
            <v>Primary</v>
          </cell>
          <cell r="AL1786" t="str">
            <v>Chemotherapy</v>
          </cell>
          <cell r="AN1786" t="str">
            <v>IIIB</v>
          </cell>
          <cell r="AO1786">
            <v>2</v>
          </cell>
          <cell r="AP1786" t="str">
            <v>pT4bN2a</v>
          </cell>
          <cell r="AQ1786" t="str">
            <v>1 cycle</v>
          </cell>
          <cell r="AR1786" t="str">
            <v>Adriamycin+Cyclophosphamide</v>
          </cell>
          <cell r="AS1786" t="str">
            <v>TNBC- Infiltrating ductal carcinoma</v>
          </cell>
          <cell r="AT1786" t="str">
            <v>Radiotherapy</v>
          </cell>
          <cell r="AV1786">
            <v>44378</v>
          </cell>
          <cell r="AW1786">
            <v>0.6875</v>
          </cell>
          <cell r="AX1786">
            <v>0.75</v>
          </cell>
          <cell r="AY1786">
            <v>6.25E-2</v>
          </cell>
          <cell r="AZ1786">
            <v>5.5555555555555552E-2</v>
          </cell>
          <cell r="BA1786">
            <v>0.11388888888888889</v>
          </cell>
          <cell r="BB1786">
            <v>1.4</v>
          </cell>
          <cell r="BC1786">
            <v>1.4</v>
          </cell>
          <cell r="BD1786" t="str">
            <v>2*2*2</v>
          </cell>
          <cell r="BE1786">
            <v>15</v>
          </cell>
          <cell r="BF1786" t="str">
            <v>Vasanth</v>
          </cell>
          <cell r="BG1786" t="str">
            <v>Q</v>
          </cell>
        </row>
        <row r="1787">
          <cell r="A1787" t="str">
            <v>FBB1B210086</v>
          </cell>
          <cell r="B1787">
            <v>210086</v>
          </cell>
          <cell r="C1787" t="str">
            <v>Biopharma</v>
          </cell>
          <cell r="D1787">
            <v>44380</v>
          </cell>
          <cell r="E1787">
            <v>0.39374999999999999</v>
          </cell>
          <cell r="F1787">
            <v>44378</v>
          </cell>
          <cell r="G1787">
            <v>44380</v>
          </cell>
          <cell r="H1787">
            <v>0.51041666666666663</v>
          </cell>
          <cell r="I1787">
            <v>0.11666666666666667</v>
          </cell>
          <cell r="K1787" t="str">
            <v>FCB-PROTOCOL-01_v1</v>
          </cell>
          <cell r="L1787" t="str">
            <v>VYD/012</v>
          </cell>
          <cell r="M1787" t="str">
            <v>Y</v>
          </cell>
          <cell r="N1787" t="str">
            <v>BP002_SOW1_2021</v>
          </cell>
          <cell r="O1787" t="str">
            <v>Biopharma</v>
          </cell>
          <cell r="S1787" t="str">
            <v>Q1 Passed</v>
          </cell>
          <cell r="T1787" t="str">
            <v>Q2 Passed</v>
          </cell>
          <cell r="V1787" t="str">
            <v xml:space="preserve">Good tumor content with immune component  </v>
          </cell>
          <cell r="W1787" t="str">
            <v>Clinic'les</v>
          </cell>
          <cell r="X1787" t="str">
            <v>Clinic'les- Vydehi Hospital, Bangalore</v>
          </cell>
          <cell r="Y1787" t="str">
            <v>Vydehi Hospital, Bangalore</v>
          </cell>
          <cell r="Z1787" t="str">
            <v>Dr Amritha Prabha, Bangalore</v>
          </cell>
          <cell r="AA1787" t="str">
            <v>HNSCC</v>
          </cell>
          <cell r="AC1787" t="str">
            <v>Buccal Mucosa</v>
          </cell>
          <cell r="AD1787" t="str">
            <v>Left Buccal Mucosa</v>
          </cell>
          <cell r="AE1787" t="str">
            <v>Male</v>
          </cell>
          <cell r="AF1787">
            <v>60</v>
          </cell>
          <cell r="AG1787" t="str">
            <v>No</v>
          </cell>
          <cell r="AI1787" t="str">
            <v>Sashi</v>
          </cell>
          <cell r="AJ1787" t="str">
            <v>Surgery</v>
          </cell>
          <cell r="AK1787" t="str">
            <v>Primary</v>
          </cell>
          <cell r="AN1787" t="str">
            <v>I</v>
          </cell>
          <cell r="AO1787">
            <v>2</v>
          </cell>
          <cell r="AP1787" t="str">
            <v>pT2N0</v>
          </cell>
          <cell r="AS1787" t="str">
            <v>Squamous Cell Carcinoma</v>
          </cell>
          <cell r="AV1787">
            <v>44380</v>
          </cell>
          <cell r="AW1787">
            <v>0.52777777777777779</v>
          </cell>
          <cell r="AX1787">
            <v>0.63888888888888884</v>
          </cell>
          <cell r="AY1787">
            <v>0.1111111111111111</v>
          </cell>
          <cell r="AZ1787">
            <v>1.7361111111111112E-2</v>
          </cell>
          <cell r="BA1787">
            <v>0.13402777777777777</v>
          </cell>
          <cell r="BB1787" t="str">
            <v>1.0*1.8*2.0</v>
          </cell>
          <cell r="BC1787" t="str">
            <v>1.0*1.8*2.0</v>
          </cell>
          <cell r="BD1787" t="str">
            <v>2*4*450</v>
          </cell>
          <cell r="BE1787">
            <v>15</v>
          </cell>
          <cell r="BF1787" t="str">
            <v>Kowshik</v>
          </cell>
          <cell r="BG1787" t="str">
            <v>Q</v>
          </cell>
        </row>
        <row r="1788">
          <cell r="A1788" t="str">
            <v>FBR1A210087</v>
          </cell>
          <cell r="B1788">
            <v>210087</v>
          </cell>
          <cell r="C1788" t="str">
            <v>R&amp;D</v>
          </cell>
          <cell r="D1788">
            <v>44382</v>
          </cell>
          <cell r="E1788">
            <v>0.45833333333333331</v>
          </cell>
          <cell r="F1788">
            <v>44378</v>
          </cell>
          <cell r="G1788">
            <v>44382</v>
          </cell>
          <cell r="H1788">
            <v>0.51388888888888884</v>
          </cell>
          <cell r="I1788">
            <v>5.5555555555555552E-2</v>
          </cell>
          <cell r="J1788">
            <v>3</v>
          </cell>
          <cell r="K1788" t="str">
            <v>FCB-PROTOCOL-01_v1</v>
          </cell>
          <cell r="L1788" t="str">
            <v>VYD/013</v>
          </cell>
          <cell r="M1788" t="str">
            <v>Y</v>
          </cell>
          <cell r="N1788" t="str">
            <v>Other Indication</v>
          </cell>
          <cell r="O1788" t="str">
            <v>Internal R&amp;D</v>
          </cell>
          <cell r="S1788" t="str">
            <v>Q1 Passed</v>
          </cell>
          <cell r="T1788" t="str">
            <v>Q2 Passed</v>
          </cell>
          <cell r="V1788" t="str">
            <v>Good tumor content</v>
          </cell>
          <cell r="W1788" t="str">
            <v>Clinic'les</v>
          </cell>
          <cell r="X1788" t="str">
            <v>Clinic'les- Vydehi Hospital, Bangalore</v>
          </cell>
          <cell r="Y1788" t="str">
            <v>Vydehi Hospital, Bangalore</v>
          </cell>
          <cell r="Z1788" t="str">
            <v>Dr Amritha Prabha, Bangalore</v>
          </cell>
          <cell r="AA1788" t="str">
            <v>Ca Breast</v>
          </cell>
          <cell r="AC1788" t="str">
            <v>Breast</v>
          </cell>
          <cell r="AD1788" t="str">
            <v>Left Breast</v>
          </cell>
          <cell r="AE1788" t="str">
            <v>Female</v>
          </cell>
          <cell r="AF1788">
            <v>44</v>
          </cell>
          <cell r="AG1788" t="str">
            <v>No</v>
          </cell>
          <cell r="AI1788" t="str">
            <v>Kalappa</v>
          </cell>
          <cell r="AJ1788" t="str">
            <v>Surgery</v>
          </cell>
          <cell r="AK1788" t="str">
            <v>Primary</v>
          </cell>
          <cell r="AL1788" t="str">
            <v>Chemotherapy</v>
          </cell>
          <cell r="AN1788" t="str">
            <v>IIB</v>
          </cell>
          <cell r="AO1788">
            <v>2</v>
          </cell>
          <cell r="AP1788" t="str">
            <v>pT2N1a</v>
          </cell>
          <cell r="AQ1788" t="str">
            <v>4+4 cycles</v>
          </cell>
          <cell r="AR1788" t="str">
            <v>AC+Paclitaxel</v>
          </cell>
          <cell r="AS1788" t="str">
            <v>TNBC- Infiltrating ductal carcinoma</v>
          </cell>
          <cell r="AT1788" t="str">
            <v>Radiotherapy</v>
          </cell>
          <cell r="AV1788">
            <v>44382</v>
          </cell>
          <cell r="AW1788">
            <v>0.54513888888888884</v>
          </cell>
          <cell r="AX1788">
            <v>0.58333333333333337</v>
          </cell>
          <cell r="AY1788">
            <v>3.8194444444444448E-2</v>
          </cell>
          <cell r="AZ1788">
            <v>3.125E-2</v>
          </cell>
          <cell r="BA1788">
            <v>8.6805555555555552E-2</v>
          </cell>
          <cell r="BB1788" t="str">
            <v>0.8*2.0*2.4
0.75*2.2*2.6</v>
          </cell>
          <cell r="BC1788" t="str">
            <v>0.2*0.6*0.6
0.6*1.4*1.2
0.25*0.8*1.0
0.2*0.8*0.8
0.25*0.6*0.8
0.2*0.4*0.8</v>
          </cell>
          <cell r="BD1788" t="str">
            <v>2*4*450</v>
          </cell>
          <cell r="BE1788">
            <v>15</v>
          </cell>
          <cell r="BF1788" t="str">
            <v>Vasanth</v>
          </cell>
          <cell r="BG1788" t="str">
            <v>Q</v>
          </cell>
        </row>
        <row r="1789">
          <cell r="A1789" t="str">
            <v>FBR1A210088</v>
          </cell>
          <cell r="B1789">
            <v>210088</v>
          </cell>
          <cell r="C1789" t="str">
            <v>R&amp;D</v>
          </cell>
          <cell r="D1789">
            <v>44382</v>
          </cell>
          <cell r="E1789">
            <v>0.80694444444444446</v>
          </cell>
          <cell r="F1789">
            <v>44378</v>
          </cell>
          <cell r="G1789">
            <v>44382</v>
          </cell>
          <cell r="H1789">
            <v>0.89097222222222228</v>
          </cell>
          <cell r="I1789">
            <v>8.4027777777777785E-2</v>
          </cell>
          <cell r="K1789" t="str">
            <v>MBT-TB-070 v1.1</v>
          </cell>
          <cell r="L1789" t="str">
            <v>CLN/PRA/01/0102</v>
          </cell>
          <cell r="M1789" t="str">
            <v>Y</v>
          </cell>
          <cell r="N1789" t="str">
            <v>Other Indication</v>
          </cell>
          <cell r="O1789" t="str">
            <v>Internal R&amp;D</v>
          </cell>
          <cell r="S1789" t="str">
            <v>Q1 Passed</v>
          </cell>
          <cell r="T1789" t="str">
            <v>Q2 Passed</v>
          </cell>
          <cell r="V1789" t="str">
            <v>Tumor in 6/13explants- SCC morphology</v>
          </cell>
          <cell r="W1789" t="str">
            <v>Clinic'les</v>
          </cell>
          <cell r="X1789" t="str">
            <v>Clinic'les- Dr Prakash BV, Bangalore</v>
          </cell>
          <cell r="Y1789" t="str">
            <v>Sri Lakshmi Hospital, Bangalore</v>
          </cell>
          <cell r="Z1789" t="str">
            <v>Dr Prakash BV, Bangalore</v>
          </cell>
          <cell r="AA1789" t="str">
            <v>GI</v>
          </cell>
          <cell r="AB1789" t="str">
            <v>Esophagus</v>
          </cell>
          <cell r="AC1789" t="str">
            <v>Esophagus</v>
          </cell>
          <cell r="AD1789" t="str">
            <v>Pharynx- Esophagus</v>
          </cell>
          <cell r="AE1789" t="str">
            <v>Female</v>
          </cell>
          <cell r="AF1789">
            <v>60</v>
          </cell>
          <cell r="AG1789" t="str">
            <v>No</v>
          </cell>
          <cell r="AI1789" t="str">
            <v>Kalappa</v>
          </cell>
          <cell r="AJ1789" t="str">
            <v>Surgery</v>
          </cell>
          <cell r="AK1789" t="str">
            <v>Primary</v>
          </cell>
          <cell r="AN1789" t="str">
            <v>III</v>
          </cell>
          <cell r="AO1789" t="str">
            <v>II</v>
          </cell>
          <cell r="AP1789" t="str">
            <v>pT2N2M0</v>
          </cell>
          <cell r="AS1789" t="str">
            <v>Squamous Cell Carcinoma</v>
          </cell>
          <cell r="AV1789">
            <v>44383</v>
          </cell>
          <cell r="AW1789">
            <v>0.40972222222222221</v>
          </cell>
          <cell r="AX1789">
            <v>0.46527777777777779</v>
          </cell>
          <cell r="AY1789">
            <v>5.5555555555555552E-2</v>
          </cell>
          <cell r="AZ1789" t="str">
            <v>###############################################################################################################################################################################################################################################################</v>
          </cell>
          <cell r="BA1789" t="e">
            <v>#VALUE!</v>
          </cell>
          <cell r="BB1789" t="str">
            <v>1.2*1.2*3.2</v>
          </cell>
          <cell r="BC1789" t="str">
            <v>1.2*1.2*3.2</v>
          </cell>
          <cell r="BD1789" t="str">
            <v>2*4*450</v>
          </cell>
          <cell r="BE1789">
            <v>15</v>
          </cell>
          <cell r="BF1789" t="str">
            <v>Gowri</v>
          </cell>
          <cell r="BG1789" t="str">
            <v>Q</v>
          </cell>
        </row>
        <row r="1790">
          <cell r="A1790" t="str">
            <v>FBR1K210089</v>
          </cell>
          <cell r="B1790">
            <v>210089</v>
          </cell>
          <cell r="C1790" t="str">
            <v>R&amp;D</v>
          </cell>
          <cell r="D1790">
            <v>44382</v>
          </cell>
          <cell r="E1790">
            <v>0.84513888888888888</v>
          </cell>
          <cell r="F1790">
            <v>44378</v>
          </cell>
          <cell r="G1790">
            <v>44382</v>
          </cell>
          <cell r="H1790">
            <v>0.89097222222222228</v>
          </cell>
          <cell r="I1790">
            <v>4.583333333333333E-2</v>
          </cell>
          <cell r="K1790" t="str">
            <v>MBT-TB-070 v1.1</v>
          </cell>
          <cell r="L1790" t="str">
            <v>CLN/PRA/01/0103</v>
          </cell>
          <cell r="M1790" t="str">
            <v>Y</v>
          </cell>
          <cell r="N1790" t="str">
            <v>DMS_v4</v>
          </cell>
          <cell r="O1790" t="str">
            <v>Internal R&amp;D</v>
          </cell>
          <cell r="S1790" t="str">
            <v>Q1 Passed</v>
          </cell>
          <cell r="T1790" t="str">
            <v>Q2 Passed</v>
          </cell>
          <cell r="W1790" t="str">
            <v>Clinic'les</v>
          </cell>
          <cell r="X1790" t="str">
            <v>Clinic'les- Dr Prakash BV, Bangalore</v>
          </cell>
          <cell r="Y1790" t="str">
            <v>Sri Lakshmi Hospital, Bangalore</v>
          </cell>
          <cell r="Z1790" t="str">
            <v>Dr Prakash BV, Bangalore</v>
          </cell>
          <cell r="AA1790" t="str">
            <v>HNSCC</v>
          </cell>
          <cell r="AC1790" t="str">
            <v>Tongue</v>
          </cell>
          <cell r="AD1790" t="str">
            <v>Left Lateral Tongue</v>
          </cell>
          <cell r="AE1790" t="str">
            <v>Female</v>
          </cell>
          <cell r="AF1790">
            <v>50</v>
          </cell>
          <cell r="AG1790" t="str">
            <v>No</v>
          </cell>
          <cell r="AI1790" t="str">
            <v>Kalappa</v>
          </cell>
          <cell r="AJ1790" t="str">
            <v>Surgery</v>
          </cell>
          <cell r="AK1790" t="str">
            <v>Primary</v>
          </cell>
          <cell r="AN1790" t="str">
            <v>II</v>
          </cell>
          <cell r="AO1790" t="str">
            <v>II</v>
          </cell>
          <cell r="AP1790" t="str">
            <v>pT2N0M0</v>
          </cell>
          <cell r="AS1790" t="str">
            <v>Squamous Cell Carcinoma</v>
          </cell>
          <cell r="AV1790">
            <v>44383</v>
          </cell>
          <cell r="AW1790">
            <v>0.375</v>
          </cell>
          <cell r="AX1790">
            <v>0.5</v>
          </cell>
          <cell r="AY1790">
            <v>0.125</v>
          </cell>
          <cell r="AZ1790">
            <v>0.48402777777777778</v>
          </cell>
          <cell r="BA1790">
            <v>0.52986111111111112</v>
          </cell>
          <cell r="BB1790" t="str">
            <v>1.2*1.2*2.6</v>
          </cell>
          <cell r="BC1790" t="str">
            <v>1.2*1.2*2.6</v>
          </cell>
          <cell r="BD1790" t="str">
            <v>2*4*450</v>
          </cell>
          <cell r="BE1790">
            <v>15</v>
          </cell>
          <cell r="BF1790" t="str">
            <v>Kowshik</v>
          </cell>
          <cell r="BG1790" t="str">
            <v>Q</v>
          </cell>
        </row>
        <row r="1791">
          <cell r="A1791" t="str">
            <v>FBR1A210090</v>
          </cell>
          <cell r="B1791">
            <v>210090</v>
          </cell>
          <cell r="C1791" t="str">
            <v>R&amp;D</v>
          </cell>
          <cell r="D1791">
            <v>44383</v>
          </cell>
          <cell r="E1791">
            <v>0.45902777777777776</v>
          </cell>
          <cell r="F1791">
            <v>44378</v>
          </cell>
          <cell r="G1791">
            <v>44383</v>
          </cell>
          <cell r="H1791">
            <v>0.53333333333333333</v>
          </cell>
          <cell r="I1791">
            <v>7.4305555555555555E-2</v>
          </cell>
          <cell r="J1791">
            <v>4</v>
          </cell>
          <cell r="K1791" t="str">
            <v>FCB-PROTOCOL-01_v1</v>
          </cell>
          <cell r="L1791" t="str">
            <v>VYD/014</v>
          </cell>
          <cell r="M1791" t="str">
            <v>Y</v>
          </cell>
          <cell r="N1791" t="str">
            <v>Other Indication</v>
          </cell>
          <cell r="O1791" t="str">
            <v>Internal R&amp;D</v>
          </cell>
          <cell r="S1791" t="str">
            <v>Q1 Passed</v>
          </cell>
          <cell r="T1791" t="str">
            <v>Q2 Passed</v>
          </cell>
          <cell r="V1791" t="str">
            <v>Good tumor content</v>
          </cell>
          <cell r="W1791" t="str">
            <v>Clinic'les</v>
          </cell>
          <cell r="X1791" t="str">
            <v>Clinic'les- Vydehi Hospital, Bangalore</v>
          </cell>
          <cell r="Y1791" t="str">
            <v>Vydehi Hospital, Bangalore</v>
          </cell>
          <cell r="Z1791" t="str">
            <v>Dr Amritha Prabha, Bangalore</v>
          </cell>
          <cell r="AA1791" t="str">
            <v>Ca Breast</v>
          </cell>
          <cell r="AC1791" t="str">
            <v>Breast</v>
          </cell>
          <cell r="AD1791" t="str">
            <v>Left Breast</v>
          </cell>
          <cell r="AE1791" t="str">
            <v>Female</v>
          </cell>
          <cell r="AF1791">
            <v>53</v>
          </cell>
          <cell r="AG1791" t="str">
            <v>No</v>
          </cell>
          <cell r="AI1791" t="str">
            <v>Kalappa</v>
          </cell>
          <cell r="AJ1791" t="str">
            <v>Surgery</v>
          </cell>
          <cell r="AK1791" t="str">
            <v>Primary</v>
          </cell>
          <cell r="AN1791" t="str">
            <v>IIIA</v>
          </cell>
          <cell r="AO1791">
            <v>1</v>
          </cell>
          <cell r="AP1791" t="str">
            <v>pT2N2a</v>
          </cell>
          <cell r="AS1791" t="str">
            <v>ER+, PR+, HER2-, Invasive Ductal Carcinoma</v>
          </cell>
          <cell r="AV1791">
            <v>44383</v>
          </cell>
          <cell r="AW1791">
            <v>0.55347222222222225</v>
          </cell>
          <cell r="AX1791">
            <v>0.60416666666666663</v>
          </cell>
          <cell r="AY1791">
            <v>5.0694444444444445E-2</v>
          </cell>
          <cell r="AZ1791">
            <v>2.013888888888889E-2</v>
          </cell>
          <cell r="BA1791">
            <v>9.4444444444444442E-2</v>
          </cell>
          <cell r="BB1791" t="str">
            <v>1.2*2.4*2.6</v>
          </cell>
          <cell r="BC1791" t="str">
            <v>1.2*2.4*2.6</v>
          </cell>
          <cell r="BD1791" t="str">
            <v>2*2*2</v>
          </cell>
          <cell r="BE1791">
            <v>15</v>
          </cell>
          <cell r="BF1791" t="str">
            <v>Vasanth</v>
          </cell>
          <cell r="BG1791" t="str">
            <v>Q</v>
          </cell>
        </row>
        <row r="1792">
          <cell r="A1792" t="str">
            <v>FBB1B210091</v>
          </cell>
          <cell r="B1792">
            <v>210091</v>
          </cell>
          <cell r="C1792" t="str">
            <v>Biopharma</v>
          </cell>
          <cell r="D1792">
            <v>44384</v>
          </cell>
          <cell r="E1792">
            <v>0.46180555555555558</v>
          </cell>
          <cell r="F1792">
            <v>44378</v>
          </cell>
          <cell r="G1792">
            <v>44384</v>
          </cell>
          <cell r="H1792">
            <v>0.53263888888888888</v>
          </cell>
          <cell r="I1792">
            <v>7.0833333333333331E-2</v>
          </cell>
          <cell r="K1792" t="str">
            <v>FCB-PROTOCOL-01_v1</v>
          </cell>
          <cell r="L1792" t="str">
            <v>VYD/015</v>
          </cell>
          <cell r="M1792" t="str">
            <v>Y</v>
          </cell>
          <cell r="N1792" t="str">
            <v>BP002_SOW1_2021</v>
          </cell>
          <cell r="O1792" t="str">
            <v>Biopharma</v>
          </cell>
          <cell r="S1792" t="str">
            <v>Q1 Passed</v>
          </cell>
          <cell r="T1792" t="str">
            <v>Q2 Passed</v>
          </cell>
          <cell r="V1792" t="str">
            <v>Good tumor content</v>
          </cell>
          <cell r="W1792" t="str">
            <v>Clinic'les</v>
          </cell>
          <cell r="X1792" t="str">
            <v>Clinic'les- Vydehi Hospital, Bangalore</v>
          </cell>
          <cell r="Y1792" t="str">
            <v>Vydehi Hospital, Bangalore</v>
          </cell>
          <cell r="Z1792" t="str">
            <v>Dr Amritha Prabha, Bangalore</v>
          </cell>
          <cell r="AA1792" t="str">
            <v>HNSCC</v>
          </cell>
          <cell r="AC1792" t="str">
            <v>Tongue</v>
          </cell>
          <cell r="AD1792" t="str">
            <v>Left Lateral Border of Tongue</v>
          </cell>
          <cell r="AE1792" t="str">
            <v>Male</v>
          </cell>
          <cell r="AF1792">
            <v>49</v>
          </cell>
          <cell r="AG1792" t="str">
            <v>No</v>
          </cell>
          <cell r="AI1792" t="str">
            <v>Kalappa</v>
          </cell>
          <cell r="AJ1792" t="str">
            <v>Surgery</v>
          </cell>
          <cell r="AK1792" t="str">
            <v>Primary</v>
          </cell>
          <cell r="AN1792" t="str">
            <v>IVB</v>
          </cell>
          <cell r="AO1792">
            <v>2</v>
          </cell>
          <cell r="AP1792" t="str">
            <v>pT3N3b</v>
          </cell>
          <cell r="AS1792" t="str">
            <v>Squamous Cell Carcinoma</v>
          </cell>
          <cell r="AT1792" t="str">
            <v>Chemo+Radiotherapy</v>
          </cell>
          <cell r="AV1792">
            <v>44384</v>
          </cell>
          <cell r="AW1792">
            <v>0.57291666666666663</v>
          </cell>
          <cell r="AX1792">
            <v>0.68055555555555558</v>
          </cell>
          <cell r="AY1792">
            <v>0.1076388888888889</v>
          </cell>
          <cell r="AZ1792">
            <v>4.027777777777778E-2</v>
          </cell>
          <cell r="BA1792">
            <v>0.1111111111111111</v>
          </cell>
          <cell r="BB1792" t="str">
            <v>0.6*1.2*1.4
0.6*1.2*1.2</v>
          </cell>
          <cell r="BC1792" t="str">
            <v>0.6*1.2*1.4
0.6*1.2*1.2</v>
          </cell>
          <cell r="BD1792" t="str">
            <v>2*4*450</v>
          </cell>
          <cell r="BE1792">
            <v>15</v>
          </cell>
          <cell r="BF1792" t="str">
            <v>Gowrishankar</v>
          </cell>
          <cell r="BG1792" t="str">
            <v>NQ</v>
          </cell>
        </row>
        <row r="1793">
          <cell r="A1793" t="str">
            <v>FBR1K210091</v>
          </cell>
          <cell r="B1793">
            <v>210091</v>
          </cell>
          <cell r="C1793" t="str">
            <v>R&amp;D</v>
          </cell>
          <cell r="D1793">
            <v>44384</v>
          </cell>
          <cell r="E1793">
            <v>0.46180555555555558</v>
          </cell>
          <cell r="F1793">
            <v>44378</v>
          </cell>
          <cell r="G1793">
            <v>44384</v>
          </cell>
          <cell r="H1793">
            <v>0.53263888888888888</v>
          </cell>
          <cell r="I1793">
            <v>7.0833333333333331E-2</v>
          </cell>
          <cell r="K1793" t="str">
            <v>FCB-PROTOCOL-01_v1</v>
          </cell>
          <cell r="L1793" t="str">
            <v>VYD/015</v>
          </cell>
          <cell r="M1793" t="str">
            <v>Y</v>
          </cell>
          <cell r="N1793" t="str">
            <v>DMS_v4</v>
          </cell>
          <cell r="O1793" t="str">
            <v>Internal R&amp;D</v>
          </cell>
          <cell r="S1793" t="str">
            <v>Q1 Passed</v>
          </cell>
          <cell r="T1793" t="str">
            <v>Q2 Rejected</v>
          </cell>
          <cell r="W1793" t="str">
            <v>Clinic'les</v>
          </cell>
          <cell r="X1793" t="str">
            <v>Clinic'les- Vydehi Hospital, Bangalore</v>
          </cell>
          <cell r="Y1793" t="str">
            <v>Vydehi Hospital, Bangalore</v>
          </cell>
          <cell r="Z1793" t="str">
            <v>Dr Amritha Prabha, Bangalore</v>
          </cell>
          <cell r="AA1793" t="str">
            <v>HNSCC</v>
          </cell>
          <cell r="AC1793" t="str">
            <v>Tongue</v>
          </cell>
          <cell r="AD1793" t="str">
            <v>Left Lateral Border of Tongue</v>
          </cell>
          <cell r="AE1793" t="str">
            <v>Male</v>
          </cell>
          <cell r="AF1793">
            <v>49</v>
          </cell>
          <cell r="AG1793" t="str">
            <v>No</v>
          </cell>
          <cell r="AI1793" t="str">
            <v>Kalappa</v>
          </cell>
          <cell r="AJ1793" t="str">
            <v>Surgery</v>
          </cell>
          <cell r="AK1793" t="str">
            <v>Primary</v>
          </cell>
          <cell r="AN1793" t="str">
            <v>IVB</v>
          </cell>
          <cell r="AO1793">
            <v>2</v>
          </cell>
          <cell r="AP1793" t="str">
            <v>pT3N3b</v>
          </cell>
          <cell r="AS1793" t="str">
            <v>Squamous Cell Carcinoma</v>
          </cell>
          <cell r="AT1793" t="str">
            <v>Chemo+Radiotherapy</v>
          </cell>
          <cell r="AV1793">
            <v>44384</v>
          </cell>
          <cell r="AW1793">
            <v>0.57291666666666663</v>
          </cell>
          <cell r="AX1793">
            <v>0.68055555555555558</v>
          </cell>
          <cell r="AY1793">
            <v>0.1076388888888889</v>
          </cell>
          <cell r="AZ1793">
            <v>4.027777777777778E-2</v>
          </cell>
          <cell r="BA1793">
            <v>0.1111111111111111</v>
          </cell>
          <cell r="BB1793" t="str">
            <v>0.6*1.2*1.4
0.6*1.2*1.2</v>
          </cell>
          <cell r="BC1793" t="str">
            <v>0.6*1.2*1.4
0.6*1.2*1.2</v>
          </cell>
          <cell r="BD1793" t="str">
            <v>2*4*450</v>
          </cell>
          <cell r="BE1793">
            <v>15</v>
          </cell>
          <cell r="BF1793" t="str">
            <v>Gowrishankar</v>
          </cell>
          <cell r="BG1793" t="str">
            <v>NQ</v>
          </cell>
        </row>
        <row r="1794">
          <cell r="A1794" t="str">
            <v>FBR1A210092</v>
          </cell>
          <cell r="B1794">
            <v>210092</v>
          </cell>
          <cell r="C1794" t="str">
            <v>R&amp;D</v>
          </cell>
          <cell r="D1794">
            <v>44385</v>
          </cell>
          <cell r="E1794">
            <v>0.72569444444444442</v>
          </cell>
          <cell r="F1794">
            <v>44378</v>
          </cell>
          <cell r="G1794">
            <v>44385</v>
          </cell>
          <cell r="H1794">
            <v>0.76666666666666672</v>
          </cell>
          <cell r="I1794">
            <v>4.0972222222222222E-2</v>
          </cell>
          <cell r="J1794">
            <v>5</v>
          </cell>
          <cell r="K1794" t="str">
            <v>MBT-TB-070 v1.1</v>
          </cell>
          <cell r="L1794" t="str">
            <v>CLN/PRA/01/0104</v>
          </cell>
          <cell r="M1794" t="str">
            <v>Y</v>
          </cell>
          <cell r="N1794" t="str">
            <v>Other Indication</v>
          </cell>
          <cell r="O1794" t="str">
            <v>Internal R&amp;D</v>
          </cell>
          <cell r="S1794" t="str">
            <v>Q1 Passed</v>
          </cell>
          <cell r="T1794" t="str">
            <v>Q2 Passed</v>
          </cell>
          <cell r="V1794" t="str">
            <v>Normal to metaplastic glands-No frank tumor</v>
          </cell>
          <cell r="W1794" t="str">
            <v>Clinic'les</v>
          </cell>
          <cell r="X1794" t="str">
            <v>Clinic'les- Dr Prakash BV, Bangalore</v>
          </cell>
          <cell r="Y1794" t="str">
            <v>Sri Lakshmi Hospital, Bangalore</v>
          </cell>
          <cell r="Z1794" t="str">
            <v>Dr Prakash BV, Bangalore</v>
          </cell>
          <cell r="AA1794" t="str">
            <v>GI</v>
          </cell>
          <cell r="AB1794" t="str">
            <v>Stomach</v>
          </cell>
          <cell r="AC1794" t="str">
            <v>Stomach</v>
          </cell>
          <cell r="AD1794" t="str">
            <v>Stomach</v>
          </cell>
          <cell r="AE1794" t="str">
            <v>Male</v>
          </cell>
          <cell r="AF1794">
            <v>40</v>
          </cell>
          <cell r="AG1794" t="str">
            <v>No</v>
          </cell>
          <cell r="AI1794" t="str">
            <v>Kalappa</v>
          </cell>
          <cell r="AJ1794" t="str">
            <v>Surgery</v>
          </cell>
          <cell r="AK1794" t="str">
            <v>Primary</v>
          </cell>
          <cell r="AN1794" t="str">
            <v>III</v>
          </cell>
          <cell r="AO1794" t="str">
            <v>III</v>
          </cell>
          <cell r="AP1794" t="str">
            <v>pT2N1M0</v>
          </cell>
          <cell r="AQ1794" t="str">
            <v>5 cycles</v>
          </cell>
          <cell r="AR1794" t="str">
            <v>Capecitabine</v>
          </cell>
          <cell r="AS1794" t="str">
            <v>Adenocarcinoma</v>
          </cell>
          <cell r="AV1794">
            <v>44385</v>
          </cell>
          <cell r="AW1794">
            <v>0.80069444444444449</v>
          </cell>
          <cell r="AX1794">
            <v>4.8611111111111112E-3</v>
          </cell>
          <cell r="AY1794">
            <v>0.20416666666666666</v>
          </cell>
          <cell r="AZ1794">
            <v>3.4027777777777775E-2</v>
          </cell>
          <cell r="BA1794">
            <v>7.4999999999999997E-2</v>
          </cell>
          <cell r="BB1794" t="str">
            <v>1.4*2.6*3.0</v>
          </cell>
          <cell r="BC1794" t="str">
            <v>1.0*1.4*2.4</v>
          </cell>
          <cell r="BD1794" t="str">
            <v>2*2*2</v>
          </cell>
          <cell r="BE1794">
            <v>15</v>
          </cell>
          <cell r="BF1794" t="str">
            <v>Gowrishankar</v>
          </cell>
          <cell r="BG1794" t="str">
            <v>Q</v>
          </cell>
        </row>
        <row r="1795">
          <cell r="A1795" t="str">
            <v>FBR1K210093</v>
          </cell>
          <cell r="B1795">
            <v>210093</v>
          </cell>
          <cell r="C1795" t="str">
            <v>R&amp;D</v>
          </cell>
          <cell r="D1795">
            <v>44386</v>
          </cell>
          <cell r="E1795">
            <v>0.39791666666666664</v>
          </cell>
          <cell r="F1795">
            <v>44378</v>
          </cell>
          <cell r="G1795">
            <v>44386</v>
          </cell>
          <cell r="H1795">
            <v>0.44305555555555554</v>
          </cell>
          <cell r="I1795">
            <v>4.5138888888888888E-2</v>
          </cell>
          <cell r="J1795">
            <v>3</v>
          </cell>
          <cell r="K1795" t="str">
            <v>MBT-TB-070 v1.1</v>
          </cell>
          <cell r="L1795" t="str">
            <v>CLN/PRA/01/0105</v>
          </cell>
          <cell r="M1795" t="str">
            <v>Y</v>
          </cell>
          <cell r="N1795" t="str">
            <v>DMS_v4</v>
          </cell>
          <cell r="O1795" t="str">
            <v>Internal R&amp;D</v>
          </cell>
          <cell r="S1795" t="str">
            <v>Q1 Passed</v>
          </cell>
          <cell r="T1795" t="str">
            <v>Q2 Passed</v>
          </cell>
          <cell r="V1795" t="str">
            <v>Good tumor content and immune component</v>
          </cell>
          <cell r="W1795" t="str">
            <v>Clinic'les</v>
          </cell>
          <cell r="X1795" t="str">
            <v>Clinic'les- Dr Prakash BV, Bangalore</v>
          </cell>
          <cell r="Y1795" t="str">
            <v>Sri Lakshmi Hospital, Bangalore</v>
          </cell>
          <cell r="Z1795" t="str">
            <v>Dr Prakash BV, Bangalore</v>
          </cell>
          <cell r="AA1795" t="str">
            <v>HNSCC</v>
          </cell>
          <cell r="AC1795" t="str">
            <v>Supra Glottis</v>
          </cell>
          <cell r="AD1795" t="str">
            <v>Supra Glottis</v>
          </cell>
          <cell r="AE1795" t="str">
            <v>Male</v>
          </cell>
          <cell r="AF1795">
            <v>58</v>
          </cell>
          <cell r="AG1795" t="str">
            <v>No</v>
          </cell>
          <cell r="AI1795" t="str">
            <v>Kalappa</v>
          </cell>
          <cell r="AJ1795" t="str">
            <v>Surgery</v>
          </cell>
          <cell r="AK1795" t="str">
            <v>Primary</v>
          </cell>
          <cell r="AN1795" t="str">
            <v>III</v>
          </cell>
          <cell r="AO1795" t="str">
            <v>II</v>
          </cell>
          <cell r="AP1795" t="str">
            <v>pT2N1M0</v>
          </cell>
          <cell r="AS1795" t="str">
            <v>Squamous Cell Carcinoma</v>
          </cell>
          <cell r="AV1795">
            <v>44386</v>
          </cell>
          <cell r="AW1795">
            <v>0.48958333333333331</v>
          </cell>
          <cell r="AX1795">
            <v>0.5625</v>
          </cell>
          <cell r="AY1795">
            <v>7.2916666666666671E-2</v>
          </cell>
          <cell r="AZ1795">
            <v>4.6527777777777779E-2</v>
          </cell>
          <cell r="BA1795">
            <v>9.166666666666666E-2</v>
          </cell>
          <cell r="BD1795" t="str">
            <v>2*4*450</v>
          </cell>
          <cell r="BE1795">
            <v>4</v>
          </cell>
          <cell r="BF1795" t="str">
            <v>Kowshik</v>
          </cell>
          <cell r="BG1795" t="str">
            <v>Q</v>
          </cell>
        </row>
        <row r="1796">
          <cell r="A1796" t="str">
            <v>FBR1A210094</v>
          </cell>
          <cell r="B1796">
            <v>210094</v>
          </cell>
          <cell r="C1796" t="str">
            <v>R&amp;D</v>
          </cell>
          <cell r="D1796">
            <v>44387</v>
          </cell>
          <cell r="E1796">
            <v>0.49305555555555558</v>
          </cell>
          <cell r="F1796">
            <v>44378</v>
          </cell>
          <cell r="G1796">
            <v>44387</v>
          </cell>
          <cell r="H1796">
            <v>0.54027777777777775</v>
          </cell>
          <cell r="I1796">
            <v>4.7222222222222221E-2</v>
          </cell>
          <cell r="J1796">
            <v>5</v>
          </cell>
          <cell r="K1796" t="str">
            <v>MBT-TB-070 v1.1</v>
          </cell>
          <cell r="L1796" t="str">
            <v>CLN/PRA/01/0106</v>
          </cell>
          <cell r="M1796" t="str">
            <v>Y</v>
          </cell>
          <cell r="N1796" t="str">
            <v>Other Indication</v>
          </cell>
          <cell r="O1796" t="str">
            <v>Internal R&amp;D</v>
          </cell>
          <cell r="S1796" t="str">
            <v>Q1 Passed</v>
          </cell>
          <cell r="T1796" t="str">
            <v>Q2 Passed</v>
          </cell>
          <cell r="V1796" t="str">
            <v>Good tumor content</v>
          </cell>
          <cell r="W1796" t="str">
            <v>Clinic'les</v>
          </cell>
          <cell r="X1796" t="str">
            <v>Clinic'les- Dr Prakash BV, Bangalore</v>
          </cell>
          <cell r="Y1796" t="str">
            <v>Sri Lakshmi Hospital, Bangalore</v>
          </cell>
          <cell r="Z1796" t="str">
            <v>Dr Prakash BV, Bangalore</v>
          </cell>
          <cell r="AA1796" t="str">
            <v>RCC</v>
          </cell>
          <cell r="AC1796" t="str">
            <v>Kidney</v>
          </cell>
          <cell r="AD1796" t="str">
            <v>Left Kidney</v>
          </cell>
          <cell r="AE1796" t="str">
            <v>Female</v>
          </cell>
          <cell r="AF1796">
            <v>60</v>
          </cell>
          <cell r="AG1796" t="str">
            <v>No</v>
          </cell>
          <cell r="AI1796" t="str">
            <v>Partha</v>
          </cell>
          <cell r="AJ1796" t="str">
            <v>Surgery</v>
          </cell>
          <cell r="AK1796" t="str">
            <v>Primary</v>
          </cell>
          <cell r="AN1796" t="str">
            <v>II</v>
          </cell>
          <cell r="AO1796" t="str">
            <v>II</v>
          </cell>
          <cell r="AP1796" t="str">
            <v>pT2N0M0</v>
          </cell>
          <cell r="AS1796" t="str">
            <v>Clear cell carcinoma</v>
          </cell>
          <cell r="AV1796">
            <v>44387</v>
          </cell>
          <cell r="AW1796">
            <v>0.56041666666666667</v>
          </cell>
          <cell r="AX1796">
            <v>0.69444444444444442</v>
          </cell>
          <cell r="AY1796">
            <v>0.13402777777777777</v>
          </cell>
          <cell r="AZ1796">
            <v>2.013888888888889E-2</v>
          </cell>
          <cell r="BA1796">
            <v>6.7361111111111108E-2</v>
          </cell>
          <cell r="BB1796" t="str">
            <v>1.4*2.4*4.6</v>
          </cell>
          <cell r="BC1796" t="str">
            <v>1.4*2.3*4.2</v>
          </cell>
          <cell r="BD1796" t="str">
            <v>2*4*450</v>
          </cell>
          <cell r="BE1796">
            <v>4</v>
          </cell>
          <cell r="BF1796" t="str">
            <v>Kowshik</v>
          </cell>
          <cell r="BG1796" t="str">
            <v>Q</v>
          </cell>
        </row>
        <row r="1797">
          <cell r="A1797" t="str">
            <v>FBR1A210095</v>
          </cell>
          <cell r="B1797">
            <v>210095</v>
          </cell>
          <cell r="C1797" t="str">
            <v>R&amp;D</v>
          </cell>
          <cell r="D1797">
            <v>44389</v>
          </cell>
          <cell r="E1797">
            <v>0.85069444444444442</v>
          </cell>
          <cell r="F1797">
            <v>44378</v>
          </cell>
          <cell r="G1797">
            <v>44389</v>
          </cell>
          <cell r="H1797">
            <v>0.93541666666666667</v>
          </cell>
          <cell r="I1797">
            <v>8.4722222222222227E-2</v>
          </cell>
          <cell r="J1797">
            <v>5</v>
          </cell>
          <cell r="K1797" t="str">
            <v>MBT-TB-070 v1.1</v>
          </cell>
          <cell r="L1797" t="str">
            <v>CLN/PRA/01/0107</v>
          </cell>
          <cell r="M1797" t="str">
            <v>Y</v>
          </cell>
          <cell r="N1797" t="str">
            <v>Other Indication</v>
          </cell>
          <cell r="O1797" t="str">
            <v>Internal R&amp;D</v>
          </cell>
          <cell r="S1797" t="str">
            <v>Q1 Passed</v>
          </cell>
          <cell r="T1797" t="str">
            <v>Q2 Passed</v>
          </cell>
          <cell r="V1797" t="str">
            <v>Good tumor content</v>
          </cell>
          <cell r="W1797" t="str">
            <v>Clinic'les</v>
          </cell>
          <cell r="X1797" t="str">
            <v>Clinic'les- Dr Prakash BV, Bangalore</v>
          </cell>
          <cell r="Y1797" t="str">
            <v>Sri Lakshmi Hospital, Bangalore</v>
          </cell>
          <cell r="Z1797" t="str">
            <v>Dr Prakash BV, Bangalore</v>
          </cell>
          <cell r="AA1797" t="str">
            <v>GI</v>
          </cell>
          <cell r="AB1797" t="str">
            <v>Stomach</v>
          </cell>
          <cell r="AC1797" t="str">
            <v>Stomach</v>
          </cell>
          <cell r="AD1797" t="str">
            <v>Stomach</v>
          </cell>
          <cell r="AE1797" t="str">
            <v>Male</v>
          </cell>
          <cell r="AF1797">
            <v>60</v>
          </cell>
          <cell r="AG1797" t="str">
            <v>No</v>
          </cell>
          <cell r="AI1797" t="str">
            <v>Kalappa</v>
          </cell>
          <cell r="AJ1797" t="str">
            <v>Surgery</v>
          </cell>
          <cell r="AK1797" t="str">
            <v>Primary</v>
          </cell>
          <cell r="AN1797" t="str">
            <v>III</v>
          </cell>
          <cell r="AO1797" t="str">
            <v>II</v>
          </cell>
          <cell r="AP1797" t="str">
            <v>pT2N1M0</v>
          </cell>
          <cell r="AQ1797" t="str">
            <v>6 cycles</v>
          </cell>
          <cell r="AR1797" t="str">
            <v>5FU+ Cisplatin</v>
          </cell>
          <cell r="AS1797" t="str">
            <v>Moderately differentiated Adenocarcinoma</v>
          </cell>
          <cell r="AV1797">
            <v>44390</v>
          </cell>
          <cell r="AW1797">
            <v>0.35625000000000001</v>
          </cell>
          <cell r="AX1797">
            <v>0.41666666666666669</v>
          </cell>
          <cell r="AY1797">
            <v>6.0416666666666667E-2</v>
          </cell>
          <cell r="AZ1797">
            <v>0.42083333333333334</v>
          </cell>
          <cell r="BA1797">
            <v>0.50555555555555554</v>
          </cell>
          <cell r="BB1797" t="str">
            <v>1.2*1.8*2.2
1.1*1.8*2.6</v>
          </cell>
          <cell r="BC1797" t="str">
            <v>1.2*1.8*2.0
1.1*1.8*2.6</v>
          </cell>
          <cell r="BD1797" t="str">
            <v>2*2*2</v>
          </cell>
          <cell r="BE1797">
            <v>4</v>
          </cell>
          <cell r="BF1797" t="str">
            <v>Gowrishankar</v>
          </cell>
          <cell r="BG1797" t="str">
            <v>Q</v>
          </cell>
        </row>
        <row r="1798">
          <cell r="A1798" t="str">
            <v>FBR1J210096</v>
          </cell>
          <cell r="B1798">
            <v>210096</v>
          </cell>
          <cell r="C1798" t="str">
            <v>R&amp;D</v>
          </cell>
          <cell r="D1798">
            <v>44390</v>
          </cell>
          <cell r="E1798">
            <v>0.41319444444444442</v>
          </cell>
          <cell r="F1798">
            <v>44378</v>
          </cell>
          <cell r="G1798">
            <v>44390</v>
          </cell>
          <cell r="H1798">
            <v>0.48055555555555557</v>
          </cell>
          <cell r="I1798">
            <v>6.7361111111111108E-2</v>
          </cell>
          <cell r="J1798">
            <v>5</v>
          </cell>
          <cell r="K1798" t="str">
            <v>MBT-TB-070 v1.1</v>
          </cell>
          <cell r="L1798" t="str">
            <v>CLN/PRA/01/0108</v>
          </cell>
          <cell r="M1798" t="str">
            <v>Y</v>
          </cell>
          <cell r="N1798" t="str">
            <v>COS_V3</v>
          </cell>
          <cell r="O1798" t="str">
            <v>Internal R&amp;D</v>
          </cell>
          <cell r="S1798" t="str">
            <v>Q1 Passed</v>
          </cell>
          <cell r="T1798" t="str">
            <v>Q2 Passed</v>
          </cell>
          <cell r="V1798" t="str">
            <v>Good tumor content</v>
          </cell>
          <cell r="W1798" t="str">
            <v>Clinic'les</v>
          </cell>
          <cell r="X1798" t="str">
            <v>Clinic'les- Dr Prakash BV, Bangalore</v>
          </cell>
          <cell r="Y1798" t="str">
            <v>Sri Lakshmi Hospital, Bangalore</v>
          </cell>
          <cell r="Z1798" t="str">
            <v>Dr Prakash BV, Bangalore</v>
          </cell>
          <cell r="AA1798" t="str">
            <v>GI</v>
          </cell>
          <cell r="AB1798" t="str">
            <v>Stomach</v>
          </cell>
          <cell r="AC1798" t="str">
            <v>Antrum</v>
          </cell>
          <cell r="AD1798" t="str">
            <v>Antrum of Stomach</v>
          </cell>
          <cell r="AE1798" t="str">
            <v>Female</v>
          </cell>
          <cell r="AF1798">
            <v>60</v>
          </cell>
          <cell r="AG1798" t="str">
            <v>No</v>
          </cell>
          <cell r="AI1798" t="str">
            <v>Kalappa</v>
          </cell>
          <cell r="AJ1798" t="str">
            <v>Surgery</v>
          </cell>
          <cell r="AK1798" t="str">
            <v>Primary</v>
          </cell>
          <cell r="AN1798" t="str">
            <v>III</v>
          </cell>
          <cell r="AO1798" t="str">
            <v>III</v>
          </cell>
          <cell r="AP1798" t="str">
            <v>pT3N2M0</v>
          </cell>
          <cell r="AS1798" t="str">
            <v>High Grade Adenocarcinoma</v>
          </cell>
          <cell r="AV1798">
            <v>44390</v>
          </cell>
          <cell r="AW1798">
            <v>0.53194444444444444</v>
          </cell>
          <cell r="AX1798">
            <v>0.61111111111111116</v>
          </cell>
          <cell r="AY1798">
            <v>7.9166666666666663E-2</v>
          </cell>
          <cell r="AZ1798">
            <v>5.1388888888888887E-2</v>
          </cell>
          <cell r="BA1798">
            <v>0.11874999999999999</v>
          </cell>
          <cell r="BB1798" t="str">
            <v>1.4*2.6*3.6</v>
          </cell>
          <cell r="BC1798" t="str">
            <v>1.4*2.6*3.6</v>
          </cell>
          <cell r="BD1798" t="str">
            <v>2*2*2</v>
          </cell>
          <cell r="BE1798">
            <v>4</v>
          </cell>
          <cell r="BF1798" t="str">
            <v>Gowrishankar</v>
          </cell>
          <cell r="BG1798" t="str">
            <v>Q</v>
          </cell>
        </row>
        <row r="1799">
          <cell r="A1799" t="str">
            <v>FBR1K210097</v>
          </cell>
          <cell r="B1799">
            <v>210097</v>
          </cell>
          <cell r="C1799" t="str">
            <v>R&amp;D</v>
          </cell>
          <cell r="D1799">
            <v>44390</v>
          </cell>
          <cell r="E1799">
            <v>0.96736111111111112</v>
          </cell>
          <cell r="F1799">
            <v>44378</v>
          </cell>
          <cell r="G1799">
            <v>44390</v>
          </cell>
          <cell r="H1799">
            <v>0.98263888888888884</v>
          </cell>
          <cell r="I1799">
            <v>1.5277777777777777E-2</v>
          </cell>
          <cell r="J1799">
            <v>3</v>
          </cell>
          <cell r="K1799" t="str">
            <v>MBT-TB-070 v1.1</v>
          </cell>
          <cell r="L1799" t="str">
            <v>CLN/PRA/01/0109</v>
          </cell>
          <cell r="M1799" t="str">
            <v>Y</v>
          </cell>
          <cell r="N1799" t="str">
            <v>DMS_v4</v>
          </cell>
          <cell r="O1799" t="str">
            <v>Internal R&amp;D</v>
          </cell>
          <cell r="S1799" t="str">
            <v>Q1 Passed</v>
          </cell>
          <cell r="T1799" t="str">
            <v>Q2 Passed</v>
          </cell>
          <cell r="V1799" t="str">
            <v>Less than 5%tumor present in only 1 explant. Inflammatory content high</v>
          </cell>
          <cell r="W1799" t="str">
            <v>Clinic'les</v>
          </cell>
          <cell r="X1799" t="str">
            <v>Clinic'les- Dr Prakash BV, Bangalore</v>
          </cell>
          <cell r="Y1799" t="str">
            <v>Aswad Hospital, Bangalore</v>
          </cell>
          <cell r="Z1799" t="str">
            <v>Dr Prakash BV, Bangalore</v>
          </cell>
          <cell r="AA1799" t="str">
            <v>HNSCC</v>
          </cell>
          <cell r="AC1799" t="str">
            <v>Buccal Mucosa</v>
          </cell>
          <cell r="AD1799" t="str">
            <v>Left Buccal Mucosa &amp; RMT</v>
          </cell>
          <cell r="AE1799" t="str">
            <v>Female</v>
          </cell>
          <cell r="AF1799">
            <v>50</v>
          </cell>
          <cell r="AG1799" t="str">
            <v>No</v>
          </cell>
          <cell r="AI1799" t="str">
            <v>Sashi</v>
          </cell>
          <cell r="AJ1799" t="str">
            <v>Surgery</v>
          </cell>
          <cell r="AK1799" t="str">
            <v>Primary</v>
          </cell>
          <cell r="AN1799" t="str">
            <v>III</v>
          </cell>
          <cell r="AO1799" t="str">
            <v>II</v>
          </cell>
          <cell r="AP1799" t="str">
            <v>pT3N2M0</v>
          </cell>
          <cell r="AS1799" t="str">
            <v>Squamous Cell Carcinoma</v>
          </cell>
          <cell r="AV1799">
            <v>44391</v>
          </cell>
          <cell r="AW1799">
            <v>0.41666666666666669</v>
          </cell>
          <cell r="AX1799">
            <v>0.5625</v>
          </cell>
          <cell r="AY1799">
            <v>0.14583333333333334</v>
          </cell>
          <cell r="AZ1799">
            <v>0.43402777777777779</v>
          </cell>
          <cell r="BA1799">
            <v>0.44930555555555557</v>
          </cell>
          <cell r="BB1799" t="str">
            <v>0.8*2.8*2.2</v>
          </cell>
          <cell r="BC1799" t="str">
            <v>0.8*2.8*2.2</v>
          </cell>
          <cell r="BD1799" t="str">
            <v>2*4*450</v>
          </cell>
          <cell r="BE1799">
            <v>4</v>
          </cell>
          <cell r="BF1799" t="str">
            <v>Gowrishankar/ Rajshekhar</v>
          </cell>
          <cell r="BG1799" t="str">
            <v>NQ</v>
          </cell>
        </row>
        <row r="1800">
          <cell r="A1800" t="str">
            <v>FBR1J210098</v>
          </cell>
          <cell r="B1800">
            <v>210098</v>
          </cell>
          <cell r="C1800" t="str">
            <v>R&amp;D</v>
          </cell>
          <cell r="D1800">
            <v>44391</v>
          </cell>
          <cell r="E1800">
            <v>0.88680555555555551</v>
          </cell>
          <cell r="F1800">
            <v>44378</v>
          </cell>
          <cell r="G1800">
            <v>44391</v>
          </cell>
          <cell r="H1800">
            <v>0.94513888888888886</v>
          </cell>
          <cell r="I1800">
            <v>5.8333333333333334E-2</v>
          </cell>
          <cell r="J1800">
            <v>2</v>
          </cell>
          <cell r="K1800" t="str">
            <v>MBT-TB-070 v1.1</v>
          </cell>
          <cell r="L1800" t="str">
            <v>CLN/PRA/01/0110</v>
          </cell>
          <cell r="M1800" t="str">
            <v>Y</v>
          </cell>
          <cell r="N1800" t="str">
            <v>COS_V3</v>
          </cell>
          <cell r="O1800" t="str">
            <v>Internal R&amp;D</v>
          </cell>
          <cell r="S1800" t="str">
            <v>Q1 Passed</v>
          </cell>
          <cell r="V1800" t="str">
            <v>Good tumor content</v>
          </cell>
          <cell r="W1800" t="str">
            <v>Clinic'les</v>
          </cell>
          <cell r="X1800" t="str">
            <v>Clinic'les- Dr Prakash BV, Bangalore</v>
          </cell>
          <cell r="Y1800" t="str">
            <v>Sri Lakshmi Hospital, Bangalore</v>
          </cell>
          <cell r="Z1800" t="str">
            <v>Dr Prakash BV, Bangalore</v>
          </cell>
          <cell r="AA1800" t="str">
            <v>GI</v>
          </cell>
          <cell r="AB1800" t="str">
            <v>Stomach</v>
          </cell>
          <cell r="AC1800" t="str">
            <v>Stomach</v>
          </cell>
          <cell r="AD1800" t="str">
            <v>Stomach</v>
          </cell>
          <cell r="AE1800" t="str">
            <v>Female</v>
          </cell>
          <cell r="AF1800">
            <v>45</v>
          </cell>
          <cell r="AG1800" t="str">
            <v>No</v>
          </cell>
          <cell r="AI1800" t="str">
            <v>Kalappa</v>
          </cell>
          <cell r="AJ1800" t="str">
            <v>Surgery</v>
          </cell>
          <cell r="AK1800" t="str">
            <v>Primary</v>
          </cell>
          <cell r="AN1800" t="str">
            <v>III</v>
          </cell>
          <cell r="AO1800" t="str">
            <v>II</v>
          </cell>
          <cell r="AP1800" t="str">
            <v>pT3N2M0</v>
          </cell>
          <cell r="AS1800" t="str">
            <v>Adenocarcinoma</v>
          </cell>
          <cell r="AV1800">
            <v>44392</v>
          </cell>
          <cell r="AW1800">
            <v>0.37361111111111112</v>
          </cell>
          <cell r="AX1800">
            <v>0.52777777777777779</v>
          </cell>
          <cell r="AY1800">
            <v>0.15416666666666667</v>
          </cell>
          <cell r="AZ1800">
            <v>0.4284722222222222</v>
          </cell>
          <cell r="BA1800">
            <v>0.48680555555555555</v>
          </cell>
          <cell r="BB1800" t="str">
            <v>1.2*2.8*2.6</v>
          </cell>
          <cell r="BC1800" t="str">
            <v>1.2*2.8*2.6</v>
          </cell>
          <cell r="BD1800" t="str">
            <v>2*2*2</v>
          </cell>
          <cell r="BE1800">
            <v>4</v>
          </cell>
          <cell r="BF1800" t="str">
            <v>Gowrishankar</v>
          </cell>
          <cell r="BG1800" t="str">
            <v>NQ</v>
          </cell>
        </row>
        <row r="1801">
          <cell r="A1801" t="str">
            <v>FBR1A210099</v>
          </cell>
          <cell r="B1801">
            <v>210099</v>
          </cell>
          <cell r="C1801" t="str">
            <v>R&amp;D</v>
          </cell>
          <cell r="D1801">
            <v>44393</v>
          </cell>
          <cell r="E1801">
            <v>0.30555555555555558</v>
          </cell>
          <cell r="F1801">
            <v>44378</v>
          </cell>
          <cell r="G1801">
            <v>44393</v>
          </cell>
          <cell r="H1801">
            <v>0.46597222222222223</v>
          </cell>
          <cell r="I1801">
            <v>0.16041666666666668</v>
          </cell>
          <cell r="J1801">
            <v>5</v>
          </cell>
          <cell r="K1801" t="str">
            <v>FCB-PROTOCOL-01_v1</v>
          </cell>
          <cell r="L1801" t="str">
            <v>VYD/016</v>
          </cell>
          <cell r="M1801" t="str">
            <v>Y</v>
          </cell>
          <cell r="N1801" t="str">
            <v>Other Indication</v>
          </cell>
          <cell r="O1801" t="str">
            <v>Internal R&amp;D</v>
          </cell>
          <cell r="S1801" t="str">
            <v>Q1 Rejected</v>
          </cell>
          <cell r="T1801" t="str">
            <v>Q2 Passed</v>
          </cell>
          <cell r="U1801" t="str">
            <v>Blood sample was clotted</v>
          </cell>
          <cell r="V1801" t="str">
            <v>Tumor in 2/14 explants. 2-3 explants show few scattered  tumor cells.</v>
          </cell>
          <cell r="W1801" t="str">
            <v>Clinic'les</v>
          </cell>
          <cell r="X1801" t="str">
            <v>Clinic'les- Vydehi Hospital, Bangalore</v>
          </cell>
          <cell r="Y1801" t="str">
            <v>Vydehi Hospital, Bangalore</v>
          </cell>
          <cell r="Z1801" t="str">
            <v>Dr Amritha Prabha, Bangalore</v>
          </cell>
          <cell r="AA1801" t="str">
            <v>Ca Breast</v>
          </cell>
          <cell r="AC1801" t="str">
            <v>Breast</v>
          </cell>
          <cell r="AD1801" t="str">
            <v>Left Breast</v>
          </cell>
          <cell r="AE1801" t="str">
            <v>Female</v>
          </cell>
          <cell r="AF1801">
            <v>25</v>
          </cell>
          <cell r="AG1801" t="str">
            <v>No</v>
          </cell>
          <cell r="AI1801" t="str">
            <v>Kalappa</v>
          </cell>
          <cell r="AJ1801" t="str">
            <v>Surgery</v>
          </cell>
          <cell r="AK1801" t="str">
            <v>Primary</v>
          </cell>
          <cell r="AN1801" t="str">
            <v>NA</v>
          </cell>
          <cell r="AO1801" t="str">
            <v>NA</v>
          </cell>
          <cell r="AP1801" t="str">
            <v>NA</v>
          </cell>
          <cell r="AS1801" t="str">
            <v>Infiltrating Ductal Carcinoma</v>
          </cell>
          <cell r="AV1801">
            <v>44393</v>
          </cell>
          <cell r="AW1801">
            <v>0.49791666666666667</v>
          </cell>
          <cell r="AX1801">
            <v>0.53541666666666665</v>
          </cell>
          <cell r="AY1801">
            <v>3.7499999999999999E-2</v>
          </cell>
          <cell r="AZ1801">
            <v>3.1944444444444442E-2</v>
          </cell>
          <cell r="BA1801">
            <v>0.19236111111111112</v>
          </cell>
          <cell r="BB1801" t="str">
            <v>0.8*1.4*1.4</v>
          </cell>
          <cell r="BC1801" t="str">
            <v>0.8*1.4*1.4</v>
          </cell>
          <cell r="BD1801" t="str">
            <v>2*2*2</v>
          </cell>
          <cell r="BE1801">
            <v>4</v>
          </cell>
          <cell r="BF1801" t="str">
            <v>Gowrishankar</v>
          </cell>
          <cell r="BG1801" t="str">
            <v>NQ</v>
          </cell>
        </row>
        <row r="1802">
          <cell r="A1802" t="str">
            <v>FBR1K210100</v>
          </cell>
          <cell r="B1802">
            <v>210100</v>
          </cell>
          <cell r="C1802" t="str">
            <v>R&amp;D</v>
          </cell>
          <cell r="D1802">
            <v>44393</v>
          </cell>
          <cell r="E1802">
            <v>0.45277777777777778</v>
          </cell>
          <cell r="F1802">
            <v>44378</v>
          </cell>
          <cell r="G1802">
            <v>44393</v>
          </cell>
          <cell r="H1802">
            <v>0.55208333333333337</v>
          </cell>
          <cell r="I1802">
            <v>9.930555555555555E-2</v>
          </cell>
          <cell r="J1802">
            <v>5</v>
          </cell>
          <cell r="K1802" t="str">
            <v>FCB-PROTOCOL-01_v1</v>
          </cell>
          <cell r="L1802" t="str">
            <v>VYD/017</v>
          </cell>
          <cell r="M1802" t="str">
            <v>Y</v>
          </cell>
          <cell r="N1802" t="str">
            <v>DMS_v4</v>
          </cell>
          <cell r="O1802" t="str">
            <v>Internal R&amp;D</v>
          </cell>
          <cell r="S1802" t="str">
            <v>Q1 Passed</v>
          </cell>
          <cell r="T1802" t="str">
            <v>Q2 Rejected</v>
          </cell>
          <cell r="V1802" t="str">
            <v>Good tumor content with immune component,</v>
          </cell>
          <cell r="W1802" t="str">
            <v>Clinic'les</v>
          </cell>
          <cell r="X1802" t="str">
            <v>Clinic'les- Vydehi Hospital, Bangalore</v>
          </cell>
          <cell r="Y1802" t="str">
            <v>Vydehi Hospital, Bangalore</v>
          </cell>
          <cell r="Z1802" t="str">
            <v>Dr Amritha Prabha, Bangalore</v>
          </cell>
          <cell r="AA1802" t="str">
            <v>HNSCC</v>
          </cell>
          <cell r="AC1802" t="str">
            <v>Tongue</v>
          </cell>
          <cell r="AD1802" t="str">
            <v>Tongue</v>
          </cell>
          <cell r="AE1802" t="str">
            <v>Male</v>
          </cell>
          <cell r="AF1802">
            <v>52</v>
          </cell>
          <cell r="AG1802" t="str">
            <v>No</v>
          </cell>
          <cell r="AI1802" t="str">
            <v>Sashi</v>
          </cell>
          <cell r="AJ1802" t="str">
            <v>Surgery</v>
          </cell>
          <cell r="AK1802" t="str">
            <v>Primary</v>
          </cell>
          <cell r="AN1802" t="str">
            <v>II</v>
          </cell>
          <cell r="AO1802">
            <v>2</v>
          </cell>
          <cell r="AP1802" t="str">
            <v>pT2N0</v>
          </cell>
          <cell r="AS1802" t="str">
            <v>Moderately Differentiated Squamous Cell Carcinoma</v>
          </cell>
          <cell r="AV1802">
            <v>44393</v>
          </cell>
          <cell r="AW1802">
            <v>0.59027777777777779</v>
          </cell>
          <cell r="AX1802">
            <v>0.70833333333333337</v>
          </cell>
          <cell r="AY1802">
            <v>0.11805555555555555</v>
          </cell>
          <cell r="AZ1802">
            <v>3.8194444444444448E-2</v>
          </cell>
          <cell r="BA1802">
            <v>0.13750000000000001</v>
          </cell>
          <cell r="BB1802" t="str">
            <v>0.8*1.6*1.0</v>
          </cell>
          <cell r="BC1802" t="str">
            <v>0.8*1.6*1.0</v>
          </cell>
          <cell r="BD1802" t="str">
            <v>2*4*450</v>
          </cell>
          <cell r="BE1802">
            <v>4</v>
          </cell>
          <cell r="BF1802" t="str">
            <v>Gowrishankar/ Manimaran</v>
          </cell>
          <cell r="BG1802" t="str">
            <v>Q</v>
          </cell>
        </row>
        <row r="1803">
          <cell r="A1803" t="str">
            <v>FBR1A210101</v>
          </cell>
          <cell r="B1803">
            <v>210101</v>
          </cell>
          <cell r="C1803" t="str">
            <v>R&amp;D</v>
          </cell>
          <cell r="D1803">
            <v>44393</v>
          </cell>
          <cell r="E1803">
            <v>0.9</v>
          </cell>
          <cell r="F1803">
            <v>44378</v>
          </cell>
          <cell r="G1803">
            <v>44393</v>
          </cell>
          <cell r="H1803">
            <v>0.94166666666666665</v>
          </cell>
          <cell r="I1803">
            <v>4.1666666666666664E-2</v>
          </cell>
          <cell r="J1803">
            <v>6</v>
          </cell>
          <cell r="K1803" t="str">
            <v>MBT-TB-070 v1.1</v>
          </cell>
          <cell r="L1803" t="str">
            <v>CLN/PRA/01/0111</v>
          </cell>
          <cell r="M1803" t="str">
            <v>Y</v>
          </cell>
          <cell r="N1803" t="str">
            <v>Other Indication</v>
          </cell>
          <cell r="O1803" t="str">
            <v>Internal R&amp;D</v>
          </cell>
          <cell r="S1803" t="str">
            <v>Q1 Passed</v>
          </cell>
          <cell r="T1803" t="str">
            <v>Q2 Passed</v>
          </cell>
          <cell r="U1803" t="str">
            <v>Benign Tumor</v>
          </cell>
          <cell r="V1803" t="str">
            <v>High tumor content- Oncocytoma, Benign tumor</v>
          </cell>
          <cell r="W1803" t="str">
            <v>Clinic'les</v>
          </cell>
          <cell r="X1803" t="str">
            <v>Clinic'les- Dr Prakash BV, Bangalore</v>
          </cell>
          <cell r="Y1803" t="str">
            <v>Sri Lakshmi Hospital, Bangalore</v>
          </cell>
          <cell r="Z1803" t="str">
            <v>Dr Prakash BV, Bangalore</v>
          </cell>
          <cell r="AA1803" t="str">
            <v>RCC</v>
          </cell>
          <cell r="AC1803" t="str">
            <v>Kidney</v>
          </cell>
          <cell r="AD1803" t="str">
            <v>Left Kidney</v>
          </cell>
          <cell r="AE1803" t="str">
            <v>Female</v>
          </cell>
          <cell r="AF1803">
            <v>50</v>
          </cell>
          <cell r="AG1803" t="str">
            <v>No</v>
          </cell>
          <cell r="AI1803" t="str">
            <v>Sashi</v>
          </cell>
          <cell r="AJ1803" t="str">
            <v>Surgery</v>
          </cell>
          <cell r="AK1803" t="str">
            <v>Primary</v>
          </cell>
          <cell r="AN1803" t="str">
            <v>II</v>
          </cell>
          <cell r="AO1803" t="str">
            <v>I</v>
          </cell>
          <cell r="AP1803" t="str">
            <v>pT2N0M0</v>
          </cell>
          <cell r="AS1803" t="str">
            <v>Clear cell carcinoma</v>
          </cell>
          <cell r="AV1803">
            <v>44394</v>
          </cell>
          <cell r="AW1803">
            <v>0.41666666666666669</v>
          </cell>
          <cell r="AX1803">
            <v>0.59583333333333333</v>
          </cell>
          <cell r="AY1803">
            <v>0.17916666666666667</v>
          </cell>
          <cell r="AZ1803">
            <v>0.47499999999999998</v>
          </cell>
          <cell r="BA1803">
            <v>0.51666666666666672</v>
          </cell>
          <cell r="BB1803" t="str">
            <v>2.0*2.2*5.6</v>
          </cell>
          <cell r="BC1803" t="str">
            <v>2.0*2.2*5.6</v>
          </cell>
          <cell r="BD1803" t="str">
            <v>2*4*450</v>
          </cell>
          <cell r="BE1803">
            <v>4</v>
          </cell>
          <cell r="BF1803" t="str">
            <v>Gowrishankar/ Manimaran</v>
          </cell>
          <cell r="BG1803" t="str">
            <v>Q</v>
          </cell>
        </row>
        <row r="1804">
          <cell r="A1804" t="str">
            <v>FBR1K210102</v>
          </cell>
          <cell r="B1804">
            <v>210102</v>
          </cell>
          <cell r="C1804" t="str">
            <v>R&amp;D</v>
          </cell>
          <cell r="D1804">
            <v>44396</v>
          </cell>
          <cell r="E1804">
            <v>0.51597222222222228</v>
          </cell>
          <cell r="F1804">
            <v>44378</v>
          </cell>
          <cell r="G1804">
            <v>44396</v>
          </cell>
          <cell r="H1804">
            <v>0.57986111111111116</v>
          </cell>
          <cell r="I1804">
            <v>6.3888888888888884E-2</v>
          </cell>
          <cell r="J1804">
            <v>4</v>
          </cell>
          <cell r="K1804" t="str">
            <v>FCB-PROTOCOL-01_v1</v>
          </cell>
          <cell r="L1804" t="str">
            <v>VYD/018</v>
          </cell>
          <cell r="M1804" t="str">
            <v>Y</v>
          </cell>
          <cell r="N1804" t="str">
            <v>DMS_v4</v>
          </cell>
          <cell r="O1804" t="str">
            <v>Internal R&amp;D</v>
          </cell>
          <cell r="S1804" t="str">
            <v>Q1 Passed</v>
          </cell>
          <cell r="V1804" t="str">
            <v>Tumor content low upto 40%</v>
          </cell>
          <cell r="W1804" t="str">
            <v>Clinic'les</v>
          </cell>
          <cell r="X1804" t="str">
            <v>Clinic'les- Vydehi Hospital, Bangalore</v>
          </cell>
          <cell r="Y1804" t="str">
            <v>Vydehi Hospital, Bangalore</v>
          </cell>
          <cell r="Z1804" t="str">
            <v>Dr Amritha Prabha, Bangalore</v>
          </cell>
          <cell r="AA1804" t="str">
            <v>HNSCC</v>
          </cell>
          <cell r="AC1804" t="str">
            <v>Alveolus</v>
          </cell>
          <cell r="AD1804" t="str">
            <v>Left Lower Alveolus</v>
          </cell>
          <cell r="AE1804" t="str">
            <v>Female</v>
          </cell>
          <cell r="AF1804">
            <v>60</v>
          </cell>
          <cell r="AG1804" t="str">
            <v>No</v>
          </cell>
          <cell r="AI1804" t="str">
            <v>Kalappa</v>
          </cell>
          <cell r="AJ1804" t="str">
            <v>Surgery</v>
          </cell>
          <cell r="AK1804" t="str">
            <v>Primary</v>
          </cell>
          <cell r="AN1804" t="str">
            <v>II</v>
          </cell>
          <cell r="AO1804">
            <v>2</v>
          </cell>
          <cell r="AP1804" t="str">
            <v>pT2N0</v>
          </cell>
          <cell r="AS1804" t="str">
            <v>Squamous Cell Carcinoma</v>
          </cell>
          <cell r="AV1804">
            <v>44396</v>
          </cell>
          <cell r="AW1804">
            <v>0.60416666666666663</v>
          </cell>
          <cell r="AX1804">
            <v>0.72222222222222221</v>
          </cell>
          <cell r="AY1804">
            <v>0.11805555555555555</v>
          </cell>
          <cell r="AZ1804">
            <v>2.4305555555555556E-2</v>
          </cell>
          <cell r="BA1804">
            <v>8.819444444444445E-2</v>
          </cell>
          <cell r="BB1804" t="str">
            <v>0.6*1.2*2.2
0.6*1.2*1.6</v>
          </cell>
          <cell r="BC1804" t="str">
            <v>0.6*1.2*2.2
0.6*1.2*1.6</v>
          </cell>
          <cell r="BD1804" t="str">
            <v>2*4*450</v>
          </cell>
          <cell r="BE1804">
            <v>4</v>
          </cell>
          <cell r="BF1804" t="str">
            <v>Gowrishankar</v>
          </cell>
          <cell r="BG1804" t="str">
            <v>Q</v>
          </cell>
        </row>
        <row r="1805">
          <cell r="A1805" t="str">
            <v>FBR1A210103</v>
          </cell>
          <cell r="B1805">
            <v>210103</v>
          </cell>
          <cell r="C1805" t="str">
            <v>R&amp;D</v>
          </cell>
          <cell r="D1805">
            <v>44397</v>
          </cell>
          <cell r="E1805">
            <v>0.47361111111111109</v>
          </cell>
          <cell r="F1805">
            <v>44378</v>
          </cell>
          <cell r="G1805">
            <v>44397</v>
          </cell>
          <cell r="H1805">
            <v>0.58263888888888893</v>
          </cell>
          <cell r="I1805">
            <v>0.10902777777777778</v>
          </cell>
          <cell r="J1805">
            <v>10</v>
          </cell>
          <cell r="K1805" t="str">
            <v>FCB-PROTOCOL-01_v1</v>
          </cell>
          <cell r="L1805" t="str">
            <v>VYD/019</v>
          </cell>
          <cell r="M1805" t="str">
            <v>Y</v>
          </cell>
          <cell r="N1805" t="str">
            <v>Other Indication</v>
          </cell>
          <cell r="O1805" t="str">
            <v>Internal R&amp;D</v>
          </cell>
          <cell r="S1805" t="str">
            <v>Q1 Rejected</v>
          </cell>
          <cell r="T1805" t="str">
            <v>Q2 Passed</v>
          </cell>
          <cell r="U1805" t="str">
            <v>Sample size was too small</v>
          </cell>
          <cell r="V1805" t="str">
            <v>Tumor in 7/14 explants</v>
          </cell>
          <cell r="W1805" t="str">
            <v>Clinic'les</v>
          </cell>
          <cell r="X1805" t="str">
            <v>Clinic'les- Vydehi Hospital, Bangalore</v>
          </cell>
          <cell r="Y1805" t="str">
            <v>Vydehi Hospital, Bangalore</v>
          </cell>
          <cell r="Z1805" t="str">
            <v>Dr Amritha Prabha, Bangalore</v>
          </cell>
          <cell r="AA1805" t="str">
            <v>RCC</v>
          </cell>
          <cell r="AC1805" t="str">
            <v>Kidney</v>
          </cell>
          <cell r="AD1805" t="str">
            <v>Right Kidney</v>
          </cell>
          <cell r="AE1805" t="str">
            <v>Female</v>
          </cell>
          <cell r="AF1805">
            <v>37</v>
          </cell>
          <cell r="AG1805" t="str">
            <v>No</v>
          </cell>
          <cell r="AI1805" t="str">
            <v>Kalappa</v>
          </cell>
          <cell r="AJ1805" t="str">
            <v>Surgery</v>
          </cell>
          <cell r="AK1805" t="str">
            <v>Primary</v>
          </cell>
          <cell r="AS1805" t="str">
            <v>Dr Ritu- Chromophobe Renal Cell Carcinoma</v>
          </cell>
          <cell r="AV1805">
            <v>44397</v>
          </cell>
          <cell r="AW1805">
            <v>0.61458333333333337</v>
          </cell>
          <cell r="AX1805">
            <v>0.67361111111111116</v>
          </cell>
          <cell r="AY1805">
            <v>5.9027777777777776E-2</v>
          </cell>
          <cell r="AZ1805">
            <v>3.1944444444444442E-2</v>
          </cell>
          <cell r="BA1805">
            <v>0.14097222222222222</v>
          </cell>
          <cell r="BB1805" t="str">
            <v>0.4*1.4*1.0
0.4*1.0*1.0
0.4*0.6*0.8</v>
          </cell>
          <cell r="BC1805" t="str">
            <v>0.4*0.6*0.8
0.4*1.4*1.0
0.4*1.0*1.0</v>
          </cell>
          <cell r="BD1805" t="str">
            <v>2*4*450</v>
          </cell>
          <cell r="BE1805">
            <v>4</v>
          </cell>
          <cell r="BF1805" t="str">
            <v>Kowshik</v>
          </cell>
          <cell r="BG1805" t="str">
            <v>Q</v>
          </cell>
        </row>
        <row r="1806">
          <cell r="A1806" t="str">
            <v>FBR1A210104</v>
          </cell>
          <cell r="B1806">
            <v>210104</v>
          </cell>
          <cell r="C1806" t="str">
            <v>R&amp;D</v>
          </cell>
          <cell r="D1806">
            <v>44397</v>
          </cell>
          <cell r="E1806">
            <v>0.625</v>
          </cell>
          <cell r="F1806">
            <v>44378</v>
          </cell>
          <cell r="G1806">
            <v>44397</v>
          </cell>
          <cell r="H1806">
            <v>0.71180555555555558</v>
          </cell>
          <cell r="I1806">
            <v>8.6805555555555552E-2</v>
          </cell>
          <cell r="J1806">
            <v>3</v>
          </cell>
          <cell r="K1806" t="str">
            <v>FCB-PROTOCOL-01_v1</v>
          </cell>
          <cell r="L1806" t="str">
            <v>VYD/020</v>
          </cell>
          <cell r="M1806" t="str">
            <v>Y</v>
          </cell>
          <cell r="N1806" t="str">
            <v>Other Indication</v>
          </cell>
          <cell r="O1806" t="str">
            <v>Internal R&amp;D</v>
          </cell>
          <cell r="S1806" t="str">
            <v>Q1 Passed</v>
          </cell>
          <cell r="T1806" t="str">
            <v>Q2 Rejected</v>
          </cell>
          <cell r="V1806" t="str">
            <v>Scanty tumor in 2-3 explants with pretreated effects. Others no tumor</v>
          </cell>
          <cell r="W1806" t="str">
            <v>Clinic'les</v>
          </cell>
          <cell r="X1806" t="str">
            <v>Clinic'les- Vydehi Hospital, Bangalore</v>
          </cell>
          <cell r="Y1806" t="str">
            <v>Vydehi Hospital, Bangalore</v>
          </cell>
          <cell r="Z1806" t="str">
            <v>Dr Amritha Prabha, Bangalore</v>
          </cell>
          <cell r="AA1806" t="str">
            <v>Ca Breast</v>
          </cell>
          <cell r="AC1806" t="str">
            <v>Breast</v>
          </cell>
          <cell r="AD1806" t="str">
            <v>Right Breast</v>
          </cell>
          <cell r="AE1806" t="str">
            <v>Female</v>
          </cell>
          <cell r="AF1806">
            <v>53</v>
          </cell>
          <cell r="AG1806" t="str">
            <v>No</v>
          </cell>
          <cell r="AI1806" t="str">
            <v>Partha</v>
          </cell>
          <cell r="AJ1806" t="str">
            <v>Surgery</v>
          </cell>
          <cell r="AK1806" t="str">
            <v>Primary</v>
          </cell>
          <cell r="AL1806" t="str">
            <v>Chemotherapy</v>
          </cell>
          <cell r="AN1806" t="str">
            <v>NA</v>
          </cell>
          <cell r="AO1806" t="str">
            <v>NA</v>
          </cell>
          <cell r="AP1806" t="str">
            <v>NA</v>
          </cell>
          <cell r="AQ1806" t="str">
            <v>4+4 cycles</v>
          </cell>
          <cell r="AR1806" t="str">
            <v>AC+Paclitaxel</v>
          </cell>
          <cell r="AS1806" t="str">
            <v>ER-, PR-, Her2+, Infiltrating Ductal Carcinoma</v>
          </cell>
          <cell r="AV1806">
            <v>44397</v>
          </cell>
          <cell r="AW1806">
            <v>0.72986111111111107</v>
          </cell>
          <cell r="AX1806">
            <v>0.78472222222222221</v>
          </cell>
          <cell r="AY1806">
            <v>5.486111111111111E-2</v>
          </cell>
          <cell r="AZ1806">
            <v>1.8055555555555554E-2</v>
          </cell>
          <cell r="BA1806">
            <v>0.10486111111111111</v>
          </cell>
          <cell r="BB1806" t="str">
            <v>1.0*1.8*2.6</v>
          </cell>
          <cell r="BC1806" t="str">
            <v>1.0*1.8*2.6</v>
          </cell>
          <cell r="BD1806" t="str">
            <v>2*2*2</v>
          </cell>
          <cell r="BE1806">
            <v>4</v>
          </cell>
          <cell r="BF1806" t="str">
            <v>Gowrishankar</v>
          </cell>
          <cell r="BG1806" t="str">
            <v>Q</v>
          </cell>
        </row>
        <row r="1807">
          <cell r="A1807" t="str">
            <v>FBR1J210105</v>
          </cell>
          <cell r="B1807">
            <v>210105</v>
          </cell>
          <cell r="C1807" t="str">
            <v>R&amp;D</v>
          </cell>
          <cell r="D1807">
            <v>44397</v>
          </cell>
          <cell r="E1807">
            <v>0.96736111111111112</v>
          </cell>
          <cell r="F1807">
            <v>44378</v>
          </cell>
          <cell r="G1807">
            <v>44398</v>
          </cell>
          <cell r="H1807">
            <v>1.0416666666666666E-2</v>
          </cell>
          <cell r="I1807">
            <v>4.3055555555555555E-2</v>
          </cell>
          <cell r="J1807">
            <v>4</v>
          </cell>
          <cell r="K1807" t="str">
            <v>MBT-TB-070 v1.1</v>
          </cell>
          <cell r="L1807" t="str">
            <v>CLN/PRA/01/0112</v>
          </cell>
          <cell r="M1807" t="str">
            <v>Y</v>
          </cell>
          <cell r="N1807" t="str">
            <v>COS_V3</v>
          </cell>
          <cell r="O1807" t="str">
            <v>Internal R&amp;D</v>
          </cell>
          <cell r="S1807" t="str">
            <v>Q1 Passed</v>
          </cell>
          <cell r="T1807" t="str">
            <v>Q2 Passed</v>
          </cell>
          <cell r="U1807" t="str">
            <v>Different Ca sub type</v>
          </cell>
          <cell r="V1807" t="str">
            <v>Good Stromal tumor content- No adenocarcinoma</v>
          </cell>
          <cell r="W1807" t="str">
            <v>Clinic'les</v>
          </cell>
          <cell r="X1807" t="str">
            <v>Clinic'les- Dr Prakash BV, Bangalore</v>
          </cell>
          <cell r="Y1807" t="str">
            <v>Sri Lakshmi Hospital, Bangalore</v>
          </cell>
          <cell r="Z1807" t="str">
            <v>Dr Prakash BV, Bangalore</v>
          </cell>
          <cell r="AA1807" t="str">
            <v>GI</v>
          </cell>
          <cell r="AB1807" t="str">
            <v>Stomach</v>
          </cell>
          <cell r="AC1807" t="str">
            <v>Stomach</v>
          </cell>
          <cell r="AD1807" t="str">
            <v>Greater curvature of Stomach</v>
          </cell>
          <cell r="AE1807" t="str">
            <v>Female</v>
          </cell>
          <cell r="AF1807">
            <v>50</v>
          </cell>
          <cell r="AG1807" t="str">
            <v>No</v>
          </cell>
          <cell r="AI1807" t="str">
            <v>Partha</v>
          </cell>
          <cell r="AJ1807" t="str">
            <v>Surgery</v>
          </cell>
          <cell r="AK1807" t="str">
            <v>Primary</v>
          </cell>
          <cell r="AN1807" t="str">
            <v>III</v>
          </cell>
          <cell r="AO1807" t="str">
            <v>II</v>
          </cell>
          <cell r="AP1807" t="str">
            <v>pT3N2M0</v>
          </cell>
          <cell r="AS1807" t="str">
            <v>Gastro Intestinal Stromal Tumor</v>
          </cell>
          <cell r="AV1807">
            <v>44398</v>
          </cell>
          <cell r="AW1807">
            <v>0.36458333333333331</v>
          </cell>
          <cell r="AX1807">
            <v>0.4375</v>
          </cell>
          <cell r="AY1807">
            <v>7.2916666666666671E-2</v>
          </cell>
          <cell r="AZ1807">
            <v>0.35416666666666669</v>
          </cell>
          <cell r="BA1807">
            <v>0.3972222222222222</v>
          </cell>
          <cell r="BB1807" t="str">
            <v>1.0*3.6*3.8</v>
          </cell>
          <cell r="BC1807" t="str">
            <v>1.0*3.6*3.8</v>
          </cell>
          <cell r="BD1807" t="str">
            <v>2*2*2</v>
          </cell>
          <cell r="BE1807">
            <v>4</v>
          </cell>
          <cell r="BF1807" t="str">
            <v>Gowrishankar</v>
          </cell>
          <cell r="BG1807" t="str">
            <v>Q</v>
          </cell>
        </row>
        <row r="1808">
          <cell r="A1808" t="str">
            <v>FBR1H210106</v>
          </cell>
          <cell r="B1808">
            <v>210106</v>
          </cell>
          <cell r="C1808" t="str">
            <v>R&amp;D</v>
          </cell>
          <cell r="D1808">
            <v>44398</v>
          </cell>
          <cell r="E1808">
            <v>0.33680555555555558</v>
          </cell>
          <cell r="F1808">
            <v>44378</v>
          </cell>
          <cell r="G1808">
            <v>44398</v>
          </cell>
          <cell r="H1808">
            <v>0.48194444444444445</v>
          </cell>
          <cell r="I1808">
            <v>0.1451388888888889</v>
          </cell>
          <cell r="J1808">
            <v>3</v>
          </cell>
          <cell r="K1808" t="str">
            <v>FCB-PROTOCOL-01_v1</v>
          </cell>
          <cell r="L1808" t="str">
            <v>VYD/021</v>
          </cell>
          <cell r="M1808" t="str">
            <v>Y</v>
          </cell>
          <cell r="N1808" t="str">
            <v>DMS_v3</v>
          </cell>
          <cell r="O1808" t="str">
            <v>Internal R&amp;D</v>
          </cell>
          <cell r="S1808" t="str">
            <v>Q1 Passed</v>
          </cell>
          <cell r="T1808" t="str">
            <v>Q2 Passed</v>
          </cell>
          <cell r="V1808" t="str">
            <v>No tumor</v>
          </cell>
          <cell r="W1808" t="str">
            <v>Clinic'les</v>
          </cell>
          <cell r="X1808" t="str">
            <v>Clinic'les- Vydehi Hospital, Bangalore</v>
          </cell>
          <cell r="Y1808" t="str">
            <v>Vydehi Hospital, Bangalore</v>
          </cell>
          <cell r="Z1808" t="str">
            <v>Dr Amritha Prabha, Bangalore</v>
          </cell>
          <cell r="AA1808" t="str">
            <v>HNSCC</v>
          </cell>
          <cell r="AC1808" t="str">
            <v>Tongue</v>
          </cell>
          <cell r="AD1808" t="str">
            <v>Left Lateral Border of Tongue</v>
          </cell>
          <cell r="AE1808" t="str">
            <v>Male</v>
          </cell>
          <cell r="AF1808">
            <v>59</v>
          </cell>
          <cell r="AG1808" t="str">
            <v>No</v>
          </cell>
          <cell r="AI1808" t="str">
            <v>Kalappa</v>
          </cell>
          <cell r="AJ1808" t="str">
            <v>Surgery</v>
          </cell>
          <cell r="AK1808" t="str">
            <v>Primary</v>
          </cell>
          <cell r="AS1808" t="str">
            <v>Verucous Carcinoma</v>
          </cell>
          <cell r="AV1808">
            <v>44398</v>
          </cell>
          <cell r="AW1808">
            <v>0.5</v>
          </cell>
          <cell r="AX1808">
            <v>0.59583333333333333</v>
          </cell>
          <cell r="AY1808">
            <v>9.583333333333334E-2</v>
          </cell>
          <cell r="AZ1808">
            <v>1.8055555555555554E-2</v>
          </cell>
          <cell r="BA1808">
            <v>0.16319444444444445</v>
          </cell>
          <cell r="BB1808" t="str">
            <v>0.8*1.2*1.4</v>
          </cell>
          <cell r="BC1808" t="str">
            <v>0.8*1.2*1.4</v>
          </cell>
          <cell r="BD1808" t="str">
            <v>2*4*450</v>
          </cell>
          <cell r="BE1808">
            <v>4</v>
          </cell>
          <cell r="BF1808" t="str">
            <v>Kowshik</v>
          </cell>
          <cell r="BG1808" t="str">
            <v>Q</v>
          </cell>
        </row>
        <row r="1809">
          <cell r="A1809" t="str">
            <v>FBR1J210107</v>
          </cell>
          <cell r="B1809">
            <v>210107</v>
          </cell>
          <cell r="C1809" t="str">
            <v>R&amp;D</v>
          </cell>
          <cell r="D1809">
            <v>44398</v>
          </cell>
          <cell r="E1809">
            <v>0.49305555555555558</v>
          </cell>
          <cell r="F1809">
            <v>44378</v>
          </cell>
          <cell r="G1809">
            <v>44398</v>
          </cell>
          <cell r="H1809">
            <v>0.54513888888888884</v>
          </cell>
          <cell r="I1809">
            <v>5.2083333333333336E-2</v>
          </cell>
          <cell r="J1809">
            <v>5</v>
          </cell>
          <cell r="K1809" t="str">
            <v>MBT-TB-070 v1.1</v>
          </cell>
          <cell r="L1809" t="str">
            <v>CLN/PRA/01/0113</v>
          </cell>
          <cell r="M1809" t="str">
            <v>Y</v>
          </cell>
          <cell r="N1809" t="str">
            <v>COS_V3</v>
          </cell>
          <cell r="O1809" t="str">
            <v>Internal R&amp;D</v>
          </cell>
          <cell r="S1809" t="str">
            <v>Q1 Passed</v>
          </cell>
          <cell r="T1809" t="str">
            <v>Q2 Passed</v>
          </cell>
          <cell r="V1809" t="str">
            <v xml:space="preserve">Good tumor content with immune component  </v>
          </cell>
          <cell r="W1809" t="str">
            <v>Clinic'les</v>
          </cell>
          <cell r="X1809" t="str">
            <v>Clinic'les- Dr Prakash BV, Bangalore</v>
          </cell>
          <cell r="Y1809" t="str">
            <v>Sri Lakshmi Hospital, Bangalore</v>
          </cell>
          <cell r="Z1809" t="str">
            <v>Dr Prakash BV, Bangalore</v>
          </cell>
          <cell r="AA1809" t="str">
            <v>GI</v>
          </cell>
          <cell r="AB1809" t="str">
            <v>Stomach</v>
          </cell>
          <cell r="AC1809" t="str">
            <v>Stomach</v>
          </cell>
          <cell r="AD1809" t="str">
            <v>O.G. Junction</v>
          </cell>
          <cell r="AE1809" t="str">
            <v>Male</v>
          </cell>
          <cell r="AF1809">
            <v>60</v>
          </cell>
          <cell r="AG1809" t="str">
            <v>No</v>
          </cell>
          <cell r="AI1809" t="str">
            <v>Partha</v>
          </cell>
          <cell r="AJ1809" t="str">
            <v>Surgery</v>
          </cell>
          <cell r="AK1809" t="str">
            <v>Primary</v>
          </cell>
          <cell r="AN1809" t="str">
            <v>III</v>
          </cell>
          <cell r="AO1809" t="str">
            <v>II</v>
          </cell>
          <cell r="AP1809" t="str">
            <v>pT3N1M0</v>
          </cell>
          <cell r="AS1809" t="str">
            <v>Moderately Differentiated Adenocarcinoma</v>
          </cell>
          <cell r="AV1809">
            <v>44398</v>
          </cell>
          <cell r="AW1809">
            <v>0.57638888888888884</v>
          </cell>
          <cell r="AX1809">
            <v>0.76041666666666663</v>
          </cell>
          <cell r="AY1809">
            <v>0.18402777777777779</v>
          </cell>
          <cell r="AZ1809">
            <v>3.125E-2</v>
          </cell>
          <cell r="BA1809">
            <v>8.3333333333333329E-2</v>
          </cell>
          <cell r="BB1809" t="str">
            <v>1.6*2.0*4.0</v>
          </cell>
          <cell r="BC1809" t="str">
            <v>1.6*2.0*4.0</v>
          </cell>
          <cell r="BD1809" t="str">
            <v>2*2*2</v>
          </cell>
          <cell r="BE1809">
            <v>4</v>
          </cell>
          <cell r="BF1809" t="str">
            <v>Gowrishankar</v>
          </cell>
          <cell r="BG1809" t="str">
            <v>Q</v>
          </cell>
        </row>
        <row r="1810">
          <cell r="A1810" t="str">
            <v>FBR1K210108</v>
          </cell>
          <cell r="B1810">
            <v>210108</v>
          </cell>
          <cell r="C1810" t="str">
            <v>R&amp;D</v>
          </cell>
          <cell r="D1810">
            <v>44399</v>
          </cell>
          <cell r="E1810">
            <v>0.44513888888888886</v>
          </cell>
          <cell r="F1810">
            <v>44378</v>
          </cell>
          <cell r="G1810">
            <v>44399</v>
          </cell>
          <cell r="H1810">
            <v>0.55555555555555558</v>
          </cell>
          <cell r="I1810">
            <v>0.11041666666666666</v>
          </cell>
          <cell r="J1810">
            <v>7</v>
          </cell>
          <cell r="K1810" t="str">
            <v>FCB-PROTOCOL-01_v1</v>
          </cell>
          <cell r="L1810" t="str">
            <v>VYD/022</v>
          </cell>
          <cell r="M1810" t="str">
            <v>Y</v>
          </cell>
          <cell r="N1810" t="str">
            <v>DMS_v4</v>
          </cell>
          <cell r="O1810" t="str">
            <v>Internal R&amp;D</v>
          </cell>
          <cell r="S1810" t="str">
            <v>Q1 Passed</v>
          </cell>
          <cell r="V1810" t="str">
            <v>Scanty tumor upto 15-20 %</v>
          </cell>
          <cell r="W1810" t="str">
            <v>Clinic'les</v>
          </cell>
          <cell r="X1810" t="str">
            <v>Clinic'les- Vydehi Hospital, Bangalore</v>
          </cell>
          <cell r="Y1810" t="str">
            <v>Vydehi Hospital, Bangalore</v>
          </cell>
          <cell r="Z1810" t="str">
            <v>Dr Amritha Prabha, Bangalore</v>
          </cell>
          <cell r="AA1810" t="str">
            <v>HNSCC</v>
          </cell>
          <cell r="AC1810" t="str">
            <v>Tongue</v>
          </cell>
          <cell r="AD1810" t="str">
            <v>Left Lateral Border of Tongue</v>
          </cell>
          <cell r="AE1810" t="str">
            <v>Male</v>
          </cell>
          <cell r="AF1810">
            <v>61</v>
          </cell>
          <cell r="AG1810" t="str">
            <v>No</v>
          </cell>
          <cell r="AI1810" t="str">
            <v>Partha</v>
          </cell>
          <cell r="AJ1810" t="str">
            <v>Surgery</v>
          </cell>
          <cell r="AK1810" t="str">
            <v>Primary</v>
          </cell>
          <cell r="AN1810" t="str">
            <v>III</v>
          </cell>
          <cell r="AO1810">
            <v>2</v>
          </cell>
          <cell r="AS1810" t="str">
            <v>Squamous Cell Carcinoma</v>
          </cell>
          <cell r="AV1810">
            <v>44399</v>
          </cell>
          <cell r="AW1810">
            <v>0.57638888888888884</v>
          </cell>
          <cell r="AX1810">
            <v>0.70416666666666672</v>
          </cell>
          <cell r="AY1810">
            <v>0.12777777777777777</v>
          </cell>
          <cell r="AZ1810">
            <v>2.0833333333333332E-2</v>
          </cell>
          <cell r="BA1810">
            <v>0.13125000000000001</v>
          </cell>
          <cell r="BB1810" t="str">
            <v>0.8*1.2*1.6</v>
          </cell>
          <cell r="BC1810" t="str">
            <v>0.8*1.2*1.6</v>
          </cell>
          <cell r="BD1810" t="str">
            <v>2*4*450</v>
          </cell>
          <cell r="BE1810">
            <v>4</v>
          </cell>
          <cell r="BF1810" t="str">
            <v>Kowshik</v>
          </cell>
          <cell r="BG1810" t="str">
            <v>Q</v>
          </cell>
        </row>
        <row r="1811">
          <cell r="A1811" t="str">
            <v>FBR1K210109</v>
          </cell>
          <cell r="B1811">
            <v>210109</v>
          </cell>
          <cell r="C1811" t="str">
            <v>R&amp;D</v>
          </cell>
          <cell r="D1811">
            <v>44400</v>
          </cell>
          <cell r="E1811">
            <v>0.48888888888888887</v>
          </cell>
          <cell r="F1811">
            <v>44378</v>
          </cell>
          <cell r="G1811">
            <v>44400</v>
          </cell>
          <cell r="H1811">
            <v>0.58472222222222225</v>
          </cell>
          <cell r="I1811">
            <v>9.583333333333334E-2</v>
          </cell>
          <cell r="J1811">
            <v>3</v>
          </cell>
          <cell r="K1811" t="str">
            <v>FCB-PROTOCOL-01_v1</v>
          </cell>
          <cell r="L1811" t="str">
            <v>VYD/023</v>
          </cell>
          <cell r="M1811" t="str">
            <v>Y</v>
          </cell>
          <cell r="N1811" t="str">
            <v>DMS_v4</v>
          </cell>
          <cell r="O1811" t="str">
            <v>Internal R&amp;D</v>
          </cell>
          <cell r="S1811" t="str">
            <v>Q1 Rejected</v>
          </cell>
          <cell r="T1811" t="str">
            <v>Q2 Passed</v>
          </cell>
          <cell r="U1811" t="str">
            <v>Sample size was too small</v>
          </cell>
          <cell r="V1811" t="str">
            <v>Tumor present in each explant. Content varies between 15-70%</v>
          </cell>
          <cell r="W1811" t="str">
            <v>Clinic'les</v>
          </cell>
          <cell r="X1811" t="str">
            <v>Clinic'les- Vydehi Hospital, Bangalore</v>
          </cell>
          <cell r="Y1811" t="str">
            <v>Vydehi Hospital, Bangalore</v>
          </cell>
          <cell r="Z1811" t="str">
            <v>Dr Amritha Prabha, Bangalore</v>
          </cell>
          <cell r="AA1811" t="str">
            <v>HNSCC</v>
          </cell>
          <cell r="AC1811" t="str">
            <v>Buccal Mucosa</v>
          </cell>
          <cell r="AD1811" t="str">
            <v>Left Buccal Mucosa &amp; Lower Alveolus</v>
          </cell>
          <cell r="AE1811" t="str">
            <v>Female</v>
          </cell>
          <cell r="AF1811">
            <v>79</v>
          </cell>
          <cell r="AG1811" t="str">
            <v>No</v>
          </cell>
          <cell r="AI1811" t="str">
            <v>Kalappa</v>
          </cell>
          <cell r="AJ1811" t="str">
            <v>Surgery</v>
          </cell>
          <cell r="AK1811" t="str">
            <v>Primary</v>
          </cell>
          <cell r="AS1811" t="str">
            <v>Squamous Cell Carcinoma</v>
          </cell>
          <cell r="AV1811">
            <v>44400</v>
          </cell>
          <cell r="AW1811">
            <v>0.60416666666666663</v>
          </cell>
          <cell r="AX1811">
            <v>0.67708333333333337</v>
          </cell>
          <cell r="AY1811">
            <v>7.2916666666666671E-2</v>
          </cell>
          <cell r="AZ1811">
            <v>1.9444444444444445E-2</v>
          </cell>
          <cell r="BA1811">
            <v>0.11527777777777778</v>
          </cell>
          <cell r="BB1811" t="str">
            <v>0.4*0.6*0.8</v>
          </cell>
          <cell r="BC1811" t="str">
            <v>0.4*0.6*0.8</v>
          </cell>
          <cell r="BD1811" t="str">
            <v>2*4*450</v>
          </cell>
          <cell r="BE1811">
            <v>4</v>
          </cell>
          <cell r="BF1811" t="str">
            <v>Kowshik</v>
          </cell>
          <cell r="BG1811" t="str">
            <v>Q</v>
          </cell>
        </row>
        <row r="1812">
          <cell r="A1812" t="str">
            <v>FBR1A210110</v>
          </cell>
          <cell r="B1812">
            <v>210110</v>
          </cell>
          <cell r="C1812" t="str">
            <v>R&amp;D</v>
          </cell>
          <cell r="D1812">
            <v>44401</v>
          </cell>
          <cell r="E1812">
            <v>0.46875</v>
          </cell>
          <cell r="F1812">
            <v>44378</v>
          </cell>
          <cell r="G1812">
            <v>44401</v>
          </cell>
          <cell r="H1812">
            <v>0.5131944444444444</v>
          </cell>
          <cell r="I1812">
            <v>4.4444444444444446E-2</v>
          </cell>
          <cell r="J1812">
            <v>10</v>
          </cell>
          <cell r="K1812" t="str">
            <v>MBT-TB-070 v1.1</v>
          </cell>
          <cell r="L1812" t="str">
            <v>CLN/PRA/01/0114</v>
          </cell>
          <cell r="M1812" t="str">
            <v>Y</v>
          </cell>
          <cell r="N1812" t="str">
            <v>Other Indication</v>
          </cell>
          <cell r="O1812" t="str">
            <v>Internal R&amp;D</v>
          </cell>
          <cell r="S1812" t="str">
            <v>Q1 Passed</v>
          </cell>
          <cell r="T1812" t="str">
            <v>Q2 Passed</v>
          </cell>
          <cell r="V1812" t="str">
            <v>Good tumor content</v>
          </cell>
          <cell r="W1812" t="str">
            <v>Clinic'les</v>
          </cell>
          <cell r="X1812" t="str">
            <v>Clinic'les- Dr Prakash BV, Bangalore</v>
          </cell>
          <cell r="Y1812" t="str">
            <v>Sri Lakshmi Hospital, Bangalore</v>
          </cell>
          <cell r="Z1812" t="str">
            <v>Dr Prakash BV, Bangalore</v>
          </cell>
          <cell r="AA1812" t="str">
            <v>RCC</v>
          </cell>
          <cell r="AC1812" t="str">
            <v>Kidney</v>
          </cell>
          <cell r="AD1812" t="str">
            <v>Left Kidney</v>
          </cell>
          <cell r="AE1812" t="str">
            <v>Male</v>
          </cell>
          <cell r="AF1812">
            <v>60</v>
          </cell>
          <cell r="AG1812" t="str">
            <v>No</v>
          </cell>
          <cell r="AI1812" t="str">
            <v>Kalappa</v>
          </cell>
          <cell r="AJ1812" t="str">
            <v>Surgery</v>
          </cell>
          <cell r="AK1812" t="str">
            <v>Primary</v>
          </cell>
          <cell r="AV1812">
            <v>44401</v>
          </cell>
          <cell r="AW1812">
            <v>0.54861111111111116</v>
          </cell>
          <cell r="AX1812">
            <v>0.70833333333333337</v>
          </cell>
          <cell r="AY1812">
            <v>0.15972222222222221</v>
          </cell>
          <cell r="AZ1812">
            <v>3.5416666666666666E-2</v>
          </cell>
          <cell r="BA1812">
            <v>7.9861111111111105E-2</v>
          </cell>
          <cell r="BB1812" t="str">
            <v>1.2*5.8*5.4</v>
          </cell>
          <cell r="BC1812" t="str">
            <v>1.2*5.8*5.4</v>
          </cell>
          <cell r="BD1812" t="str">
            <v>2*4*450</v>
          </cell>
          <cell r="BE1812">
            <v>4</v>
          </cell>
          <cell r="BF1812" t="str">
            <v>Kowshik/ Gowri</v>
          </cell>
          <cell r="BG1812" t="str">
            <v>Q</v>
          </cell>
        </row>
        <row r="1813">
          <cell r="A1813" t="str">
            <v>FBR1H210111</v>
          </cell>
          <cell r="B1813">
            <v>210111</v>
          </cell>
          <cell r="C1813" t="str">
            <v>R&amp;D</v>
          </cell>
          <cell r="D1813">
            <v>44403</v>
          </cell>
          <cell r="E1813">
            <v>0.43402777777777779</v>
          </cell>
          <cell r="F1813">
            <v>44378</v>
          </cell>
          <cell r="G1813">
            <v>44403</v>
          </cell>
          <cell r="H1813">
            <v>0.58680555555555558</v>
          </cell>
          <cell r="I1813">
            <v>0.15277777777777779</v>
          </cell>
          <cell r="K1813" t="str">
            <v>MBT-TB-070 v2.0</v>
          </cell>
          <cell r="L1813" t="str">
            <v>BBH007</v>
          </cell>
          <cell r="M1813" t="str">
            <v>Y</v>
          </cell>
          <cell r="N1813" t="str">
            <v>DMS_v3</v>
          </cell>
          <cell r="O1813" t="str">
            <v>Internal R&amp;D</v>
          </cell>
          <cell r="S1813" t="str">
            <v>Q1 Passed</v>
          </cell>
          <cell r="T1813" t="str">
            <v>Q2 Passed</v>
          </cell>
          <cell r="V1813" t="str">
            <v>Good tumor content,</v>
          </cell>
          <cell r="W1813" t="str">
            <v>Independent</v>
          </cell>
          <cell r="X1813" t="str">
            <v>Bangalore Baptist Hospital, Hebbal</v>
          </cell>
          <cell r="Y1813" t="str">
            <v>Bangalore Baptist Hospital, Hebbal</v>
          </cell>
          <cell r="Z1813" t="str">
            <v>Dr Manjula BV, Bangalore</v>
          </cell>
          <cell r="AA1813" t="str">
            <v>HNSCC</v>
          </cell>
          <cell r="AC1813" t="str">
            <v>Buccal Mucosa</v>
          </cell>
          <cell r="AD1813" t="str">
            <v>Right Buccal Mucosa</v>
          </cell>
          <cell r="AE1813" t="str">
            <v>Female</v>
          </cell>
          <cell r="AF1813">
            <v>73</v>
          </cell>
          <cell r="AG1813" t="str">
            <v>No</v>
          </cell>
          <cell r="AI1813" t="str">
            <v>Partha</v>
          </cell>
          <cell r="AJ1813" t="str">
            <v>Surgery</v>
          </cell>
          <cell r="AK1813" t="str">
            <v>Primary</v>
          </cell>
          <cell r="AN1813" t="str">
            <v>I</v>
          </cell>
          <cell r="AO1813">
            <v>1</v>
          </cell>
          <cell r="AP1813" t="str">
            <v>pT3N2b</v>
          </cell>
          <cell r="AV1813">
            <v>44403</v>
          </cell>
          <cell r="AW1813">
            <v>0.60416666666666663</v>
          </cell>
          <cell r="AX1813">
            <v>0.68402777777777779</v>
          </cell>
          <cell r="AY1813">
            <v>7.9861111111111105E-2</v>
          </cell>
          <cell r="AZ1813">
            <v>1.7361111111111112E-2</v>
          </cell>
          <cell r="BA1813">
            <v>0.1701388888888889</v>
          </cell>
          <cell r="BB1813" t="str">
            <v>0.8*1.2*1.4
1.0*1.2*1.4
0.8*0.8*1.0
0.4*1.0*1.2</v>
          </cell>
          <cell r="BC1813" t="str">
            <v>0.8*1.2*1.4
1.0*1.2*1.4
0.8*0.8*1.0
0.4*1.0*1.2</v>
          </cell>
          <cell r="BD1813" t="str">
            <v>2*4*450</v>
          </cell>
          <cell r="BE1813">
            <v>4</v>
          </cell>
          <cell r="BF1813" t="str">
            <v>Kowshik</v>
          </cell>
          <cell r="BG1813" t="str">
            <v>Q</v>
          </cell>
        </row>
        <row r="1814">
          <cell r="A1814" t="str">
            <v>FBR1K210111</v>
          </cell>
          <cell r="B1814">
            <v>210111</v>
          </cell>
          <cell r="C1814" t="str">
            <v>R&amp;D</v>
          </cell>
          <cell r="D1814">
            <v>44403</v>
          </cell>
          <cell r="E1814">
            <v>0.43402777777777779</v>
          </cell>
          <cell r="F1814">
            <v>44378</v>
          </cell>
          <cell r="G1814">
            <v>44403</v>
          </cell>
          <cell r="H1814">
            <v>0.58680555555555558</v>
          </cell>
          <cell r="I1814">
            <v>0.15277777777777779</v>
          </cell>
          <cell r="K1814" t="str">
            <v>MBT-TB-070 v2.0</v>
          </cell>
          <cell r="L1814" t="str">
            <v>BBH007</v>
          </cell>
          <cell r="M1814" t="str">
            <v>Y</v>
          </cell>
          <cell r="N1814" t="str">
            <v>DMS_v4</v>
          </cell>
          <cell r="O1814" t="str">
            <v>Internal R&amp;D</v>
          </cell>
          <cell r="S1814" t="str">
            <v>Q1 Passed</v>
          </cell>
          <cell r="T1814" t="str">
            <v>Q2 Passed</v>
          </cell>
          <cell r="W1814" t="str">
            <v>Independent</v>
          </cell>
          <cell r="X1814" t="str">
            <v>Bangalore Baptist Hospital, Hebbal</v>
          </cell>
          <cell r="Y1814" t="str">
            <v>Bangalore Baptist Hospital, Hebbal</v>
          </cell>
          <cell r="Z1814" t="str">
            <v>Dr Manjula BV, Bangalore</v>
          </cell>
          <cell r="AA1814" t="str">
            <v>HNSCC</v>
          </cell>
          <cell r="AC1814" t="str">
            <v>Buccal Mucosa</v>
          </cell>
          <cell r="AD1814" t="str">
            <v>Right Buccal Mucosa</v>
          </cell>
          <cell r="AE1814" t="str">
            <v>Female</v>
          </cell>
          <cell r="AF1814">
            <v>73</v>
          </cell>
          <cell r="AG1814" t="str">
            <v>No</v>
          </cell>
          <cell r="AI1814" t="str">
            <v>Partha</v>
          </cell>
          <cell r="AJ1814" t="str">
            <v>Surgery</v>
          </cell>
          <cell r="AK1814" t="str">
            <v>Primary</v>
          </cell>
          <cell r="AN1814" t="str">
            <v>I</v>
          </cell>
          <cell r="AO1814">
            <v>1</v>
          </cell>
          <cell r="AP1814" t="str">
            <v>pT3N2b</v>
          </cell>
          <cell r="AV1814">
            <v>44403</v>
          </cell>
          <cell r="AW1814">
            <v>0.60416666666666663</v>
          </cell>
          <cell r="AX1814">
            <v>0.68402777777777779</v>
          </cell>
          <cell r="AY1814">
            <v>7.9861111111111105E-2</v>
          </cell>
          <cell r="AZ1814">
            <v>1.7361111111111112E-2</v>
          </cell>
          <cell r="BA1814">
            <v>0.1701388888888889</v>
          </cell>
          <cell r="BB1814" t="str">
            <v>0.8*1.2*1.4
1.0*1.2*1.4
0.8*0.8*1.0
0.4*1.0*1.2</v>
          </cell>
          <cell r="BC1814" t="str">
            <v>0.8*1.2*1.4
1.0*1.2*1.4
0.8*0.8*1.0
0.4*1.0*1.2</v>
          </cell>
          <cell r="BD1814" t="str">
            <v>2*4*450</v>
          </cell>
          <cell r="BE1814">
            <v>4</v>
          </cell>
          <cell r="BF1814" t="str">
            <v>Kowshik</v>
          </cell>
          <cell r="BG1814" t="str">
            <v>Q</v>
          </cell>
        </row>
        <row r="1815">
          <cell r="A1815" t="str">
            <v>FBR1A210112</v>
          </cell>
          <cell r="B1815">
            <v>210112</v>
          </cell>
          <cell r="C1815" t="str">
            <v>R&amp;D</v>
          </cell>
          <cell r="D1815">
            <v>44404</v>
          </cell>
          <cell r="E1815">
            <v>0.6166666666666667</v>
          </cell>
          <cell r="F1815">
            <v>44378</v>
          </cell>
          <cell r="G1815">
            <v>44404</v>
          </cell>
          <cell r="H1815">
            <v>0.94444444444444442</v>
          </cell>
          <cell r="I1815">
            <v>0.32777777777777778</v>
          </cell>
          <cell r="K1815" t="str">
            <v>MBT-TB-070 v2.0</v>
          </cell>
          <cell r="L1815" t="str">
            <v>CLN/DBR/004</v>
          </cell>
          <cell r="M1815" t="str">
            <v>Y</v>
          </cell>
          <cell r="N1815" t="str">
            <v>Other Indication</v>
          </cell>
          <cell r="O1815" t="str">
            <v>Internal R&amp;D</v>
          </cell>
          <cell r="S1815" t="str">
            <v>Q1 Passed</v>
          </cell>
          <cell r="T1815" t="str">
            <v>Q2 Passed</v>
          </cell>
          <cell r="V1815" t="str">
            <v>Good tumor content-High grade serous ovarian carcinoma</v>
          </cell>
          <cell r="W1815" t="str">
            <v>Clinic'les</v>
          </cell>
          <cell r="X1815" t="str">
            <v>Clinic'les- DBR &amp; SK Hospital, Tirupati</v>
          </cell>
          <cell r="Y1815" t="str">
            <v>DBR &amp; SK Hospital, Tirupati</v>
          </cell>
          <cell r="Z1815" t="str">
            <v>Dr C Jayaprakash, Tirupati</v>
          </cell>
          <cell r="AA1815" t="str">
            <v>Ca Ovary</v>
          </cell>
          <cell r="AC1815" t="str">
            <v>Ovary</v>
          </cell>
          <cell r="AD1815" t="str">
            <v>Ovary</v>
          </cell>
          <cell r="AE1815" t="str">
            <v>Female</v>
          </cell>
          <cell r="AF1815">
            <v>44</v>
          </cell>
          <cell r="AG1815" t="str">
            <v>No</v>
          </cell>
          <cell r="AI1815" t="str">
            <v>Sashi</v>
          </cell>
          <cell r="AJ1815" t="str">
            <v>Surgery</v>
          </cell>
          <cell r="AK1815" t="str">
            <v>Primary</v>
          </cell>
          <cell r="AN1815" t="str">
            <v>III</v>
          </cell>
          <cell r="AP1815" t="str">
            <v>pT3N1M0</v>
          </cell>
          <cell r="AQ1815" t="str">
            <v>6 cycles</v>
          </cell>
          <cell r="AR1815" t="str">
            <v>Paclitaxel+ Carboplatin</v>
          </cell>
          <cell r="AS1815" t="str">
            <v>Adenocarcinoma of Ovary</v>
          </cell>
          <cell r="AV1815">
            <v>44405</v>
          </cell>
          <cell r="AW1815">
            <v>0.33333333333333331</v>
          </cell>
          <cell r="AX1815">
            <v>0.39583333333333331</v>
          </cell>
          <cell r="AY1815">
            <v>6.25E-2</v>
          </cell>
          <cell r="AZ1815">
            <v>0.3888888888888889</v>
          </cell>
          <cell r="BA1815">
            <v>0.71666666666666667</v>
          </cell>
          <cell r="BB1815" t="str">
            <v>1.0*3.2*5.2</v>
          </cell>
          <cell r="BC1815" t="str">
            <v>1.0*3.2*5.2</v>
          </cell>
          <cell r="BD1815" t="str">
            <v>2*2*2</v>
          </cell>
          <cell r="BE1815">
            <v>4</v>
          </cell>
          <cell r="BF1815" t="str">
            <v>Gowrishankar</v>
          </cell>
          <cell r="BG1815" t="str">
            <v>Q</v>
          </cell>
        </row>
        <row r="1816">
          <cell r="A1816" t="str">
            <v>FBR1H210113</v>
          </cell>
          <cell r="B1816">
            <v>210113</v>
          </cell>
          <cell r="C1816" t="str">
            <v>R&amp;D</v>
          </cell>
          <cell r="D1816">
            <v>44410</v>
          </cell>
          <cell r="E1816">
            <v>0.94305555555555554</v>
          </cell>
          <cell r="F1816">
            <v>44409</v>
          </cell>
          <cell r="G1816">
            <v>44410</v>
          </cell>
          <cell r="H1816">
            <v>0.99652777777777779</v>
          </cell>
          <cell r="I1816">
            <v>5.347222222222222E-2</v>
          </cell>
          <cell r="J1816">
            <v>3</v>
          </cell>
          <cell r="K1816" t="str">
            <v>MBT-TB-070 v1.1</v>
          </cell>
          <cell r="L1816" t="str">
            <v>CLN/PRA/01/0115</v>
          </cell>
          <cell r="M1816" t="str">
            <v>Y</v>
          </cell>
          <cell r="N1816" t="str">
            <v>DMS_v3</v>
          </cell>
          <cell r="O1816" t="str">
            <v>Internal R&amp;D</v>
          </cell>
          <cell r="S1816" t="str">
            <v>Q1 Passed</v>
          </cell>
          <cell r="T1816" t="str">
            <v>Q2 Passed</v>
          </cell>
          <cell r="V1816" t="str">
            <v xml:space="preserve">Good tumor content with immune component  </v>
          </cell>
          <cell r="W1816" t="str">
            <v>Clinic'les</v>
          </cell>
          <cell r="X1816" t="str">
            <v>Clinic'les- Dr Prakash BV, Bangalore</v>
          </cell>
          <cell r="Y1816" t="str">
            <v>Sri Lakshmi Hospital, Bangalore</v>
          </cell>
          <cell r="Z1816" t="str">
            <v>Dr Prakash BV, Bangalore</v>
          </cell>
          <cell r="AA1816" t="str">
            <v>HNSCC</v>
          </cell>
          <cell r="AC1816" t="str">
            <v>Buccal Mucosa</v>
          </cell>
          <cell r="AD1816" t="str">
            <v>Left Buccal Mucosa</v>
          </cell>
          <cell r="AE1816" t="str">
            <v>Female</v>
          </cell>
          <cell r="AF1816">
            <v>80</v>
          </cell>
          <cell r="AG1816" t="str">
            <v>No</v>
          </cell>
          <cell r="AI1816" t="str">
            <v>Kalappa</v>
          </cell>
          <cell r="AJ1816" t="str">
            <v>Surgery</v>
          </cell>
          <cell r="AK1816" t="str">
            <v>Primary</v>
          </cell>
          <cell r="AN1816" t="str">
            <v>II</v>
          </cell>
          <cell r="AO1816" t="str">
            <v>II</v>
          </cell>
          <cell r="AP1816" t="str">
            <v>pT2N0M0</v>
          </cell>
          <cell r="AS1816" t="str">
            <v>Squamous Cell Carcinoma</v>
          </cell>
          <cell r="AV1816">
            <v>44411</v>
          </cell>
          <cell r="AW1816">
            <v>0.36458333333333331</v>
          </cell>
          <cell r="AX1816">
            <v>0.46875</v>
          </cell>
          <cell r="AY1816">
            <v>0.10416666666666667</v>
          </cell>
          <cell r="AZ1816">
            <v>0.36805555555555558</v>
          </cell>
          <cell r="BA1816">
            <v>0.42152777777777778</v>
          </cell>
          <cell r="BB1816" t="str">
            <v>1.2*1.8*2.8</v>
          </cell>
          <cell r="BC1816" t="str">
            <v>1.2*1.8*2.8</v>
          </cell>
          <cell r="BD1816" t="str">
            <v>2*4*450</v>
          </cell>
          <cell r="BE1816">
            <v>4</v>
          </cell>
          <cell r="BF1816" t="str">
            <v>Kowshik</v>
          </cell>
          <cell r="BG1816" t="str">
            <v>Q</v>
          </cell>
        </row>
        <row r="1817">
          <cell r="A1817" t="str">
            <v>FBR1H210114</v>
          </cell>
          <cell r="B1817">
            <v>210114</v>
          </cell>
          <cell r="C1817" t="str">
            <v>R&amp;D</v>
          </cell>
          <cell r="D1817">
            <v>44411</v>
          </cell>
          <cell r="E1817">
            <v>0.49375000000000002</v>
          </cell>
          <cell r="F1817">
            <v>44409</v>
          </cell>
          <cell r="G1817">
            <v>44411</v>
          </cell>
          <cell r="H1817">
            <v>0.55486111111111114</v>
          </cell>
          <cell r="I1817">
            <v>6.1111111111111109E-2</v>
          </cell>
          <cell r="J1817">
            <v>8</v>
          </cell>
          <cell r="K1817" t="str">
            <v>FCB-PROTOCOL-01_v1</v>
          </cell>
          <cell r="L1817" t="str">
            <v>VYD/024</v>
          </cell>
          <cell r="M1817" t="str">
            <v>Y</v>
          </cell>
          <cell r="N1817" t="str">
            <v>DMS_v3</v>
          </cell>
          <cell r="O1817" t="str">
            <v>Internal R&amp;D</v>
          </cell>
          <cell r="S1817" t="str">
            <v>Q1 Passed</v>
          </cell>
          <cell r="T1817" t="str">
            <v>Q2 Passed</v>
          </cell>
          <cell r="V1817" t="str">
            <v>Tumor present in each explant.1-2 explants fragmented. Content varies between 5-90%</v>
          </cell>
          <cell r="W1817" t="str">
            <v>Clinic'les</v>
          </cell>
          <cell r="X1817" t="str">
            <v>Clinic'les- Vydehi Hospital, Bangalore</v>
          </cell>
          <cell r="Y1817" t="str">
            <v>Vydehi Hospital, Bangalore</v>
          </cell>
          <cell r="Z1817" t="str">
            <v>Dr Amritha Prabha, Bangalore</v>
          </cell>
          <cell r="AA1817" t="str">
            <v>HNSCC</v>
          </cell>
          <cell r="AC1817" t="str">
            <v>Buccal Mucosa</v>
          </cell>
          <cell r="AD1817" t="str">
            <v>Left Buccal Mucosa</v>
          </cell>
          <cell r="AE1817" t="str">
            <v>Female</v>
          </cell>
          <cell r="AF1817">
            <v>66</v>
          </cell>
          <cell r="AG1817" t="str">
            <v>No</v>
          </cell>
          <cell r="AI1817" t="str">
            <v>Kalappa</v>
          </cell>
          <cell r="AJ1817" t="str">
            <v>Surgery</v>
          </cell>
          <cell r="AK1817" t="str">
            <v>Primary</v>
          </cell>
          <cell r="AL1817" t="str">
            <v>Radiotherapy</v>
          </cell>
          <cell r="AN1817" t="str">
            <v>III</v>
          </cell>
          <cell r="AO1817">
            <v>1</v>
          </cell>
          <cell r="AP1817" t="str">
            <v>pT4aN0</v>
          </cell>
          <cell r="AS1817" t="str">
            <v>Squamous Cell Carcinoma</v>
          </cell>
          <cell r="AV1817">
            <v>44411</v>
          </cell>
          <cell r="AW1817">
            <v>0.57708333333333328</v>
          </cell>
          <cell r="AX1817">
            <v>0.6875</v>
          </cell>
          <cell r="AY1817">
            <v>0.11041666666666666</v>
          </cell>
          <cell r="AZ1817">
            <v>2.2222222222222223E-2</v>
          </cell>
          <cell r="BA1817">
            <v>8.3333333333333329E-2</v>
          </cell>
          <cell r="BB1817" t="str">
            <v>1.0*1.2*2.0
0.8*1.0*1.8</v>
          </cell>
          <cell r="BC1817" t="str">
            <v>1.0*1.2*2.0
0.8*1.0*1.8</v>
          </cell>
          <cell r="BD1817" t="str">
            <v>2*4*450</v>
          </cell>
          <cell r="BE1817">
            <v>4</v>
          </cell>
          <cell r="BF1817" t="str">
            <v>Gowrishankar</v>
          </cell>
          <cell r="BG1817" t="str">
            <v>Q</v>
          </cell>
        </row>
        <row r="1818">
          <cell r="A1818" t="str">
            <v>FBR1A210115</v>
          </cell>
          <cell r="B1818">
            <v>210115</v>
          </cell>
          <cell r="C1818" t="str">
            <v>R&amp;D</v>
          </cell>
          <cell r="D1818">
            <v>44411</v>
          </cell>
          <cell r="E1818">
            <v>0.59166666666666667</v>
          </cell>
          <cell r="F1818">
            <v>44409</v>
          </cell>
          <cell r="G1818">
            <v>44411</v>
          </cell>
          <cell r="H1818">
            <v>0.92361111111111116</v>
          </cell>
          <cell r="I1818">
            <v>0.33194444444444443</v>
          </cell>
          <cell r="J1818">
            <v>2</v>
          </cell>
          <cell r="K1818" t="str">
            <v>FCB-PROTOCOL-01_v1</v>
          </cell>
          <cell r="L1818" t="str">
            <v>CLN/DBR/005</v>
          </cell>
          <cell r="M1818" t="str">
            <v>Y</v>
          </cell>
          <cell r="N1818" t="str">
            <v>Other Indication</v>
          </cell>
          <cell r="O1818" t="str">
            <v>Internal R&amp;D</v>
          </cell>
          <cell r="S1818" t="str">
            <v>Q1 Passed</v>
          </cell>
          <cell r="T1818" t="str">
            <v>Q2 Passed</v>
          </cell>
          <cell r="V1818" t="str">
            <v>No tumor</v>
          </cell>
          <cell r="W1818" t="str">
            <v>Clinic'les</v>
          </cell>
          <cell r="X1818" t="str">
            <v>Clinic'les- DBR &amp; SK Hospital, Tirupati</v>
          </cell>
          <cell r="Y1818" t="str">
            <v>DBR &amp; SK Hospital, Tirupati</v>
          </cell>
          <cell r="Z1818" t="str">
            <v>Dr C Jayaprakash, Tirupati</v>
          </cell>
          <cell r="AA1818" t="str">
            <v>Ca Ovary</v>
          </cell>
          <cell r="AC1818" t="str">
            <v>Ovary</v>
          </cell>
          <cell r="AD1818" t="str">
            <v>Bilateral Ovary</v>
          </cell>
          <cell r="AE1818" t="str">
            <v>Female</v>
          </cell>
          <cell r="AF1818">
            <v>55</v>
          </cell>
          <cell r="AG1818" t="str">
            <v>No</v>
          </cell>
          <cell r="AI1818" t="str">
            <v>Sashi</v>
          </cell>
          <cell r="AJ1818" t="str">
            <v>Surgery</v>
          </cell>
          <cell r="AK1818" t="str">
            <v>Primary</v>
          </cell>
          <cell r="AL1818" t="str">
            <v>Chemotherapy</v>
          </cell>
          <cell r="AN1818" t="str">
            <v>III</v>
          </cell>
          <cell r="AP1818" t="str">
            <v>pT3N1M0</v>
          </cell>
          <cell r="AQ1818" t="str">
            <v>6 cycles</v>
          </cell>
          <cell r="AR1818" t="str">
            <v>Paclitaxel+ Carboplatin</v>
          </cell>
          <cell r="AS1818" t="str">
            <v>Serrous Cystadenocarcinoma of Ovary</v>
          </cell>
          <cell r="AV1818">
            <v>44412</v>
          </cell>
          <cell r="AW1818">
            <v>0.36458333333333331</v>
          </cell>
          <cell r="AX1818">
            <v>0.43055555555555558</v>
          </cell>
          <cell r="AY1818">
            <v>6.5972222222222224E-2</v>
          </cell>
          <cell r="AZ1818">
            <v>0.44097222222222221</v>
          </cell>
          <cell r="BA1818">
            <v>0.7729166666666667</v>
          </cell>
          <cell r="BB1818" t="str">
            <v>1.5*3.0*5.2
1.2*3.0*4.0</v>
          </cell>
          <cell r="BC1818" t="str">
            <v>1.5*3.0*5.2
1.2*3.0*4.0</v>
          </cell>
          <cell r="BD1818" t="str">
            <v>2*2*2</v>
          </cell>
          <cell r="BE1818">
            <v>4</v>
          </cell>
          <cell r="BF1818" t="str">
            <v>Gowrishankar/ Kowshik</v>
          </cell>
          <cell r="BG1818" t="str">
            <v>NQ</v>
          </cell>
        </row>
        <row r="1819">
          <cell r="A1819" t="str">
            <v>FBR1H210116</v>
          </cell>
          <cell r="B1819">
            <v>210116</v>
          </cell>
          <cell r="C1819" t="str">
            <v>R&amp;D</v>
          </cell>
          <cell r="D1819">
            <v>44414</v>
          </cell>
          <cell r="E1819">
            <v>0.54722222222222228</v>
          </cell>
          <cell r="F1819">
            <v>44409</v>
          </cell>
          <cell r="G1819">
            <v>44414</v>
          </cell>
          <cell r="H1819">
            <v>0.61805555555555558</v>
          </cell>
          <cell r="I1819">
            <v>7.0833333333333331E-2</v>
          </cell>
          <cell r="J1819">
            <v>4</v>
          </cell>
          <cell r="K1819" t="str">
            <v>FCB-PROTOCOL-01_v1</v>
          </cell>
          <cell r="L1819" t="str">
            <v>VYD/025</v>
          </cell>
          <cell r="M1819" t="str">
            <v>Y</v>
          </cell>
          <cell r="N1819" t="str">
            <v>DMS_v3</v>
          </cell>
          <cell r="O1819" t="str">
            <v>Internal R&amp;D</v>
          </cell>
          <cell r="S1819" t="str">
            <v>Q1 Passed</v>
          </cell>
          <cell r="T1819" t="str">
            <v>Q2 Passed</v>
          </cell>
          <cell r="V1819" t="str">
            <v>Good tumor content</v>
          </cell>
          <cell r="W1819" t="str">
            <v>Clinic'les</v>
          </cell>
          <cell r="X1819" t="str">
            <v>Clinic'les- Vydehi Hospital, Bangalore</v>
          </cell>
          <cell r="Y1819" t="str">
            <v>Vydehi Hospital, Bangalore</v>
          </cell>
          <cell r="Z1819" t="str">
            <v>Dr Amritha Prabha, Bangalore</v>
          </cell>
          <cell r="AA1819" t="str">
            <v>HNSCC</v>
          </cell>
          <cell r="AC1819" t="str">
            <v>Tongue</v>
          </cell>
          <cell r="AD1819" t="str">
            <v>Left Lateral Border of Tongue</v>
          </cell>
          <cell r="AE1819" t="str">
            <v>Female</v>
          </cell>
          <cell r="AF1819">
            <v>38</v>
          </cell>
          <cell r="AG1819" t="str">
            <v>No</v>
          </cell>
          <cell r="AI1819" t="str">
            <v>Kalappa</v>
          </cell>
          <cell r="AJ1819" t="str">
            <v>Surgery</v>
          </cell>
          <cell r="AK1819" t="str">
            <v>Primary</v>
          </cell>
          <cell r="AN1819" t="str">
            <v>IVB</v>
          </cell>
          <cell r="AO1819">
            <v>1</v>
          </cell>
          <cell r="AP1819" t="str">
            <v>pT3N3b</v>
          </cell>
          <cell r="AS1819" t="str">
            <v>Squamous Cell Carcinoma</v>
          </cell>
          <cell r="AT1819" t="str">
            <v>Radiotherapy</v>
          </cell>
          <cell r="AV1819">
            <v>44414</v>
          </cell>
          <cell r="AW1819">
            <v>0.69444444444444442</v>
          </cell>
          <cell r="AX1819">
            <v>0.74305555555555558</v>
          </cell>
          <cell r="AY1819">
            <v>4.8611111111111112E-2</v>
          </cell>
          <cell r="AZ1819">
            <v>7.6388888888888895E-2</v>
          </cell>
          <cell r="BA1819">
            <v>0.14722222222222223</v>
          </cell>
          <cell r="BB1819" t="str">
            <v>1.0*1.8*1.6</v>
          </cell>
          <cell r="BC1819" t="str">
            <v>1.0*1.8*1.6</v>
          </cell>
          <cell r="BD1819" t="str">
            <v>2*4*450</v>
          </cell>
          <cell r="BE1819">
            <v>15</v>
          </cell>
          <cell r="BF1819" t="str">
            <v>Kowshik</v>
          </cell>
          <cell r="BG1819" t="str">
            <v>Q</v>
          </cell>
        </row>
        <row r="1820">
          <cell r="A1820" t="str">
            <v>FBR1H210117</v>
          </cell>
          <cell r="B1820">
            <v>210117</v>
          </cell>
          <cell r="C1820" t="str">
            <v>R&amp;D</v>
          </cell>
          <cell r="D1820">
            <v>44414</v>
          </cell>
          <cell r="E1820">
            <v>0.6166666666666667</v>
          </cell>
          <cell r="F1820">
            <v>44409</v>
          </cell>
          <cell r="G1820">
            <v>44414</v>
          </cell>
          <cell r="H1820">
            <v>0.94791666666666663</v>
          </cell>
          <cell r="I1820">
            <v>0.33124999999999999</v>
          </cell>
          <cell r="J1820">
            <v>3</v>
          </cell>
          <cell r="K1820" t="str">
            <v>FCB-PROTOCOL-01_v1</v>
          </cell>
          <cell r="L1820" t="str">
            <v>CLN/DBR/006</v>
          </cell>
          <cell r="M1820" t="str">
            <v>Y</v>
          </cell>
          <cell r="N1820" t="str">
            <v>DMS_v3</v>
          </cell>
          <cell r="O1820" t="str">
            <v>Internal R&amp;D</v>
          </cell>
          <cell r="S1820" t="str">
            <v>Q1 Passed</v>
          </cell>
          <cell r="T1820" t="str">
            <v>Q2 Passed</v>
          </cell>
          <cell r="V1820" t="str">
            <v xml:space="preserve">Good tumor content with immune component  </v>
          </cell>
          <cell r="W1820" t="str">
            <v>Clinic'les</v>
          </cell>
          <cell r="X1820" t="str">
            <v>Clinic'les- DBR &amp; SK Hospital, Tirupati</v>
          </cell>
          <cell r="Y1820" t="str">
            <v>DBR &amp; SK Hospital, Tirupati</v>
          </cell>
          <cell r="Z1820" t="str">
            <v>Dr C Jayaprakash, Tirupati</v>
          </cell>
          <cell r="AA1820" t="str">
            <v>HNSCC</v>
          </cell>
          <cell r="AC1820" t="str">
            <v>Buccal Mucosa</v>
          </cell>
          <cell r="AD1820" t="str">
            <v>Buccal Mucosa</v>
          </cell>
          <cell r="AE1820" t="str">
            <v>Female</v>
          </cell>
          <cell r="AF1820">
            <v>32</v>
          </cell>
          <cell r="AG1820" t="str">
            <v>No</v>
          </cell>
          <cell r="AI1820" t="str">
            <v>Partha</v>
          </cell>
          <cell r="AJ1820" t="str">
            <v>Surgery</v>
          </cell>
          <cell r="AK1820" t="str">
            <v>Primary</v>
          </cell>
          <cell r="AN1820" t="str">
            <v>III</v>
          </cell>
          <cell r="AO1820" t="str">
            <v>II</v>
          </cell>
          <cell r="AP1820" t="str">
            <v>pT3N1Mx</v>
          </cell>
          <cell r="AS1820" t="str">
            <v>Moderately differentiated Squamous Cell Carcinoma</v>
          </cell>
          <cell r="AU1820" t="str">
            <v>Radiotherapy</v>
          </cell>
          <cell r="AV1820">
            <v>44415</v>
          </cell>
          <cell r="AW1820">
            <v>0.27083333333333331</v>
          </cell>
          <cell r="AX1820">
            <v>0.3576388888888889</v>
          </cell>
          <cell r="AY1820">
            <v>8.6805555555555552E-2</v>
          </cell>
          <cell r="AZ1820">
            <v>0.32291666666666669</v>
          </cell>
          <cell r="BA1820">
            <v>0.65416666666666667</v>
          </cell>
          <cell r="BB1820" t="str">
            <v>0.8*1.8*2.2
0.6*1.8*1.8
0.4*0.8*1.2</v>
          </cell>
          <cell r="BC1820" t="str">
            <v>0.8*1.8*2.2
0.6*1.8*1.8
0.4*0.8*1.2</v>
          </cell>
          <cell r="BD1820" t="str">
            <v>2*4*450</v>
          </cell>
          <cell r="BE1820">
            <v>15</v>
          </cell>
          <cell r="BF1820" t="str">
            <v>Gowrishankar</v>
          </cell>
          <cell r="BG1820" t="str">
            <v>Q</v>
          </cell>
        </row>
        <row r="1821">
          <cell r="A1821" t="str">
            <v>FBR1H210118</v>
          </cell>
          <cell r="B1821">
            <v>210118</v>
          </cell>
          <cell r="C1821" t="str">
            <v>R&amp;D</v>
          </cell>
          <cell r="D1821">
            <v>44417</v>
          </cell>
          <cell r="E1821">
            <v>0.55555555555555558</v>
          </cell>
          <cell r="F1821">
            <v>44409</v>
          </cell>
          <cell r="G1821">
            <v>44417</v>
          </cell>
          <cell r="H1821">
            <v>0.90625</v>
          </cell>
          <cell r="I1821">
            <v>0.35069444444444442</v>
          </cell>
          <cell r="J1821">
            <v>2</v>
          </cell>
          <cell r="K1821" t="str">
            <v>FCB-PROTOCOL-01_v1</v>
          </cell>
          <cell r="L1821" t="str">
            <v>CLN/DBR/007</v>
          </cell>
          <cell r="M1821" t="str">
            <v>Y</v>
          </cell>
          <cell r="N1821" t="str">
            <v>DMS_v3</v>
          </cell>
          <cell r="O1821" t="str">
            <v>Internal R&amp;D</v>
          </cell>
          <cell r="S1821" t="str">
            <v>Q1 Passed</v>
          </cell>
          <cell r="T1821" t="str">
            <v>Q2 Passed</v>
          </cell>
          <cell r="V1821" t="str">
            <v xml:space="preserve">Good tumor content with immune component  </v>
          </cell>
          <cell r="W1821" t="str">
            <v>Clinic'les</v>
          </cell>
          <cell r="X1821" t="str">
            <v>Clinic'les- DBR &amp; SK Hospital, Tirupati</v>
          </cell>
          <cell r="Y1821" t="str">
            <v>DBR &amp; SK Hospital, Tirupati</v>
          </cell>
          <cell r="Z1821" t="str">
            <v>Dr C Jayaprakash, Tirupati</v>
          </cell>
          <cell r="AA1821" t="str">
            <v>HNSCC</v>
          </cell>
          <cell r="AC1821" t="str">
            <v>Buccal Mucosa</v>
          </cell>
          <cell r="AD1821" t="str">
            <v>Buccal Mucosa</v>
          </cell>
          <cell r="AE1821" t="str">
            <v>Female</v>
          </cell>
          <cell r="AF1821">
            <v>60</v>
          </cell>
          <cell r="AG1821" t="str">
            <v>No</v>
          </cell>
          <cell r="AI1821" t="str">
            <v>Sashi</v>
          </cell>
          <cell r="AJ1821" t="str">
            <v>Surgery</v>
          </cell>
          <cell r="AK1821" t="str">
            <v>Primary</v>
          </cell>
          <cell r="AN1821" t="str">
            <v>III</v>
          </cell>
          <cell r="AO1821" t="str">
            <v>III</v>
          </cell>
          <cell r="AP1821" t="str">
            <v>pT3N3Mx</v>
          </cell>
          <cell r="AS1821" t="str">
            <v>Moderately differentiated Squamous Cell Carcinoma</v>
          </cell>
          <cell r="AU1821" t="str">
            <v>Radiotherapy</v>
          </cell>
          <cell r="AV1821">
            <v>44418</v>
          </cell>
          <cell r="AW1821">
            <v>0.28125</v>
          </cell>
          <cell r="AX1821">
            <v>0.40277777777777779</v>
          </cell>
          <cell r="AY1821">
            <v>0.12152777777777778</v>
          </cell>
          <cell r="AZ1821">
            <v>0.375</v>
          </cell>
          <cell r="BA1821">
            <v>0.72569444444444442</v>
          </cell>
          <cell r="BB1821" t="str">
            <v>1.0*1.8*2.0</v>
          </cell>
          <cell r="BC1821" t="str">
            <v>1.0*1.8*2.0</v>
          </cell>
          <cell r="BD1821" t="str">
            <v>2*4*450</v>
          </cell>
          <cell r="BE1821">
            <v>15</v>
          </cell>
          <cell r="BF1821" t="str">
            <v>Vasanth</v>
          </cell>
          <cell r="BG1821" t="str">
            <v>Q</v>
          </cell>
        </row>
        <row r="1822">
          <cell r="A1822" t="str">
            <v>FBR1L210119</v>
          </cell>
          <cell r="B1822">
            <v>210119</v>
          </cell>
          <cell r="C1822" t="str">
            <v>R&amp;D</v>
          </cell>
          <cell r="D1822">
            <v>44418</v>
          </cell>
          <cell r="E1822">
            <v>0.49027777777777776</v>
          </cell>
          <cell r="F1822">
            <v>44409</v>
          </cell>
          <cell r="G1822">
            <v>44418</v>
          </cell>
          <cell r="H1822">
            <v>0.61458333333333337</v>
          </cell>
          <cell r="I1822">
            <v>0.12430555555555556</v>
          </cell>
          <cell r="J1822">
            <v>4</v>
          </cell>
          <cell r="K1822" t="str">
            <v>FCB-PROTOCOL-01_v1</v>
          </cell>
          <cell r="L1822" t="str">
            <v>VYD/026</v>
          </cell>
          <cell r="M1822" t="str">
            <v>Y</v>
          </cell>
          <cell r="N1822" t="str">
            <v>Culture Extension Study</v>
          </cell>
          <cell r="O1822" t="str">
            <v>Internal R&amp;D</v>
          </cell>
          <cell r="S1822" t="str">
            <v>Q1 Passed</v>
          </cell>
          <cell r="T1822" t="str">
            <v>Q2 Passed</v>
          </cell>
          <cell r="V1822" t="str">
            <v xml:space="preserve">Good tumor content with immune component  </v>
          </cell>
          <cell r="W1822" t="str">
            <v>Clinic'les</v>
          </cell>
          <cell r="X1822" t="str">
            <v>Clinic'les- Vydehi Hospital, Bangalore</v>
          </cell>
          <cell r="Y1822" t="str">
            <v>Vydehi Hospital, Bangalore</v>
          </cell>
          <cell r="Z1822" t="str">
            <v>Dr Amritha Prabha, Bangalore</v>
          </cell>
          <cell r="AA1822" t="str">
            <v>HNSCC</v>
          </cell>
          <cell r="AC1822" t="str">
            <v>Tongue</v>
          </cell>
          <cell r="AD1822" t="str">
            <v>Tongue, Tip &amp; B/L borders</v>
          </cell>
          <cell r="AE1822" t="str">
            <v>Female</v>
          </cell>
          <cell r="AF1822">
            <v>35</v>
          </cell>
          <cell r="AG1822" t="str">
            <v>No</v>
          </cell>
          <cell r="AI1822" t="str">
            <v>Kalappa</v>
          </cell>
          <cell r="AJ1822" t="str">
            <v>Surgery</v>
          </cell>
          <cell r="AK1822" t="str">
            <v>Primary</v>
          </cell>
          <cell r="AN1822" t="str">
            <v>IVB</v>
          </cell>
          <cell r="AO1822">
            <v>2</v>
          </cell>
          <cell r="AP1822" t="str">
            <v>pT3N3b</v>
          </cell>
          <cell r="AS1822" t="str">
            <v>Squamous Cell Carcinoma</v>
          </cell>
          <cell r="AT1822" t="str">
            <v>Chemo+Radio</v>
          </cell>
          <cell r="AU1822" t="str">
            <v>3 cycles- Cisplatin</v>
          </cell>
          <cell r="AV1822">
            <v>44418</v>
          </cell>
          <cell r="AW1822">
            <v>0.63888888888888884</v>
          </cell>
          <cell r="AX1822">
            <v>0.71527777777777779</v>
          </cell>
          <cell r="AY1822">
            <v>7.6388888888888895E-2</v>
          </cell>
          <cell r="AZ1822">
            <v>2.4305555555555556E-2</v>
          </cell>
          <cell r="BA1822">
            <v>0.14861111111111111</v>
          </cell>
          <cell r="BB1822" t="str">
            <v>0.8*1.4*1.4</v>
          </cell>
          <cell r="BC1822" t="str">
            <v>0.8*1.4*1.4</v>
          </cell>
          <cell r="BD1822" t="str">
            <v>2*4*450</v>
          </cell>
          <cell r="BE1822">
            <v>15</v>
          </cell>
          <cell r="BF1822" t="str">
            <v>Kowshik</v>
          </cell>
          <cell r="BG1822" t="str">
            <v>Q</v>
          </cell>
        </row>
        <row r="1823">
          <cell r="A1823" t="str">
            <v>FBR1A210120</v>
          </cell>
          <cell r="B1823">
            <v>210120</v>
          </cell>
          <cell r="C1823" t="str">
            <v>R&amp;D</v>
          </cell>
          <cell r="D1823">
            <v>44418</v>
          </cell>
          <cell r="E1823">
            <v>0.51875000000000004</v>
          </cell>
          <cell r="F1823">
            <v>44409</v>
          </cell>
          <cell r="G1823">
            <v>44418</v>
          </cell>
          <cell r="H1823">
            <v>0.91666666666666663</v>
          </cell>
          <cell r="I1823">
            <v>0.39791666666666664</v>
          </cell>
          <cell r="J1823">
            <v>2</v>
          </cell>
          <cell r="K1823" t="str">
            <v>FCB-PROTOCOL-01_v1</v>
          </cell>
          <cell r="L1823" t="str">
            <v>CLN/DBR/008</v>
          </cell>
          <cell r="M1823" t="str">
            <v>Y</v>
          </cell>
          <cell r="N1823" t="str">
            <v>Other Indication</v>
          </cell>
          <cell r="O1823" t="str">
            <v>Internal R&amp;D</v>
          </cell>
          <cell r="S1823" t="str">
            <v>Q1 Passed</v>
          </cell>
          <cell r="T1823" t="str">
            <v>Q2 Passed</v>
          </cell>
          <cell r="V1823" t="str">
            <v>Tumor present in most explants. Pyknosis high</v>
          </cell>
          <cell r="W1823" t="str">
            <v>Clinic'les</v>
          </cell>
          <cell r="X1823" t="str">
            <v>Clinic'les- DBR &amp; SK Hospital, Tirupati</v>
          </cell>
          <cell r="Y1823" t="str">
            <v>DBR &amp; SK Hospital, Tirupati</v>
          </cell>
          <cell r="Z1823" t="str">
            <v>Dr C Jayaprakash, Tirupati</v>
          </cell>
          <cell r="AA1823" t="str">
            <v>Ca Breast</v>
          </cell>
          <cell r="AC1823" t="str">
            <v>Breast</v>
          </cell>
          <cell r="AD1823" t="str">
            <v>Breast</v>
          </cell>
          <cell r="AE1823" t="str">
            <v>Female</v>
          </cell>
          <cell r="AF1823">
            <v>66</v>
          </cell>
          <cell r="AG1823" t="str">
            <v>No</v>
          </cell>
          <cell r="AI1823" t="str">
            <v>Partha</v>
          </cell>
          <cell r="AJ1823" t="str">
            <v>Surgery</v>
          </cell>
          <cell r="AK1823" t="str">
            <v>Primary</v>
          </cell>
          <cell r="AN1823" t="str">
            <v>NA</v>
          </cell>
          <cell r="AO1823" t="str">
            <v>NA</v>
          </cell>
          <cell r="AP1823" t="str">
            <v>pT2N1M0</v>
          </cell>
          <cell r="AS1823" t="str">
            <v>NA</v>
          </cell>
          <cell r="AV1823">
            <v>44419</v>
          </cell>
          <cell r="AW1823">
            <v>0.36458333333333331</v>
          </cell>
          <cell r="AX1823">
            <v>0.4375</v>
          </cell>
          <cell r="AY1823">
            <v>7.2916666666666671E-2</v>
          </cell>
          <cell r="AZ1823">
            <v>0.44791666666666669</v>
          </cell>
          <cell r="BA1823">
            <v>0.84583333333333333</v>
          </cell>
          <cell r="BB1823" t="str">
            <v>0.6*0.9*2.0
0.8*1.4*2.4</v>
          </cell>
          <cell r="BC1823" t="str">
            <v>0.6*1.0*1.6
0.4*0.8*1.0</v>
          </cell>
          <cell r="BD1823" t="str">
            <v>2*2*2</v>
          </cell>
          <cell r="BE1823">
            <v>15</v>
          </cell>
          <cell r="BF1823" t="str">
            <v>Vasanth</v>
          </cell>
          <cell r="BG1823" t="str">
            <v>Q</v>
          </cell>
        </row>
        <row r="1824">
          <cell r="A1824" t="str">
            <v>FBR1H210121</v>
          </cell>
          <cell r="B1824">
            <v>210121</v>
          </cell>
          <cell r="C1824" t="str">
            <v>R&amp;D</v>
          </cell>
          <cell r="D1824">
            <v>44418</v>
          </cell>
          <cell r="E1824">
            <v>0.58194444444444449</v>
          </cell>
          <cell r="F1824">
            <v>44409</v>
          </cell>
          <cell r="G1824">
            <v>44418</v>
          </cell>
          <cell r="H1824">
            <v>0.91666666666666663</v>
          </cell>
          <cell r="I1824">
            <v>0.3347222222222222</v>
          </cell>
          <cell r="J1824">
            <v>4</v>
          </cell>
          <cell r="K1824" t="str">
            <v>FCB-PROTOCOL-01_v1</v>
          </cell>
          <cell r="L1824" t="str">
            <v>CLN/DBR/009</v>
          </cell>
          <cell r="M1824" t="str">
            <v>Y</v>
          </cell>
          <cell r="N1824" t="str">
            <v>DMS_v3</v>
          </cell>
          <cell r="O1824" t="str">
            <v>Internal R&amp;D</v>
          </cell>
          <cell r="S1824" t="str">
            <v>Q1 Passed</v>
          </cell>
          <cell r="V1824" t="str">
            <v>Good tumor content; higher immune component</v>
          </cell>
          <cell r="W1824" t="str">
            <v>Clinic'les</v>
          </cell>
          <cell r="X1824" t="str">
            <v>Clinic'les- DBR &amp; SK Hospital, Tirupati</v>
          </cell>
          <cell r="Y1824" t="str">
            <v>DBR &amp; SK Hospital, Tirupati</v>
          </cell>
          <cell r="Z1824" t="str">
            <v>Dr C Jayaprakash, Tirupati</v>
          </cell>
          <cell r="AA1824" t="str">
            <v>HNSCC</v>
          </cell>
          <cell r="AC1824" t="str">
            <v>Buccal Mucosa</v>
          </cell>
          <cell r="AD1824" t="str">
            <v>Buccal Mucosa</v>
          </cell>
          <cell r="AE1824" t="str">
            <v>Female</v>
          </cell>
          <cell r="AF1824">
            <v>59</v>
          </cell>
          <cell r="AG1824" t="str">
            <v>No</v>
          </cell>
          <cell r="AI1824" t="str">
            <v>Partha</v>
          </cell>
          <cell r="AJ1824" t="str">
            <v>Surgery</v>
          </cell>
          <cell r="AK1824" t="str">
            <v>Primary</v>
          </cell>
          <cell r="AN1824" t="str">
            <v>IVB</v>
          </cell>
          <cell r="AO1824" t="str">
            <v>IVB</v>
          </cell>
          <cell r="AP1824" t="str">
            <v>pT4bN3M0</v>
          </cell>
          <cell r="AS1824" t="str">
            <v>Well differentiated Squamous Cell Carcinoma</v>
          </cell>
          <cell r="AU1824" t="str">
            <v>Radiotherapy</v>
          </cell>
          <cell r="AV1824">
            <v>44419</v>
          </cell>
          <cell r="AW1824">
            <v>0.28472222222222221</v>
          </cell>
          <cell r="AX1824">
            <v>0.38194444444444442</v>
          </cell>
          <cell r="AY1824">
            <v>9.7222222222222224E-2</v>
          </cell>
          <cell r="AZ1824">
            <v>0.36805555555555558</v>
          </cell>
          <cell r="BA1824">
            <v>0.70277777777777772</v>
          </cell>
          <cell r="BB1824" t="str">
            <v>0.8*2.2*2.6</v>
          </cell>
          <cell r="BC1824" t="str">
            <v>0.8*2.2*2.6</v>
          </cell>
          <cell r="BD1824" t="str">
            <v>2*4*450</v>
          </cell>
          <cell r="BE1824">
            <v>15</v>
          </cell>
          <cell r="BF1824" t="str">
            <v>Vasanth</v>
          </cell>
          <cell r="BG1824" t="str">
            <v>NQ</v>
          </cell>
        </row>
        <row r="1825">
          <cell r="A1825" t="str">
            <v>FBR210122</v>
          </cell>
          <cell r="B1825">
            <v>210122</v>
          </cell>
          <cell r="C1825" t="str">
            <v>R&amp;D</v>
          </cell>
          <cell r="D1825">
            <v>44419</v>
          </cell>
          <cell r="E1825">
            <v>0.46250000000000002</v>
          </cell>
          <cell r="F1825">
            <v>44409</v>
          </cell>
          <cell r="G1825">
            <v>44419</v>
          </cell>
          <cell r="H1825">
            <v>0.57291666666666663</v>
          </cell>
          <cell r="I1825">
            <v>0.11041666666666666</v>
          </cell>
          <cell r="J1825">
            <v>4</v>
          </cell>
          <cell r="K1825" t="str">
            <v>FCB-PROTOCOL-01_v1</v>
          </cell>
          <cell r="L1825" t="str">
            <v>VYD/027</v>
          </cell>
          <cell r="M1825" t="str">
            <v>Y</v>
          </cell>
          <cell r="N1825" t="str">
            <v>No Study</v>
          </cell>
          <cell r="O1825" t="str">
            <v>1st level attrition</v>
          </cell>
          <cell r="S1825" t="str">
            <v>Q1 Rejected</v>
          </cell>
          <cell r="T1825" t="str">
            <v>Q2 Passed</v>
          </cell>
          <cell r="U1825" t="str">
            <v>Sample was to thin</v>
          </cell>
          <cell r="W1825" t="str">
            <v>Clinic'les</v>
          </cell>
          <cell r="X1825" t="str">
            <v>Clinic'les- Vydehi Hospital, Bangalore</v>
          </cell>
          <cell r="Y1825" t="str">
            <v>Vydehi Hospital, Bangalore</v>
          </cell>
          <cell r="Z1825" t="str">
            <v>Dr Amritha Prabha, Bangalore</v>
          </cell>
          <cell r="AA1825" t="str">
            <v>HNSCC</v>
          </cell>
          <cell r="AC1825" t="str">
            <v>Alveolus</v>
          </cell>
          <cell r="AD1825" t="str">
            <v>Right Lower Alveolus</v>
          </cell>
          <cell r="AE1825" t="str">
            <v>Female</v>
          </cell>
          <cell r="AF1825">
            <v>60</v>
          </cell>
          <cell r="AG1825" t="str">
            <v>No</v>
          </cell>
          <cell r="AI1825" t="str">
            <v>Kalappa</v>
          </cell>
          <cell r="AJ1825" t="str">
            <v>Surgery</v>
          </cell>
          <cell r="AK1825" t="str">
            <v>Primary</v>
          </cell>
          <cell r="AL1825" t="str">
            <v>Radiotherapy</v>
          </cell>
          <cell r="AS1825" t="str">
            <v>Squamous Cell Carcinoma</v>
          </cell>
        </row>
        <row r="1826">
          <cell r="A1826" t="str">
            <v>FBR1H210123</v>
          </cell>
          <cell r="B1826">
            <v>210123</v>
          </cell>
          <cell r="C1826" t="str">
            <v>R&amp;D</v>
          </cell>
          <cell r="D1826">
            <v>44419</v>
          </cell>
          <cell r="E1826">
            <v>0.50972222222222219</v>
          </cell>
          <cell r="F1826">
            <v>44409</v>
          </cell>
          <cell r="G1826">
            <v>44419</v>
          </cell>
          <cell r="H1826">
            <v>0.90277777777777779</v>
          </cell>
          <cell r="I1826">
            <v>0.39305555555555555</v>
          </cell>
          <cell r="J1826">
            <v>2</v>
          </cell>
          <cell r="K1826" t="str">
            <v>FCB-PROTOCOL-01_v1</v>
          </cell>
          <cell r="L1826" t="str">
            <v>CLN/DBR/010</v>
          </cell>
          <cell r="M1826" t="str">
            <v>Y</v>
          </cell>
          <cell r="N1826" t="str">
            <v>DMS_v3</v>
          </cell>
          <cell r="O1826" t="str">
            <v>Internal R&amp;D</v>
          </cell>
          <cell r="S1826" t="str">
            <v>Q1 Passed</v>
          </cell>
          <cell r="T1826" t="str">
            <v>Q2 Passed</v>
          </cell>
          <cell r="V1826" t="str">
            <v>Good tumor content</v>
          </cell>
          <cell r="W1826" t="str">
            <v>Clinic'les</v>
          </cell>
          <cell r="X1826" t="str">
            <v>Clinic'les- DBR &amp; SK Hospital, Tirupati</v>
          </cell>
          <cell r="Y1826" t="str">
            <v>DBR &amp; SK Hospital, Tirupati</v>
          </cell>
          <cell r="Z1826" t="str">
            <v>Dr C Jayaprakash, Tirupati</v>
          </cell>
          <cell r="AA1826" t="str">
            <v>HNSCC</v>
          </cell>
          <cell r="AC1826" t="str">
            <v>Buccal Mucosa</v>
          </cell>
          <cell r="AD1826" t="str">
            <v>Buccal Mucosa</v>
          </cell>
          <cell r="AE1826" t="str">
            <v>Female</v>
          </cell>
          <cell r="AF1826">
            <v>50</v>
          </cell>
          <cell r="AG1826" t="str">
            <v>No</v>
          </cell>
          <cell r="AI1826" t="str">
            <v>Sashi</v>
          </cell>
          <cell r="AJ1826" t="str">
            <v>Surgery</v>
          </cell>
          <cell r="AK1826" t="str">
            <v>Primary</v>
          </cell>
          <cell r="AL1826" t="str">
            <v>Chemotherapy</v>
          </cell>
          <cell r="AQ1826" t="str">
            <v>6 cycles</v>
          </cell>
          <cell r="AR1826" t="str">
            <v>Paclitaxel+ Carboplatin</v>
          </cell>
          <cell r="AS1826" t="str">
            <v>Well differentiated Squamous Cell Carcinoma</v>
          </cell>
          <cell r="AV1826">
            <v>44420</v>
          </cell>
          <cell r="AW1826">
            <v>0.91666666666666663</v>
          </cell>
          <cell r="AX1826">
            <v>0.98958333333333337</v>
          </cell>
          <cell r="AY1826">
            <v>7.2916666666666671E-2</v>
          </cell>
          <cell r="AZ1826">
            <v>1.3888888888888888E-2</v>
          </cell>
          <cell r="BA1826">
            <v>0.40694444444444444</v>
          </cell>
          <cell r="BB1826" t="str">
            <v>1.0*2.0*1.4</v>
          </cell>
          <cell r="BC1826" t="str">
            <v>1.0*2.0*1.4</v>
          </cell>
          <cell r="BD1826" t="str">
            <v>2*4*450</v>
          </cell>
          <cell r="BE1826">
            <v>15</v>
          </cell>
          <cell r="BF1826" t="str">
            <v>Vasanth</v>
          </cell>
          <cell r="BG1826" t="str">
            <v>Q</v>
          </cell>
        </row>
        <row r="1827">
          <cell r="A1827" t="str">
            <v>FBR1H210124</v>
          </cell>
          <cell r="B1827">
            <v>210124</v>
          </cell>
          <cell r="C1827" t="str">
            <v>R&amp;D</v>
          </cell>
          <cell r="D1827">
            <v>44420</v>
          </cell>
          <cell r="E1827">
            <v>0.55000000000000004</v>
          </cell>
          <cell r="F1827">
            <v>44409</v>
          </cell>
          <cell r="G1827">
            <v>44420</v>
          </cell>
          <cell r="H1827">
            <v>0.91319444444444442</v>
          </cell>
          <cell r="I1827">
            <v>0.36319444444444443</v>
          </cell>
          <cell r="J1827">
            <v>2</v>
          </cell>
          <cell r="K1827" t="str">
            <v>FCB-PROTOCOL-01_v1</v>
          </cell>
          <cell r="L1827" t="str">
            <v>CLN/DBR/011</v>
          </cell>
          <cell r="M1827" t="str">
            <v>Y</v>
          </cell>
          <cell r="N1827" t="str">
            <v>DMS_v3</v>
          </cell>
          <cell r="O1827" t="str">
            <v>Internal R&amp;D</v>
          </cell>
          <cell r="S1827" t="str">
            <v>Q1 Passed</v>
          </cell>
          <cell r="V1827" t="str">
            <v>Tumor present in all explants,high immune component</v>
          </cell>
          <cell r="W1827" t="str">
            <v>Clinic'les</v>
          </cell>
          <cell r="X1827" t="str">
            <v>Clinic'les- DBR &amp; SK Hospital, Tirupati</v>
          </cell>
          <cell r="Y1827" t="str">
            <v>DBR &amp; SK Hospital, Tirupati</v>
          </cell>
          <cell r="Z1827" t="str">
            <v>Dr C Jayaprakash, Tirupati</v>
          </cell>
          <cell r="AA1827" t="str">
            <v>HNSCC</v>
          </cell>
          <cell r="AC1827" t="str">
            <v>Buccal Mucosa</v>
          </cell>
          <cell r="AD1827" t="str">
            <v>Buccal Mucosa</v>
          </cell>
          <cell r="AE1827" t="str">
            <v>Female</v>
          </cell>
          <cell r="AF1827">
            <v>60</v>
          </cell>
          <cell r="AG1827" t="str">
            <v>No</v>
          </cell>
          <cell r="AI1827" t="str">
            <v>Sashi</v>
          </cell>
          <cell r="AJ1827" t="str">
            <v>Surgery</v>
          </cell>
          <cell r="AK1827" t="str">
            <v>Primary</v>
          </cell>
          <cell r="AN1827" t="str">
            <v>III</v>
          </cell>
          <cell r="AO1827" t="str">
            <v>III</v>
          </cell>
          <cell r="AP1827" t="str">
            <v>pT3N0Mx</v>
          </cell>
          <cell r="AS1827" t="str">
            <v>Moderately differentiated Squamous Cell Carcinoma</v>
          </cell>
          <cell r="AU1827" t="str">
            <v>Radiotherapy</v>
          </cell>
          <cell r="AV1827">
            <v>44421</v>
          </cell>
          <cell r="AW1827">
            <v>0.28472222222222221</v>
          </cell>
          <cell r="AX1827">
            <v>0.38194444444444442</v>
          </cell>
          <cell r="AY1827">
            <v>9.7222222222222224E-2</v>
          </cell>
          <cell r="AZ1827">
            <v>0.37152777777777779</v>
          </cell>
          <cell r="BA1827">
            <v>0.73472222222222228</v>
          </cell>
          <cell r="BB1827" t="str">
            <v>0.8*1.0*2.6
0.85*1.4*2.2</v>
          </cell>
          <cell r="BC1827" t="str">
            <v>0.8*1.0*2.6
0.85*1.4*2.2</v>
          </cell>
          <cell r="BD1827" t="str">
            <v>2*4*450</v>
          </cell>
          <cell r="BE1827">
            <v>15</v>
          </cell>
          <cell r="BF1827" t="str">
            <v>Vasanth</v>
          </cell>
          <cell r="BG1827" t="str">
            <v>Q</v>
          </cell>
        </row>
        <row r="1828">
          <cell r="A1828" t="str">
            <v>FBR1A210125</v>
          </cell>
          <cell r="B1828">
            <v>210125</v>
          </cell>
          <cell r="C1828" t="str">
            <v>R&amp;D</v>
          </cell>
          <cell r="D1828">
            <v>44422</v>
          </cell>
          <cell r="E1828">
            <v>0.72222222222222221</v>
          </cell>
          <cell r="F1828">
            <v>44409</v>
          </cell>
          <cell r="G1828">
            <v>44423</v>
          </cell>
          <cell r="H1828">
            <v>5.9027777777777776E-2</v>
          </cell>
          <cell r="I1828">
            <v>0.33680555555555558</v>
          </cell>
          <cell r="J1828">
            <v>50</v>
          </cell>
          <cell r="K1828" t="str">
            <v>MBT-TB-070 v1.1</v>
          </cell>
          <cell r="L1828" t="str">
            <v>CLN/TNG/002</v>
          </cell>
          <cell r="M1828" t="str">
            <v>Y</v>
          </cell>
          <cell r="N1828" t="str">
            <v>Other Indication</v>
          </cell>
          <cell r="O1828" t="str">
            <v>Internal R&amp;D</v>
          </cell>
          <cell r="S1828" t="str">
            <v>Q1 Rejected</v>
          </cell>
          <cell r="T1828" t="str">
            <v>Q2 Passed</v>
          </cell>
          <cell r="U1828" t="str">
            <v>Sample size was too small</v>
          </cell>
          <cell r="V1828" t="str">
            <v>Tumor present in about 7 out of 21 explants; pyknosis high</v>
          </cell>
          <cell r="W1828" t="str">
            <v>Clinic'les</v>
          </cell>
          <cell r="X1828" t="str">
            <v>Clinic'les- Thangam Hospital, Namakkal</v>
          </cell>
          <cell r="Y1828" t="str">
            <v>Thangam Hospital, Namakkal</v>
          </cell>
          <cell r="Z1828" t="str">
            <v>Dr Saravanan, Namakkal</v>
          </cell>
          <cell r="AA1828" t="str">
            <v>Ca Breast</v>
          </cell>
          <cell r="AC1828" t="str">
            <v>Breast</v>
          </cell>
          <cell r="AD1828" t="str">
            <v>Left Breast</v>
          </cell>
          <cell r="AE1828" t="str">
            <v>Female</v>
          </cell>
          <cell r="AF1828">
            <v>73</v>
          </cell>
          <cell r="AG1828" t="str">
            <v>No</v>
          </cell>
          <cell r="AI1828" t="str">
            <v>Sashi</v>
          </cell>
          <cell r="AJ1828" t="str">
            <v>Surgery</v>
          </cell>
          <cell r="AK1828" t="str">
            <v>Primary</v>
          </cell>
          <cell r="AN1828" t="str">
            <v>NA</v>
          </cell>
          <cell r="AO1828" t="str">
            <v>NA</v>
          </cell>
          <cell r="AV1828">
            <v>44423</v>
          </cell>
          <cell r="AW1828">
            <v>0.30208333333333331</v>
          </cell>
          <cell r="AX1828">
            <v>0.35416666666666669</v>
          </cell>
          <cell r="AY1828">
            <v>5.2083333333333336E-2</v>
          </cell>
          <cell r="AZ1828">
            <v>0.24305555555555555</v>
          </cell>
          <cell r="BA1828">
            <v>0.57986111111111116</v>
          </cell>
          <cell r="BB1828" t="str">
            <v>0.4*0.6*1.2</v>
          </cell>
          <cell r="BC1828" t="str">
            <v>0.4*0.6*1.2</v>
          </cell>
          <cell r="BD1828" t="str">
            <v>2*2*2</v>
          </cell>
          <cell r="BE1828">
            <v>15</v>
          </cell>
          <cell r="BF1828" t="str">
            <v>Kowshik</v>
          </cell>
          <cell r="BG1828" t="str">
            <v>Q</v>
          </cell>
        </row>
        <row r="1829">
          <cell r="A1829" t="str">
            <v>FBB1B210126</v>
          </cell>
          <cell r="B1829">
            <v>210126</v>
          </cell>
          <cell r="C1829" t="str">
            <v>Biopharma</v>
          </cell>
          <cell r="D1829">
            <v>44424</v>
          </cell>
          <cell r="E1829">
            <v>0.59861111111111109</v>
          </cell>
          <cell r="F1829">
            <v>44409</v>
          </cell>
          <cell r="G1829">
            <v>44424</v>
          </cell>
          <cell r="H1829">
            <v>0.96180555555555558</v>
          </cell>
          <cell r="I1829">
            <v>0.36319444444444443</v>
          </cell>
          <cell r="J1829">
            <v>2</v>
          </cell>
          <cell r="K1829" t="str">
            <v>FCB-PROTOCOL-01_v1</v>
          </cell>
          <cell r="L1829" t="str">
            <v>CLN/DBR/012</v>
          </cell>
          <cell r="M1829" t="str">
            <v>Y</v>
          </cell>
          <cell r="N1829" t="str">
            <v>BP002_SOW1_2021</v>
          </cell>
          <cell r="O1829" t="str">
            <v>Biopharma</v>
          </cell>
          <cell r="S1829" t="str">
            <v>Q1 Passed</v>
          </cell>
          <cell r="T1829" t="str">
            <v>Q2 Passed</v>
          </cell>
          <cell r="V1829" t="str">
            <v>Good tumor content, pyknosisi high</v>
          </cell>
          <cell r="W1829" t="str">
            <v>Clinic'les</v>
          </cell>
          <cell r="X1829" t="str">
            <v>Clinic'les- DBR &amp; SK Hospital, Tirupati</v>
          </cell>
          <cell r="Y1829" t="str">
            <v>DBR &amp; SK Hospital, Tirupati</v>
          </cell>
          <cell r="Z1829" t="str">
            <v>Dr C Jayaprakash, Tirupati</v>
          </cell>
          <cell r="AA1829" t="str">
            <v>HNSCC</v>
          </cell>
          <cell r="AC1829" t="str">
            <v>Buccal Mucosa</v>
          </cell>
          <cell r="AD1829" t="str">
            <v>Buccal Mucosa</v>
          </cell>
          <cell r="AE1829" t="str">
            <v>Female</v>
          </cell>
          <cell r="AF1829">
            <v>54</v>
          </cell>
          <cell r="AG1829" t="str">
            <v>No</v>
          </cell>
          <cell r="AI1829" t="str">
            <v>Partha</v>
          </cell>
          <cell r="AJ1829" t="str">
            <v>Surgery</v>
          </cell>
          <cell r="AK1829" t="str">
            <v>Primary</v>
          </cell>
          <cell r="AN1829" t="str">
            <v>II</v>
          </cell>
          <cell r="AO1829" t="str">
            <v>II</v>
          </cell>
          <cell r="AP1829" t="str">
            <v>pT2N0Mx</v>
          </cell>
          <cell r="AS1829" t="str">
            <v>Moderately differentiated Squamous Cell Carcinoma</v>
          </cell>
          <cell r="AV1829">
            <v>44425</v>
          </cell>
          <cell r="AW1829">
            <v>0.25694444444444442</v>
          </cell>
          <cell r="AX1829">
            <v>0.34375</v>
          </cell>
          <cell r="AY1829">
            <v>8.6805555555555552E-2</v>
          </cell>
          <cell r="AZ1829">
            <v>0.2951388888888889</v>
          </cell>
          <cell r="BA1829">
            <v>0.65833333333333333</v>
          </cell>
          <cell r="BB1829" t="str">
            <v>0.4*1.6*1.8
0.4*0.6*0.6</v>
          </cell>
          <cell r="BC1829" t="str">
            <v>0.4*1.6*1.8
0.4*0.6*0.6</v>
          </cell>
          <cell r="BD1829" t="str">
            <v>2*4*450</v>
          </cell>
          <cell r="BE1829">
            <v>15</v>
          </cell>
          <cell r="BF1829" t="str">
            <v>Vasanth</v>
          </cell>
          <cell r="BG1829" t="str">
            <v>Q</v>
          </cell>
        </row>
        <row r="1830">
          <cell r="A1830" t="str">
            <v>FBR1H210127</v>
          </cell>
          <cell r="B1830">
            <v>210127</v>
          </cell>
          <cell r="C1830" t="str">
            <v>R&amp;D</v>
          </cell>
          <cell r="D1830">
            <v>44424</v>
          </cell>
          <cell r="E1830">
            <v>0.64583333333333337</v>
          </cell>
          <cell r="F1830">
            <v>44409</v>
          </cell>
          <cell r="G1830">
            <v>44424</v>
          </cell>
          <cell r="H1830">
            <v>0.96180555555555558</v>
          </cell>
          <cell r="I1830">
            <v>0.31597222222222221</v>
          </cell>
          <cell r="J1830">
            <v>2</v>
          </cell>
          <cell r="K1830" t="str">
            <v>FCB-PROTOCOL-01_v1</v>
          </cell>
          <cell r="L1830" t="str">
            <v>CLN/DBR/013</v>
          </cell>
          <cell r="M1830" t="str">
            <v>Y</v>
          </cell>
          <cell r="N1830" t="str">
            <v>DMS_v3</v>
          </cell>
          <cell r="O1830" t="str">
            <v>Internal R&amp;D</v>
          </cell>
          <cell r="S1830" t="str">
            <v>Q1 Passed</v>
          </cell>
          <cell r="T1830" t="str">
            <v>Q2 Passed</v>
          </cell>
          <cell r="V1830" t="str">
            <v xml:space="preserve">Good tumor content with immune component  </v>
          </cell>
          <cell r="W1830" t="str">
            <v>Clinic'les</v>
          </cell>
          <cell r="X1830" t="str">
            <v>Clinic'les- DBR &amp; SK Hospital, Tirupati</v>
          </cell>
          <cell r="Y1830" t="str">
            <v>DBR &amp; SK Hospital, Tirupati</v>
          </cell>
          <cell r="Z1830" t="str">
            <v>Dr C Jayaprakash, Tirupati</v>
          </cell>
          <cell r="AA1830" t="str">
            <v>HNSCC</v>
          </cell>
          <cell r="AC1830" t="str">
            <v>Buccal Mucosa</v>
          </cell>
          <cell r="AD1830" t="str">
            <v>Buccal Mucosa</v>
          </cell>
          <cell r="AE1830" t="str">
            <v>Male</v>
          </cell>
          <cell r="AF1830">
            <v>40</v>
          </cell>
          <cell r="AG1830" t="str">
            <v>No</v>
          </cell>
          <cell r="AI1830" t="str">
            <v>Partha</v>
          </cell>
          <cell r="AJ1830" t="str">
            <v>Surgery</v>
          </cell>
          <cell r="AK1830" t="str">
            <v>Primary</v>
          </cell>
          <cell r="AN1830" t="str">
            <v>III</v>
          </cell>
          <cell r="AO1830" t="str">
            <v>III</v>
          </cell>
          <cell r="AP1830" t="str">
            <v>pT3N1Mx</v>
          </cell>
          <cell r="AS1830" t="str">
            <v>Well differentiated Squamous Cell Carcinoma</v>
          </cell>
          <cell r="AU1830" t="str">
            <v>Radiotherapy</v>
          </cell>
          <cell r="AV1830">
            <v>44425</v>
          </cell>
          <cell r="AW1830">
            <v>0.33333333333333331</v>
          </cell>
          <cell r="AX1830">
            <v>0.42499999999999999</v>
          </cell>
          <cell r="AY1830">
            <v>9.166666666666666E-2</v>
          </cell>
          <cell r="AZ1830">
            <v>0.37152777777777779</v>
          </cell>
          <cell r="BA1830">
            <v>0.6875</v>
          </cell>
          <cell r="BB1830" t="str">
            <v>0.8*2.2*2.0</v>
          </cell>
          <cell r="BC1830" t="str">
            <v>0.8*2.2*2.0</v>
          </cell>
          <cell r="BD1830" t="str">
            <v>2*4*450</v>
          </cell>
          <cell r="BE1830">
            <v>15</v>
          </cell>
          <cell r="BF1830" t="str">
            <v>Vasanth</v>
          </cell>
          <cell r="BG1830" t="str">
            <v>Q</v>
          </cell>
        </row>
        <row r="1831">
          <cell r="A1831" t="str">
            <v>FBB1B210128</v>
          </cell>
          <cell r="B1831">
            <v>210128</v>
          </cell>
          <cell r="C1831" t="str">
            <v>Biopharma</v>
          </cell>
          <cell r="D1831">
            <v>44425</v>
          </cell>
          <cell r="E1831">
            <v>0.41666666666666669</v>
          </cell>
          <cell r="F1831">
            <v>44409</v>
          </cell>
          <cell r="G1831">
            <v>44425</v>
          </cell>
          <cell r="H1831">
            <v>0.52222222222222225</v>
          </cell>
          <cell r="I1831">
            <v>0.10555555555555556</v>
          </cell>
          <cell r="J1831">
            <v>5</v>
          </cell>
          <cell r="K1831" t="str">
            <v>FCB-PROTOCOL-01_v1</v>
          </cell>
          <cell r="L1831" t="str">
            <v>VYD/028</v>
          </cell>
          <cell r="M1831" t="str">
            <v>Y</v>
          </cell>
          <cell r="N1831" t="str">
            <v>BP002_SOW1_2021</v>
          </cell>
          <cell r="O1831" t="str">
            <v>Biopharma</v>
          </cell>
          <cell r="S1831" t="str">
            <v>Q1 Passed</v>
          </cell>
          <cell r="T1831" t="str">
            <v>Q2 Passed</v>
          </cell>
          <cell r="V1831" t="str">
            <v>2/7 explants have no or minimal tumor; rest have good tumor content</v>
          </cell>
          <cell r="W1831" t="str">
            <v>Clinic'les</v>
          </cell>
          <cell r="X1831" t="str">
            <v>Clinic'les- Vydehi Hospital, Bangalore</v>
          </cell>
          <cell r="Y1831" t="str">
            <v>Vydehi Hospital, Bangalore</v>
          </cell>
          <cell r="Z1831" t="str">
            <v>Dr Amritha Prabha, Bangalore</v>
          </cell>
          <cell r="AA1831" t="str">
            <v>HNSCC</v>
          </cell>
          <cell r="AC1831" t="str">
            <v>Tongue</v>
          </cell>
          <cell r="AD1831" t="str">
            <v>Right Lateral border of tongue</v>
          </cell>
          <cell r="AE1831" t="str">
            <v>Male</v>
          </cell>
          <cell r="AF1831">
            <v>60</v>
          </cell>
          <cell r="AG1831" t="str">
            <v>No</v>
          </cell>
          <cell r="AI1831" t="str">
            <v>Kalappa</v>
          </cell>
          <cell r="AJ1831" t="str">
            <v>Surgery</v>
          </cell>
          <cell r="AK1831" t="str">
            <v>Primary</v>
          </cell>
          <cell r="AN1831" t="str">
            <v>II</v>
          </cell>
          <cell r="AO1831">
            <v>2</v>
          </cell>
          <cell r="AP1831" t="str">
            <v>pT2N0</v>
          </cell>
          <cell r="AS1831" t="str">
            <v>Squamous Cell Carcinoma</v>
          </cell>
          <cell r="AT1831" t="str">
            <v>Radiotherapy</v>
          </cell>
          <cell r="AV1831">
            <v>44425</v>
          </cell>
          <cell r="AW1831">
            <v>0.5625</v>
          </cell>
          <cell r="AX1831">
            <v>0.65277777777777779</v>
          </cell>
          <cell r="AY1831">
            <v>9.0277777777777776E-2</v>
          </cell>
          <cell r="AZ1831">
            <v>4.027777777777778E-2</v>
          </cell>
          <cell r="BA1831">
            <v>0.14583333333333334</v>
          </cell>
          <cell r="BB1831" t="str">
            <v>1.4*1.0
1.4*1.2</v>
          </cell>
          <cell r="BC1831" t="str">
            <v>1.4*1.0
1.4*1.2</v>
          </cell>
          <cell r="BD1831" t="str">
            <v>2*4*450</v>
          </cell>
          <cell r="BE1831">
            <v>15</v>
          </cell>
          <cell r="BF1831" t="str">
            <v>Vasanth</v>
          </cell>
          <cell r="BG1831" t="str">
            <v>Q</v>
          </cell>
        </row>
        <row r="1832">
          <cell r="A1832" t="str">
            <v>FBR1A210129</v>
          </cell>
          <cell r="B1832">
            <v>210129</v>
          </cell>
          <cell r="C1832" t="str">
            <v>R&amp;D</v>
          </cell>
          <cell r="D1832">
            <v>44425</v>
          </cell>
          <cell r="E1832">
            <v>0.52847222222222223</v>
          </cell>
          <cell r="F1832">
            <v>44409</v>
          </cell>
          <cell r="G1832">
            <v>44425</v>
          </cell>
          <cell r="H1832">
            <v>0.86111111111111116</v>
          </cell>
          <cell r="I1832">
            <v>0.33263888888888887</v>
          </cell>
          <cell r="J1832">
            <v>2</v>
          </cell>
          <cell r="K1832" t="str">
            <v>FCB-PROTOCOL-01_v1</v>
          </cell>
          <cell r="L1832" t="str">
            <v>CLN/DBR/014</v>
          </cell>
          <cell r="M1832" t="str">
            <v>Y</v>
          </cell>
          <cell r="N1832" t="str">
            <v>Other Indication</v>
          </cell>
          <cell r="O1832" t="str">
            <v>Internal R&amp;D</v>
          </cell>
          <cell r="S1832" t="str">
            <v>Q1 Passed</v>
          </cell>
          <cell r="T1832" t="str">
            <v>Q2 Passed</v>
          </cell>
          <cell r="V1832" t="str">
            <v>Good tumor content</v>
          </cell>
          <cell r="W1832" t="str">
            <v>Clinic'les</v>
          </cell>
          <cell r="X1832" t="str">
            <v>Clinic'les- DBR &amp; SK Hospital, Tirupati</v>
          </cell>
          <cell r="Y1832" t="str">
            <v>DBR &amp; SK Hospital, Tirupati</v>
          </cell>
          <cell r="Z1832" t="str">
            <v>Dr C Jayaprakash, Tirupati</v>
          </cell>
          <cell r="AA1832" t="str">
            <v>Ca Ovary</v>
          </cell>
          <cell r="AC1832" t="str">
            <v>Ovary</v>
          </cell>
          <cell r="AD1832" t="str">
            <v>Ovary</v>
          </cell>
          <cell r="AE1832" t="str">
            <v>Female</v>
          </cell>
          <cell r="AF1832">
            <v>46</v>
          </cell>
          <cell r="AG1832" t="str">
            <v>No</v>
          </cell>
          <cell r="AI1832" t="str">
            <v>Kalappa</v>
          </cell>
          <cell r="AJ1832" t="str">
            <v>Surgery</v>
          </cell>
          <cell r="AK1832" t="str">
            <v>Primary</v>
          </cell>
          <cell r="AL1832" t="str">
            <v>Chemotherapy</v>
          </cell>
          <cell r="AQ1832" t="str">
            <v>6 cycles</v>
          </cell>
          <cell r="AR1832" t="str">
            <v>Paclitaxel+ Carboplatin</v>
          </cell>
          <cell r="AS1832" t="str">
            <v>Adenocarcinoma of Ovary</v>
          </cell>
          <cell r="AV1832">
            <v>44425</v>
          </cell>
          <cell r="AW1832">
            <v>0.88194444444444442</v>
          </cell>
          <cell r="AX1832">
            <v>0.9375</v>
          </cell>
          <cell r="AY1832">
            <v>5.5555555555555552E-2</v>
          </cell>
          <cell r="AZ1832">
            <v>2.0833333333333332E-2</v>
          </cell>
          <cell r="BA1832">
            <v>0.35347222222222224</v>
          </cell>
          <cell r="BB1832" t="str">
            <v>2.6*2.2*3.6</v>
          </cell>
          <cell r="BC1832" t="str">
            <v>2.6*2.2*3.6</v>
          </cell>
          <cell r="BD1832" t="str">
            <v>2*2*2</v>
          </cell>
          <cell r="BE1832">
            <v>15</v>
          </cell>
          <cell r="BF1832" t="str">
            <v>Gowri</v>
          </cell>
          <cell r="BG1832" t="str">
            <v>Q</v>
          </cell>
        </row>
        <row r="1833">
          <cell r="A1833" t="str">
            <v>FBR1H210130</v>
          </cell>
          <cell r="B1833">
            <v>210130</v>
          </cell>
          <cell r="C1833" t="str">
            <v>R&amp;D</v>
          </cell>
          <cell r="D1833">
            <v>44425</v>
          </cell>
          <cell r="E1833">
            <v>0.64722222222222225</v>
          </cell>
          <cell r="F1833">
            <v>44409</v>
          </cell>
          <cell r="G1833">
            <v>44425</v>
          </cell>
          <cell r="H1833">
            <v>0.97222222222222221</v>
          </cell>
          <cell r="I1833">
            <v>0.32500000000000001</v>
          </cell>
          <cell r="J1833">
            <v>2</v>
          </cell>
          <cell r="K1833" t="str">
            <v>FCB-PROTOCOL-01_v1</v>
          </cell>
          <cell r="L1833" t="str">
            <v>CLN/DBR/015</v>
          </cell>
          <cell r="M1833" t="str">
            <v>Y</v>
          </cell>
          <cell r="N1833" t="str">
            <v>DMS_v3</v>
          </cell>
          <cell r="O1833" t="str">
            <v>Internal R&amp;D</v>
          </cell>
          <cell r="S1833" t="str">
            <v>Q1 Passed</v>
          </cell>
          <cell r="T1833" t="str">
            <v>Q2 Passed</v>
          </cell>
          <cell r="V1833" t="str">
            <v>Fragmented tissues with hemorrhagic areas.Scattered few dyscohesive tumor cells with ? Pre -</v>
          </cell>
          <cell r="W1833" t="str">
            <v>Clinic'les</v>
          </cell>
          <cell r="X1833" t="str">
            <v>Clinic'les- DBR &amp; SK Hospital, Tirupati</v>
          </cell>
          <cell r="Y1833" t="str">
            <v>DBR &amp; SK Hospital, Tirupati</v>
          </cell>
          <cell r="Z1833" t="str">
            <v>Dr C Jayaprakash, Tirupati</v>
          </cell>
          <cell r="AA1833" t="str">
            <v>HNSCC</v>
          </cell>
          <cell r="AC1833" t="str">
            <v>Buccal Mucosa</v>
          </cell>
          <cell r="AD1833" t="str">
            <v>Buccal Mucosa</v>
          </cell>
          <cell r="AE1833" t="str">
            <v>Male</v>
          </cell>
          <cell r="AF1833">
            <v>43</v>
          </cell>
          <cell r="AG1833" t="str">
            <v>No</v>
          </cell>
          <cell r="AI1833" t="str">
            <v>Sashi</v>
          </cell>
          <cell r="AJ1833" t="str">
            <v>Surgery</v>
          </cell>
          <cell r="AK1833" t="str">
            <v>Primary</v>
          </cell>
          <cell r="AS1833" t="str">
            <v>Moderately differentiated Squamous Cell Carcinoma</v>
          </cell>
          <cell r="AV1833">
            <v>44426</v>
          </cell>
          <cell r="AW1833">
            <v>0.27777777777777779</v>
          </cell>
          <cell r="AX1833">
            <v>0.3888888888888889</v>
          </cell>
          <cell r="AY1833">
            <v>0.1111111111111111</v>
          </cell>
          <cell r="AZ1833">
            <v>0.30555555555555558</v>
          </cell>
          <cell r="BA1833">
            <v>0.63055555555555554</v>
          </cell>
          <cell r="BB1833" t="str">
            <v>0.6*2.2*2.8</v>
          </cell>
          <cell r="BC1833" t="str">
            <v>0.4*1.4*2.4
0.6*1.6*1.8
0.6*1.6*1.8</v>
          </cell>
          <cell r="BD1833" t="str">
            <v>2*4*450</v>
          </cell>
          <cell r="BE1833">
            <v>15</v>
          </cell>
          <cell r="BF1833" t="str">
            <v>Rajshekhar</v>
          </cell>
          <cell r="BG1833" t="str">
            <v>Q</v>
          </cell>
        </row>
        <row r="1834">
          <cell r="A1834" t="str">
            <v>FBR1H210131</v>
          </cell>
          <cell r="B1834">
            <v>210131</v>
          </cell>
          <cell r="C1834" t="str">
            <v>R&amp;D</v>
          </cell>
          <cell r="D1834">
            <v>44427</v>
          </cell>
          <cell r="E1834">
            <v>0.56111111111111112</v>
          </cell>
          <cell r="F1834">
            <v>44409</v>
          </cell>
          <cell r="G1834">
            <v>44427</v>
          </cell>
          <cell r="H1834">
            <v>0.88124999999999998</v>
          </cell>
          <cell r="I1834">
            <v>0.32013888888888886</v>
          </cell>
          <cell r="J1834">
            <v>2</v>
          </cell>
          <cell r="K1834" t="str">
            <v>FCB-PROTOCOL-01_v1</v>
          </cell>
          <cell r="L1834" t="str">
            <v>CLN/DBR/016</v>
          </cell>
          <cell r="M1834" t="str">
            <v>Y</v>
          </cell>
          <cell r="N1834" t="str">
            <v>DMS_v3</v>
          </cell>
          <cell r="O1834" t="str">
            <v>Internal R&amp;D</v>
          </cell>
          <cell r="S1834" t="str">
            <v>Q1 Passed</v>
          </cell>
          <cell r="T1834" t="str">
            <v>Q2 Passed</v>
          </cell>
          <cell r="V1834" t="str">
            <v>Tumor present in most explants. Immune component high. Some explants fragmented.</v>
          </cell>
          <cell r="W1834" t="str">
            <v>Clinic'les</v>
          </cell>
          <cell r="X1834" t="str">
            <v>Clinic'les- DBR &amp; SK Hospital, Tirupati</v>
          </cell>
          <cell r="Y1834" t="str">
            <v>DBR &amp; SK Hospital, Tirupati</v>
          </cell>
          <cell r="Z1834" t="str">
            <v>Dr C Jayaprakash, Tirupati</v>
          </cell>
          <cell r="AA1834" t="str">
            <v>HNSCC</v>
          </cell>
          <cell r="AC1834" t="str">
            <v>Buccal Mucosa</v>
          </cell>
          <cell r="AD1834" t="str">
            <v>Buccal Mucosa</v>
          </cell>
          <cell r="AE1834" t="str">
            <v>Female</v>
          </cell>
          <cell r="AF1834">
            <v>61</v>
          </cell>
          <cell r="AG1834" t="str">
            <v>No</v>
          </cell>
          <cell r="AI1834" t="str">
            <v>Partha</v>
          </cell>
          <cell r="AJ1834" t="str">
            <v>Surgery</v>
          </cell>
          <cell r="AK1834" t="str">
            <v>Primary</v>
          </cell>
          <cell r="AN1834" t="str">
            <v>IVB</v>
          </cell>
          <cell r="AP1834" t="str">
            <v>pT4bN0Mx</v>
          </cell>
          <cell r="AS1834" t="str">
            <v>Well differentiated Squamous Cell Carcinoma</v>
          </cell>
          <cell r="AU1834" t="str">
            <v>Radiotherapy</v>
          </cell>
          <cell r="AV1834">
            <v>44427</v>
          </cell>
          <cell r="AW1834">
            <v>0.89652777777777781</v>
          </cell>
          <cell r="AX1834">
            <v>0.96875</v>
          </cell>
          <cell r="AY1834">
            <v>7.2222222222222215E-2</v>
          </cell>
          <cell r="AZ1834">
            <v>1.5277777777777777E-2</v>
          </cell>
          <cell r="BA1834">
            <v>0.33541666666666664</v>
          </cell>
          <cell r="BB1834" t="str">
            <v>0.4*0.4*1.0
0.4*0.8*1.6
0.2*0.6*0.6</v>
          </cell>
          <cell r="BC1834" t="str">
            <v>0.4*0.4*1.0
0.2*0.8*1.6
0.2*0.6*0.6</v>
          </cell>
          <cell r="BD1834" t="str">
            <v>2*4*450</v>
          </cell>
          <cell r="BE1834">
            <v>15</v>
          </cell>
          <cell r="BF1834" t="str">
            <v>Gowri</v>
          </cell>
          <cell r="BG1834" t="str">
            <v>Q</v>
          </cell>
        </row>
        <row r="1835">
          <cell r="A1835" t="str">
            <v>FBB1B210132</v>
          </cell>
          <cell r="B1835">
            <v>210132</v>
          </cell>
          <cell r="C1835" t="str">
            <v>Biopharma</v>
          </cell>
          <cell r="D1835">
            <v>44429</v>
          </cell>
          <cell r="E1835">
            <v>0.54583333333333328</v>
          </cell>
          <cell r="F1835">
            <v>44409</v>
          </cell>
          <cell r="G1835">
            <v>44429</v>
          </cell>
          <cell r="H1835">
            <v>0.61111111111111116</v>
          </cell>
          <cell r="I1835">
            <v>6.5277777777777782E-2</v>
          </cell>
          <cell r="J1835">
            <v>2</v>
          </cell>
          <cell r="K1835" t="str">
            <v>FCB-PROTOCOL-01_v1</v>
          </cell>
          <cell r="L1835" t="str">
            <v>VYD/029</v>
          </cell>
          <cell r="M1835" t="str">
            <v>Y</v>
          </cell>
          <cell r="N1835" t="str">
            <v>BP002_SOW1_2021</v>
          </cell>
          <cell r="O1835" t="str">
            <v>Biopharma</v>
          </cell>
          <cell r="S1835" t="str">
            <v>Q1 Passed</v>
          </cell>
          <cell r="T1835" t="str">
            <v>Q2 Passed</v>
          </cell>
          <cell r="V1835" t="str">
            <v>Tumor in 5/7 explants</v>
          </cell>
          <cell r="W1835" t="str">
            <v>Clinic'les</v>
          </cell>
          <cell r="X1835" t="str">
            <v>Clinic'les- Vydehi Hospital, Bangalore</v>
          </cell>
          <cell r="Y1835" t="str">
            <v>Vydehi Hospital, Bangalore</v>
          </cell>
          <cell r="Z1835" t="str">
            <v>Dr Amritha Prabha, Bangalore</v>
          </cell>
          <cell r="AA1835" t="str">
            <v>HNSCC</v>
          </cell>
          <cell r="AC1835" t="str">
            <v>GBS</v>
          </cell>
          <cell r="AD1835" t="str">
            <v>Left Lower GBS</v>
          </cell>
          <cell r="AE1835" t="str">
            <v>Male</v>
          </cell>
          <cell r="AF1835">
            <v>48</v>
          </cell>
          <cell r="AG1835" t="str">
            <v>No</v>
          </cell>
          <cell r="AI1835" t="str">
            <v>Sashi</v>
          </cell>
          <cell r="AJ1835" t="str">
            <v>Surgery</v>
          </cell>
          <cell r="AK1835" t="str">
            <v>Primary</v>
          </cell>
          <cell r="AN1835" t="str">
            <v>III</v>
          </cell>
          <cell r="AO1835">
            <v>2</v>
          </cell>
          <cell r="AP1835" t="str">
            <v>pT3N0</v>
          </cell>
          <cell r="AS1835" t="str">
            <v>Squamous Cell Carcinoma</v>
          </cell>
          <cell r="AT1835" t="str">
            <v>Radiotherapy</v>
          </cell>
          <cell r="AV1835">
            <v>44429</v>
          </cell>
          <cell r="AW1835">
            <v>0.6694444444444444</v>
          </cell>
          <cell r="AX1835">
            <v>0.77430555555555558</v>
          </cell>
          <cell r="AY1835">
            <v>0.10486111111111111</v>
          </cell>
          <cell r="AZ1835">
            <v>5.8333333333333334E-2</v>
          </cell>
          <cell r="BA1835">
            <v>0.12361111111111112</v>
          </cell>
          <cell r="BB1835" t="str">
            <v>1.0*1.6*1.8</v>
          </cell>
          <cell r="BC1835" t="str">
            <v>1.0*1.6*1.8</v>
          </cell>
          <cell r="BD1835" t="str">
            <v>2*4*450</v>
          </cell>
          <cell r="BE1835">
            <v>15</v>
          </cell>
          <cell r="BF1835" t="str">
            <v>Gowri</v>
          </cell>
          <cell r="BG1835" t="str">
            <v>Q</v>
          </cell>
        </row>
        <row r="1836">
          <cell r="A1836" t="str">
            <v>FBR1H210133</v>
          </cell>
          <cell r="B1836">
            <v>210133</v>
          </cell>
          <cell r="C1836" t="str">
            <v>R&amp;D</v>
          </cell>
          <cell r="D1836">
            <v>44429</v>
          </cell>
          <cell r="E1836">
            <v>0.49166666666666664</v>
          </cell>
          <cell r="F1836">
            <v>44409</v>
          </cell>
          <cell r="G1836">
            <v>44429</v>
          </cell>
          <cell r="H1836">
            <v>0.80555555555555558</v>
          </cell>
          <cell r="I1836">
            <v>0.31388888888888888</v>
          </cell>
          <cell r="J1836">
            <v>2</v>
          </cell>
          <cell r="K1836" t="str">
            <v>FCB-PROTOCOL-01_v1</v>
          </cell>
          <cell r="L1836" t="str">
            <v>CLN/DBR/017</v>
          </cell>
          <cell r="M1836" t="str">
            <v>Y</v>
          </cell>
          <cell r="N1836" t="str">
            <v>DMS_v3</v>
          </cell>
          <cell r="O1836" t="str">
            <v>Internal R&amp;D</v>
          </cell>
          <cell r="S1836" t="str">
            <v>Q1 Passed</v>
          </cell>
          <cell r="T1836" t="str">
            <v>Q2 Rejected</v>
          </cell>
          <cell r="V1836" t="str">
            <v>Good tumor content</v>
          </cell>
          <cell r="W1836" t="str">
            <v>Clinic'les</v>
          </cell>
          <cell r="X1836" t="str">
            <v>Clinic'les- DBR &amp; SK Hospital, Tirupati</v>
          </cell>
          <cell r="Y1836" t="str">
            <v>DBR &amp; SK Hospital, Tirupati</v>
          </cell>
          <cell r="Z1836" t="str">
            <v>Dr C Jayaprakash, Tirupati</v>
          </cell>
          <cell r="AA1836" t="str">
            <v>HNSCC</v>
          </cell>
          <cell r="AC1836" t="str">
            <v>Buccal Mucosa</v>
          </cell>
          <cell r="AD1836" t="str">
            <v>Buccal Mucosa</v>
          </cell>
          <cell r="AE1836" t="str">
            <v>Female</v>
          </cell>
          <cell r="AF1836">
            <v>46</v>
          </cell>
          <cell r="AG1836" t="str">
            <v>No</v>
          </cell>
          <cell r="AI1836" t="str">
            <v>Kalappa</v>
          </cell>
          <cell r="AJ1836" t="str">
            <v>Surgery</v>
          </cell>
          <cell r="AK1836" t="str">
            <v>Primary</v>
          </cell>
          <cell r="AN1836" t="str">
            <v>IVA</v>
          </cell>
          <cell r="AP1836" t="str">
            <v>pT3N2Mx</v>
          </cell>
          <cell r="AS1836" t="str">
            <v>Well differentiated Squamous Cell Carcinoma</v>
          </cell>
          <cell r="AV1836">
            <v>44429</v>
          </cell>
          <cell r="AW1836">
            <v>0.83888888888888891</v>
          </cell>
          <cell r="AX1836">
            <v>0.42152777777777778</v>
          </cell>
          <cell r="AY1836">
            <v>0.58263888888888893</v>
          </cell>
          <cell r="AZ1836">
            <v>3.3333333333333333E-2</v>
          </cell>
          <cell r="BA1836">
            <v>0.34722222222222221</v>
          </cell>
          <cell r="BB1836" t="str">
            <v>0.65*1.0*1.8</v>
          </cell>
          <cell r="BC1836" t="str">
            <v>0.65*1.0*1.8</v>
          </cell>
          <cell r="BD1836" t="str">
            <v>2*4*450</v>
          </cell>
          <cell r="BE1836">
            <v>15</v>
          </cell>
          <cell r="BF1836" t="str">
            <v>Gowri</v>
          </cell>
          <cell r="BG1836" t="str">
            <v>Q</v>
          </cell>
        </row>
        <row r="1837">
          <cell r="A1837" t="str">
            <v>FBR1A210134</v>
          </cell>
          <cell r="B1837">
            <v>210134</v>
          </cell>
          <cell r="C1837" t="str">
            <v>R&amp;D</v>
          </cell>
          <cell r="D1837">
            <v>44431</v>
          </cell>
          <cell r="E1837">
            <v>0.59027777777777779</v>
          </cell>
          <cell r="F1837">
            <v>44409</v>
          </cell>
          <cell r="G1837">
            <v>44431</v>
          </cell>
          <cell r="H1837">
            <v>0.79583333333333328</v>
          </cell>
          <cell r="I1837">
            <v>0.20555555555555555</v>
          </cell>
          <cell r="J1837">
            <v>50</v>
          </cell>
          <cell r="K1837" t="str">
            <v>MBT-TB-070 v1.1</v>
          </cell>
          <cell r="L1837" t="str">
            <v>CLN/SMG/007</v>
          </cell>
          <cell r="M1837" t="str">
            <v>Y</v>
          </cell>
          <cell r="N1837" t="str">
            <v>Other Indication</v>
          </cell>
          <cell r="O1837" t="str">
            <v>Internal R&amp;D</v>
          </cell>
          <cell r="S1837" t="str">
            <v>Q1 Passed</v>
          </cell>
          <cell r="T1837" t="str">
            <v>Q2 Passed</v>
          </cell>
          <cell r="U1837" t="str">
            <v>T24 terminated due to  low tumor content</v>
          </cell>
          <cell r="V1837" t="str">
            <v>Few suspicious cells for malignancy seen</v>
          </cell>
          <cell r="W1837" t="str">
            <v>Clinic'les</v>
          </cell>
          <cell r="X1837" t="str">
            <v>Clinic'les- Shanmuga Hospital, Salem</v>
          </cell>
          <cell r="Y1837" t="str">
            <v>Shanmuga Hospital, Salem</v>
          </cell>
          <cell r="AA1837" t="str">
            <v>Ca Ovary</v>
          </cell>
          <cell r="AC1837" t="str">
            <v>Ovary</v>
          </cell>
          <cell r="AD1837" t="str">
            <v>Bilateral Ovary</v>
          </cell>
          <cell r="AE1837" t="str">
            <v>Female</v>
          </cell>
          <cell r="AF1837">
            <v>58</v>
          </cell>
          <cell r="AG1837" t="str">
            <v>No</v>
          </cell>
          <cell r="AI1837" t="str">
            <v>Partha</v>
          </cell>
          <cell r="AJ1837" t="str">
            <v>Surgery</v>
          </cell>
          <cell r="AK1837" t="str">
            <v>Primary</v>
          </cell>
          <cell r="AL1837" t="str">
            <v>Chemotherapy</v>
          </cell>
          <cell r="AQ1837" t="str">
            <v>3 cycles</v>
          </cell>
          <cell r="AV1837">
            <v>44431</v>
          </cell>
          <cell r="AW1837">
            <v>0.875</v>
          </cell>
          <cell r="AX1837">
            <v>0.93055555555555558</v>
          </cell>
          <cell r="AY1837">
            <v>5.5555555555555552E-2</v>
          </cell>
          <cell r="AZ1837">
            <v>7.9166666666666663E-2</v>
          </cell>
          <cell r="BA1837">
            <v>0.28472222222222221</v>
          </cell>
          <cell r="BB1837" t="str">
            <v>1.0*1.0*1.8</v>
          </cell>
          <cell r="BC1837" t="str">
            <v>1.0*1.0*1.8</v>
          </cell>
          <cell r="BD1837" t="str">
            <v>2*2*2</v>
          </cell>
          <cell r="BE1837">
            <v>15</v>
          </cell>
          <cell r="BF1837" t="str">
            <v>Rajshekhar</v>
          </cell>
          <cell r="BG1837" t="str">
            <v>Q</v>
          </cell>
        </row>
        <row r="1838">
          <cell r="A1838" t="str">
            <v>FBR1L210135</v>
          </cell>
          <cell r="B1838">
            <v>210135</v>
          </cell>
          <cell r="C1838" t="str">
            <v>R&amp;D</v>
          </cell>
          <cell r="D1838">
            <v>44432</v>
          </cell>
          <cell r="E1838">
            <v>0.50694444444444442</v>
          </cell>
          <cell r="F1838">
            <v>44409</v>
          </cell>
          <cell r="G1838">
            <v>44432</v>
          </cell>
          <cell r="H1838">
            <v>0.86111111111111116</v>
          </cell>
          <cell r="I1838">
            <v>0.35416666666666669</v>
          </cell>
          <cell r="J1838">
            <v>2</v>
          </cell>
          <cell r="K1838" t="str">
            <v>FCB-PROTOCOL-01_v1</v>
          </cell>
          <cell r="L1838" t="str">
            <v>CLN/DBR/018</v>
          </cell>
          <cell r="M1838" t="str">
            <v>Y</v>
          </cell>
          <cell r="N1838" t="str">
            <v>Culture Extension Study</v>
          </cell>
          <cell r="O1838" t="str">
            <v>Internal R&amp;D</v>
          </cell>
          <cell r="S1838" t="str">
            <v>Q1 Passed</v>
          </cell>
          <cell r="T1838" t="str">
            <v>Q2 Passed</v>
          </cell>
          <cell r="V1838" t="str">
            <v>Good tumor content</v>
          </cell>
          <cell r="W1838" t="str">
            <v>Clinic'les</v>
          </cell>
          <cell r="X1838" t="str">
            <v>Clinic'les- DBR &amp; SK Hospital, Tirupati</v>
          </cell>
          <cell r="Y1838" t="str">
            <v>DBR &amp; SK Hospital, Tirupati</v>
          </cell>
          <cell r="Z1838" t="str">
            <v>Dr C Jayaprakash, Tirupati</v>
          </cell>
          <cell r="AA1838" t="str">
            <v>HNSCC</v>
          </cell>
          <cell r="AC1838" t="str">
            <v>Buccal Mucosa</v>
          </cell>
          <cell r="AD1838" t="str">
            <v>Buccal Mucosa</v>
          </cell>
          <cell r="AE1838" t="str">
            <v>Female</v>
          </cell>
          <cell r="AF1838">
            <v>39</v>
          </cell>
          <cell r="AG1838" t="str">
            <v>No</v>
          </cell>
          <cell r="AI1838" t="str">
            <v>Kalappa</v>
          </cell>
          <cell r="AJ1838" t="str">
            <v>Surgery</v>
          </cell>
          <cell r="AK1838" t="str">
            <v>Primary</v>
          </cell>
          <cell r="AN1838" t="str">
            <v>II</v>
          </cell>
          <cell r="AP1838" t="str">
            <v>pT2N0Mx</v>
          </cell>
          <cell r="AS1838" t="str">
            <v>Moderately differentiated Squamous Cell Carcinoma</v>
          </cell>
          <cell r="AV1838">
            <v>44432</v>
          </cell>
          <cell r="AW1838">
            <v>0.88263888888888886</v>
          </cell>
          <cell r="AX1838">
            <v>0.95833333333333337</v>
          </cell>
          <cell r="AY1838">
            <v>7.5694444444444439E-2</v>
          </cell>
          <cell r="AZ1838">
            <v>2.1527777777777778E-2</v>
          </cell>
          <cell r="BA1838">
            <v>0.37569444444444444</v>
          </cell>
          <cell r="BB1838" t="str">
            <v>1.0*1.6*2.2</v>
          </cell>
          <cell r="BC1838" t="str">
            <v>1.0*1.6*2.2</v>
          </cell>
          <cell r="BD1838" t="str">
            <v>2*4*450</v>
          </cell>
          <cell r="BE1838">
            <v>15</v>
          </cell>
          <cell r="BF1838" t="str">
            <v>Gowri</v>
          </cell>
          <cell r="BG1838" t="str">
            <v>Q</v>
          </cell>
        </row>
        <row r="1839">
          <cell r="A1839" t="str">
            <v>FBR1L210136</v>
          </cell>
          <cell r="B1839">
            <v>210136</v>
          </cell>
          <cell r="C1839" t="str">
            <v>R&amp;D</v>
          </cell>
          <cell r="D1839">
            <v>44432</v>
          </cell>
          <cell r="E1839">
            <v>0.96527777777777779</v>
          </cell>
          <cell r="F1839">
            <v>44409</v>
          </cell>
          <cell r="G1839">
            <v>44433</v>
          </cell>
          <cell r="H1839">
            <v>1.0104166666666667</v>
          </cell>
          <cell r="I1839">
            <v>4.5138888888888888E-2</v>
          </cell>
          <cell r="J1839">
            <v>10</v>
          </cell>
          <cell r="K1839" t="str">
            <v>MBT-TB-070 v1.1</v>
          </cell>
          <cell r="L1839" t="str">
            <v>CLN/PRA/01/0116</v>
          </cell>
          <cell r="M1839" t="str">
            <v>Y</v>
          </cell>
          <cell r="N1839" t="str">
            <v>Culture Extension Study</v>
          </cell>
          <cell r="O1839" t="str">
            <v>Internal R&amp;D</v>
          </cell>
          <cell r="S1839" t="str">
            <v>Q1 Passed</v>
          </cell>
          <cell r="T1839" t="str">
            <v>Q2 Passed</v>
          </cell>
          <cell r="V1839" t="str">
            <v>Good tumor content with immune component</v>
          </cell>
          <cell r="W1839" t="str">
            <v>Clinic'les</v>
          </cell>
          <cell r="X1839" t="str">
            <v>Clinic'les- Dr Prakash BV, Bangalore</v>
          </cell>
          <cell r="Y1839" t="str">
            <v>Sri Lakshmi Hospital, Bangalore</v>
          </cell>
          <cell r="Z1839" t="str">
            <v>Dr Prakash BV, Bangalore</v>
          </cell>
          <cell r="AA1839" t="str">
            <v>HNSCC</v>
          </cell>
          <cell r="AC1839" t="str">
            <v>GBS</v>
          </cell>
          <cell r="AD1839" t="str">
            <v>Right Lower GBS</v>
          </cell>
          <cell r="AE1839" t="str">
            <v>Female</v>
          </cell>
          <cell r="AF1839">
            <v>56</v>
          </cell>
          <cell r="AG1839" t="str">
            <v>No</v>
          </cell>
          <cell r="AI1839" t="str">
            <v>Sashi</v>
          </cell>
          <cell r="AJ1839" t="str">
            <v>Surgery</v>
          </cell>
          <cell r="AK1839" t="str">
            <v>Primary</v>
          </cell>
          <cell r="AN1839" t="str">
            <v>II</v>
          </cell>
          <cell r="AO1839" t="str">
            <v>II</v>
          </cell>
          <cell r="AP1839" t="str">
            <v>pT2N0M0</v>
          </cell>
          <cell r="AS1839" t="str">
            <v>Squamous Cell Carcinoma</v>
          </cell>
          <cell r="AV1839">
            <v>44433</v>
          </cell>
          <cell r="AW1839">
            <v>0.34027777777777779</v>
          </cell>
          <cell r="AX1839">
            <v>0.45833333333333331</v>
          </cell>
          <cell r="AY1839">
            <v>0.11805555555555555</v>
          </cell>
          <cell r="AZ1839">
            <v>0.3298611111111111</v>
          </cell>
          <cell r="BA1839">
            <v>0.375</v>
          </cell>
          <cell r="BB1839" t="str">
            <v>1.2*2.0*2.8</v>
          </cell>
          <cell r="BC1839" t="str">
            <v>1.2*2.0*2.8</v>
          </cell>
          <cell r="BD1839" t="str">
            <v>2*4*450</v>
          </cell>
          <cell r="BE1839">
            <v>15</v>
          </cell>
          <cell r="BF1839" t="str">
            <v>Rajshekhar</v>
          </cell>
          <cell r="BG1839" t="str">
            <v>Q</v>
          </cell>
        </row>
        <row r="1840">
          <cell r="A1840" t="str">
            <v>FBR1L210137</v>
          </cell>
          <cell r="B1840">
            <v>210137</v>
          </cell>
          <cell r="C1840" t="str">
            <v>R&amp;D</v>
          </cell>
          <cell r="D1840">
            <v>44433</v>
          </cell>
          <cell r="E1840">
            <v>0.53333333333333333</v>
          </cell>
          <cell r="F1840">
            <v>44409</v>
          </cell>
          <cell r="G1840">
            <v>44433</v>
          </cell>
          <cell r="H1840">
            <v>0.86805555555555558</v>
          </cell>
          <cell r="I1840">
            <v>0.3347222222222222</v>
          </cell>
          <cell r="J1840">
            <v>2</v>
          </cell>
          <cell r="K1840" t="str">
            <v>FCB-PROTOCOL-01_v1</v>
          </cell>
          <cell r="L1840" t="str">
            <v>CLN/DBR/019</v>
          </cell>
          <cell r="M1840" t="str">
            <v>Y</v>
          </cell>
          <cell r="N1840" t="str">
            <v>Culture Extension Study</v>
          </cell>
          <cell r="O1840" t="str">
            <v>Internal R&amp;D</v>
          </cell>
          <cell r="S1840" t="str">
            <v>Q1 Passed</v>
          </cell>
          <cell r="T1840" t="str">
            <v>Q2 Passed</v>
          </cell>
          <cell r="V1840" t="str">
            <v>Moderate tumor content</v>
          </cell>
          <cell r="W1840" t="str">
            <v>Clinic'les</v>
          </cell>
          <cell r="X1840" t="str">
            <v>Clinic'les- DBR &amp; SK Hospital, Tirupati</v>
          </cell>
          <cell r="Y1840" t="str">
            <v>DBR &amp; SK Hospital, Tirupati</v>
          </cell>
          <cell r="Z1840" t="str">
            <v>Dr C Jayaprakash, Tirupati</v>
          </cell>
          <cell r="AA1840" t="str">
            <v>HNSCC</v>
          </cell>
          <cell r="AC1840" t="str">
            <v>Tongue</v>
          </cell>
          <cell r="AD1840" t="str">
            <v>Tongue</v>
          </cell>
          <cell r="AE1840" t="str">
            <v>Male</v>
          </cell>
          <cell r="AF1840">
            <v>49</v>
          </cell>
          <cell r="AG1840" t="str">
            <v>No</v>
          </cell>
          <cell r="AI1840" t="str">
            <v>Kalappa</v>
          </cell>
          <cell r="AJ1840" t="str">
            <v>Surgery</v>
          </cell>
          <cell r="AK1840" t="str">
            <v>Primary</v>
          </cell>
          <cell r="AN1840" t="str">
            <v>III</v>
          </cell>
          <cell r="AP1840" t="str">
            <v>pT3N0Mx</v>
          </cell>
          <cell r="AS1840" t="str">
            <v>Well differentiated Squamous Cell Carcinoma</v>
          </cell>
          <cell r="AU1840" t="str">
            <v>Radiotherapy</v>
          </cell>
          <cell r="AV1840">
            <v>44433</v>
          </cell>
          <cell r="AW1840">
            <v>0.875</v>
          </cell>
          <cell r="AX1840">
            <v>0.4375</v>
          </cell>
          <cell r="AY1840">
            <v>0.5625</v>
          </cell>
          <cell r="AZ1840">
            <v>6.9444444444444441E-3</v>
          </cell>
          <cell r="BA1840">
            <v>0.34166666666666667</v>
          </cell>
          <cell r="BB1840" t="str">
            <v>0.8*1.4*2.4</v>
          </cell>
          <cell r="BC1840" t="str">
            <v>0.8*1.4*2.4</v>
          </cell>
          <cell r="BD1840" t="str">
            <v>2*4*450</v>
          </cell>
          <cell r="BE1840">
            <v>15</v>
          </cell>
          <cell r="BF1840" t="str">
            <v>Vasanth</v>
          </cell>
          <cell r="BG1840" t="str">
            <v>Q</v>
          </cell>
        </row>
        <row r="1841">
          <cell r="A1841" t="str">
            <v>FBR1L210138</v>
          </cell>
          <cell r="B1841">
            <v>210138</v>
          </cell>
          <cell r="C1841" t="str">
            <v>R&amp;D</v>
          </cell>
          <cell r="D1841">
            <v>44435</v>
          </cell>
          <cell r="E1841">
            <v>0.48749999999999999</v>
          </cell>
          <cell r="F1841">
            <v>44409</v>
          </cell>
          <cell r="G1841">
            <v>44435</v>
          </cell>
          <cell r="H1841">
            <v>0.57013888888888886</v>
          </cell>
          <cell r="I1841">
            <v>8.2638888888888887E-2</v>
          </cell>
          <cell r="J1841">
            <v>4</v>
          </cell>
          <cell r="K1841" t="str">
            <v>FCB-PROTOCOL-01_v1</v>
          </cell>
          <cell r="L1841" t="str">
            <v>VYD/030</v>
          </cell>
          <cell r="M1841" t="str">
            <v>Y</v>
          </cell>
          <cell r="N1841" t="str">
            <v>Culture Extension Study</v>
          </cell>
          <cell r="O1841" t="str">
            <v>Internal R&amp;D</v>
          </cell>
          <cell r="S1841" t="str">
            <v>Q1 Passed</v>
          </cell>
          <cell r="T1841" t="str">
            <v>Q2 Passed</v>
          </cell>
          <cell r="V1841" t="str">
            <v>Tumor in 6/7 explants</v>
          </cell>
          <cell r="W1841" t="str">
            <v>Clinic'les</v>
          </cell>
          <cell r="X1841" t="str">
            <v>Clinic'les- Vydehi Hospital, Bangalore</v>
          </cell>
          <cell r="Y1841" t="str">
            <v>Vydehi Hospital, Bangalore</v>
          </cell>
          <cell r="Z1841" t="str">
            <v>Dr Amritha Prabha, Bangalore</v>
          </cell>
          <cell r="AA1841" t="str">
            <v>HNSCC</v>
          </cell>
          <cell r="AC1841" t="str">
            <v>GBS</v>
          </cell>
          <cell r="AD1841" t="str">
            <v>Left Lower GBS</v>
          </cell>
          <cell r="AE1841" t="str">
            <v>Female</v>
          </cell>
          <cell r="AF1841">
            <v>46</v>
          </cell>
          <cell r="AG1841" t="str">
            <v>No</v>
          </cell>
          <cell r="AI1841" t="str">
            <v>Sashi</v>
          </cell>
          <cell r="AJ1841" t="str">
            <v>Surgery</v>
          </cell>
          <cell r="AK1841" t="str">
            <v>Primary</v>
          </cell>
          <cell r="AN1841" t="str">
            <v>IVA</v>
          </cell>
          <cell r="AO1841">
            <v>2</v>
          </cell>
          <cell r="AP1841" t="str">
            <v>pT4aN2b</v>
          </cell>
          <cell r="AS1841" t="str">
            <v>Squamous Cell Carcinoma</v>
          </cell>
          <cell r="AT1841" t="str">
            <v>Chemotherapy</v>
          </cell>
          <cell r="AV1841">
            <v>44435</v>
          </cell>
          <cell r="AW1841">
            <v>0.57986111111111116</v>
          </cell>
          <cell r="AX1841">
            <v>0.67708333333333337</v>
          </cell>
          <cell r="AY1841">
            <v>9.7222222222222224E-2</v>
          </cell>
          <cell r="AZ1841">
            <v>9.7222222222222224E-3</v>
          </cell>
          <cell r="BA1841">
            <v>9.2361111111111116E-2</v>
          </cell>
          <cell r="BB1841" t="str">
            <v>0.4*0.6*0.8
0.8*2.2*1.6
0.4*0.6*1.0</v>
          </cell>
          <cell r="BC1841" t="str">
            <v>0.4*0.6*0.8
0.8*2.2*1.6
0.4*0.6*1.0</v>
          </cell>
          <cell r="BD1841" t="str">
            <v>2*4*450</v>
          </cell>
          <cell r="BE1841">
            <v>15</v>
          </cell>
          <cell r="BF1841" t="str">
            <v>Gowri</v>
          </cell>
          <cell r="BG1841" t="str">
            <v>Q</v>
          </cell>
        </row>
        <row r="1842">
          <cell r="A1842" t="str">
            <v>FBR1A210139</v>
          </cell>
          <cell r="B1842">
            <v>210139</v>
          </cell>
          <cell r="C1842" t="str">
            <v>R&amp;D</v>
          </cell>
          <cell r="D1842">
            <v>44439</v>
          </cell>
          <cell r="E1842">
            <v>0.55625000000000002</v>
          </cell>
          <cell r="F1842">
            <v>44409</v>
          </cell>
          <cell r="G1842">
            <v>44439</v>
          </cell>
          <cell r="H1842">
            <v>0.72569444444444442</v>
          </cell>
          <cell r="I1842">
            <v>0.16944444444444445</v>
          </cell>
          <cell r="J1842">
            <v>6</v>
          </cell>
          <cell r="K1842" t="str">
            <v>FCB-PROTOCOL-01_v1</v>
          </cell>
          <cell r="L1842" t="str">
            <v>VYD/031</v>
          </cell>
          <cell r="M1842" t="str">
            <v>Y</v>
          </cell>
          <cell r="N1842" t="str">
            <v>Other Indication</v>
          </cell>
          <cell r="O1842" t="str">
            <v>Internal R&amp;D</v>
          </cell>
          <cell r="S1842" t="str">
            <v>Q1 Passed</v>
          </cell>
          <cell r="V1842" t="str">
            <v>Good tumor content</v>
          </cell>
          <cell r="W1842" t="str">
            <v>Clinic'les</v>
          </cell>
          <cell r="X1842" t="str">
            <v>Clinic'les- Vydehi Hospital, Bangalore</v>
          </cell>
          <cell r="Y1842" t="str">
            <v>Vydehi Hospital, Bangalore</v>
          </cell>
          <cell r="Z1842" t="str">
            <v>Dr Amritha Prabha, Bangalore</v>
          </cell>
          <cell r="AA1842" t="str">
            <v>Ca Breast</v>
          </cell>
          <cell r="AC1842" t="str">
            <v>Breast</v>
          </cell>
          <cell r="AD1842" t="str">
            <v>Right Breast</v>
          </cell>
          <cell r="AE1842" t="str">
            <v>Female</v>
          </cell>
          <cell r="AF1842">
            <v>61</v>
          </cell>
          <cell r="AG1842" t="str">
            <v>No</v>
          </cell>
          <cell r="AI1842" t="str">
            <v>Kalappa</v>
          </cell>
          <cell r="AJ1842" t="str">
            <v>Surgery</v>
          </cell>
          <cell r="AK1842" t="str">
            <v>Primary</v>
          </cell>
          <cell r="AN1842" t="str">
            <v>IIIA</v>
          </cell>
          <cell r="AO1842">
            <v>2</v>
          </cell>
          <cell r="AP1842" t="str">
            <v>pT2N2a</v>
          </cell>
          <cell r="AS1842" t="str">
            <v>ER+, PR-, HER2-; Infiltrating Ductal Carcinoma</v>
          </cell>
          <cell r="AT1842" t="str">
            <v>Radiotherapy</v>
          </cell>
          <cell r="AV1842">
            <v>44439</v>
          </cell>
          <cell r="AW1842">
            <v>0.75069444444444444</v>
          </cell>
          <cell r="AX1842">
            <v>0.80555555555555558</v>
          </cell>
          <cell r="AY1842">
            <v>5.486111111111111E-2</v>
          </cell>
          <cell r="AZ1842">
            <v>2.5000000000000001E-2</v>
          </cell>
          <cell r="BA1842">
            <v>0.19444444444444445</v>
          </cell>
          <cell r="BB1842" t="str">
            <v>2.4*3.0*4.4</v>
          </cell>
          <cell r="BC1842" t="str">
            <v>2.4*1.2*1.4
0.4*0.6*0.6
0.6*1.0*0.8
0.3*0.8*0.8</v>
          </cell>
          <cell r="BD1842" t="str">
            <v>2*2*2</v>
          </cell>
          <cell r="BE1842">
            <v>15</v>
          </cell>
          <cell r="BF1842" t="str">
            <v>Gowri</v>
          </cell>
          <cell r="BG1842" t="str">
            <v>Q</v>
          </cell>
        </row>
        <row r="1843">
          <cell r="A1843">
            <v>210140</v>
          </cell>
          <cell r="B1843">
            <v>210140</v>
          </cell>
          <cell r="C1843" t="str">
            <v>R&amp;D</v>
          </cell>
          <cell r="D1843">
            <v>44439</v>
          </cell>
          <cell r="E1843">
            <v>0.63194444444444442</v>
          </cell>
          <cell r="F1843">
            <v>44409</v>
          </cell>
          <cell r="G1843">
            <v>44439</v>
          </cell>
          <cell r="H1843">
            <v>0.95486111111111116</v>
          </cell>
          <cell r="I1843">
            <v>0.32291666666666669</v>
          </cell>
          <cell r="J1843">
            <v>2</v>
          </cell>
          <cell r="K1843" t="str">
            <v>FCB-PROTOCOL-01_v1</v>
          </cell>
          <cell r="L1843" t="str">
            <v>CLN/DBR/020</v>
          </cell>
          <cell r="M1843" t="str">
            <v>Y</v>
          </cell>
          <cell r="N1843" t="str">
            <v>No Study</v>
          </cell>
          <cell r="O1843" t="str">
            <v>1st level attrition</v>
          </cell>
          <cell r="S1843" t="str">
            <v>Q1 Rejected</v>
          </cell>
          <cell r="T1843" t="str">
            <v>Q2 Passed</v>
          </cell>
          <cell r="U1843" t="str">
            <v>Sample came in expired blood and buffer tubes</v>
          </cell>
          <cell r="W1843" t="str">
            <v>Clinic'les</v>
          </cell>
          <cell r="X1843" t="str">
            <v>Clinic'les- DBR &amp; SK Hospital, Tirupati</v>
          </cell>
          <cell r="Y1843" t="str">
            <v>DBR &amp; SK Hospital, Tirupati</v>
          </cell>
          <cell r="Z1843" t="str">
            <v>Dr C Jayaprakash, Tirupati</v>
          </cell>
          <cell r="AA1843" t="str">
            <v>Ca Breast</v>
          </cell>
          <cell r="AC1843" t="str">
            <v>Breast</v>
          </cell>
          <cell r="AD1843" t="str">
            <v>Breast</v>
          </cell>
          <cell r="AE1843" t="str">
            <v>Female</v>
          </cell>
          <cell r="AF1843">
            <v>45</v>
          </cell>
          <cell r="AG1843" t="str">
            <v>No</v>
          </cell>
          <cell r="AI1843" t="str">
            <v>Partha</v>
          </cell>
          <cell r="AJ1843" t="str">
            <v>Surgery</v>
          </cell>
          <cell r="AK1843" t="str">
            <v>Primary</v>
          </cell>
          <cell r="AL1843" t="str">
            <v>Chemotherapy</v>
          </cell>
          <cell r="AQ1843" t="str">
            <v>6 cycles</v>
          </cell>
          <cell r="AR1843" t="str">
            <v>Paclitaxel+ Dose Dense AC</v>
          </cell>
          <cell r="AS1843" t="str">
            <v>TNBC</v>
          </cell>
        </row>
        <row r="1844">
          <cell r="A1844" t="str">
            <v>FBR1E210141</v>
          </cell>
          <cell r="B1844">
            <v>210141</v>
          </cell>
          <cell r="C1844" t="str">
            <v>R&amp;D</v>
          </cell>
          <cell r="D1844">
            <v>44440</v>
          </cell>
          <cell r="E1844">
            <v>0.4777777777777778</v>
          </cell>
          <cell r="F1844">
            <v>44440</v>
          </cell>
          <cell r="G1844">
            <v>44440</v>
          </cell>
          <cell r="H1844">
            <v>0.58125000000000004</v>
          </cell>
          <cell r="I1844">
            <v>0.10347222222222222</v>
          </cell>
          <cell r="J1844">
            <v>4</v>
          </cell>
          <cell r="K1844" t="str">
            <v>FCB-PROTOCOL-01_v1</v>
          </cell>
          <cell r="L1844" t="str">
            <v>VYD/032</v>
          </cell>
          <cell r="M1844" t="str">
            <v>Y</v>
          </cell>
          <cell r="N1844" t="str">
            <v>Immune Infiltration Expt</v>
          </cell>
          <cell r="O1844" t="str">
            <v>Internal R&amp;D</v>
          </cell>
          <cell r="S1844" t="str">
            <v>Q1 Passed</v>
          </cell>
          <cell r="T1844" t="str">
            <v>Q2 Rejected</v>
          </cell>
          <cell r="V1844" t="str">
            <v xml:space="preserve"> Moderate amount of tumour ; very high immune component</v>
          </cell>
          <cell r="W1844" t="str">
            <v>Clinic'les</v>
          </cell>
          <cell r="X1844" t="str">
            <v>Clinic'les- Vydehi Hospital, Bangalore</v>
          </cell>
          <cell r="Y1844" t="str">
            <v>Vydehi Hospital, Bangalore</v>
          </cell>
          <cell r="Z1844" t="str">
            <v>Dr Amritha Prabha, Bangalore</v>
          </cell>
          <cell r="AA1844" t="str">
            <v>HNSCC</v>
          </cell>
          <cell r="AC1844" t="str">
            <v>Alveolus</v>
          </cell>
          <cell r="AD1844" t="str">
            <v>Left Lower Alveolus</v>
          </cell>
          <cell r="AE1844" t="str">
            <v>Female</v>
          </cell>
          <cell r="AF1844">
            <v>69</v>
          </cell>
          <cell r="AG1844" t="str">
            <v>No</v>
          </cell>
          <cell r="AI1844" t="str">
            <v>Sashi</v>
          </cell>
          <cell r="AJ1844" t="str">
            <v>Surgery</v>
          </cell>
          <cell r="AK1844" t="str">
            <v>Primary</v>
          </cell>
          <cell r="AN1844" t="str">
            <v>IVA</v>
          </cell>
          <cell r="AO1844">
            <v>2</v>
          </cell>
          <cell r="AP1844" t="str">
            <v>pT2N2b</v>
          </cell>
          <cell r="AS1844" t="str">
            <v>Squamous Cell Carcinoma</v>
          </cell>
          <cell r="AT1844" t="str">
            <v>Radiotherapy</v>
          </cell>
          <cell r="AV1844">
            <v>44440</v>
          </cell>
          <cell r="AW1844">
            <v>0.60416666666666663</v>
          </cell>
          <cell r="AX1844">
            <v>0.66666666666666663</v>
          </cell>
          <cell r="AY1844">
            <v>6.25E-2</v>
          </cell>
          <cell r="AZ1844">
            <v>2.2916666666666665E-2</v>
          </cell>
          <cell r="BA1844">
            <v>0.12638888888888888</v>
          </cell>
          <cell r="BB1844" t="str">
            <v>0.5*0.6*0.4
0.4*0.6*0.2</v>
          </cell>
          <cell r="BC1844" t="str">
            <v>0.5*0.6*0.4
0.4*0.6*0.2</v>
          </cell>
          <cell r="BD1844" t="str">
            <v>2*4*450</v>
          </cell>
          <cell r="BE1844">
            <v>15</v>
          </cell>
          <cell r="BF1844" t="str">
            <v>Kowshik</v>
          </cell>
          <cell r="BG1844" t="str">
            <v>Q</v>
          </cell>
        </row>
        <row r="1845">
          <cell r="A1845" t="str">
            <v>FBR1J210142</v>
          </cell>
          <cell r="B1845">
            <v>210142</v>
          </cell>
          <cell r="C1845" t="str">
            <v>R&amp;D</v>
          </cell>
          <cell r="D1845">
            <v>44442</v>
          </cell>
          <cell r="E1845">
            <v>0.57499999999999996</v>
          </cell>
          <cell r="F1845">
            <v>44440</v>
          </cell>
          <cell r="G1845">
            <v>44442</v>
          </cell>
          <cell r="H1845">
            <v>0.92083333333333328</v>
          </cell>
          <cell r="I1845">
            <v>0.34583333333333333</v>
          </cell>
          <cell r="J1845">
            <v>2</v>
          </cell>
          <cell r="K1845" t="str">
            <v>FCB-PROTOCOL-01_v1</v>
          </cell>
          <cell r="L1845" t="str">
            <v>CLN/DBR/021</v>
          </cell>
          <cell r="M1845" t="str">
            <v>Y</v>
          </cell>
          <cell r="N1845" t="str">
            <v>COS_V3</v>
          </cell>
          <cell r="O1845" t="str">
            <v>Internal R&amp;D</v>
          </cell>
          <cell r="S1845" t="str">
            <v>Q1 Passed</v>
          </cell>
          <cell r="T1845" t="str">
            <v>Q2 Passed</v>
          </cell>
          <cell r="U1845" t="str">
            <v>Blood clot observed during processing the next day</v>
          </cell>
          <cell r="V1845" t="str">
            <v>Moderate tumor content- Signet ring cell carcinoma. Many explants without tumour.</v>
          </cell>
          <cell r="W1845" t="str">
            <v>Clinic'les</v>
          </cell>
          <cell r="X1845" t="str">
            <v>Clinic'les- DBR &amp; SK Hospital, Tirupati</v>
          </cell>
          <cell r="Y1845" t="str">
            <v>DBR &amp; SK Hospital, Tirupati</v>
          </cell>
          <cell r="Z1845" t="str">
            <v>Dr C Jayaprakash, Tirupati</v>
          </cell>
          <cell r="AA1845" t="str">
            <v>GI</v>
          </cell>
          <cell r="AB1845" t="str">
            <v>Stomach</v>
          </cell>
          <cell r="AC1845" t="str">
            <v>Stomach</v>
          </cell>
          <cell r="AD1845" t="str">
            <v>Stomach</v>
          </cell>
          <cell r="AE1845" t="str">
            <v>Female</v>
          </cell>
          <cell r="AF1845">
            <v>32</v>
          </cell>
          <cell r="AG1845" t="str">
            <v>No</v>
          </cell>
          <cell r="AI1845" t="str">
            <v>Kalappa</v>
          </cell>
          <cell r="AJ1845" t="str">
            <v>Surgery</v>
          </cell>
          <cell r="AK1845" t="str">
            <v>Primary</v>
          </cell>
          <cell r="AS1845" t="str">
            <v>Adenocarcinoma of Stomach</v>
          </cell>
          <cell r="AV1845">
            <v>44443</v>
          </cell>
          <cell r="AW1845">
            <v>0.2638888888888889</v>
          </cell>
          <cell r="AX1845">
            <v>0.34583333333333333</v>
          </cell>
          <cell r="AY1845">
            <v>8.1944444444444445E-2</v>
          </cell>
          <cell r="AZ1845">
            <v>0.34305555555555556</v>
          </cell>
          <cell r="BA1845">
            <v>0.68888888888888888</v>
          </cell>
          <cell r="BB1845" t="str">
            <v>0.6*2.6*2.2
0.4*1.4*1.6</v>
          </cell>
          <cell r="BC1845" t="str">
            <v>0.6*2.6*2.2
0.4*1.4*1.6</v>
          </cell>
          <cell r="BD1845" t="str">
            <v>2*2*2</v>
          </cell>
          <cell r="BE1845">
            <v>4</v>
          </cell>
          <cell r="BF1845" t="str">
            <v>Gowri</v>
          </cell>
          <cell r="BG1845" t="str">
            <v>NQ</v>
          </cell>
        </row>
        <row r="1846">
          <cell r="A1846" t="str">
            <v>FBR1A210143</v>
          </cell>
          <cell r="B1846">
            <v>210143</v>
          </cell>
          <cell r="C1846" t="str">
            <v>R&amp;D</v>
          </cell>
          <cell r="D1846">
            <v>44443</v>
          </cell>
          <cell r="E1846">
            <v>0.59513888888888888</v>
          </cell>
          <cell r="F1846">
            <v>44440</v>
          </cell>
          <cell r="G1846">
            <v>44443</v>
          </cell>
          <cell r="H1846">
            <v>0.95486111111111116</v>
          </cell>
          <cell r="I1846">
            <v>0.35972222222222222</v>
          </cell>
          <cell r="J1846">
            <v>2</v>
          </cell>
          <cell r="K1846" t="str">
            <v>FCB-PROTOCOL-01_v1</v>
          </cell>
          <cell r="L1846" t="str">
            <v>CLN/DBR/022</v>
          </cell>
          <cell r="M1846" t="str">
            <v>Y</v>
          </cell>
          <cell r="N1846" t="str">
            <v>Other Indication</v>
          </cell>
          <cell r="O1846" t="str">
            <v>Internal R&amp;D</v>
          </cell>
          <cell r="S1846" t="str">
            <v>Q1 Passed</v>
          </cell>
          <cell r="V1846" t="str">
            <v>No tumor</v>
          </cell>
          <cell r="W1846" t="str">
            <v>Clinic'les</v>
          </cell>
          <cell r="X1846" t="str">
            <v>Clinic'les- DBR &amp; SK Hospital, Tirupati</v>
          </cell>
          <cell r="Y1846" t="str">
            <v>DBR &amp; SK Hospital, Tirupati</v>
          </cell>
          <cell r="Z1846" t="str">
            <v>Dr C Jayaprakash, Tirupati</v>
          </cell>
          <cell r="AA1846" t="str">
            <v>Ca Ovary</v>
          </cell>
          <cell r="AC1846" t="str">
            <v>Ovary</v>
          </cell>
          <cell r="AD1846" t="str">
            <v>Ovary</v>
          </cell>
          <cell r="AE1846" t="str">
            <v>Female</v>
          </cell>
          <cell r="AF1846">
            <v>56</v>
          </cell>
          <cell r="AG1846" t="str">
            <v>No</v>
          </cell>
          <cell r="AI1846" t="str">
            <v>Partha</v>
          </cell>
          <cell r="AJ1846" t="str">
            <v>Surgery</v>
          </cell>
          <cell r="AK1846" t="str">
            <v>Primary</v>
          </cell>
          <cell r="AL1846" t="str">
            <v>Chemotherapy</v>
          </cell>
          <cell r="AQ1846" t="str">
            <v>6 cycles</v>
          </cell>
          <cell r="AR1846" t="str">
            <v>Paclitaxel+ Carboplatin</v>
          </cell>
          <cell r="AS1846" t="str">
            <v>Adenocarcinoma of Ovary</v>
          </cell>
          <cell r="AV1846">
            <v>44444</v>
          </cell>
          <cell r="AW1846">
            <v>0.32291666666666669</v>
          </cell>
          <cell r="AX1846">
            <v>0.38194444444444442</v>
          </cell>
          <cell r="AY1846">
            <v>5.9027777777777776E-2</v>
          </cell>
          <cell r="AZ1846">
            <v>0.36805555555555558</v>
          </cell>
          <cell r="BA1846">
            <v>0.72777777777777775</v>
          </cell>
          <cell r="BB1846" t="str">
            <v>1.0*3.0*4.4</v>
          </cell>
          <cell r="BC1846" t="str">
            <v>1.0*3.0*4.4</v>
          </cell>
          <cell r="BD1846" t="str">
            <v>2*2*2</v>
          </cell>
          <cell r="BE1846">
            <v>4</v>
          </cell>
          <cell r="BF1846" t="str">
            <v>Kowshik</v>
          </cell>
          <cell r="BG1846" t="str">
            <v>Q</v>
          </cell>
        </row>
        <row r="1847">
          <cell r="A1847" t="str">
            <v>FBR1A210144</v>
          </cell>
          <cell r="B1847">
            <v>210144</v>
          </cell>
          <cell r="C1847" t="str">
            <v>R&amp;D</v>
          </cell>
          <cell r="D1847">
            <v>44445</v>
          </cell>
          <cell r="E1847">
            <v>0.49305555555555558</v>
          </cell>
          <cell r="F1847">
            <v>44440</v>
          </cell>
          <cell r="G1847">
            <v>44445</v>
          </cell>
          <cell r="H1847">
            <v>0.54513888888888884</v>
          </cell>
          <cell r="I1847">
            <v>5.2083333333333336E-2</v>
          </cell>
          <cell r="J1847">
            <v>9</v>
          </cell>
          <cell r="K1847" t="str">
            <v>FCB-PROTOCOL-01_v1</v>
          </cell>
          <cell r="L1847" t="str">
            <v>VYD/033</v>
          </cell>
          <cell r="M1847" t="str">
            <v>Y</v>
          </cell>
          <cell r="N1847" t="str">
            <v>Other Indication</v>
          </cell>
          <cell r="O1847" t="str">
            <v>Internal R&amp;D</v>
          </cell>
          <cell r="S1847" t="str">
            <v>Q1 Rejected</v>
          </cell>
          <cell r="T1847" t="str">
            <v>Q2 Passed</v>
          </cell>
          <cell r="U1847" t="str">
            <v>Blood sample was hemolyzed/clotted</v>
          </cell>
          <cell r="V1847" t="str">
            <v>Moderate tumor content, cells pyknotic</v>
          </cell>
          <cell r="W1847" t="str">
            <v>Clinic'les</v>
          </cell>
          <cell r="X1847" t="str">
            <v>Clinic'les- Vydehi Hospital, Bangalore</v>
          </cell>
          <cell r="Y1847" t="str">
            <v>Vydehi Hospital, Bangalore</v>
          </cell>
          <cell r="Z1847" t="str">
            <v>Dr Amritha Prabha, Bangalore</v>
          </cell>
          <cell r="AA1847" t="str">
            <v>Ca Breast</v>
          </cell>
          <cell r="AC1847" t="str">
            <v>Breast</v>
          </cell>
          <cell r="AD1847" t="str">
            <v>Right Breast</v>
          </cell>
          <cell r="AE1847" t="str">
            <v>Female</v>
          </cell>
          <cell r="AF1847">
            <v>49</v>
          </cell>
          <cell r="AG1847" t="str">
            <v>No</v>
          </cell>
          <cell r="AI1847" t="str">
            <v>Kalappa</v>
          </cell>
          <cell r="AJ1847" t="str">
            <v>Surgery</v>
          </cell>
          <cell r="AK1847" t="str">
            <v>Primary</v>
          </cell>
          <cell r="AL1847" t="str">
            <v>Chemotherapy</v>
          </cell>
          <cell r="AN1847" t="str">
            <v>NA</v>
          </cell>
          <cell r="AO1847" t="str">
            <v>NA</v>
          </cell>
          <cell r="AP1847" t="str">
            <v>NA</v>
          </cell>
          <cell r="AQ1847" t="str">
            <v>8 cycles</v>
          </cell>
          <cell r="AR1847" t="str">
            <v>4AC+ 4Paclitaxel, Adriamycin+ Cyclophosphamide</v>
          </cell>
          <cell r="AS1847" t="str">
            <v>ER+, PR+, HER2-; Infiltrating Ductal Carcinoma</v>
          </cell>
          <cell r="AV1847">
            <v>44445</v>
          </cell>
          <cell r="AW1847">
            <v>0.55902777777777779</v>
          </cell>
          <cell r="AX1847">
            <v>0.61805555555555558</v>
          </cell>
          <cell r="AY1847">
            <v>5.9027777777777776E-2</v>
          </cell>
          <cell r="AZ1847">
            <v>1.3888888888888888E-2</v>
          </cell>
          <cell r="BA1847">
            <v>6.5972222222222224E-2</v>
          </cell>
          <cell r="BB1847" t="str">
            <v>1.0*1.4*2.0</v>
          </cell>
          <cell r="BC1847" t="str">
            <v>1.0*1.4*2.0</v>
          </cell>
          <cell r="BD1847" t="str">
            <v>2*2*2</v>
          </cell>
          <cell r="BE1847">
            <v>4</v>
          </cell>
          <cell r="BF1847" t="str">
            <v>Rajashekhar</v>
          </cell>
          <cell r="BG1847" t="str">
            <v>NQ</v>
          </cell>
        </row>
        <row r="1848">
          <cell r="A1848" t="str">
            <v>FBR1L210145</v>
          </cell>
          <cell r="B1848">
            <v>210145</v>
          </cell>
          <cell r="C1848" t="str">
            <v>R&amp;D</v>
          </cell>
          <cell r="D1848">
            <v>44446</v>
          </cell>
          <cell r="E1848">
            <v>0.58125000000000004</v>
          </cell>
          <cell r="F1848">
            <v>44440</v>
          </cell>
          <cell r="G1848">
            <v>44446</v>
          </cell>
          <cell r="H1848">
            <v>0.92013888888888884</v>
          </cell>
          <cell r="I1848">
            <v>0.33888888888888891</v>
          </cell>
          <cell r="J1848">
            <v>2</v>
          </cell>
          <cell r="K1848" t="str">
            <v>FCB-PROTOCOL-01_v1</v>
          </cell>
          <cell r="L1848" t="str">
            <v>CLN/DBR/023</v>
          </cell>
          <cell r="M1848" t="str">
            <v>Y</v>
          </cell>
          <cell r="N1848" t="str">
            <v>Culture Extension Study</v>
          </cell>
          <cell r="O1848" t="str">
            <v>Internal R&amp;D</v>
          </cell>
          <cell r="S1848" t="str">
            <v>Q1 Passed</v>
          </cell>
          <cell r="T1848" t="str">
            <v>Q2 Passed</v>
          </cell>
          <cell r="V1848" t="str">
            <v>Good tumor content</v>
          </cell>
          <cell r="W1848" t="str">
            <v>Clinic'les</v>
          </cell>
          <cell r="X1848" t="str">
            <v>Clinic'les- DBR &amp; SK Hospital, Tirupati</v>
          </cell>
          <cell r="Y1848" t="str">
            <v>DBR &amp; SK Hospital, Tirupati</v>
          </cell>
          <cell r="Z1848" t="str">
            <v>Dr C Jayaprakash, Tirupati</v>
          </cell>
          <cell r="AA1848" t="str">
            <v>HNSCC</v>
          </cell>
          <cell r="AC1848" t="str">
            <v>Buccal Mucosa</v>
          </cell>
          <cell r="AD1848" t="str">
            <v>Buccal Mucosa</v>
          </cell>
          <cell r="AE1848" t="str">
            <v>Female</v>
          </cell>
          <cell r="AF1848">
            <v>50</v>
          </cell>
          <cell r="AG1848" t="str">
            <v>No</v>
          </cell>
          <cell r="AI1848" t="str">
            <v>Sashi</v>
          </cell>
          <cell r="AJ1848" t="str">
            <v>Surgery</v>
          </cell>
          <cell r="AK1848" t="str">
            <v>Primary</v>
          </cell>
          <cell r="AS1848" t="str">
            <v>Squamous Cell Carcinoma</v>
          </cell>
          <cell r="AV1848">
            <v>44447</v>
          </cell>
          <cell r="AW1848">
            <v>0.28125</v>
          </cell>
          <cell r="AX1848">
            <v>0.34722222222222221</v>
          </cell>
          <cell r="AY1848">
            <v>6.5972222222222224E-2</v>
          </cell>
          <cell r="AZ1848">
            <v>0.3611111111111111</v>
          </cell>
          <cell r="BA1848">
            <v>0.7</v>
          </cell>
          <cell r="BB1848" t="str">
            <v>0.4*1.4*1.4</v>
          </cell>
          <cell r="BC1848" t="str">
            <v>0.4*1.4*1.4</v>
          </cell>
          <cell r="BD1848" t="str">
            <v>2*4*450</v>
          </cell>
          <cell r="BE1848">
            <v>4</v>
          </cell>
          <cell r="BF1848" t="str">
            <v>Kowshik</v>
          </cell>
          <cell r="BG1848" t="str">
            <v>Q</v>
          </cell>
        </row>
        <row r="1849">
          <cell r="A1849" t="str">
            <v>FBR1A210146</v>
          </cell>
          <cell r="B1849">
            <v>210146</v>
          </cell>
          <cell r="C1849" t="str">
            <v>R&amp;D</v>
          </cell>
          <cell r="D1849">
            <v>44447</v>
          </cell>
          <cell r="E1849">
            <v>0.38750000000000001</v>
          </cell>
          <cell r="F1849">
            <v>44440</v>
          </cell>
          <cell r="G1849">
            <v>44447</v>
          </cell>
          <cell r="H1849">
            <v>0.51666666666666672</v>
          </cell>
          <cell r="I1849">
            <v>0.12916666666666668</v>
          </cell>
          <cell r="J1849">
            <v>4</v>
          </cell>
          <cell r="K1849" t="str">
            <v>FCB-PROTOCOL-01_v1</v>
          </cell>
          <cell r="L1849" t="str">
            <v>VYD/034</v>
          </cell>
          <cell r="M1849" t="str">
            <v>Y</v>
          </cell>
          <cell r="N1849" t="str">
            <v>Other Indication</v>
          </cell>
          <cell r="O1849" t="str">
            <v>Internal R&amp;D</v>
          </cell>
          <cell r="S1849" t="str">
            <v>Q1 Passed</v>
          </cell>
          <cell r="T1849" t="str">
            <v>Q2 Rejected</v>
          </cell>
          <cell r="V1849" t="str">
            <v>High tumor content</v>
          </cell>
          <cell r="W1849" t="str">
            <v>Clinic'les</v>
          </cell>
          <cell r="X1849" t="str">
            <v>Clinic'les- Vydehi Hospital, Bangalore</v>
          </cell>
          <cell r="Y1849" t="str">
            <v>Vydehi Hospital, Bangalore</v>
          </cell>
          <cell r="Z1849" t="str">
            <v>Dr Amritha Prabha, Bangalore</v>
          </cell>
          <cell r="AA1849" t="str">
            <v>Ca Breast</v>
          </cell>
          <cell r="AC1849" t="str">
            <v>Breast</v>
          </cell>
          <cell r="AD1849" t="str">
            <v>Left Breast</v>
          </cell>
          <cell r="AE1849" t="str">
            <v>Female</v>
          </cell>
          <cell r="AF1849">
            <v>59</v>
          </cell>
          <cell r="AG1849" t="str">
            <v>No</v>
          </cell>
          <cell r="AI1849" t="str">
            <v>Kalappa</v>
          </cell>
          <cell r="AJ1849" t="str">
            <v>Surgery</v>
          </cell>
          <cell r="AK1849" t="str">
            <v>Primary</v>
          </cell>
          <cell r="AL1849" t="str">
            <v>Chemotherapy</v>
          </cell>
          <cell r="AN1849" t="str">
            <v>IIIB</v>
          </cell>
          <cell r="AO1849">
            <v>2</v>
          </cell>
          <cell r="AP1849" t="str">
            <v>pT4bN1a</v>
          </cell>
          <cell r="AQ1849" t="str">
            <v>8 cycles</v>
          </cell>
          <cell r="AR1849" t="str">
            <v>4AC+ 4Paclitaxel</v>
          </cell>
          <cell r="AS1849" t="str">
            <v>ER+, PR+, HER2-; Infiltrating Ductal Carcinoma</v>
          </cell>
          <cell r="AT1849" t="str">
            <v>Radiotherapy</v>
          </cell>
          <cell r="AV1849">
            <v>44447</v>
          </cell>
          <cell r="AW1849">
            <v>0.53125</v>
          </cell>
          <cell r="AX1849">
            <v>0.60486111111111107</v>
          </cell>
          <cell r="AY1849">
            <v>7.3611111111111113E-2</v>
          </cell>
          <cell r="AZ1849">
            <v>1.4583333333333334E-2</v>
          </cell>
          <cell r="BA1849">
            <v>0.14374999999999999</v>
          </cell>
          <cell r="BB1849" t="str">
            <v>1.4*1.4*1.4</v>
          </cell>
          <cell r="BC1849" t="str">
            <v>1.0*1.0*1.0</v>
          </cell>
          <cell r="BD1849" t="str">
            <v>2*2*2</v>
          </cell>
          <cell r="BE1849">
            <v>4</v>
          </cell>
          <cell r="BF1849" t="str">
            <v>Gowri</v>
          </cell>
          <cell r="BG1849" t="str">
            <v>Q</v>
          </cell>
        </row>
        <row r="1850">
          <cell r="A1850" t="str">
            <v>FBR1L210147</v>
          </cell>
          <cell r="B1850">
            <v>210147</v>
          </cell>
          <cell r="C1850" t="str">
            <v>R&amp;D</v>
          </cell>
          <cell r="D1850">
            <v>44448</v>
          </cell>
          <cell r="E1850">
            <v>0.55000000000000004</v>
          </cell>
          <cell r="F1850">
            <v>44440</v>
          </cell>
          <cell r="G1850">
            <v>44448</v>
          </cell>
          <cell r="H1850">
            <v>0.92361111111111116</v>
          </cell>
          <cell r="I1850">
            <v>0.37361111111111112</v>
          </cell>
          <cell r="J1850">
            <v>2</v>
          </cell>
          <cell r="K1850" t="str">
            <v>FCB-PROTOCOL-01_v1</v>
          </cell>
          <cell r="L1850" t="str">
            <v>CLN/DBR/024</v>
          </cell>
          <cell r="M1850" t="str">
            <v>Y</v>
          </cell>
          <cell r="N1850" t="str">
            <v>Culture Extension Study</v>
          </cell>
          <cell r="O1850" t="str">
            <v>Internal R&amp;D</v>
          </cell>
          <cell r="S1850" t="str">
            <v>Q1 Passed</v>
          </cell>
          <cell r="T1850" t="str">
            <v>Q2 Passed</v>
          </cell>
          <cell r="U1850" t="str">
            <v>Blood Sample hemolyzed during processing</v>
          </cell>
          <cell r="V1850" t="str">
            <v>Moderate amount of tumor. 1-2 explants fragmented</v>
          </cell>
          <cell r="W1850" t="str">
            <v>Clinic'les</v>
          </cell>
          <cell r="X1850" t="str">
            <v>Clinic'les- DBR &amp; SK Hospital, Tirupati</v>
          </cell>
          <cell r="Y1850" t="str">
            <v>DBR &amp; SK Hospital, Tirupati</v>
          </cell>
          <cell r="Z1850" t="str">
            <v>Dr C Jayaprakash, Tirupati</v>
          </cell>
          <cell r="AA1850" t="str">
            <v>HNSCC</v>
          </cell>
          <cell r="AC1850" t="str">
            <v>Tongue</v>
          </cell>
          <cell r="AD1850" t="str">
            <v>Tongue</v>
          </cell>
          <cell r="AE1850" t="str">
            <v>Male</v>
          </cell>
          <cell r="AF1850">
            <v>46</v>
          </cell>
          <cell r="AG1850" t="str">
            <v>No</v>
          </cell>
          <cell r="AI1850" t="str">
            <v>Partha</v>
          </cell>
          <cell r="AJ1850" t="str">
            <v>Surgery</v>
          </cell>
          <cell r="AK1850" t="str">
            <v>Primary</v>
          </cell>
          <cell r="AS1850" t="str">
            <v>Squamous Cell Carcinoma</v>
          </cell>
          <cell r="AV1850">
            <v>44448</v>
          </cell>
          <cell r="AW1850">
            <v>0.9375</v>
          </cell>
          <cell r="AX1850">
            <v>0.99652777777777779</v>
          </cell>
          <cell r="AY1850">
            <v>5.9027777777777776E-2</v>
          </cell>
          <cell r="AZ1850">
            <v>1.3888888888888888E-2</v>
          </cell>
          <cell r="BA1850">
            <v>0.38750000000000001</v>
          </cell>
          <cell r="BB1850" t="str">
            <v>0.8*1.4*1.8
0.4*0.8*1.6</v>
          </cell>
          <cell r="BC1850" t="str">
            <v>0.8*1.4*1.8
0.4*0.8*1.6</v>
          </cell>
          <cell r="BD1850" t="str">
            <v>2*4*450</v>
          </cell>
          <cell r="BE1850">
            <v>4</v>
          </cell>
          <cell r="BF1850" t="str">
            <v>Kowshik</v>
          </cell>
          <cell r="BG1850" t="str">
            <v>NQ</v>
          </cell>
        </row>
        <row r="1851">
          <cell r="A1851" t="str">
            <v>FBR1L210148</v>
          </cell>
          <cell r="B1851">
            <v>210148</v>
          </cell>
          <cell r="C1851" t="str">
            <v>R&amp;D</v>
          </cell>
          <cell r="D1851">
            <v>44450</v>
          </cell>
          <cell r="E1851">
            <v>0.55000000000000004</v>
          </cell>
          <cell r="F1851">
            <v>44440</v>
          </cell>
          <cell r="G1851">
            <v>44450</v>
          </cell>
          <cell r="H1851">
            <v>0.87152777777777779</v>
          </cell>
          <cell r="I1851">
            <v>0.3215277777777778</v>
          </cell>
          <cell r="J1851">
            <v>2</v>
          </cell>
          <cell r="K1851" t="str">
            <v>FCB-PROTOCOL-01_v1</v>
          </cell>
          <cell r="L1851" t="str">
            <v>CLN/DBR/025</v>
          </cell>
          <cell r="M1851" t="str">
            <v>Y</v>
          </cell>
          <cell r="N1851" t="str">
            <v>Culture Extension Study</v>
          </cell>
          <cell r="O1851" t="str">
            <v>Internal R&amp;D</v>
          </cell>
          <cell r="S1851" t="str">
            <v>Q1 Passed</v>
          </cell>
          <cell r="T1851" t="str">
            <v>Q2 Passed</v>
          </cell>
          <cell r="V1851" t="str">
            <v>Moderate amount of tumor. Stromal component high</v>
          </cell>
          <cell r="W1851" t="str">
            <v>Clinic'les</v>
          </cell>
          <cell r="X1851" t="str">
            <v>Clinic'les- DBR &amp; SK Hospital, Tirupati</v>
          </cell>
          <cell r="Y1851" t="str">
            <v>DBR &amp; SK Hospital, Tirupati</v>
          </cell>
          <cell r="Z1851" t="str">
            <v>Dr C Jayaprakash, Tirupati</v>
          </cell>
          <cell r="AA1851" t="str">
            <v>HNSCC</v>
          </cell>
          <cell r="AC1851" t="str">
            <v>Buccal Mucosa</v>
          </cell>
          <cell r="AD1851" t="str">
            <v>Buccal Mucosa</v>
          </cell>
          <cell r="AE1851" t="str">
            <v>Female</v>
          </cell>
          <cell r="AF1851">
            <v>65</v>
          </cell>
          <cell r="AG1851" t="str">
            <v>No</v>
          </cell>
          <cell r="AI1851" t="str">
            <v>Partha</v>
          </cell>
          <cell r="AJ1851" t="str">
            <v>Surgery</v>
          </cell>
          <cell r="AK1851" t="str">
            <v>Primary</v>
          </cell>
          <cell r="AS1851" t="str">
            <v>Squamous Cell Carcinoma</v>
          </cell>
          <cell r="AV1851">
            <v>44450</v>
          </cell>
          <cell r="AW1851">
            <v>0.88263888888888886</v>
          </cell>
          <cell r="AX1851">
            <v>0.96944444444444444</v>
          </cell>
          <cell r="AY1851">
            <v>8.6805555555555552E-2</v>
          </cell>
          <cell r="AZ1851">
            <v>1.1111111111111112E-2</v>
          </cell>
          <cell r="BA1851">
            <v>0.33263888888888887</v>
          </cell>
          <cell r="BB1851" t="str">
            <v>0.6*2.2*2.6</v>
          </cell>
          <cell r="BC1851" t="str">
            <v>NA</v>
          </cell>
          <cell r="BD1851" t="str">
            <v>2*4*450</v>
          </cell>
          <cell r="BE1851">
            <v>4</v>
          </cell>
          <cell r="BF1851" t="str">
            <v>Gowri</v>
          </cell>
          <cell r="BG1851" t="str">
            <v>Q</v>
          </cell>
        </row>
        <row r="1852">
          <cell r="A1852" t="str">
            <v>FBR1E210149</v>
          </cell>
          <cell r="B1852">
            <v>210149</v>
          </cell>
          <cell r="C1852" t="str">
            <v>R&amp;D</v>
          </cell>
          <cell r="D1852">
            <v>44452</v>
          </cell>
          <cell r="E1852">
            <v>0.59166666666666667</v>
          </cell>
          <cell r="F1852">
            <v>44440</v>
          </cell>
          <cell r="G1852">
            <v>44452</v>
          </cell>
          <cell r="H1852">
            <v>0.90902777777777777</v>
          </cell>
          <cell r="I1852">
            <v>0.31736111111111109</v>
          </cell>
          <cell r="J1852">
            <v>2</v>
          </cell>
          <cell r="K1852" t="str">
            <v>FCB-PROTOCOL-01_v1</v>
          </cell>
          <cell r="L1852" t="str">
            <v>CLN/DBR/026</v>
          </cell>
          <cell r="M1852" t="str">
            <v>Y</v>
          </cell>
          <cell r="N1852" t="str">
            <v>Immune Infiltration Expt</v>
          </cell>
          <cell r="O1852" t="str">
            <v>Internal R&amp;D</v>
          </cell>
          <cell r="S1852" t="str">
            <v>Q1 Passed</v>
          </cell>
          <cell r="T1852" t="str">
            <v>Q2 Passed</v>
          </cell>
          <cell r="W1852" t="str">
            <v>Clinic'les</v>
          </cell>
          <cell r="X1852" t="str">
            <v>Clinic'les- DBR &amp; SK Hospital, Tirupati</v>
          </cell>
          <cell r="Y1852" t="str">
            <v>DBR &amp; SK Hospital, Tirupati</v>
          </cell>
          <cell r="Z1852" t="str">
            <v>Dr C Jayaprakash, Tirupati</v>
          </cell>
          <cell r="AA1852" t="str">
            <v>HNSCC</v>
          </cell>
          <cell r="AC1852" t="str">
            <v>Buccal Mucosa</v>
          </cell>
          <cell r="AD1852" t="str">
            <v>Buccal Mucosa</v>
          </cell>
          <cell r="AE1852" t="str">
            <v>Male</v>
          </cell>
          <cell r="AF1852">
            <v>79</v>
          </cell>
          <cell r="AG1852" t="str">
            <v>No</v>
          </cell>
          <cell r="AI1852" t="str">
            <v>Partha</v>
          </cell>
          <cell r="AJ1852" t="str">
            <v>Surgery</v>
          </cell>
          <cell r="AK1852" t="str">
            <v>Primary</v>
          </cell>
          <cell r="AS1852" t="str">
            <v>Squamous Cell Carcinoma</v>
          </cell>
          <cell r="AV1852">
            <v>44452</v>
          </cell>
          <cell r="AW1852">
            <v>0.92361111111111116</v>
          </cell>
          <cell r="AX1852">
            <v>0.98611111111111116</v>
          </cell>
          <cell r="AY1852">
            <v>6.25E-2</v>
          </cell>
          <cell r="AZ1852">
            <v>1.4583333333333334E-2</v>
          </cell>
          <cell r="BA1852">
            <v>0.33194444444444443</v>
          </cell>
          <cell r="BB1852" t="str">
            <v>1.8*2.4*2.2</v>
          </cell>
          <cell r="BC1852" t="str">
            <v>1.8*2.4*2.2</v>
          </cell>
          <cell r="BD1852" t="str">
            <v>2*4*450</v>
          </cell>
          <cell r="BE1852">
            <v>4</v>
          </cell>
          <cell r="BF1852" t="str">
            <v>Kowshik</v>
          </cell>
          <cell r="BG1852" t="str">
            <v>Q</v>
          </cell>
        </row>
        <row r="1853">
          <cell r="A1853" t="str">
            <v>FBR1L210150</v>
          </cell>
          <cell r="B1853">
            <v>210150</v>
          </cell>
          <cell r="C1853" t="str">
            <v>R&amp;D</v>
          </cell>
          <cell r="D1853">
            <v>44454</v>
          </cell>
          <cell r="E1853">
            <v>0.68402777777777779</v>
          </cell>
          <cell r="F1853">
            <v>44440</v>
          </cell>
          <cell r="G1853">
            <v>44454</v>
          </cell>
          <cell r="H1853">
            <v>0.74305555555555558</v>
          </cell>
          <cell r="I1853">
            <v>5.9027777777777776E-2</v>
          </cell>
          <cell r="K1853" t="str">
            <v>MBT-TB-070 v2.0</v>
          </cell>
          <cell r="L1853" t="str">
            <v>BBH008</v>
          </cell>
          <cell r="M1853" t="str">
            <v>Y</v>
          </cell>
          <cell r="N1853" t="str">
            <v>Culture Extension Study</v>
          </cell>
          <cell r="O1853" t="str">
            <v>Internal R&amp;D</v>
          </cell>
          <cell r="S1853" t="str">
            <v>Q1 Passed</v>
          </cell>
          <cell r="V1853" t="str">
            <v>Good tumor content.</v>
          </cell>
          <cell r="W1853" t="str">
            <v>Independent</v>
          </cell>
          <cell r="X1853" t="str">
            <v>Bangalore Baptist Hospital, Hebbal</v>
          </cell>
          <cell r="Y1853" t="str">
            <v>Bangalore Baptist Hospital, Hebbal</v>
          </cell>
          <cell r="Z1853" t="str">
            <v>Dr Manjula BV, Bangalore</v>
          </cell>
          <cell r="AA1853" t="str">
            <v>HNSCC</v>
          </cell>
          <cell r="AC1853" t="str">
            <v>Tongue</v>
          </cell>
          <cell r="AD1853" t="str">
            <v>Right Lateral border of tongue</v>
          </cell>
          <cell r="AE1853" t="str">
            <v>Male</v>
          </cell>
          <cell r="AF1853">
            <v>56</v>
          </cell>
          <cell r="AG1853" t="str">
            <v>No</v>
          </cell>
          <cell r="AI1853" t="str">
            <v>Sashi</v>
          </cell>
          <cell r="AJ1853" t="str">
            <v>Surgery</v>
          </cell>
          <cell r="AK1853" t="str">
            <v>Primary</v>
          </cell>
          <cell r="AN1853" t="str">
            <v>III</v>
          </cell>
          <cell r="AP1853" t="str">
            <v>pT2N2a</v>
          </cell>
          <cell r="AV1853">
            <v>44454</v>
          </cell>
          <cell r="AW1853">
            <v>0.75694444444444442</v>
          </cell>
          <cell r="AX1853">
            <v>0.83125000000000004</v>
          </cell>
          <cell r="AY1853">
            <v>7.4305555555555555E-2</v>
          </cell>
          <cell r="AZ1853">
            <v>1.3888888888888888E-2</v>
          </cell>
          <cell r="BA1853">
            <v>7.2916666666666671E-2</v>
          </cell>
          <cell r="BB1853" t="str">
            <v>0.4*1.2*1.2</v>
          </cell>
          <cell r="BC1853" t="str">
            <v>0.4*1.2*1.2</v>
          </cell>
          <cell r="BD1853" t="str">
            <v>2*4*450</v>
          </cell>
          <cell r="BE1853">
            <v>4</v>
          </cell>
          <cell r="BF1853" t="str">
            <v>Gowri</v>
          </cell>
          <cell r="BG1853" t="str">
            <v>Q</v>
          </cell>
        </row>
        <row r="1854">
          <cell r="A1854" t="str">
            <v>FBR1L210151</v>
          </cell>
          <cell r="B1854">
            <v>210151</v>
          </cell>
          <cell r="C1854" t="str">
            <v>R&amp;D</v>
          </cell>
          <cell r="D1854">
            <v>44455</v>
          </cell>
          <cell r="E1854">
            <v>0.4861111111111111</v>
          </cell>
          <cell r="F1854">
            <v>44440</v>
          </cell>
          <cell r="G1854">
            <v>44455</v>
          </cell>
          <cell r="H1854">
            <v>0.55208333333333337</v>
          </cell>
          <cell r="I1854">
            <v>6.5972222222222224E-2</v>
          </cell>
          <cell r="J1854">
            <v>2</v>
          </cell>
          <cell r="K1854" t="str">
            <v>FCB-PROTOCOL-01_v1</v>
          </cell>
          <cell r="L1854" t="str">
            <v>VYD/035</v>
          </cell>
          <cell r="M1854" t="str">
            <v>Y</v>
          </cell>
          <cell r="N1854" t="str">
            <v>Culture Extension Study</v>
          </cell>
          <cell r="O1854" t="str">
            <v>Internal R&amp;D</v>
          </cell>
          <cell r="S1854" t="str">
            <v>Q1 Rejected</v>
          </cell>
          <cell r="T1854" t="str">
            <v>Q2 Passed</v>
          </cell>
          <cell r="U1854" t="str">
            <v>Blood sample was clotted</v>
          </cell>
          <cell r="V1854" t="str">
            <v>Tumor only in 3/7 explants</v>
          </cell>
          <cell r="W1854" t="str">
            <v>Clinic'les</v>
          </cell>
          <cell r="X1854" t="str">
            <v>Clinic'les- Vydehi Hospital, Bangalore</v>
          </cell>
          <cell r="Y1854" t="str">
            <v>Vydehi Hospital, Bangalore</v>
          </cell>
          <cell r="Z1854" t="str">
            <v>Dr Amritha Prabha, Bangalore</v>
          </cell>
          <cell r="AA1854" t="str">
            <v>HNSCC</v>
          </cell>
          <cell r="AC1854" t="str">
            <v>Tongue</v>
          </cell>
          <cell r="AD1854" t="str">
            <v>Left Lateral border of tongue</v>
          </cell>
          <cell r="AE1854" t="str">
            <v>Male</v>
          </cell>
          <cell r="AF1854">
            <v>47</v>
          </cell>
          <cell r="AG1854" t="str">
            <v>No</v>
          </cell>
          <cell r="AI1854" t="str">
            <v>Kalappa</v>
          </cell>
          <cell r="AJ1854" t="str">
            <v>Surgery</v>
          </cell>
          <cell r="AK1854" t="str">
            <v>Primary</v>
          </cell>
          <cell r="AL1854" t="str">
            <v>Chemotherapy</v>
          </cell>
          <cell r="AQ1854" t="str">
            <v>2 cycles</v>
          </cell>
          <cell r="AR1854" t="str">
            <v>Cisplatin</v>
          </cell>
          <cell r="AS1854" t="str">
            <v>Squamous Cell Carcinoma</v>
          </cell>
          <cell r="AV1854">
            <v>44455</v>
          </cell>
          <cell r="AW1854">
            <v>0.58680555555555558</v>
          </cell>
          <cell r="AX1854">
            <v>0.66736111111111107</v>
          </cell>
          <cell r="AY1854">
            <v>8.0555555555555561E-2</v>
          </cell>
          <cell r="AZ1854">
            <v>3.4722222222222224E-2</v>
          </cell>
          <cell r="BA1854">
            <v>0.10069444444444445</v>
          </cell>
          <cell r="BB1854" t="str">
            <v>2.0*1.4*2.0</v>
          </cell>
          <cell r="BC1854" t="str">
            <v>2.0*1.4*2.0</v>
          </cell>
          <cell r="BD1854" t="str">
            <v>2*4*450</v>
          </cell>
          <cell r="BE1854">
            <v>4</v>
          </cell>
          <cell r="BF1854" t="str">
            <v>Gowri</v>
          </cell>
          <cell r="BG1854" t="str">
            <v>NQ</v>
          </cell>
        </row>
        <row r="1855">
          <cell r="A1855" t="str">
            <v>FBR1J210152</v>
          </cell>
          <cell r="B1855">
            <v>210152</v>
          </cell>
          <cell r="C1855" t="str">
            <v>R&amp;D</v>
          </cell>
          <cell r="D1855">
            <v>44455</v>
          </cell>
          <cell r="E1855">
            <v>0.95972222222222225</v>
          </cell>
          <cell r="F1855">
            <v>44440</v>
          </cell>
          <cell r="G1855">
            <v>44456</v>
          </cell>
          <cell r="H1855">
            <v>1.0416666666666666E-2</v>
          </cell>
          <cell r="I1855">
            <v>5.0694444444444445E-2</v>
          </cell>
          <cell r="J1855">
            <v>2</v>
          </cell>
          <cell r="K1855" t="str">
            <v>FCB-PROTOCOL-01_v1</v>
          </cell>
          <cell r="L1855" t="str">
            <v>CLN/PRA/01/0117</v>
          </cell>
          <cell r="M1855" t="str">
            <v>Y</v>
          </cell>
          <cell r="N1855" t="str">
            <v>COS_V3</v>
          </cell>
          <cell r="O1855" t="str">
            <v>Internal R&amp;D</v>
          </cell>
          <cell r="S1855" t="str">
            <v>Q1 Passed</v>
          </cell>
          <cell r="T1855" t="str">
            <v>Q2 Passed</v>
          </cell>
          <cell r="V1855" t="str">
            <v>No tumor</v>
          </cell>
          <cell r="W1855" t="str">
            <v>Clinic'les</v>
          </cell>
          <cell r="X1855" t="str">
            <v>Clinic'les- Dr Prakash BV, Bangalore</v>
          </cell>
          <cell r="Y1855" t="str">
            <v>Sri Lakshmi Hospital, Bangalore</v>
          </cell>
          <cell r="Z1855" t="str">
            <v>Dr Prakash BV, Bangalore</v>
          </cell>
          <cell r="AA1855" t="str">
            <v>GI</v>
          </cell>
          <cell r="AB1855" t="str">
            <v>Stomach</v>
          </cell>
          <cell r="AC1855" t="str">
            <v>Stomach</v>
          </cell>
          <cell r="AD1855" t="str">
            <v>Stomach</v>
          </cell>
          <cell r="AE1855" t="str">
            <v>Female</v>
          </cell>
          <cell r="AF1855">
            <v>55</v>
          </cell>
          <cell r="AG1855" t="str">
            <v>No</v>
          </cell>
          <cell r="AI1855" t="str">
            <v>Sashi</v>
          </cell>
          <cell r="AJ1855" t="str">
            <v>Surgery</v>
          </cell>
          <cell r="AK1855" t="str">
            <v>Primary</v>
          </cell>
          <cell r="AL1855" t="str">
            <v>Chemotherapy</v>
          </cell>
          <cell r="AN1855" t="str">
            <v>III</v>
          </cell>
          <cell r="AO1855" t="str">
            <v>II</v>
          </cell>
          <cell r="AP1855" t="str">
            <v>pT3N2M0</v>
          </cell>
          <cell r="AQ1855" t="str">
            <v>3 cycles</v>
          </cell>
          <cell r="AR1855" t="str">
            <v>Paclitaxel+ Carboplatin</v>
          </cell>
          <cell r="AS1855" t="str">
            <v>Moderately differentiated Adenocarcinoma</v>
          </cell>
          <cell r="AV1855">
            <v>44456</v>
          </cell>
          <cell r="AW1855">
            <v>0.33680555555555558</v>
          </cell>
          <cell r="AX1855">
            <v>0.40277777777777779</v>
          </cell>
          <cell r="AY1855">
            <v>6.5972222222222224E-2</v>
          </cell>
          <cell r="AZ1855">
            <v>0.3263888888888889</v>
          </cell>
          <cell r="BA1855">
            <v>0.37708333333333333</v>
          </cell>
          <cell r="BB1855" t="str">
            <v>1.0*2.2*2.8</v>
          </cell>
          <cell r="BC1855" t="str">
            <v>1.0*2.2*2.8</v>
          </cell>
          <cell r="BD1855" t="str">
            <v>2*2*2</v>
          </cell>
          <cell r="BE1855">
            <v>4</v>
          </cell>
          <cell r="BF1855" t="str">
            <v>Gowri</v>
          </cell>
          <cell r="BG1855" t="str">
            <v>Q</v>
          </cell>
        </row>
        <row r="1856">
          <cell r="A1856" t="str">
            <v>FBB1B210153</v>
          </cell>
          <cell r="B1856">
            <v>210153</v>
          </cell>
          <cell r="C1856" t="str">
            <v>Biopharma</v>
          </cell>
          <cell r="D1856">
            <v>44456</v>
          </cell>
          <cell r="E1856">
            <v>0.63888888888888884</v>
          </cell>
          <cell r="F1856">
            <v>44440</v>
          </cell>
          <cell r="G1856">
            <v>44456</v>
          </cell>
          <cell r="H1856">
            <v>0.94097222222222221</v>
          </cell>
          <cell r="I1856">
            <v>0.30208333333333331</v>
          </cell>
          <cell r="J1856">
            <v>2</v>
          </cell>
          <cell r="K1856" t="str">
            <v>FCB-PROTOCOL-01_v1</v>
          </cell>
          <cell r="L1856" t="str">
            <v>CLN/DBR/027</v>
          </cell>
          <cell r="M1856" t="str">
            <v>Y</v>
          </cell>
          <cell r="N1856" t="str">
            <v>BP002_SOW1_2021</v>
          </cell>
          <cell r="O1856" t="str">
            <v>Biopharma</v>
          </cell>
          <cell r="S1856" t="str">
            <v>Q1 Passed</v>
          </cell>
          <cell r="T1856" t="str">
            <v>Q2 Passed</v>
          </cell>
          <cell r="V1856" t="str">
            <v>High tumor content</v>
          </cell>
          <cell r="W1856" t="str">
            <v>Clinic'les</v>
          </cell>
          <cell r="X1856" t="str">
            <v>Clinic'les- DBR &amp; SK Hospital, Tirupati</v>
          </cell>
          <cell r="Y1856" t="str">
            <v>DBR &amp; SK Hospital, Tirupati</v>
          </cell>
          <cell r="Z1856" t="str">
            <v>Dr C Jayaprakash, Tirupati</v>
          </cell>
          <cell r="AA1856" t="str">
            <v>HNSCC</v>
          </cell>
          <cell r="AC1856" t="str">
            <v>Buccal Mucosa</v>
          </cell>
          <cell r="AD1856" t="str">
            <v>Buccal Mucosa</v>
          </cell>
          <cell r="AE1856" t="str">
            <v>Female</v>
          </cell>
          <cell r="AF1856">
            <v>63</v>
          </cell>
          <cell r="AG1856" t="str">
            <v>No</v>
          </cell>
          <cell r="AI1856" t="str">
            <v>Sashi</v>
          </cell>
          <cell r="AJ1856" t="str">
            <v>Surgery</v>
          </cell>
          <cell r="AK1856" t="str">
            <v>Primary</v>
          </cell>
          <cell r="AS1856" t="str">
            <v>Squamous Cell Carcinoma</v>
          </cell>
          <cell r="AV1856">
            <v>44456</v>
          </cell>
          <cell r="AW1856">
            <v>0.95138888888888884</v>
          </cell>
          <cell r="AX1856">
            <v>3.1944444444444442E-2</v>
          </cell>
          <cell r="AY1856">
            <v>8.0555555555555561E-2</v>
          </cell>
          <cell r="AZ1856">
            <v>1.0416666666666666E-2</v>
          </cell>
          <cell r="BA1856">
            <v>0.3125</v>
          </cell>
          <cell r="BB1856" t="str">
            <v>1.0*2.0*2.8</v>
          </cell>
          <cell r="BC1856" t="str">
            <v>1.0*2.0*2.8</v>
          </cell>
          <cell r="BD1856" t="str">
            <v>2*4*450</v>
          </cell>
          <cell r="BE1856">
            <v>4</v>
          </cell>
          <cell r="BF1856" t="str">
            <v>Gowri</v>
          </cell>
          <cell r="BG1856" t="str">
            <v>Q</v>
          </cell>
        </row>
        <row r="1857">
          <cell r="A1857" t="str">
            <v>FBR1L210154</v>
          </cell>
          <cell r="B1857">
            <v>210154</v>
          </cell>
          <cell r="C1857" t="str">
            <v>R&amp;D</v>
          </cell>
          <cell r="D1857">
            <v>44457</v>
          </cell>
          <cell r="E1857">
            <v>0.53819444444444442</v>
          </cell>
          <cell r="F1857">
            <v>44440</v>
          </cell>
          <cell r="G1857">
            <v>44457</v>
          </cell>
          <cell r="H1857">
            <v>0.87777777777777777</v>
          </cell>
          <cell r="I1857">
            <v>0.33958333333333335</v>
          </cell>
          <cell r="J1857">
            <v>2</v>
          </cell>
          <cell r="K1857" t="str">
            <v>FCB-PROTOCOL-01_v1</v>
          </cell>
          <cell r="L1857" t="str">
            <v>CLN/DBR/028</v>
          </cell>
          <cell r="M1857" t="str">
            <v>Y</v>
          </cell>
          <cell r="N1857" t="str">
            <v>Culture Extension Study</v>
          </cell>
          <cell r="O1857" t="str">
            <v>Internal R&amp;D</v>
          </cell>
          <cell r="S1857" t="str">
            <v>Q1 Passed</v>
          </cell>
          <cell r="T1857" t="str">
            <v>Q2 Rejected</v>
          </cell>
          <cell r="V1857" t="str">
            <v>Good tumor content</v>
          </cell>
          <cell r="W1857" t="str">
            <v>Clinic'les</v>
          </cell>
          <cell r="X1857" t="str">
            <v>Clinic'les- DBR &amp; SK Hospital, Tirupati</v>
          </cell>
          <cell r="Y1857" t="str">
            <v>DBR &amp; SK Hospital, Tirupati</v>
          </cell>
          <cell r="Z1857" t="str">
            <v>Dr C Jayaprakash, Tirupati</v>
          </cell>
          <cell r="AA1857" t="str">
            <v>HNSCC</v>
          </cell>
          <cell r="AC1857" t="str">
            <v>Buccal Mucosa</v>
          </cell>
          <cell r="AD1857" t="str">
            <v>Buccal Mucosa</v>
          </cell>
          <cell r="AE1857" t="str">
            <v>Male</v>
          </cell>
          <cell r="AF1857">
            <v>75</v>
          </cell>
          <cell r="AG1857" t="str">
            <v>No</v>
          </cell>
          <cell r="AI1857" t="str">
            <v>Partha</v>
          </cell>
          <cell r="AJ1857" t="str">
            <v>Surgery</v>
          </cell>
          <cell r="AK1857" t="str">
            <v>Primary</v>
          </cell>
          <cell r="AN1857" t="str">
            <v>III</v>
          </cell>
          <cell r="AP1857" t="str">
            <v>pT3N0Mx</v>
          </cell>
          <cell r="AS1857" t="str">
            <v>Squamous Cell Carcinoma</v>
          </cell>
          <cell r="AV1857">
            <v>44457</v>
          </cell>
          <cell r="AW1857">
            <v>0.89166666666666672</v>
          </cell>
          <cell r="AX1857">
            <v>0.97916666666666663</v>
          </cell>
          <cell r="AY1857">
            <v>8.7499999999999994E-2</v>
          </cell>
          <cell r="AZ1857">
            <v>1.3888888888888888E-2</v>
          </cell>
          <cell r="BA1857">
            <v>0.35347222222222224</v>
          </cell>
          <cell r="BB1857" t="str">
            <v>1.4*2.6*1.6</v>
          </cell>
          <cell r="BC1857" t="str">
            <v>1.4*2.6*1.6</v>
          </cell>
          <cell r="BD1857" t="str">
            <v>2*4*450</v>
          </cell>
          <cell r="BE1857">
            <v>4</v>
          </cell>
          <cell r="BF1857" t="str">
            <v>Gowri</v>
          </cell>
          <cell r="BG1857" t="str">
            <v>Q</v>
          </cell>
        </row>
        <row r="1858">
          <cell r="A1858" t="str">
            <v>FBR1M210155</v>
          </cell>
          <cell r="B1858">
            <v>210155</v>
          </cell>
          <cell r="C1858" t="str">
            <v>R&amp;D</v>
          </cell>
          <cell r="D1858">
            <v>44459</v>
          </cell>
          <cell r="E1858">
            <v>0.53333333333333333</v>
          </cell>
          <cell r="F1858">
            <v>44440</v>
          </cell>
          <cell r="G1858">
            <v>44459</v>
          </cell>
          <cell r="H1858">
            <v>0.64583333333333337</v>
          </cell>
          <cell r="I1858">
            <v>0.1125</v>
          </cell>
          <cell r="J1858">
            <v>3</v>
          </cell>
          <cell r="K1858" t="str">
            <v>FCB-PROTOCOL-01_v1</v>
          </cell>
          <cell r="L1858" t="str">
            <v>VYD/036</v>
          </cell>
          <cell r="M1858" t="str">
            <v>Y</v>
          </cell>
          <cell r="N1858" t="str">
            <v>DMS_RCC</v>
          </cell>
          <cell r="O1858" t="str">
            <v>Internal R&amp;D</v>
          </cell>
          <cell r="S1858" t="str">
            <v>Q1 Passed</v>
          </cell>
          <cell r="T1858" t="str">
            <v>Q2 Passed</v>
          </cell>
          <cell r="U1858" t="str">
            <v>Plasma volume was above 6 ml (clear)</v>
          </cell>
          <cell r="V1858" t="str">
            <v xml:space="preserve">Good tumor content, probably chromophobe  cell carcinoma </v>
          </cell>
          <cell r="W1858" t="str">
            <v>Clinic'les</v>
          </cell>
          <cell r="X1858" t="str">
            <v>Clinic'les- Vydehi Hospital, Bangalore</v>
          </cell>
          <cell r="Y1858" t="str">
            <v>Vydehi Hospital, Bangalore</v>
          </cell>
          <cell r="Z1858" t="str">
            <v>Dr Amritha Prabha, Bangalore</v>
          </cell>
          <cell r="AA1858" t="str">
            <v>RCC</v>
          </cell>
          <cell r="AC1858" t="str">
            <v>Kidney</v>
          </cell>
          <cell r="AD1858" t="str">
            <v>Left Kidney</v>
          </cell>
          <cell r="AE1858" t="str">
            <v>Female</v>
          </cell>
          <cell r="AF1858">
            <v>42</v>
          </cell>
          <cell r="AG1858" t="str">
            <v>No</v>
          </cell>
          <cell r="AI1858" t="str">
            <v>Kalappa</v>
          </cell>
          <cell r="AJ1858" t="str">
            <v>Surgery</v>
          </cell>
          <cell r="AK1858" t="str">
            <v>Primary</v>
          </cell>
          <cell r="AS1858" t="str">
            <v>Renal Oncocytoma</v>
          </cell>
          <cell r="AV1858">
            <v>44459</v>
          </cell>
          <cell r="AW1858">
            <v>0.65972222222222221</v>
          </cell>
          <cell r="AX1858">
            <v>0.75763888888888886</v>
          </cell>
          <cell r="AY1858">
            <v>9.7916666666666666E-2</v>
          </cell>
          <cell r="AZ1858">
            <v>1.3888888888888888E-2</v>
          </cell>
          <cell r="BA1858">
            <v>0.12638888888888888</v>
          </cell>
          <cell r="BB1858" t="str">
            <v>1.2*1.2*2.0</v>
          </cell>
          <cell r="BC1858" t="str">
            <v>1.2*1.2*2.0</v>
          </cell>
          <cell r="BD1858" t="str">
            <v>2*4*450</v>
          </cell>
          <cell r="BE1858">
            <v>4</v>
          </cell>
          <cell r="BF1858" t="str">
            <v>Kowshik</v>
          </cell>
          <cell r="BG1858" t="str">
            <v>NQ</v>
          </cell>
        </row>
        <row r="1859">
          <cell r="A1859" t="str">
            <v>FBR1A210156</v>
          </cell>
          <cell r="B1859">
            <v>210156</v>
          </cell>
          <cell r="C1859" t="str">
            <v>R&amp;D</v>
          </cell>
          <cell r="D1859">
            <v>44459</v>
          </cell>
          <cell r="E1859">
            <v>0.64375000000000004</v>
          </cell>
          <cell r="F1859">
            <v>44440</v>
          </cell>
          <cell r="G1859">
            <v>44459</v>
          </cell>
          <cell r="H1859">
            <v>0.71250000000000002</v>
          </cell>
          <cell r="I1859">
            <v>6.8750000000000006E-2</v>
          </cell>
          <cell r="J1859">
            <v>2</v>
          </cell>
          <cell r="K1859" t="str">
            <v>FCB-PROTOCOL-01_v1</v>
          </cell>
          <cell r="L1859" t="str">
            <v>VYD/037</v>
          </cell>
          <cell r="M1859" t="str">
            <v>Y</v>
          </cell>
          <cell r="N1859" t="str">
            <v>Other Indication</v>
          </cell>
          <cell r="O1859" t="str">
            <v>Internal R&amp;D</v>
          </cell>
          <cell r="S1859" t="str">
            <v>Q1 Passed</v>
          </cell>
          <cell r="T1859" t="str">
            <v>Q2 Rejected</v>
          </cell>
          <cell r="V1859" t="str">
            <v>Tumor present in many explants, but highly pyknotic. ? Pretreated effects</v>
          </cell>
          <cell r="W1859" t="str">
            <v>Clinic'les</v>
          </cell>
          <cell r="X1859" t="str">
            <v>Clinic'les- Vydehi Hospital, Bangalore</v>
          </cell>
          <cell r="Y1859" t="str">
            <v>Vydehi Hospital, Bangalore</v>
          </cell>
          <cell r="Z1859" t="str">
            <v>Dr Amritha Prabha, Bangalore</v>
          </cell>
          <cell r="AA1859" t="str">
            <v>Ca Breast</v>
          </cell>
          <cell r="AC1859" t="str">
            <v>Breast</v>
          </cell>
          <cell r="AD1859" t="str">
            <v>Left Breast</v>
          </cell>
          <cell r="AE1859" t="str">
            <v>Female</v>
          </cell>
          <cell r="AF1859">
            <v>60</v>
          </cell>
          <cell r="AG1859" t="str">
            <v>No</v>
          </cell>
          <cell r="AI1859" t="str">
            <v>Sashi</v>
          </cell>
          <cell r="AJ1859" t="str">
            <v>Surgery</v>
          </cell>
          <cell r="AK1859" t="str">
            <v>Primary</v>
          </cell>
          <cell r="AL1859" t="str">
            <v>Chemotherapy</v>
          </cell>
          <cell r="AN1859" t="str">
            <v>I</v>
          </cell>
          <cell r="AO1859">
            <v>2</v>
          </cell>
          <cell r="AP1859" t="str">
            <v>pT1aN0</v>
          </cell>
          <cell r="AQ1859" t="str">
            <v>8 cycles</v>
          </cell>
          <cell r="AR1859" t="str">
            <v>4AC+ 4Paclitaxel</v>
          </cell>
          <cell r="AS1859" t="str">
            <v>TNBC: Infiltrating Ductal Carcinoma</v>
          </cell>
          <cell r="AT1859" t="str">
            <v>Radiotherapy</v>
          </cell>
          <cell r="AV1859">
            <v>44459</v>
          </cell>
          <cell r="AW1859">
            <v>0.75</v>
          </cell>
          <cell r="AX1859">
            <v>0.80208333333333337</v>
          </cell>
          <cell r="AY1859">
            <v>5.2083333333333336E-2</v>
          </cell>
          <cell r="AZ1859">
            <v>3.7499999999999999E-2</v>
          </cell>
          <cell r="BA1859">
            <v>0.10625</v>
          </cell>
          <cell r="BB1859" t="str">
            <v>0.6*1.6*2.2
0.4*1.2*1.6</v>
          </cell>
          <cell r="BC1859" t="str">
            <v>0.6*1.6*1.8
0.4*1.2*1.0</v>
          </cell>
          <cell r="BD1859" t="str">
            <v>2*2*2</v>
          </cell>
          <cell r="BE1859">
            <v>4</v>
          </cell>
          <cell r="BF1859" t="str">
            <v>Kowshik</v>
          </cell>
          <cell r="BG1859" t="str">
            <v>Q</v>
          </cell>
        </row>
        <row r="1860">
          <cell r="A1860" t="str">
            <v>FBR1A210157</v>
          </cell>
          <cell r="B1860">
            <v>210157</v>
          </cell>
          <cell r="C1860" t="str">
            <v>R&amp;D</v>
          </cell>
          <cell r="D1860">
            <v>44460</v>
          </cell>
          <cell r="E1860">
            <v>0.59722222222222221</v>
          </cell>
          <cell r="F1860">
            <v>44440</v>
          </cell>
          <cell r="G1860">
            <v>44460</v>
          </cell>
          <cell r="H1860">
            <v>0.90625</v>
          </cell>
          <cell r="I1860">
            <v>0.30902777777777779</v>
          </cell>
          <cell r="J1860">
            <v>2</v>
          </cell>
          <cell r="K1860" t="str">
            <v>FCB-PROTOCOL-01_v1</v>
          </cell>
          <cell r="L1860" t="str">
            <v>CLN/DBR/029</v>
          </cell>
          <cell r="M1860" t="str">
            <v>Y</v>
          </cell>
          <cell r="N1860" t="str">
            <v>Other Indication</v>
          </cell>
          <cell r="O1860" t="str">
            <v>Internal R&amp;D</v>
          </cell>
          <cell r="S1860" t="str">
            <v>Q1 Passed</v>
          </cell>
          <cell r="T1860" t="str">
            <v>Q2 Passed</v>
          </cell>
          <cell r="U1860" t="str">
            <v>Blood sample was hemolyzed post spinning</v>
          </cell>
          <cell r="V1860" t="str">
            <v>Scanty tumor, &lt;5% in 6-7 explants,others no tumor</v>
          </cell>
          <cell r="W1860" t="str">
            <v>Clinic'les</v>
          </cell>
          <cell r="X1860" t="str">
            <v>Clinic'les- DBR &amp; SK Hospital, Tirupati</v>
          </cell>
          <cell r="Y1860" t="str">
            <v>DBR &amp; SK Hospital, Tirupati</v>
          </cell>
          <cell r="Z1860" t="str">
            <v>Dr C Jayaprakash, Tirupati</v>
          </cell>
          <cell r="AA1860" t="str">
            <v>Ca Ovary</v>
          </cell>
          <cell r="AC1860" t="str">
            <v>Ovary</v>
          </cell>
          <cell r="AD1860" t="str">
            <v>Bilateral Ovaries</v>
          </cell>
          <cell r="AE1860" t="str">
            <v>Female</v>
          </cell>
          <cell r="AF1860">
            <v>40</v>
          </cell>
          <cell r="AG1860" t="str">
            <v>No</v>
          </cell>
          <cell r="AI1860" t="str">
            <v>Sashi</v>
          </cell>
          <cell r="AJ1860" t="str">
            <v>Surgery</v>
          </cell>
          <cell r="AK1860" t="str">
            <v>Primary</v>
          </cell>
          <cell r="AL1860" t="str">
            <v>Chemotherapy</v>
          </cell>
          <cell r="AQ1860" t="str">
            <v>4 cyles</v>
          </cell>
          <cell r="AR1860" t="str">
            <v>Paclitaxel+ Carboplatin</v>
          </cell>
          <cell r="AS1860" t="str">
            <v>Mucinous Carcinoma of Ovary</v>
          </cell>
          <cell r="AV1860">
            <v>44460</v>
          </cell>
          <cell r="AW1860">
            <v>0.93055555555555558</v>
          </cell>
          <cell r="AX1860">
            <v>0.98958333333333337</v>
          </cell>
          <cell r="AY1860">
            <v>5.9027777777777776E-2</v>
          </cell>
          <cell r="AZ1860">
            <v>2.4305555555555556E-2</v>
          </cell>
          <cell r="BA1860">
            <v>0.33333333333333331</v>
          </cell>
          <cell r="BB1860" t="str">
            <v>1.2*2.8*5.4</v>
          </cell>
          <cell r="BC1860" t="str">
            <v>1.2*2.0*3.8</v>
          </cell>
          <cell r="BD1860" t="str">
            <v>2*2*2</v>
          </cell>
          <cell r="BE1860">
            <v>4</v>
          </cell>
          <cell r="BF1860" t="str">
            <v>Gowri</v>
          </cell>
          <cell r="BG1860" t="str">
            <v>NQ</v>
          </cell>
        </row>
        <row r="1861">
          <cell r="A1861" t="str">
            <v>FBR1A210158</v>
          </cell>
          <cell r="B1861">
            <v>210158</v>
          </cell>
          <cell r="C1861" t="str">
            <v>R&amp;D</v>
          </cell>
          <cell r="D1861">
            <v>44460</v>
          </cell>
          <cell r="E1861">
            <v>0.54166666666666663</v>
          </cell>
          <cell r="F1861">
            <v>44440</v>
          </cell>
          <cell r="G1861">
            <v>44460</v>
          </cell>
          <cell r="H1861">
            <v>0.90625</v>
          </cell>
          <cell r="I1861">
            <v>0.36458333333333331</v>
          </cell>
          <cell r="J1861">
            <v>20</v>
          </cell>
          <cell r="K1861" t="str">
            <v>MBT-TB-070 v1.1</v>
          </cell>
          <cell r="L1861" t="str">
            <v>CLN/TNG/003</v>
          </cell>
          <cell r="M1861" t="str">
            <v>Y</v>
          </cell>
          <cell r="N1861" t="str">
            <v>Other Indication</v>
          </cell>
          <cell r="O1861" t="str">
            <v>Internal R&amp;D</v>
          </cell>
          <cell r="S1861" t="str">
            <v>Q1 Passed</v>
          </cell>
          <cell r="T1861" t="str">
            <v>Q2 Rejected</v>
          </cell>
          <cell r="V1861" t="str">
            <v>A- Scanty tumor, pyknosis high</v>
          </cell>
          <cell r="W1861" t="str">
            <v>Clinic'les</v>
          </cell>
          <cell r="X1861" t="str">
            <v>Clinic'les- Thangam Hospital, Namakkal</v>
          </cell>
          <cell r="Y1861" t="str">
            <v>Thangam Hospital, Namakkal</v>
          </cell>
          <cell r="Z1861" t="str">
            <v>Dr Deepti Mishra</v>
          </cell>
          <cell r="AA1861" t="str">
            <v>Ca Breast</v>
          </cell>
          <cell r="AC1861" t="str">
            <v>Breast</v>
          </cell>
          <cell r="AD1861" t="str">
            <v>Right Breast</v>
          </cell>
          <cell r="AE1861" t="str">
            <v>Female</v>
          </cell>
          <cell r="AF1861">
            <v>40</v>
          </cell>
          <cell r="AG1861" t="str">
            <v>No</v>
          </cell>
          <cell r="AI1861" t="str">
            <v>Kalappa</v>
          </cell>
          <cell r="AJ1861" t="str">
            <v>Surgery</v>
          </cell>
          <cell r="AK1861" t="str">
            <v>Primary</v>
          </cell>
          <cell r="AN1861" t="str">
            <v>II</v>
          </cell>
          <cell r="AP1861" t="str">
            <v>pT2N0M0</v>
          </cell>
          <cell r="AS1861" t="str">
            <v>Infiltrating Ductal Carcinoma</v>
          </cell>
          <cell r="AV1861">
            <v>44460</v>
          </cell>
          <cell r="AW1861">
            <v>0.93055555555555558</v>
          </cell>
          <cell r="AX1861">
            <v>2.0833333333333332E-2</v>
          </cell>
          <cell r="AY1861">
            <v>9.0277777777777776E-2</v>
          </cell>
          <cell r="AZ1861">
            <v>2.4305555555555556E-2</v>
          </cell>
          <cell r="BA1861">
            <v>0.3888888888888889</v>
          </cell>
          <cell r="BB1861" t="str">
            <v>0.45*1.0*1.2</v>
          </cell>
          <cell r="BC1861" t="str">
            <v>0.45*1.0*1.2</v>
          </cell>
          <cell r="BD1861" t="str">
            <v>2*2*2</v>
          </cell>
          <cell r="BE1861">
            <v>4</v>
          </cell>
          <cell r="BF1861" t="str">
            <v>Gowri</v>
          </cell>
          <cell r="BG1861" t="str">
            <v>Q</v>
          </cell>
        </row>
        <row r="1862">
          <cell r="A1862" t="str">
            <v>FBR1A210159</v>
          </cell>
          <cell r="B1862">
            <v>210159</v>
          </cell>
          <cell r="C1862" t="str">
            <v>R&amp;D</v>
          </cell>
          <cell r="D1862">
            <v>44461</v>
          </cell>
          <cell r="E1862">
            <v>0.7993055555555556</v>
          </cell>
          <cell r="F1862">
            <v>44440</v>
          </cell>
          <cell r="G1862">
            <v>44462</v>
          </cell>
          <cell r="H1862">
            <v>7.0833333333333331E-2</v>
          </cell>
          <cell r="I1862">
            <v>0.27152777777777776</v>
          </cell>
          <cell r="J1862">
            <v>11</v>
          </cell>
          <cell r="K1862" t="str">
            <v>MBT-TB-070 v1.1</v>
          </cell>
          <cell r="L1862" t="str">
            <v>CLN/TNG/004</v>
          </cell>
          <cell r="M1862" t="str">
            <v>Y</v>
          </cell>
          <cell r="N1862" t="str">
            <v>Other Indication</v>
          </cell>
          <cell r="O1862" t="str">
            <v>Internal R&amp;D</v>
          </cell>
          <cell r="S1862" t="str">
            <v>Q1 Passed</v>
          </cell>
          <cell r="U1862" t="str">
            <v>Plate Contaminated</v>
          </cell>
          <cell r="V1862" t="str">
            <v>No tumor</v>
          </cell>
          <cell r="W1862" t="str">
            <v>Clinic'les</v>
          </cell>
          <cell r="X1862" t="str">
            <v>Clinic'les- Thangam Hospital, Namakkal</v>
          </cell>
          <cell r="Y1862" t="str">
            <v>Thangam Hospital, Namakkal</v>
          </cell>
          <cell r="Z1862" t="str">
            <v>Dr Deepti Mishra</v>
          </cell>
          <cell r="AA1862" t="str">
            <v>Ca Breast</v>
          </cell>
          <cell r="AC1862" t="str">
            <v>Breast</v>
          </cell>
          <cell r="AD1862" t="str">
            <v>Left Breast</v>
          </cell>
          <cell r="AE1862" t="str">
            <v>Female</v>
          </cell>
          <cell r="AF1862">
            <v>38</v>
          </cell>
          <cell r="AG1862" t="str">
            <v>No</v>
          </cell>
          <cell r="AI1862" t="str">
            <v>Partha</v>
          </cell>
          <cell r="AJ1862" t="str">
            <v>Surgery</v>
          </cell>
          <cell r="AK1862" t="str">
            <v>Primary</v>
          </cell>
          <cell r="AN1862" t="str">
            <v>III</v>
          </cell>
          <cell r="AP1862" t="str">
            <v>pT2N1M0</v>
          </cell>
          <cell r="AS1862" t="str">
            <v>ER+, PR+; Infiltrating Ductal Carcinoma</v>
          </cell>
          <cell r="AV1862">
            <v>44462</v>
          </cell>
          <cell r="AW1862">
            <v>0.30555555555555558</v>
          </cell>
          <cell r="AX1862">
            <v>0.35069444444444442</v>
          </cell>
          <cell r="AY1862">
            <v>4.5138888888888888E-2</v>
          </cell>
          <cell r="AZ1862">
            <v>0.23472222222222222</v>
          </cell>
          <cell r="BA1862">
            <v>0.50624999999999998</v>
          </cell>
          <cell r="BB1862" t="str">
            <v>0.4*1.0*1.4
0.4*0.4*1.2</v>
          </cell>
          <cell r="BC1862" t="str">
            <v>0.4*1.0*1.4
0.4*0.4*1.2</v>
          </cell>
          <cell r="BD1862" t="str">
            <v>2*2*2</v>
          </cell>
          <cell r="BE1862">
            <v>4</v>
          </cell>
          <cell r="BF1862" t="str">
            <v>Kowshik</v>
          </cell>
          <cell r="BG1862" t="str">
            <v>Q</v>
          </cell>
        </row>
        <row r="1863">
          <cell r="A1863">
            <v>210160</v>
          </cell>
          <cell r="B1863">
            <v>210160</v>
          </cell>
          <cell r="C1863" t="str">
            <v>R&amp;D</v>
          </cell>
          <cell r="D1863">
            <v>44462</v>
          </cell>
          <cell r="E1863">
            <v>0.49652777777777779</v>
          </cell>
          <cell r="F1863">
            <v>44440</v>
          </cell>
          <cell r="G1863">
            <v>44462</v>
          </cell>
          <cell r="H1863">
            <v>0.56458333333333333</v>
          </cell>
          <cell r="I1863">
            <v>6.805555555555555E-2</v>
          </cell>
          <cell r="J1863">
            <v>3</v>
          </cell>
          <cell r="K1863" t="str">
            <v>FCB-PROTOCOL-01_v1</v>
          </cell>
          <cell r="L1863" t="str">
            <v>VYD/038</v>
          </cell>
          <cell r="M1863" t="str">
            <v>Y</v>
          </cell>
          <cell r="N1863" t="str">
            <v>No Study</v>
          </cell>
          <cell r="O1863" t="str">
            <v>1st level attrition</v>
          </cell>
          <cell r="S1863" t="str">
            <v>Q1 Rejected</v>
          </cell>
          <cell r="T1863" t="str">
            <v>Q2 Passed</v>
          </cell>
          <cell r="U1863" t="str">
            <v>Farcast Reagents contaminated</v>
          </cell>
          <cell r="W1863" t="str">
            <v>Clinic'les</v>
          </cell>
          <cell r="X1863" t="str">
            <v>Clinic'les- Vydehi Hospital, Bangalore</v>
          </cell>
          <cell r="Y1863" t="str">
            <v>Vydehi Hospital, Bangalore</v>
          </cell>
          <cell r="Z1863" t="str">
            <v>Dr Amritha Prabha, Bangalore</v>
          </cell>
          <cell r="AA1863" t="str">
            <v>HNSCC</v>
          </cell>
          <cell r="AC1863" t="str">
            <v>RMT</v>
          </cell>
          <cell r="AD1863" t="str">
            <v>Left RMT</v>
          </cell>
          <cell r="AE1863" t="str">
            <v>Male</v>
          </cell>
          <cell r="AF1863">
            <v>77</v>
          </cell>
          <cell r="AG1863" t="str">
            <v>No</v>
          </cell>
          <cell r="AI1863" t="str">
            <v>Partha</v>
          </cell>
          <cell r="AJ1863" t="str">
            <v>Surgery</v>
          </cell>
          <cell r="AK1863" t="str">
            <v>Primary</v>
          </cell>
          <cell r="AS1863" t="str">
            <v>Squamous Cell Carcinoma</v>
          </cell>
          <cell r="AT1863" t="str">
            <v>Radiotherapy</v>
          </cell>
        </row>
        <row r="1864">
          <cell r="A1864">
            <v>210161</v>
          </cell>
          <cell r="B1864">
            <v>210161</v>
          </cell>
          <cell r="C1864" t="str">
            <v>R&amp;D</v>
          </cell>
          <cell r="D1864">
            <v>44462</v>
          </cell>
          <cell r="E1864">
            <v>0.5</v>
          </cell>
          <cell r="F1864">
            <v>44440</v>
          </cell>
          <cell r="G1864">
            <v>44462</v>
          </cell>
          <cell r="H1864">
            <v>0.61597222222222225</v>
          </cell>
          <cell r="I1864">
            <v>0.11597222222222223</v>
          </cell>
          <cell r="K1864" t="str">
            <v>MBT-TB-070 v2.0</v>
          </cell>
          <cell r="L1864" t="str">
            <v>BBH009</v>
          </cell>
          <cell r="M1864" t="str">
            <v>Y</v>
          </cell>
          <cell r="N1864" t="str">
            <v>Culture Extension Study</v>
          </cell>
          <cell r="O1864" t="str">
            <v>Internal R&amp;D</v>
          </cell>
          <cell r="S1864" t="str">
            <v>Q1 Passed</v>
          </cell>
          <cell r="T1864" t="str">
            <v>Q2 Passed</v>
          </cell>
          <cell r="W1864" t="str">
            <v>Independent</v>
          </cell>
          <cell r="X1864" t="str">
            <v>Bangalore Baptist Hospital, Hebbal</v>
          </cell>
          <cell r="Y1864" t="str">
            <v>Bangalore Baptist Hospital, Hebbal</v>
          </cell>
          <cell r="Z1864" t="str">
            <v>Dr Manjula BV, Bangalore</v>
          </cell>
          <cell r="AA1864" t="str">
            <v>HNSCC</v>
          </cell>
          <cell r="AC1864" t="str">
            <v>RMT</v>
          </cell>
          <cell r="AD1864" t="str">
            <v>Left RMT</v>
          </cell>
          <cell r="AE1864" t="str">
            <v>Female</v>
          </cell>
          <cell r="AF1864">
            <v>59</v>
          </cell>
          <cell r="AG1864" t="str">
            <v>No</v>
          </cell>
          <cell r="AI1864" t="str">
            <v>Sashi</v>
          </cell>
          <cell r="AJ1864" t="str">
            <v>Surgery</v>
          </cell>
          <cell r="AK1864" t="str">
            <v>Primary</v>
          </cell>
          <cell r="AV1864">
            <v>44462</v>
          </cell>
        </row>
        <row r="1865">
          <cell r="A1865" t="str">
            <v>FBR1L210162</v>
          </cell>
          <cell r="B1865">
            <v>210162</v>
          </cell>
          <cell r="C1865" t="str">
            <v>R&amp;D</v>
          </cell>
          <cell r="D1865">
            <v>44463</v>
          </cell>
          <cell r="E1865">
            <v>0.50694444444444442</v>
          </cell>
          <cell r="F1865">
            <v>44440</v>
          </cell>
          <cell r="G1865">
            <v>44463</v>
          </cell>
          <cell r="H1865">
            <v>0.60416666666666663</v>
          </cell>
          <cell r="I1865">
            <v>9.7222222222222224E-2</v>
          </cell>
          <cell r="J1865">
            <v>1</v>
          </cell>
          <cell r="K1865" t="str">
            <v>FCB-PROTOCOL-01_v1</v>
          </cell>
          <cell r="L1865" t="str">
            <v>VYD/039</v>
          </cell>
          <cell r="M1865" t="str">
            <v>Y</v>
          </cell>
          <cell r="N1865" t="str">
            <v>Culture Extension Study</v>
          </cell>
          <cell r="O1865" t="str">
            <v>Internal R&amp;D</v>
          </cell>
          <cell r="S1865" t="str">
            <v>Q1 Passed</v>
          </cell>
          <cell r="T1865" t="str">
            <v>Q2 Passed</v>
          </cell>
          <cell r="V1865" t="str">
            <v>Moderate amount of tumor</v>
          </cell>
          <cell r="W1865" t="str">
            <v>Clinic'les</v>
          </cell>
          <cell r="X1865" t="str">
            <v>Clinic'les- Vydehi Hospital, Bangalore</v>
          </cell>
          <cell r="Y1865" t="str">
            <v>Vydehi Hospital, Bangalore</v>
          </cell>
          <cell r="Z1865" t="str">
            <v>Dr Amritha Prabha, Bangalore</v>
          </cell>
          <cell r="AA1865" t="str">
            <v>HNSCC</v>
          </cell>
          <cell r="AC1865" t="str">
            <v>Tongue</v>
          </cell>
          <cell r="AD1865" t="str">
            <v>Left Lateral Border of Tongue</v>
          </cell>
          <cell r="AE1865" t="str">
            <v>Male</v>
          </cell>
          <cell r="AF1865">
            <v>70</v>
          </cell>
          <cell r="AG1865" t="str">
            <v>No</v>
          </cell>
          <cell r="AI1865" t="str">
            <v>Kalappa</v>
          </cell>
          <cell r="AJ1865" t="str">
            <v>Surgery</v>
          </cell>
          <cell r="AK1865" t="str">
            <v>Local Recurrent</v>
          </cell>
          <cell r="AN1865" t="str">
            <v>IVA</v>
          </cell>
          <cell r="AO1865">
            <v>2</v>
          </cell>
          <cell r="AP1865" t="str">
            <v>pT3N2c</v>
          </cell>
          <cell r="AS1865" t="str">
            <v>Squamous Cell Carcinoma</v>
          </cell>
          <cell r="AT1865" t="str">
            <v>Radiotherapy</v>
          </cell>
          <cell r="AV1865">
            <v>44463</v>
          </cell>
          <cell r="AW1865">
            <v>0.65694444444444444</v>
          </cell>
          <cell r="AZ1865">
            <v>5.2777777777777778E-2</v>
          </cell>
          <cell r="BA1865">
            <v>0.15</v>
          </cell>
        </row>
        <row r="1866">
          <cell r="A1866" t="str">
            <v>FBB1B210163</v>
          </cell>
          <cell r="B1866">
            <v>210163</v>
          </cell>
          <cell r="C1866" t="str">
            <v>Biopharma</v>
          </cell>
          <cell r="D1866">
            <v>44463</v>
          </cell>
          <cell r="E1866">
            <v>0.53611111111111109</v>
          </cell>
          <cell r="F1866">
            <v>44440</v>
          </cell>
          <cell r="G1866">
            <v>44463</v>
          </cell>
          <cell r="H1866">
            <v>0.84027777777777779</v>
          </cell>
          <cell r="I1866">
            <v>0.30416666666666664</v>
          </cell>
          <cell r="J1866">
            <v>2</v>
          </cell>
          <cell r="K1866" t="str">
            <v>FCB-PROTOCOL-01_v1</v>
          </cell>
          <cell r="L1866" t="str">
            <v>CLN/DBR/030</v>
          </cell>
          <cell r="M1866" t="str">
            <v>Y</v>
          </cell>
          <cell r="N1866" t="str">
            <v>BP002_SOW1_2021</v>
          </cell>
          <cell r="O1866" t="str">
            <v>Biopharma</v>
          </cell>
          <cell r="S1866" t="str">
            <v>Q1 Passed</v>
          </cell>
          <cell r="T1866" t="str">
            <v>Q2 Rejected</v>
          </cell>
          <cell r="V1866" t="str">
            <v>Good tumor content with immune component</v>
          </cell>
          <cell r="W1866" t="str">
            <v>Clinic'les</v>
          </cell>
          <cell r="X1866" t="str">
            <v>Clinic'les- DBR &amp; SK Hospital, Tirupati</v>
          </cell>
          <cell r="Y1866" t="str">
            <v>DBR &amp; SK Hospital, Tirupati</v>
          </cell>
          <cell r="Z1866" t="str">
            <v>Dr C Jayaprakash, Tirupati</v>
          </cell>
          <cell r="AA1866" t="str">
            <v>HNSCC</v>
          </cell>
          <cell r="AC1866" t="str">
            <v>Buccal Mucosa</v>
          </cell>
          <cell r="AD1866" t="str">
            <v>Right Buccal Mucosa</v>
          </cell>
          <cell r="AE1866" t="str">
            <v>Female</v>
          </cell>
          <cell r="AF1866">
            <v>55</v>
          </cell>
          <cell r="AG1866" t="str">
            <v>No</v>
          </cell>
          <cell r="AI1866" t="str">
            <v>Sashi</v>
          </cell>
          <cell r="AJ1866" t="str">
            <v>Surgery</v>
          </cell>
          <cell r="AK1866" t="str">
            <v>Primary</v>
          </cell>
          <cell r="AS1866" t="str">
            <v>Squamous Cell Carcinoma</v>
          </cell>
          <cell r="AV1866">
            <v>44463</v>
          </cell>
          <cell r="AW1866">
            <v>0.875</v>
          </cell>
          <cell r="AX1866">
            <v>0.96875</v>
          </cell>
          <cell r="AY1866">
            <v>9.375E-2</v>
          </cell>
          <cell r="AZ1866">
            <v>3.4722222222222224E-2</v>
          </cell>
          <cell r="BA1866">
            <v>0.33888888888888891</v>
          </cell>
          <cell r="BB1866" t="str">
            <v>0.8*2.0*1.4</v>
          </cell>
          <cell r="BC1866" t="str">
            <v>0.8*2.0*1.4</v>
          </cell>
          <cell r="BD1866" t="str">
            <v>2*4*450</v>
          </cell>
          <cell r="BE1866">
            <v>15</v>
          </cell>
          <cell r="BF1866" t="str">
            <v>Vasanth</v>
          </cell>
          <cell r="BG1866" t="str">
            <v>Q</v>
          </cell>
        </row>
        <row r="1867">
          <cell r="A1867" t="str">
            <v>FBR1N210164</v>
          </cell>
          <cell r="B1867">
            <v>210164</v>
          </cell>
          <cell r="C1867" t="str">
            <v>R&amp;D</v>
          </cell>
          <cell r="D1867">
            <v>44467</v>
          </cell>
          <cell r="E1867">
            <v>0.56458333333333333</v>
          </cell>
          <cell r="F1867">
            <v>44440</v>
          </cell>
          <cell r="G1867">
            <v>44467</v>
          </cell>
          <cell r="H1867">
            <v>0.69097222222222221</v>
          </cell>
          <cell r="I1867">
            <v>0.12638888888888888</v>
          </cell>
          <cell r="J1867">
            <v>3</v>
          </cell>
          <cell r="K1867" t="str">
            <v>FCB-PROTOCOL-01_v1</v>
          </cell>
          <cell r="L1867" t="str">
            <v>VYD/040</v>
          </cell>
          <cell r="M1867" t="str">
            <v>Y</v>
          </cell>
          <cell r="N1867" t="str">
            <v>Extended TAT_Hemarina</v>
          </cell>
          <cell r="O1867" t="str">
            <v>Internal R&amp;D</v>
          </cell>
          <cell r="S1867" t="str">
            <v>Q1 Passed</v>
          </cell>
          <cell r="T1867" t="str">
            <v>Q2 Rejected</v>
          </cell>
          <cell r="U1867" t="str">
            <v>T24 terminated due to  low tumor content</v>
          </cell>
          <cell r="V1867" t="str">
            <v>No tumor</v>
          </cell>
          <cell r="W1867" t="str">
            <v>Clinic'les</v>
          </cell>
          <cell r="X1867" t="str">
            <v>Clinic'les- Vydehi Hospital, Bangalore</v>
          </cell>
          <cell r="Y1867" t="str">
            <v>Vydehi Hospital, Bangalore</v>
          </cell>
          <cell r="Z1867" t="str">
            <v>Dr Amritha Prabha, Bangalore</v>
          </cell>
          <cell r="AA1867" t="str">
            <v>HNSCC</v>
          </cell>
          <cell r="AC1867" t="str">
            <v>Buccal Mucosa</v>
          </cell>
          <cell r="AD1867" t="str">
            <v>Right Buccal Mucosa</v>
          </cell>
          <cell r="AE1867" t="str">
            <v>Female</v>
          </cell>
          <cell r="AF1867">
            <v>50</v>
          </cell>
          <cell r="AG1867" t="str">
            <v>No</v>
          </cell>
          <cell r="AI1867" t="str">
            <v>Sashi</v>
          </cell>
          <cell r="AJ1867" t="str">
            <v>Surgery</v>
          </cell>
          <cell r="AK1867" t="str">
            <v>Primary</v>
          </cell>
          <cell r="AL1867" t="str">
            <v>Radiotherapy</v>
          </cell>
          <cell r="AN1867" t="str">
            <v>III</v>
          </cell>
          <cell r="AO1867">
            <v>2</v>
          </cell>
          <cell r="AS1867" t="str">
            <v>Squamous Cell Carcinoma; No tumor after short course RT</v>
          </cell>
        </row>
        <row r="1868">
          <cell r="A1868" t="str">
            <v>FBR1A210165</v>
          </cell>
          <cell r="B1868">
            <v>210165</v>
          </cell>
          <cell r="C1868" t="str">
            <v>R&amp;D</v>
          </cell>
          <cell r="D1868">
            <v>44467</v>
          </cell>
          <cell r="E1868">
            <v>0.53125</v>
          </cell>
          <cell r="F1868">
            <v>44440</v>
          </cell>
          <cell r="G1868">
            <v>44467</v>
          </cell>
          <cell r="H1868">
            <v>0.87916666666666665</v>
          </cell>
          <cell r="I1868">
            <v>0.34791666666666665</v>
          </cell>
          <cell r="J1868">
            <v>75</v>
          </cell>
          <cell r="K1868" t="str">
            <v>MBT-TB-070 v1.1</v>
          </cell>
          <cell r="L1868" t="str">
            <v>CLN/TNG/005</v>
          </cell>
          <cell r="M1868" t="str">
            <v>Y</v>
          </cell>
          <cell r="N1868" t="str">
            <v>Other Indication</v>
          </cell>
          <cell r="O1868" t="str">
            <v>Internal R&amp;D</v>
          </cell>
          <cell r="S1868" t="str">
            <v>Q1 Passed</v>
          </cell>
          <cell r="T1868" t="str">
            <v>Q2 Passed</v>
          </cell>
          <cell r="U1868" t="str">
            <v>Due to low tumor content</v>
          </cell>
          <cell r="V1868" t="str">
            <v>Some explants show normal,hyperplastic glands . No tumor</v>
          </cell>
          <cell r="W1868" t="str">
            <v>Clinic'les</v>
          </cell>
          <cell r="X1868" t="str">
            <v>Clinic'les- Thangam Hospital, Namakkal</v>
          </cell>
          <cell r="Y1868" t="str">
            <v>Thangam Hospital, Namakkal</v>
          </cell>
          <cell r="Z1868" t="str">
            <v>Dr Deepti Mishra</v>
          </cell>
          <cell r="AA1868" t="str">
            <v>Ca Breast</v>
          </cell>
          <cell r="AC1868" t="str">
            <v>Breast</v>
          </cell>
          <cell r="AD1868" t="str">
            <v>Right Breast</v>
          </cell>
          <cell r="AE1868" t="str">
            <v>Female</v>
          </cell>
          <cell r="AF1868">
            <v>62</v>
          </cell>
          <cell r="AG1868" t="str">
            <v>No</v>
          </cell>
          <cell r="AI1868" t="str">
            <v>Partha</v>
          </cell>
          <cell r="AJ1868" t="str">
            <v>Surgery</v>
          </cell>
          <cell r="AK1868" t="str">
            <v>Primary</v>
          </cell>
          <cell r="AN1868" t="str">
            <v>II</v>
          </cell>
          <cell r="AP1868" t="str">
            <v>pT2N1M0</v>
          </cell>
          <cell r="AS1868" t="str">
            <v>Infiltrating Ductal Carcinoma</v>
          </cell>
        </row>
        <row r="1869">
          <cell r="A1869" t="str">
            <v>FBB1B210166</v>
          </cell>
          <cell r="B1869">
            <v>210166</v>
          </cell>
          <cell r="C1869" t="str">
            <v>Biopharma</v>
          </cell>
          <cell r="D1869">
            <v>44467</v>
          </cell>
          <cell r="E1869">
            <v>0.56597222222222221</v>
          </cell>
          <cell r="F1869">
            <v>44440</v>
          </cell>
          <cell r="G1869">
            <v>44467</v>
          </cell>
          <cell r="H1869">
            <v>0.90277777777777779</v>
          </cell>
          <cell r="I1869">
            <v>0.33680555555555558</v>
          </cell>
          <cell r="J1869">
            <v>2</v>
          </cell>
          <cell r="K1869" t="str">
            <v>FCB-PROTOCOL-01_v1</v>
          </cell>
          <cell r="L1869" t="str">
            <v>CLN/DBR/031</v>
          </cell>
          <cell r="M1869" t="str">
            <v>Y</v>
          </cell>
          <cell r="N1869" t="str">
            <v>BP002_SOW1_2021</v>
          </cell>
          <cell r="O1869" t="str">
            <v>Biopharma</v>
          </cell>
          <cell r="S1869" t="str">
            <v>Q1 Passed</v>
          </cell>
          <cell r="T1869" t="str">
            <v>Q2 Rejected</v>
          </cell>
          <cell r="V1869" t="str">
            <v>Good tumor content with immune component</v>
          </cell>
          <cell r="W1869" t="str">
            <v>Clinic'les</v>
          </cell>
          <cell r="X1869" t="str">
            <v>Clinic'les- DBR &amp; SK Hospital, Tirupati</v>
          </cell>
          <cell r="Y1869" t="str">
            <v>DBR &amp; SK Hospital, Tirupati</v>
          </cell>
          <cell r="Z1869" t="str">
            <v>Dr C Jayaprakash, Tirupati</v>
          </cell>
          <cell r="AA1869" t="str">
            <v>HNSCC</v>
          </cell>
          <cell r="AC1869" t="str">
            <v>Buccal Mucosa</v>
          </cell>
          <cell r="AD1869" t="str">
            <v>Buccal Mucosa</v>
          </cell>
          <cell r="AE1869" t="str">
            <v>Female</v>
          </cell>
          <cell r="AF1869">
            <v>60</v>
          </cell>
          <cell r="AG1869" t="str">
            <v>No</v>
          </cell>
          <cell r="AI1869" t="str">
            <v>Sashi</v>
          </cell>
          <cell r="AJ1869" t="str">
            <v>Surgery</v>
          </cell>
          <cell r="AK1869" t="str">
            <v>Primary</v>
          </cell>
          <cell r="AS1869" t="str">
            <v>Squamous Cell Carcinoma</v>
          </cell>
        </row>
        <row r="1870">
          <cell r="A1870" t="str">
            <v>FBR1N210167</v>
          </cell>
          <cell r="B1870">
            <v>210167</v>
          </cell>
          <cell r="C1870" t="str">
            <v>R&amp;D</v>
          </cell>
          <cell r="D1870">
            <v>44468</v>
          </cell>
          <cell r="E1870">
            <v>5.5555555555555558E-3</v>
          </cell>
          <cell r="F1870">
            <v>44440</v>
          </cell>
          <cell r="G1870">
            <v>44468</v>
          </cell>
          <cell r="H1870">
            <v>4.791666666666667E-2</v>
          </cell>
          <cell r="I1870">
            <v>4.2361111111111113E-2</v>
          </cell>
          <cell r="J1870">
            <v>3</v>
          </cell>
          <cell r="K1870" t="str">
            <v>FCB-PROTOCOL-01_v1</v>
          </cell>
          <cell r="L1870" t="str">
            <v>CLN/PRA/01/0118</v>
          </cell>
          <cell r="M1870" t="str">
            <v>Y</v>
          </cell>
          <cell r="N1870" t="str">
            <v>Extended TAT_Hemarina</v>
          </cell>
          <cell r="O1870" t="str">
            <v>Internal R&amp;D</v>
          </cell>
          <cell r="S1870" t="str">
            <v>Q1 Passed</v>
          </cell>
          <cell r="T1870" t="str">
            <v>Q2 Passed</v>
          </cell>
          <cell r="U1870" t="str">
            <v>Possible lymph node sample?</v>
          </cell>
          <cell r="V1870" t="str">
            <v>Scanty tumor cells, pyknosis high</v>
          </cell>
          <cell r="W1870" t="str">
            <v>Clinic'les</v>
          </cell>
          <cell r="X1870" t="str">
            <v>Clinic'les- Dr Prakash BV, Bangalore</v>
          </cell>
          <cell r="Y1870" t="str">
            <v>Sri Lakshmi Hospital, Bangalore</v>
          </cell>
          <cell r="Z1870" t="str">
            <v>Dr Prakash BV, Bangalore</v>
          </cell>
          <cell r="AA1870" t="str">
            <v>HNSCC</v>
          </cell>
          <cell r="AC1870" t="str">
            <v>Supra Glottis</v>
          </cell>
          <cell r="AD1870" t="str">
            <v>Supra Glottis</v>
          </cell>
          <cell r="AE1870" t="str">
            <v>Male</v>
          </cell>
          <cell r="AF1870">
            <v>76</v>
          </cell>
          <cell r="AG1870" t="str">
            <v>No</v>
          </cell>
          <cell r="AI1870" t="str">
            <v>Kalappa</v>
          </cell>
          <cell r="AJ1870" t="str">
            <v>Surgery</v>
          </cell>
          <cell r="AK1870" t="str">
            <v>Proximal Lymph Node</v>
          </cell>
          <cell r="AL1870" t="str">
            <v>Chemotherapy</v>
          </cell>
          <cell r="AN1870" t="str">
            <v>III</v>
          </cell>
          <cell r="AO1870" t="str">
            <v>II</v>
          </cell>
          <cell r="AP1870" t="str">
            <v>pT4aN2M0</v>
          </cell>
          <cell r="AQ1870" t="str">
            <v>6 cycles</v>
          </cell>
          <cell r="AR1870" t="str">
            <v>Paclitaxel+ Carboplatin</v>
          </cell>
          <cell r="AS1870" t="str">
            <v>Squamous Cell Carcinoma</v>
          </cell>
        </row>
        <row r="1871">
          <cell r="A1871" t="str">
            <v>FBB1B210168</v>
          </cell>
          <cell r="B1871">
            <v>210168</v>
          </cell>
          <cell r="C1871" t="str">
            <v>Biopharma</v>
          </cell>
          <cell r="D1871">
            <v>44468</v>
          </cell>
          <cell r="E1871">
            <v>0.60138888888888886</v>
          </cell>
          <cell r="F1871">
            <v>44440</v>
          </cell>
          <cell r="G1871">
            <v>44468</v>
          </cell>
          <cell r="H1871">
            <v>0.73750000000000004</v>
          </cell>
          <cell r="I1871">
            <v>0.1361111111111111</v>
          </cell>
          <cell r="K1871" t="str">
            <v>MBT-TB-070 v2.0</v>
          </cell>
          <cell r="L1871" t="str">
            <v>BBH010</v>
          </cell>
          <cell r="M1871" t="str">
            <v>Y</v>
          </cell>
          <cell r="N1871" t="str">
            <v>BP002_SOW1_2021</v>
          </cell>
          <cell r="O1871" t="str">
            <v>Biopharma</v>
          </cell>
          <cell r="S1871" t="str">
            <v>Q1 Passed</v>
          </cell>
          <cell r="T1871" t="str">
            <v>Q2 Passed</v>
          </cell>
          <cell r="V1871" t="str">
            <v>Good tumor content</v>
          </cell>
          <cell r="W1871" t="str">
            <v>Independent</v>
          </cell>
          <cell r="X1871" t="str">
            <v>Bangalore Baptist Hospital, Hebbal</v>
          </cell>
          <cell r="Y1871" t="str">
            <v>Bangalore Baptist Hospital, Hebbal</v>
          </cell>
          <cell r="Z1871" t="str">
            <v>Dr Manjula BV, Bangalore</v>
          </cell>
          <cell r="AA1871" t="str">
            <v>HNSCC</v>
          </cell>
          <cell r="AC1871" t="str">
            <v>Buccal Mucosa</v>
          </cell>
          <cell r="AD1871" t="str">
            <v>Left Buccal Mucosa</v>
          </cell>
          <cell r="AE1871" t="str">
            <v>Female</v>
          </cell>
          <cell r="AF1871">
            <v>58</v>
          </cell>
          <cell r="AG1871" t="str">
            <v>No</v>
          </cell>
          <cell r="AI1871" t="str">
            <v>Partha</v>
          </cell>
          <cell r="AJ1871" t="str">
            <v>Surgery</v>
          </cell>
          <cell r="AK1871" t="str">
            <v>Primary</v>
          </cell>
        </row>
        <row r="1872">
          <cell r="A1872" t="str">
            <v>FBR1A210169</v>
          </cell>
          <cell r="B1872">
            <v>210169</v>
          </cell>
          <cell r="C1872" t="str">
            <v>R&amp;D</v>
          </cell>
          <cell r="D1872">
            <v>44469</v>
          </cell>
          <cell r="E1872">
            <v>0.40763888888888888</v>
          </cell>
          <cell r="F1872">
            <v>44440</v>
          </cell>
          <cell r="G1872">
            <v>44469</v>
          </cell>
          <cell r="H1872">
            <v>0.55208333333333337</v>
          </cell>
          <cell r="I1872">
            <v>0.14444444444444443</v>
          </cell>
          <cell r="J1872">
            <v>6</v>
          </cell>
          <cell r="K1872" t="str">
            <v>FCB-PROTOCOL-01_v1</v>
          </cell>
          <cell r="L1872" t="str">
            <v>VYD/041</v>
          </cell>
          <cell r="M1872" t="str">
            <v>Y</v>
          </cell>
          <cell r="N1872" t="str">
            <v>Other Indication</v>
          </cell>
          <cell r="O1872" t="str">
            <v>Internal R&amp;D</v>
          </cell>
          <cell r="S1872" t="str">
            <v>Q1 Passed</v>
          </cell>
          <cell r="T1872" t="str">
            <v>Q2 Passed</v>
          </cell>
          <cell r="V1872" t="str">
            <v>Good tumor content, pyknosis high</v>
          </cell>
          <cell r="W1872" t="str">
            <v>Clinic'les</v>
          </cell>
          <cell r="X1872" t="str">
            <v>Clinic'les- Vydehi Hospital, Bangalore</v>
          </cell>
          <cell r="Y1872" t="str">
            <v>Vydehi Hospital, Bangalore</v>
          </cell>
          <cell r="Z1872" t="str">
            <v>Dr Amritha Prabha, Bangalore</v>
          </cell>
          <cell r="AA1872" t="str">
            <v>Ca Breast</v>
          </cell>
          <cell r="AC1872" t="str">
            <v>Breast</v>
          </cell>
          <cell r="AD1872" t="str">
            <v>Right Breast</v>
          </cell>
          <cell r="AE1872" t="str">
            <v>Female</v>
          </cell>
          <cell r="AF1872">
            <v>43</v>
          </cell>
          <cell r="AG1872" t="str">
            <v>No</v>
          </cell>
          <cell r="AI1872" t="str">
            <v>Kalappa</v>
          </cell>
          <cell r="AJ1872" t="str">
            <v>Surgery</v>
          </cell>
          <cell r="AK1872" t="str">
            <v>Primary</v>
          </cell>
          <cell r="AL1872" t="str">
            <v>Chemotherapy</v>
          </cell>
          <cell r="AN1872" t="str">
            <v>IIIC</v>
          </cell>
          <cell r="AO1872">
            <v>2</v>
          </cell>
          <cell r="AP1872" t="str">
            <v>pT3N3</v>
          </cell>
          <cell r="AQ1872" t="str">
            <v>8 cycles</v>
          </cell>
          <cell r="AR1872" t="str">
            <v>4AC+ 4Paclitaxel</v>
          </cell>
          <cell r="AS1872" t="str">
            <v>ER-, PR-, HER2+; Infiltrating Ductal Carcinoma</v>
          </cell>
          <cell r="AT1872" t="str">
            <v>Radiotherapy</v>
          </cell>
        </row>
        <row r="1873">
          <cell r="A1873">
            <v>210170</v>
          </cell>
          <cell r="B1873">
            <v>210170</v>
          </cell>
          <cell r="D1873">
            <v>44469</v>
          </cell>
          <cell r="E1873">
            <v>0.55972222222222223</v>
          </cell>
          <cell r="F1873">
            <v>44440</v>
          </cell>
          <cell r="G1873">
            <v>44469</v>
          </cell>
          <cell r="H1873">
            <v>0.67569444444444449</v>
          </cell>
          <cell r="I1873">
            <v>0.11597222222222223</v>
          </cell>
          <cell r="J1873">
            <v>4</v>
          </cell>
          <cell r="K1873" t="str">
            <v>FCB-PROTOCOL-01_v1</v>
          </cell>
          <cell r="L1873" t="str">
            <v>VYD/042</v>
          </cell>
          <cell r="M1873" t="str">
            <v>Y</v>
          </cell>
          <cell r="S1873" t="str">
            <v>Q1 Passed</v>
          </cell>
          <cell r="T1873" t="str">
            <v>Q2 Passed</v>
          </cell>
          <cell r="W1873" t="str">
            <v>Clinic'les</v>
          </cell>
          <cell r="X1873" t="str">
            <v>Clinic'les- Vydehi Hospital, Bangalore</v>
          </cell>
          <cell r="Y1873" t="str">
            <v>Vydehi Hospital, Bangalore</v>
          </cell>
          <cell r="Z1873" t="str">
            <v>Dr Amritha Prabha, Bangalore</v>
          </cell>
          <cell r="AA1873" t="str">
            <v>HNSCC</v>
          </cell>
          <cell r="AC1873" t="str">
            <v>Buccal Mucosa</v>
          </cell>
          <cell r="AD1873" t="str">
            <v>Right Buccal Mucosa</v>
          </cell>
          <cell r="AE1873" t="str">
            <v>Male</v>
          </cell>
          <cell r="AF1873">
            <v>36</v>
          </cell>
          <cell r="AG1873" t="str">
            <v>No</v>
          </cell>
          <cell r="AI1873" t="str">
            <v>Sashi</v>
          </cell>
          <cell r="AJ1873" t="str">
            <v>Surgery</v>
          </cell>
          <cell r="AK1873" t="str">
            <v>Primary</v>
          </cell>
          <cell r="AL1873" t="str">
            <v>Radiotherapy</v>
          </cell>
          <cell r="AN1873" t="str">
            <v>IVA</v>
          </cell>
          <cell r="AO1873">
            <v>2</v>
          </cell>
          <cell r="AP1873" t="str">
            <v>pT2N2b</v>
          </cell>
          <cell r="AS1873" t="str">
            <v>Squamous Cell Carcinoma</v>
          </cell>
        </row>
        <row r="1874">
          <cell r="A1874" t="str">
            <v>FBR1A210171</v>
          </cell>
          <cell r="B1874">
            <v>210171</v>
          </cell>
          <cell r="C1874" t="str">
            <v>R&amp;D</v>
          </cell>
          <cell r="D1874">
            <v>44469</v>
          </cell>
          <cell r="E1874">
            <v>0.55138888888888893</v>
          </cell>
          <cell r="F1874">
            <v>44440</v>
          </cell>
          <cell r="G1874">
            <v>44469</v>
          </cell>
          <cell r="H1874">
            <v>0.84375</v>
          </cell>
          <cell r="I1874">
            <v>0.29236111111111113</v>
          </cell>
          <cell r="J1874">
            <v>14</v>
          </cell>
          <cell r="K1874" t="str">
            <v>MBT-TB-070 v1.1</v>
          </cell>
          <cell r="L1874" t="str">
            <v>CLN/TNG/006</v>
          </cell>
          <cell r="M1874" t="str">
            <v>Y</v>
          </cell>
          <cell r="N1874" t="str">
            <v>Other Indication</v>
          </cell>
          <cell r="O1874" t="str">
            <v>Internal R&amp;D</v>
          </cell>
          <cell r="S1874" t="str">
            <v>Q1 Passed</v>
          </cell>
          <cell r="T1874" t="str">
            <v>Q2 Rejected</v>
          </cell>
          <cell r="V1874" t="str">
            <v>Moderate tumor content</v>
          </cell>
          <cell r="W1874" t="str">
            <v>Clinic'les</v>
          </cell>
          <cell r="X1874" t="str">
            <v>Clinic'les- Thangam Hospital, Namakkal</v>
          </cell>
          <cell r="Y1874" t="str">
            <v>Thangam Hospital, Namakkal</v>
          </cell>
          <cell r="Z1874" t="str">
            <v>Dr Aruna Prabhu, Namakkal</v>
          </cell>
          <cell r="AA1874" t="str">
            <v>Ca Breast</v>
          </cell>
          <cell r="AC1874" t="str">
            <v>Breast</v>
          </cell>
          <cell r="AD1874" t="str">
            <v>Left Breast</v>
          </cell>
          <cell r="AE1874" t="str">
            <v>Female</v>
          </cell>
          <cell r="AF1874">
            <v>46</v>
          </cell>
          <cell r="AG1874" t="str">
            <v>No</v>
          </cell>
          <cell r="AI1874" t="str">
            <v>Partha</v>
          </cell>
          <cell r="AJ1874" t="str">
            <v>Surgery</v>
          </cell>
          <cell r="AK1874" t="str">
            <v>Primary</v>
          </cell>
          <cell r="AN1874" t="str">
            <v>NA</v>
          </cell>
          <cell r="AO1874" t="str">
            <v>II</v>
          </cell>
          <cell r="AP1874" t="str">
            <v>pT2N1M0</v>
          </cell>
          <cell r="AS1874" t="str">
            <v>Infiltrating Ductal Carcinoma</v>
          </cell>
        </row>
        <row r="1875">
          <cell r="A1875" t="str">
            <v>FBB1C210172</v>
          </cell>
          <cell r="B1875">
            <v>210172</v>
          </cell>
          <cell r="C1875" t="str">
            <v>Biopharma</v>
          </cell>
          <cell r="D1875">
            <v>44471</v>
          </cell>
          <cell r="E1875">
            <v>8.3333333333333332E-3</v>
          </cell>
          <cell r="F1875">
            <v>44470</v>
          </cell>
          <cell r="G1875">
            <v>44471</v>
          </cell>
          <cell r="H1875">
            <v>4.8611111111111112E-2</v>
          </cell>
          <cell r="I1875">
            <v>4.027777777777778E-2</v>
          </cell>
          <cell r="J1875">
            <v>2</v>
          </cell>
          <cell r="K1875" t="str">
            <v>FCB-PROTOCOL-01_v1</v>
          </cell>
          <cell r="L1875" t="str">
            <v>CLN/PRA/01/0119</v>
          </cell>
          <cell r="M1875" t="str">
            <v>Y</v>
          </cell>
          <cell r="N1875" t="str">
            <v>BP004_SOW1_2021</v>
          </cell>
          <cell r="O1875" t="str">
            <v>Biopharma</v>
          </cell>
          <cell r="S1875" t="str">
            <v>Q1 Passed</v>
          </cell>
          <cell r="T1875" t="str">
            <v>Q2 Rejected</v>
          </cell>
          <cell r="V1875" t="str">
            <v>Tumor in 2/4 explants</v>
          </cell>
          <cell r="W1875" t="str">
            <v>Clinic'les</v>
          </cell>
          <cell r="X1875" t="str">
            <v>Clinic'les- Dr Prakash BV, Bangalore</v>
          </cell>
          <cell r="Y1875" t="str">
            <v>Sri Lakshmi Hospital, Bangalore</v>
          </cell>
          <cell r="Z1875" t="str">
            <v>Dr Prakash BV, Bangalore</v>
          </cell>
          <cell r="AA1875" t="str">
            <v>GI</v>
          </cell>
          <cell r="AB1875" t="str">
            <v>Stomach</v>
          </cell>
          <cell r="AC1875" t="str">
            <v>Stomach</v>
          </cell>
          <cell r="AD1875" t="str">
            <v>Antrum of Stomach</v>
          </cell>
          <cell r="AE1875" t="str">
            <v>Male</v>
          </cell>
          <cell r="AF1875">
            <v>56</v>
          </cell>
          <cell r="AG1875" t="str">
            <v>No</v>
          </cell>
          <cell r="AI1875" t="str">
            <v>Sashi</v>
          </cell>
          <cell r="AJ1875" t="str">
            <v>Surgery</v>
          </cell>
          <cell r="AK1875" t="str">
            <v>Primary</v>
          </cell>
          <cell r="AN1875" t="str">
            <v>III</v>
          </cell>
          <cell r="AO1875" t="str">
            <v>II</v>
          </cell>
          <cell r="AP1875" t="str">
            <v>pT3N0M0</v>
          </cell>
          <cell r="AS1875" t="str">
            <v>Mucinous Carcinoma</v>
          </cell>
          <cell r="AV1875">
            <v>44471</v>
          </cell>
          <cell r="AW1875">
            <v>0.35416666666666669</v>
          </cell>
          <cell r="AX1875">
            <v>0.4375</v>
          </cell>
          <cell r="AY1875">
            <v>8.3333333333333329E-2</v>
          </cell>
          <cell r="AZ1875">
            <v>0.30555555555555558</v>
          </cell>
          <cell r="BA1875">
            <v>0.34583333333333333</v>
          </cell>
          <cell r="BB1875" t="str">
            <v>1.2*2.4*4.0</v>
          </cell>
          <cell r="BC1875" t="str">
            <v>1.2*2.4*4.0</v>
          </cell>
          <cell r="BD1875" t="str">
            <v>2*2*2</v>
          </cell>
          <cell r="BE1875">
            <v>3</v>
          </cell>
          <cell r="BF1875" t="str">
            <v>Gowri</v>
          </cell>
          <cell r="BG1875" t="str">
            <v>Q</v>
          </cell>
        </row>
        <row r="1876">
          <cell r="A1876" t="str">
            <v>FBB1C210173</v>
          </cell>
          <cell r="B1876">
            <v>210173</v>
          </cell>
          <cell r="C1876" t="str">
            <v>Biopharma</v>
          </cell>
          <cell r="D1876">
            <v>44471</v>
          </cell>
          <cell r="E1876">
            <v>0.5131944444444444</v>
          </cell>
          <cell r="F1876">
            <v>44470</v>
          </cell>
          <cell r="G1876">
            <v>44471</v>
          </cell>
          <cell r="H1876">
            <v>0.59583333333333333</v>
          </cell>
          <cell r="I1876">
            <v>8.2638888888888887E-2</v>
          </cell>
          <cell r="J1876">
            <v>4</v>
          </cell>
          <cell r="K1876" t="str">
            <v>FCB-PROTOCOL-01_v1</v>
          </cell>
          <cell r="L1876" t="str">
            <v>CLN/PRA/01/0120</v>
          </cell>
          <cell r="M1876" t="str">
            <v>Y</v>
          </cell>
          <cell r="N1876" t="str">
            <v>BP004_SOW1_2021</v>
          </cell>
          <cell r="O1876" t="str">
            <v>Biopharma</v>
          </cell>
          <cell r="S1876" t="str">
            <v>Q1 Passed</v>
          </cell>
          <cell r="T1876" t="str">
            <v>Q2 Rejected</v>
          </cell>
          <cell r="V1876" t="str">
            <v>No carcinoma, only smooth muscle stroma</v>
          </cell>
          <cell r="W1876" t="str">
            <v>Clinic'les</v>
          </cell>
          <cell r="X1876" t="str">
            <v>Clinic'les- Dr Prakash BV, Bangalore</v>
          </cell>
          <cell r="Y1876" t="str">
            <v>Sri Lakshmi Hospital, Bangalore</v>
          </cell>
          <cell r="Z1876" t="str">
            <v>Dr Prakash BV, Bangalore</v>
          </cell>
          <cell r="AA1876" t="str">
            <v>GI</v>
          </cell>
          <cell r="AB1876" t="str">
            <v>Stomach</v>
          </cell>
          <cell r="AC1876" t="str">
            <v>Stomach</v>
          </cell>
          <cell r="AD1876" t="str">
            <v>Stomach</v>
          </cell>
          <cell r="AE1876" t="str">
            <v>Female</v>
          </cell>
          <cell r="AF1876">
            <v>45</v>
          </cell>
          <cell r="AG1876" t="str">
            <v>No</v>
          </cell>
          <cell r="AI1876" t="str">
            <v>Kalappa</v>
          </cell>
          <cell r="AJ1876" t="str">
            <v>Surgery</v>
          </cell>
          <cell r="AK1876" t="str">
            <v>Primary</v>
          </cell>
          <cell r="AN1876" t="str">
            <v>III</v>
          </cell>
          <cell r="AO1876" t="str">
            <v>II</v>
          </cell>
          <cell r="AP1876" t="str">
            <v>pT3N0M0</v>
          </cell>
          <cell r="AS1876" t="str">
            <v>Moderately differentiated Adenocarcinoma</v>
          </cell>
          <cell r="AV1876">
            <v>44471</v>
          </cell>
          <cell r="AW1876">
            <v>0.6875</v>
          </cell>
          <cell r="AX1876">
            <v>0.77083333333333337</v>
          </cell>
          <cell r="AY1876">
            <v>8.3333333333333329E-2</v>
          </cell>
          <cell r="AZ1876">
            <v>9.166666666666666E-2</v>
          </cell>
          <cell r="BA1876">
            <v>0.17430555555555555</v>
          </cell>
          <cell r="BB1876" t="str">
            <v>2.0*2.2*2.6</v>
          </cell>
          <cell r="BC1876" t="str">
            <v>2.0*2.2*2.6</v>
          </cell>
          <cell r="BD1876" t="str">
            <v>2*2*2</v>
          </cell>
          <cell r="BE1876">
            <v>3</v>
          </cell>
          <cell r="BF1876" t="str">
            <v>Gowri</v>
          </cell>
          <cell r="BG1876" t="str">
            <v>Q</v>
          </cell>
        </row>
        <row r="1877">
          <cell r="A1877" t="str">
            <v>FBB1C210174</v>
          </cell>
          <cell r="B1877">
            <v>210174</v>
          </cell>
          <cell r="C1877" t="str">
            <v>Biopharma</v>
          </cell>
          <cell r="D1877">
            <v>44471</v>
          </cell>
          <cell r="E1877">
            <v>0.59722222222222221</v>
          </cell>
          <cell r="F1877">
            <v>44470</v>
          </cell>
          <cell r="G1877">
            <v>44471</v>
          </cell>
          <cell r="H1877">
            <v>0.66319444444444442</v>
          </cell>
          <cell r="I1877">
            <v>6.5972222222222224E-2</v>
          </cell>
          <cell r="J1877">
            <v>5</v>
          </cell>
          <cell r="K1877" t="str">
            <v>FCB-PROTOCOL-01_v1</v>
          </cell>
          <cell r="L1877" t="str">
            <v>CLN/PRA/01/0121</v>
          </cell>
          <cell r="M1877" t="str">
            <v>Y</v>
          </cell>
          <cell r="N1877" t="str">
            <v>BP004_SOW1_2021</v>
          </cell>
          <cell r="O1877" t="str">
            <v>Biopharma</v>
          </cell>
          <cell r="S1877" t="str">
            <v>Q1 Passed</v>
          </cell>
          <cell r="T1877" t="str">
            <v>Q2 Passed</v>
          </cell>
          <cell r="V1877" t="str">
            <v>Moderate amount of tumor</v>
          </cell>
          <cell r="W1877" t="str">
            <v>Clinic'les</v>
          </cell>
          <cell r="X1877" t="str">
            <v>Clinic'les- Dr Prakash BV, Bangalore</v>
          </cell>
          <cell r="Y1877" t="str">
            <v>Sri Lakshmi Hospital, Bangalore</v>
          </cell>
          <cell r="Z1877" t="str">
            <v>Dr Prakash BV, Bangalore</v>
          </cell>
          <cell r="AA1877" t="str">
            <v>GI</v>
          </cell>
          <cell r="AB1877" t="str">
            <v>Stomach</v>
          </cell>
          <cell r="AC1877" t="str">
            <v>Stomach</v>
          </cell>
          <cell r="AD1877" t="str">
            <v>Stomach</v>
          </cell>
          <cell r="AE1877" t="str">
            <v>Female</v>
          </cell>
          <cell r="AF1877">
            <v>50</v>
          </cell>
          <cell r="AG1877" t="str">
            <v>No</v>
          </cell>
          <cell r="AI1877" t="str">
            <v>Partha</v>
          </cell>
          <cell r="AJ1877" t="str">
            <v>Surgery</v>
          </cell>
          <cell r="AK1877" t="str">
            <v>Primary</v>
          </cell>
          <cell r="AN1877" t="str">
            <v>II</v>
          </cell>
          <cell r="AO1877" t="str">
            <v>I</v>
          </cell>
          <cell r="AP1877" t="str">
            <v>pT1N0M0</v>
          </cell>
          <cell r="AS1877" t="str">
            <v>Adenocarcinoma</v>
          </cell>
          <cell r="AV1877">
            <v>44471</v>
          </cell>
          <cell r="AW1877">
            <v>0.83333333333333337</v>
          </cell>
          <cell r="AX1877">
            <v>0.88263888888888886</v>
          </cell>
          <cell r="AY1877">
            <v>4.9305555555555554E-2</v>
          </cell>
          <cell r="AZ1877">
            <v>0.1701388888888889</v>
          </cell>
          <cell r="BA1877">
            <v>0.2361111111111111</v>
          </cell>
          <cell r="BB1877" t="str">
            <v>1.6*2.0*4.2
1.0*1.6*2.6</v>
          </cell>
          <cell r="BC1877" t="str">
            <v>1.6*2.0*4.2
1.0*1.6*2.6</v>
          </cell>
          <cell r="BD1877" t="str">
            <v>2*2*2</v>
          </cell>
          <cell r="BE1877">
            <v>3</v>
          </cell>
          <cell r="BF1877" t="str">
            <v>Gowri</v>
          </cell>
          <cell r="BG1877" t="str">
            <v>Q</v>
          </cell>
        </row>
        <row r="1878">
          <cell r="A1878" t="str">
            <v>FBR1A210175</v>
          </cell>
          <cell r="B1878">
            <v>210175</v>
          </cell>
          <cell r="C1878" t="str">
            <v>R&amp;D</v>
          </cell>
          <cell r="D1878">
            <v>44488</v>
          </cell>
          <cell r="E1878">
            <v>0.55555555555555558</v>
          </cell>
          <cell r="F1878">
            <v>44470</v>
          </cell>
          <cell r="G1878">
            <v>44488</v>
          </cell>
          <cell r="H1878">
            <v>0.85069444444444442</v>
          </cell>
          <cell r="I1878">
            <v>0.2951388888888889</v>
          </cell>
          <cell r="J1878">
            <v>140</v>
          </cell>
          <cell r="K1878" t="str">
            <v>MBT-TB-070 v1.1</v>
          </cell>
          <cell r="L1878" t="str">
            <v>CLN/TNG/007</v>
          </cell>
          <cell r="M1878" t="str">
            <v>Y</v>
          </cell>
          <cell r="N1878" t="str">
            <v>Other Indication</v>
          </cell>
          <cell r="O1878" t="str">
            <v>Internal R&amp;D</v>
          </cell>
          <cell r="S1878" t="str">
            <v>Q1 Passed</v>
          </cell>
          <cell r="T1878" t="str">
            <v>Q2 Rejected</v>
          </cell>
          <cell r="V1878" t="str">
            <v xml:space="preserve">Good tumor content. </v>
          </cell>
          <cell r="W1878" t="str">
            <v>Clinic'les</v>
          </cell>
          <cell r="X1878" t="str">
            <v>Clinic'les- Thangam Hospital, Namakkal</v>
          </cell>
          <cell r="Y1878" t="str">
            <v>Thangam Hospital, Namakkal</v>
          </cell>
          <cell r="Z1878" t="str">
            <v>Dr Aruna Prabhu, Namakkal</v>
          </cell>
          <cell r="AA1878" t="str">
            <v>Ca Breast</v>
          </cell>
          <cell r="AC1878" t="str">
            <v>Breast</v>
          </cell>
          <cell r="AD1878" t="str">
            <v>Right Breast</v>
          </cell>
          <cell r="AE1878" t="str">
            <v>Female</v>
          </cell>
          <cell r="AF1878">
            <v>62</v>
          </cell>
          <cell r="AG1878" t="str">
            <v>No</v>
          </cell>
          <cell r="AI1878" t="str">
            <v>Sashi</v>
          </cell>
          <cell r="AJ1878" t="str">
            <v>Surgery</v>
          </cell>
          <cell r="AK1878" t="str">
            <v>Primary</v>
          </cell>
          <cell r="AN1878" t="str">
            <v>NA</v>
          </cell>
          <cell r="AO1878" t="str">
            <v>II</v>
          </cell>
          <cell r="AP1878" t="str">
            <v>pT2N1M0</v>
          </cell>
          <cell r="AS1878" t="str">
            <v>Infiltrating Ductal Carcinoma</v>
          </cell>
          <cell r="AV1878">
            <v>44488</v>
          </cell>
          <cell r="AW1878">
            <v>0.89583333333333337</v>
          </cell>
          <cell r="AX1878">
            <v>0.94444444444444442</v>
          </cell>
          <cell r="AY1878">
            <v>4.8611111111111112E-2</v>
          </cell>
          <cell r="AZ1878">
            <v>4.5138888888888888E-2</v>
          </cell>
          <cell r="BA1878">
            <v>0.34027777777777779</v>
          </cell>
          <cell r="BB1878" t="str">
            <v>1.05*1.0*1.2</v>
          </cell>
          <cell r="BC1878" t="str">
            <v>1.0*1.0*1.2</v>
          </cell>
          <cell r="BD1878" t="str">
            <v>2*2*2</v>
          </cell>
          <cell r="BE1878">
            <v>4</v>
          </cell>
          <cell r="BF1878" t="str">
            <v>Vasanth</v>
          </cell>
          <cell r="BG1878" t="str">
            <v>Q</v>
          </cell>
        </row>
        <row r="1879">
          <cell r="A1879" t="str">
            <v>FBR1A210176</v>
          </cell>
          <cell r="B1879">
            <v>210176</v>
          </cell>
          <cell r="C1879" t="str">
            <v>R&amp;D</v>
          </cell>
          <cell r="D1879">
            <v>44488</v>
          </cell>
          <cell r="E1879">
            <v>0.80902777777777779</v>
          </cell>
          <cell r="F1879">
            <v>44470</v>
          </cell>
          <cell r="G1879">
            <v>44489</v>
          </cell>
          <cell r="H1879">
            <v>8.5416666666666669E-2</v>
          </cell>
          <cell r="I1879">
            <v>0.27638888888888891</v>
          </cell>
          <cell r="J1879">
            <v>5</v>
          </cell>
          <cell r="K1879" t="str">
            <v>MBT-TB-070 v1.1</v>
          </cell>
          <cell r="L1879" t="str">
            <v>CLN/TNG/008</v>
          </cell>
          <cell r="M1879" t="str">
            <v>Y</v>
          </cell>
          <cell r="N1879" t="str">
            <v>Other Indication</v>
          </cell>
          <cell r="O1879" t="str">
            <v>Internal R&amp;D</v>
          </cell>
          <cell r="S1879" t="str">
            <v>Q1 Passed</v>
          </cell>
          <cell r="T1879" t="str">
            <v>Q2 Passed</v>
          </cell>
          <cell r="U1879" t="str">
            <v>Blood Sample hemolyzed during processing</v>
          </cell>
          <cell r="V1879" t="str">
            <v>Only 3-4 explants have tumor.Others show DCIS or normal to hyperplastic glands</v>
          </cell>
          <cell r="W1879" t="str">
            <v>Clinic'les</v>
          </cell>
          <cell r="X1879" t="str">
            <v>Clinic'les- Thangam Hospital, Namakkal</v>
          </cell>
          <cell r="Y1879" t="str">
            <v>Thangam Hospital, Namakkal</v>
          </cell>
          <cell r="Z1879" t="str">
            <v>Dr Aruna Prabhu, Namakkal</v>
          </cell>
          <cell r="AA1879" t="str">
            <v>Ca Breast</v>
          </cell>
          <cell r="AC1879" t="str">
            <v>Breast</v>
          </cell>
          <cell r="AD1879" t="str">
            <v>Right Breast</v>
          </cell>
          <cell r="AE1879" t="str">
            <v>Female</v>
          </cell>
          <cell r="AF1879">
            <v>61</v>
          </cell>
          <cell r="AG1879" t="str">
            <v>No</v>
          </cell>
          <cell r="AI1879" t="str">
            <v>Partha</v>
          </cell>
          <cell r="AJ1879" t="str">
            <v>Surgery</v>
          </cell>
          <cell r="AK1879" t="str">
            <v>Primary</v>
          </cell>
          <cell r="AN1879" t="str">
            <v>NA</v>
          </cell>
          <cell r="AO1879" t="str">
            <v>II</v>
          </cell>
          <cell r="AP1879" t="str">
            <v>pT2N1M0</v>
          </cell>
          <cell r="AS1879" t="str">
            <v>ER+, PR+, HER2-; Infiltrating Ductal Carcinoma</v>
          </cell>
          <cell r="AV1879">
            <v>44489</v>
          </cell>
          <cell r="AW1879">
            <v>0.3263888888888889</v>
          </cell>
          <cell r="AX1879">
            <v>0.375</v>
          </cell>
          <cell r="AY1879">
            <v>4.8611111111111112E-2</v>
          </cell>
          <cell r="AZ1879">
            <v>0.24097222222222223</v>
          </cell>
          <cell r="BA1879">
            <v>0.51736111111111116</v>
          </cell>
          <cell r="BB1879" t="str">
            <v>0.6*1.2*1.6</v>
          </cell>
          <cell r="BC1879" t="str">
            <v>0.6*1.0*1.6</v>
          </cell>
          <cell r="BD1879" t="str">
            <v>2*2*2</v>
          </cell>
          <cell r="BE1879">
            <v>4</v>
          </cell>
          <cell r="BF1879" t="str">
            <v>Kowshik</v>
          </cell>
          <cell r="BG1879" t="str">
            <v>NQ</v>
          </cell>
        </row>
        <row r="1880">
          <cell r="A1880" t="str">
            <v>FBR1J210177</v>
          </cell>
          <cell r="B1880">
            <v>210177</v>
          </cell>
          <cell r="C1880" t="str">
            <v>R&amp;D</v>
          </cell>
          <cell r="D1880">
            <v>44489</v>
          </cell>
          <cell r="E1880">
            <v>0.88541666666666663</v>
          </cell>
          <cell r="F1880">
            <v>44470</v>
          </cell>
          <cell r="G1880">
            <v>44489</v>
          </cell>
          <cell r="H1880">
            <v>0.94374999999999998</v>
          </cell>
          <cell r="I1880">
            <v>5.8333333333333334E-2</v>
          </cell>
          <cell r="J1880">
            <v>5</v>
          </cell>
          <cell r="K1880" t="str">
            <v>FCB-PROTOCOL-01_v1</v>
          </cell>
          <cell r="L1880" t="str">
            <v>CLN/PRA/01/0122</v>
          </cell>
          <cell r="M1880" t="str">
            <v>Y</v>
          </cell>
          <cell r="N1880" t="str">
            <v>COS_V3</v>
          </cell>
          <cell r="O1880" t="str">
            <v>Internal R&amp;D</v>
          </cell>
          <cell r="S1880" t="str">
            <v>Q1 Passed</v>
          </cell>
          <cell r="T1880" t="str">
            <v>Q2 Passed</v>
          </cell>
          <cell r="V1880" t="str">
            <v>Most explants show chronic inflammation. No tumor</v>
          </cell>
          <cell r="W1880" t="str">
            <v>Clinic'les</v>
          </cell>
          <cell r="X1880" t="str">
            <v>Clinic'les- Dr Prakash BV, Bangalore</v>
          </cell>
          <cell r="Y1880" t="str">
            <v>Sri Lakshmi Hospital, Bangalore</v>
          </cell>
          <cell r="Z1880" t="str">
            <v>Dr Prakash BV, Bangalore</v>
          </cell>
          <cell r="AA1880" t="str">
            <v>GI</v>
          </cell>
          <cell r="AB1880" t="str">
            <v>Stomach</v>
          </cell>
          <cell r="AC1880" t="str">
            <v>Stomach</v>
          </cell>
          <cell r="AD1880" t="str">
            <v>O.G. Junction</v>
          </cell>
          <cell r="AE1880" t="str">
            <v>Female</v>
          </cell>
          <cell r="AF1880">
            <v>60</v>
          </cell>
          <cell r="AG1880" t="str">
            <v>No</v>
          </cell>
          <cell r="AI1880" t="str">
            <v>Sashi</v>
          </cell>
          <cell r="AJ1880" t="str">
            <v>Surgery</v>
          </cell>
          <cell r="AK1880" t="str">
            <v>Primary</v>
          </cell>
          <cell r="AN1880" t="str">
            <v>III</v>
          </cell>
          <cell r="AO1880" t="str">
            <v>II</v>
          </cell>
          <cell r="AP1880" t="str">
            <v>pT3N0M0</v>
          </cell>
          <cell r="AS1880" t="str">
            <v>Moderately differentiated adenocarcinoma</v>
          </cell>
          <cell r="AV1880">
            <v>44490</v>
          </cell>
          <cell r="AW1880">
            <v>0.39583333333333331</v>
          </cell>
          <cell r="AX1880">
            <v>0.47222222222222221</v>
          </cell>
          <cell r="AY1880">
            <v>7.6388888888888895E-2</v>
          </cell>
          <cell r="AZ1880">
            <v>0.45208333333333334</v>
          </cell>
          <cell r="BA1880">
            <v>0.51041666666666663</v>
          </cell>
          <cell r="BB1880" t="str">
            <v>1.2*1.8*2.8</v>
          </cell>
          <cell r="BC1880" t="str">
            <v>1.2*1.8*2.8</v>
          </cell>
          <cell r="BD1880" t="str">
            <v>2*2*2</v>
          </cell>
          <cell r="BE1880">
            <v>4</v>
          </cell>
          <cell r="BF1880" t="str">
            <v>Gowri</v>
          </cell>
          <cell r="BG1880" t="str">
            <v>NQ</v>
          </cell>
        </row>
        <row r="1881">
          <cell r="A1881" t="str">
            <v>FBR1L210178</v>
          </cell>
          <cell r="B1881">
            <v>210178</v>
          </cell>
          <cell r="C1881" t="str">
            <v>R&amp;D</v>
          </cell>
          <cell r="D1881">
            <v>44490</v>
          </cell>
          <cell r="E1881">
            <v>0.56736111111111109</v>
          </cell>
          <cell r="F1881">
            <v>44470</v>
          </cell>
          <cell r="G1881">
            <v>44490</v>
          </cell>
          <cell r="H1881">
            <v>0.92152777777777772</v>
          </cell>
          <cell r="I1881">
            <v>0.35416666666666669</v>
          </cell>
          <cell r="J1881">
            <v>2</v>
          </cell>
          <cell r="K1881" t="str">
            <v>FCB-PROTOCOL-01_v1</v>
          </cell>
          <cell r="L1881" t="str">
            <v>CLN/DBR/032</v>
          </cell>
          <cell r="M1881" t="str">
            <v>Y</v>
          </cell>
          <cell r="N1881" t="str">
            <v>Culture Extension Study</v>
          </cell>
          <cell r="O1881" t="str">
            <v>Internal R&amp;D</v>
          </cell>
          <cell r="S1881" t="str">
            <v>Q1 Passed</v>
          </cell>
          <cell r="T1881" t="str">
            <v>Q2 Rejected</v>
          </cell>
          <cell r="V1881" t="str">
            <v>Tumor in 6/7 explants. Immune component high</v>
          </cell>
          <cell r="W1881" t="str">
            <v>Clinic'les</v>
          </cell>
          <cell r="X1881" t="str">
            <v>Clinic'les- DBR &amp; SK Hospital, Tirupati</v>
          </cell>
          <cell r="Y1881" t="str">
            <v>DBR &amp; SK Hospital, Tirupati</v>
          </cell>
          <cell r="Z1881" t="str">
            <v>Dr C Jayaprakash, Tirupati</v>
          </cell>
          <cell r="AA1881" t="str">
            <v>HNSCC</v>
          </cell>
          <cell r="AC1881" t="str">
            <v>Buccal Mucosa</v>
          </cell>
          <cell r="AD1881" t="str">
            <v>Buccal Mucosa</v>
          </cell>
          <cell r="AE1881" t="str">
            <v>Female</v>
          </cell>
          <cell r="AF1881">
            <v>44</v>
          </cell>
          <cell r="AG1881" t="str">
            <v>No</v>
          </cell>
          <cell r="AI1881" t="str">
            <v>Partha</v>
          </cell>
          <cell r="AJ1881" t="str">
            <v>Surgery</v>
          </cell>
          <cell r="AK1881" t="str">
            <v>Primary</v>
          </cell>
          <cell r="AN1881" t="str">
            <v>III</v>
          </cell>
          <cell r="AP1881" t="str">
            <v>pT2N1Mx</v>
          </cell>
          <cell r="AS1881" t="str">
            <v>Squamous Cell Carcinoma</v>
          </cell>
          <cell r="AV1881">
            <v>44490</v>
          </cell>
          <cell r="AW1881">
            <v>0.9375</v>
          </cell>
          <cell r="AX1881">
            <v>4.5138888888888888E-2</v>
          </cell>
          <cell r="AY1881">
            <v>0.1076388888888889</v>
          </cell>
          <cell r="AZ1881">
            <v>1.5972222222222221E-2</v>
          </cell>
          <cell r="BA1881">
            <v>0.37013888888888891</v>
          </cell>
          <cell r="BB1881" t="str">
            <v>1.2*2.4*1.4</v>
          </cell>
          <cell r="BC1881" t="str">
            <v>1.2*2.4*1.4</v>
          </cell>
          <cell r="BD1881" t="str">
            <v>2*4*450</v>
          </cell>
          <cell r="BE1881">
            <v>4</v>
          </cell>
          <cell r="BF1881" t="str">
            <v>Rajashekhar</v>
          </cell>
          <cell r="BG1881" t="str">
            <v>Q</v>
          </cell>
        </row>
        <row r="1882">
          <cell r="A1882" t="str">
            <v>FBB1D210179</v>
          </cell>
          <cell r="B1882">
            <v>210179</v>
          </cell>
          <cell r="C1882" t="str">
            <v>Biopharma</v>
          </cell>
          <cell r="D1882">
            <v>44491</v>
          </cell>
          <cell r="E1882">
            <v>0.57777777777777772</v>
          </cell>
          <cell r="F1882">
            <v>44470</v>
          </cell>
          <cell r="G1882">
            <v>44491</v>
          </cell>
          <cell r="H1882">
            <v>0.91597222222222219</v>
          </cell>
          <cell r="I1882">
            <v>0.33819444444444446</v>
          </cell>
          <cell r="J1882">
            <v>2</v>
          </cell>
          <cell r="K1882" t="str">
            <v>FCB-PROTOCOL-01_v1</v>
          </cell>
          <cell r="L1882" t="str">
            <v>CLN/DBR/033</v>
          </cell>
          <cell r="M1882" t="str">
            <v>Y</v>
          </cell>
          <cell r="N1882" t="str">
            <v>BP005_SOW1_2021</v>
          </cell>
          <cell r="O1882" t="str">
            <v>Biopharma</v>
          </cell>
          <cell r="S1882" t="str">
            <v>Q1 Passed</v>
          </cell>
          <cell r="U1882" t="str">
            <v>Sample contaminated post overnight incubation</v>
          </cell>
          <cell r="V1882" t="str">
            <v>Good tumor content, plenty of acellular keratinized tissue</v>
          </cell>
          <cell r="W1882" t="str">
            <v>Clinic'les</v>
          </cell>
          <cell r="X1882" t="str">
            <v>Clinic'les- DBR &amp; SK Hospital, Tirupati</v>
          </cell>
          <cell r="Y1882" t="str">
            <v>DBR &amp; SK Hospital, Tirupati</v>
          </cell>
          <cell r="Z1882" t="str">
            <v>Dr C Jayaprakash, Tirupati</v>
          </cell>
          <cell r="AA1882" t="str">
            <v>HNSCC</v>
          </cell>
          <cell r="AC1882" t="str">
            <v>Buccal Mucosa</v>
          </cell>
          <cell r="AD1882" t="str">
            <v>Buccal Mucosa</v>
          </cell>
          <cell r="AE1882" t="str">
            <v>Female</v>
          </cell>
          <cell r="AF1882">
            <v>50</v>
          </cell>
          <cell r="AG1882" t="str">
            <v>No</v>
          </cell>
          <cell r="AI1882" t="str">
            <v>Partha</v>
          </cell>
          <cell r="AJ1882" t="str">
            <v>Surgery</v>
          </cell>
          <cell r="AK1882" t="str">
            <v>Primary</v>
          </cell>
          <cell r="AN1882" t="str">
            <v>IVA</v>
          </cell>
          <cell r="AP1882" t="str">
            <v>pT4aN0Mx</v>
          </cell>
          <cell r="AS1882" t="str">
            <v>Squamous Cell Carcinoma</v>
          </cell>
          <cell r="AV1882">
            <v>44492</v>
          </cell>
          <cell r="AW1882">
            <v>0.93055555555555558</v>
          </cell>
          <cell r="AX1882">
            <v>0</v>
          </cell>
          <cell r="AY1882">
            <v>6.9444444444444448E-2</v>
          </cell>
          <cell r="AZ1882">
            <v>1.4583333333333334E-2</v>
          </cell>
          <cell r="BA1882">
            <v>0.3527777777777778</v>
          </cell>
          <cell r="BB1882" t="str">
            <v>1.0*1.6*1.6</v>
          </cell>
          <cell r="BC1882" t="str">
            <v>1.0*1.6*1.6</v>
          </cell>
          <cell r="BD1882" t="str">
            <v>2*4*450</v>
          </cell>
          <cell r="BE1882">
            <v>4</v>
          </cell>
          <cell r="BF1882" t="str">
            <v>Rajashekhar</v>
          </cell>
          <cell r="BG1882" t="str">
            <v>Q</v>
          </cell>
        </row>
        <row r="1883">
          <cell r="A1883" t="str">
            <v>FBR1L210180</v>
          </cell>
          <cell r="B1883">
            <v>210180</v>
          </cell>
          <cell r="C1883" t="str">
            <v>R&amp;D</v>
          </cell>
          <cell r="D1883">
            <v>44494</v>
          </cell>
          <cell r="E1883">
            <v>0.36944444444444446</v>
          </cell>
          <cell r="F1883">
            <v>44470</v>
          </cell>
          <cell r="G1883">
            <v>44494</v>
          </cell>
          <cell r="H1883">
            <v>0.51180555555555551</v>
          </cell>
          <cell r="I1883">
            <v>0.1423611111111111</v>
          </cell>
          <cell r="J1883">
            <v>2</v>
          </cell>
          <cell r="K1883" t="str">
            <v>FCB-PROTOCOL-01_v1</v>
          </cell>
          <cell r="L1883" t="str">
            <v>VYD/043</v>
          </cell>
          <cell r="M1883" t="str">
            <v>Y</v>
          </cell>
          <cell r="N1883" t="str">
            <v>Culture Extension Study</v>
          </cell>
          <cell r="O1883" t="str">
            <v>Internal R&amp;D</v>
          </cell>
          <cell r="S1883" t="str">
            <v>Q1 Rejected</v>
          </cell>
          <cell r="U1883" t="str">
            <v>Sample size was too small</v>
          </cell>
          <cell r="V1883" t="str">
            <v>Good tumor content</v>
          </cell>
          <cell r="W1883" t="str">
            <v>Clinic'les</v>
          </cell>
          <cell r="X1883" t="str">
            <v>Clinic'les- Vydehi Hospital, Bangalore</v>
          </cell>
          <cell r="Y1883" t="str">
            <v>Vydehi Hospital, Bangalore</v>
          </cell>
          <cell r="Z1883" t="str">
            <v>Dr Amritha Prabha, Bangalore</v>
          </cell>
          <cell r="AA1883" t="str">
            <v>HNSCC</v>
          </cell>
          <cell r="AC1883" t="str">
            <v>Mouth</v>
          </cell>
          <cell r="AD1883" t="str">
            <v>Floor of mouth</v>
          </cell>
          <cell r="AE1883" t="str">
            <v>Male</v>
          </cell>
          <cell r="AF1883">
            <v>61</v>
          </cell>
          <cell r="AG1883" t="str">
            <v>No</v>
          </cell>
          <cell r="AI1883" t="str">
            <v>Kalappa</v>
          </cell>
          <cell r="AJ1883" t="str">
            <v>Surgery</v>
          </cell>
          <cell r="AK1883" t="str">
            <v>Primary</v>
          </cell>
          <cell r="AS1883" t="str">
            <v>Squamous Cell Carcinoma</v>
          </cell>
          <cell r="AV1883">
            <v>44494</v>
          </cell>
          <cell r="AW1883">
            <v>0.54027777777777775</v>
          </cell>
          <cell r="AX1883">
            <v>0.59722222222222221</v>
          </cell>
          <cell r="AY1883">
            <v>5.6944444444444443E-2</v>
          </cell>
          <cell r="AZ1883">
            <v>2.8472222222222222E-2</v>
          </cell>
          <cell r="BA1883">
            <v>0.17083333333333334</v>
          </cell>
          <cell r="BB1883" t="str">
            <v>0.2*0.4*1.0
0.2*0.2*1.0</v>
          </cell>
          <cell r="BC1883" t="str">
            <v>0.2*0.4*1.0
0.2*0.2*1.0</v>
          </cell>
          <cell r="BD1883" t="str">
            <v>2*2*2</v>
          </cell>
          <cell r="BE1883">
            <v>4</v>
          </cell>
          <cell r="BF1883" t="str">
            <v>Kowshik</v>
          </cell>
          <cell r="BG1883" t="str">
            <v>Q</v>
          </cell>
        </row>
        <row r="1884">
          <cell r="A1884" t="str">
            <v>FBR1N210181</v>
          </cell>
          <cell r="B1884">
            <v>210181</v>
          </cell>
          <cell r="C1884" t="str">
            <v>R&amp;D</v>
          </cell>
          <cell r="D1884">
            <v>44494</v>
          </cell>
          <cell r="E1884">
            <v>0.53819444444444442</v>
          </cell>
          <cell r="F1884">
            <v>44470</v>
          </cell>
          <cell r="G1884">
            <v>44494</v>
          </cell>
          <cell r="H1884">
            <v>0.87777777777777777</v>
          </cell>
          <cell r="I1884">
            <v>0.33958333333333335</v>
          </cell>
          <cell r="J1884">
            <v>2</v>
          </cell>
          <cell r="K1884" t="str">
            <v>FCB-PROTOCOL-01_v1</v>
          </cell>
          <cell r="L1884" t="str">
            <v>CLN/DBR/034</v>
          </cell>
          <cell r="M1884" t="str">
            <v>Y</v>
          </cell>
          <cell r="N1884" t="str">
            <v>Extended TAT_Hemarina</v>
          </cell>
          <cell r="O1884" t="str">
            <v>Internal R&amp;D</v>
          </cell>
          <cell r="S1884" t="str">
            <v>Q1 Rejected</v>
          </cell>
          <cell r="U1884" t="str">
            <v>Blood sample was clotted</v>
          </cell>
          <cell r="V1884" t="str">
            <v>Good tumor content</v>
          </cell>
          <cell r="W1884" t="str">
            <v>Clinic'les</v>
          </cell>
          <cell r="X1884" t="str">
            <v>Clinic'les- DBR &amp; SK Hospital, Tirupati</v>
          </cell>
          <cell r="Y1884" t="str">
            <v>DBR &amp; SK Hospital, Tirupati</v>
          </cell>
          <cell r="Z1884" t="str">
            <v>Dr C Jayaprakash, Tirupati</v>
          </cell>
          <cell r="AA1884" t="str">
            <v>HNSCC</v>
          </cell>
          <cell r="AC1884" t="str">
            <v>Buccal Mucosa</v>
          </cell>
          <cell r="AD1884" t="str">
            <v>Buccal Mucosa</v>
          </cell>
          <cell r="AE1884" t="str">
            <v>Female</v>
          </cell>
          <cell r="AF1884">
            <v>60</v>
          </cell>
          <cell r="AG1884" t="str">
            <v>No</v>
          </cell>
          <cell r="AI1884" t="str">
            <v>Kalappa</v>
          </cell>
          <cell r="AJ1884" t="str">
            <v>Surgery</v>
          </cell>
          <cell r="AK1884" t="str">
            <v>Primary</v>
          </cell>
          <cell r="AS1884" t="str">
            <v>Squamous Cell Carcinoma</v>
          </cell>
          <cell r="AV1884">
            <v>44494</v>
          </cell>
          <cell r="AW1884">
            <v>0.89583333333333337</v>
          </cell>
          <cell r="AX1884">
            <v>0.96180555555555558</v>
          </cell>
          <cell r="AY1884">
            <v>6.5972222222222224E-2</v>
          </cell>
          <cell r="AZ1884">
            <v>1.8055555555555554E-2</v>
          </cell>
          <cell r="BA1884">
            <v>0.3576388888888889</v>
          </cell>
          <cell r="BB1884" t="str">
            <v>1.0*2.0*1.8</v>
          </cell>
          <cell r="BC1884" t="str">
            <v>1.0*2.0*1.8</v>
          </cell>
          <cell r="BD1884" t="str">
            <v>2*4*450</v>
          </cell>
          <cell r="BE1884">
            <v>4</v>
          </cell>
          <cell r="BF1884" t="str">
            <v>Kowshik</v>
          </cell>
          <cell r="BG1884" t="str">
            <v>NQ</v>
          </cell>
        </row>
        <row r="1885">
          <cell r="A1885" t="str">
            <v>FBR1A210182</v>
          </cell>
          <cell r="B1885">
            <v>210182</v>
          </cell>
          <cell r="C1885" t="str">
            <v>R&amp;D</v>
          </cell>
          <cell r="D1885">
            <v>44495</v>
          </cell>
          <cell r="E1885">
            <v>0.66805555555555551</v>
          </cell>
          <cell r="F1885">
            <v>44470</v>
          </cell>
          <cell r="G1885">
            <v>44495</v>
          </cell>
          <cell r="H1885">
            <v>0.74513888888888891</v>
          </cell>
          <cell r="I1885">
            <v>7.7083333333333337E-2</v>
          </cell>
          <cell r="J1885">
            <v>4</v>
          </cell>
          <cell r="K1885" t="str">
            <v>FCB-PROTOCOL-01_v1</v>
          </cell>
          <cell r="L1885" t="str">
            <v>VYD/045</v>
          </cell>
          <cell r="M1885" t="str">
            <v>Y</v>
          </cell>
          <cell r="N1885" t="str">
            <v>Other Indication</v>
          </cell>
          <cell r="O1885" t="str">
            <v>Internal R&amp;D</v>
          </cell>
          <cell r="S1885" t="str">
            <v>Q1 Rejected</v>
          </cell>
          <cell r="U1885" t="str">
            <v>Blood sample was hemolyzed</v>
          </cell>
          <cell r="V1885" t="str">
            <v>Good tumor content</v>
          </cell>
          <cell r="W1885" t="str">
            <v>Clinic'les</v>
          </cell>
          <cell r="X1885" t="str">
            <v>Clinic'les- Vydehi Hospital, Bangalore</v>
          </cell>
          <cell r="Y1885" t="str">
            <v>Vydehi Hospital, Bangalore</v>
          </cell>
          <cell r="Z1885" t="str">
            <v>Dr Amritha Prabha, Bangalore</v>
          </cell>
          <cell r="AA1885" t="str">
            <v>Ca Breast</v>
          </cell>
          <cell r="AC1885" t="str">
            <v>Breast</v>
          </cell>
          <cell r="AD1885" t="str">
            <v>Right Breast</v>
          </cell>
          <cell r="AE1885" t="str">
            <v>Female</v>
          </cell>
          <cell r="AF1885">
            <v>75</v>
          </cell>
          <cell r="AG1885" t="str">
            <v>No</v>
          </cell>
          <cell r="AI1885" t="str">
            <v>Partha</v>
          </cell>
          <cell r="AJ1885" t="str">
            <v>Surgery</v>
          </cell>
          <cell r="AK1885" t="str">
            <v>Primary</v>
          </cell>
          <cell r="AN1885" t="str">
            <v>NA</v>
          </cell>
          <cell r="AO1885" t="str">
            <v>NA</v>
          </cell>
          <cell r="AP1885" t="str">
            <v>NA</v>
          </cell>
          <cell r="AS1885" t="str">
            <v>Infiltrating Ductal Carcinoma</v>
          </cell>
          <cell r="AV1885">
            <v>44495</v>
          </cell>
          <cell r="AW1885">
            <v>0.76875000000000004</v>
          </cell>
          <cell r="AX1885">
            <v>0.83333333333333337</v>
          </cell>
          <cell r="AY1885">
            <v>6.458333333333334E-2</v>
          </cell>
          <cell r="AZ1885">
            <v>2.361111111111111E-2</v>
          </cell>
          <cell r="BA1885">
            <v>0.10069444444444445</v>
          </cell>
          <cell r="BB1885" t="str">
            <v>0.8*1.6*2.4
0.8*1.8*2.4</v>
          </cell>
          <cell r="BC1885" t="str">
            <v>0.6*1.4*1.2
0.4*0.6*0.8
0.4*0.6*0.8</v>
          </cell>
          <cell r="BD1885" t="str">
            <v>2*2*2</v>
          </cell>
          <cell r="BE1885">
            <v>4</v>
          </cell>
          <cell r="BF1885" t="str">
            <v>Kowshik</v>
          </cell>
          <cell r="BG1885" t="str">
            <v>NQ</v>
          </cell>
        </row>
        <row r="1886">
          <cell r="A1886" t="str">
            <v>FBR1J210183</v>
          </cell>
          <cell r="B1886">
            <v>210183</v>
          </cell>
          <cell r="C1886" t="str">
            <v>R&amp;D</v>
          </cell>
          <cell r="D1886">
            <v>44495</v>
          </cell>
          <cell r="E1886">
            <v>0.65763888888888888</v>
          </cell>
          <cell r="F1886">
            <v>44470</v>
          </cell>
          <cell r="G1886">
            <v>44495</v>
          </cell>
          <cell r="H1886">
            <v>0.74513888888888891</v>
          </cell>
          <cell r="I1886">
            <v>8.7499999999999994E-2</v>
          </cell>
          <cell r="J1886">
            <v>7</v>
          </cell>
          <cell r="K1886" t="str">
            <v>FCB-PROTOCOL-01_v1</v>
          </cell>
          <cell r="L1886" t="str">
            <v>VYD/044</v>
          </cell>
          <cell r="M1886" t="str">
            <v>Y</v>
          </cell>
          <cell r="N1886" t="str">
            <v>COS_V3</v>
          </cell>
          <cell r="O1886" t="str">
            <v>Internal R&amp;D</v>
          </cell>
          <cell r="S1886" t="str">
            <v>Q1 Rejected</v>
          </cell>
          <cell r="U1886" t="str">
            <v>Blood sample was hemolyzed</v>
          </cell>
          <cell r="V1886" t="str">
            <v>No tumor. Only chronic inflammation.</v>
          </cell>
          <cell r="W1886" t="str">
            <v>Clinic'les</v>
          </cell>
          <cell r="X1886" t="str">
            <v>Clinic'les- Vydehi Hospital, Bangalore</v>
          </cell>
          <cell r="Y1886" t="str">
            <v>Vydehi Hospital, Bangalore</v>
          </cell>
          <cell r="Z1886" t="str">
            <v>Dr Amritha Prabha, Bangalore</v>
          </cell>
          <cell r="AA1886" t="str">
            <v>GI</v>
          </cell>
          <cell r="AB1886" t="str">
            <v>Stomach</v>
          </cell>
          <cell r="AC1886" t="str">
            <v>Stomach</v>
          </cell>
          <cell r="AD1886" t="str">
            <v>Distal Stomach</v>
          </cell>
          <cell r="AE1886" t="str">
            <v>Female</v>
          </cell>
          <cell r="AF1886">
            <v>60</v>
          </cell>
          <cell r="AG1886" t="str">
            <v>No</v>
          </cell>
          <cell r="AI1886" t="str">
            <v>Partha</v>
          </cell>
          <cell r="AJ1886" t="str">
            <v>Surgery</v>
          </cell>
          <cell r="AK1886" t="str">
            <v>Primary</v>
          </cell>
          <cell r="AL1886" t="str">
            <v>Chemotherapy</v>
          </cell>
          <cell r="AQ1886" t="str">
            <v>3 cycles</v>
          </cell>
          <cell r="AR1886" t="str">
            <v>EOX</v>
          </cell>
          <cell r="AS1886" t="str">
            <v>Adenocarcinoma</v>
          </cell>
          <cell r="AV1886">
            <v>44495</v>
          </cell>
          <cell r="AW1886">
            <v>0.76736111111111116</v>
          </cell>
          <cell r="AX1886">
            <v>0.81944444444444442</v>
          </cell>
          <cell r="BB1886" t="str">
            <v>1.0*1.0*2.2</v>
          </cell>
          <cell r="BD1886" t="str">
            <v>2*2*2</v>
          </cell>
          <cell r="BE1886">
            <v>4</v>
          </cell>
          <cell r="BF1886" t="str">
            <v>Gowri</v>
          </cell>
          <cell r="BG1886" t="str">
            <v>Q</v>
          </cell>
        </row>
        <row r="1887">
          <cell r="A1887" t="str">
            <v>FBR1A210184</v>
          </cell>
          <cell r="B1887">
            <v>210184</v>
          </cell>
          <cell r="C1887" t="str">
            <v>R&amp;D</v>
          </cell>
          <cell r="D1887">
            <v>44496</v>
          </cell>
          <cell r="E1887">
            <v>0.52083333333333337</v>
          </cell>
          <cell r="F1887">
            <v>44470</v>
          </cell>
          <cell r="G1887">
            <v>44496</v>
          </cell>
          <cell r="H1887">
            <v>0.85347222222222219</v>
          </cell>
          <cell r="I1887">
            <v>0.33263888888888887</v>
          </cell>
          <cell r="J1887">
            <v>2</v>
          </cell>
          <cell r="K1887" t="str">
            <v>FCB-PROTOCOL-01_v1</v>
          </cell>
          <cell r="L1887" t="str">
            <v>CLN/DBR/035</v>
          </cell>
          <cell r="M1887" t="str">
            <v>Y</v>
          </cell>
          <cell r="N1887" t="str">
            <v>Other Indication</v>
          </cell>
          <cell r="O1887" t="str">
            <v>Internal R&amp;D</v>
          </cell>
          <cell r="S1887" t="str">
            <v>Q1 Passed</v>
          </cell>
          <cell r="V1887" t="str">
            <v>2-3 Explants show &gt;5% tumor. Others show scattered tumor cells&lt; 5%.</v>
          </cell>
          <cell r="W1887" t="str">
            <v>Clinic'les</v>
          </cell>
          <cell r="X1887" t="str">
            <v>Clinic'les- DBR &amp; SK Hospital, Tirupati</v>
          </cell>
          <cell r="Y1887" t="str">
            <v>DBR &amp; SK Hospital, Tirupati</v>
          </cell>
          <cell r="Z1887" t="str">
            <v>Dr C Jayaprakash, Tirupati</v>
          </cell>
          <cell r="AA1887" t="str">
            <v>Ca Breast</v>
          </cell>
          <cell r="AC1887" t="str">
            <v>Breast</v>
          </cell>
          <cell r="AD1887" t="str">
            <v>Breast</v>
          </cell>
          <cell r="AE1887" t="str">
            <v>Female</v>
          </cell>
          <cell r="AF1887">
            <v>68</v>
          </cell>
          <cell r="AG1887" t="str">
            <v>No</v>
          </cell>
          <cell r="AI1887" t="str">
            <v>Sashi</v>
          </cell>
          <cell r="AJ1887" t="str">
            <v>Surgery</v>
          </cell>
          <cell r="AK1887" t="str">
            <v>Primary</v>
          </cell>
          <cell r="AN1887" t="str">
            <v>IIB</v>
          </cell>
          <cell r="AP1887" t="str">
            <v>pT2N1Mx</v>
          </cell>
          <cell r="AS1887" t="str">
            <v>Invasive ductal cell carcinoma</v>
          </cell>
          <cell r="AV1887">
            <v>44496</v>
          </cell>
          <cell r="AW1887">
            <v>0.86111111111111116</v>
          </cell>
          <cell r="AX1887">
            <v>0.89583333333333337</v>
          </cell>
          <cell r="AY1887">
            <v>3.4722222222222224E-2</v>
          </cell>
          <cell r="AZ1887">
            <v>7.6388888888888886E-3</v>
          </cell>
          <cell r="BA1887">
            <v>0.34027777777777779</v>
          </cell>
          <cell r="BB1887" t="str">
            <v>1.0*2.6*2.8</v>
          </cell>
          <cell r="BC1887" t="str">
            <v>1.0*2.4*2.0</v>
          </cell>
          <cell r="BD1887" t="str">
            <v>2*2*2</v>
          </cell>
          <cell r="BE1887">
            <v>4</v>
          </cell>
          <cell r="BF1887" t="str">
            <v>Vasanth</v>
          </cell>
          <cell r="BG1887" t="str">
            <v>Q</v>
          </cell>
        </row>
        <row r="1888">
          <cell r="A1888" t="str">
            <v>FBR1L210185</v>
          </cell>
          <cell r="B1888">
            <v>210185</v>
          </cell>
          <cell r="C1888" t="str">
            <v>R&amp;D</v>
          </cell>
          <cell r="D1888">
            <v>44497</v>
          </cell>
          <cell r="E1888">
            <v>0.45</v>
          </cell>
          <cell r="F1888">
            <v>44470</v>
          </cell>
          <cell r="G1888">
            <v>44497</v>
          </cell>
          <cell r="H1888">
            <v>0.53402777777777777</v>
          </cell>
          <cell r="I1888">
            <v>8.4027777777777785E-2</v>
          </cell>
          <cell r="J1888">
            <v>6</v>
          </cell>
          <cell r="K1888" t="str">
            <v>FCB-PROTOCOL-01_v1</v>
          </cell>
          <cell r="L1888" t="str">
            <v>VYD/046</v>
          </cell>
          <cell r="M1888" t="str">
            <v>Y</v>
          </cell>
          <cell r="N1888" t="str">
            <v>Culture Extension Study</v>
          </cell>
          <cell r="O1888" t="str">
            <v>Internal R&amp;D</v>
          </cell>
          <cell r="S1888" t="str">
            <v>Q1 Rejected</v>
          </cell>
          <cell r="U1888" t="str">
            <v>Blood sample was clotted</v>
          </cell>
          <cell r="V1888" t="str">
            <v>No tumor</v>
          </cell>
          <cell r="W1888" t="str">
            <v>Clinic'les</v>
          </cell>
          <cell r="X1888" t="str">
            <v>Clinic'les- Vydehi Hospital, Bangalore</v>
          </cell>
          <cell r="Y1888" t="str">
            <v>Vydehi Hospital, Bangalore</v>
          </cell>
          <cell r="Z1888" t="str">
            <v>Dr Amritha Prabha, Bangalore</v>
          </cell>
          <cell r="AA1888" t="str">
            <v>HNSCC</v>
          </cell>
          <cell r="AC1888" t="str">
            <v>Lateral Border</v>
          </cell>
          <cell r="AD1888" t="str">
            <v>Left Lateral Border</v>
          </cell>
          <cell r="AE1888" t="str">
            <v>Female</v>
          </cell>
          <cell r="AF1888">
            <v>55</v>
          </cell>
          <cell r="AG1888" t="str">
            <v>No</v>
          </cell>
          <cell r="AI1888" t="str">
            <v>Kalappa</v>
          </cell>
          <cell r="AJ1888" t="str">
            <v>Surgery</v>
          </cell>
          <cell r="AK1888" t="str">
            <v>Primary</v>
          </cell>
          <cell r="AS1888" t="str">
            <v>Squamous Cell Carcinoma</v>
          </cell>
          <cell r="AV1888">
            <v>44497</v>
          </cell>
          <cell r="AW1888">
            <v>0.6875</v>
          </cell>
          <cell r="AX1888">
            <v>0.79236111111111107</v>
          </cell>
          <cell r="BB1888" t="str">
            <v>1.0*1.2*1.4</v>
          </cell>
          <cell r="BC1888" t="str">
            <v>1.0*1.2*1.4</v>
          </cell>
          <cell r="BD1888" t="str">
            <v>2*2*2</v>
          </cell>
          <cell r="BE1888">
            <v>15</v>
          </cell>
          <cell r="BF1888" t="str">
            <v>GS</v>
          </cell>
          <cell r="BG1888" t="str">
            <v>NQ</v>
          </cell>
        </row>
        <row r="1889">
          <cell r="A1889" t="str">
            <v>FBR1A210186</v>
          </cell>
          <cell r="B1889">
            <v>210186</v>
          </cell>
          <cell r="C1889" t="str">
            <v>R&amp;D</v>
          </cell>
          <cell r="D1889">
            <v>44497</v>
          </cell>
          <cell r="E1889">
            <v>0.57291666666666663</v>
          </cell>
          <cell r="F1889">
            <v>44470</v>
          </cell>
          <cell r="G1889">
            <v>44497</v>
          </cell>
          <cell r="H1889">
            <v>0.90486111111111112</v>
          </cell>
          <cell r="I1889">
            <v>0.33194444444444443</v>
          </cell>
          <cell r="J1889">
            <v>150</v>
          </cell>
          <cell r="K1889" t="str">
            <v>MBT-TB-070 v1.1</v>
          </cell>
          <cell r="L1889" t="str">
            <v>CLN/TNG/009</v>
          </cell>
          <cell r="M1889" t="str">
            <v>Y</v>
          </cell>
          <cell r="N1889" t="str">
            <v>Other Indication</v>
          </cell>
          <cell r="O1889" t="str">
            <v>Internal R&amp;D</v>
          </cell>
          <cell r="S1889" t="str">
            <v>Q1 Passed</v>
          </cell>
          <cell r="V1889" t="str">
            <v>Tumor present in most explants.</v>
          </cell>
          <cell r="W1889" t="str">
            <v>Clinic'les</v>
          </cell>
          <cell r="X1889" t="str">
            <v>Clinic'les- Thangam Hospital, Namakkal</v>
          </cell>
          <cell r="Y1889" t="str">
            <v>Thangam Hospital, Namakkal</v>
          </cell>
          <cell r="Z1889" t="str">
            <v>Dr Deepti Mishra</v>
          </cell>
          <cell r="AA1889" t="str">
            <v>Ca Breast</v>
          </cell>
          <cell r="AC1889" t="str">
            <v>Breast</v>
          </cell>
          <cell r="AD1889" t="str">
            <v>Left Breast</v>
          </cell>
          <cell r="AE1889" t="str">
            <v>Female</v>
          </cell>
          <cell r="AF1889">
            <v>61</v>
          </cell>
          <cell r="AG1889" t="str">
            <v>No</v>
          </cell>
          <cell r="AI1889" t="str">
            <v>Kalappa</v>
          </cell>
          <cell r="AJ1889" t="str">
            <v>Surgery</v>
          </cell>
          <cell r="AK1889" t="str">
            <v>Primary</v>
          </cell>
          <cell r="AN1889" t="str">
            <v>NA</v>
          </cell>
          <cell r="AO1889" t="str">
            <v>II</v>
          </cell>
          <cell r="AP1889" t="str">
            <v>pT2N1M0</v>
          </cell>
          <cell r="AS1889" t="str">
            <v>Infiltrating Ductal Carcinoma</v>
          </cell>
          <cell r="AV1889">
            <v>44497</v>
          </cell>
          <cell r="AW1889">
            <v>0.93055555555555558</v>
          </cell>
          <cell r="AX1889">
            <v>0.96875</v>
          </cell>
          <cell r="AY1889">
            <v>3.8194444444444448E-2</v>
          </cell>
          <cell r="AZ1889">
            <v>2.5694444444444443E-2</v>
          </cell>
          <cell r="BA1889">
            <v>0.3576388888888889</v>
          </cell>
          <cell r="BB1889" t="str">
            <v>1.0*1.0*1.0
0.8*2.2*1.6</v>
          </cell>
          <cell r="BC1889" t="str">
            <v>0.8*0.8*0.8
0.8*1.0*1.2</v>
          </cell>
          <cell r="BD1889" t="str">
            <v>2*2*2</v>
          </cell>
          <cell r="BE1889">
            <v>15</v>
          </cell>
          <cell r="BF1889" t="str">
            <v>Vasanth</v>
          </cell>
          <cell r="BG1889" t="str">
            <v>Q</v>
          </cell>
        </row>
        <row r="1890">
          <cell r="A1890" t="str">
            <v>FBR1A210187</v>
          </cell>
          <cell r="B1890">
            <v>210187</v>
          </cell>
          <cell r="C1890" t="str">
            <v>R&amp;D</v>
          </cell>
          <cell r="D1890">
            <v>44497</v>
          </cell>
          <cell r="E1890">
            <v>0.65763888888888888</v>
          </cell>
          <cell r="F1890">
            <v>44470</v>
          </cell>
          <cell r="G1890">
            <v>44497</v>
          </cell>
          <cell r="H1890">
            <v>0.99652777777777779</v>
          </cell>
          <cell r="I1890">
            <v>0.33888888888888891</v>
          </cell>
          <cell r="J1890">
            <v>2</v>
          </cell>
          <cell r="K1890" t="str">
            <v>FCB-PROTOCOL-01_v1</v>
          </cell>
          <cell r="L1890" t="str">
            <v>CLN/DBR/036</v>
          </cell>
          <cell r="M1890" t="str">
            <v>Y</v>
          </cell>
          <cell r="N1890" t="str">
            <v>Other Indication</v>
          </cell>
          <cell r="O1890" t="str">
            <v>Internal R&amp;D</v>
          </cell>
          <cell r="S1890" t="str">
            <v>Q1 Passed</v>
          </cell>
          <cell r="V1890" t="str">
            <v>Tumor present in many explants, pyknosis high</v>
          </cell>
          <cell r="W1890" t="str">
            <v>Clinic'les</v>
          </cell>
          <cell r="X1890" t="str">
            <v>Clinic'les- DBR &amp; SK Hospital, Tirupati</v>
          </cell>
          <cell r="Y1890" t="str">
            <v>DBR &amp; SK Hospital, Tirupati</v>
          </cell>
          <cell r="Z1890" t="str">
            <v>Dr C Jayaprakash, Tirupati</v>
          </cell>
          <cell r="AA1890" t="str">
            <v>Ca Breast</v>
          </cell>
          <cell r="AC1890" t="str">
            <v>Breast</v>
          </cell>
          <cell r="AD1890" t="str">
            <v>Breast</v>
          </cell>
          <cell r="AE1890" t="str">
            <v>Female</v>
          </cell>
          <cell r="AF1890">
            <v>54</v>
          </cell>
          <cell r="AG1890" t="str">
            <v>No</v>
          </cell>
          <cell r="AI1890" t="str">
            <v>Partha</v>
          </cell>
          <cell r="AJ1890" t="str">
            <v>Surgery</v>
          </cell>
          <cell r="AK1890" t="str">
            <v>Primary</v>
          </cell>
          <cell r="AL1890" t="str">
            <v>Chemotherapy</v>
          </cell>
          <cell r="AN1890" t="str">
            <v>NA</v>
          </cell>
          <cell r="AO1890" t="str">
            <v>NA</v>
          </cell>
          <cell r="AQ1890" t="str">
            <v>8 cycles</v>
          </cell>
          <cell r="AR1890" t="str">
            <v>Paclitaxel+ Carboplatin+ Adriamycin</v>
          </cell>
          <cell r="AS1890" t="str">
            <v>TNBC</v>
          </cell>
        </row>
        <row r="1891">
          <cell r="A1891" t="str">
            <v>FBR1L210188</v>
          </cell>
          <cell r="B1891">
            <v>210188</v>
          </cell>
          <cell r="C1891" t="str">
            <v>R&amp;D</v>
          </cell>
          <cell r="D1891">
            <v>44498</v>
          </cell>
          <cell r="E1891">
            <v>0.6020833333333333</v>
          </cell>
          <cell r="F1891">
            <v>44470</v>
          </cell>
          <cell r="G1891">
            <v>44498</v>
          </cell>
          <cell r="H1891">
            <v>0.96944444444444444</v>
          </cell>
          <cell r="I1891">
            <v>0.36736111111111114</v>
          </cell>
          <cell r="J1891">
            <v>2</v>
          </cell>
          <cell r="K1891" t="str">
            <v>FCB-PROTOCOL-01_v1</v>
          </cell>
          <cell r="L1891" t="str">
            <v>CLN/DBR/037</v>
          </cell>
          <cell r="M1891" t="str">
            <v>Y</v>
          </cell>
          <cell r="N1891" t="str">
            <v>Culture Extension Study</v>
          </cell>
          <cell r="O1891" t="str">
            <v>Internal R&amp;D</v>
          </cell>
          <cell r="S1891" t="str">
            <v>Q1 Passed</v>
          </cell>
          <cell r="V1891" t="str">
            <v>Tumor in 4/7 explants</v>
          </cell>
          <cell r="W1891" t="str">
            <v>Clinic'les</v>
          </cell>
          <cell r="X1891" t="str">
            <v>Clinic'les- DBR &amp; SK Hospital, Tirupati</v>
          </cell>
          <cell r="Y1891" t="str">
            <v>DBR &amp; SK Hospital, Tirupati</v>
          </cell>
          <cell r="Z1891" t="str">
            <v>Dr C Jayaprakash, Tirupati</v>
          </cell>
          <cell r="AA1891" t="str">
            <v>HNSCC</v>
          </cell>
          <cell r="AC1891" t="str">
            <v>Buccal Mucosa</v>
          </cell>
          <cell r="AD1891" t="str">
            <v>Buccal Mucosa</v>
          </cell>
          <cell r="AE1891" t="str">
            <v>Female</v>
          </cell>
          <cell r="AF1891">
            <v>45</v>
          </cell>
          <cell r="AG1891" t="str">
            <v>No</v>
          </cell>
          <cell r="AI1891" t="str">
            <v>Partha</v>
          </cell>
          <cell r="AJ1891" t="str">
            <v>Surgery</v>
          </cell>
          <cell r="AK1891" t="str">
            <v>Primary</v>
          </cell>
          <cell r="AN1891" t="str">
            <v>IVB</v>
          </cell>
          <cell r="AP1891" t="str">
            <v>pT2N3bMx</v>
          </cell>
          <cell r="AS1891" t="str">
            <v>Squamous Cell Carcinoma</v>
          </cell>
          <cell r="AV1891">
            <v>44498</v>
          </cell>
          <cell r="AW1891">
            <v>0.98958333333333337</v>
          </cell>
          <cell r="AX1891">
            <v>3.8194444444444448E-2</v>
          </cell>
          <cell r="AY1891">
            <v>4.8611111111111112E-2</v>
          </cell>
          <cell r="AZ1891">
            <v>2.013888888888889E-2</v>
          </cell>
          <cell r="BA1891">
            <v>0.38750000000000001</v>
          </cell>
          <cell r="BB1891" t="str">
            <v>0.7*1.4*1.8</v>
          </cell>
          <cell r="BC1891" t="str">
            <v>0.7*1.4*1.8</v>
          </cell>
          <cell r="BD1891" t="str">
            <v>2*4*450</v>
          </cell>
          <cell r="BE1891">
            <v>15</v>
          </cell>
          <cell r="BF1891" t="str">
            <v>Vasanth/Manimaran</v>
          </cell>
          <cell r="BG1891" t="str">
            <v>Q</v>
          </cell>
        </row>
        <row r="1892">
          <cell r="A1892" t="str">
            <v>FBB1C210189</v>
          </cell>
          <cell r="B1892">
            <v>210189</v>
          </cell>
          <cell r="C1892" t="str">
            <v>Biopharma</v>
          </cell>
          <cell r="D1892">
            <v>44501</v>
          </cell>
          <cell r="E1892">
            <v>0.53472222222222221</v>
          </cell>
          <cell r="F1892">
            <v>44501</v>
          </cell>
          <cell r="G1892">
            <v>44501</v>
          </cell>
          <cell r="H1892">
            <v>0.90625</v>
          </cell>
          <cell r="I1892">
            <v>0.37152777777777779</v>
          </cell>
          <cell r="J1892">
            <v>2</v>
          </cell>
          <cell r="K1892" t="str">
            <v>FCB-PROTOCOL-01_v1</v>
          </cell>
          <cell r="L1892" t="str">
            <v>CLN/DBR/038</v>
          </cell>
          <cell r="M1892" t="str">
            <v>Y</v>
          </cell>
          <cell r="N1892" t="str">
            <v>BP004_SOW1_2021</v>
          </cell>
          <cell r="O1892" t="str">
            <v>Biopharma</v>
          </cell>
          <cell r="S1892" t="str">
            <v>Q1 Passed</v>
          </cell>
          <cell r="V1892" t="str">
            <v>No tumor</v>
          </cell>
          <cell r="W1892" t="str">
            <v>Clinic'les</v>
          </cell>
          <cell r="X1892" t="str">
            <v>Clinic'les- DBR &amp; SK Hospital, Tirupati</v>
          </cell>
          <cell r="Y1892" t="str">
            <v>DBR &amp; SK Hospital, Tirupati</v>
          </cell>
          <cell r="Z1892" t="str">
            <v>Dr C Jayaprakash, Tirupati</v>
          </cell>
          <cell r="AA1892" t="str">
            <v>GI</v>
          </cell>
          <cell r="AB1892" t="str">
            <v>Stomach</v>
          </cell>
          <cell r="AC1892" t="str">
            <v>Stomach</v>
          </cell>
          <cell r="AD1892" t="str">
            <v>Stomach</v>
          </cell>
          <cell r="AE1892" t="str">
            <v>Male</v>
          </cell>
          <cell r="AF1892">
            <v>70</v>
          </cell>
          <cell r="AG1892" t="str">
            <v>No</v>
          </cell>
          <cell r="AI1892" t="str">
            <v>Partha</v>
          </cell>
          <cell r="AJ1892" t="str">
            <v>Surgery</v>
          </cell>
          <cell r="AK1892" t="str">
            <v>Primary</v>
          </cell>
          <cell r="AS1892" t="str">
            <v>Adenocarcinoma of Stomach</v>
          </cell>
          <cell r="AV1892">
            <v>44501</v>
          </cell>
          <cell r="AW1892">
            <v>0.9291666666666667</v>
          </cell>
          <cell r="AX1892">
            <v>0.96875</v>
          </cell>
          <cell r="AY1892">
            <v>3.9583333333333331E-2</v>
          </cell>
          <cell r="AZ1892">
            <v>2.2916666666666665E-2</v>
          </cell>
          <cell r="BA1892">
            <v>0.39444444444444443</v>
          </cell>
          <cell r="BB1892" t="str">
            <v>1.0*1.2*2.8</v>
          </cell>
          <cell r="BC1892" t="str">
            <v>1.0*1.2*2.8</v>
          </cell>
          <cell r="BD1892" t="str">
            <v>2*2*2</v>
          </cell>
          <cell r="BE1892">
            <v>15</v>
          </cell>
          <cell r="BF1892" t="str">
            <v>Gowri</v>
          </cell>
          <cell r="BG1892" t="str">
            <v>Q</v>
          </cell>
        </row>
        <row r="1893">
          <cell r="A1893" t="str">
            <v>FBB1D210190</v>
          </cell>
          <cell r="B1893">
            <v>210190</v>
          </cell>
          <cell r="C1893" t="str">
            <v>Biopharma</v>
          </cell>
          <cell r="D1893">
            <v>44502</v>
          </cell>
          <cell r="E1893">
            <v>0.55208333333333337</v>
          </cell>
          <cell r="F1893">
            <v>44501</v>
          </cell>
          <cell r="G1893">
            <v>44502</v>
          </cell>
          <cell r="H1893">
            <v>0.89930555555555558</v>
          </cell>
          <cell r="I1893">
            <v>0.34722222222222221</v>
          </cell>
          <cell r="J1893">
            <v>2</v>
          </cell>
          <cell r="K1893" t="str">
            <v>FCB-PROTOCOL-01_v1</v>
          </cell>
          <cell r="L1893" t="str">
            <v>CLN/DBR/039</v>
          </cell>
          <cell r="M1893" t="str">
            <v>Y</v>
          </cell>
          <cell r="N1893" t="str">
            <v>BP005_SOW1_2021</v>
          </cell>
          <cell r="O1893" t="str">
            <v>Biopharma</v>
          </cell>
          <cell r="S1893" t="str">
            <v>Q1 Passed</v>
          </cell>
          <cell r="V1893" t="str">
            <v>Good tumor content, some explants fragmened/tiny</v>
          </cell>
          <cell r="W1893" t="str">
            <v>Clinic'les</v>
          </cell>
          <cell r="X1893" t="str">
            <v>Clinic'les- DBR &amp; SK Hospital, Tirupati</v>
          </cell>
          <cell r="Y1893" t="str">
            <v>DBR &amp; SK Hospital, Tirupati</v>
          </cell>
          <cell r="Z1893" t="str">
            <v>Dr C Jayaprakash, Tirupati</v>
          </cell>
          <cell r="AA1893" t="str">
            <v>HNSCC</v>
          </cell>
          <cell r="AC1893" t="str">
            <v>Buccal Mucosa</v>
          </cell>
          <cell r="AD1893" t="str">
            <v>Buccal Mucosa</v>
          </cell>
          <cell r="AE1893" t="str">
            <v>Female</v>
          </cell>
          <cell r="AF1893">
            <v>50</v>
          </cell>
          <cell r="AG1893" t="str">
            <v>No</v>
          </cell>
          <cell r="AI1893" t="str">
            <v>Kalappa</v>
          </cell>
          <cell r="AJ1893" t="str">
            <v>Surgery</v>
          </cell>
          <cell r="AK1893" t="str">
            <v>Primary</v>
          </cell>
          <cell r="AN1893" t="str">
            <v>III</v>
          </cell>
          <cell r="AP1893" t="str">
            <v>pT3N0Mx</v>
          </cell>
          <cell r="AS1893" t="str">
            <v>Squamous Cell Carcinoma</v>
          </cell>
          <cell r="AV1893">
            <v>44502</v>
          </cell>
          <cell r="AW1893">
            <v>0.92013888888888884</v>
          </cell>
          <cell r="AX1893">
            <v>0.98958333333333337</v>
          </cell>
          <cell r="AY1893">
            <v>6.9444444444444448E-2</v>
          </cell>
          <cell r="AZ1893">
            <v>2.0833333333333332E-2</v>
          </cell>
          <cell r="BA1893">
            <v>0.36805555555555558</v>
          </cell>
          <cell r="BB1893" t="str">
            <v>0.6*0.8*1.4
0.8*1.2*1.6
0.4*0.8*1.6</v>
          </cell>
          <cell r="BC1893" t="str">
            <v>0.6*0.8*1.4
0.8*1.2*1.6
0.4*0.8*1.6</v>
          </cell>
          <cell r="BD1893" t="str">
            <v>2*4*450</v>
          </cell>
          <cell r="BE1893">
            <v>15</v>
          </cell>
          <cell r="BF1893" t="str">
            <v>Gowri</v>
          </cell>
          <cell r="BG1893" t="str">
            <v>Q</v>
          </cell>
        </row>
        <row r="1894">
          <cell r="A1894" t="str">
            <v>FBB1D210191</v>
          </cell>
          <cell r="B1894">
            <v>210191</v>
          </cell>
          <cell r="C1894" t="str">
            <v>Biopharma</v>
          </cell>
          <cell r="D1894">
            <v>44503</v>
          </cell>
          <cell r="E1894">
            <v>0.43958333333333333</v>
          </cell>
          <cell r="F1894">
            <v>44501</v>
          </cell>
          <cell r="G1894">
            <v>44503</v>
          </cell>
          <cell r="H1894">
            <v>0.50416666666666665</v>
          </cell>
          <cell r="I1894">
            <v>6.458333333333334E-2</v>
          </cell>
          <cell r="J1894">
            <v>3</v>
          </cell>
          <cell r="K1894" t="str">
            <v>FCB-PROTOCOL-01_v1</v>
          </cell>
          <cell r="L1894" t="str">
            <v>VYD/047</v>
          </cell>
          <cell r="M1894" t="str">
            <v>Y</v>
          </cell>
          <cell r="N1894" t="str">
            <v>BP005_SOW1_2021</v>
          </cell>
          <cell r="O1894" t="str">
            <v>Biopharma</v>
          </cell>
          <cell r="S1894" t="str">
            <v>Q1 Passed</v>
          </cell>
          <cell r="V1894" t="str">
            <v>Good tumor content</v>
          </cell>
          <cell r="W1894" t="str">
            <v>Clinic'les</v>
          </cell>
          <cell r="X1894" t="str">
            <v>Clinic'les- Vydehi Hospital, Bangalore</v>
          </cell>
          <cell r="Y1894" t="str">
            <v>Vydehi Hospital, Bangalore</v>
          </cell>
          <cell r="Z1894" t="str">
            <v>Dr Amritha Prabha, Bangalore</v>
          </cell>
          <cell r="AA1894" t="str">
            <v>HNSCC</v>
          </cell>
          <cell r="AC1894" t="str">
            <v>Buccal Mucosa</v>
          </cell>
          <cell r="AD1894" t="str">
            <v>Right Buccal Mucosa</v>
          </cell>
          <cell r="AE1894" t="str">
            <v>Female</v>
          </cell>
          <cell r="AF1894">
            <v>60</v>
          </cell>
          <cell r="AG1894" t="str">
            <v>No</v>
          </cell>
          <cell r="AI1894" t="str">
            <v>Kalappa</v>
          </cell>
          <cell r="AJ1894" t="str">
            <v>Surgery</v>
          </cell>
          <cell r="AK1894" t="str">
            <v>Primary</v>
          </cell>
          <cell r="AN1894" t="str">
            <v>II</v>
          </cell>
          <cell r="AO1894">
            <v>2</v>
          </cell>
          <cell r="AP1894" t="str">
            <v>pT2N0</v>
          </cell>
          <cell r="AS1894" t="str">
            <v>Squamous Cell Carcinoma</v>
          </cell>
          <cell r="AV1894">
            <v>44503</v>
          </cell>
          <cell r="AW1894">
            <v>0.54513888888888884</v>
          </cell>
          <cell r="AX1894">
            <v>0.62847222222222221</v>
          </cell>
          <cell r="AY1894">
            <v>8.3333333333333329E-2</v>
          </cell>
          <cell r="AZ1894">
            <v>4.0972222222222222E-2</v>
          </cell>
          <cell r="BA1894">
            <v>0.10555555555555556</v>
          </cell>
          <cell r="BB1894" t="str">
            <v>1.2*1.6*1.6</v>
          </cell>
          <cell r="BC1894" t="str">
            <v>1.2*1.6*1.6</v>
          </cell>
          <cell r="BD1894" t="str">
            <v>2*4*450</v>
          </cell>
          <cell r="BE1894">
            <v>15</v>
          </cell>
          <cell r="BF1894" t="str">
            <v>Gowri</v>
          </cell>
          <cell r="BG1894" t="str">
            <v>Q</v>
          </cell>
        </row>
        <row r="1895">
          <cell r="A1895" t="str">
            <v>FBR1A210192</v>
          </cell>
          <cell r="B1895">
            <v>210192</v>
          </cell>
          <cell r="C1895" t="str">
            <v>R&amp;D</v>
          </cell>
          <cell r="D1895">
            <v>44508</v>
          </cell>
          <cell r="E1895">
            <v>0.54305555555555551</v>
          </cell>
          <cell r="F1895">
            <v>44501</v>
          </cell>
          <cell r="G1895">
            <v>44508</v>
          </cell>
          <cell r="H1895">
            <v>0.90347222222222223</v>
          </cell>
          <cell r="I1895">
            <v>0.36041666666666666</v>
          </cell>
          <cell r="J1895">
            <v>2</v>
          </cell>
          <cell r="K1895" t="str">
            <v>FCB-PROTOCOL-01_v1</v>
          </cell>
          <cell r="L1895" t="str">
            <v>CLN/DBR/040</v>
          </cell>
          <cell r="M1895" t="str">
            <v>Y</v>
          </cell>
          <cell r="N1895" t="str">
            <v>Other Indication</v>
          </cell>
          <cell r="O1895" t="str">
            <v>Internal R&amp;D</v>
          </cell>
          <cell r="S1895" t="str">
            <v>Q1 Passed</v>
          </cell>
          <cell r="V1895" t="str">
            <v>Good tumor content,pyknosis high</v>
          </cell>
          <cell r="W1895" t="str">
            <v>Clinic'les</v>
          </cell>
          <cell r="X1895" t="str">
            <v>Clinic'les- DBR &amp; SK Hospital, Tirupati</v>
          </cell>
          <cell r="Y1895" t="str">
            <v>DBR &amp; SK Hospital, Tirupati</v>
          </cell>
          <cell r="Z1895" t="str">
            <v>Dr C Jayaprakash, Tirupati</v>
          </cell>
          <cell r="AA1895" t="str">
            <v>Ca Breast</v>
          </cell>
          <cell r="AC1895" t="str">
            <v>Breast</v>
          </cell>
          <cell r="AD1895" t="str">
            <v>Breast</v>
          </cell>
          <cell r="AE1895" t="str">
            <v>Female</v>
          </cell>
          <cell r="AF1895">
            <v>47</v>
          </cell>
          <cell r="AG1895" t="str">
            <v>No</v>
          </cell>
          <cell r="AI1895" t="str">
            <v>Kalappa</v>
          </cell>
          <cell r="AJ1895" t="str">
            <v>Surgery</v>
          </cell>
          <cell r="AK1895" t="str">
            <v>Primary</v>
          </cell>
          <cell r="AL1895" t="str">
            <v>Chemotherapy</v>
          </cell>
          <cell r="AN1895" t="str">
            <v>IB</v>
          </cell>
          <cell r="AP1895" t="str">
            <v>pT1N1Mx</v>
          </cell>
          <cell r="AQ1895" t="str">
            <v>1 cycle</v>
          </cell>
          <cell r="AR1895" t="str">
            <v>Adriamycin+Cyclophosphamide</v>
          </cell>
          <cell r="AS1895" t="str">
            <v>HER2-; Adenocarcinoma of Breast</v>
          </cell>
        </row>
        <row r="1896">
          <cell r="A1896" t="str">
            <v>FBB1B210193</v>
          </cell>
          <cell r="B1896">
            <v>210193</v>
          </cell>
          <cell r="C1896" t="str">
            <v>Biopharma</v>
          </cell>
          <cell r="D1896">
            <v>44509</v>
          </cell>
          <cell r="E1896">
            <v>0.42777777777777776</v>
          </cell>
          <cell r="F1896">
            <v>44501</v>
          </cell>
          <cell r="G1896">
            <v>44509</v>
          </cell>
          <cell r="H1896">
            <v>0.53888888888888886</v>
          </cell>
          <cell r="I1896">
            <v>0.1111111111111111</v>
          </cell>
          <cell r="J1896">
            <v>2</v>
          </cell>
          <cell r="K1896" t="str">
            <v>FCB-PROTOCOL-01_v1</v>
          </cell>
          <cell r="L1896" t="str">
            <v>VYD/048</v>
          </cell>
          <cell r="M1896" t="str">
            <v>Y</v>
          </cell>
          <cell r="N1896" t="str">
            <v>BP002_SOW1_2021</v>
          </cell>
          <cell r="O1896" t="str">
            <v>Biopharma</v>
          </cell>
          <cell r="S1896" t="str">
            <v>Q1 Passed</v>
          </cell>
          <cell r="V1896" t="str">
            <v>Scanty tumor mostly with keratin perals in 5/7 explants. Necrosis, pyknosis high</v>
          </cell>
          <cell r="W1896" t="str">
            <v>Clinic'les</v>
          </cell>
          <cell r="X1896" t="str">
            <v>Clinic'les- Vydehi Hospital, Bangalore</v>
          </cell>
          <cell r="Y1896" t="str">
            <v>Vydehi Hospital, Bangalore</v>
          </cell>
          <cell r="Z1896" t="str">
            <v>Dr Amritha Prabha, Bangalore</v>
          </cell>
          <cell r="AA1896" t="str">
            <v>HNSCC</v>
          </cell>
          <cell r="AC1896" t="str">
            <v>Tongue</v>
          </cell>
          <cell r="AD1896" t="str">
            <v>Right Lateral border of tongue</v>
          </cell>
          <cell r="AE1896" t="str">
            <v>Male</v>
          </cell>
          <cell r="AF1896">
            <v>35</v>
          </cell>
          <cell r="AG1896" t="str">
            <v>No</v>
          </cell>
          <cell r="AI1896" t="str">
            <v>Kalappa</v>
          </cell>
          <cell r="AJ1896" t="str">
            <v>Surgery</v>
          </cell>
          <cell r="AK1896" t="str">
            <v>Primary</v>
          </cell>
          <cell r="AS1896" t="str">
            <v>Squamous Cell Carcinoma</v>
          </cell>
          <cell r="AV1896">
            <v>44509</v>
          </cell>
          <cell r="AW1896">
            <v>0.61458333333333337</v>
          </cell>
        </row>
        <row r="1897">
          <cell r="A1897" t="str">
            <v>FBR1L210194</v>
          </cell>
          <cell r="B1897">
            <v>210194</v>
          </cell>
          <cell r="C1897" t="str">
            <v>R&amp;D</v>
          </cell>
          <cell r="D1897">
            <v>44511</v>
          </cell>
          <cell r="E1897">
            <v>0.81180555555555556</v>
          </cell>
          <cell r="F1897">
            <v>44501</v>
          </cell>
          <cell r="G1897">
            <v>44511</v>
          </cell>
          <cell r="H1897">
            <v>0.8881944444444444</v>
          </cell>
          <cell r="I1897">
            <v>7.6388888888888895E-2</v>
          </cell>
          <cell r="J1897">
            <v>4</v>
          </cell>
          <cell r="K1897" t="str">
            <v>FCB-PROTOCOL-01_v1</v>
          </cell>
          <cell r="L1897" t="str">
            <v>CLN/PRA/01/0123</v>
          </cell>
          <cell r="M1897" t="str">
            <v>Y</v>
          </cell>
          <cell r="N1897" t="str">
            <v>Culture Extension Study</v>
          </cell>
          <cell r="O1897" t="str">
            <v>Internal R&amp;D</v>
          </cell>
          <cell r="S1897" t="str">
            <v>Q1 Rejected</v>
          </cell>
          <cell r="U1897" t="str">
            <v>Blood sample was clotted</v>
          </cell>
          <cell r="V1897" t="str">
            <v xml:space="preserve">Overall moderate tumor content with high immune component.Some explants fragmented  </v>
          </cell>
          <cell r="W1897" t="str">
            <v>Clinic'les</v>
          </cell>
          <cell r="X1897" t="str">
            <v>Clinic'les- Dr Prakash BV, Bangalore</v>
          </cell>
          <cell r="Y1897" t="str">
            <v>Sri Lakshmi Hospital, Bangalore</v>
          </cell>
          <cell r="Z1897" t="str">
            <v>Dr Prakash BV, Bangalore</v>
          </cell>
          <cell r="AA1897" t="str">
            <v>HNSCC</v>
          </cell>
          <cell r="AC1897" t="str">
            <v>Buccal Mucosa</v>
          </cell>
          <cell r="AD1897" t="str">
            <v>Right Buccal Mucosa</v>
          </cell>
          <cell r="AE1897" t="str">
            <v>Female</v>
          </cell>
          <cell r="AF1897">
            <v>65</v>
          </cell>
          <cell r="AG1897" t="str">
            <v>No</v>
          </cell>
          <cell r="AI1897" t="str">
            <v>Kalappa</v>
          </cell>
          <cell r="AJ1897" t="str">
            <v>Surgery</v>
          </cell>
          <cell r="AK1897" t="str">
            <v>Primary</v>
          </cell>
          <cell r="AN1897" t="str">
            <v>II</v>
          </cell>
          <cell r="AO1897" t="str">
            <v>II</v>
          </cell>
          <cell r="AP1897" t="str">
            <v>pT2N0M0</v>
          </cell>
          <cell r="AS1897" t="str">
            <v>Squamous Cell Carcinoma</v>
          </cell>
          <cell r="AV1897">
            <v>44511</v>
          </cell>
          <cell r="AW1897">
            <v>0.90972222222222221</v>
          </cell>
          <cell r="AX1897">
            <v>1.3888888888888888E-2</v>
          </cell>
          <cell r="BB1897" t="str">
            <v>1.0*1.0*2.8
1.1*1.6*2.8</v>
          </cell>
          <cell r="BD1897" t="str">
            <v>2*2*2</v>
          </cell>
          <cell r="BE1897">
            <v>15</v>
          </cell>
          <cell r="BF1897" t="str">
            <v>Vasanth/Manimaran</v>
          </cell>
          <cell r="BG1897" t="str">
            <v>NQ</v>
          </cell>
        </row>
        <row r="1898">
          <cell r="A1898" t="str">
            <v>FBR1L210195</v>
          </cell>
          <cell r="B1898">
            <v>210195</v>
          </cell>
          <cell r="C1898" t="str">
            <v>R&amp;D</v>
          </cell>
          <cell r="D1898">
            <v>44511</v>
          </cell>
          <cell r="E1898">
            <v>0.64027777777777772</v>
          </cell>
          <cell r="F1898">
            <v>44501</v>
          </cell>
          <cell r="G1898">
            <v>44512</v>
          </cell>
          <cell r="H1898">
            <v>0.12916666666666668</v>
          </cell>
          <cell r="I1898">
            <v>0.48888888888888887</v>
          </cell>
          <cell r="J1898">
            <v>2</v>
          </cell>
          <cell r="K1898" t="str">
            <v>FCB-PROTOCOL-01_v1</v>
          </cell>
          <cell r="L1898" t="str">
            <v>CLN/DBR/041</v>
          </cell>
          <cell r="M1898" t="str">
            <v>Y</v>
          </cell>
          <cell r="O1898" t="str">
            <v>Internal R&amp;D</v>
          </cell>
          <cell r="S1898" t="str">
            <v>Q1 Passed</v>
          </cell>
          <cell r="V1898" t="str">
            <v>Good tumor content</v>
          </cell>
          <cell r="W1898" t="str">
            <v>Clinic'les</v>
          </cell>
          <cell r="X1898" t="str">
            <v>Clinic'les- DBR &amp; SK Hospital, Tirupati</v>
          </cell>
          <cell r="Y1898" t="str">
            <v>DBR &amp; SK Hospital, Tirupati</v>
          </cell>
          <cell r="Z1898" t="str">
            <v>Dr C Jayaprakash, Tirupati</v>
          </cell>
          <cell r="AA1898" t="str">
            <v>HNSCC</v>
          </cell>
          <cell r="AC1898" t="str">
            <v>Buccal Mucosa</v>
          </cell>
          <cell r="AD1898" t="str">
            <v>Buccal Mucosa</v>
          </cell>
          <cell r="AE1898" t="str">
            <v>Female</v>
          </cell>
          <cell r="AF1898">
            <v>45</v>
          </cell>
          <cell r="AG1898" t="str">
            <v>No</v>
          </cell>
          <cell r="AI1898" t="str">
            <v>Sashi</v>
          </cell>
          <cell r="AJ1898" t="str">
            <v>Surgery</v>
          </cell>
          <cell r="AK1898" t="str">
            <v>Primary</v>
          </cell>
          <cell r="AN1898" t="str">
            <v>III</v>
          </cell>
          <cell r="AP1898" t="str">
            <v>pT3N0Mx</v>
          </cell>
          <cell r="AS1898" t="str">
            <v>Squamous Cell Carcinoma</v>
          </cell>
          <cell r="AV1898">
            <v>44512</v>
          </cell>
          <cell r="AW1898">
            <v>0.40972222222222221</v>
          </cell>
          <cell r="AX1898">
            <v>0.52083333333333337</v>
          </cell>
          <cell r="BF1898" t="str">
            <v>GS</v>
          </cell>
          <cell r="BG1898" t="str">
            <v>Q</v>
          </cell>
        </row>
        <row r="1899">
          <cell r="A1899" t="str">
            <v>FBR1M210196</v>
          </cell>
          <cell r="B1899">
            <v>210196</v>
          </cell>
          <cell r="C1899" t="str">
            <v>R&amp;D</v>
          </cell>
          <cell r="D1899">
            <v>44512</v>
          </cell>
          <cell r="E1899">
            <v>0.84513888888888888</v>
          </cell>
          <cell r="F1899">
            <v>44501</v>
          </cell>
          <cell r="G1899">
            <v>44512</v>
          </cell>
          <cell r="H1899">
            <v>0.93541666666666667</v>
          </cell>
          <cell r="I1899">
            <v>9.0277777777777776E-2</v>
          </cell>
          <cell r="J1899">
            <v>2</v>
          </cell>
          <cell r="K1899" t="str">
            <v>FCB-PROTOCOL-01_v1</v>
          </cell>
          <cell r="L1899" t="str">
            <v>CLN/PRA/01/0124</v>
          </cell>
          <cell r="M1899" t="str">
            <v>Y</v>
          </cell>
          <cell r="N1899" t="str">
            <v>DMS_RCC</v>
          </cell>
          <cell r="O1899" t="str">
            <v>Internal R&amp;D</v>
          </cell>
          <cell r="S1899" t="str">
            <v>Q1 Passed</v>
          </cell>
          <cell r="V1899" t="str">
            <v xml:space="preserve">Good tumor content ? Chromophobe RCC </v>
          </cell>
          <cell r="W1899" t="str">
            <v>Clinic'les</v>
          </cell>
          <cell r="X1899" t="str">
            <v>Clinic'les- Dr Prakash BV, Bangalore</v>
          </cell>
          <cell r="Y1899" t="str">
            <v>Sri Lakshmi Hospital, Bangalore</v>
          </cell>
          <cell r="Z1899" t="str">
            <v>Dr Prakash BV, Bangalore</v>
          </cell>
          <cell r="AA1899" t="str">
            <v>RCC</v>
          </cell>
          <cell r="AC1899" t="str">
            <v>Kidney</v>
          </cell>
          <cell r="AD1899" t="str">
            <v>Left Kidney</v>
          </cell>
          <cell r="AE1899" t="str">
            <v>Female</v>
          </cell>
          <cell r="AF1899">
            <v>50</v>
          </cell>
          <cell r="AG1899" t="str">
            <v>No</v>
          </cell>
          <cell r="AI1899" t="str">
            <v>Kalappa</v>
          </cell>
          <cell r="AJ1899" t="str">
            <v>Surgery</v>
          </cell>
          <cell r="AK1899" t="str">
            <v>Primary</v>
          </cell>
          <cell r="AN1899" t="str">
            <v>II</v>
          </cell>
          <cell r="AO1899" t="str">
            <v>I</v>
          </cell>
          <cell r="AP1899" t="str">
            <v>pT2N0M0</v>
          </cell>
          <cell r="AS1899" t="str">
            <v>Renal Cell Carcinoma</v>
          </cell>
          <cell r="AV1899">
            <v>44513</v>
          </cell>
          <cell r="AW1899">
            <v>0.38194444444444442</v>
          </cell>
          <cell r="AX1899">
            <v>0.47916666666666669</v>
          </cell>
          <cell r="BB1899" t="str">
            <v>1.0*2.6*4.8</v>
          </cell>
          <cell r="BD1899" t="str">
            <v>2*4*450</v>
          </cell>
          <cell r="BE1899">
            <v>15</v>
          </cell>
          <cell r="BF1899" t="str">
            <v>GS</v>
          </cell>
          <cell r="BG1899" t="str">
            <v>Q</v>
          </cell>
        </row>
        <row r="1900">
          <cell r="A1900" t="str">
            <v>FBR1L210197</v>
          </cell>
          <cell r="B1900">
            <v>210197</v>
          </cell>
          <cell r="C1900" t="str">
            <v>R&amp;D</v>
          </cell>
          <cell r="D1900">
            <v>44512</v>
          </cell>
          <cell r="E1900">
            <v>0.43888888888888888</v>
          </cell>
          <cell r="F1900">
            <v>44501</v>
          </cell>
          <cell r="G1900">
            <v>44512</v>
          </cell>
          <cell r="H1900">
            <v>0.98958333333333337</v>
          </cell>
          <cell r="I1900">
            <v>0.55069444444444449</v>
          </cell>
          <cell r="J1900">
            <v>2</v>
          </cell>
          <cell r="K1900" t="str">
            <v>FCB-PROTOCOL-01_v1</v>
          </cell>
          <cell r="L1900" t="str">
            <v>CLN/PRA/01/0125</v>
          </cell>
          <cell r="M1900" t="str">
            <v>Y</v>
          </cell>
          <cell r="N1900" t="str">
            <v>Culture Extension Study</v>
          </cell>
          <cell r="O1900" t="str">
            <v>Internal R&amp;D</v>
          </cell>
          <cell r="S1900" t="str">
            <v>Q1 Passed</v>
          </cell>
          <cell r="V1900" t="str">
            <v>Good tumor content</v>
          </cell>
          <cell r="W1900" t="str">
            <v>Clinic'les</v>
          </cell>
          <cell r="X1900" t="str">
            <v>Clinic'les- Dr Prakash BV, Bangalore</v>
          </cell>
          <cell r="Y1900" t="str">
            <v>Sri Lakshmi Hospital, Bangalore</v>
          </cell>
          <cell r="Z1900" t="str">
            <v>Dr Prakash BV, Bangalore</v>
          </cell>
          <cell r="AA1900" t="str">
            <v>HNSCC</v>
          </cell>
          <cell r="AC1900" t="str">
            <v>Buccal Mucosa</v>
          </cell>
          <cell r="AD1900" t="str">
            <v>Right Buccal Mucosa</v>
          </cell>
          <cell r="AE1900" t="str">
            <v>Female</v>
          </cell>
          <cell r="AF1900">
            <v>60</v>
          </cell>
          <cell r="AG1900" t="str">
            <v>No</v>
          </cell>
          <cell r="AI1900" t="str">
            <v>Sashi</v>
          </cell>
          <cell r="AJ1900" t="str">
            <v>Surgery</v>
          </cell>
          <cell r="AK1900" t="str">
            <v>Primary</v>
          </cell>
          <cell r="AN1900" t="str">
            <v>II</v>
          </cell>
          <cell r="AO1900" t="str">
            <v>I</v>
          </cell>
          <cell r="AP1900" t="str">
            <v>pT2N0M0</v>
          </cell>
          <cell r="AS1900" t="str">
            <v>Squamous Cell Carcinoma</v>
          </cell>
          <cell r="AV1900">
            <v>44513</v>
          </cell>
          <cell r="AX1900">
            <v>0.52430555555555558</v>
          </cell>
          <cell r="BB1900" t="str">
            <v>0.6*1.2*2.2
0.7*1.6*2.0</v>
          </cell>
          <cell r="BD1900" t="str">
            <v>Vibrotome</v>
          </cell>
          <cell r="BE1900">
            <v>15</v>
          </cell>
          <cell r="BF1900" t="str">
            <v>VK</v>
          </cell>
          <cell r="BG1900" t="str">
            <v>Q</v>
          </cell>
        </row>
        <row r="1901">
          <cell r="A1901" t="str">
            <v>FBB1D210198</v>
          </cell>
          <cell r="B1901">
            <v>210198</v>
          </cell>
          <cell r="C1901" t="str">
            <v>Biopharma</v>
          </cell>
          <cell r="D1901">
            <v>44513</v>
          </cell>
          <cell r="E1901">
            <v>0.52222222222222225</v>
          </cell>
          <cell r="F1901">
            <v>44501</v>
          </cell>
          <cell r="G1901">
            <v>44513</v>
          </cell>
          <cell r="H1901">
            <v>0.98124999999999996</v>
          </cell>
          <cell r="I1901">
            <v>0.45902777777777776</v>
          </cell>
          <cell r="J1901">
            <v>2</v>
          </cell>
          <cell r="K1901" t="str">
            <v>FCB-PROTOCOL-01_v1</v>
          </cell>
          <cell r="L1901" t="str">
            <v>CLN/DBR/042</v>
          </cell>
          <cell r="M1901" t="str">
            <v>Y</v>
          </cell>
          <cell r="N1901" t="str">
            <v>BP005_SOW1_2021</v>
          </cell>
          <cell r="O1901" t="str">
            <v>Biopharma</v>
          </cell>
          <cell r="S1901" t="str">
            <v>Q1 Passed</v>
          </cell>
          <cell r="V1901" t="str">
            <v>Good tumor content</v>
          </cell>
          <cell r="W1901" t="str">
            <v>Clinic'les</v>
          </cell>
          <cell r="X1901" t="str">
            <v>Clinic'les- DBR &amp; SK Hospital, Tirupati</v>
          </cell>
          <cell r="Y1901" t="str">
            <v>DBR &amp; SK Hospital, Tirupati</v>
          </cell>
          <cell r="Z1901" t="str">
            <v>Dr C Jayaprakash, Tirupati</v>
          </cell>
          <cell r="AA1901" t="str">
            <v>HNSCC</v>
          </cell>
          <cell r="AC1901" t="str">
            <v>Buccal Mucosa</v>
          </cell>
          <cell r="AD1901" t="str">
            <v>Buccal Mucosa</v>
          </cell>
          <cell r="AE1901" t="str">
            <v>Female</v>
          </cell>
          <cell r="AF1901">
            <v>70</v>
          </cell>
          <cell r="AG1901" t="str">
            <v>No</v>
          </cell>
          <cell r="AI1901" t="str">
            <v>Sashi</v>
          </cell>
          <cell r="AJ1901" t="str">
            <v>Surgery</v>
          </cell>
          <cell r="AK1901" t="str">
            <v>Primary</v>
          </cell>
          <cell r="AN1901" t="str">
            <v>IVB</v>
          </cell>
          <cell r="AP1901" t="str">
            <v>pT3N3Mx</v>
          </cell>
          <cell r="AS1901" t="str">
            <v>Squamous Cell Carcinoma</v>
          </cell>
          <cell r="AV1901">
            <v>44513</v>
          </cell>
          <cell r="AW1901">
            <v>0.99444444444444446</v>
          </cell>
          <cell r="AX1901">
            <v>7.6388888888888895E-2</v>
          </cell>
          <cell r="BB1901" t="str">
            <v>1.2*1.4*3.0</v>
          </cell>
          <cell r="BD1901" t="str">
            <v>Vibrotome</v>
          </cell>
          <cell r="BE1901">
            <v>15</v>
          </cell>
          <cell r="BF1901" t="str">
            <v>GS</v>
          </cell>
          <cell r="BG1901" t="str">
            <v>Q</v>
          </cell>
        </row>
        <row r="1902">
          <cell r="A1902" t="str">
            <v>FBB1B210199</v>
          </cell>
          <cell r="B1902">
            <v>210199</v>
          </cell>
          <cell r="C1902" t="str">
            <v>Biopharma</v>
          </cell>
          <cell r="D1902">
            <v>44515</v>
          </cell>
          <cell r="E1902">
            <v>0.98750000000000004</v>
          </cell>
          <cell r="F1902">
            <v>44501</v>
          </cell>
          <cell r="G1902">
            <v>44515</v>
          </cell>
          <cell r="H1902">
            <v>3.4722222222222224E-2</v>
          </cell>
          <cell r="I1902">
            <v>4.7222222222222221E-2</v>
          </cell>
          <cell r="J1902">
            <v>7</v>
          </cell>
          <cell r="K1902" t="str">
            <v>FCB-PROTOCOL-01_v1</v>
          </cell>
          <cell r="L1902" t="str">
            <v>CLN/PRA/01/0126</v>
          </cell>
          <cell r="M1902" t="str">
            <v>Y</v>
          </cell>
          <cell r="N1902" t="str">
            <v>BP002_SOW1_2021</v>
          </cell>
          <cell r="O1902" t="str">
            <v>Biopharma</v>
          </cell>
          <cell r="S1902" t="str">
            <v>Q1 Passed</v>
          </cell>
          <cell r="V1902" t="str">
            <v>Good tumor content</v>
          </cell>
          <cell r="W1902" t="str">
            <v>Clinic'les</v>
          </cell>
          <cell r="X1902" t="str">
            <v>Clinic'les- Dr Prakash BV, Bangalore</v>
          </cell>
          <cell r="Y1902" t="str">
            <v>Sri Lakshmi Hospital, Bangalore</v>
          </cell>
          <cell r="Z1902" t="str">
            <v>Dr Prakash BV, Bangalore</v>
          </cell>
          <cell r="AA1902" t="str">
            <v>HNSCC</v>
          </cell>
          <cell r="AC1902" t="str">
            <v>GBS</v>
          </cell>
          <cell r="AD1902" t="str">
            <v>Left Upper GBS</v>
          </cell>
          <cell r="AE1902" t="str">
            <v>Female</v>
          </cell>
          <cell r="AF1902">
            <v>33</v>
          </cell>
          <cell r="AG1902" t="str">
            <v>No</v>
          </cell>
          <cell r="AI1902" t="str">
            <v>Kalappa</v>
          </cell>
          <cell r="AJ1902" t="str">
            <v>Surgery</v>
          </cell>
          <cell r="AK1902" t="str">
            <v>Primary</v>
          </cell>
          <cell r="AN1902" t="str">
            <v>II</v>
          </cell>
          <cell r="AO1902" t="str">
            <v>I</v>
          </cell>
          <cell r="AP1902" t="str">
            <v>pT2N0M0</v>
          </cell>
          <cell r="AS1902" t="str">
            <v>Squamous Cell Carcinoma</v>
          </cell>
          <cell r="AV1902">
            <v>44516</v>
          </cell>
          <cell r="AW1902">
            <v>0.46875</v>
          </cell>
          <cell r="AX1902">
            <v>0.55208333333333337</v>
          </cell>
          <cell r="AY1902">
            <v>8.3333333333333329E-2</v>
          </cell>
          <cell r="AZ1902">
            <v>0.43402777777777779</v>
          </cell>
          <cell r="BA1902">
            <v>0.48125000000000001</v>
          </cell>
          <cell r="BB1902" t="str">
            <v>0.8*1.6*2.4</v>
          </cell>
          <cell r="BC1902" t="str">
            <v>0.8*1.6*2.4</v>
          </cell>
          <cell r="BD1902" t="str">
            <v>2*4*450</v>
          </cell>
          <cell r="BE1902">
            <v>15</v>
          </cell>
          <cell r="BF1902" t="str">
            <v>Kowshik</v>
          </cell>
          <cell r="BG1902" t="str">
            <v>Q</v>
          </cell>
        </row>
        <row r="1903">
          <cell r="A1903" t="str">
            <v>FBR1L210200</v>
          </cell>
          <cell r="B1903">
            <v>210200</v>
          </cell>
          <cell r="C1903" t="str">
            <v>R&amp;D</v>
          </cell>
          <cell r="D1903">
            <v>44516</v>
          </cell>
          <cell r="E1903">
            <v>0.57986111111111116</v>
          </cell>
          <cell r="F1903">
            <v>44501</v>
          </cell>
          <cell r="G1903">
            <v>44516</v>
          </cell>
          <cell r="H1903">
            <v>0.64097222222222228</v>
          </cell>
          <cell r="I1903">
            <v>6.1111111111111109E-2</v>
          </cell>
          <cell r="J1903">
            <v>3</v>
          </cell>
          <cell r="K1903" t="str">
            <v>FCB-PROTOCOL-01_v1</v>
          </cell>
          <cell r="L1903" t="str">
            <v>CLN/PRA/01/0127</v>
          </cell>
          <cell r="M1903" t="str">
            <v>Y</v>
          </cell>
          <cell r="N1903" t="str">
            <v>Culture Extension Study</v>
          </cell>
          <cell r="O1903" t="str">
            <v>Internal R&amp;D</v>
          </cell>
          <cell r="S1903" t="str">
            <v>Q1 Passed</v>
          </cell>
          <cell r="V1903" t="str">
            <v>Good tumor content. Necrosis present in some explants.? Bacterial colonies at the periphery in some explants</v>
          </cell>
          <cell r="W1903" t="str">
            <v>Clinic'les</v>
          </cell>
          <cell r="X1903" t="str">
            <v>Clinic'les- Dr Prakash BV, Bangalore</v>
          </cell>
          <cell r="Y1903" t="str">
            <v>Sri Lakshmi Hospital, Bangalore</v>
          </cell>
          <cell r="Z1903" t="str">
            <v>Dr Prakash BV, Bangalore</v>
          </cell>
          <cell r="AA1903" t="str">
            <v>HNSCC</v>
          </cell>
          <cell r="AC1903" t="str">
            <v>RMT</v>
          </cell>
          <cell r="AD1903" t="str">
            <v>Left RMT</v>
          </cell>
          <cell r="AE1903" t="str">
            <v>Female</v>
          </cell>
          <cell r="AF1903">
            <v>50</v>
          </cell>
          <cell r="AG1903" t="str">
            <v>No</v>
          </cell>
          <cell r="AI1903" t="str">
            <v>Kalappa</v>
          </cell>
          <cell r="AJ1903" t="str">
            <v>Surgery</v>
          </cell>
          <cell r="AK1903" t="str">
            <v>Primary</v>
          </cell>
          <cell r="AN1903" t="str">
            <v>IVA</v>
          </cell>
          <cell r="AO1903" t="str">
            <v>III</v>
          </cell>
          <cell r="AP1903" t="str">
            <v>pT4aN0M0</v>
          </cell>
          <cell r="AS1903" t="str">
            <v>Squamous Cell Carcinoma</v>
          </cell>
          <cell r="AT1903" t="str">
            <v>Radiotherapy</v>
          </cell>
          <cell r="AV1903">
            <v>44516</v>
          </cell>
          <cell r="AX1903">
            <v>0.7583333333333333</v>
          </cell>
          <cell r="BB1903" t="str">
            <v>0.6*1.2*2.0</v>
          </cell>
          <cell r="BC1903" t="str">
            <v>0.6*1.2*2.0</v>
          </cell>
          <cell r="BD1903" t="str">
            <v>Vibrotome</v>
          </cell>
          <cell r="BE1903">
            <v>15</v>
          </cell>
          <cell r="BF1903" t="str">
            <v>GS</v>
          </cell>
          <cell r="BG1903" t="str">
            <v>Q</v>
          </cell>
        </row>
        <row r="1904">
          <cell r="A1904" t="str">
            <v>FBR1L210201</v>
          </cell>
          <cell r="B1904">
            <v>210201</v>
          </cell>
          <cell r="C1904" t="str">
            <v>R&amp;D</v>
          </cell>
          <cell r="D1904">
            <v>44516</v>
          </cell>
          <cell r="E1904">
            <v>0.55000000000000004</v>
          </cell>
          <cell r="F1904">
            <v>44501</v>
          </cell>
          <cell r="G1904">
            <v>44516</v>
          </cell>
          <cell r="H1904">
            <v>2.7777777777777776E-2</v>
          </cell>
          <cell r="I1904">
            <v>0.4777777777777778</v>
          </cell>
          <cell r="J1904">
            <v>2</v>
          </cell>
          <cell r="K1904" t="str">
            <v>FCB-PROTOCOL-01_v1</v>
          </cell>
          <cell r="L1904" t="str">
            <v>CLN/DBR/043</v>
          </cell>
          <cell r="M1904" t="str">
            <v>Y</v>
          </cell>
          <cell r="N1904" t="str">
            <v>Culture Extension Study</v>
          </cell>
          <cell r="O1904" t="str">
            <v>Internal R&amp;D</v>
          </cell>
          <cell r="S1904" t="str">
            <v>Q1 Passed</v>
          </cell>
          <cell r="V1904" t="str">
            <v>Moderate tumor content with high immune component</v>
          </cell>
          <cell r="W1904" t="str">
            <v>Clinic'les</v>
          </cell>
          <cell r="X1904" t="str">
            <v>Clinic'les- DBR &amp; SK Hospital, Tirupati</v>
          </cell>
          <cell r="Y1904" t="str">
            <v>DBR &amp; SK Hospital, Tirupati</v>
          </cell>
          <cell r="Z1904" t="str">
            <v>Dr C Jayaprakash, Tirupati</v>
          </cell>
          <cell r="AA1904" t="str">
            <v>HNSCC</v>
          </cell>
          <cell r="AC1904" t="str">
            <v>Oral Cavity</v>
          </cell>
          <cell r="AD1904" t="str">
            <v>Oral Cavity</v>
          </cell>
          <cell r="AE1904" t="str">
            <v>Male</v>
          </cell>
          <cell r="AF1904">
            <v>45</v>
          </cell>
          <cell r="AG1904" t="str">
            <v>No</v>
          </cell>
          <cell r="AI1904" t="str">
            <v>Sashi</v>
          </cell>
          <cell r="AJ1904" t="str">
            <v>Surgery</v>
          </cell>
          <cell r="AK1904" t="str">
            <v>Primary</v>
          </cell>
          <cell r="AN1904" t="str">
            <v>IVA</v>
          </cell>
          <cell r="AP1904" t="str">
            <v>pT3N2Mx</v>
          </cell>
          <cell r="AS1904" t="str">
            <v>Squamous Cell Carcinoma</v>
          </cell>
          <cell r="AV1904">
            <v>44517</v>
          </cell>
          <cell r="AW1904">
            <v>0.34722222222222221</v>
          </cell>
          <cell r="AX1904">
            <v>0.39583333333333331</v>
          </cell>
          <cell r="BB1904" t="str">
            <v>0.8*0.8*1.6</v>
          </cell>
          <cell r="BC1904" t="str">
            <v>0.8*0.8*1.6</v>
          </cell>
          <cell r="BD1904" t="str">
            <v>Vibrotome</v>
          </cell>
          <cell r="BE1904">
            <v>15</v>
          </cell>
          <cell r="BF1904" t="str">
            <v>VK</v>
          </cell>
          <cell r="BG1904" t="str">
            <v>Q</v>
          </cell>
        </row>
        <row r="1905">
          <cell r="A1905" t="str">
            <v>FBR1M210202</v>
          </cell>
          <cell r="B1905">
            <v>210202</v>
          </cell>
          <cell r="C1905" t="str">
            <v>R&amp;D</v>
          </cell>
          <cell r="D1905">
            <v>44517</v>
          </cell>
          <cell r="E1905">
            <v>0.89027777777777772</v>
          </cell>
          <cell r="F1905">
            <v>44501</v>
          </cell>
          <cell r="G1905">
            <v>44518</v>
          </cell>
          <cell r="H1905">
            <v>3.125E-2</v>
          </cell>
          <cell r="I1905">
            <v>0.14097222222222222</v>
          </cell>
          <cell r="J1905">
            <v>7</v>
          </cell>
          <cell r="K1905" t="str">
            <v>FCB-PROTOCOL-01_v1</v>
          </cell>
          <cell r="L1905" t="str">
            <v>CLN/PRA/01/0128</v>
          </cell>
          <cell r="M1905" t="str">
            <v>Y</v>
          </cell>
          <cell r="N1905" t="str">
            <v>DMS_RCC</v>
          </cell>
          <cell r="O1905" t="str">
            <v>Internal R&amp;D</v>
          </cell>
          <cell r="S1905" t="str">
            <v>Q1 Passed</v>
          </cell>
          <cell r="V1905" t="str">
            <v>Good tumor content; Paillary RCC Type 2</v>
          </cell>
          <cell r="W1905" t="str">
            <v>Clinic'les</v>
          </cell>
          <cell r="X1905" t="str">
            <v>Clinic'les- Dr Prakash BV, Bangalore</v>
          </cell>
          <cell r="Y1905" t="str">
            <v>Sri Lakshmi Hospital, Bangalore</v>
          </cell>
          <cell r="Z1905" t="str">
            <v>Dr Prakash BV, Bangalore</v>
          </cell>
          <cell r="AA1905" t="str">
            <v>RCC</v>
          </cell>
          <cell r="AC1905" t="str">
            <v>Kidney</v>
          </cell>
          <cell r="AD1905" t="str">
            <v>Left Kidney</v>
          </cell>
          <cell r="AE1905" t="str">
            <v>Female</v>
          </cell>
          <cell r="AF1905">
            <v>56</v>
          </cell>
          <cell r="AG1905" t="str">
            <v>No</v>
          </cell>
          <cell r="AI1905" t="str">
            <v>Partha</v>
          </cell>
          <cell r="AJ1905" t="str">
            <v>Surgery</v>
          </cell>
          <cell r="AK1905" t="str">
            <v>Primary</v>
          </cell>
          <cell r="AN1905" t="str">
            <v>II</v>
          </cell>
          <cell r="AO1905" t="str">
            <v>II</v>
          </cell>
          <cell r="AP1905" t="str">
            <v>pT2N0M0</v>
          </cell>
          <cell r="AS1905" t="str">
            <v>Clear Cell Carcinoma
Dr Ritu's comment- Papillary</v>
          </cell>
          <cell r="AV1905">
            <v>44518</v>
          </cell>
          <cell r="AW1905">
            <v>0.40277777777777779</v>
          </cell>
          <cell r="AX1905">
            <v>0.45833333333333331</v>
          </cell>
          <cell r="BB1905" t="str">
            <v>0.8*1.2*1.2</v>
          </cell>
          <cell r="BC1905" t="str">
            <v>0.8*1.2*1.2</v>
          </cell>
          <cell r="BD1905" t="str">
            <v>2*4*450</v>
          </cell>
          <cell r="BE1905">
            <v>15</v>
          </cell>
          <cell r="BF1905" t="str">
            <v>KJ</v>
          </cell>
          <cell r="BG1905" t="str">
            <v>Q</v>
          </cell>
        </row>
        <row r="1906">
          <cell r="A1906" t="str">
            <v>FBB1C210203</v>
          </cell>
          <cell r="B1906">
            <v>210203</v>
          </cell>
          <cell r="C1906" t="str">
            <v>Biopharma</v>
          </cell>
          <cell r="D1906">
            <v>44517</v>
          </cell>
          <cell r="E1906">
            <v>0.97013888888888888</v>
          </cell>
          <cell r="F1906">
            <v>44501</v>
          </cell>
          <cell r="G1906">
            <v>44518</v>
          </cell>
          <cell r="H1906">
            <v>3.125E-2</v>
          </cell>
          <cell r="I1906">
            <v>6.1111111111111109E-2</v>
          </cell>
          <cell r="J1906">
            <v>7</v>
          </cell>
          <cell r="K1906" t="str">
            <v>FCB-PROTOCOL-01_v1</v>
          </cell>
          <cell r="L1906" t="str">
            <v>CLN/PRA/01/0129</v>
          </cell>
          <cell r="M1906" t="str">
            <v>Y</v>
          </cell>
          <cell r="N1906" t="str">
            <v>BP004_SOW1_2021</v>
          </cell>
          <cell r="O1906" t="str">
            <v>Biopharma</v>
          </cell>
          <cell r="S1906" t="str">
            <v>Q1 Passed</v>
          </cell>
          <cell r="V1906" t="str">
            <v>5% tumor in only 1 explant</v>
          </cell>
          <cell r="W1906" t="str">
            <v>Clinic'les</v>
          </cell>
          <cell r="X1906" t="str">
            <v>Clinic'les- Dr Prakash BV, Bangalore</v>
          </cell>
          <cell r="Y1906" t="str">
            <v>Sri Lakshmi Hospital, Bangalore</v>
          </cell>
          <cell r="Z1906" t="str">
            <v>Dr Prakash BV, Bangalore</v>
          </cell>
          <cell r="AA1906" t="str">
            <v>GI</v>
          </cell>
          <cell r="AB1906" t="str">
            <v>Stomach</v>
          </cell>
          <cell r="AC1906" t="str">
            <v>Stomach</v>
          </cell>
          <cell r="AD1906" t="str">
            <v>Fundus of Stomach</v>
          </cell>
          <cell r="AE1906" t="str">
            <v>Female</v>
          </cell>
          <cell r="AF1906">
            <v>45</v>
          </cell>
          <cell r="AG1906" t="str">
            <v>No</v>
          </cell>
          <cell r="AI1906" t="str">
            <v>Partha</v>
          </cell>
          <cell r="AJ1906" t="str">
            <v>Surgery</v>
          </cell>
          <cell r="AK1906" t="str">
            <v>Primary</v>
          </cell>
          <cell r="AN1906" t="str">
            <v>III</v>
          </cell>
          <cell r="AO1906" t="str">
            <v>II</v>
          </cell>
          <cell r="AP1906" t="str">
            <v>pT2N0M0</v>
          </cell>
          <cell r="AS1906" t="str">
            <v>Adenocarcinoma</v>
          </cell>
          <cell r="AV1906">
            <v>44518</v>
          </cell>
          <cell r="AW1906">
            <v>0.3923611111111111</v>
          </cell>
          <cell r="AX1906">
            <v>0.45833333333333331</v>
          </cell>
          <cell r="AY1906">
            <v>6.5972222222222224E-2</v>
          </cell>
          <cell r="AZ1906">
            <v>0.3611111111111111</v>
          </cell>
          <cell r="BA1906">
            <v>0.42222222222222222</v>
          </cell>
          <cell r="BB1906" t="str">
            <v>0.6*2.0*3.2</v>
          </cell>
          <cell r="BC1906" t="str">
            <v>0.6*2.0*3.2</v>
          </cell>
          <cell r="BD1906" t="str">
            <v>2*2*2</v>
          </cell>
          <cell r="BE1906">
            <v>15</v>
          </cell>
          <cell r="BF1906" t="str">
            <v>Gowri</v>
          </cell>
          <cell r="BG1906" t="str">
            <v>Q</v>
          </cell>
        </row>
        <row r="1907">
          <cell r="A1907" t="str">
            <v>FBB1B210204</v>
          </cell>
          <cell r="B1907">
            <v>210204</v>
          </cell>
          <cell r="C1907" t="str">
            <v>Biopharma</v>
          </cell>
          <cell r="D1907">
            <v>44518</v>
          </cell>
          <cell r="E1907">
            <v>0.9291666666666667</v>
          </cell>
          <cell r="F1907">
            <v>44501</v>
          </cell>
          <cell r="G1907">
            <v>44519</v>
          </cell>
          <cell r="H1907">
            <v>2.7777777777777776E-2</v>
          </cell>
          <cell r="I1907">
            <v>9.8611111111111108E-2</v>
          </cell>
          <cell r="J1907">
            <v>3</v>
          </cell>
          <cell r="K1907" t="str">
            <v>FCB-PROTOCOL-01_v1</v>
          </cell>
          <cell r="L1907" t="str">
            <v>CLN/PRA/01/0130</v>
          </cell>
          <cell r="M1907" t="str">
            <v>Y</v>
          </cell>
          <cell r="N1907" t="str">
            <v>BP002_SOW1_2021</v>
          </cell>
          <cell r="O1907" t="str">
            <v>Biopharma</v>
          </cell>
          <cell r="S1907" t="str">
            <v>Q1 Passed</v>
          </cell>
          <cell r="V1907" t="str">
            <v>Scanty to moderate tumor content with high immune component</v>
          </cell>
          <cell r="W1907" t="str">
            <v>Clinic'les</v>
          </cell>
          <cell r="X1907" t="str">
            <v>Clinic'les- Dr Prakash BV, Bangalore</v>
          </cell>
          <cell r="Y1907" t="str">
            <v>Sri Lakshmi Hospital, Bangalore</v>
          </cell>
          <cell r="Z1907" t="str">
            <v>Dr Prakash BV, Bangalore</v>
          </cell>
          <cell r="AA1907" t="str">
            <v>HNSCC</v>
          </cell>
          <cell r="AC1907" t="str">
            <v>GBS</v>
          </cell>
          <cell r="AD1907" t="str">
            <v>Right Lower GBS</v>
          </cell>
          <cell r="AE1907" t="str">
            <v>Female</v>
          </cell>
          <cell r="AF1907">
            <v>60</v>
          </cell>
          <cell r="AG1907" t="str">
            <v>No</v>
          </cell>
          <cell r="AI1907" t="str">
            <v>Kalappa</v>
          </cell>
          <cell r="AJ1907" t="str">
            <v>Surgery</v>
          </cell>
          <cell r="AK1907" t="str">
            <v>Primary</v>
          </cell>
          <cell r="AN1907" t="str">
            <v>II</v>
          </cell>
          <cell r="AO1907" t="str">
            <v>II</v>
          </cell>
          <cell r="AP1907" t="str">
            <v>pT2N2bM0</v>
          </cell>
          <cell r="AS1907" t="str">
            <v>Squamous Cell Carcinoma</v>
          </cell>
          <cell r="AT1907" t="str">
            <v>Radiotherapy</v>
          </cell>
          <cell r="AV1907">
            <v>44519</v>
          </cell>
          <cell r="AW1907">
            <v>0.46180555555555558</v>
          </cell>
          <cell r="AX1907">
            <v>0.54166666666666663</v>
          </cell>
          <cell r="AY1907">
            <v>7.9861111111111105E-2</v>
          </cell>
          <cell r="AZ1907">
            <v>0.43402777777777779</v>
          </cell>
          <cell r="BA1907">
            <v>0.53263888888888888</v>
          </cell>
          <cell r="BB1907" t="str">
            <v>0.6*1.4*1.2</v>
          </cell>
          <cell r="BC1907" t="str">
            <v>0.6*1.4*1.2</v>
          </cell>
          <cell r="BD1907" t="str">
            <v>2*4*450</v>
          </cell>
          <cell r="BE1907">
            <v>15</v>
          </cell>
          <cell r="BF1907" t="str">
            <v>Vasanth</v>
          </cell>
          <cell r="BG1907" t="str">
            <v>Q</v>
          </cell>
        </row>
        <row r="1908">
          <cell r="A1908" t="str">
            <v>FBR1M210205</v>
          </cell>
          <cell r="B1908">
            <v>210205</v>
          </cell>
          <cell r="C1908" t="str">
            <v>R&amp;D</v>
          </cell>
          <cell r="D1908">
            <v>44518</v>
          </cell>
          <cell r="E1908">
            <v>0.96736111111111112</v>
          </cell>
          <cell r="F1908">
            <v>44501</v>
          </cell>
          <cell r="G1908">
            <v>44519</v>
          </cell>
          <cell r="H1908">
            <v>2.7777777777777776E-2</v>
          </cell>
          <cell r="I1908">
            <v>6.0416666666666667E-2</v>
          </cell>
          <cell r="J1908">
            <v>3</v>
          </cell>
          <cell r="K1908" t="str">
            <v>FCB-PROTOCOL-01_v1</v>
          </cell>
          <cell r="L1908" t="str">
            <v>CLN/PRA/01/0131</v>
          </cell>
          <cell r="M1908" t="str">
            <v>Y</v>
          </cell>
          <cell r="N1908" t="str">
            <v>DMS_RCC</v>
          </cell>
          <cell r="O1908" t="str">
            <v>Internal R&amp;D</v>
          </cell>
          <cell r="S1908" t="str">
            <v>Q1 Passed</v>
          </cell>
          <cell r="V1908" t="str">
            <v>Moderate amount of tumor</v>
          </cell>
          <cell r="W1908" t="str">
            <v>Clinic'les</v>
          </cell>
          <cell r="X1908" t="str">
            <v>Clinic'les- Dr Prakash BV, Bangalore</v>
          </cell>
          <cell r="Y1908" t="str">
            <v>Sri Lakshmi Hospital, Bangalore</v>
          </cell>
          <cell r="Z1908" t="str">
            <v>Dr Prakash BV, Bangalore</v>
          </cell>
          <cell r="AA1908" t="str">
            <v>RCC</v>
          </cell>
          <cell r="AC1908" t="str">
            <v>Kidney</v>
          </cell>
          <cell r="AD1908" t="str">
            <v>Left Kidney</v>
          </cell>
          <cell r="AE1908" t="str">
            <v>Female</v>
          </cell>
          <cell r="AF1908">
            <v>45</v>
          </cell>
          <cell r="AG1908" t="str">
            <v>No</v>
          </cell>
          <cell r="AI1908" t="str">
            <v>Kalappa</v>
          </cell>
          <cell r="AJ1908" t="str">
            <v>Surgery</v>
          </cell>
          <cell r="AK1908" t="str">
            <v>Primary</v>
          </cell>
          <cell r="AN1908" t="str">
            <v>II</v>
          </cell>
          <cell r="AO1908" t="str">
            <v>II</v>
          </cell>
          <cell r="AP1908" t="str">
            <v>pT2N0M0</v>
          </cell>
          <cell r="AS1908" t="str">
            <v>Sarcoma (?)</v>
          </cell>
          <cell r="AV1908">
            <v>44519</v>
          </cell>
          <cell r="AW1908">
            <v>0.4513888888888889</v>
          </cell>
          <cell r="AX1908">
            <v>0.5</v>
          </cell>
          <cell r="BB1908" t="str">
            <v>0.8*2.0*2.6</v>
          </cell>
          <cell r="BC1908" t="str">
            <v>0.8*2.0*2.6</v>
          </cell>
          <cell r="BD1908" t="str">
            <v>2*4*450</v>
          </cell>
          <cell r="BE1908">
            <v>15</v>
          </cell>
          <cell r="BF1908" t="str">
            <v>KJ</v>
          </cell>
          <cell r="BG1908" t="str">
            <v>Q</v>
          </cell>
        </row>
        <row r="1909">
          <cell r="A1909" t="str">
            <v>FBB1C210206</v>
          </cell>
          <cell r="B1909">
            <v>210206</v>
          </cell>
          <cell r="C1909" t="str">
            <v>Biopharma</v>
          </cell>
          <cell r="D1909">
            <v>44519</v>
          </cell>
          <cell r="E1909">
            <v>0.91805555555555551</v>
          </cell>
          <cell r="F1909">
            <v>44501</v>
          </cell>
          <cell r="G1909">
            <v>44519</v>
          </cell>
          <cell r="H1909">
            <v>0.95138888888888884</v>
          </cell>
          <cell r="I1909">
            <v>3.3333333333333333E-2</v>
          </cell>
          <cell r="J1909">
            <v>2</v>
          </cell>
          <cell r="K1909" t="str">
            <v>FCB-PROTOCOL-01_v1</v>
          </cell>
          <cell r="L1909" t="str">
            <v>CLN/PRA/01/0132</v>
          </cell>
          <cell r="M1909" t="str">
            <v>Y</v>
          </cell>
          <cell r="N1909" t="str">
            <v>BP004_SOW1_2021</v>
          </cell>
          <cell r="O1909" t="str">
            <v>Biopharma</v>
          </cell>
          <cell r="S1909" t="str">
            <v>Q1 Passed</v>
          </cell>
          <cell r="V1909" t="str">
            <v>5-7% tumor in 3/4 explants. High mucin content</v>
          </cell>
          <cell r="W1909" t="str">
            <v>Clinic'les</v>
          </cell>
          <cell r="X1909" t="str">
            <v>Clinic'les- Dr Prakash BV, Bangalore</v>
          </cell>
          <cell r="Z1909" t="str">
            <v>Dr Prakash BV, Bangalore</v>
          </cell>
          <cell r="AA1909" t="str">
            <v>GI</v>
          </cell>
          <cell r="AB1909" t="str">
            <v>Stomach</v>
          </cell>
          <cell r="AC1909" t="str">
            <v>Stomach</v>
          </cell>
          <cell r="AD1909" t="str">
            <v>Body of Stomach</v>
          </cell>
          <cell r="AE1909" t="str">
            <v>Female</v>
          </cell>
          <cell r="AF1909">
            <v>60</v>
          </cell>
          <cell r="AG1909" t="str">
            <v>No</v>
          </cell>
          <cell r="AI1909" t="str">
            <v>Sashi</v>
          </cell>
          <cell r="AJ1909" t="str">
            <v>Surgery</v>
          </cell>
          <cell r="AK1909" t="str">
            <v>Primary</v>
          </cell>
          <cell r="AN1909" t="str">
            <v>III</v>
          </cell>
          <cell r="AO1909" t="str">
            <v>II</v>
          </cell>
          <cell r="AP1909" t="str">
            <v>pT2N1M0</v>
          </cell>
          <cell r="AS1909" t="str">
            <v>Adenocarcinoma</v>
          </cell>
          <cell r="AV1909">
            <v>44520</v>
          </cell>
          <cell r="AW1909">
            <v>0.95833333333333337</v>
          </cell>
          <cell r="AX1909">
            <v>0</v>
          </cell>
          <cell r="AY1909">
            <v>4.1666666666666664E-2</v>
          </cell>
          <cell r="AZ1909">
            <v>6.9444444444444441E-3</v>
          </cell>
          <cell r="BA1909">
            <v>4.027777777777778E-2</v>
          </cell>
          <cell r="BB1909" t="str">
            <v>1.0*2.0*2.4</v>
          </cell>
          <cell r="BD1909" t="str">
            <v>2*2*2</v>
          </cell>
          <cell r="BE1909">
            <v>15</v>
          </cell>
          <cell r="BF1909" t="str">
            <v>VK</v>
          </cell>
          <cell r="BG1909" t="str">
            <v>Q</v>
          </cell>
        </row>
        <row r="1910">
          <cell r="A1910">
            <v>210207</v>
          </cell>
          <cell r="B1910">
            <v>210207</v>
          </cell>
          <cell r="C1910" t="str">
            <v>R&amp;D</v>
          </cell>
          <cell r="D1910">
            <v>44520</v>
          </cell>
          <cell r="E1910">
            <v>0.83819444444444446</v>
          </cell>
          <cell r="F1910">
            <v>44501</v>
          </cell>
          <cell r="G1910">
            <v>44520</v>
          </cell>
          <cell r="H1910">
            <v>0.88055555555555554</v>
          </cell>
          <cell r="I1910">
            <v>4.2361111111111113E-2</v>
          </cell>
          <cell r="J1910">
            <v>2</v>
          </cell>
          <cell r="K1910" t="str">
            <v>FCB-PROTOCOL-01_v1</v>
          </cell>
          <cell r="L1910" t="str">
            <v>CLN/PRA/01/0133</v>
          </cell>
          <cell r="M1910" t="str">
            <v>Y</v>
          </cell>
          <cell r="N1910" t="str">
            <v>No Study</v>
          </cell>
          <cell r="O1910" t="str">
            <v>1st level attrition</v>
          </cell>
          <cell r="S1910" t="str">
            <v>Q1 Rejected</v>
          </cell>
          <cell r="U1910" t="str">
            <v>Sample was completely fatty</v>
          </cell>
          <cell r="W1910" t="str">
            <v>Clinic'les</v>
          </cell>
          <cell r="X1910" t="str">
            <v>Clinic'les- Dr Prakash BV, Bangalore</v>
          </cell>
          <cell r="Y1910" t="str">
            <v>Sri Lakshmi Hospital, Bangalore</v>
          </cell>
          <cell r="Z1910" t="str">
            <v>Dr Prakash BV, Bangalore</v>
          </cell>
          <cell r="AA1910" t="str">
            <v>GI</v>
          </cell>
          <cell r="AB1910" t="str">
            <v>Stomach</v>
          </cell>
          <cell r="AC1910" t="str">
            <v>Stomach</v>
          </cell>
          <cell r="AD1910" t="str">
            <v>Body of Stomach</v>
          </cell>
          <cell r="AE1910" t="str">
            <v>Female</v>
          </cell>
          <cell r="AF1910">
            <v>60</v>
          </cell>
          <cell r="AG1910" t="str">
            <v>No</v>
          </cell>
          <cell r="AI1910" t="str">
            <v>Kalappa</v>
          </cell>
          <cell r="AJ1910" t="str">
            <v>Surgery</v>
          </cell>
          <cell r="AK1910" t="str">
            <v>Primary</v>
          </cell>
          <cell r="AL1910" t="str">
            <v>Chemotherapy</v>
          </cell>
          <cell r="AN1910" t="str">
            <v>III</v>
          </cell>
          <cell r="AO1910" t="str">
            <v>III</v>
          </cell>
          <cell r="AP1910" t="str">
            <v>pT3N2M0</v>
          </cell>
          <cell r="AQ1910" t="str">
            <v>3 cycles</v>
          </cell>
          <cell r="AR1910" t="str">
            <v>Epirubicin+ Oxaloplatin</v>
          </cell>
          <cell r="AS1910" t="str">
            <v>Adenocarcinoma</v>
          </cell>
          <cell r="AT1910" t="str">
            <v>3 cycles</v>
          </cell>
          <cell r="AU1910" t="str">
            <v>Epirubicin+ Oxaloplatin</v>
          </cell>
        </row>
        <row r="1911">
          <cell r="A1911" t="str">
            <v>FBB1D210208</v>
          </cell>
          <cell r="B1911">
            <v>210208</v>
          </cell>
          <cell r="C1911" t="str">
            <v>Biopharma</v>
          </cell>
          <cell r="D1911">
            <v>44521</v>
          </cell>
          <cell r="E1911">
            <v>0.53125</v>
          </cell>
          <cell r="F1911">
            <v>44501</v>
          </cell>
          <cell r="G1911">
            <v>44521</v>
          </cell>
          <cell r="H1911">
            <v>0.60416666666666663</v>
          </cell>
          <cell r="I1911">
            <v>7.2916666666666671E-2</v>
          </cell>
          <cell r="J1911">
            <v>5</v>
          </cell>
          <cell r="K1911" t="str">
            <v>FCB-PROTOCOL-01_v1</v>
          </cell>
          <cell r="L1911" t="str">
            <v>CLN/PRA/01/0134</v>
          </cell>
          <cell r="M1911" t="str">
            <v>Y</v>
          </cell>
          <cell r="N1911" t="str">
            <v>BP005_SOW1_2021</v>
          </cell>
          <cell r="O1911" t="str">
            <v>Biopharma</v>
          </cell>
          <cell r="S1911" t="str">
            <v>Q1 Passed</v>
          </cell>
          <cell r="V1911" t="str">
            <v>Good tumor content.</v>
          </cell>
          <cell r="W1911" t="str">
            <v>Clinic'les</v>
          </cell>
          <cell r="X1911" t="str">
            <v>Clinic'les- Dr Prakash BV, Bangalore</v>
          </cell>
          <cell r="Y1911" t="str">
            <v>Sri Lakshmi Hospital, Bangalore</v>
          </cell>
          <cell r="Z1911" t="str">
            <v>Dr Prakash BV, Bangalore</v>
          </cell>
          <cell r="AA1911" t="str">
            <v>HNSCC</v>
          </cell>
          <cell r="AC1911" t="str">
            <v>Mouth</v>
          </cell>
          <cell r="AD1911" t="str">
            <v>Left Angle of Mouth</v>
          </cell>
          <cell r="AE1911" t="str">
            <v>Male</v>
          </cell>
          <cell r="AF1911">
            <v>60</v>
          </cell>
          <cell r="AG1911" t="str">
            <v>No</v>
          </cell>
          <cell r="AI1911" t="str">
            <v>Sashi</v>
          </cell>
          <cell r="AJ1911" t="str">
            <v>Surgery</v>
          </cell>
          <cell r="AK1911" t="str">
            <v>Primary</v>
          </cell>
          <cell r="AN1911" t="str">
            <v>II</v>
          </cell>
          <cell r="AO1911" t="str">
            <v>II</v>
          </cell>
          <cell r="AP1911" t="str">
            <v>pT2N0M0</v>
          </cell>
          <cell r="AS1911" t="str">
            <v>Squamous Cell Carcinoma</v>
          </cell>
          <cell r="AV1911">
            <v>44521</v>
          </cell>
          <cell r="AW1911">
            <v>0.62847222222222221</v>
          </cell>
          <cell r="AX1911">
            <v>0.69791666666666663</v>
          </cell>
          <cell r="BB1911" t="str">
            <v>1.0*2.4*1.8</v>
          </cell>
          <cell r="BD1911" t="str">
            <v>Vibrotome</v>
          </cell>
          <cell r="BE1911">
            <v>15</v>
          </cell>
          <cell r="BF1911" t="str">
            <v>Manimaran</v>
          </cell>
          <cell r="BG1911" t="str">
            <v>Q</v>
          </cell>
        </row>
        <row r="1912">
          <cell r="A1912" t="str">
            <v>FBB1B210209</v>
          </cell>
          <cell r="B1912">
            <v>210209</v>
          </cell>
          <cell r="C1912" t="str">
            <v>Biopharma</v>
          </cell>
          <cell r="D1912">
            <v>44522</v>
          </cell>
          <cell r="E1912">
            <v>0.71319444444444446</v>
          </cell>
          <cell r="F1912">
            <v>44501</v>
          </cell>
          <cell r="G1912">
            <v>44522</v>
          </cell>
          <cell r="H1912">
            <v>0.75347222222222221</v>
          </cell>
          <cell r="I1912">
            <v>4.027777777777778E-2</v>
          </cell>
          <cell r="J1912">
            <v>2</v>
          </cell>
          <cell r="K1912" t="str">
            <v>FCB-PROTOCOL-01_v1</v>
          </cell>
          <cell r="L1912" t="str">
            <v>CLN/PRA/01/0135</v>
          </cell>
          <cell r="M1912" t="str">
            <v>Y</v>
          </cell>
          <cell r="N1912" t="str">
            <v>BP002_SOW1_2021</v>
          </cell>
          <cell r="O1912" t="str">
            <v>Biopharma</v>
          </cell>
          <cell r="S1912" t="str">
            <v>Q1 Passed</v>
          </cell>
          <cell r="V1912" t="str">
            <v>Good tumor content.</v>
          </cell>
          <cell r="W1912" t="str">
            <v>Clinic'les</v>
          </cell>
          <cell r="X1912" t="str">
            <v>Clinic'les- Dr Prakash BV, Bangalore</v>
          </cell>
          <cell r="Y1912" t="str">
            <v>Sri Lakshmi Hospital, Bangalore</v>
          </cell>
          <cell r="Z1912" t="str">
            <v>Dr Prakash BV, Bangalore</v>
          </cell>
          <cell r="AA1912" t="str">
            <v>HNSCC</v>
          </cell>
          <cell r="AC1912" t="str">
            <v>Buccal Mucosa</v>
          </cell>
          <cell r="AD1912" t="str">
            <v>Right Buccal Mucosa</v>
          </cell>
          <cell r="AE1912" t="str">
            <v>Female</v>
          </cell>
          <cell r="AF1912">
            <v>60</v>
          </cell>
          <cell r="AG1912" t="str">
            <v>No</v>
          </cell>
          <cell r="AI1912" t="str">
            <v>Kalappa</v>
          </cell>
          <cell r="AJ1912" t="str">
            <v>Surgery</v>
          </cell>
          <cell r="AK1912" t="str">
            <v>Primary</v>
          </cell>
          <cell r="AN1912" t="str">
            <v>II</v>
          </cell>
          <cell r="AO1912" t="str">
            <v>II</v>
          </cell>
          <cell r="AP1912" t="str">
            <v>pT2N0M0</v>
          </cell>
          <cell r="AS1912" t="str">
            <v>Squamous Cell Carcinoma</v>
          </cell>
          <cell r="AV1912">
            <v>44522</v>
          </cell>
          <cell r="AW1912">
            <v>0.77777777777777779</v>
          </cell>
          <cell r="AX1912">
            <v>0.84722222222222221</v>
          </cell>
          <cell r="AY1912">
            <v>6.9444444444444448E-2</v>
          </cell>
          <cell r="AZ1912">
            <v>2.4305555555555556E-2</v>
          </cell>
          <cell r="BA1912">
            <v>6.458333333333334E-2</v>
          </cell>
          <cell r="BB1912" t="str">
            <v>0.8*2.0*2.4</v>
          </cell>
          <cell r="BC1912" t="str">
            <v>0.8*2.0*2.4</v>
          </cell>
          <cell r="BD1912" t="str">
            <v>2*4*450</v>
          </cell>
          <cell r="BE1912">
            <v>15</v>
          </cell>
          <cell r="BF1912" t="str">
            <v>Kowshik</v>
          </cell>
          <cell r="BG1912" t="str">
            <v>Q</v>
          </cell>
        </row>
        <row r="1913">
          <cell r="A1913" t="str">
            <v>FBR1N210210</v>
          </cell>
          <cell r="B1913">
            <v>210210</v>
          </cell>
          <cell r="C1913" t="str">
            <v>R&amp;D</v>
          </cell>
          <cell r="D1913">
            <v>44523</v>
          </cell>
          <cell r="E1913">
            <v>0.42430555555555555</v>
          </cell>
          <cell r="F1913">
            <v>44501</v>
          </cell>
          <cell r="G1913">
            <v>44523</v>
          </cell>
          <cell r="H1913">
            <v>0.51458333333333328</v>
          </cell>
          <cell r="I1913">
            <v>9.0277777777777776E-2</v>
          </cell>
          <cell r="J1913">
            <v>4</v>
          </cell>
          <cell r="K1913" t="str">
            <v>FCB-PROTOCOL-01_v1</v>
          </cell>
          <cell r="L1913" t="str">
            <v>VYD/049</v>
          </cell>
          <cell r="M1913" t="str">
            <v>Y</v>
          </cell>
          <cell r="N1913" t="str">
            <v>Extended TAT_Hemarina</v>
          </cell>
          <cell r="O1913" t="str">
            <v>Internal R&amp;D</v>
          </cell>
          <cell r="S1913" t="str">
            <v>Q1 Rejected</v>
          </cell>
          <cell r="U1913" t="str">
            <v>Blood tube was expired but blood qualified</v>
          </cell>
          <cell r="V1913" t="str">
            <v>Modearte amount of tumor, pyknosis high</v>
          </cell>
          <cell r="W1913" t="str">
            <v>Clinic'les</v>
          </cell>
          <cell r="X1913" t="str">
            <v>Clinic'les- Vydehi Hospital, Bangalore</v>
          </cell>
          <cell r="Y1913" t="str">
            <v>Vydehi Hospital, Bangalore</v>
          </cell>
          <cell r="Z1913" t="str">
            <v>Dr Amritha Prabha, Bangalore</v>
          </cell>
          <cell r="AA1913" t="str">
            <v>HNSCC</v>
          </cell>
          <cell r="AC1913" t="str">
            <v>Alveolus</v>
          </cell>
          <cell r="AD1913" t="str">
            <v>Left Alveolus</v>
          </cell>
          <cell r="AE1913" t="str">
            <v>Male</v>
          </cell>
          <cell r="AF1913">
            <v>63</v>
          </cell>
          <cell r="AG1913" t="str">
            <v>No</v>
          </cell>
          <cell r="AI1913" t="str">
            <v>Kalappa</v>
          </cell>
          <cell r="AJ1913" t="str">
            <v>Surgery</v>
          </cell>
          <cell r="AK1913" t="str">
            <v>Local Recurrent</v>
          </cell>
          <cell r="AS1913" t="str">
            <v>Squamous Cell Carcinoma</v>
          </cell>
          <cell r="AV1913">
            <v>44523</v>
          </cell>
          <cell r="AW1913">
            <v>0.61388888888888893</v>
          </cell>
          <cell r="AX1913">
            <v>0.69791666666666663</v>
          </cell>
          <cell r="AY1913">
            <v>8.4027777777777785E-2</v>
          </cell>
          <cell r="AZ1913">
            <v>9.930555555555555E-2</v>
          </cell>
          <cell r="BA1913">
            <v>0.18958333333333333</v>
          </cell>
          <cell r="BB1913" t="str">
            <v>0.6*1.0*1.4</v>
          </cell>
          <cell r="BC1913" t="str">
            <v>0.6*1.0*1.4</v>
          </cell>
          <cell r="BD1913" t="str">
            <v>2*4*1</v>
          </cell>
          <cell r="BE1913">
            <v>15</v>
          </cell>
          <cell r="BF1913" t="str">
            <v>Manimaran</v>
          </cell>
          <cell r="BG1913" t="str">
            <v>Q</v>
          </cell>
        </row>
        <row r="1914">
          <cell r="A1914" t="str">
            <v>FBR1N210210-TAT24</v>
          </cell>
          <cell r="B1914">
            <v>210210</v>
          </cell>
          <cell r="C1914" t="str">
            <v>R&amp;D</v>
          </cell>
          <cell r="D1914">
            <v>44523</v>
          </cell>
          <cell r="E1914">
            <v>0.42430555555555555</v>
          </cell>
          <cell r="F1914">
            <v>44501</v>
          </cell>
          <cell r="G1914">
            <v>44523</v>
          </cell>
          <cell r="H1914">
            <v>0.51458333333333328</v>
          </cell>
          <cell r="I1914">
            <v>9.0277777777777776E-2</v>
          </cell>
          <cell r="J1914">
            <v>4</v>
          </cell>
          <cell r="K1914" t="str">
            <v>FCB-PROTOCOL-01_v1</v>
          </cell>
          <cell r="L1914" t="str">
            <v>VYD/049</v>
          </cell>
          <cell r="M1914" t="str">
            <v>Y</v>
          </cell>
          <cell r="N1914" t="str">
            <v>Extended TAT_Hemarina</v>
          </cell>
          <cell r="O1914" t="str">
            <v>Internal R&amp;D</v>
          </cell>
          <cell r="S1914" t="str">
            <v>Q1 Rejected</v>
          </cell>
          <cell r="U1914" t="str">
            <v>Blood tube was expired but blood qualified</v>
          </cell>
          <cell r="V1914" t="str">
            <v>Moderate amount of tumor, morphology seems better than at TBL.</v>
          </cell>
          <cell r="W1914" t="str">
            <v>Clinic'les</v>
          </cell>
          <cell r="X1914" t="str">
            <v>Clinic'les- Vydehi Hospital, Bangalore</v>
          </cell>
          <cell r="Y1914" t="str">
            <v>Vydehi Hospital, Bangalore</v>
          </cell>
          <cell r="Z1914" t="str">
            <v>Dr Amritha Prabha, Bangalore</v>
          </cell>
          <cell r="AA1914" t="str">
            <v>HNSCC</v>
          </cell>
          <cell r="AC1914" t="str">
            <v>Alveolus</v>
          </cell>
          <cell r="AD1914" t="str">
            <v>Left Alveolus</v>
          </cell>
          <cell r="AE1914" t="str">
            <v>Male</v>
          </cell>
          <cell r="AF1914">
            <v>63</v>
          </cell>
          <cell r="AG1914" t="str">
            <v>No</v>
          </cell>
          <cell r="AI1914" t="str">
            <v>Kalappa</v>
          </cell>
          <cell r="AJ1914" t="str">
            <v>Surgery</v>
          </cell>
          <cell r="AK1914" t="str">
            <v>Local Recurrent</v>
          </cell>
          <cell r="AS1914" t="str">
            <v>Squamous Cell Carcinoma</v>
          </cell>
          <cell r="AV1914">
            <v>44524</v>
          </cell>
          <cell r="AW1914">
            <v>0.60763888888888884</v>
          </cell>
          <cell r="AX1914">
            <v>0.64583333333333337</v>
          </cell>
          <cell r="AY1914">
            <v>3.8194444444444448E-2</v>
          </cell>
          <cell r="AZ1914">
            <v>9.3055555555555558E-2</v>
          </cell>
          <cell r="BA1914">
            <v>0.18333333333333332</v>
          </cell>
          <cell r="BB1914" t="str">
            <v>0.4*1.2*1.2</v>
          </cell>
          <cell r="BC1914" t="str">
            <v>0.4*1.2*1.2</v>
          </cell>
          <cell r="BD1914" t="str">
            <v>2*4*1</v>
          </cell>
          <cell r="BE1914">
            <v>15</v>
          </cell>
          <cell r="BF1914" t="str">
            <v>Gowri</v>
          </cell>
          <cell r="BG1914" t="str">
            <v>Q</v>
          </cell>
        </row>
        <row r="1915">
          <cell r="A1915" t="str">
            <v>FBB1E210211</v>
          </cell>
          <cell r="B1915">
            <v>210211</v>
          </cell>
          <cell r="C1915" t="str">
            <v>Biopharma</v>
          </cell>
          <cell r="D1915">
            <v>44523</v>
          </cell>
          <cell r="E1915">
            <v>0.96319444444444446</v>
          </cell>
          <cell r="F1915">
            <v>44501</v>
          </cell>
          <cell r="G1915">
            <v>44524</v>
          </cell>
          <cell r="H1915">
            <v>1.0083333333333333</v>
          </cell>
          <cell r="I1915">
            <v>4.5138888888888888E-2</v>
          </cell>
          <cell r="J1915">
            <v>7</v>
          </cell>
          <cell r="K1915" t="str">
            <v>FCB-PROTOCOL-01_v1</v>
          </cell>
          <cell r="L1915" t="str">
            <v>CLN/PRA/01/0136</v>
          </cell>
          <cell r="M1915" t="str">
            <v>Y</v>
          </cell>
          <cell r="N1915" t="str">
            <v>BP004_SOW1_2021</v>
          </cell>
          <cell r="O1915" t="str">
            <v>Biopharma</v>
          </cell>
          <cell r="S1915" t="str">
            <v>Q1 Passed</v>
          </cell>
          <cell r="V1915" t="str">
            <v>Good tumor content</v>
          </cell>
          <cell r="W1915" t="str">
            <v>Clinic'les</v>
          </cell>
          <cell r="X1915" t="str">
            <v>Clinic'les- Dr Prakash BV, Bangalore</v>
          </cell>
          <cell r="Y1915" t="str">
            <v>Sri Lakshmi Hospital, Bangalore</v>
          </cell>
          <cell r="Z1915" t="str">
            <v>Dr Prakash BV, Bangalore</v>
          </cell>
          <cell r="AA1915" t="str">
            <v>HNSCC</v>
          </cell>
          <cell r="AC1915" t="str">
            <v>GBS</v>
          </cell>
          <cell r="AD1915" t="str">
            <v>Left Lower GBS</v>
          </cell>
          <cell r="AE1915" t="str">
            <v>Female</v>
          </cell>
          <cell r="AF1915">
            <v>55</v>
          </cell>
          <cell r="AG1915" t="str">
            <v>No</v>
          </cell>
          <cell r="AI1915" t="str">
            <v>Partha</v>
          </cell>
          <cell r="AJ1915" t="str">
            <v>Surgery</v>
          </cell>
          <cell r="AK1915" t="str">
            <v>Primary</v>
          </cell>
          <cell r="AN1915" t="str">
            <v>II</v>
          </cell>
          <cell r="AO1915" t="str">
            <v>II</v>
          </cell>
          <cell r="AP1915" t="str">
            <v>pT3N1M0</v>
          </cell>
          <cell r="AS1915" t="str">
            <v>Squamous Cell Carcinoma</v>
          </cell>
          <cell r="AT1915" t="str">
            <v>Radiotherapy</v>
          </cell>
          <cell r="AV1915">
            <v>44524</v>
          </cell>
          <cell r="AW1915">
            <v>0.3923611111111111</v>
          </cell>
          <cell r="AX1915">
            <v>0.4826388888888889</v>
          </cell>
          <cell r="BB1915" t="str">
            <v>NA</v>
          </cell>
          <cell r="BD1915" t="str">
            <v>2*4*450</v>
          </cell>
          <cell r="BE1915">
            <v>15</v>
          </cell>
          <cell r="BF1915" t="str">
            <v>KJ</v>
          </cell>
          <cell r="BG1915" t="str">
            <v>Q</v>
          </cell>
        </row>
        <row r="1916">
          <cell r="A1916" t="str">
            <v>FBB1C210212</v>
          </cell>
          <cell r="B1916">
            <v>210212</v>
          </cell>
          <cell r="C1916" t="str">
            <v>Biopharma</v>
          </cell>
          <cell r="D1916">
            <v>44524</v>
          </cell>
          <cell r="E1916">
            <v>0.58333333333333337</v>
          </cell>
          <cell r="F1916">
            <v>44501</v>
          </cell>
          <cell r="G1916">
            <v>44524</v>
          </cell>
          <cell r="H1916">
            <v>0.92708333333333337</v>
          </cell>
          <cell r="I1916">
            <v>0.34375</v>
          </cell>
          <cell r="J1916">
            <v>2</v>
          </cell>
          <cell r="K1916" t="str">
            <v>FCB-PROTOCOL-01_v1</v>
          </cell>
          <cell r="L1916" t="str">
            <v>CLN/DBR/044</v>
          </cell>
          <cell r="M1916" t="str">
            <v>Y</v>
          </cell>
          <cell r="N1916" t="str">
            <v>BP004_SOW1_2021</v>
          </cell>
          <cell r="O1916" t="str">
            <v>Biopharma</v>
          </cell>
          <cell r="S1916" t="str">
            <v>Q1 Passed</v>
          </cell>
          <cell r="V1916" t="str">
            <v xml:space="preserve">Good tumor content </v>
          </cell>
          <cell r="W1916" t="str">
            <v>Clinic'les</v>
          </cell>
          <cell r="X1916" t="str">
            <v>Clinic'les- DBR &amp; SK Hospital, Tirupati</v>
          </cell>
          <cell r="Y1916" t="str">
            <v>DBR &amp; SK Hospital, Tirupati</v>
          </cell>
          <cell r="Z1916" t="str">
            <v>Dr C Jayaprakash, Tirupati</v>
          </cell>
          <cell r="AA1916" t="str">
            <v>GI</v>
          </cell>
          <cell r="AB1916" t="str">
            <v>Stomach</v>
          </cell>
          <cell r="AC1916" t="str">
            <v>Stomach</v>
          </cell>
          <cell r="AD1916" t="str">
            <v>Stomach</v>
          </cell>
          <cell r="AE1916" t="str">
            <v>Male</v>
          </cell>
          <cell r="AF1916">
            <v>56</v>
          </cell>
          <cell r="AG1916" t="str">
            <v>No</v>
          </cell>
          <cell r="AI1916" t="str">
            <v>Sashi</v>
          </cell>
          <cell r="AJ1916" t="str">
            <v>Surgery</v>
          </cell>
          <cell r="AK1916" t="str">
            <v>Primary</v>
          </cell>
          <cell r="AN1916" t="str">
            <v>IB</v>
          </cell>
          <cell r="AP1916" t="str">
            <v>pT2NxMx</v>
          </cell>
          <cell r="AS1916" t="str">
            <v>Adenocarcinoma</v>
          </cell>
          <cell r="AV1916">
            <v>44524</v>
          </cell>
          <cell r="AW1916">
            <v>0.94791666666666663</v>
          </cell>
          <cell r="AX1916">
            <v>1.0416666666666666E-2</v>
          </cell>
          <cell r="AY1916">
            <v>6.25E-2</v>
          </cell>
          <cell r="AZ1916">
            <v>2.0833333333333332E-2</v>
          </cell>
          <cell r="BA1916">
            <v>0.36458333333333331</v>
          </cell>
          <cell r="BB1916" t="str">
            <v>0.6*1.4*1.6
0.8*1.8*3.0
0.8*1.2*1.4</v>
          </cell>
          <cell r="BD1916" t="str">
            <v>2*2*2</v>
          </cell>
          <cell r="BE1916">
            <v>15</v>
          </cell>
          <cell r="BF1916" t="str">
            <v>GS</v>
          </cell>
          <cell r="BG1916" t="str">
            <v>Q</v>
          </cell>
        </row>
        <row r="1917">
          <cell r="A1917" t="str">
            <v>FBR1J210212</v>
          </cell>
          <cell r="B1917">
            <v>210212</v>
          </cell>
          <cell r="C1917" t="str">
            <v>R&amp;D</v>
          </cell>
          <cell r="D1917">
            <v>44524</v>
          </cell>
          <cell r="E1917">
            <v>0.58333333333333337</v>
          </cell>
          <cell r="F1917">
            <v>44501</v>
          </cell>
          <cell r="G1917">
            <v>44524</v>
          </cell>
          <cell r="H1917">
            <v>0.92708333333333337</v>
          </cell>
          <cell r="I1917">
            <v>0.34375</v>
          </cell>
          <cell r="J1917">
            <v>2</v>
          </cell>
          <cell r="K1917" t="str">
            <v>FCB-PROTOCOL-01_v1</v>
          </cell>
          <cell r="L1917" t="str">
            <v>CLN/DBR/044</v>
          </cell>
          <cell r="M1917" t="str">
            <v>Y</v>
          </cell>
          <cell r="N1917" t="str">
            <v>COS_V3</v>
          </cell>
          <cell r="O1917" t="str">
            <v>Internal R&amp;D</v>
          </cell>
          <cell r="S1917" t="str">
            <v>Q1 Passed</v>
          </cell>
          <cell r="W1917" t="str">
            <v>Clinic'les</v>
          </cell>
          <cell r="X1917" t="str">
            <v>Clinic'les- DBR &amp; SK Hospital, Tirupati</v>
          </cell>
          <cell r="Y1917" t="str">
            <v>DBR &amp; SK Hospital, Tirupati</v>
          </cell>
          <cell r="Z1917" t="str">
            <v>Dr C Jayaprakash, Tirupati</v>
          </cell>
          <cell r="AA1917" t="str">
            <v>GI</v>
          </cell>
          <cell r="AB1917" t="str">
            <v>Stomach</v>
          </cell>
          <cell r="AC1917" t="str">
            <v>Stomach</v>
          </cell>
          <cell r="AD1917" t="str">
            <v>Stomach</v>
          </cell>
          <cell r="AE1917" t="str">
            <v>Male</v>
          </cell>
          <cell r="AF1917">
            <v>56</v>
          </cell>
          <cell r="AG1917" t="str">
            <v>No</v>
          </cell>
          <cell r="AI1917" t="str">
            <v>Sashi</v>
          </cell>
          <cell r="AJ1917" t="str">
            <v>Surgery</v>
          </cell>
          <cell r="AK1917" t="str">
            <v>Primary</v>
          </cell>
          <cell r="AN1917" t="str">
            <v>IB</v>
          </cell>
          <cell r="AP1917" t="str">
            <v>pT2NxMx</v>
          </cell>
          <cell r="AS1917" t="str">
            <v>Adenocarcinoma</v>
          </cell>
          <cell r="AV1917">
            <v>44525</v>
          </cell>
          <cell r="BE1917">
            <v>15</v>
          </cell>
          <cell r="BF1917" t="str">
            <v>Gowri</v>
          </cell>
        </row>
        <row r="1918">
          <cell r="A1918" t="str">
            <v>FBB1D210213</v>
          </cell>
          <cell r="B1918">
            <v>210213</v>
          </cell>
          <cell r="C1918" t="str">
            <v>Biopharma</v>
          </cell>
          <cell r="D1918">
            <v>44525</v>
          </cell>
          <cell r="E1918">
            <v>0.61597222222222225</v>
          </cell>
          <cell r="F1918">
            <v>44501</v>
          </cell>
          <cell r="G1918">
            <v>44525</v>
          </cell>
          <cell r="H1918">
            <v>0.94097222222222221</v>
          </cell>
          <cell r="I1918">
            <v>0.32500000000000001</v>
          </cell>
          <cell r="J1918">
            <v>2</v>
          </cell>
          <cell r="K1918" t="str">
            <v>FCB-PROTOCOL-01_v1</v>
          </cell>
          <cell r="L1918" t="str">
            <v>CLN/DBR/045</v>
          </cell>
          <cell r="M1918" t="str">
            <v>Y</v>
          </cell>
          <cell r="N1918" t="str">
            <v>BP005_SOW1_2021</v>
          </cell>
          <cell r="O1918" t="str">
            <v>Biopharma</v>
          </cell>
          <cell r="S1918" t="str">
            <v>Q1 Passed</v>
          </cell>
          <cell r="V1918" t="str">
            <v xml:space="preserve">Good tumor content </v>
          </cell>
          <cell r="W1918" t="str">
            <v>Clinic'les</v>
          </cell>
          <cell r="X1918" t="str">
            <v>Clinic'les- DBR &amp; SK Hospital, Tirupati</v>
          </cell>
          <cell r="Y1918" t="str">
            <v>DBR &amp; SK Hospital, Tirupati</v>
          </cell>
          <cell r="Z1918" t="str">
            <v>Dr C Jayaprakash, Tirupati</v>
          </cell>
          <cell r="AA1918" t="str">
            <v>HNSCC</v>
          </cell>
          <cell r="AC1918" t="str">
            <v>Oral Cavity</v>
          </cell>
          <cell r="AD1918" t="str">
            <v>Oral Cavity</v>
          </cell>
          <cell r="AE1918" t="str">
            <v>Female</v>
          </cell>
          <cell r="AF1918">
            <v>60</v>
          </cell>
          <cell r="AG1918" t="str">
            <v>No</v>
          </cell>
          <cell r="AI1918" t="str">
            <v>Sashi</v>
          </cell>
          <cell r="AJ1918" t="str">
            <v>Surgery</v>
          </cell>
          <cell r="AK1918" t="str">
            <v>Primary</v>
          </cell>
          <cell r="AN1918" t="str">
            <v>III</v>
          </cell>
          <cell r="AP1918" t="str">
            <v>pT3N0Mx</v>
          </cell>
          <cell r="AS1918" t="str">
            <v>Squamous Cell Carcinoma</v>
          </cell>
          <cell r="AV1918">
            <v>44525</v>
          </cell>
          <cell r="AW1918">
            <v>0.93055555555555558</v>
          </cell>
          <cell r="AX1918">
            <v>2.0833333333333332E-2</v>
          </cell>
          <cell r="BB1918" t="str">
            <v>0.54*1.2*2.0</v>
          </cell>
          <cell r="BD1918" t="str">
            <v>Vibrotome</v>
          </cell>
          <cell r="BE1918">
            <v>15</v>
          </cell>
          <cell r="BF1918" t="str">
            <v>GS</v>
          </cell>
          <cell r="BG1918" t="str">
            <v>Q</v>
          </cell>
        </row>
        <row r="1919">
          <cell r="A1919" t="str">
            <v>FBR1N210214</v>
          </cell>
          <cell r="B1919">
            <v>210214</v>
          </cell>
          <cell r="C1919" t="str">
            <v>R&amp;D</v>
          </cell>
          <cell r="D1919">
            <v>44526</v>
          </cell>
          <cell r="E1919">
            <v>0.56736111111111109</v>
          </cell>
          <cell r="F1919">
            <v>44501</v>
          </cell>
          <cell r="G1919">
            <v>44527</v>
          </cell>
          <cell r="H1919">
            <v>6.9444444444444441E-3</v>
          </cell>
          <cell r="I1919">
            <v>0.43958333333333333</v>
          </cell>
          <cell r="J1919">
            <v>2</v>
          </cell>
          <cell r="K1919" t="str">
            <v>FCB-PROTOCOL-01_v1</v>
          </cell>
          <cell r="L1919" t="str">
            <v>CLN/DBR/046</v>
          </cell>
          <cell r="M1919" t="str">
            <v>Y</v>
          </cell>
          <cell r="N1919" t="str">
            <v>Extended TAT_Hemarina</v>
          </cell>
          <cell r="O1919" t="str">
            <v>Internal R&amp;D</v>
          </cell>
          <cell r="S1919" t="str">
            <v>Q1 Passed</v>
          </cell>
          <cell r="V1919" t="str">
            <v xml:space="preserve">Good tumor content </v>
          </cell>
          <cell r="W1919" t="str">
            <v>Clinic'les</v>
          </cell>
          <cell r="X1919" t="str">
            <v>Clinic'les- DBR &amp; SK Hospital, Tirupati</v>
          </cell>
          <cell r="Y1919" t="str">
            <v>DBR &amp; SK Hospital, Tirupati</v>
          </cell>
          <cell r="Z1919" t="str">
            <v>Dr C Jayaprakash, Tirupati</v>
          </cell>
          <cell r="AA1919" t="str">
            <v>HNSCC</v>
          </cell>
          <cell r="AC1919" t="str">
            <v>Oral Cavity</v>
          </cell>
          <cell r="AD1919" t="str">
            <v>Oral Cavity</v>
          </cell>
          <cell r="AE1919" t="str">
            <v>Female</v>
          </cell>
          <cell r="AF1919">
            <v>45</v>
          </cell>
          <cell r="AG1919" t="str">
            <v>No</v>
          </cell>
          <cell r="AI1919" t="str">
            <v>Partha</v>
          </cell>
          <cell r="AJ1919" t="str">
            <v>Surgery</v>
          </cell>
          <cell r="AK1919" t="str">
            <v>Primary</v>
          </cell>
          <cell r="AN1919" t="str">
            <v>IVA</v>
          </cell>
          <cell r="AP1919" t="str">
            <v>pT2N2Mx</v>
          </cell>
          <cell r="AS1919" t="str">
            <v>Squamous Cell Carcinoma</v>
          </cell>
          <cell r="AV1919">
            <v>44527</v>
          </cell>
          <cell r="AW1919">
            <v>0.59375</v>
          </cell>
          <cell r="AX1919">
            <v>0.6875</v>
          </cell>
          <cell r="AY1919">
            <v>9.375E-2</v>
          </cell>
          <cell r="AZ1919">
            <v>0.58680555555555558</v>
          </cell>
          <cell r="BA1919">
            <v>1.0263888888888888</v>
          </cell>
          <cell r="BB1919" t="str">
            <v>0.4*1.2*1.2</v>
          </cell>
          <cell r="BC1919" t="str">
            <v>0.4*1.2*1.2</v>
          </cell>
          <cell r="BD1919" t="str">
            <v>2*4*450</v>
          </cell>
          <cell r="BE1919">
            <v>15</v>
          </cell>
          <cell r="BF1919" t="str">
            <v>Rajshekhar</v>
          </cell>
        </row>
        <row r="1920">
          <cell r="A1920" t="str">
            <v>FBR1N210214-TAT24</v>
          </cell>
          <cell r="B1920">
            <v>210214</v>
          </cell>
          <cell r="C1920" t="str">
            <v>R&amp;D</v>
          </cell>
          <cell r="D1920">
            <v>44526</v>
          </cell>
          <cell r="E1920">
            <v>0.56736111111111109</v>
          </cell>
          <cell r="F1920">
            <v>44501</v>
          </cell>
          <cell r="G1920">
            <v>44527</v>
          </cell>
          <cell r="H1920">
            <v>6.9444444444444441E-3</v>
          </cell>
          <cell r="I1920">
            <v>0.43958333333333333</v>
          </cell>
          <cell r="J1920">
            <v>2</v>
          </cell>
          <cell r="K1920" t="str">
            <v>FCB-PROTOCOL-01_v1</v>
          </cell>
          <cell r="L1920" t="str">
            <v>CLN/DBR/046</v>
          </cell>
          <cell r="M1920" t="str">
            <v>Y</v>
          </cell>
          <cell r="N1920" t="str">
            <v>Extended TAT_Hemarina</v>
          </cell>
          <cell r="O1920" t="str">
            <v>Internal R&amp;D</v>
          </cell>
          <cell r="S1920" t="str">
            <v>Q1 Passed</v>
          </cell>
          <cell r="V1920" t="str">
            <v xml:space="preserve">Good tumor content </v>
          </cell>
          <cell r="W1920" t="str">
            <v>Clinic'les</v>
          </cell>
          <cell r="X1920" t="str">
            <v>Clinic'les- DBR &amp; SK Hospital, Tirupati</v>
          </cell>
          <cell r="Y1920" t="str">
            <v>DBR &amp; SK Hospital, Tirupati</v>
          </cell>
          <cell r="Z1920" t="str">
            <v>Dr C Jayaprakash, Tirupati</v>
          </cell>
          <cell r="AA1920" t="str">
            <v>HNSCC</v>
          </cell>
          <cell r="AC1920" t="str">
            <v>Oral Cavity</v>
          </cell>
          <cell r="AD1920" t="str">
            <v>Oral Cavity</v>
          </cell>
          <cell r="AE1920" t="str">
            <v>Female</v>
          </cell>
          <cell r="AF1920">
            <v>45</v>
          </cell>
          <cell r="AG1920" t="str">
            <v>No</v>
          </cell>
          <cell r="AI1920" t="str">
            <v>Partha</v>
          </cell>
          <cell r="AJ1920" t="str">
            <v>Surgery</v>
          </cell>
          <cell r="AK1920" t="str">
            <v>Primary</v>
          </cell>
          <cell r="AN1920" t="str">
            <v>IVA</v>
          </cell>
          <cell r="AP1920" t="str">
            <v>pT2N2Mx</v>
          </cell>
          <cell r="AS1920" t="str">
            <v>Squamous Cell Carcinoma</v>
          </cell>
          <cell r="AV1920">
            <v>44528</v>
          </cell>
          <cell r="AW1920">
            <v>0.61111111111111116</v>
          </cell>
          <cell r="AX1920">
            <v>0.63888888888888884</v>
          </cell>
          <cell r="AY1920">
            <v>2.7777777777777776E-2</v>
          </cell>
          <cell r="AZ1920">
            <v>0.60416666666666663</v>
          </cell>
          <cell r="BA1920">
            <v>4.3749999999999997E-2</v>
          </cell>
          <cell r="BB1920" t="str">
            <v>0.4*1.2*0.8
0.4*1.2*0.8</v>
          </cell>
          <cell r="BC1920" t="str">
            <v>0.4*1.2*0.8
0.4*1.2*0.8</v>
          </cell>
          <cell r="BD1920" t="str">
            <v>2*4*450</v>
          </cell>
          <cell r="BE1920">
            <v>15</v>
          </cell>
          <cell r="BF1920" t="str">
            <v>Kowshik</v>
          </cell>
        </row>
        <row r="1921">
          <cell r="A1921" t="str">
            <v>FBR1J210215</v>
          </cell>
          <cell r="B1921">
            <v>210215</v>
          </cell>
          <cell r="C1921" t="str">
            <v>R&amp;D</v>
          </cell>
          <cell r="D1921">
            <v>44526</v>
          </cell>
          <cell r="E1921">
            <v>0.91111111111111109</v>
          </cell>
          <cell r="F1921">
            <v>44501</v>
          </cell>
          <cell r="G1921">
            <v>44527</v>
          </cell>
          <cell r="H1921">
            <v>1.0416666666666666E-2</v>
          </cell>
          <cell r="I1921">
            <v>9.930555555555555E-2</v>
          </cell>
          <cell r="J1921">
            <v>2</v>
          </cell>
          <cell r="K1921" t="str">
            <v>FCB-PROTOCOL-01_v1</v>
          </cell>
          <cell r="L1921" t="str">
            <v>CLN/PRA/01/0137</v>
          </cell>
          <cell r="M1921" t="str">
            <v>Y</v>
          </cell>
          <cell r="N1921" t="str">
            <v>COS_V3</v>
          </cell>
          <cell r="O1921" t="str">
            <v>Internal R&amp;D</v>
          </cell>
          <cell r="S1921" t="str">
            <v>Q1 Passed</v>
          </cell>
          <cell r="V1921" t="str">
            <v>? Poorly differentiated adenocarcinoma</v>
          </cell>
          <cell r="W1921" t="str">
            <v>Clinic'les</v>
          </cell>
          <cell r="X1921" t="str">
            <v>Clinic'les- Dr Prakash BV, Bangalore</v>
          </cell>
          <cell r="Y1921" t="str">
            <v>Sri Lakshmi Hospital, Bangalore</v>
          </cell>
          <cell r="Z1921" t="str">
            <v>Dr Prakash BV, Bangalore</v>
          </cell>
          <cell r="AA1921" t="str">
            <v>GI</v>
          </cell>
          <cell r="AB1921" t="str">
            <v>Stomach</v>
          </cell>
          <cell r="AC1921" t="str">
            <v>Stomach</v>
          </cell>
          <cell r="AD1921" t="str">
            <v>Antrum of Stomach</v>
          </cell>
          <cell r="AE1921" t="str">
            <v>Female</v>
          </cell>
          <cell r="AF1921">
            <v>55</v>
          </cell>
          <cell r="AG1921" t="str">
            <v>No</v>
          </cell>
          <cell r="AI1921" t="str">
            <v>Kalappa</v>
          </cell>
          <cell r="AJ1921" t="str">
            <v>Surgery</v>
          </cell>
          <cell r="AK1921" t="str">
            <v>Primary</v>
          </cell>
          <cell r="AL1921" t="str">
            <v>Chemotherapy</v>
          </cell>
          <cell r="AN1921" t="str">
            <v>III</v>
          </cell>
          <cell r="AO1921" t="str">
            <v>II</v>
          </cell>
          <cell r="AP1921" t="str">
            <v>pT3N1M0</v>
          </cell>
          <cell r="AQ1921" t="str">
            <v>4 cycles</v>
          </cell>
          <cell r="AR1921" t="str">
            <v>5FU+ Leucovorin+ Oxaloplatin+ Docetaxel</v>
          </cell>
          <cell r="AS1921" t="str">
            <v>Adenocarcinoma</v>
          </cell>
          <cell r="AT1921" t="str">
            <v>2 cycles</v>
          </cell>
          <cell r="AU1921" t="str">
            <v>5FU+ Leucovorin+ Oxaloplatin+ Docetaxel</v>
          </cell>
          <cell r="AV1921">
            <v>44527</v>
          </cell>
          <cell r="AW1921">
            <v>0.38541666666666669</v>
          </cell>
          <cell r="AX1921">
            <v>0.4375</v>
          </cell>
          <cell r="BB1921" t="str">
            <v>0.8*2.4*2.2</v>
          </cell>
          <cell r="BD1921" t="str">
            <v>2*2*2</v>
          </cell>
          <cell r="BE1921">
            <v>15</v>
          </cell>
          <cell r="BF1921" t="str">
            <v>Gowri</v>
          </cell>
          <cell r="BG1921" t="str">
            <v>NQ</v>
          </cell>
        </row>
        <row r="1922">
          <cell r="A1922" t="str">
            <v>FBB1D210216</v>
          </cell>
          <cell r="B1922">
            <v>210216</v>
          </cell>
          <cell r="C1922" t="str">
            <v>Biopharma</v>
          </cell>
          <cell r="D1922">
            <v>44526</v>
          </cell>
          <cell r="E1922">
            <v>0.96319444444444446</v>
          </cell>
          <cell r="F1922">
            <v>44501</v>
          </cell>
          <cell r="G1922">
            <v>44527</v>
          </cell>
          <cell r="H1922">
            <v>1.0416666666666666E-2</v>
          </cell>
          <cell r="I1922">
            <v>4.7222222222222221E-2</v>
          </cell>
          <cell r="J1922">
            <v>2</v>
          </cell>
          <cell r="K1922" t="str">
            <v>FCB-PROTOCOL-01_v1</v>
          </cell>
          <cell r="L1922" t="str">
            <v>CLN/PRA/01/0138</v>
          </cell>
          <cell r="M1922" t="str">
            <v>Y</v>
          </cell>
          <cell r="N1922" t="str">
            <v>BP005_SOW1_2021</v>
          </cell>
          <cell r="O1922" t="str">
            <v>Biopharma</v>
          </cell>
          <cell r="S1922" t="str">
            <v>Q1 Passed</v>
          </cell>
          <cell r="V1922" t="str">
            <v>Good tumor content</v>
          </cell>
          <cell r="W1922" t="str">
            <v>Clinic'les</v>
          </cell>
          <cell r="X1922" t="str">
            <v>Clinic'les- Dr Prakash BV, Bangalore</v>
          </cell>
          <cell r="Y1922" t="str">
            <v>Sri Lakshmi Hospital, Bangalore</v>
          </cell>
          <cell r="Z1922" t="str">
            <v>Dr Prakash BV, Bangalore</v>
          </cell>
          <cell r="AA1922" t="str">
            <v>HNSCC</v>
          </cell>
          <cell r="AC1922" t="str">
            <v>AE Fold</v>
          </cell>
          <cell r="AD1922" t="str">
            <v>Right AE Fold</v>
          </cell>
          <cell r="AE1922" t="str">
            <v>Female</v>
          </cell>
          <cell r="AF1922">
            <v>55</v>
          </cell>
          <cell r="AG1922" t="str">
            <v>No</v>
          </cell>
          <cell r="AI1922" t="str">
            <v>Kalappa</v>
          </cell>
          <cell r="AJ1922" t="str">
            <v>Surgery</v>
          </cell>
          <cell r="AK1922" t="str">
            <v>Primary</v>
          </cell>
          <cell r="AN1922" t="str">
            <v>III</v>
          </cell>
          <cell r="AO1922" t="str">
            <v>II</v>
          </cell>
          <cell r="AP1922" t="str">
            <v>pT2N1M0</v>
          </cell>
          <cell r="AS1922" t="str">
            <v>Squamous Cell Carcinoma</v>
          </cell>
          <cell r="AT1922" t="str">
            <v>Radiotherapy</v>
          </cell>
          <cell r="AV1922">
            <v>44527</v>
          </cell>
          <cell r="AW1922">
            <v>0.39583333333333331</v>
          </cell>
          <cell r="AX1922">
            <v>0.4826388888888889</v>
          </cell>
          <cell r="BB1922" t="str">
            <v>0.6*1.2*2.2
0.5*1.0*1.2</v>
          </cell>
          <cell r="BD1922" t="str">
            <v>Vibrotome</v>
          </cell>
          <cell r="BE1922">
            <v>15</v>
          </cell>
          <cell r="BF1922" t="str">
            <v>VK</v>
          </cell>
          <cell r="BG1922" t="str">
            <v>Q</v>
          </cell>
        </row>
        <row r="1923">
          <cell r="A1923" t="str">
            <v>FBR1N210217</v>
          </cell>
          <cell r="B1923">
            <v>210217</v>
          </cell>
          <cell r="C1923" t="str">
            <v>R&amp;D</v>
          </cell>
          <cell r="D1923">
            <v>44527</v>
          </cell>
          <cell r="E1923">
            <v>0.44305555555555554</v>
          </cell>
          <cell r="F1923">
            <v>44501</v>
          </cell>
          <cell r="G1923">
            <v>44527</v>
          </cell>
          <cell r="H1923">
            <v>0.53055555555555556</v>
          </cell>
          <cell r="I1923">
            <v>8.7499999999999994E-2</v>
          </cell>
          <cell r="J1923">
            <v>2</v>
          </cell>
          <cell r="K1923" t="str">
            <v>FCB-PROTOCOL-01_v1</v>
          </cell>
          <cell r="L1923" t="str">
            <v>VYD/050</v>
          </cell>
          <cell r="M1923" t="str">
            <v>Y</v>
          </cell>
          <cell r="N1923" t="str">
            <v>Extended TAT_Hemarina</v>
          </cell>
          <cell r="O1923" t="str">
            <v>Internal R&amp;D</v>
          </cell>
          <cell r="S1923" t="str">
            <v>Q1 Passed</v>
          </cell>
          <cell r="V1923" t="str">
            <v>Moderate tumor content</v>
          </cell>
          <cell r="W1923" t="str">
            <v>Clinic'les</v>
          </cell>
          <cell r="X1923" t="str">
            <v>Clinic'les- Vydehi Hospital, Bangalore</v>
          </cell>
          <cell r="Y1923" t="str">
            <v>Vydehi Hospital, Bangalore</v>
          </cell>
          <cell r="Z1923" t="str">
            <v>Dr Amritha Prabha, Bangalore</v>
          </cell>
          <cell r="AA1923" t="str">
            <v>HNSCC</v>
          </cell>
          <cell r="AC1923" t="str">
            <v>Alveolus &amp; Buccal Mucosa</v>
          </cell>
          <cell r="AD1923" t="str">
            <v>Left Lower Alveolus &amp; Buccal Mucosa</v>
          </cell>
          <cell r="AE1923" t="str">
            <v>Female</v>
          </cell>
          <cell r="AF1923">
            <v>58</v>
          </cell>
          <cell r="AG1923" t="str">
            <v>No</v>
          </cell>
          <cell r="AI1923" t="str">
            <v>Kalappa</v>
          </cell>
          <cell r="AJ1923" t="str">
            <v>Surgery</v>
          </cell>
          <cell r="AK1923" t="str">
            <v>Primary</v>
          </cell>
          <cell r="AS1923" t="str">
            <v>Squamous Cell Carcinoma</v>
          </cell>
          <cell r="AV1923">
            <v>44527</v>
          </cell>
          <cell r="AW1923">
            <v>0.59375</v>
          </cell>
          <cell r="AX1923">
            <v>0.68819444444444444</v>
          </cell>
          <cell r="AY1923">
            <v>9.4444444444444442E-2</v>
          </cell>
          <cell r="AZ1923">
            <v>6.3194444444444442E-2</v>
          </cell>
          <cell r="BA1923">
            <v>0.15069444444444444</v>
          </cell>
          <cell r="BB1923" t="str">
            <v>0.4*1.0*0.8
0.2*0.8*0.8</v>
          </cell>
          <cell r="BC1923" t="str">
            <v>0.4*1.0*0.8
0.2*0.8*0.8</v>
          </cell>
          <cell r="BD1923" t="str">
            <v>2*4*450</v>
          </cell>
          <cell r="BE1923">
            <v>15</v>
          </cell>
          <cell r="BF1923" t="str">
            <v>Gowri</v>
          </cell>
          <cell r="BG1923" t="str">
            <v>Q</v>
          </cell>
        </row>
        <row r="1924">
          <cell r="A1924" t="str">
            <v>FBR1N210217-TAT24</v>
          </cell>
          <cell r="B1924">
            <v>210217</v>
          </cell>
          <cell r="C1924" t="str">
            <v>R&amp;D</v>
          </cell>
          <cell r="D1924">
            <v>44527</v>
          </cell>
          <cell r="E1924">
            <v>0.44305555555555554</v>
          </cell>
          <cell r="F1924">
            <v>44501</v>
          </cell>
          <cell r="G1924">
            <v>44527</v>
          </cell>
          <cell r="H1924">
            <v>0.53055555555555556</v>
          </cell>
          <cell r="I1924">
            <v>8.7499999999999994E-2</v>
          </cell>
          <cell r="J1924">
            <v>2</v>
          </cell>
          <cell r="K1924" t="str">
            <v>FCB-PROTOCOL-01_v1</v>
          </cell>
          <cell r="L1924" t="str">
            <v>VYD/050</v>
          </cell>
          <cell r="M1924" t="str">
            <v>Y</v>
          </cell>
          <cell r="N1924" t="str">
            <v>Extended TAT_Hemarina</v>
          </cell>
          <cell r="O1924" t="str">
            <v>Internal R&amp;D</v>
          </cell>
          <cell r="S1924" t="str">
            <v>Q1 Passed</v>
          </cell>
          <cell r="W1924" t="str">
            <v>Clinic'les</v>
          </cell>
          <cell r="X1924" t="str">
            <v>Clinic'les- Vydehi Hospital, Bangalore</v>
          </cell>
          <cell r="Y1924" t="str">
            <v>Vydehi Hospital, Bangalore</v>
          </cell>
          <cell r="Z1924" t="str">
            <v>Dr Amritha Prabha, Bangalore</v>
          </cell>
          <cell r="AA1924" t="str">
            <v>HNSCC</v>
          </cell>
          <cell r="AC1924" t="str">
            <v>Alveolus &amp; Buccal Mucosa</v>
          </cell>
          <cell r="AD1924" t="str">
            <v>Left Lower Alveolus &amp; Buccal Mucosa</v>
          </cell>
          <cell r="AE1924" t="str">
            <v>Female</v>
          </cell>
          <cell r="AF1924">
            <v>58</v>
          </cell>
          <cell r="AG1924" t="str">
            <v>No</v>
          </cell>
          <cell r="AI1924" t="str">
            <v>Kalappa</v>
          </cell>
          <cell r="AJ1924" t="str">
            <v>Surgery</v>
          </cell>
          <cell r="AK1924" t="str">
            <v>Primary</v>
          </cell>
          <cell r="AS1924" t="str">
            <v>Squamous Cell Carcinoma</v>
          </cell>
          <cell r="AV1924">
            <v>44528</v>
          </cell>
          <cell r="AW1924">
            <v>0.61111111111111116</v>
          </cell>
          <cell r="AX1924">
            <v>0.66666666666666663</v>
          </cell>
          <cell r="AY1924">
            <v>5.5555555555555552E-2</v>
          </cell>
          <cell r="AZ1924">
            <v>8.0555555555555561E-2</v>
          </cell>
          <cell r="BA1924">
            <v>0.16805555555555557</v>
          </cell>
          <cell r="BB1924" t="str">
            <v>0.4*1.0*0.8
0.2*1.0*0.8</v>
          </cell>
          <cell r="BC1924" t="str">
            <v>0.4*1.0*0.8
0.2*1.0*0.8</v>
          </cell>
          <cell r="BD1924" t="str">
            <v>2*4*450</v>
          </cell>
          <cell r="BE1924">
            <v>15</v>
          </cell>
          <cell r="BF1924" t="str">
            <v>Kowshik</v>
          </cell>
          <cell r="BG1924" t="str">
            <v>Q</v>
          </cell>
        </row>
        <row r="1925">
          <cell r="A1925" t="str">
            <v>FBR1N210218</v>
          </cell>
          <cell r="B1925">
            <v>210218</v>
          </cell>
          <cell r="C1925" t="str">
            <v>R&amp;D</v>
          </cell>
          <cell r="D1925">
            <v>44527</v>
          </cell>
          <cell r="E1925">
            <v>0.7270833333333333</v>
          </cell>
          <cell r="F1925">
            <v>44501</v>
          </cell>
          <cell r="G1925">
            <v>44527</v>
          </cell>
          <cell r="H1925">
            <v>0.80208333333333337</v>
          </cell>
          <cell r="I1925">
            <v>7.4999999999999997E-2</v>
          </cell>
          <cell r="J1925">
            <v>2</v>
          </cell>
          <cell r="K1925" t="str">
            <v>FCB-PROTOCOL-01_v1</v>
          </cell>
          <cell r="L1925" t="str">
            <v>CLN/PRA/01/0139</v>
          </cell>
          <cell r="M1925" t="str">
            <v>Y</v>
          </cell>
          <cell r="N1925" t="str">
            <v>Extended TAT_Hemarina</v>
          </cell>
          <cell r="O1925" t="str">
            <v>Internal R&amp;D</v>
          </cell>
          <cell r="S1925" t="str">
            <v>Q1 Passed</v>
          </cell>
          <cell r="V1925" t="str">
            <v>High grade SCC, good tumor content</v>
          </cell>
          <cell r="W1925" t="str">
            <v>Clinic'les</v>
          </cell>
          <cell r="X1925" t="str">
            <v>Clinic'les- Dr Prakash BV, Bangalore</v>
          </cell>
          <cell r="Y1925" t="str">
            <v>Sri Lakshmi Hospital, Bangalore</v>
          </cell>
          <cell r="Z1925" t="str">
            <v>Dr Prakash BV, Bangalore</v>
          </cell>
          <cell r="AA1925" t="str">
            <v>HNSCC</v>
          </cell>
          <cell r="AC1925" t="str">
            <v>Mandible</v>
          </cell>
          <cell r="AD1925" t="str">
            <v>Mandibular Tumor</v>
          </cell>
          <cell r="AE1925" t="str">
            <v>Female</v>
          </cell>
          <cell r="AF1925">
            <v>45</v>
          </cell>
          <cell r="AG1925" t="str">
            <v>No</v>
          </cell>
          <cell r="AI1925" t="str">
            <v>Sashi</v>
          </cell>
          <cell r="AJ1925" t="str">
            <v>Surgery</v>
          </cell>
          <cell r="AK1925" t="str">
            <v>Primary</v>
          </cell>
          <cell r="AN1925" t="str">
            <v>IVA</v>
          </cell>
          <cell r="AO1925" t="str">
            <v>II</v>
          </cell>
          <cell r="AP1925" t="str">
            <v>pT4aN0M0</v>
          </cell>
          <cell r="AS1925" t="str">
            <v>Chondrosarcoma?</v>
          </cell>
          <cell r="AT1925" t="str">
            <v>Radiotherapy</v>
          </cell>
          <cell r="AV1925">
            <v>44527</v>
          </cell>
          <cell r="AW1925">
            <v>0.82986111111111116</v>
          </cell>
          <cell r="AX1925">
            <v>0.8618055555555556</v>
          </cell>
          <cell r="BB1925" t="str">
            <v>0.4*1.6*1.2</v>
          </cell>
          <cell r="BD1925" t="str">
            <v>2*4*450</v>
          </cell>
          <cell r="BE1925">
            <v>15</v>
          </cell>
          <cell r="BF1925" t="str">
            <v>GS</v>
          </cell>
          <cell r="BG1925" t="str">
            <v>Q</v>
          </cell>
        </row>
        <row r="1926">
          <cell r="A1926" t="str">
            <v>FBR1J210219</v>
          </cell>
          <cell r="B1926">
            <v>210219</v>
          </cell>
          <cell r="C1926" t="str">
            <v>R&amp;D</v>
          </cell>
          <cell r="D1926">
            <v>44528</v>
          </cell>
          <cell r="E1926">
            <v>0.75138888888888888</v>
          </cell>
          <cell r="F1926">
            <v>44501</v>
          </cell>
          <cell r="G1926">
            <v>44528</v>
          </cell>
          <cell r="H1926">
            <v>0.83472222222222225</v>
          </cell>
          <cell r="I1926">
            <v>8.3333333333333329E-2</v>
          </cell>
          <cell r="J1926">
            <v>2</v>
          </cell>
          <cell r="K1926" t="str">
            <v>FCB-PROTOCOL-01_v1</v>
          </cell>
          <cell r="L1926" t="str">
            <v>CLN/PRA/01/0140</v>
          </cell>
          <cell r="M1926" t="str">
            <v>Y</v>
          </cell>
          <cell r="N1926" t="str">
            <v>COS_V3</v>
          </cell>
          <cell r="O1926" t="str">
            <v>Internal R&amp;D</v>
          </cell>
          <cell r="S1926" t="str">
            <v>Q1 Passed</v>
          </cell>
          <cell r="V1926" t="str">
            <v>No tumor</v>
          </cell>
          <cell r="W1926" t="str">
            <v>Clinic'les</v>
          </cell>
          <cell r="X1926" t="str">
            <v>Clinic'les- Dr Prakash BV, Bangalore</v>
          </cell>
          <cell r="Y1926" t="str">
            <v>Sri Lakshmi Hospital, Bangalore</v>
          </cell>
          <cell r="Z1926" t="str">
            <v>Dr Prakash BV, Bangalore</v>
          </cell>
          <cell r="AA1926" t="str">
            <v>GI</v>
          </cell>
          <cell r="AB1926" t="str">
            <v>Stomach</v>
          </cell>
          <cell r="AC1926" t="str">
            <v>Antrum</v>
          </cell>
          <cell r="AD1926" t="str">
            <v>Distal (Antrum)</v>
          </cell>
          <cell r="AE1926" t="str">
            <v>Female</v>
          </cell>
          <cell r="AF1926">
            <v>50</v>
          </cell>
          <cell r="AG1926" t="str">
            <v>No</v>
          </cell>
          <cell r="AI1926" t="str">
            <v>Sashi</v>
          </cell>
          <cell r="AJ1926" t="str">
            <v>Surgery</v>
          </cell>
          <cell r="AK1926" t="str">
            <v>Primary</v>
          </cell>
          <cell r="AL1926" t="str">
            <v>Chemotherapy</v>
          </cell>
          <cell r="AN1926" t="str">
            <v>III</v>
          </cell>
          <cell r="AO1926" t="str">
            <v>II</v>
          </cell>
          <cell r="AP1926" t="str">
            <v>pT3N2M0</v>
          </cell>
          <cell r="AQ1926" t="str">
            <v>4 cycles</v>
          </cell>
          <cell r="AR1926" t="str">
            <v>5FU+ Leucovorin+ Oxaloplatin+ Docetaxel</v>
          </cell>
          <cell r="AS1926" t="str">
            <v>Adenocarcinoma</v>
          </cell>
          <cell r="AV1926">
            <v>44529</v>
          </cell>
          <cell r="AW1926">
            <v>0.33333333333333331</v>
          </cell>
          <cell r="AX1926">
            <v>0.38541666666666669</v>
          </cell>
          <cell r="BB1926" t="str">
            <v>1.0*1.6*3.2</v>
          </cell>
          <cell r="BD1926" t="str">
            <v>Manual</v>
          </cell>
          <cell r="BE1926">
            <v>15</v>
          </cell>
          <cell r="BF1926" t="str">
            <v>KJ</v>
          </cell>
          <cell r="BG1926" t="str">
            <v>Q</v>
          </cell>
        </row>
        <row r="1927">
          <cell r="A1927" t="str">
            <v>FBB1D210220</v>
          </cell>
          <cell r="B1927">
            <v>210220</v>
          </cell>
          <cell r="C1927" t="str">
            <v>Biopharma</v>
          </cell>
          <cell r="D1927">
            <v>44530</v>
          </cell>
          <cell r="E1927">
            <v>0.61111111111111116</v>
          </cell>
          <cell r="F1927">
            <v>44501</v>
          </cell>
          <cell r="G1927">
            <v>44530</v>
          </cell>
          <cell r="H1927">
            <v>0.94097222222222221</v>
          </cell>
          <cell r="I1927">
            <v>0.3298611111111111</v>
          </cell>
          <cell r="J1927">
            <v>2</v>
          </cell>
          <cell r="K1927" t="str">
            <v>FCB-PROTOCOL-01_v1</v>
          </cell>
          <cell r="L1927" t="str">
            <v>CLN/DBR/047</v>
          </cell>
          <cell r="M1927" t="str">
            <v>Y</v>
          </cell>
          <cell r="N1927" t="str">
            <v>BP005_SOW1_2021</v>
          </cell>
          <cell r="O1927" t="str">
            <v>Biopharma</v>
          </cell>
          <cell r="S1927" t="str">
            <v>Q1 Passed</v>
          </cell>
          <cell r="V1927" t="str">
            <v>Good tumor content</v>
          </cell>
          <cell r="W1927" t="str">
            <v>Clinic'les</v>
          </cell>
          <cell r="X1927" t="str">
            <v>Clinic'les- DBR &amp; SK Hospital, Tirupati</v>
          </cell>
          <cell r="Y1927" t="str">
            <v>DBR &amp; SK Hospital, Tirupati</v>
          </cell>
          <cell r="Z1927" t="str">
            <v>Dr C Jayaprakash, Tirupati</v>
          </cell>
          <cell r="AA1927" t="str">
            <v>HNSCC</v>
          </cell>
          <cell r="AC1927" t="str">
            <v>Buccal Mucosa</v>
          </cell>
          <cell r="AD1927" t="str">
            <v>Buccal Mucosa</v>
          </cell>
          <cell r="AE1927" t="str">
            <v>Female</v>
          </cell>
          <cell r="AF1927">
            <v>34</v>
          </cell>
          <cell r="AG1927" t="str">
            <v>No</v>
          </cell>
          <cell r="AI1927" t="str">
            <v>Kalappa</v>
          </cell>
          <cell r="AJ1927" t="str">
            <v>Surgery</v>
          </cell>
          <cell r="AK1927" t="str">
            <v>Primary</v>
          </cell>
          <cell r="AN1927" t="str">
            <v>IVA</v>
          </cell>
          <cell r="AP1927" t="str">
            <v>pT2N2Mx</v>
          </cell>
          <cell r="AS1927" t="str">
            <v>Squamous Cell Carcinoma</v>
          </cell>
          <cell r="AV1927">
            <v>44530</v>
          </cell>
          <cell r="AW1927">
            <v>0.96180555555555558</v>
          </cell>
          <cell r="AX1927">
            <v>2.7777777777777776E-2</v>
          </cell>
          <cell r="BB1927" t="str">
            <v>1.0*1.4*2.6</v>
          </cell>
          <cell r="BD1927" t="str">
            <v>Vibrotome</v>
          </cell>
          <cell r="BE1927">
            <v>15</v>
          </cell>
          <cell r="BF1927" t="str">
            <v>VK</v>
          </cell>
          <cell r="BG1927" t="str">
            <v>Q</v>
          </cell>
        </row>
        <row r="1928">
          <cell r="A1928" t="str">
            <v>FBB1D210221</v>
          </cell>
          <cell r="B1928">
            <v>210221</v>
          </cell>
          <cell r="C1928" t="str">
            <v>Biopharma</v>
          </cell>
          <cell r="D1928">
            <v>44531</v>
          </cell>
          <cell r="E1928">
            <v>0.38819444444444445</v>
          </cell>
          <cell r="F1928">
            <v>44531</v>
          </cell>
          <cell r="G1928">
            <v>44531</v>
          </cell>
          <cell r="H1928">
            <v>0.46944444444444444</v>
          </cell>
          <cell r="I1928">
            <v>8.1250000000000003E-2</v>
          </cell>
          <cell r="J1928">
            <v>6</v>
          </cell>
          <cell r="K1928" t="str">
            <v>FCB-PROTOCOL-01_v1</v>
          </cell>
          <cell r="L1928" t="str">
            <v>VYD/051</v>
          </cell>
          <cell r="M1928" t="str">
            <v>Y</v>
          </cell>
          <cell r="N1928" t="str">
            <v>BP005_SOW1_2021</v>
          </cell>
          <cell r="O1928" t="str">
            <v>Biopharma</v>
          </cell>
          <cell r="S1928" t="str">
            <v>Q1 Passed</v>
          </cell>
          <cell r="V1928" t="str">
            <v>Good tumor content. Some explants have a high immune component</v>
          </cell>
          <cell r="W1928" t="str">
            <v>Clinic'les</v>
          </cell>
          <cell r="X1928" t="str">
            <v>Clinic'les- Vydehi Hospital, Bangalore</v>
          </cell>
          <cell r="Y1928" t="str">
            <v>Vydehi Hospital, Bangalore</v>
          </cell>
          <cell r="Z1928" t="str">
            <v>Dr Amritha Prabha, Bangalore</v>
          </cell>
          <cell r="AA1928" t="str">
            <v>HNSCC</v>
          </cell>
          <cell r="AC1928" t="str">
            <v>Tongue</v>
          </cell>
          <cell r="AD1928" t="str">
            <v>Left Lateral border of tongue</v>
          </cell>
          <cell r="AE1928" t="str">
            <v>Female</v>
          </cell>
          <cell r="AF1928">
            <v>56</v>
          </cell>
          <cell r="AG1928" t="str">
            <v>No</v>
          </cell>
          <cell r="AI1928" t="str">
            <v>Kalappa</v>
          </cell>
          <cell r="AJ1928" t="str">
            <v>Surgery</v>
          </cell>
          <cell r="AK1928" t="str">
            <v>Primary</v>
          </cell>
          <cell r="AN1928" t="str">
            <v>III</v>
          </cell>
          <cell r="AO1928">
            <v>2</v>
          </cell>
          <cell r="AP1928" t="str">
            <v>pT3N0</v>
          </cell>
          <cell r="AS1928" t="str">
            <v>Squamous Cell Carcinoma</v>
          </cell>
          <cell r="AV1928">
            <v>44531</v>
          </cell>
          <cell r="AW1928">
            <v>0.52222222222222225</v>
          </cell>
          <cell r="AX1928">
            <v>0.59861111111111109</v>
          </cell>
          <cell r="BB1928" t="str">
            <v>0.6*1.4*1.8
0.4*0.8*0.8</v>
          </cell>
          <cell r="BD1928" t="str">
            <v>Vibrotome</v>
          </cell>
          <cell r="BE1928">
            <v>15</v>
          </cell>
          <cell r="BF1928" t="str">
            <v>GS</v>
          </cell>
          <cell r="BG1928" t="str">
            <v>Q</v>
          </cell>
        </row>
        <row r="1929">
          <cell r="A1929" t="str">
            <v>FBR1N210218</v>
          </cell>
          <cell r="B1929">
            <v>210218</v>
          </cell>
          <cell r="C1929" t="str">
            <v>R&amp;D</v>
          </cell>
          <cell r="D1929">
            <v>44527</v>
          </cell>
          <cell r="E1929">
            <v>0.7270833333333333</v>
          </cell>
          <cell r="F1929">
            <v>44501</v>
          </cell>
          <cell r="G1929">
            <v>44527</v>
          </cell>
          <cell r="H1929">
            <v>0.80208333333333337</v>
          </cell>
          <cell r="I1929">
            <v>7.4999999999999997E-2</v>
          </cell>
          <cell r="J1929">
            <v>2</v>
          </cell>
          <cell r="K1929" t="str">
            <v>FCB-PROTOCOL-01_v1</v>
          </cell>
          <cell r="L1929" t="str">
            <v>CLN/PRA/01/0139</v>
          </cell>
          <cell r="M1929" t="str">
            <v>Y</v>
          </cell>
          <cell r="N1929" t="str">
            <v>Extended TAT_Hemarina</v>
          </cell>
          <cell r="O1929" t="str">
            <v>Internal R&amp;D</v>
          </cell>
          <cell r="S1929" t="str">
            <v>Q1 Passed</v>
          </cell>
          <cell r="V1929" t="str">
            <v>High grade SCC, good tumor content</v>
          </cell>
          <cell r="W1929" t="str">
            <v>Clinic'les</v>
          </cell>
          <cell r="X1929" t="str">
            <v>Clinic'les- Dr Prakash BV, Bangalore</v>
          </cell>
          <cell r="Y1929" t="str">
            <v>Sri Lakshmi Hospital, Bangalore</v>
          </cell>
          <cell r="Z1929" t="str">
            <v>Dr Prakash BV, Bangalore</v>
          </cell>
          <cell r="AA1929" t="str">
            <v>HNSCC</v>
          </cell>
          <cell r="AC1929" t="str">
            <v>Mandible</v>
          </cell>
          <cell r="AD1929" t="str">
            <v>Mandibular Tumor</v>
          </cell>
          <cell r="AE1929" t="str">
            <v>Female</v>
          </cell>
          <cell r="AF1929">
            <v>45</v>
          </cell>
          <cell r="AG1929" t="str">
            <v>No</v>
          </cell>
          <cell r="AI1929" t="str">
            <v>Sashi</v>
          </cell>
          <cell r="AJ1929" t="str">
            <v>Surgery</v>
          </cell>
          <cell r="AK1929" t="str">
            <v>Primary</v>
          </cell>
          <cell r="AN1929" t="str">
            <v>IVA</v>
          </cell>
          <cell r="AO1929" t="str">
            <v>II</v>
          </cell>
          <cell r="AP1929" t="str">
            <v>pT4aN0M0</v>
          </cell>
          <cell r="AS1929" t="str">
            <v>Chondrosarcoma?</v>
          </cell>
          <cell r="AT1929" t="str">
            <v>Radiotherapy</v>
          </cell>
          <cell r="AV1929">
            <v>44528</v>
          </cell>
          <cell r="AW1929">
            <v>0.8125</v>
          </cell>
          <cell r="AX1929">
            <v>0.85416666666666663</v>
          </cell>
          <cell r="BB1929" t="str">
            <v>0.4*1.0*2.2</v>
          </cell>
          <cell r="BD1929" t="str">
            <v>2*4*450</v>
          </cell>
          <cell r="BE1929">
            <v>15</v>
          </cell>
          <cell r="BF1929" t="str">
            <v>Manimaran</v>
          </cell>
          <cell r="BG1929" t="str">
            <v>Q</v>
          </cell>
        </row>
        <row r="1930">
          <cell r="A1930" t="str">
            <v>FBR1N210222</v>
          </cell>
          <cell r="B1930">
            <v>210222</v>
          </cell>
          <cell r="C1930" t="str">
            <v>R&amp;D</v>
          </cell>
          <cell r="D1930">
            <v>44531</v>
          </cell>
          <cell r="E1930">
            <v>0.56041666666666667</v>
          </cell>
          <cell r="F1930">
            <v>44531</v>
          </cell>
          <cell r="G1930">
            <v>44531</v>
          </cell>
          <cell r="H1930">
            <v>0.91666666666666663</v>
          </cell>
          <cell r="I1930">
            <v>0.35625000000000001</v>
          </cell>
          <cell r="J1930">
            <v>2</v>
          </cell>
          <cell r="K1930" t="str">
            <v>FCB-PROTOCOL-01_v1</v>
          </cell>
          <cell r="L1930" t="str">
            <v>CLN/DBR/048</v>
          </cell>
          <cell r="M1930" t="str">
            <v>Y</v>
          </cell>
          <cell r="N1930" t="str">
            <v>Extended TAT_Hemarina</v>
          </cell>
          <cell r="O1930" t="str">
            <v>Internal R&amp;D</v>
          </cell>
          <cell r="S1930" t="str">
            <v>Q1 Passed</v>
          </cell>
          <cell r="V1930" t="str">
            <v>Scanty to moderate tumor content in 6/7 explants with high immune component</v>
          </cell>
          <cell r="W1930" t="str">
            <v>Clinic'les</v>
          </cell>
          <cell r="X1930" t="str">
            <v>Clinic'les- DBR &amp; SK Hospital, Tirupati</v>
          </cell>
          <cell r="Y1930" t="str">
            <v>DBR &amp; SK Hospital, Tirupati</v>
          </cell>
          <cell r="Z1930" t="str">
            <v>Dr C Jayaprakash, Tirupati</v>
          </cell>
          <cell r="AA1930" t="str">
            <v>HNSCC</v>
          </cell>
          <cell r="AC1930" t="str">
            <v>Buccal Mucosa</v>
          </cell>
          <cell r="AD1930" t="str">
            <v>Buccal Mucosa</v>
          </cell>
          <cell r="AE1930" t="str">
            <v>Female</v>
          </cell>
          <cell r="AF1930">
            <v>49</v>
          </cell>
          <cell r="AG1930" t="str">
            <v>No</v>
          </cell>
          <cell r="AI1930" t="str">
            <v>Sashi</v>
          </cell>
          <cell r="AJ1930" t="str">
            <v>Surgery</v>
          </cell>
          <cell r="AK1930" t="str">
            <v>Primary</v>
          </cell>
          <cell r="AS1930" t="str">
            <v>Squamous Cell Carcinoma</v>
          </cell>
          <cell r="AV1930">
            <v>44531</v>
          </cell>
          <cell r="AW1930">
            <v>0.92708333333333337</v>
          </cell>
          <cell r="AX1930">
            <v>0</v>
          </cell>
          <cell r="BB1930" t="str">
            <v>0.8*1.8*2.0</v>
          </cell>
          <cell r="BD1930" t="str">
            <v>2*4*450</v>
          </cell>
          <cell r="BE1930">
            <v>15</v>
          </cell>
          <cell r="BF1930" t="str">
            <v>Manimaran</v>
          </cell>
          <cell r="BG1930" t="str">
            <v>Q</v>
          </cell>
        </row>
        <row r="1931">
          <cell r="A1931" t="str">
            <v>FBR1N210222-TAT24</v>
          </cell>
          <cell r="B1931">
            <v>210222</v>
          </cell>
          <cell r="C1931" t="str">
            <v>R&amp;D</v>
          </cell>
          <cell r="D1931">
            <v>44531</v>
          </cell>
          <cell r="E1931">
            <v>0.56041666666666667</v>
          </cell>
          <cell r="F1931">
            <v>44531</v>
          </cell>
          <cell r="G1931">
            <v>44531</v>
          </cell>
          <cell r="H1931">
            <v>0.91666666666666663</v>
          </cell>
          <cell r="I1931">
            <v>0.35625000000000001</v>
          </cell>
          <cell r="J1931">
            <v>2</v>
          </cell>
          <cell r="K1931" t="str">
            <v>FCB-PROTOCOL-01_v1</v>
          </cell>
          <cell r="L1931" t="str">
            <v>CLN/DBR/048</v>
          </cell>
          <cell r="M1931" t="str">
            <v>Y</v>
          </cell>
          <cell r="N1931" t="str">
            <v>Extended TAT_Hemarina</v>
          </cell>
          <cell r="O1931" t="str">
            <v>Internal R&amp;D</v>
          </cell>
          <cell r="S1931" t="str">
            <v>Q1 Passed</v>
          </cell>
          <cell r="V1931" t="str">
            <v>Scanty to moderate tumor content in 6/7 explants with high immune component</v>
          </cell>
          <cell r="W1931" t="str">
            <v>Clinic'les</v>
          </cell>
          <cell r="X1931" t="str">
            <v>Clinic'les- DBR &amp; SK Hospital, Tirupati</v>
          </cell>
          <cell r="Y1931" t="str">
            <v>DBR &amp; SK Hospital, Tirupati</v>
          </cell>
          <cell r="Z1931" t="str">
            <v>Dr C Jayaprakash, Tirupati</v>
          </cell>
          <cell r="AA1931" t="str">
            <v>HNSCC</v>
          </cell>
          <cell r="AC1931" t="str">
            <v>Buccal Mucosa</v>
          </cell>
          <cell r="AD1931" t="str">
            <v>Buccal Mucosa</v>
          </cell>
          <cell r="AE1931" t="str">
            <v>Female</v>
          </cell>
          <cell r="AF1931">
            <v>49</v>
          </cell>
          <cell r="AG1931" t="str">
            <v>No</v>
          </cell>
          <cell r="AI1931" t="str">
            <v>Sashi</v>
          </cell>
          <cell r="AJ1931" t="str">
            <v>Surgery</v>
          </cell>
          <cell r="AK1931" t="str">
            <v>Primary</v>
          </cell>
          <cell r="AS1931" t="str">
            <v>Squamous Cell Carcinoma</v>
          </cell>
          <cell r="AV1931">
            <v>44532</v>
          </cell>
          <cell r="AW1931">
            <v>0.61458333333333337</v>
          </cell>
          <cell r="AX1931">
            <v>0.68055555555555558</v>
          </cell>
          <cell r="BB1931" t="str">
            <v>0.4*1.2*1.2
0.4*1.2*1.4
0.2*1.8*1.4</v>
          </cell>
          <cell r="BD1931" t="str">
            <v>2*4*450</v>
          </cell>
          <cell r="BE1931">
            <v>15</v>
          </cell>
          <cell r="BF1931" t="str">
            <v>GS</v>
          </cell>
          <cell r="BG1931" t="str">
            <v>Q</v>
          </cell>
        </row>
        <row r="1932">
          <cell r="A1932" t="str">
            <v>FBB1E210223</v>
          </cell>
          <cell r="B1932">
            <v>210223</v>
          </cell>
          <cell r="C1932" t="str">
            <v>Biopharma</v>
          </cell>
          <cell r="D1932">
            <v>44533</v>
          </cell>
          <cell r="E1932">
            <v>0.48819444444444443</v>
          </cell>
          <cell r="F1932">
            <v>44531</v>
          </cell>
          <cell r="G1932">
            <v>44533</v>
          </cell>
          <cell r="H1932">
            <v>0.55069444444444449</v>
          </cell>
          <cell r="I1932">
            <v>6.25E-2</v>
          </cell>
          <cell r="J1932">
            <v>6</v>
          </cell>
          <cell r="K1932" t="str">
            <v>FCB-PROTOCOL-01_v1</v>
          </cell>
          <cell r="L1932" t="str">
            <v>VYD/052</v>
          </cell>
          <cell r="M1932" t="str">
            <v>Y</v>
          </cell>
          <cell r="N1932" t="str">
            <v>BP006_SOW1_2021</v>
          </cell>
          <cell r="O1932" t="str">
            <v>Biopharma</v>
          </cell>
          <cell r="S1932" t="str">
            <v>Q1 Rejected</v>
          </cell>
          <cell r="U1932" t="str">
            <v>Blood sample was hemolyzed</v>
          </cell>
          <cell r="V1932" t="str">
            <v>Scanty tumor in 2/7 explants. Others no tumor</v>
          </cell>
          <cell r="W1932" t="str">
            <v>Clinic'les</v>
          </cell>
          <cell r="X1932" t="str">
            <v>Clinic'les- Vydehi Hospital, Bangalore</v>
          </cell>
          <cell r="Y1932" t="str">
            <v>Vydehi Hospital, Bangalore</v>
          </cell>
          <cell r="Z1932" t="str">
            <v>Dr Amritha Prabha, Bangalore</v>
          </cell>
          <cell r="AA1932" t="str">
            <v>HNSCC</v>
          </cell>
          <cell r="AC1932" t="str">
            <v>Buccal Mucosa</v>
          </cell>
          <cell r="AD1932" t="str">
            <v>Left Buccal Mucosa</v>
          </cell>
          <cell r="AE1932" t="str">
            <v>Male</v>
          </cell>
          <cell r="AF1932">
            <v>39</v>
          </cell>
          <cell r="AG1932" t="str">
            <v>No</v>
          </cell>
          <cell r="AI1932" t="str">
            <v>Kalappa</v>
          </cell>
          <cell r="AJ1932" t="str">
            <v>Surgery</v>
          </cell>
          <cell r="AK1932" t="str">
            <v>Primary</v>
          </cell>
          <cell r="AS1932" t="str">
            <v>Squamous Cell Carcinoma</v>
          </cell>
          <cell r="AV1932">
            <v>44533</v>
          </cell>
          <cell r="AW1932">
            <v>0.66319444444444442</v>
          </cell>
          <cell r="AX1932">
            <v>0.76944444444444449</v>
          </cell>
          <cell r="BB1932" t="str">
            <v>1.0*2.0*1.6</v>
          </cell>
          <cell r="BD1932" t="str">
            <v>2*4*450</v>
          </cell>
          <cell r="BE1932">
            <v>4</v>
          </cell>
          <cell r="BF1932" t="str">
            <v>GS</v>
          </cell>
          <cell r="BG1932" t="str">
            <v>NQ</v>
          </cell>
        </row>
        <row r="1933">
          <cell r="A1933" t="str">
            <v>FBR1N210224</v>
          </cell>
          <cell r="B1933">
            <v>210224</v>
          </cell>
          <cell r="C1933" t="str">
            <v>R&amp;D</v>
          </cell>
          <cell r="D1933">
            <v>44533</v>
          </cell>
          <cell r="E1933">
            <v>0.53611111111111109</v>
          </cell>
          <cell r="F1933">
            <v>44531</v>
          </cell>
          <cell r="G1933">
            <v>44533</v>
          </cell>
          <cell r="H1933">
            <v>0.86458333333333337</v>
          </cell>
          <cell r="I1933">
            <v>0.32847222222222222</v>
          </cell>
          <cell r="J1933">
            <v>2</v>
          </cell>
          <cell r="K1933" t="str">
            <v>FCB-PROTOCOL-01_v1</v>
          </cell>
          <cell r="L1933" t="str">
            <v>CLN/DBR/049</v>
          </cell>
          <cell r="M1933" t="str">
            <v>Y</v>
          </cell>
          <cell r="N1933" t="str">
            <v>Extended TAT_Hemarina</v>
          </cell>
          <cell r="O1933" t="str">
            <v>Internal R&amp;D</v>
          </cell>
          <cell r="S1933" t="str">
            <v>Q1 Passed</v>
          </cell>
          <cell r="V1933" t="str">
            <v>Good tumor content.</v>
          </cell>
          <cell r="W1933" t="str">
            <v>Clinic'les</v>
          </cell>
          <cell r="X1933" t="str">
            <v>Clinic'les- DBR &amp; SK Hospital, Tirupati</v>
          </cell>
          <cell r="Y1933" t="str">
            <v>DBR &amp; SK Hospital, Tirupati</v>
          </cell>
          <cell r="Z1933" t="str">
            <v>Dr C Jayaprakash, Tirupati</v>
          </cell>
          <cell r="AA1933" t="str">
            <v>HNSCC</v>
          </cell>
          <cell r="AC1933" t="str">
            <v>Buccal Mucosa</v>
          </cell>
          <cell r="AD1933" t="str">
            <v>Buccal Mucosa</v>
          </cell>
          <cell r="AE1933" t="str">
            <v>Female</v>
          </cell>
          <cell r="AF1933">
            <v>65</v>
          </cell>
          <cell r="AG1933" t="str">
            <v>No</v>
          </cell>
          <cell r="AI1933" t="str">
            <v>Partha</v>
          </cell>
          <cell r="AJ1933" t="str">
            <v>Surgery</v>
          </cell>
          <cell r="AK1933" t="str">
            <v>Primary</v>
          </cell>
          <cell r="AS1933" t="str">
            <v>Squamous Cell Carcinoma</v>
          </cell>
          <cell r="AV1933">
            <v>44533</v>
          </cell>
          <cell r="AW1933">
            <v>0.88194444444444442</v>
          </cell>
          <cell r="AX1933">
            <v>0.96805555555555556</v>
          </cell>
          <cell r="BB1933" t="str">
            <v>0.55*1.0*1.6</v>
          </cell>
          <cell r="BD1933" t="str">
            <v>2*4*450</v>
          </cell>
          <cell r="BE1933">
            <v>4</v>
          </cell>
          <cell r="BF1933" t="str">
            <v>VK</v>
          </cell>
          <cell r="BG1933" t="str">
            <v>Q</v>
          </cell>
        </row>
        <row r="1934">
          <cell r="A1934" t="str">
            <v>FBR1N210224-TAT24</v>
          </cell>
          <cell r="B1934">
            <v>210224</v>
          </cell>
          <cell r="C1934" t="str">
            <v>R&amp;D</v>
          </cell>
          <cell r="D1934">
            <v>44533</v>
          </cell>
          <cell r="E1934">
            <v>0.53611111111111109</v>
          </cell>
          <cell r="F1934">
            <v>44531</v>
          </cell>
          <cell r="G1934">
            <v>44533</v>
          </cell>
          <cell r="H1934">
            <v>0.86458333333333337</v>
          </cell>
          <cell r="I1934">
            <v>0.32847222222222222</v>
          </cell>
          <cell r="J1934">
            <v>2</v>
          </cell>
          <cell r="K1934" t="str">
            <v>FCB-PROTOCOL-01_v1</v>
          </cell>
          <cell r="L1934" t="str">
            <v>CLN/DBR/049</v>
          </cell>
          <cell r="M1934" t="str">
            <v>Y</v>
          </cell>
          <cell r="N1934" t="str">
            <v>Extended TAT_Hemarina</v>
          </cell>
          <cell r="O1934" t="str">
            <v>Internal R&amp;D</v>
          </cell>
          <cell r="S1934" t="str">
            <v>Q1 Passed</v>
          </cell>
          <cell r="V1934" t="str">
            <v>Good tumor content.</v>
          </cell>
          <cell r="W1934" t="str">
            <v>Clinic'les</v>
          </cell>
          <cell r="X1934" t="str">
            <v>Clinic'les- DBR &amp; SK Hospital, Tirupati</v>
          </cell>
          <cell r="Y1934" t="str">
            <v>DBR &amp; SK Hospital, Tirupati</v>
          </cell>
          <cell r="Z1934" t="str">
            <v>Dr C Jayaprakash, Tirupati</v>
          </cell>
          <cell r="AA1934" t="str">
            <v>HNSCC</v>
          </cell>
          <cell r="AC1934" t="str">
            <v>Buccal Mucosa</v>
          </cell>
          <cell r="AD1934" t="str">
            <v>Buccal Mucosa</v>
          </cell>
          <cell r="AE1934" t="str">
            <v>Female</v>
          </cell>
          <cell r="AF1934">
            <v>65</v>
          </cell>
          <cell r="AG1934" t="str">
            <v>No</v>
          </cell>
          <cell r="AI1934" t="str">
            <v>Partha</v>
          </cell>
          <cell r="AJ1934" t="str">
            <v>Surgery</v>
          </cell>
          <cell r="AK1934" t="str">
            <v>Primary</v>
          </cell>
          <cell r="AS1934" t="str">
            <v>Squamous Cell Carcinoma</v>
          </cell>
          <cell r="AV1934">
            <v>44534</v>
          </cell>
          <cell r="AW1934">
            <v>0.63194444444444442</v>
          </cell>
          <cell r="AX1934">
            <v>0.69097222222222221</v>
          </cell>
          <cell r="BB1934" t="str">
            <v>0.4*0.8*1.4</v>
          </cell>
          <cell r="BD1934" t="str">
            <v>2*4*450</v>
          </cell>
          <cell r="BE1934">
            <v>4</v>
          </cell>
          <cell r="BF1934" t="str">
            <v>GS</v>
          </cell>
          <cell r="BG1934" t="str">
            <v>Q</v>
          </cell>
        </row>
        <row r="1935">
          <cell r="A1935" t="str">
            <v>FBR1J210225</v>
          </cell>
          <cell r="B1935">
            <v>210225</v>
          </cell>
          <cell r="C1935" t="str">
            <v>R&amp;D</v>
          </cell>
          <cell r="D1935">
            <v>44533</v>
          </cell>
          <cell r="E1935">
            <v>0.94236111111111109</v>
          </cell>
          <cell r="F1935">
            <v>44531</v>
          </cell>
          <cell r="G1935">
            <v>44533</v>
          </cell>
          <cell r="H1935">
            <v>0.97916666666666663</v>
          </cell>
          <cell r="I1935">
            <v>3.6805555555555557E-2</v>
          </cell>
          <cell r="J1935">
            <v>2</v>
          </cell>
          <cell r="K1935" t="str">
            <v>FCB-PROTOCOL-01_v1</v>
          </cell>
          <cell r="L1935" t="str">
            <v>CLN/PRA/01/0141</v>
          </cell>
          <cell r="M1935" t="str">
            <v>Y</v>
          </cell>
          <cell r="N1935" t="str">
            <v>COS_V3</v>
          </cell>
          <cell r="O1935" t="str">
            <v>Internal R&amp;D</v>
          </cell>
          <cell r="S1935" t="str">
            <v>Q1 Passed</v>
          </cell>
          <cell r="V1935" t="str">
            <v>High tumor content</v>
          </cell>
          <cell r="W1935" t="str">
            <v>Clinic'les</v>
          </cell>
          <cell r="X1935" t="str">
            <v>Clinic'les- Dr Prakash BV, Bangalore</v>
          </cell>
          <cell r="Y1935" t="str">
            <v>Sri Lakshmi Hospital, Bangalore</v>
          </cell>
          <cell r="Z1935" t="str">
            <v>Dr Prakash BV, Bangalore</v>
          </cell>
          <cell r="AA1935" t="str">
            <v>GI</v>
          </cell>
          <cell r="AB1935" t="str">
            <v>Stomach</v>
          </cell>
          <cell r="AC1935" t="str">
            <v>Stomach</v>
          </cell>
          <cell r="AD1935" t="str">
            <v>Antrum of Stomach</v>
          </cell>
          <cell r="AE1935" t="str">
            <v>Female</v>
          </cell>
          <cell r="AF1935">
            <v>56</v>
          </cell>
          <cell r="AG1935" t="str">
            <v>No</v>
          </cell>
          <cell r="AI1935" t="str">
            <v>Kalappa</v>
          </cell>
          <cell r="AJ1935" t="str">
            <v>Surgery</v>
          </cell>
          <cell r="AK1935" t="str">
            <v>Primary</v>
          </cell>
          <cell r="AL1935" t="str">
            <v>Chemotherapy</v>
          </cell>
          <cell r="AN1935" t="str">
            <v>III</v>
          </cell>
          <cell r="AO1935" t="str">
            <v>I</v>
          </cell>
          <cell r="AP1935" t="str">
            <v>pT2N1M0</v>
          </cell>
          <cell r="AQ1935" t="str">
            <v>3 cycles</v>
          </cell>
          <cell r="AR1935" t="str">
            <v>Epirubicin+ Oxaloplatin</v>
          </cell>
          <cell r="AS1935" t="str">
            <v>Adenocarcinoma</v>
          </cell>
          <cell r="AT1935" t="str">
            <v>3 cycles</v>
          </cell>
          <cell r="AU1935" t="str">
            <v>Epirubicin+ Oxaloplatin</v>
          </cell>
          <cell r="AV1935">
            <v>44534</v>
          </cell>
          <cell r="AW1935">
            <v>0.40972222222222221</v>
          </cell>
          <cell r="AX1935">
            <v>0.47916666666666669</v>
          </cell>
          <cell r="BB1935" t="str">
            <v>1.0*2.0*2.6</v>
          </cell>
          <cell r="BD1935" t="str">
            <v>Manual</v>
          </cell>
          <cell r="BE1935">
            <v>4</v>
          </cell>
          <cell r="BF1935" t="str">
            <v>GS</v>
          </cell>
          <cell r="BG1935" t="str">
            <v>Q</v>
          </cell>
        </row>
        <row r="1936">
          <cell r="A1936">
            <v>210226</v>
          </cell>
          <cell r="B1936">
            <v>210226</v>
          </cell>
          <cell r="D1936">
            <v>44537</v>
          </cell>
          <cell r="E1936">
            <v>0.82708333333333328</v>
          </cell>
          <cell r="F1936">
            <v>44531</v>
          </cell>
          <cell r="G1936">
            <v>44537</v>
          </cell>
          <cell r="H1936">
            <v>0.87569444444444444</v>
          </cell>
          <cell r="I1936">
            <v>4.8611111111111112E-2</v>
          </cell>
          <cell r="J1936">
            <v>2</v>
          </cell>
          <cell r="K1936" t="str">
            <v>FCB-PROTOCOL-01_v1</v>
          </cell>
          <cell r="L1936" t="str">
            <v>CLN/PRA/01/0142</v>
          </cell>
          <cell r="M1936" t="str">
            <v>Y</v>
          </cell>
          <cell r="V1936" t="str">
            <v>No tumor</v>
          </cell>
          <cell r="W1936" t="str">
            <v>Clinic'les</v>
          </cell>
          <cell r="X1936" t="str">
            <v>Clinic'les- Dr Prakash BV, Bangalore</v>
          </cell>
          <cell r="Y1936" t="str">
            <v>Sri Lakshmi Hospital, Bangalore</v>
          </cell>
          <cell r="Z1936" t="str">
            <v>Dr Prakash BV, Bangalore</v>
          </cell>
          <cell r="AA1936" t="str">
            <v>RCC</v>
          </cell>
          <cell r="AC1936" t="str">
            <v>Kidney</v>
          </cell>
          <cell r="AD1936" t="str">
            <v>Right Kidney</v>
          </cell>
          <cell r="AE1936" t="str">
            <v>Male</v>
          </cell>
          <cell r="AF1936">
            <v>70</v>
          </cell>
          <cell r="AG1936" t="str">
            <v>No</v>
          </cell>
          <cell r="AI1936" t="str">
            <v>Kalappa</v>
          </cell>
          <cell r="AJ1936" t="str">
            <v>Surgery</v>
          </cell>
          <cell r="AK1936" t="str">
            <v>Primary</v>
          </cell>
          <cell r="AN1936" t="str">
            <v>II</v>
          </cell>
          <cell r="AO1936" t="str">
            <v>I</v>
          </cell>
          <cell r="AP1936" t="str">
            <v>pT2N1M0</v>
          </cell>
          <cell r="AS1936" t="str">
            <v>Renal Cell Carcinoma</v>
          </cell>
        </row>
        <row r="1937">
          <cell r="A1937" t="str">
            <v>FBR1N210227</v>
          </cell>
          <cell r="B1937">
            <v>210227</v>
          </cell>
          <cell r="C1937" t="str">
            <v>R&amp;D</v>
          </cell>
          <cell r="D1937">
            <v>44537</v>
          </cell>
          <cell r="E1937">
            <v>0.51875000000000004</v>
          </cell>
          <cell r="F1937">
            <v>44531</v>
          </cell>
          <cell r="G1937">
            <v>44537</v>
          </cell>
          <cell r="H1937">
            <v>0.9243055555555556</v>
          </cell>
          <cell r="I1937">
            <v>0.40555555555555556</v>
          </cell>
          <cell r="J1937">
            <v>2</v>
          </cell>
          <cell r="K1937" t="str">
            <v>FCB-PROTOCOL-01_v1</v>
          </cell>
          <cell r="L1937" t="str">
            <v>CLN/DBR/050</v>
          </cell>
          <cell r="M1937" t="str">
            <v>Y</v>
          </cell>
          <cell r="N1937" t="str">
            <v>Extended TAT_Hemarina</v>
          </cell>
          <cell r="O1937" t="str">
            <v>Internal R&amp;D</v>
          </cell>
          <cell r="S1937" t="str">
            <v>Q1 Rejected</v>
          </cell>
          <cell r="U1937" t="str">
            <v>Blood sample was hemolyzed</v>
          </cell>
          <cell r="V1937" t="str">
            <v>Tumor content 15-80%</v>
          </cell>
          <cell r="W1937" t="str">
            <v>Clinic'les</v>
          </cell>
          <cell r="X1937" t="str">
            <v>Clinic'les- DBR &amp; SK Hospital, Tirupati</v>
          </cell>
          <cell r="Y1937" t="str">
            <v>DBR &amp; SK Hospital, Tirupati</v>
          </cell>
          <cell r="Z1937" t="str">
            <v>Dr C Jayaprakash, Tirupati</v>
          </cell>
          <cell r="AA1937" t="str">
            <v>HNSCC</v>
          </cell>
          <cell r="AC1937" t="str">
            <v>Buccal Mucosa</v>
          </cell>
          <cell r="AD1937" t="str">
            <v>Buccal Mucosa</v>
          </cell>
          <cell r="AE1937" t="str">
            <v>Female</v>
          </cell>
          <cell r="AF1937">
            <v>52</v>
          </cell>
          <cell r="AG1937" t="str">
            <v>No</v>
          </cell>
          <cell r="AI1937" t="str">
            <v>Sashi</v>
          </cell>
          <cell r="AJ1937" t="str">
            <v>Surgery</v>
          </cell>
          <cell r="AK1937" t="str">
            <v>Primary</v>
          </cell>
          <cell r="AS1937" t="str">
            <v>Squamous Cell Carcinoma</v>
          </cell>
          <cell r="BD1937" t="str">
            <v>2*4*450</v>
          </cell>
        </row>
        <row r="1938">
          <cell r="A1938" t="str">
            <v>FBR1N210227-TAT24</v>
          </cell>
          <cell r="B1938">
            <v>210227</v>
          </cell>
          <cell r="C1938" t="str">
            <v>R&amp;D</v>
          </cell>
          <cell r="D1938">
            <v>44537</v>
          </cell>
          <cell r="E1938">
            <v>0.51875000000000004</v>
          </cell>
          <cell r="F1938">
            <v>44531</v>
          </cell>
          <cell r="G1938">
            <v>44537</v>
          </cell>
          <cell r="H1938">
            <v>0.9243055555555556</v>
          </cell>
          <cell r="I1938">
            <v>0.40555555555555556</v>
          </cell>
          <cell r="J1938">
            <v>2</v>
          </cell>
          <cell r="K1938" t="str">
            <v>FCB-PROTOCOL-01_v1</v>
          </cell>
          <cell r="L1938" t="str">
            <v>CLN/DBR/050</v>
          </cell>
          <cell r="M1938" t="str">
            <v>Y</v>
          </cell>
          <cell r="N1938" t="str">
            <v>Extended TAT_Hemarina</v>
          </cell>
          <cell r="O1938" t="str">
            <v>Internal R&amp;D</v>
          </cell>
          <cell r="S1938" t="str">
            <v>Q1 Rejected</v>
          </cell>
          <cell r="T1938" t="str">
            <v>Q2 Rejected</v>
          </cell>
          <cell r="U1938" t="str">
            <v>Blood sample was hemolyzed</v>
          </cell>
          <cell r="V1938" t="str">
            <v>Tumor content 15-80%</v>
          </cell>
          <cell r="W1938" t="str">
            <v>Clinic'les</v>
          </cell>
          <cell r="X1938" t="str">
            <v>Clinic'les- DBR &amp; SK Hospital, Tirupati</v>
          </cell>
          <cell r="Y1938" t="str">
            <v>DBR &amp; SK Hospital, Tirupati</v>
          </cell>
          <cell r="Z1938" t="str">
            <v>Dr C Jayaprakash, Tirupati</v>
          </cell>
          <cell r="AA1938" t="str">
            <v>HNSCC</v>
          </cell>
          <cell r="AC1938" t="str">
            <v>Buccal Mucosa</v>
          </cell>
          <cell r="AD1938" t="str">
            <v>Buccal Mucosa</v>
          </cell>
          <cell r="AE1938" t="str">
            <v>Female</v>
          </cell>
          <cell r="AF1938">
            <v>52</v>
          </cell>
          <cell r="AG1938" t="str">
            <v>No</v>
          </cell>
          <cell r="AI1938" t="str">
            <v>Sashi</v>
          </cell>
          <cell r="AJ1938" t="str">
            <v>Surgery</v>
          </cell>
          <cell r="AK1938" t="str">
            <v>Primary</v>
          </cell>
          <cell r="AS1938" t="str">
            <v>Squamous Cell Carcinoma</v>
          </cell>
          <cell r="AV1938">
            <v>44538</v>
          </cell>
          <cell r="AW1938">
            <v>0.47916666666666669</v>
          </cell>
          <cell r="AX1938">
            <v>0.54861111111111116</v>
          </cell>
          <cell r="BB1938" t="str">
            <v>0.6*1.2*1.0</v>
          </cell>
          <cell r="BD1938" t="str">
            <v>2*4*450</v>
          </cell>
          <cell r="BE1938">
            <v>4</v>
          </cell>
          <cell r="BF1938" t="str">
            <v>Manimaran</v>
          </cell>
          <cell r="BG1938" t="str">
            <v>Q</v>
          </cell>
        </row>
        <row r="1939">
          <cell r="A1939">
            <v>210228</v>
          </cell>
          <cell r="B1939">
            <v>210228</v>
          </cell>
          <cell r="D1939">
            <v>44538</v>
          </cell>
          <cell r="E1939">
            <v>0.51597222222222228</v>
          </cell>
          <cell r="F1939">
            <v>44531</v>
          </cell>
          <cell r="G1939">
            <v>44538</v>
          </cell>
          <cell r="H1939">
            <v>0.56805555555555554</v>
          </cell>
          <cell r="I1939">
            <v>5.2083333333333336E-2</v>
          </cell>
          <cell r="J1939">
            <v>5</v>
          </cell>
          <cell r="K1939" t="str">
            <v>FCB-PROTOCOL-01_v1</v>
          </cell>
          <cell r="L1939" t="str">
            <v>VYD/053</v>
          </cell>
          <cell r="M1939" t="str">
            <v>Y</v>
          </cell>
          <cell r="S1939" t="str">
            <v>Q1 Passed</v>
          </cell>
          <cell r="T1939" t="str">
            <v>Not suitable for vibratome</v>
          </cell>
          <cell r="V1939" t="str">
            <v>Clinic'les</v>
          </cell>
          <cell r="W1939" t="str">
            <v>Clinic'les- Vydehi Hospital, Bangalore</v>
          </cell>
          <cell r="X1939" t="str">
            <v>Vydehi Hospital, Bangalore</v>
          </cell>
          <cell r="Y1939" t="str">
            <v>Dr Amritha Prabha, Bangalore</v>
          </cell>
          <cell r="Z1939" t="str">
            <v>HNSCC</v>
          </cell>
          <cell r="AB1939" t="str">
            <v>Supra Glottis</v>
          </cell>
          <cell r="AC1939" t="str">
            <v>Supra Glottis &amp; Hypopharynx</v>
          </cell>
          <cell r="AD1939" t="str">
            <v>Male</v>
          </cell>
          <cell r="AE1939">
            <v>73</v>
          </cell>
          <cell r="AF1939" t="str">
            <v>No</v>
          </cell>
          <cell r="AH1939" t="str">
            <v>Kalappa</v>
          </cell>
          <cell r="AI1939" t="str">
            <v>Surgery</v>
          </cell>
          <cell r="AJ1939" t="str">
            <v>Primary</v>
          </cell>
          <cell r="AR1939" t="str">
            <v>Squamous Cell Carcinoma</v>
          </cell>
        </row>
        <row r="1940">
          <cell r="A1940" t="str">
            <v>FBB1C210229</v>
          </cell>
          <cell r="B1940">
            <v>210229</v>
          </cell>
          <cell r="C1940" t="str">
            <v>Biopharma</v>
          </cell>
          <cell r="D1940">
            <v>44540</v>
          </cell>
          <cell r="E1940">
            <v>0.90625</v>
          </cell>
          <cell r="F1940">
            <v>44531</v>
          </cell>
          <cell r="G1940">
            <v>44540</v>
          </cell>
          <cell r="H1940">
            <v>0.95486111111111116</v>
          </cell>
          <cell r="I1940">
            <v>4.8611111111111112E-2</v>
          </cell>
          <cell r="J1940">
            <v>5</v>
          </cell>
          <cell r="K1940" t="str">
            <v>FCB-PROTOCOL-01_v1</v>
          </cell>
          <cell r="L1940" t="str">
            <v>CLN/PRA/01/0143</v>
          </cell>
          <cell r="M1940" t="str">
            <v>Y</v>
          </cell>
          <cell r="N1940" t="str">
            <v>BP004_SOW1_2021</v>
          </cell>
          <cell r="O1940" t="str">
            <v>Biopharma</v>
          </cell>
          <cell r="S1940" t="str">
            <v>Q1 Passed</v>
          </cell>
          <cell r="U1940" t="str">
            <v>Tumor content 20-50%</v>
          </cell>
          <cell r="V1940" t="str">
            <v>Clinic'les</v>
          </cell>
          <cell r="W1940" t="str">
            <v>Clinic'les- Dr Prakash BV, Bangalore</v>
          </cell>
          <cell r="X1940" t="str">
            <v>Sri Lakshmi Hospital, Bangalore</v>
          </cell>
          <cell r="Y1940" t="str">
            <v>Dr Prakash BV, Bangalore</v>
          </cell>
          <cell r="Z1940" t="str">
            <v>GI</v>
          </cell>
          <cell r="AA1940" t="str">
            <v>Ca Stomach</v>
          </cell>
          <cell r="AB1940" t="str">
            <v>Stomach</v>
          </cell>
          <cell r="AC1940" t="str">
            <v>Antrum of Stomach</v>
          </cell>
          <cell r="AD1940" t="str">
            <v>Female</v>
          </cell>
          <cell r="AE1940">
            <v>50</v>
          </cell>
          <cell r="AF1940" t="str">
            <v>No</v>
          </cell>
          <cell r="AH1940" t="str">
            <v>Partha</v>
          </cell>
          <cell r="AI1940" t="str">
            <v>Surgery</v>
          </cell>
          <cell r="AJ1940" t="str">
            <v>Primary</v>
          </cell>
          <cell r="AM1940" t="str">
            <v>III</v>
          </cell>
          <cell r="AN1940" t="str">
            <v>II</v>
          </cell>
          <cell r="AO1940" t="str">
            <v>pT2N1</v>
          </cell>
          <cell r="AR1940" t="str">
            <v>Adenocarcinoma of Stomach</v>
          </cell>
          <cell r="AU1940">
            <v>44541</v>
          </cell>
          <cell r="AV1940">
            <v>0.40138888888888891</v>
          </cell>
          <cell r="AW1940">
            <v>0.4777777777777778</v>
          </cell>
          <cell r="AX1940">
            <v>7.6388888888888895E-2</v>
          </cell>
          <cell r="AY1940">
            <v>0.4465277777777778</v>
          </cell>
          <cell r="AZ1940">
            <v>0.49513888888888891</v>
          </cell>
          <cell r="BA1940" t="str">
            <v>1.2*3.4*3.8</v>
          </cell>
          <cell r="BB1940" t="str">
            <v>1.2*2.2*3.8</v>
          </cell>
          <cell r="BC1940" t="str">
            <v>2*2*2</v>
          </cell>
          <cell r="BD1940">
            <v>4</v>
          </cell>
          <cell r="BE1940" t="str">
            <v>GS</v>
          </cell>
          <cell r="BF1940" t="str">
            <v>Q</v>
          </cell>
        </row>
        <row r="1941">
          <cell r="A1941" t="str">
            <v>FBR1J210229</v>
          </cell>
          <cell r="B1941">
            <v>210229</v>
          </cell>
          <cell r="C1941" t="str">
            <v>R&amp;D</v>
          </cell>
          <cell r="D1941">
            <v>44540</v>
          </cell>
          <cell r="E1941">
            <v>0.90625</v>
          </cell>
          <cell r="F1941">
            <v>44531</v>
          </cell>
          <cell r="G1941">
            <v>44540</v>
          </cell>
          <cell r="H1941">
            <v>0.95486111111111116</v>
          </cell>
          <cell r="I1941">
            <v>4.8611111111111112E-2</v>
          </cell>
          <cell r="J1941">
            <v>5</v>
          </cell>
          <cell r="K1941" t="str">
            <v>FCB-PROTOCOL-01_v1</v>
          </cell>
          <cell r="L1941" t="str">
            <v>CLN/PRA/01/0143</v>
          </cell>
          <cell r="M1941" t="str">
            <v>Y</v>
          </cell>
          <cell r="N1941" t="str">
            <v>COS_V3</v>
          </cell>
          <cell r="O1941" t="str">
            <v>Internal R&amp;D</v>
          </cell>
          <cell r="S1941" t="str">
            <v>Q1 Passed</v>
          </cell>
          <cell r="U1941" t="str">
            <v>Tumor content 4-25%</v>
          </cell>
          <cell r="V1941" t="str">
            <v>Clinic'les</v>
          </cell>
          <cell r="W1941" t="str">
            <v>Clinic'les- Dr Prakash BV, Bangalore</v>
          </cell>
          <cell r="X1941" t="str">
            <v>Sri Lakshmi Hospital, Bangalore</v>
          </cell>
          <cell r="Y1941" t="str">
            <v>Dr Prakash BV, Bangalore</v>
          </cell>
          <cell r="Z1941" t="str">
            <v>GI</v>
          </cell>
          <cell r="AA1941" t="str">
            <v>Ca Stomach</v>
          </cell>
          <cell r="AB1941" t="str">
            <v>Stomach</v>
          </cell>
          <cell r="AC1941" t="str">
            <v>Antrum of Stomach</v>
          </cell>
          <cell r="AD1941" t="str">
            <v>Female</v>
          </cell>
          <cell r="AE1941">
            <v>50</v>
          </cell>
          <cell r="AF1941" t="str">
            <v>No</v>
          </cell>
          <cell r="AH1941" t="str">
            <v>Partha</v>
          </cell>
          <cell r="AI1941" t="str">
            <v>Surgery</v>
          </cell>
          <cell r="AJ1941" t="str">
            <v>Primary</v>
          </cell>
          <cell r="AM1941" t="str">
            <v>III</v>
          </cell>
          <cell r="AN1941" t="str">
            <v>II</v>
          </cell>
          <cell r="AO1941" t="str">
            <v>pT2N1</v>
          </cell>
          <cell r="AR1941" t="str">
            <v>Adenocarcinoma of Stomach</v>
          </cell>
          <cell r="AU1941">
            <v>44541</v>
          </cell>
          <cell r="AW1941">
            <v>0.63888888888888884</v>
          </cell>
          <cell r="BD1941">
            <v>4</v>
          </cell>
        </row>
        <row r="1942">
          <cell r="A1942" t="str">
            <v>FBR1A210230</v>
          </cell>
          <cell r="B1942">
            <v>210230</v>
          </cell>
          <cell r="C1942" t="str">
            <v>R&amp;D</v>
          </cell>
          <cell r="D1942">
            <v>44541</v>
          </cell>
          <cell r="E1942">
            <v>0.45277777777777778</v>
          </cell>
          <cell r="F1942">
            <v>44531</v>
          </cell>
          <cell r="G1942">
            <v>44541</v>
          </cell>
          <cell r="H1942">
            <v>0.51041666666666663</v>
          </cell>
          <cell r="I1942">
            <v>5.7638888888888892E-2</v>
          </cell>
          <cell r="J1942">
            <v>6</v>
          </cell>
          <cell r="K1942" t="str">
            <v>FCB-PROTOCOL-01_v1</v>
          </cell>
          <cell r="L1942" t="str">
            <v>VYD/054</v>
          </cell>
          <cell r="M1942" t="str">
            <v>Y</v>
          </cell>
          <cell r="N1942" t="str">
            <v>Other Indication</v>
          </cell>
          <cell r="O1942" t="str">
            <v>Internal R&amp;D</v>
          </cell>
          <cell r="S1942" t="str">
            <v>Q1 Passed</v>
          </cell>
          <cell r="U1942" t="str">
            <v>High tumor content 35-90%</v>
          </cell>
          <cell r="V1942" t="str">
            <v>Clinic'les</v>
          </cell>
          <cell r="W1942" t="str">
            <v>Clinic'les- Vydehi Hospital, Bangalore</v>
          </cell>
          <cell r="X1942" t="str">
            <v>Vydehi Hospital, Bangalore</v>
          </cell>
          <cell r="Y1942" t="str">
            <v>Dr Amritha Prabha, Bangalore</v>
          </cell>
          <cell r="Z1942" t="str">
            <v>Ca Breast</v>
          </cell>
          <cell r="AB1942" t="str">
            <v>Breast</v>
          </cell>
          <cell r="AC1942" t="str">
            <v>Left Breast</v>
          </cell>
          <cell r="AD1942" t="str">
            <v>Female</v>
          </cell>
          <cell r="AE1942">
            <v>45</v>
          </cell>
          <cell r="AF1942" t="str">
            <v>No</v>
          </cell>
          <cell r="AH1942" t="str">
            <v>Kalappa</v>
          </cell>
          <cell r="AI1942" t="str">
            <v>Surgery</v>
          </cell>
          <cell r="AJ1942" t="str">
            <v>Primary</v>
          </cell>
          <cell r="AK1942" t="str">
            <v>Chemotherapy</v>
          </cell>
          <cell r="AM1942" t="str">
            <v>IIIA</v>
          </cell>
          <cell r="AN1942">
            <v>3</v>
          </cell>
          <cell r="AO1942" t="str">
            <v>pT3N2a</v>
          </cell>
          <cell r="AP1942" t="str">
            <v>7 cycles</v>
          </cell>
          <cell r="AQ1942" t="str">
            <v>4AC+ 3Paclitaxel</v>
          </cell>
          <cell r="AR1942" t="str">
            <v>TNBC; infiltrating ductal carcinoma</v>
          </cell>
          <cell r="AU1942">
            <v>44541</v>
          </cell>
          <cell r="AV1942">
            <v>0.5625</v>
          </cell>
          <cell r="AW1942">
            <v>0.63194444444444442</v>
          </cell>
          <cell r="BA1942" t="str">
            <v>2.4*3.4*2.2</v>
          </cell>
          <cell r="BB1942" t="str">
            <v>1.4*2.4*2.4</v>
          </cell>
          <cell r="BC1942" t="str">
            <v>2*2*2</v>
          </cell>
          <cell r="BD1942">
            <v>15</v>
          </cell>
          <cell r="BE1942" t="str">
            <v>VK</v>
          </cell>
          <cell r="BF1942" t="str">
            <v>Y</v>
          </cell>
        </row>
        <row r="1943">
          <cell r="A1943" t="str">
            <v>FBB1B210231</v>
          </cell>
          <cell r="B1943">
            <v>210231</v>
          </cell>
          <cell r="C1943" t="str">
            <v>Biopharma</v>
          </cell>
          <cell r="D1943">
            <v>44544</v>
          </cell>
          <cell r="E1943">
            <v>0.85624999999999996</v>
          </cell>
          <cell r="F1943">
            <v>44531</v>
          </cell>
          <cell r="G1943">
            <v>44544</v>
          </cell>
          <cell r="H1943">
            <v>0.91666666666666663</v>
          </cell>
          <cell r="I1943">
            <v>6.0416666666666667E-2</v>
          </cell>
          <cell r="J1943">
            <v>3</v>
          </cell>
          <cell r="K1943" t="str">
            <v>FCB-PROTOCOL-01_v1</v>
          </cell>
          <cell r="L1943" t="str">
            <v>CLN/PRA/01/0144</v>
          </cell>
          <cell r="M1943" t="str">
            <v>Y</v>
          </cell>
          <cell r="N1943" t="str">
            <v>BP002_SOW1_2021</v>
          </cell>
          <cell r="O1943" t="str">
            <v>Biopharma</v>
          </cell>
          <cell r="S1943" t="str">
            <v>Q1 Passed</v>
          </cell>
          <cell r="U1943" t="str">
            <v>Tumor content 25-75%</v>
          </cell>
          <cell r="V1943" t="str">
            <v>Clinic'les</v>
          </cell>
          <cell r="W1943" t="str">
            <v>Clinic'les- Dr Prakash BV, Bangalore</v>
          </cell>
          <cell r="X1943" t="str">
            <v>Sri Lakshmi Hospital, Bangalore</v>
          </cell>
          <cell r="Y1943" t="str">
            <v>Dr Prakash BV, Bangalore</v>
          </cell>
          <cell r="Z1943" t="str">
            <v>HNSCC</v>
          </cell>
          <cell r="AB1943" t="str">
            <v>Pharynx</v>
          </cell>
          <cell r="AC1943" t="str">
            <v>Posterior pharyngeal wall</v>
          </cell>
          <cell r="AD1943" t="str">
            <v>Female</v>
          </cell>
          <cell r="AE1943">
            <v>50</v>
          </cell>
          <cell r="AF1943" t="str">
            <v>No</v>
          </cell>
          <cell r="AH1943" t="str">
            <v>Sashi</v>
          </cell>
          <cell r="AI1943" t="str">
            <v>Surgery</v>
          </cell>
          <cell r="AJ1943" t="str">
            <v>Primary</v>
          </cell>
          <cell r="AM1943" t="str">
            <v>III</v>
          </cell>
          <cell r="AN1943" t="str">
            <v>II</v>
          </cell>
          <cell r="AO1943" t="str">
            <v>pT3N1M0</v>
          </cell>
          <cell r="AR1943" t="str">
            <v>Squamous Cell Carcinoma</v>
          </cell>
          <cell r="AS1943" t="str">
            <v>Radiotherapy</v>
          </cell>
          <cell r="AU1943">
            <v>44545</v>
          </cell>
          <cell r="AV1943">
            <v>0.33055555555555555</v>
          </cell>
          <cell r="AW1943">
            <v>0.43055555555555558</v>
          </cell>
          <cell r="BA1943" t="str">
            <v>1.2*2.6*2.4</v>
          </cell>
          <cell r="BB1943" t="str">
            <v>1.2*1.6*2.4</v>
          </cell>
          <cell r="BC1943" t="str">
            <v>2*4*450</v>
          </cell>
          <cell r="BD1943">
            <v>4</v>
          </cell>
          <cell r="BE1943" t="str">
            <v>GS</v>
          </cell>
          <cell r="BF1943" t="str">
            <v>Q</v>
          </cell>
        </row>
        <row r="1944">
          <cell r="A1944">
            <v>210232</v>
          </cell>
          <cell r="B1944">
            <v>210232</v>
          </cell>
          <cell r="D1944">
            <v>44545</v>
          </cell>
          <cell r="E1944">
            <v>0.44444444444444442</v>
          </cell>
          <cell r="F1944">
            <v>44531</v>
          </cell>
          <cell r="G1944">
            <v>44545</v>
          </cell>
          <cell r="H1944">
            <v>0.53055555555555556</v>
          </cell>
          <cell r="I1944">
            <v>8.611111111111111E-2</v>
          </cell>
          <cell r="J1944">
            <v>3</v>
          </cell>
          <cell r="K1944" t="str">
            <v>FCB-PROTOCOL-01_v1</v>
          </cell>
          <cell r="L1944" t="str">
            <v>VYD/055</v>
          </cell>
          <cell r="M1944" t="str">
            <v>Y</v>
          </cell>
          <cell r="N1944" t="str">
            <v>No Study</v>
          </cell>
          <cell r="O1944" t="str">
            <v>1st level attrition</v>
          </cell>
          <cell r="S1944" t="str">
            <v>Q1 Rejected</v>
          </cell>
          <cell r="T1944" t="str">
            <v>Blood sample was clotted</v>
          </cell>
          <cell r="U1944" t="str">
            <v>Only 3 explants have tumor.Others are necrosed or degenerated</v>
          </cell>
          <cell r="V1944" t="str">
            <v>Clinic'les</v>
          </cell>
          <cell r="W1944" t="str">
            <v>Clinic'les- Vydehi Hospital, Bangalore</v>
          </cell>
          <cell r="X1944" t="str">
            <v>Vydehi Hospital, Bangalore</v>
          </cell>
          <cell r="Y1944" t="str">
            <v>Dr Amritha Prabha, Bangalore</v>
          </cell>
          <cell r="Z1944" t="str">
            <v>HNSCC</v>
          </cell>
          <cell r="AB1944" t="str">
            <v>Lip</v>
          </cell>
          <cell r="AC1944" t="str">
            <v>Lower Lip</v>
          </cell>
          <cell r="AD1944" t="str">
            <v>Female</v>
          </cell>
          <cell r="AE1944">
            <v>52</v>
          </cell>
          <cell r="AF1944" t="str">
            <v>No</v>
          </cell>
          <cell r="AH1944" t="str">
            <v>Kalappa</v>
          </cell>
          <cell r="AI1944" t="str">
            <v>Surgery</v>
          </cell>
          <cell r="AJ1944" t="str">
            <v>Primary</v>
          </cell>
          <cell r="AK1944" t="str">
            <v>Chemotherapy</v>
          </cell>
          <cell r="AO1944" t="str">
            <v>pT4N0M0</v>
          </cell>
          <cell r="AP1944" t="str">
            <v>6 cycles</v>
          </cell>
          <cell r="AR1944" t="str">
            <v>Squamous Cell Carcinoma</v>
          </cell>
        </row>
        <row r="1945">
          <cell r="A1945" t="str">
            <v>FBB1C210233</v>
          </cell>
          <cell r="B1945">
            <v>210233</v>
          </cell>
          <cell r="C1945" t="str">
            <v>R&amp;D</v>
          </cell>
          <cell r="D1945">
            <v>44545</v>
          </cell>
          <cell r="E1945">
            <v>0.78402777777777777</v>
          </cell>
          <cell r="F1945">
            <v>44531</v>
          </cell>
          <cell r="G1945">
            <v>44545</v>
          </cell>
          <cell r="H1945">
            <v>0.85902777777777772</v>
          </cell>
          <cell r="I1945">
            <v>7.4999999999999997E-2</v>
          </cell>
          <cell r="J1945">
            <v>4</v>
          </cell>
          <cell r="K1945" t="str">
            <v>FCB-PROTOCOL-01_v1</v>
          </cell>
          <cell r="L1945" t="str">
            <v>CLN/PRA/01/0145</v>
          </cell>
          <cell r="M1945" t="str">
            <v>Y</v>
          </cell>
          <cell r="N1945" t="str">
            <v>COS_V3</v>
          </cell>
          <cell r="O1945" t="str">
            <v>Internal R&amp;D</v>
          </cell>
          <cell r="S1945" t="str">
            <v>Q1 Passed</v>
          </cell>
          <cell r="U1945" t="str">
            <v>Scanty tumor in 3/4 explants, upto 12%</v>
          </cell>
          <cell r="V1945" t="str">
            <v>Clinic'les</v>
          </cell>
          <cell r="W1945" t="str">
            <v>Clinic'les- Dr Prakash BV, Bangalore</v>
          </cell>
          <cell r="X1945" t="str">
            <v>Sri Lakshmi Hospital, Bangalore</v>
          </cell>
          <cell r="Y1945" t="str">
            <v>Dr Prakash BV, Bangalore</v>
          </cell>
          <cell r="Z1945" t="str">
            <v>GI</v>
          </cell>
          <cell r="AA1945" t="str">
            <v>Stomach</v>
          </cell>
          <cell r="AB1945" t="str">
            <v>Stomach</v>
          </cell>
          <cell r="AC1945" t="str">
            <v>Body of Stomach</v>
          </cell>
          <cell r="AD1945" t="str">
            <v>Female</v>
          </cell>
          <cell r="AE1945">
            <v>55</v>
          </cell>
          <cell r="AF1945" t="str">
            <v>No</v>
          </cell>
          <cell r="AH1945" t="str">
            <v>Kalappa</v>
          </cell>
          <cell r="AI1945" t="str">
            <v>Surgery</v>
          </cell>
          <cell r="AJ1945" t="str">
            <v>Primary</v>
          </cell>
          <cell r="AM1945" t="str">
            <v>II</v>
          </cell>
          <cell r="AN1945" t="str">
            <v>III</v>
          </cell>
          <cell r="AO1945" t="str">
            <v>pT3N2M0</v>
          </cell>
          <cell r="AR1945" t="str">
            <v>Adenocarcinoma</v>
          </cell>
          <cell r="AU1945">
            <v>44545</v>
          </cell>
          <cell r="AV1945">
            <v>0.89930555555555558</v>
          </cell>
          <cell r="AW1945">
            <v>0.86944444444444446</v>
          </cell>
          <cell r="BA1945" t="str">
            <v>1.0*2.8*2.8</v>
          </cell>
          <cell r="BB1945" t="str">
            <v>0.55*2.8*2.8</v>
          </cell>
          <cell r="BC1945" t="str">
            <v>Manual</v>
          </cell>
          <cell r="BD1945">
            <v>4</v>
          </cell>
          <cell r="BE1945" t="str">
            <v>VK</v>
          </cell>
          <cell r="BF1945" t="str">
            <v>Q</v>
          </cell>
        </row>
        <row r="1946">
          <cell r="A1946" t="str">
            <v>FBR1J210233</v>
          </cell>
          <cell r="B1946">
            <v>210233</v>
          </cell>
          <cell r="C1946" t="str">
            <v>R&amp;D</v>
          </cell>
          <cell r="D1946">
            <v>44545</v>
          </cell>
          <cell r="E1946">
            <v>0.78402777777777777</v>
          </cell>
          <cell r="F1946">
            <v>44531</v>
          </cell>
          <cell r="G1946">
            <v>44545</v>
          </cell>
          <cell r="H1946">
            <v>0.85902777777777772</v>
          </cell>
          <cell r="I1946">
            <v>7.4999999999999997E-2</v>
          </cell>
          <cell r="J1946">
            <v>4</v>
          </cell>
          <cell r="K1946" t="str">
            <v>FCB-PROTOCOL-01_v1</v>
          </cell>
          <cell r="L1946" t="str">
            <v>CLN/PRA/01/0145</v>
          </cell>
          <cell r="M1946" t="str">
            <v>Y</v>
          </cell>
          <cell r="N1946" t="str">
            <v>COS_V3</v>
          </cell>
          <cell r="O1946" t="str">
            <v>Internal R&amp;D</v>
          </cell>
          <cell r="S1946" t="str">
            <v>Q1 Passed</v>
          </cell>
          <cell r="U1946" t="str">
            <v>Scanty tumor in 3/4 explants, upto 12%</v>
          </cell>
          <cell r="V1946" t="str">
            <v>Clinic'les</v>
          </cell>
          <cell r="W1946" t="str">
            <v>Clinic'les- Dr Prakash BV, Bangalore</v>
          </cell>
          <cell r="X1946" t="str">
            <v>Sri Lakshmi Hospital, Bangalore</v>
          </cell>
          <cell r="Y1946" t="str">
            <v>Dr Prakash BV, Bangalore</v>
          </cell>
          <cell r="Z1946" t="str">
            <v>GI</v>
          </cell>
          <cell r="AA1946" t="str">
            <v>Stomach</v>
          </cell>
          <cell r="AB1946" t="str">
            <v>Stomach</v>
          </cell>
          <cell r="AC1946" t="str">
            <v>Body of Stomach</v>
          </cell>
          <cell r="AD1946" t="str">
            <v>Female</v>
          </cell>
          <cell r="AE1946">
            <v>55</v>
          </cell>
          <cell r="AF1946" t="str">
            <v>No</v>
          </cell>
          <cell r="AH1946" t="str">
            <v>Kalappa</v>
          </cell>
          <cell r="AI1946" t="str">
            <v>Surgery</v>
          </cell>
          <cell r="AJ1946" t="str">
            <v>Primary</v>
          </cell>
          <cell r="AM1946" t="str">
            <v>II</v>
          </cell>
          <cell r="AN1946" t="str">
            <v>III</v>
          </cell>
          <cell r="AO1946" t="str">
            <v>pT3N2M0</v>
          </cell>
          <cell r="AR1946" t="str">
            <v>Adenocarcinoma</v>
          </cell>
          <cell r="AU1946">
            <v>44545</v>
          </cell>
          <cell r="AV1946">
            <v>0.89930555555555558</v>
          </cell>
          <cell r="AW1946">
            <v>0.86944444444444446</v>
          </cell>
          <cell r="BA1946" t="str">
            <v>1.0*2.8*2.8</v>
          </cell>
          <cell r="BB1946" t="str">
            <v>0.55*2.8*2.8</v>
          </cell>
          <cell r="BC1946" t="str">
            <v>Manual</v>
          </cell>
          <cell r="BD1946">
            <v>4</v>
          </cell>
          <cell r="BE1946" t="str">
            <v>VK</v>
          </cell>
          <cell r="BF1946" t="str">
            <v>Q</v>
          </cell>
        </row>
        <row r="1947">
          <cell r="A1947" t="str">
            <v>FBR1C210234</v>
          </cell>
          <cell r="B1947">
            <v>210234</v>
          </cell>
          <cell r="C1947" t="str">
            <v>R&amp;D</v>
          </cell>
          <cell r="D1947">
            <v>44546</v>
          </cell>
          <cell r="E1947">
            <v>0.41249999999999998</v>
          </cell>
          <cell r="F1947">
            <v>44531</v>
          </cell>
          <cell r="G1947">
            <v>44546</v>
          </cell>
          <cell r="H1947">
            <v>0.4826388888888889</v>
          </cell>
          <cell r="I1947">
            <v>7.013888888888889E-2</v>
          </cell>
          <cell r="J1947">
            <v>3</v>
          </cell>
          <cell r="K1947" t="str">
            <v>FCB-PROTOCOL-01_v1</v>
          </cell>
          <cell r="L1947" t="str">
            <v>VYD/056</v>
          </cell>
          <cell r="M1947" t="str">
            <v>Y</v>
          </cell>
          <cell r="N1947" t="str">
            <v>Culture Improvement</v>
          </cell>
          <cell r="O1947" t="str">
            <v>Internal R&amp;D</v>
          </cell>
          <cell r="S1947" t="str">
            <v>Q1 Rejected</v>
          </cell>
          <cell r="T1947" t="str">
            <v>Sample size was too small</v>
          </cell>
          <cell r="U1947" t="str">
            <v xml:space="preserve">Tumor content 10-90%. </v>
          </cell>
          <cell r="V1947" t="str">
            <v>Clinic'les</v>
          </cell>
          <cell r="W1947" t="str">
            <v>Clinic'les- Vydehi Hospital, Bangalore</v>
          </cell>
          <cell r="X1947" t="str">
            <v>Vydehi Hospital, Bangalore</v>
          </cell>
          <cell r="Y1947" t="str">
            <v>Dr Amritha Prabha, Bangalore</v>
          </cell>
          <cell r="Z1947" t="str">
            <v>HNSCC</v>
          </cell>
          <cell r="AB1947" t="str">
            <v>GBS</v>
          </cell>
          <cell r="AC1947" t="str">
            <v>Left Upper GBS</v>
          </cell>
          <cell r="AD1947" t="str">
            <v>Male</v>
          </cell>
          <cell r="AE1947">
            <v>43</v>
          </cell>
          <cell r="AF1947" t="str">
            <v>No</v>
          </cell>
          <cell r="AH1947" t="str">
            <v>Sashi</v>
          </cell>
          <cell r="AI1947" t="str">
            <v>Surgery</v>
          </cell>
          <cell r="AJ1947" t="str">
            <v>Primary</v>
          </cell>
          <cell r="AO1947" t="str">
            <v>pT3N0M0</v>
          </cell>
          <cell r="AR1947" t="str">
            <v>Squamous Cell Carcinoma</v>
          </cell>
          <cell r="AU1947">
            <v>44546</v>
          </cell>
          <cell r="AV1947">
            <v>0.49652777777777779</v>
          </cell>
          <cell r="AW1947">
            <v>0.54027777777777775</v>
          </cell>
          <cell r="BA1947" t="str">
            <v>0.6*0.8*0.4</v>
          </cell>
          <cell r="BC1947" t="str">
            <v>Manual</v>
          </cell>
          <cell r="BD1947">
            <v>4</v>
          </cell>
          <cell r="BE1947" t="str">
            <v>KJ</v>
          </cell>
          <cell r="BF1947" t="str">
            <v>Q</v>
          </cell>
        </row>
        <row r="1948">
          <cell r="A1948">
            <v>210235</v>
          </cell>
          <cell r="B1948">
            <v>210235</v>
          </cell>
          <cell r="D1948">
            <v>44546</v>
          </cell>
          <cell r="E1948">
            <v>0.52638888888888891</v>
          </cell>
          <cell r="F1948">
            <v>44531</v>
          </cell>
          <cell r="G1948">
            <v>44546</v>
          </cell>
          <cell r="H1948">
            <v>0.75</v>
          </cell>
          <cell r="I1948">
            <v>0.22361111111111112</v>
          </cell>
          <cell r="J1948">
            <v>3</v>
          </cell>
          <cell r="K1948" t="str">
            <v>FCB-PROTOCOL-01_v1</v>
          </cell>
          <cell r="L1948" t="str">
            <v>CLN/JSS/001</v>
          </cell>
          <cell r="M1948" t="str">
            <v>Y</v>
          </cell>
          <cell r="N1948" t="str">
            <v>No Study</v>
          </cell>
          <cell r="O1948" t="str">
            <v>1st level attrition</v>
          </cell>
          <cell r="S1948" t="str">
            <v>Q1 Rejected</v>
          </cell>
          <cell r="T1948" t="str">
            <v>Sample size was too small</v>
          </cell>
          <cell r="V1948" t="str">
            <v>Clinic'les</v>
          </cell>
          <cell r="W1948" t="str">
            <v>Clinic'les- Dr Ravi Krishnappa, Mysore</v>
          </cell>
          <cell r="X1948" t="str">
            <v>JSS Hospital, Mysore</v>
          </cell>
          <cell r="Y1948" t="str">
            <v>Dr Furail Ahmad, Mysore</v>
          </cell>
          <cell r="Z1948" t="str">
            <v>HNSCC</v>
          </cell>
          <cell r="AB1948" t="str">
            <v>Mouth</v>
          </cell>
          <cell r="AC1948" t="str">
            <v>Floor of mouth</v>
          </cell>
          <cell r="AD1948" t="str">
            <v>Male</v>
          </cell>
          <cell r="AE1948">
            <v>65</v>
          </cell>
          <cell r="AF1948" t="str">
            <v>No</v>
          </cell>
          <cell r="AH1948" t="str">
            <v>Partha</v>
          </cell>
          <cell r="AI1948" t="str">
            <v>Surgery</v>
          </cell>
          <cell r="AJ1948" t="str">
            <v>Primary</v>
          </cell>
        </row>
        <row r="1949">
          <cell r="A1949" t="str">
            <v>FBB1C210236</v>
          </cell>
          <cell r="B1949">
            <v>210236</v>
          </cell>
          <cell r="C1949" t="str">
            <v>Biopharma</v>
          </cell>
          <cell r="D1949">
            <v>44546</v>
          </cell>
          <cell r="E1949">
            <v>0.93819444444444444</v>
          </cell>
          <cell r="F1949">
            <v>44531</v>
          </cell>
          <cell r="G1949">
            <v>44546</v>
          </cell>
          <cell r="H1949">
            <v>0.97916666666666663</v>
          </cell>
          <cell r="I1949">
            <v>4.0972222222222222E-2</v>
          </cell>
          <cell r="J1949">
            <v>1</v>
          </cell>
          <cell r="K1949" t="str">
            <v>FCB-PROTOCOL-01_v1</v>
          </cell>
          <cell r="L1949" t="str">
            <v>CLN/PRA/01/0146</v>
          </cell>
          <cell r="M1949" t="str">
            <v>Y</v>
          </cell>
          <cell r="N1949" t="str">
            <v>BP004_SOW1_2021</v>
          </cell>
          <cell r="O1949" t="str">
            <v>Biopharma</v>
          </cell>
          <cell r="S1949" t="str">
            <v>Q1 Passed</v>
          </cell>
          <cell r="U1949" t="str">
            <v xml:space="preserve">Tumor in all explants; content 15-40%  Immune component high </v>
          </cell>
          <cell r="V1949" t="str">
            <v>Clinic'les</v>
          </cell>
          <cell r="W1949" t="str">
            <v>Clinic'les- Dr Prakash BV, Bangalore</v>
          </cell>
          <cell r="X1949" t="str">
            <v>Sri Lakshmi Hospital, Bangalore</v>
          </cell>
          <cell r="Y1949" t="str">
            <v>Dr Prakash BV, Bangalore</v>
          </cell>
          <cell r="Z1949" t="str">
            <v>GI</v>
          </cell>
          <cell r="AA1949" t="str">
            <v>Stomach</v>
          </cell>
          <cell r="AB1949" t="str">
            <v>Stomach</v>
          </cell>
          <cell r="AC1949" t="str">
            <v>Antrum of Stomach</v>
          </cell>
          <cell r="AD1949" t="str">
            <v>Female</v>
          </cell>
          <cell r="AE1949">
            <v>55</v>
          </cell>
          <cell r="AF1949" t="str">
            <v>No</v>
          </cell>
          <cell r="AH1949" t="str">
            <v>Sashi</v>
          </cell>
          <cell r="AI1949" t="str">
            <v>Surgery</v>
          </cell>
          <cell r="AJ1949" t="str">
            <v>Primary</v>
          </cell>
          <cell r="AM1949" t="str">
            <v>III</v>
          </cell>
          <cell r="AN1949" t="str">
            <v>II</v>
          </cell>
          <cell r="AO1949" t="str">
            <v>pT2N0M0</v>
          </cell>
          <cell r="AR1949" t="str">
            <v>Adenocarcinoma</v>
          </cell>
          <cell r="AU1949">
            <v>44547</v>
          </cell>
          <cell r="AV1949">
            <v>0.40625</v>
          </cell>
          <cell r="AW1949">
            <v>0.46180555555555558</v>
          </cell>
          <cell r="AX1949">
            <v>5.5555555555555552E-2</v>
          </cell>
          <cell r="AY1949">
            <v>0.42708333333333331</v>
          </cell>
          <cell r="AZ1949">
            <v>0.46805555555555556</v>
          </cell>
          <cell r="BA1949" t="str">
            <v>0.8*2.0*2.8</v>
          </cell>
          <cell r="BC1949" t="str">
            <v>2*2*2</v>
          </cell>
          <cell r="BD1949">
            <v>4</v>
          </cell>
          <cell r="BE1949" t="str">
            <v>GS</v>
          </cell>
          <cell r="BF1949" t="str">
            <v>Q</v>
          </cell>
        </row>
        <row r="1950">
          <cell r="A1950" t="str">
            <v>FBB1B210237</v>
          </cell>
          <cell r="B1950">
            <v>210237</v>
          </cell>
          <cell r="C1950" t="str">
            <v>Biopharma</v>
          </cell>
          <cell r="D1950">
            <v>44547</v>
          </cell>
          <cell r="E1950">
            <v>0.53263888888888888</v>
          </cell>
          <cell r="F1950">
            <v>44531</v>
          </cell>
          <cell r="G1950">
            <v>44547</v>
          </cell>
          <cell r="H1950">
            <v>0.86388888888888893</v>
          </cell>
          <cell r="I1950">
            <v>0.33124999999999999</v>
          </cell>
          <cell r="J1950">
            <v>2</v>
          </cell>
          <cell r="K1950" t="str">
            <v>FCB-PROTOCOL-01_v1</v>
          </cell>
          <cell r="L1950" t="str">
            <v>CLN/DBR/051</v>
          </cell>
          <cell r="M1950" t="str">
            <v>Y</v>
          </cell>
          <cell r="N1950" t="str">
            <v>BP002_SOW1_2021</v>
          </cell>
          <cell r="O1950" t="str">
            <v>Biopharma</v>
          </cell>
          <cell r="S1950" t="str">
            <v>Q1 Passed</v>
          </cell>
          <cell r="U1950" t="str">
            <v>High tumor content 60-95%</v>
          </cell>
          <cell r="V1950" t="str">
            <v>Clinic'les</v>
          </cell>
          <cell r="W1950" t="str">
            <v>Clinic'les- DBR &amp; SK Hospital, Tirupati</v>
          </cell>
          <cell r="X1950" t="str">
            <v>DBR &amp; SK Hospital, Tirupati</v>
          </cell>
          <cell r="Y1950" t="str">
            <v>Dr C Jayaprakash, Tirupati</v>
          </cell>
          <cell r="Z1950" t="str">
            <v>HNSCC</v>
          </cell>
          <cell r="AB1950" t="str">
            <v>Buccal Mucosa</v>
          </cell>
          <cell r="AC1950" t="str">
            <v>Buccal Mucosa</v>
          </cell>
          <cell r="AD1950" t="str">
            <v>Male</v>
          </cell>
          <cell r="AE1950">
            <v>39</v>
          </cell>
          <cell r="AF1950" t="str">
            <v>No</v>
          </cell>
          <cell r="AH1950" t="str">
            <v>Partha</v>
          </cell>
          <cell r="AI1950" t="str">
            <v>Surgery</v>
          </cell>
          <cell r="AJ1950" t="str">
            <v>Primary</v>
          </cell>
          <cell r="AR1950" t="str">
            <v>Squamous Cell Carcinoma</v>
          </cell>
          <cell r="AU1950">
            <v>44547</v>
          </cell>
          <cell r="AV1950">
            <v>0.90277777777777779</v>
          </cell>
          <cell r="AW1950">
            <v>0.95833333333333337</v>
          </cell>
          <cell r="BA1950" t="str">
            <v>Not available in the SDF</v>
          </cell>
          <cell r="BC1950" t="str">
            <v>2*4*450</v>
          </cell>
          <cell r="BD1950">
            <v>4</v>
          </cell>
          <cell r="BE1950" t="str">
            <v>KJ</v>
          </cell>
          <cell r="BF1950" t="str">
            <v>Q</v>
          </cell>
        </row>
        <row r="1951">
          <cell r="A1951" t="str">
            <v>FBB1B210238</v>
          </cell>
          <cell r="B1951">
            <v>210238</v>
          </cell>
          <cell r="C1951" t="str">
            <v>Biopharma</v>
          </cell>
          <cell r="D1951">
            <v>44548</v>
          </cell>
          <cell r="E1951">
            <v>0.51597222222222228</v>
          </cell>
          <cell r="F1951">
            <v>44531</v>
          </cell>
          <cell r="G1951">
            <v>44548</v>
          </cell>
          <cell r="H1951">
            <v>0.57499999999999996</v>
          </cell>
          <cell r="I1951">
            <v>5.9027777777777776E-2</v>
          </cell>
          <cell r="J1951">
            <v>4</v>
          </cell>
          <cell r="K1951" t="str">
            <v>FCB-PROTOCOL-01_v1</v>
          </cell>
          <cell r="L1951" t="str">
            <v>VYD/057</v>
          </cell>
          <cell r="M1951" t="str">
            <v>Y</v>
          </cell>
          <cell r="N1951" t="str">
            <v>BP002_SOW1_2021</v>
          </cell>
          <cell r="O1951" t="str">
            <v>Biopharma</v>
          </cell>
          <cell r="S1951" t="str">
            <v>Q1 Passed</v>
          </cell>
          <cell r="U1951" t="str">
            <v>Tumor in 6/7 explants. Content 15-85%</v>
          </cell>
          <cell r="V1951" t="str">
            <v>Clinic'les</v>
          </cell>
          <cell r="W1951" t="str">
            <v>Clinic'les- Vydehi Hospital, Bangalore</v>
          </cell>
          <cell r="X1951" t="str">
            <v>Vydehi Hospital, Bangalore</v>
          </cell>
          <cell r="Y1951" t="str">
            <v>Dr Amritha Prabha, Bangalore</v>
          </cell>
          <cell r="Z1951" t="str">
            <v>HNSCC</v>
          </cell>
          <cell r="AB1951" t="str">
            <v>Buccal Mucosa</v>
          </cell>
          <cell r="AC1951" t="str">
            <v>Left Buccal Mucosa</v>
          </cell>
          <cell r="AD1951" t="str">
            <v>Female</v>
          </cell>
          <cell r="AE1951">
            <v>60</v>
          </cell>
          <cell r="AF1951" t="str">
            <v>No</v>
          </cell>
          <cell r="AH1951" t="str">
            <v>Kalappa</v>
          </cell>
          <cell r="AI1951" t="str">
            <v>Surgery</v>
          </cell>
          <cell r="AJ1951" t="str">
            <v>Primary</v>
          </cell>
          <cell r="AR1951" t="str">
            <v>Squamous Cell Carcinoma</v>
          </cell>
          <cell r="AU1951">
            <v>44548</v>
          </cell>
          <cell r="AV1951">
            <v>0.66666666666666663</v>
          </cell>
          <cell r="AW1951">
            <v>0.77083333333333337</v>
          </cell>
          <cell r="BA1951" t="str">
            <v>0.8*1.2*2.0</v>
          </cell>
          <cell r="BC1951" t="str">
            <v>2*4*450</v>
          </cell>
          <cell r="BD1951">
            <v>4</v>
          </cell>
          <cell r="BE1951" t="str">
            <v>ManiMaran</v>
          </cell>
          <cell r="BF1951" t="str">
            <v>Q</v>
          </cell>
        </row>
        <row r="1952">
          <cell r="A1952" t="str">
            <v>FBR1J210239</v>
          </cell>
          <cell r="B1952">
            <v>210239</v>
          </cell>
          <cell r="C1952" t="str">
            <v>R&amp;D</v>
          </cell>
          <cell r="D1952">
            <v>44559</v>
          </cell>
          <cell r="E1952">
            <v>0.94097222222222221</v>
          </cell>
          <cell r="F1952">
            <v>44531</v>
          </cell>
          <cell r="G1952">
            <v>44559</v>
          </cell>
          <cell r="H1952">
            <v>0.98819444444444449</v>
          </cell>
          <cell r="I1952">
            <v>4.7222222222222221E-2</v>
          </cell>
          <cell r="J1952">
            <v>3</v>
          </cell>
          <cell r="K1952" t="str">
            <v>FCB-PROTOCOL-01_v1</v>
          </cell>
          <cell r="L1952" t="str">
            <v>CLN/PRA/01/0147</v>
          </cell>
          <cell r="M1952" t="str">
            <v>Y</v>
          </cell>
          <cell r="N1952" t="str">
            <v>COS_V3</v>
          </cell>
          <cell r="O1952" t="str">
            <v>Internal R&amp;D</v>
          </cell>
          <cell r="S1952" t="str">
            <v>Q1 Passed</v>
          </cell>
          <cell r="U1952" t="str">
            <v>No epithelial tumor</v>
          </cell>
          <cell r="V1952" t="str">
            <v>Clinic'les</v>
          </cell>
          <cell r="W1952" t="str">
            <v>Clinic'les- Dr Prakash BV, Bangalore</v>
          </cell>
          <cell r="X1952" t="str">
            <v>Sri Lakshmi Hospital, Bangalore</v>
          </cell>
          <cell r="Y1952" t="str">
            <v>Dr Prakash BV, Bangalore</v>
          </cell>
          <cell r="Z1952" t="str">
            <v>GI</v>
          </cell>
          <cell r="AA1952" t="str">
            <v>Stomach</v>
          </cell>
          <cell r="AB1952" t="str">
            <v>Stomach</v>
          </cell>
          <cell r="AC1952" t="str">
            <v>Body of Stomach</v>
          </cell>
          <cell r="AD1952" t="str">
            <v>Male</v>
          </cell>
          <cell r="AE1952">
            <v>55</v>
          </cell>
          <cell r="AF1952" t="str">
            <v>No</v>
          </cell>
          <cell r="AG1952">
            <v>3.8</v>
          </cell>
          <cell r="AH1952" t="str">
            <v>Kalappa</v>
          </cell>
          <cell r="AI1952" t="str">
            <v>Surgery</v>
          </cell>
          <cell r="AJ1952" t="str">
            <v>Primary</v>
          </cell>
          <cell r="AK1952" t="str">
            <v>Chemotherapy</v>
          </cell>
          <cell r="AM1952" t="str">
            <v>III</v>
          </cell>
          <cell r="AN1952" t="str">
            <v>II</v>
          </cell>
          <cell r="AO1952" t="str">
            <v>pT3N1M0</v>
          </cell>
          <cell r="AP1952" t="str">
            <v>3 cycles</v>
          </cell>
          <cell r="AQ1952" t="str">
            <v>Docetaxel+Cisplatin+5FU</v>
          </cell>
          <cell r="AR1952" t="str">
            <v>Adenocarcinoma</v>
          </cell>
          <cell r="AS1952" t="str">
            <v>3 cycles</v>
          </cell>
          <cell r="AT1952" t="str">
            <v>Docetaxel+Cisplatin+5FU</v>
          </cell>
          <cell r="AU1952">
            <v>44560</v>
          </cell>
          <cell r="AV1952">
            <v>0.40625</v>
          </cell>
          <cell r="AW1952">
            <v>0.46875</v>
          </cell>
          <cell r="BA1952" t="str">
            <v>0.6*1.0*1.6
1.0*1.6*1.4</v>
          </cell>
          <cell r="BC1952" t="str">
            <v>2*2*2</v>
          </cell>
          <cell r="BD1952">
            <v>4</v>
          </cell>
          <cell r="BE1952" t="str">
            <v>GS</v>
          </cell>
          <cell r="BF1952" t="str">
            <v>Q</v>
          </cell>
        </row>
        <row r="1953">
          <cell r="A1953" t="str">
            <v>FBR1C210240</v>
          </cell>
          <cell r="B1953">
            <v>210240</v>
          </cell>
          <cell r="C1953" t="str">
            <v>R&amp;D</v>
          </cell>
          <cell r="D1953">
            <v>44560</v>
          </cell>
          <cell r="E1953">
            <v>0.85416666666666663</v>
          </cell>
          <cell r="F1953">
            <v>44531</v>
          </cell>
          <cell r="G1953">
            <v>44560</v>
          </cell>
          <cell r="H1953">
            <v>0.90277777777777779</v>
          </cell>
          <cell r="I1953">
            <v>4.8611111111111112E-2</v>
          </cell>
          <cell r="J1953">
            <v>5</v>
          </cell>
          <cell r="K1953" t="str">
            <v>FCB-PROTOCOL-01_v1</v>
          </cell>
          <cell r="L1953" t="str">
            <v>CLN/PRA/01/0148</v>
          </cell>
          <cell r="M1953" t="str">
            <v>Y</v>
          </cell>
          <cell r="N1953" t="str">
            <v>Culture Improvement</v>
          </cell>
          <cell r="O1953" t="str">
            <v>Internal R&amp;D</v>
          </cell>
          <cell r="S1953" t="str">
            <v>Q1 Passed</v>
          </cell>
          <cell r="U1953" t="str">
            <v>Tumor content 15-45%. Pyknosis high</v>
          </cell>
          <cell r="V1953" t="str">
            <v>Clinic'les</v>
          </cell>
          <cell r="W1953" t="str">
            <v>Clinic'les- Dr Prakash BV, Bangalore</v>
          </cell>
          <cell r="X1953" t="str">
            <v>Sri Lakshmi Hospital, Bangalore</v>
          </cell>
          <cell r="Y1953" t="str">
            <v>Dr Prakash BV, Bangalore</v>
          </cell>
          <cell r="Z1953" t="str">
            <v>HNSCC</v>
          </cell>
          <cell r="AB1953" t="str">
            <v>Pharynx</v>
          </cell>
          <cell r="AC1953" t="str">
            <v>Lateral pharynxal wall</v>
          </cell>
          <cell r="AD1953" t="str">
            <v>Female</v>
          </cell>
          <cell r="AE1953">
            <v>50</v>
          </cell>
          <cell r="AF1953" t="str">
            <v>No</v>
          </cell>
          <cell r="AG1953">
            <v>3.6</v>
          </cell>
          <cell r="AH1953" t="str">
            <v>Partha</v>
          </cell>
          <cell r="AI1953" t="str">
            <v>Surgery</v>
          </cell>
          <cell r="AJ1953" t="str">
            <v>Primary</v>
          </cell>
          <cell r="AK1953" t="str">
            <v>Chemotherapy</v>
          </cell>
          <cell r="AM1953" t="str">
            <v>III</v>
          </cell>
          <cell r="AN1953" t="str">
            <v>II</v>
          </cell>
          <cell r="AO1953" t="str">
            <v>pT3N1M0</v>
          </cell>
          <cell r="AP1953" t="str">
            <v>3 cycles</v>
          </cell>
          <cell r="AQ1953" t="str">
            <v>Cisplatin+5FU</v>
          </cell>
          <cell r="AR1953" t="str">
            <v>Squamous Cell Carcinoma</v>
          </cell>
          <cell r="AS1953" t="str">
            <v>Radiotherapy</v>
          </cell>
          <cell r="AU1953">
            <v>44561</v>
          </cell>
          <cell r="AV1953">
            <v>0.34375</v>
          </cell>
          <cell r="AW1953">
            <v>0.40625</v>
          </cell>
          <cell r="BA1953" t="str">
            <v>1.0*2.2*2.0</v>
          </cell>
          <cell r="BC1953" t="str">
            <v>2*2*2</v>
          </cell>
          <cell r="BD1953">
            <v>4</v>
          </cell>
          <cell r="BE1953" t="str">
            <v>RM</v>
          </cell>
          <cell r="BF1953" t="str">
            <v>Q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944D-A60F-417C-B524-36A40E287795}">
  <dimension ref="A1:I49"/>
  <sheetViews>
    <sheetView workbookViewId="0">
      <selection activeCell="B1" sqref="B1:B1048576"/>
    </sheetView>
  </sheetViews>
  <sheetFormatPr defaultRowHeight="14.4" x14ac:dyDescent="0.3"/>
  <cols>
    <col min="1" max="1" width="12.21875" bestFit="1" customWidth="1"/>
    <col min="3" max="3" width="20.21875" customWidth="1"/>
    <col min="4" max="4" width="15.44140625" customWidth="1"/>
    <col min="5" max="5" width="15.77734375" customWidth="1"/>
    <col min="6" max="6" width="14.33203125" customWidth="1"/>
    <col min="7" max="7" width="13.6640625" customWidth="1"/>
    <col min="8" max="8" width="12.109375" customWidth="1"/>
    <col min="9" max="9" width="16.33203125" customWidth="1"/>
    <col min="12" max="12" width="10.109375" customWidth="1"/>
    <col min="13" max="13" width="14.88671875" customWidth="1"/>
    <col min="14" max="14" width="5.33203125" bestFit="1" customWidth="1"/>
    <col min="15" max="16" width="5.109375" customWidth="1"/>
    <col min="17" max="17" width="5.21875" customWidth="1"/>
    <col min="18" max="18" width="14.21875" bestFit="1" customWidth="1"/>
    <col min="19" max="19" width="16.6640625" bestFit="1" customWidth="1"/>
    <col min="20" max="20" width="17.77734375" bestFit="1" customWidth="1"/>
  </cols>
  <sheetData>
    <row r="1" spans="1:9" s="1" customFormat="1" x14ac:dyDescent="0.3">
      <c r="A1" s="1" t="s">
        <v>4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">
      <c r="A2" t="s">
        <v>9</v>
      </c>
      <c r="B2" t="s">
        <v>1</v>
      </c>
      <c r="C2">
        <v>6</v>
      </c>
      <c r="D2">
        <v>4</v>
      </c>
      <c r="E2">
        <v>8</v>
      </c>
      <c r="F2">
        <v>0</v>
      </c>
      <c r="G2">
        <v>4</v>
      </c>
      <c r="H2">
        <v>60</v>
      </c>
      <c r="I2">
        <v>15</v>
      </c>
    </row>
    <row r="3" spans="1:9" x14ac:dyDescent="0.3">
      <c r="A3" t="s">
        <v>9</v>
      </c>
      <c r="B3" t="s">
        <v>2</v>
      </c>
      <c r="C3">
        <v>6</v>
      </c>
      <c r="D3">
        <v>4.5</v>
      </c>
      <c r="E3">
        <v>20</v>
      </c>
      <c r="F3">
        <v>0</v>
      </c>
      <c r="G3">
        <v>4.5</v>
      </c>
      <c r="H3">
        <v>45</v>
      </c>
      <c r="I3">
        <v>32.5</v>
      </c>
    </row>
    <row r="4" spans="1:9" x14ac:dyDescent="0.3">
      <c r="A4" t="s">
        <v>9</v>
      </c>
      <c r="B4" t="s">
        <v>3</v>
      </c>
      <c r="C4">
        <v>5.5</v>
      </c>
      <c r="D4">
        <v>5</v>
      </c>
      <c r="E4">
        <v>27.5</v>
      </c>
      <c r="F4">
        <v>0</v>
      </c>
      <c r="G4">
        <v>5</v>
      </c>
      <c r="H4">
        <v>30</v>
      </c>
      <c r="I4">
        <v>45</v>
      </c>
    </row>
    <row r="5" spans="1:9" x14ac:dyDescent="0.3">
      <c r="A5" t="s">
        <v>17</v>
      </c>
      <c r="B5" t="s">
        <v>1</v>
      </c>
      <c r="C5">
        <v>4</v>
      </c>
      <c r="D5">
        <v>4</v>
      </c>
      <c r="E5">
        <v>2</v>
      </c>
      <c r="F5">
        <v>1</v>
      </c>
      <c r="G5">
        <v>5</v>
      </c>
      <c r="H5">
        <v>8</v>
      </c>
      <c r="I5">
        <v>4</v>
      </c>
    </row>
    <row r="6" spans="1:9" x14ac:dyDescent="0.3">
      <c r="A6" t="s">
        <v>17</v>
      </c>
      <c r="B6" t="s">
        <v>2</v>
      </c>
      <c r="C6">
        <v>6</v>
      </c>
      <c r="D6">
        <v>3</v>
      </c>
      <c r="E6">
        <v>3</v>
      </c>
      <c r="F6">
        <v>1</v>
      </c>
      <c r="G6">
        <v>5</v>
      </c>
      <c r="H6">
        <v>8</v>
      </c>
      <c r="I6">
        <v>3</v>
      </c>
    </row>
    <row r="7" spans="1:9" x14ac:dyDescent="0.3">
      <c r="A7" t="s">
        <v>17</v>
      </c>
      <c r="B7" t="s">
        <v>3</v>
      </c>
      <c r="C7">
        <v>8</v>
      </c>
      <c r="D7">
        <v>3</v>
      </c>
      <c r="E7">
        <v>3</v>
      </c>
      <c r="F7">
        <v>1</v>
      </c>
      <c r="G7">
        <v>5</v>
      </c>
      <c r="H7">
        <v>5</v>
      </c>
      <c r="I7">
        <v>3.5</v>
      </c>
    </row>
    <row r="8" spans="1:9" x14ac:dyDescent="0.3">
      <c r="A8" t="s">
        <v>20</v>
      </c>
      <c r="B8" t="s">
        <v>1</v>
      </c>
      <c r="C8">
        <v>6</v>
      </c>
      <c r="D8">
        <v>3</v>
      </c>
      <c r="E8">
        <v>1</v>
      </c>
      <c r="F8">
        <v>0</v>
      </c>
      <c r="G8">
        <v>3</v>
      </c>
      <c r="H8">
        <v>40</v>
      </c>
      <c r="I8">
        <v>3</v>
      </c>
    </row>
    <row r="9" spans="1:9" x14ac:dyDescent="0.3">
      <c r="A9" t="s">
        <v>20</v>
      </c>
      <c r="B9" t="s">
        <v>2</v>
      </c>
      <c r="C9">
        <v>3</v>
      </c>
      <c r="D9">
        <v>3</v>
      </c>
      <c r="E9">
        <v>1</v>
      </c>
      <c r="F9">
        <v>0</v>
      </c>
      <c r="G9">
        <v>3</v>
      </c>
      <c r="H9">
        <v>80</v>
      </c>
      <c r="I9">
        <v>3</v>
      </c>
    </row>
    <row r="10" spans="1:9" x14ac:dyDescent="0.3">
      <c r="A10" t="s">
        <v>20</v>
      </c>
      <c r="B10" t="s">
        <v>3</v>
      </c>
      <c r="C10">
        <v>6</v>
      </c>
      <c r="D10">
        <v>4</v>
      </c>
      <c r="E10">
        <v>2</v>
      </c>
      <c r="F10">
        <v>0.5</v>
      </c>
      <c r="G10">
        <v>5</v>
      </c>
      <c r="H10">
        <v>55</v>
      </c>
      <c r="I10">
        <v>2</v>
      </c>
    </row>
    <row r="11" spans="1:9" x14ac:dyDescent="0.3">
      <c r="A11" t="s">
        <v>12</v>
      </c>
      <c r="B11" t="s">
        <v>1</v>
      </c>
      <c r="C11">
        <v>20</v>
      </c>
      <c r="D11">
        <v>2</v>
      </c>
      <c r="E11">
        <v>3</v>
      </c>
      <c r="F11">
        <v>2</v>
      </c>
      <c r="G11">
        <v>3</v>
      </c>
      <c r="H11">
        <v>80</v>
      </c>
      <c r="I11">
        <v>3</v>
      </c>
    </row>
    <row r="12" spans="1:9" x14ac:dyDescent="0.3">
      <c r="A12" t="s">
        <v>12</v>
      </c>
      <c r="B12" t="s">
        <v>2</v>
      </c>
      <c r="C12">
        <v>20</v>
      </c>
      <c r="D12">
        <v>3</v>
      </c>
      <c r="E12">
        <v>4</v>
      </c>
      <c r="F12">
        <v>2</v>
      </c>
      <c r="G12">
        <v>3</v>
      </c>
      <c r="H12">
        <v>80</v>
      </c>
      <c r="I12">
        <v>4</v>
      </c>
    </row>
    <row r="13" spans="1:9" x14ac:dyDescent="0.3">
      <c r="A13" t="s">
        <v>12</v>
      </c>
      <c r="B13" t="s">
        <v>3</v>
      </c>
      <c r="C13">
        <v>20</v>
      </c>
      <c r="D13">
        <v>2</v>
      </c>
      <c r="E13">
        <v>4</v>
      </c>
      <c r="F13">
        <v>2</v>
      </c>
      <c r="G13">
        <v>2</v>
      </c>
      <c r="H13">
        <v>90</v>
      </c>
      <c r="I13">
        <v>4</v>
      </c>
    </row>
    <row r="14" spans="1:9" x14ac:dyDescent="0.3">
      <c r="A14" t="s">
        <v>16</v>
      </c>
      <c r="B14" t="s">
        <v>1</v>
      </c>
      <c r="C14">
        <v>45</v>
      </c>
      <c r="D14">
        <v>3</v>
      </c>
      <c r="E14">
        <v>8</v>
      </c>
      <c r="F14">
        <v>2</v>
      </c>
      <c r="G14">
        <v>3</v>
      </c>
      <c r="H14">
        <v>70</v>
      </c>
      <c r="I14">
        <v>15</v>
      </c>
    </row>
    <row r="15" spans="1:9" x14ac:dyDescent="0.3">
      <c r="A15" t="s">
        <v>16</v>
      </c>
      <c r="B15" t="s">
        <v>2</v>
      </c>
      <c r="C15">
        <v>55</v>
      </c>
      <c r="D15">
        <v>3</v>
      </c>
      <c r="E15">
        <v>20</v>
      </c>
      <c r="F15">
        <v>2</v>
      </c>
      <c r="G15">
        <v>3</v>
      </c>
      <c r="H15">
        <v>60</v>
      </c>
      <c r="I15">
        <v>40</v>
      </c>
    </row>
    <row r="16" spans="1:9" x14ac:dyDescent="0.3">
      <c r="A16" t="s">
        <v>16</v>
      </c>
      <c r="B16" t="s">
        <v>3</v>
      </c>
      <c r="C16">
        <v>47.5</v>
      </c>
      <c r="D16">
        <v>3</v>
      </c>
      <c r="E16">
        <v>19</v>
      </c>
      <c r="F16">
        <v>2</v>
      </c>
      <c r="G16">
        <v>3</v>
      </c>
      <c r="H16">
        <v>62.5</v>
      </c>
      <c r="I16">
        <v>20</v>
      </c>
    </row>
    <row r="17" spans="1:9" x14ac:dyDescent="0.3">
      <c r="A17" t="s">
        <v>6</v>
      </c>
      <c r="B17" t="s">
        <v>1</v>
      </c>
      <c r="C17">
        <v>20</v>
      </c>
      <c r="D17">
        <v>3</v>
      </c>
      <c r="E17">
        <v>8</v>
      </c>
      <c r="F17">
        <v>0</v>
      </c>
      <c r="G17">
        <v>4</v>
      </c>
      <c r="H17">
        <v>45</v>
      </c>
      <c r="I17">
        <v>10</v>
      </c>
    </row>
    <row r="18" spans="1:9" x14ac:dyDescent="0.3">
      <c r="A18" t="s">
        <v>6</v>
      </c>
      <c r="B18" t="s">
        <v>2</v>
      </c>
      <c r="C18">
        <v>25</v>
      </c>
      <c r="D18">
        <v>4</v>
      </c>
      <c r="E18">
        <v>8</v>
      </c>
      <c r="F18">
        <v>0</v>
      </c>
      <c r="G18">
        <v>5</v>
      </c>
      <c r="H18">
        <v>40</v>
      </c>
      <c r="I18">
        <v>12</v>
      </c>
    </row>
    <row r="19" spans="1:9" x14ac:dyDescent="0.3">
      <c r="A19" t="s">
        <v>6</v>
      </c>
      <c r="B19" t="s">
        <v>3</v>
      </c>
      <c r="C19">
        <v>15</v>
      </c>
      <c r="D19">
        <v>4</v>
      </c>
      <c r="E19">
        <v>6</v>
      </c>
      <c r="F19">
        <v>0</v>
      </c>
      <c r="G19">
        <v>5</v>
      </c>
      <c r="H19">
        <v>40</v>
      </c>
      <c r="I19">
        <v>10</v>
      </c>
    </row>
    <row r="20" spans="1:9" x14ac:dyDescent="0.3">
      <c r="A20" t="s">
        <v>8</v>
      </c>
      <c r="B20" t="s">
        <v>1</v>
      </c>
      <c r="C20">
        <v>7</v>
      </c>
      <c r="D20">
        <v>3</v>
      </c>
      <c r="E20">
        <v>6</v>
      </c>
      <c r="F20">
        <v>2</v>
      </c>
      <c r="G20">
        <v>5</v>
      </c>
      <c r="H20">
        <v>65</v>
      </c>
      <c r="I20">
        <v>4</v>
      </c>
    </row>
    <row r="21" spans="1:9" x14ac:dyDescent="0.3">
      <c r="A21" t="s">
        <v>8</v>
      </c>
      <c r="B21" t="s">
        <v>2</v>
      </c>
      <c r="C21">
        <v>6</v>
      </c>
      <c r="D21">
        <v>3</v>
      </c>
      <c r="E21">
        <v>6</v>
      </c>
      <c r="F21">
        <v>1</v>
      </c>
      <c r="G21">
        <v>5</v>
      </c>
      <c r="H21">
        <v>60</v>
      </c>
      <c r="I21">
        <v>6</v>
      </c>
    </row>
    <row r="22" spans="1:9" x14ac:dyDescent="0.3">
      <c r="A22" t="s">
        <v>8</v>
      </c>
      <c r="B22" t="s">
        <v>3</v>
      </c>
      <c r="C22">
        <v>8</v>
      </c>
      <c r="D22">
        <v>3</v>
      </c>
      <c r="E22">
        <v>4</v>
      </c>
      <c r="F22">
        <v>1</v>
      </c>
      <c r="G22">
        <v>5</v>
      </c>
      <c r="H22">
        <v>75</v>
      </c>
      <c r="I22">
        <v>4</v>
      </c>
    </row>
    <row r="23" spans="1:9" x14ac:dyDescent="0.3">
      <c r="A23" t="s">
        <v>5</v>
      </c>
      <c r="B23" t="s">
        <v>1</v>
      </c>
      <c r="C23">
        <v>9</v>
      </c>
      <c r="D23">
        <v>3</v>
      </c>
      <c r="E23">
        <v>3</v>
      </c>
      <c r="F23">
        <v>2</v>
      </c>
      <c r="G23">
        <v>3</v>
      </c>
      <c r="H23">
        <v>75</v>
      </c>
      <c r="I23">
        <v>3</v>
      </c>
    </row>
    <row r="24" spans="1:9" x14ac:dyDescent="0.3">
      <c r="A24" t="s">
        <v>5</v>
      </c>
      <c r="B24" t="s">
        <v>2</v>
      </c>
      <c r="C24">
        <v>9</v>
      </c>
      <c r="D24">
        <v>2</v>
      </c>
      <c r="E24">
        <v>3</v>
      </c>
      <c r="F24">
        <v>2</v>
      </c>
      <c r="G24">
        <v>3</v>
      </c>
      <c r="H24">
        <v>70</v>
      </c>
      <c r="I24">
        <v>3</v>
      </c>
    </row>
    <row r="25" spans="1:9" x14ac:dyDescent="0.3">
      <c r="A25" t="s">
        <v>5</v>
      </c>
      <c r="B25" t="s">
        <v>3</v>
      </c>
      <c r="C25">
        <v>6</v>
      </c>
      <c r="D25">
        <v>2</v>
      </c>
      <c r="E25">
        <v>2</v>
      </c>
      <c r="F25">
        <v>2</v>
      </c>
      <c r="G25">
        <v>3</v>
      </c>
      <c r="H25">
        <v>60</v>
      </c>
      <c r="I25">
        <v>2</v>
      </c>
    </row>
    <row r="26" spans="1:9" x14ac:dyDescent="0.3">
      <c r="A26" t="s">
        <v>7</v>
      </c>
      <c r="B26" t="s">
        <v>1</v>
      </c>
      <c r="C26">
        <v>9</v>
      </c>
      <c r="D26">
        <v>5</v>
      </c>
      <c r="E26">
        <v>4</v>
      </c>
      <c r="F26">
        <v>5</v>
      </c>
      <c r="G26">
        <v>5</v>
      </c>
      <c r="H26">
        <v>4</v>
      </c>
      <c r="I26">
        <v>3</v>
      </c>
    </row>
    <row r="27" spans="1:9" x14ac:dyDescent="0.3">
      <c r="A27" t="s">
        <v>7</v>
      </c>
      <c r="B27" t="s">
        <v>2</v>
      </c>
      <c r="C27">
        <v>9</v>
      </c>
      <c r="D27">
        <v>4</v>
      </c>
      <c r="E27">
        <v>4</v>
      </c>
      <c r="F27">
        <v>4</v>
      </c>
      <c r="G27">
        <v>4</v>
      </c>
      <c r="H27">
        <v>9</v>
      </c>
      <c r="I27">
        <v>5</v>
      </c>
    </row>
    <row r="28" spans="1:9" x14ac:dyDescent="0.3">
      <c r="A28" t="s">
        <v>7</v>
      </c>
      <c r="B28" t="s">
        <v>3</v>
      </c>
      <c r="C28">
        <v>7</v>
      </c>
      <c r="D28">
        <v>4</v>
      </c>
      <c r="E28">
        <v>5</v>
      </c>
      <c r="F28">
        <v>3</v>
      </c>
      <c r="G28">
        <v>4</v>
      </c>
      <c r="H28">
        <v>6</v>
      </c>
      <c r="I28">
        <v>3.5</v>
      </c>
    </row>
    <row r="29" spans="1:9" x14ac:dyDescent="0.3">
      <c r="A29" t="s">
        <v>19</v>
      </c>
      <c r="B29" t="s">
        <v>1</v>
      </c>
      <c r="C29">
        <v>5</v>
      </c>
      <c r="D29">
        <v>4</v>
      </c>
      <c r="E29">
        <v>5</v>
      </c>
      <c r="F29">
        <v>4</v>
      </c>
      <c r="G29">
        <v>4</v>
      </c>
      <c r="H29">
        <v>5</v>
      </c>
      <c r="I29">
        <v>6</v>
      </c>
    </row>
    <row r="30" spans="1:9" x14ac:dyDescent="0.3">
      <c r="A30" t="s">
        <v>19</v>
      </c>
      <c r="B30" t="s">
        <v>2</v>
      </c>
      <c r="C30">
        <v>7</v>
      </c>
      <c r="D30">
        <v>5</v>
      </c>
      <c r="E30">
        <v>4</v>
      </c>
      <c r="F30">
        <v>5</v>
      </c>
      <c r="G30">
        <v>5</v>
      </c>
      <c r="H30">
        <v>2.5</v>
      </c>
      <c r="I30">
        <v>2.5</v>
      </c>
    </row>
    <row r="31" spans="1:9" x14ac:dyDescent="0.3">
      <c r="A31" t="s">
        <v>19</v>
      </c>
      <c r="B31" t="s">
        <v>3</v>
      </c>
      <c r="C31">
        <v>11</v>
      </c>
      <c r="D31">
        <v>4</v>
      </c>
      <c r="E31">
        <v>4</v>
      </c>
      <c r="F31">
        <v>4</v>
      </c>
      <c r="G31">
        <v>4</v>
      </c>
      <c r="H31">
        <v>6</v>
      </c>
      <c r="I31">
        <v>5</v>
      </c>
    </row>
    <row r="32" spans="1:9" x14ac:dyDescent="0.3">
      <c r="A32" t="s">
        <v>11</v>
      </c>
      <c r="B32" t="s">
        <v>1</v>
      </c>
      <c r="C32">
        <v>6</v>
      </c>
      <c r="D32">
        <v>3</v>
      </c>
      <c r="E32">
        <v>3.5</v>
      </c>
      <c r="F32">
        <v>3</v>
      </c>
      <c r="G32">
        <v>4</v>
      </c>
      <c r="H32">
        <v>9</v>
      </c>
      <c r="I32">
        <v>3.5</v>
      </c>
    </row>
    <row r="33" spans="1:9" x14ac:dyDescent="0.3">
      <c r="A33" t="s">
        <v>11</v>
      </c>
      <c r="B33" t="s">
        <v>2</v>
      </c>
      <c r="C33">
        <v>7.5</v>
      </c>
      <c r="D33">
        <v>4</v>
      </c>
      <c r="E33">
        <v>3</v>
      </c>
      <c r="F33">
        <v>3.5</v>
      </c>
      <c r="G33">
        <v>4</v>
      </c>
      <c r="H33">
        <v>6</v>
      </c>
      <c r="I33">
        <v>2.5</v>
      </c>
    </row>
    <row r="34" spans="1:9" x14ac:dyDescent="0.3">
      <c r="A34" t="s">
        <v>11</v>
      </c>
      <c r="B34" t="s">
        <v>3</v>
      </c>
      <c r="C34">
        <v>10</v>
      </c>
      <c r="D34">
        <v>4</v>
      </c>
      <c r="E34">
        <v>3</v>
      </c>
      <c r="F34">
        <v>3</v>
      </c>
      <c r="G34">
        <v>4</v>
      </c>
      <c r="H34">
        <v>6</v>
      </c>
      <c r="I34">
        <v>3</v>
      </c>
    </row>
    <row r="35" spans="1:9" x14ac:dyDescent="0.3">
      <c r="A35" t="s">
        <v>14</v>
      </c>
      <c r="B35" t="s">
        <v>1</v>
      </c>
      <c r="C35">
        <v>5</v>
      </c>
      <c r="D35">
        <v>3</v>
      </c>
      <c r="E35">
        <v>3</v>
      </c>
      <c r="F35">
        <v>2</v>
      </c>
      <c r="G35">
        <v>3</v>
      </c>
      <c r="H35">
        <v>20</v>
      </c>
      <c r="I35">
        <v>3</v>
      </c>
    </row>
    <row r="36" spans="1:9" x14ac:dyDescent="0.3">
      <c r="A36" t="s">
        <v>14</v>
      </c>
      <c r="B36" t="s">
        <v>2</v>
      </c>
      <c r="C36">
        <v>5</v>
      </c>
      <c r="D36">
        <v>3</v>
      </c>
      <c r="E36">
        <v>5</v>
      </c>
      <c r="F36">
        <v>2</v>
      </c>
      <c r="G36">
        <v>3</v>
      </c>
      <c r="H36">
        <v>30</v>
      </c>
      <c r="I36">
        <v>5</v>
      </c>
    </row>
    <row r="37" spans="1:9" x14ac:dyDescent="0.3">
      <c r="A37" t="s">
        <v>14</v>
      </c>
      <c r="B37" t="s">
        <v>3</v>
      </c>
      <c r="C37">
        <v>4</v>
      </c>
      <c r="D37">
        <v>3</v>
      </c>
      <c r="E37">
        <v>5</v>
      </c>
      <c r="F37">
        <v>2</v>
      </c>
      <c r="G37">
        <v>3</v>
      </c>
      <c r="H37">
        <v>25</v>
      </c>
      <c r="I37">
        <v>5</v>
      </c>
    </row>
    <row r="38" spans="1:9" x14ac:dyDescent="0.3">
      <c r="A38" t="s">
        <v>18</v>
      </c>
      <c r="B38" t="s">
        <v>1</v>
      </c>
      <c r="C38">
        <v>8</v>
      </c>
      <c r="D38">
        <v>1</v>
      </c>
      <c r="E38">
        <v>6</v>
      </c>
      <c r="F38">
        <v>0</v>
      </c>
      <c r="G38">
        <v>3</v>
      </c>
      <c r="H38">
        <v>65</v>
      </c>
      <c r="I38">
        <v>8</v>
      </c>
    </row>
    <row r="39" spans="1:9" x14ac:dyDescent="0.3">
      <c r="A39" t="s">
        <v>18</v>
      </c>
      <c r="B39" t="s">
        <v>2</v>
      </c>
      <c r="C39">
        <v>12</v>
      </c>
      <c r="D39">
        <v>2</v>
      </c>
      <c r="E39">
        <v>4</v>
      </c>
      <c r="F39">
        <v>0</v>
      </c>
      <c r="G39">
        <v>3</v>
      </c>
      <c r="H39">
        <v>75</v>
      </c>
      <c r="I39">
        <v>6</v>
      </c>
    </row>
    <row r="40" spans="1:9" x14ac:dyDescent="0.3">
      <c r="A40" t="s">
        <v>18</v>
      </c>
      <c r="B40" t="s">
        <v>3</v>
      </c>
      <c r="C40">
        <v>12</v>
      </c>
      <c r="D40">
        <v>2</v>
      </c>
      <c r="E40">
        <v>8</v>
      </c>
      <c r="F40">
        <v>0</v>
      </c>
      <c r="G40">
        <v>3</v>
      </c>
      <c r="H40">
        <v>75</v>
      </c>
      <c r="I40">
        <v>10</v>
      </c>
    </row>
    <row r="41" spans="1:9" x14ac:dyDescent="0.3">
      <c r="A41" t="s">
        <v>13</v>
      </c>
      <c r="B41" t="s">
        <v>1</v>
      </c>
      <c r="C41">
        <v>15</v>
      </c>
      <c r="D41">
        <v>3</v>
      </c>
      <c r="E41">
        <v>2</v>
      </c>
      <c r="F41">
        <v>0</v>
      </c>
      <c r="G41">
        <v>3</v>
      </c>
      <c r="H41">
        <v>40</v>
      </c>
      <c r="I41">
        <v>3</v>
      </c>
    </row>
    <row r="42" spans="1:9" x14ac:dyDescent="0.3">
      <c r="A42" t="s">
        <v>13</v>
      </c>
      <c r="B42" t="s">
        <v>2</v>
      </c>
      <c r="C42">
        <v>12</v>
      </c>
      <c r="D42">
        <v>3</v>
      </c>
      <c r="E42">
        <v>6</v>
      </c>
      <c r="F42">
        <v>0</v>
      </c>
      <c r="G42">
        <v>4</v>
      </c>
      <c r="H42">
        <v>20</v>
      </c>
      <c r="I42">
        <v>10</v>
      </c>
    </row>
    <row r="43" spans="1:9" x14ac:dyDescent="0.3">
      <c r="A43" t="s">
        <v>13</v>
      </c>
      <c r="B43" t="s">
        <v>3</v>
      </c>
      <c r="C43">
        <v>13.5</v>
      </c>
      <c r="D43">
        <v>2.5</v>
      </c>
      <c r="E43">
        <v>4.5</v>
      </c>
      <c r="F43">
        <v>1</v>
      </c>
      <c r="G43">
        <v>2</v>
      </c>
      <c r="H43">
        <v>17.5</v>
      </c>
      <c r="I43">
        <v>8</v>
      </c>
    </row>
    <row r="44" spans="1:9" x14ac:dyDescent="0.3">
      <c r="A44" t="s">
        <v>15</v>
      </c>
      <c r="B44" t="s">
        <v>1</v>
      </c>
      <c r="C44">
        <v>30</v>
      </c>
      <c r="D44">
        <v>3</v>
      </c>
      <c r="E44">
        <v>5</v>
      </c>
      <c r="F44">
        <v>0</v>
      </c>
      <c r="G44">
        <v>3</v>
      </c>
      <c r="H44">
        <v>85</v>
      </c>
      <c r="I44">
        <v>12</v>
      </c>
    </row>
    <row r="45" spans="1:9" x14ac:dyDescent="0.3">
      <c r="A45" t="s">
        <v>15</v>
      </c>
      <c r="B45" t="s">
        <v>2</v>
      </c>
      <c r="C45">
        <v>25</v>
      </c>
      <c r="D45">
        <v>2</v>
      </c>
      <c r="E45">
        <v>8</v>
      </c>
      <c r="F45">
        <v>1</v>
      </c>
      <c r="G45">
        <v>4</v>
      </c>
      <c r="H45">
        <v>70</v>
      </c>
      <c r="I45">
        <v>15</v>
      </c>
    </row>
    <row r="46" spans="1:9" x14ac:dyDescent="0.3">
      <c r="A46" t="s">
        <v>15</v>
      </c>
      <c r="B46" t="s">
        <v>3</v>
      </c>
      <c r="C46">
        <v>35</v>
      </c>
      <c r="D46">
        <v>2</v>
      </c>
      <c r="E46">
        <v>15</v>
      </c>
      <c r="F46">
        <v>1</v>
      </c>
      <c r="G46">
        <v>2</v>
      </c>
      <c r="H46">
        <v>70</v>
      </c>
      <c r="I46">
        <v>10</v>
      </c>
    </row>
    <row r="47" spans="1:9" x14ac:dyDescent="0.3">
      <c r="A47" t="s">
        <v>10</v>
      </c>
      <c r="B47" t="s">
        <v>1</v>
      </c>
      <c r="C47">
        <v>7</v>
      </c>
      <c r="D47">
        <v>3</v>
      </c>
      <c r="E47">
        <v>3</v>
      </c>
      <c r="F47">
        <v>0</v>
      </c>
      <c r="G47">
        <v>3</v>
      </c>
      <c r="H47">
        <v>80</v>
      </c>
      <c r="I47">
        <v>5</v>
      </c>
    </row>
    <row r="48" spans="1:9" x14ac:dyDescent="0.3">
      <c r="A48" t="s">
        <v>10</v>
      </c>
      <c r="B48" t="s">
        <v>2</v>
      </c>
      <c r="C48">
        <v>6</v>
      </c>
      <c r="D48">
        <v>2</v>
      </c>
      <c r="E48">
        <v>1</v>
      </c>
      <c r="F48">
        <v>0</v>
      </c>
      <c r="G48">
        <v>3</v>
      </c>
      <c r="H48">
        <v>90</v>
      </c>
      <c r="I48">
        <v>2</v>
      </c>
    </row>
    <row r="49" spans="1:9" x14ac:dyDescent="0.3">
      <c r="A49" t="s">
        <v>10</v>
      </c>
      <c r="B49" t="s">
        <v>3</v>
      </c>
      <c r="C49">
        <v>5</v>
      </c>
      <c r="D49">
        <v>2</v>
      </c>
      <c r="E49">
        <v>1</v>
      </c>
      <c r="F49">
        <v>0</v>
      </c>
      <c r="G49">
        <v>3</v>
      </c>
      <c r="H49">
        <v>95</v>
      </c>
      <c r="I4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489F-1E61-4BE0-AFCF-847BDE058B0C}">
  <dimension ref="A1:H33"/>
  <sheetViews>
    <sheetView tabSelected="1" workbookViewId="0">
      <selection activeCell="N9" sqref="N9"/>
    </sheetView>
  </sheetViews>
  <sheetFormatPr defaultRowHeight="14.4" x14ac:dyDescent="0.3"/>
  <cols>
    <col min="1" max="1" width="16" customWidth="1"/>
  </cols>
  <sheetData>
    <row r="1" spans="1:8" x14ac:dyDescent="0.3">
      <c r="A1" s="1" t="s">
        <v>4</v>
      </c>
      <c r="B1" s="1" t="s">
        <v>817</v>
      </c>
      <c r="C1" s="1" t="s">
        <v>0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</row>
    <row r="2" spans="1:8" x14ac:dyDescent="0.3">
      <c r="A2" t="s">
        <v>9</v>
      </c>
      <c r="B2" t="s">
        <v>823</v>
      </c>
      <c r="C2" t="s">
        <v>2</v>
      </c>
      <c r="D2" t="str">
        <f>VLOOKUP($A2,'[1]Sample Tracking sheet_consoldia'!$A$1:$BG$1953,27,FALSE)</f>
        <v>HNSCC</v>
      </c>
      <c r="E2" t="str">
        <f>VLOOKUP($A2,'[1]Sample Tracking sheet_consoldia'!$A$1:$BG$1953,29,FALSE)</f>
        <v>Larynx</v>
      </c>
      <c r="F2" t="str">
        <f>VLOOKUP($A2,'[1]Sample Tracking sheet_consoldia'!$A$1:$BG$1953,31,FALSE)</f>
        <v>Female</v>
      </c>
      <c r="G2">
        <f>VLOOKUP($A2,'[1]Sample Tracking sheet_consoldia'!$A$1:$BG$1953,32,FALSE)</f>
        <v>62</v>
      </c>
      <c r="H2" t="s">
        <v>824</v>
      </c>
    </row>
    <row r="3" spans="1:8" x14ac:dyDescent="0.3">
      <c r="A3" t="s">
        <v>9</v>
      </c>
      <c r="B3" t="s">
        <v>823</v>
      </c>
      <c r="C3" t="s">
        <v>3</v>
      </c>
      <c r="D3" t="str">
        <f>VLOOKUP($A3,'[1]Sample Tracking sheet_consoldia'!$A$1:$BG$1953,27,FALSE)</f>
        <v>HNSCC</v>
      </c>
      <c r="E3" t="str">
        <f>VLOOKUP($A3,'[1]Sample Tracking sheet_consoldia'!$A$1:$BG$1953,29,FALSE)</f>
        <v>Larynx</v>
      </c>
      <c r="F3" t="str">
        <f>VLOOKUP($A3,'[1]Sample Tracking sheet_consoldia'!$A$1:$BG$1953,31,FALSE)</f>
        <v>Female</v>
      </c>
      <c r="G3">
        <f>VLOOKUP($A3,'[1]Sample Tracking sheet_consoldia'!$A$1:$BG$1953,32,FALSE)</f>
        <v>62</v>
      </c>
      <c r="H3" t="s">
        <v>825</v>
      </c>
    </row>
    <row r="4" spans="1:8" x14ac:dyDescent="0.3">
      <c r="A4" t="s">
        <v>17</v>
      </c>
      <c r="B4" t="s">
        <v>823</v>
      </c>
      <c r="C4" t="s">
        <v>2</v>
      </c>
      <c r="D4" t="str">
        <f>VLOOKUP($A4,'[1]Sample Tracking sheet_consoldia'!$A$1:$BG$1953,27,FALSE)</f>
        <v>HNSCC</v>
      </c>
      <c r="E4" t="str">
        <f>VLOOKUP($A4,'[1]Sample Tracking sheet_consoldia'!$A$1:$BG$1953,29,FALSE)</f>
        <v>Buccal Mucosa</v>
      </c>
      <c r="F4" t="str">
        <f>VLOOKUP($A4,'[1]Sample Tracking sheet_consoldia'!$A$1:$BG$1953,31,FALSE)</f>
        <v>Female</v>
      </c>
      <c r="G4">
        <f>VLOOKUP($A4,'[1]Sample Tracking sheet_consoldia'!$A$1:$BG$1953,32,FALSE)</f>
        <v>53</v>
      </c>
      <c r="H4" t="s">
        <v>824</v>
      </c>
    </row>
    <row r="5" spans="1:8" x14ac:dyDescent="0.3">
      <c r="A5" t="s">
        <v>17</v>
      </c>
      <c r="B5" t="s">
        <v>823</v>
      </c>
      <c r="C5" t="s">
        <v>3</v>
      </c>
      <c r="D5" t="str">
        <f>VLOOKUP($A5,'[1]Sample Tracking sheet_consoldia'!$A$1:$BG$1953,27,FALSE)</f>
        <v>HNSCC</v>
      </c>
      <c r="E5" t="str">
        <f>VLOOKUP($A5,'[1]Sample Tracking sheet_consoldia'!$A$1:$BG$1953,29,FALSE)</f>
        <v>Buccal Mucosa</v>
      </c>
      <c r="F5" t="str">
        <f>VLOOKUP($A5,'[1]Sample Tracking sheet_consoldia'!$A$1:$BG$1953,31,FALSE)</f>
        <v>Female</v>
      </c>
      <c r="G5">
        <f>VLOOKUP($A5,'[1]Sample Tracking sheet_consoldia'!$A$1:$BG$1953,32,FALSE)</f>
        <v>53</v>
      </c>
      <c r="H5" t="s">
        <v>825</v>
      </c>
    </row>
    <row r="6" spans="1:8" x14ac:dyDescent="0.3">
      <c r="A6" t="s">
        <v>20</v>
      </c>
      <c r="B6" t="s">
        <v>823</v>
      </c>
      <c r="C6" t="s">
        <v>2</v>
      </c>
      <c r="D6" t="str">
        <f>VLOOKUP($A6,'[1]Sample Tracking sheet_consoldia'!$A$1:$BG$1953,27,FALSE)</f>
        <v>HNSCC</v>
      </c>
      <c r="E6" t="str">
        <f>VLOOKUP($A6,'[1]Sample Tracking sheet_consoldia'!$A$1:$BG$1953,29,FALSE)</f>
        <v>Buccal Mucosa</v>
      </c>
      <c r="F6" t="str">
        <f>VLOOKUP($A6,'[1]Sample Tracking sheet_consoldia'!$A$1:$BG$1953,31,FALSE)</f>
        <v>Male</v>
      </c>
      <c r="G6">
        <f>VLOOKUP($A6,'[1]Sample Tracking sheet_consoldia'!$A$1:$BG$1953,32,FALSE)</f>
        <v>74</v>
      </c>
      <c r="H6" t="s">
        <v>826</v>
      </c>
    </row>
    <row r="7" spans="1:8" x14ac:dyDescent="0.3">
      <c r="A7" t="s">
        <v>20</v>
      </c>
      <c r="B7" t="s">
        <v>823</v>
      </c>
      <c r="C7" t="s">
        <v>3</v>
      </c>
      <c r="D7" t="str">
        <f>VLOOKUP($A7,'[1]Sample Tracking sheet_consoldia'!$A$1:$BG$1953,27,FALSE)</f>
        <v>HNSCC</v>
      </c>
      <c r="E7" t="str">
        <f>VLOOKUP($A7,'[1]Sample Tracking sheet_consoldia'!$A$1:$BG$1953,29,FALSE)</f>
        <v>Buccal Mucosa</v>
      </c>
      <c r="F7" t="str">
        <f>VLOOKUP($A7,'[1]Sample Tracking sheet_consoldia'!$A$1:$BG$1953,31,FALSE)</f>
        <v>Male</v>
      </c>
      <c r="G7">
        <f>VLOOKUP($A7,'[1]Sample Tracking sheet_consoldia'!$A$1:$BG$1953,32,FALSE)</f>
        <v>74</v>
      </c>
      <c r="H7" t="s">
        <v>825</v>
      </c>
    </row>
    <row r="8" spans="1:8" x14ac:dyDescent="0.3">
      <c r="A8" t="s">
        <v>12</v>
      </c>
      <c r="B8" t="s">
        <v>823</v>
      </c>
      <c r="C8" t="s">
        <v>2</v>
      </c>
      <c r="D8" t="str">
        <f>VLOOKUP($A8,'[1]Sample Tracking sheet_consoldia'!$A$1:$BG$1953,27,FALSE)</f>
        <v>HNSCC</v>
      </c>
      <c r="E8" t="str">
        <f>VLOOKUP($A8,'[1]Sample Tracking sheet_consoldia'!$A$1:$BG$1953,29,FALSE)</f>
        <v>Oral Cavity</v>
      </c>
      <c r="F8" t="str">
        <f>VLOOKUP($A8,'[1]Sample Tracking sheet_consoldia'!$A$1:$BG$1953,31,FALSE)</f>
        <v>Female</v>
      </c>
      <c r="G8">
        <f>VLOOKUP($A8,'[1]Sample Tracking sheet_consoldia'!$A$1:$BG$1953,32,FALSE)</f>
        <v>56</v>
      </c>
      <c r="H8" t="s">
        <v>826</v>
      </c>
    </row>
    <row r="9" spans="1:8" x14ac:dyDescent="0.3">
      <c r="A9" t="s">
        <v>12</v>
      </c>
      <c r="B9" t="s">
        <v>823</v>
      </c>
      <c r="C9" t="s">
        <v>3</v>
      </c>
      <c r="D9" t="str">
        <f>VLOOKUP($A9,'[1]Sample Tracking sheet_consoldia'!$A$1:$BG$1953,27,FALSE)</f>
        <v>HNSCC</v>
      </c>
      <c r="E9" t="str">
        <f>VLOOKUP($A9,'[1]Sample Tracking sheet_consoldia'!$A$1:$BG$1953,29,FALSE)</f>
        <v>Oral Cavity</v>
      </c>
      <c r="F9" t="str">
        <f>VLOOKUP($A9,'[1]Sample Tracking sheet_consoldia'!$A$1:$BG$1953,31,FALSE)</f>
        <v>Female</v>
      </c>
      <c r="G9">
        <f>VLOOKUP($A9,'[1]Sample Tracking sheet_consoldia'!$A$1:$BG$1953,32,FALSE)</f>
        <v>56</v>
      </c>
      <c r="H9" t="s">
        <v>826</v>
      </c>
    </row>
    <row r="10" spans="1:8" x14ac:dyDescent="0.3">
      <c r="A10" t="s">
        <v>16</v>
      </c>
      <c r="B10" t="s">
        <v>823</v>
      </c>
      <c r="C10" t="s">
        <v>2</v>
      </c>
      <c r="D10" t="str">
        <f>VLOOKUP($A10,'[1]Sample Tracking sheet_consoldia'!$A$1:$BG$1953,27,FALSE)</f>
        <v>HNSCC</v>
      </c>
      <c r="E10" t="str">
        <f>VLOOKUP($A10,'[1]Sample Tracking sheet_consoldia'!$A$1:$BG$1953,29,FALSE)</f>
        <v>Oral Cavity</v>
      </c>
      <c r="F10" t="str">
        <f>VLOOKUP($A10,'[1]Sample Tracking sheet_consoldia'!$A$1:$BG$1953,31,FALSE)</f>
        <v>Male</v>
      </c>
      <c r="G10">
        <f>VLOOKUP($A10,'[1]Sample Tracking sheet_consoldia'!$A$1:$BG$1953,32,FALSE)</f>
        <v>76</v>
      </c>
      <c r="H10" t="s">
        <v>824</v>
      </c>
    </row>
    <row r="11" spans="1:8" x14ac:dyDescent="0.3">
      <c r="A11" t="s">
        <v>16</v>
      </c>
      <c r="B11" t="s">
        <v>823</v>
      </c>
      <c r="C11" t="s">
        <v>3</v>
      </c>
      <c r="D11" t="str">
        <f>VLOOKUP($A11,'[1]Sample Tracking sheet_consoldia'!$A$1:$BG$1953,27,FALSE)</f>
        <v>HNSCC</v>
      </c>
      <c r="E11" t="str">
        <f>VLOOKUP($A11,'[1]Sample Tracking sheet_consoldia'!$A$1:$BG$1953,29,FALSE)</f>
        <v>Oral Cavity</v>
      </c>
      <c r="F11" t="str">
        <f>VLOOKUP($A11,'[1]Sample Tracking sheet_consoldia'!$A$1:$BG$1953,31,FALSE)</f>
        <v>Male</v>
      </c>
      <c r="G11">
        <f>VLOOKUP($A11,'[1]Sample Tracking sheet_consoldia'!$A$1:$BG$1953,32,FALSE)</f>
        <v>76</v>
      </c>
      <c r="H11" t="s">
        <v>826</v>
      </c>
    </row>
    <row r="12" spans="1:8" x14ac:dyDescent="0.3">
      <c r="A12" t="s">
        <v>6</v>
      </c>
      <c r="B12" t="s">
        <v>823</v>
      </c>
      <c r="C12" t="s">
        <v>2</v>
      </c>
      <c r="D12" t="str">
        <f>VLOOKUP($A12,'[1]Sample Tracking sheet_consoldia'!$A$1:$BG$1953,27,FALSE)</f>
        <v>HNSCC</v>
      </c>
      <c r="E12" t="str">
        <f>VLOOKUP($A12,'[1]Sample Tracking sheet_consoldia'!$A$1:$BG$1953,29,FALSE)</f>
        <v>Buccal Mucosa</v>
      </c>
      <c r="F12" t="str">
        <f>VLOOKUP($A12,'[1]Sample Tracking sheet_consoldia'!$A$1:$BG$1953,31,FALSE)</f>
        <v>Female</v>
      </c>
      <c r="G12">
        <f>VLOOKUP($A12,'[1]Sample Tracking sheet_consoldia'!$A$1:$BG$1953,32,FALSE)</f>
        <v>76</v>
      </c>
      <c r="H12" t="s">
        <v>824</v>
      </c>
    </row>
    <row r="13" spans="1:8" x14ac:dyDescent="0.3">
      <c r="A13" t="s">
        <v>6</v>
      </c>
      <c r="B13" t="s">
        <v>823</v>
      </c>
      <c r="C13" t="s">
        <v>3</v>
      </c>
      <c r="D13" t="str">
        <f>VLOOKUP($A13,'[1]Sample Tracking sheet_consoldia'!$A$1:$BG$1953,27,FALSE)</f>
        <v>HNSCC</v>
      </c>
      <c r="E13" t="str">
        <f>VLOOKUP($A13,'[1]Sample Tracking sheet_consoldia'!$A$1:$BG$1953,29,FALSE)</f>
        <v>Buccal Mucosa</v>
      </c>
      <c r="F13" t="str">
        <f>VLOOKUP($A13,'[1]Sample Tracking sheet_consoldia'!$A$1:$BG$1953,31,FALSE)</f>
        <v>Female</v>
      </c>
      <c r="G13">
        <f>VLOOKUP($A13,'[1]Sample Tracking sheet_consoldia'!$A$1:$BG$1953,32,FALSE)</f>
        <v>76</v>
      </c>
      <c r="H13" t="s">
        <v>826</v>
      </c>
    </row>
    <row r="14" spans="1:8" x14ac:dyDescent="0.3">
      <c r="A14" t="s">
        <v>8</v>
      </c>
      <c r="B14" t="s">
        <v>823</v>
      </c>
      <c r="C14" t="s">
        <v>2</v>
      </c>
      <c r="D14" t="str">
        <f>VLOOKUP($A14,'[1]Sample Tracking sheet_consoldia'!$A$1:$BG$1953,27,FALSE)</f>
        <v>HNSCC</v>
      </c>
      <c r="E14" t="str">
        <f>VLOOKUP($A14,'[1]Sample Tracking sheet_consoldia'!$A$1:$BG$1953,29,FALSE)</f>
        <v>Buccal Mucosa</v>
      </c>
      <c r="F14" t="str">
        <f>VLOOKUP($A14,'[1]Sample Tracking sheet_consoldia'!$A$1:$BG$1953,31,FALSE)</f>
        <v>Male</v>
      </c>
      <c r="G14">
        <f>VLOOKUP($A14,'[1]Sample Tracking sheet_consoldia'!$A$1:$BG$1953,32,FALSE)</f>
        <v>53</v>
      </c>
      <c r="H14" t="s">
        <v>826</v>
      </c>
    </row>
    <row r="15" spans="1:8" x14ac:dyDescent="0.3">
      <c r="A15" t="s">
        <v>8</v>
      </c>
      <c r="B15" t="s">
        <v>823</v>
      </c>
      <c r="C15" t="s">
        <v>3</v>
      </c>
      <c r="D15" t="str">
        <f>VLOOKUP($A15,'[1]Sample Tracking sheet_consoldia'!$A$1:$BG$1953,27,FALSE)</f>
        <v>HNSCC</v>
      </c>
      <c r="E15" t="str">
        <f>VLOOKUP($A15,'[1]Sample Tracking sheet_consoldia'!$A$1:$BG$1953,29,FALSE)</f>
        <v>Buccal Mucosa</v>
      </c>
      <c r="F15" t="str">
        <f>VLOOKUP($A15,'[1]Sample Tracking sheet_consoldia'!$A$1:$BG$1953,31,FALSE)</f>
        <v>Male</v>
      </c>
      <c r="G15">
        <f>VLOOKUP($A15,'[1]Sample Tracking sheet_consoldia'!$A$1:$BG$1953,32,FALSE)</f>
        <v>53</v>
      </c>
      <c r="H15" t="s">
        <v>826</v>
      </c>
    </row>
    <row r="16" spans="1:8" x14ac:dyDescent="0.3">
      <c r="A16" t="s">
        <v>5</v>
      </c>
      <c r="B16" t="s">
        <v>823</v>
      </c>
      <c r="C16" t="s">
        <v>2</v>
      </c>
      <c r="D16" t="str">
        <f>VLOOKUP($A16,'[1]Sample Tracking sheet_consoldia'!$A$1:$BG$1953,27,FALSE)</f>
        <v>HNSCC</v>
      </c>
      <c r="E16" t="str">
        <f>VLOOKUP($A16,'[1]Sample Tracking sheet_consoldia'!$A$1:$BG$1953,29,FALSE)</f>
        <v>GBS</v>
      </c>
      <c r="F16" t="str">
        <f>VLOOKUP($A16,'[1]Sample Tracking sheet_consoldia'!$A$1:$BG$1953,31,FALSE)</f>
        <v>Male</v>
      </c>
      <c r="G16">
        <f>VLOOKUP($A16,'[1]Sample Tracking sheet_consoldia'!$A$1:$BG$1953,32,FALSE)</f>
        <v>52</v>
      </c>
      <c r="H16" t="s">
        <v>826</v>
      </c>
    </row>
    <row r="17" spans="1:8" x14ac:dyDescent="0.3">
      <c r="A17" t="s">
        <v>5</v>
      </c>
      <c r="B17" t="s">
        <v>823</v>
      </c>
      <c r="C17" t="s">
        <v>3</v>
      </c>
      <c r="D17" t="str">
        <f>VLOOKUP($A17,'[1]Sample Tracking sheet_consoldia'!$A$1:$BG$1953,27,FALSE)</f>
        <v>HNSCC</v>
      </c>
      <c r="E17" t="str">
        <f>VLOOKUP($A17,'[1]Sample Tracking sheet_consoldia'!$A$1:$BG$1953,29,FALSE)</f>
        <v>GBS</v>
      </c>
      <c r="F17" t="str">
        <f>VLOOKUP($A17,'[1]Sample Tracking sheet_consoldia'!$A$1:$BG$1953,31,FALSE)</f>
        <v>Male</v>
      </c>
      <c r="G17">
        <f>VLOOKUP($A17,'[1]Sample Tracking sheet_consoldia'!$A$1:$BG$1953,32,FALSE)</f>
        <v>52</v>
      </c>
      <c r="H17" t="s">
        <v>824</v>
      </c>
    </row>
    <row r="18" spans="1:8" x14ac:dyDescent="0.3">
      <c r="A18" t="s">
        <v>7</v>
      </c>
      <c r="B18" t="s">
        <v>823</v>
      </c>
      <c r="C18" t="s">
        <v>2</v>
      </c>
      <c r="D18" t="str">
        <f>VLOOKUP($A18,'[1]Sample Tracking sheet_consoldia'!$A$1:$BG$1953,27,FALSE)</f>
        <v>HNSCC</v>
      </c>
      <c r="E18" t="str">
        <f>VLOOKUP($A18,'[1]Sample Tracking sheet_consoldia'!$A$1:$BG$1953,29,FALSE)</f>
        <v>Buccal Mucosa</v>
      </c>
      <c r="F18" t="str">
        <f>VLOOKUP($A18,'[1]Sample Tracking sheet_consoldia'!$A$1:$BG$1953,31,FALSE)</f>
        <v>Male</v>
      </c>
      <c r="G18">
        <f>VLOOKUP($A18,'[1]Sample Tracking sheet_consoldia'!$A$1:$BG$1953,32,FALSE)</f>
        <v>60</v>
      </c>
      <c r="H18" t="s">
        <v>826</v>
      </c>
    </row>
    <row r="19" spans="1:8" x14ac:dyDescent="0.3">
      <c r="A19" t="s">
        <v>7</v>
      </c>
      <c r="B19" t="s">
        <v>823</v>
      </c>
      <c r="C19" t="s">
        <v>3</v>
      </c>
      <c r="D19" t="str">
        <f>VLOOKUP($A19,'[1]Sample Tracking sheet_consoldia'!$A$1:$BG$1953,27,FALSE)</f>
        <v>HNSCC</v>
      </c>
      <c r="E19" t="str">
        <f>VLOOKUP($A19,'[1]Sample Tracking sheet_consoldia'!$A$1:$BG$1953,29,FALSE)</f>
        <v>Buccal Mucosa</v>
      </c>
      <c r="F19" t="str">
        <f>VLOOKUP($A19,'[1]Sample Tracking sheet_consoldia'!$A$1:$BG$1953,31,FALSE)</f>
        <v>Male</v>
      </c>
      <c r="G19">
        <f>VLOOKUP($A19,'[1]Sample Tracking sheet_consoldia'!$A$1:$BG$1953,32,FALSE)</f>
        <v>60</v>
      </c>
      <c r="H19" t="s">
        <v>826</v>
      </c>
    </row>
    <row r="20" spans="1:8" x14ac:dyDescent="0.3">
      <c r="A20" t="s">
        <v>19</v>
      </c>
      <c r="B20" t="s">
        <v>823</v>
      </c>
      <c r="C20" t="s">
        <v>2</v>
      </c>
      <c r="D20" t="str">
        <f>VLOOKUP($A20,'[1]Sample Tracking sheet_consoldia'!$A$1:$BG$1953,27,FALSE)</f>
        <v>HNSCC</v>
      </c>
      <c r="E20" t="str">
        <f>VLOOKUP($A20,'[1]Sample Tracking sheet_consoldia'!$A$1:$BG$1953,29,FALSE)</f>
        <v>Buccal Mucosa</v>
      </c>
      <c r="F20" t="str">
        <f>VLOOKUP($A20,'[1]Sample Tracking sheet_consoldia'!$A$1:$BG$1953,31,FALSE)</f>
        <v>Male</v>
      </c>
      <c r="G20">
        <f>VLOOKUP($A20,'[1]Sample Tracking sheet_consoldia'!$A$1:$BG$1953,32,FALSE)</f>
        <v>45</v>
      </c>
      <c r="H20" t="s">
        <v>825</v>
      </c>
    </row>
    <row r="21" spans="1:8" x14ac:dyDescent="0.3">
      <c r="A21" t="s">
        <v>19</v>
      </c>
      <c r="B21" t="s">
        <v>823</v>
      </c>
      <c r="C21" t="s">
        <v>3</v>
      </c>
      <c r="D21" t="str">
        <f>VLOOKUP($A21,'[1]Sample Tracking sheet_consoldia'!$A$1:$BG$1953,27,FALSE)</f>
        <v>HNSCC</v>
      </c>
      <c r="E21" t="str">
        <f>VLOOKUP($A21,'[1]Sample Tracking sheet_consoldia'!$A$1:$BG$1953,29,FALSE)</f>
        <v>Buccal Mucosa</v>
      </c>
      <c r="F21" t="str">
        <f>VLOOKUP($A21,'[1]Sample Tracking sheet_consoldia'!$A$1:$BG$1953,31,FALSE)</f>
        <v>Male</v>
      </c>
      <c r="G21">
        <f>VLOOKUP($A21,'[1]Sample Tracking sheet_consoldia'!$A$1:$BG$1953,32,FALSE)</f>
        <v>45</v>
      </c>
      <c r="H21" t="s">
        <v>825</v>
      </c>
    </row>
    <row r="22" spans="1:8" x14ac:dyDescent="0.3">
      <c r="A22" t="s">
        <v>11</v>
      </c>
      <c r="B22" t="s">
        <v>823</v>
      </c>
      <c r="C22" t="s">
        <v>2</v>
      </c>
      <c r="D22" t="str">
        <f>VLOOKUP($A22,'[1]Sample Tracking sheet_consoldia'!$A$1:$BG$1953,27,FALSE)</f>
        <v>HNSCC</v>
      </c>
      <c r="E22" t="str">
        <f>VLOOKUP($A22,'[1]Sample Tracking sheet_consoldia'!$A$1:$BG$1953,29,FALSE)</f>
        <v>Buccal Mucosa</v>
      </c>
      <c r="F22" t="str">
        <f>VLOOKUP($A22,'[1]Sample Tracking sheet_consoldia'!$A$1:$BG$1953,31,FALSE)</f>
        <v>Female</v>
      </c>
      <c r="G22">
        <f>VLOOKUP($A22,'[1]Sample Tracking sheet_consoldia'!$A$1:$BG$1953,32,FALSE)</f>
        <v>46</v>
      </c>
      <c r="H22" t="s">
        <v>824</v>
      </c>
    </row>
    <row r="23" spans="1:8" x14ac:dyDescent="0.3">
      <c r="A23" t="s">
        <v>11</v>
      </c>
      <c r="B23" t="s">
        <v>823</v>
      </c>
      <c r="C23" t="s">
        <v>3</v>
      </c>
      <c r="D23" t="str">
        <f>VLOOKUP($A23,'[1]Sample Tracking sheet_consoldia'!$A$1:$BG$1953,27,FALSE)</f>
        <v>HNSCC</v>
      </c>
      <c r="E23" t="str">
        <f>VLOOKUP($A23,'[1]Sample Tracking sheet_consoldia'!$A$1:$BG$1953,29,FALSE)</f>
        <v>Buccal Mucosa</v>
      </c>
      <c r="F23" t="str">
        <f>VLOOKUP($A23,'[1]Sample Tracking sheet_consoldia'!$A$1:$BG$1953,31,FALSE)</f>
        <v>Female</v>
      </c>
      <c r="G23">
        <f>VLOOKUP($A23,'[1]Sample Tracking sheet_consoldia'!$A$1:$BG$1953,32,FALSE)</f>
        <v>46</v>
      </c>
      <c r="H23" t="s">
        <v>825</v>
      </c>
    </row>
    <row r="24" spans="1:8" x14ac:dyDescent="0.3">
      <c r="A24" t="s">
        <v>14</v>
      </c>
      <c r="B24" t="s">
        <v>823</v>
      </c>
      <c r="C24" t="s">
        <v>2</v>
      </c>
      <c r="D24" t="str">
        <f>VLOOKUP($A24,'[1]Sample Tracking sheet_consoldia'!$A$1:$BG$1953,27,FALSE)</f>
        <v>HNSCC</v>
      </c>
      <c r="E24" t="str">
        <f>VLOOKUP($A24,'[1]Sample Tracking sheet_consoldia'!$A$1:$BG$1953,29,FALSE)</f>
        <v>Buccal Mucosa</v>
      </c>
      <c r="F24" t="str">
        <f>VLOOKUP($A24,'[1]Sample Tracking sheet_consoldia'!$A$1:$BG$1953,31,FALSE)</f>
        <v>Female</v>
      </c>
      <c r="G24">
        <f>VLOOKUP($A24,'[1]Sample Tracking sheet_consoldia'!$A$1:$BG$1953,32,FALSE)</f>
        <v>45</v>
      </c>
      <c r="H24" t="s">
        <v>826</v>
      </c>
    </row>
    <row r="25" spans="1:8" x14ac:dyDescent="0.3">
      <c r="A25" t="s">
        <v>14</v>
      </c>
      <c r="B25" t="s">
        <v>823</v>
      </c>
      <c r="C25" t="s">
        <v>3</v>
      </c>
      <c r="D25" t="str">
        <f>VLOOKUP($A25,'[1]Sample Tracking sheet_consoldia'!$A$1:$BG$1953,27,FALSE)</f>
        <v>HNSCC</v>
      </c>
      <c r="E25" t="str">
        <f>VLOOKUP($A25,'[1]Sample Tracking sheet_consoldia'!$A$1:$BG$1953,29,FALSE)</f>
        <v>Buccal Mucosa</v>
      </c>
      <c r="F25" t="str">
        <f>VLOOKUP($A25,'[1]Sample Tracking sheet_consoldia'!$A$1:$BG$1953,31,FALSE)</f>
        <v>Female</v>
      </c>
      <c r="G25">
        <f>VLOOKUP($A25,'[1]Sample Tracking sheet_consoldia'!$A$1:$BG$1953,32,FALSE)</f>
        <v>45</v>
      </c>
      <c r="H25" t="s">
        <v>826</v>
      </c>
    </row>
    <row r="26" spans="1:8" x14ac:dyDescent="0.3">
      <c r="A26" t="s">
        <v>18</v>
      </c>
      <c r="B26" t="s">
        <v>823</v>
      </c>
      <c r="C26" t="s">
        <v>2</v>
      </c>
      <c r="D26" t="str">
        <f>VLOOKUP($A26,'[1]Sample Tracking sheet_consoldia'!$A$1:$BG$1953,27,FALSE)</f>
        <v>HNSCC</v>
      </c>
      <c r="E26" t="str">
        <f>VLOOKUP($A26,'[1]Sample Tracking sheet_consoldia'!$A$1:$BG$1953,29,FALSE)</f>
        <v>Submindibular region</v>
      </c>
      <c r="F26" t="str">
        <f>VLOOKUP($A26,'[1]Sample Tracking sheet_consoldia'!$A$1:$BG$1953,31,FALSE)</f>
        <v>Male</v>
      </c>
      <c r="G26">
        <f>VLOOKUP($A26,'[1]Sample Tracking sheet_consoldia'!$A$1:$BG$1953,32,FALSE)</f>
        <v>68</v>
      </c>
      <c r="H26" t="s">
        <v>824</v>
      </c>
    </row>
    <row r="27" spans="1:8" x14ac:dyDescent="0.3">
      <c r="A27" t="s">
        <v>18</v>
      </c>
      <c r="B27" t="s">
        <v>823</v>
      </c>
      <c r="C27" t="s">
        <v>3</v>
      </c>
      <c r="D27" t="str">
        <f>VLOOKUP($A27,'[1]Sample Tracking sheet_consoldia'!$A$1:$BG$1953,27,FALSE)</f>
        <v>HNSCC</v>
      </c>
      <c r="E27" t="str">
        <f>VLOOKUP($A27,'[1]Sample Tracking sheet_consoldia'!$A$1:$BG$1953,29,FALSE)</f>
        <v>Submindibular region</v>
      </c>
      <c r="F27" t="str">
        <f>VLOOKUP($A27,'[1]Sample Tracking sheet_consoldia'!$A$1:$BG$1953,31,FALSE)</f>
        <v>Male</v>
      </c>
      <c r="G27">
        <f>VLOOKUP($A27,'[1]Sample Tracking sheet_consoldia'!$A$1:$BG$1953,32,FALSE)</f>
        <v>68</v>
      </c>
      <c r="H27" t="s">
        <v>824</v>
      </c>
    </row>
    <row r="28" spans="1:8" x14ac:dyDescent="0.3">
      <c r="A28" t="s">
        <v>13</v>
      </c>
      <c r="B28" t="s">
        <v>823</v>
      </c>
      <c r="C28" t="s">
        <v>2</v>
      </c>
      <c r="D28" t="str">
        <f>VLOOKUP($A28,'[1]Sample Tracking sheet_consoldia'!$A$1:$BG$1953,27,FALSE)</f>
        <v>HNSCC</v>
      </c>
      <c r="E28" t="str">
        <f>VLOOKUP($A28,'[1]Sample Tracking sheet_consoldia'!$A$1:$BG$1953,29,FALSE)</f>
        <v>Buccal Mucosa</v>
      </c>
      <c r="F28" t="str">
        <f>VLOOKUP($A28,'[1]Sample Tracking sheet_consoldia'!$A$1:$BG$1953,31,FALSE)</f>
        <v>Female</v>
      </c>
      <c r="G28">
        <f>VLOOKUP($A28,'[1]Sample Tracking sheet_consoldia'!$A$1:$BG$1953,32,FALSE)</f>
        <v>65</v>
      </c>
      <c r="H28" t="s">
        <v>825</v>
      </c>
    </row>
    <row r="29" spans="1:8" x14ac:dyDescent="0.3">
      <c r="A29" t="s">
        <v>13</v>
      </c>
      <c r="B29" t="s">
        <v>823</v>
      </c>
      <c r="C29" t="s">
        <v>3</v>
      </c>
      <c r="D29" t="str">
        <f>VLOOKUP($A29,'[1]Sample Tracking sheet_consoldia'!$A$1:$BG$1953,27,FALSE)</f>
        <v>HNSCC</v>
      </c>
      <c r="E29" t="str">
        <f>VLOOKUP($A29,'[1]Sample Tracking sheet_consoldia'!$A$1:$BG$1953,29,FALSE)</f>
        <v>Buccal Mucosa</v>
      </c>
      <c r="F29" t="str">
        <f>VLOOKUP($A29,'[1]Sample Tracking sheet_consoldia'!$A$1:$BG$1953,31,FALSE)</f>
        <v>Female</v>
      </c>
      <c r="G29">
        <f>VLOOKUP($A29,'[1]Sample Tracking sheet_consoldia'!$A$1:$BG$1953,32,FALSE)</f>
        <v>65</v>
      </c>
      <c r="H29" t="s">
        <v>825</v>
      </c>
    </row>
    <row r="30" spans="1:8" x14ac:dyDescent="0.3">
      <c r="A30" t="s">
        <v>15</v>
      </c>
      <c r="B30" t="s">
        <v>823</v>
      </c>
      <c r="C30" t="s">
        <v>2</v>
      </c>
      <c r="D30" t="str">
        <f>VLOOKUP($A30,'[1]Sample Tracking sheet_consoldia'!$A$1:$BG$1953,27,FALSE)</f>
        <v>HNSCC</v>
      </c>
      <c r="E30" t="str">
        <f>VLOOKUP($A30,'[1]Sample Tracking sheet_consoldia'!$A$1:$BG$1953,29,FALSE)</f>
        <v>Alveolus</v>
      </c>
      <c r="F30" t="str">
        <f>VLOOKUP($A30,'[1]Sample Tracking sheet_consoldia'!$A$1:$BG$1953,31,FALSE)</f>
        <v>Female</v>
      </c>
      <c r="G30">
        <f>VLOOKUP($A30,'[1]Sample Tracking sheet_consoldia'!$A$1:$BG$1953,32,FALSE)</f>
        <v>65</v>
      </c>
      <c r="H30" t="s">
        <v>825</v>
      </c>
    </row>
    <row r="31" spans="1:8" x14ac:dyDescent="0.3">
      <c r="A31" t="s">
        <v>15</v>
      </c>
      <c r="B31" t="s">
        <v>823</v>
      </c>
      <c r="C31" t="s">
        <v>3</v>
      </c>
      <c r="D31" t="str">
        <f>VLOOKUP($A31,'[1]Sample Tracking sheet_consoldia'!$A$1:$BG$1953,27,FALSE)</f>
        <v>HNSCC</v>
      </c>
      <c r="E31" t="str">
        <f>VLOOKUP($A31,'[1]Sample Tracking sheet_consoldia'!$A$1:$BG$1953,29,FALSE)</f>
        <v>Alveolus</v>
      </c>
      <c r="F31" t="str">
        <f>VLOOKUP($A31,'[1]Sample Tracking sheet_consoldia'!$A$1:$BG$1953,31,FALSE)</f>
        <v>Female</v>
      </c>
      <c r="G31">
        <f>VLOOKUP($A31,'[1]Sample Tracking sheet_consoldia'!$A$1:$BG$1953,32,FALSE)</f>
        <v>65</v>
      </c>
      <c r="H31" t="s">
        <v>825</v>
      </c>
    </row>
    <row r="32" spans="1:8" x14ac:dyDescent="0.3">
      <c r="A32" t="s">
        <v>10</v>
      </c>
      <c r="B32" t="s">
        <v>823</v>
      </c>
      <c r="C32" t="s">
        <v>2</v>
      </c>
      <c r="D32" t="str">
        <f>VLOOKUP($A32,'[1]Sample Tracking sheet_consoldia'!$A$1:$BG$1953,27,FALSE)</f>
        <v>HNSCC</v>
      </c>
      <c r="E32" t="str">
        <f>VLOOKUP($A32,'[1]Sample Tracking sheet_consoldia'!$A$1:$BG$1953,29,FALSE)</f>
        <v>Tongue</v>
      </c>
      <c r="F32" t="str">
        <f>VLOOKUP($A32,'[1]Sample Tracking sheet_consoldia'!$A$1:$BG$1953,31,FALSE)</f>
        <v>Male</v>
      </c>
      <c r="G32">
        <f>VLOOKUP($A32,'[1]Sample Tracking sheet_consoldia'!$A$1:$BG$1953,32,FALSE)</f>
        <v>45</v>
      </c>
      <c r="H32" t="s">
        <v>826</v>
      </c>
    </row>
    <row r="33" spans="1:8" x14ac:dyDescent="0.3">
      <c r="A33" t="s">
        <v>10</v>
      </c>
      <c r="B33" t="s">
        <v>823</v>
      </c>
      <c r="C33" t="s">
        <v>3</v>
      </c>
      <c r="D33" t="str">
        <f>VLOOKUP($A33,'[1]Sample Tracking sheet_consoldia'!$A$1:$BG$1953,27,FALSE)</f>
        <v>HNSCC</v>
      </c>
      <c r="E33" t="str">
        <f>VLOOKUP($A33,'[1]Sample Tracking sheet_consoldia'!$A$1:$BG$1953,29,FALSE)</f>
        <v>Tongue</v>
      </c>
      <c r="F33" t="str">
        <f>VLOOKUP($A33,'[1]Sample Tracking sheet_consoldia'!$A$1:$BG$1953,31,FALSE)</f>
        <v>Male</v>
      </c>
      <c r="G33">
        <f>VLOOKUP($A33,'[1]Sample Tracking sheet_consoldia'!$A$1:$BG$1953,32,FALSE)</f>
        <v>45</v>
      </c>
      <c r="H33" t="s">
        <v>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A4E0-35D2-46D4-A813-9037B8FD9017}">
  <dimension ref="A1:G49"/>
  <sheetViews>
    <sheetView zoomScale="95" zoomScaleNormal="95" workbookViewId="0">
      <selection activeCell="B1" sqref="B1:B1048576"/>
    </sheetView>
  </sheetViews>
  <sheetFormatPr defaultRowHeight="14.4" x14ac:dyDescent="0.3"/>
  <cols>
    <col min="1" max="1" width="17.88671875" customWidth="1"/>
  </cols>
  <sheetData>
    <row r="1" spans="1:7" s="1" customFormat="1" x14ac:dyDescent="0.3">
      <c r="A1" s="1" t="s">
        <v>4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3">
      <c r="A2" t="s">
        <v>5</v>
      </c>
      <c r="B2" t="s">
        <v>1</v>
      </c>
      <c r="C2">
        <v>33.090000000000003</v>
      </c>
      <c r="D2">
        <v>5.29</v>
      </c>
      <c r="E2">
        <v>40.32</v>
      </c>
      <c r="F2">
        <v>504.5</v>
      </c>
      <c r="G2">
        <v>142.99</v>
      </c>
    </row>
    <row r="3" spans="1:7" x14ac:dyDescent="0.3">
      <c r="A3" t="s">
        <v>5</v>
      </c>
      <c r="B3" t="s">
        <v>2</v>
      </c>
      <c r="C3">
        <v>19.940000000000001</v>
      </c>
      <c r="D3">
        <v>5.29</v>
      </c>
      <c r="E3">
        <v>21.47</v>
      </c>
      <c r="F3">
        <v>518.96</v>
      </c>
      <c r="G3">
        <v>112.31</v>
      </c>
    </row>
    <row r="4" spans="1:7" x14ac:dyDescent="0.3">
      <c r="A4" t="s">
        <v>5</v>
      </c>
      <c r="B4" t="s">
        <v>3</v>
      </c>
      <c r="C4">
        <v>21.62</v>
      </c>
      <c r="D4">
        <v>8.18</v>
      </c>
      <c r="E4">
        <v>18.239999999999998</v>
      </c>
      <c r="F4">
        <v>416.72</v>
      </c>
      <c r="G4">
        <v>105.05</v>
      </c>
    </row>
    <row r="5" spans="1:7" x14ac:dyDescent="0.3">
      <c r="A5" t="s">
        <v>6</v>
      </c>
      <c r="B5" t="s">
        <v>1</v>
      </c>
      <c r="C5">
        <v>60.57</v>
      </c>
      <c r="D5">
        <v>29.87</v>
      </c>
      <c r="E5">
        <v>83.11</v>
      </c>
      <c r="F5">
        <v>880</v>
      </c>
      <c r="G5">
        <v>236.16</v>
      </c>
    </row>
    <row r="6" spans="1:7" x14ac:dyDescent="0.3">
      <c r="A6" t="s">
        <v>6</v>
      </c>
      <c r="B6" t="s">
        <v>2</v>
      </c>
      <c r="C6">
        <v>56.73</v>
      </c>
      <c r="D6">
        <v>41.63</v>
      </c>
      <c r="E6">
        <v>95.23</v>
      </c>
      <c r="F6">
        <v>883.12</v>
      </c>
      <c r="G6">
        <v>205.72</v>
      </c>
    </row>
    <row r="7" spans="1:7" x14ac:dyDescent="0.3">
      <c r="A7" t="s">
        <v>6</v>
      </c>
      <c r="B7" t="s">
        <v>3</v>
      </c>
      <c r="C7">
        <v>67.510000000000005</v>
      </c>
      <c r="D7">
        <v>45.56</v>
      </c>
      <c r="E7">
        <v>181.89</v>
      </c>
      <c r="F7">
        <v>781.24</v>
      </c>
      <c r="G7">
        <v>212.53</v>
      </c>
    </row>
    <row r="8" spans="1:7" x14ac:dyDescent="0.3">
      <c r="A8" t="s">
        <v>7</v>
      </c>
      <c r="B8" t="s">
        <v>1</v>
      </c>
      <c r="C8">
        <v>74.650000000000006</v>
      </c>
      <c r="D8">
        <v>18.45</v>
      </c>
      <c r="E8">
        <v>34.880000000000003</v>
      </c>
      <c r="F8">
        <v>551.66</v>
      </c>
      <c r="G8">
        <v>185.18</v>
      </c>
    </row>
    <row r="9" spans="1:7" x14ac:dyDescent="0.3">
      <c r="A9" t="s">
        <v>7</v>
      </c>
      <c r="B9" t="s">
        <v>2</v>
      </c>
      <c r="C9">
        <v>67.900000000000006</v>
      </c>
      <c r="D9">
        <v>29.87</v>
      </c>
      <c r="E9">
        <v>25.38</v>
      </c>
      <c r="F9">
        <v>650.4</v>
      </c>
      <c r="G9">
        <v>203.25</v>
      </c>
    </row>
    <row r="10" spans="1:7" x14ac:dyDescent="0.3">
      <c r="A10" t="s">
        <v>7</v>
      </c>
      <c r="B10" t="s">
        <v>3</v>
      </c>
      <c r="C10">
        <v>40.65</v>
      </c>
      <c r="D10">
        <v>78.17</v>
      </c>
      <c r="E10">
        <v>18.239999999999998</v>
      </c>
      <c r="F10">
        <v>774.27</v>
      </c>
      <c r="G10">
        <v>189.27</v>
      </c>
    </row>
    <row r="11" spans="1:7" x14ac:dyDescent="0.3">
      <c r="A11" t="s">
        <v>8</v>
      </c>
      <c r="B11" t="s">
        <v>1</v>
      </c>
      <c r="C11">
        <v>124.03</v>
      </c>
      <c r="D11">
        <v>18.45</v>
      </c>
      <c r="E11">
        <v>92.18</v>
      </c>
      <c r="F11">
        <v>514.16999999999996</v>
      </c>
      <c r="G11">
        <v>266.37</v>
      </c>
    </row>
    <row r="12" spans="1:7" x14ac:dyDescent="0.3">
      <c r="A12" t="s">
        <v>8</v>
      </c>
      <c r="B12" t="s">
        <v>2</v>
      </c>
      <c r="C12">
        <v>112.53</v>
      </c>
      <c r="D12">
        <v>33.770000000000003</v>
      </c>
      <c r="E12">
        <v>82.17</v>
      </c>
      <c r="F12">
        <v>569.74</v>
      </c>
      <c r="G12">
        <v>320.67</v>
      </c>
    </row>
    <row r="13" spans="1:7" x14ac:dyDescent="0.3">
      <c r="A13" t="s">
        <v>8</v>
      </c>
      <c r="B13" t="s">
        <v>3</v>
      </c>
      <c r="C13">
        <v>128.88</v>
      </c>
      <c r="D13">
        <v>18.45</v>
      </c>
      <c r="E13">
        <v>160.41999999999999</v>
      </c>
      <c r="F13">
        <v>514.16999999999996</v>
      </c>
      <c r="G13">
        <v>212.53</v>
      </c>
    </row>
    <row r="14" spans="1:7" x14ac:dyDescent="0.3">
      <c r="A14" t="s">
        <v>9</v>
      </c>
      <c r="B14" t="s">
        <v>1</v>
      </c>
      <c r="C14">
        <v>162.31285714285715</v>
      </c>
      <c r="D14">
        <v>14.464285714285714</v>
      </c>
      <c r="E14">
        <v>196.56285714285715</v>
      </c>
      <c r="F14">
        <v>50</v>
      </c>
      <c r="G14">
        <v>183.01857142857142</v>
      </c>
    </row>
    <row r="15" spans="1:7" x14ac:dyDescent="0.3">
      <c r="A15" t="s">
        <v>9</v>
      </c>
      <c r="B15" t="s">
        <v>2</v>
      </c>
      <c r="C15">
        <v>157.97857142857143</v>
      </c>
      <c r="D15">
        <v>15.727142857142857</v>
      </c>
      <c r="E15">
        <v>192.46714285714285</v>
      </c>
      <c r="F15">
        <v>52.187142857142859</v>
      </c>
      <c r="G15">
        <v>229.49714285714285</v>
      </c>
    </row>
    <row r="16" spans="1:7" x14ac:dyDescent="0.3">
      <c r="A16" t="s">
        <v>9</v>
      </c>
      <c r="B16" t="s">
        <v>3</v>
      </c>
      <c r="C16">
        <v>126.73428571428572</v>
      </c>
      <c r="D16">
        <v>16.01857142857143</v>
      </c>
      <c r="E16">
        <v>192.68142857142857</v>
      </c>
      <c r="F16">
        <v>56.221428571428575</v>
      </c>
      <c r="G16">
        <v>225.3857142857143</v>
      </c>
    </row>
    <row r="17" spans="1:7" x14ac:dyDescent="0.3">
      <c r="A17" t="s">
        <v>10</v>
      </c>
      <c r="B17" t="s">
        <v>1</v>
      </c>
      <c r="C17">
        <v>218.53428571428572</v>
      </c>
      <c r="D17">
        <v>9.2514285714285727</v>
      </c>
      <c r="E17">
        <v>160.91999999999999</v>
      </c>
      <c r="F17">
        <v>38.660000000000004</v>
      </c>
      <c r="G17">
        <v>49.928571428571431</v>
      </c>
    </row>
    <row r="18" spans="1:7" x14ac:dyDescent="0.3">
      <c r="A18" t="s">
        <v>10</v>
      </c>
      <c r="B18" t="s">
        <v>2</v>
      </c>
      <c r="C18">
        <v>205.36999999999998</v>
      </c>
      <c r="D18">
        <v>10.818571428571429</v>
      </c>
      <c r="E18">
        <v>149.96571428571428</v>
      </c>
      <c r="F18">
        <v>39.151428571428575</v>
      </c>
      <c r="G18">
        <v>48.604285714285716</v>
      </c>
    </row>
    <row r="19" spans="1:7" x14ac:dyDescent="0.3">
      <c r="A19" t="s">
        <v>10</v>
      </c>
      <c r="B19" t="s">
        <v>3</v>
      </c>
      <c r="C19">
        <v>152.38714285714286</v>
      </c>
      <c r="D19">
        <v>10.994285714285713</v>
      </c>
      <c r="E19">
        <v>137.98714285714286</v>
      </c>
      <c r="F19">
        <v>38.25714285714286</v>
      </c>
      <c r="G19">
        <v>36.74285714285714</v>
      </c>
    </row>
    <row r="20" spans="1:7" x14ac:dyDescent="0.3">
      <c r="A20" t="s">
        <v>11</v>
      </c>
      <c r="B20" t="s">
        <v>1</v>
      </c>
      <c r="C20">
        <v>59.59</v>
      </c>
      <c r="D20">
        <v>14.19</v>
      </c>
      <c r="E20">
        <v>27.26</v>
      </c>
      <c r="F20">
        <v>217.11</v>
      </c>
      <c r="G20">
        <v>332.78</v>
      </c>
    </row>
    <row r="21" spans="1:7" x14ac:dyDescent="0.3">
      <c r="A21" t="s">
        <v>11</v>
      </c>
      <c r="B21" t="s">
        <v>2</v>
      </c>
      <c r="C21">
        <v>75.900000000000006</v>
      </c>
      <c r="D21">
        <v>32.67</v>
      </c>
      <c r="E21">
        <v>22.14</v>
      </c>
      <c r="F21">
        <v>302.54000000000002</v>
      </c>
      <c r="G21">
        <v>401.41</v>
      </c>
    </row>
    <row r="22" spans="1:7" x14ac:dyDescent="0.3">
      <c r="A22" t="s">
        <v>11</v>
      </c>
      <c r="B22" t="s">
        <v>3</v>
      </c>
      <c r="C22">
        <v>72.180000000000007</v>
      </c>
      <c r="D22">
        <v>38.119999999999997</v>
      </c>
      <c r="E22">
        <v>14.06</v>
      </c>
      <c r="F22">
        <v>302.54000000000002</v>
      </c>
      <c r="G22">
        <v>450.08</v>
      </c>
    </row>
    <row r="23" spans="1:7" x14ac:dyDescent="0.3">
      <c r="A23" t="s">
        <v>12</v>
      </c>
      <c r="B23" t="s">
        <v>1</v>
      </c>
      <c r="C23">
        <v>70.709999999999994</v>
      </c>
      <c r="D23">
        <v>53.39</v>
      </c>
      <c r="E23">
        <v>38.99</v>
      </c>
      <c r="F23">
        <v>1201</v>
      </c>
      <c r="G23">
        <v>295.88</v>
      </c>
    </row>
    <row r="24" spans="1:7" x14ac:dyDescent="0.3">
      <c r="A24" t="s">
        <v>12</v>
      </c>
      <c r="B24" t="s">
        <v>2</v>
      </c>
      <c r="C24">
        <v>54.94</v>
      </c>
      <c r="D24">
        <v>76.31</v>
      </c>
      <c r="E24">
        <v>17.420000000000002</v>
      </c>
      <c r="F24">
        <v>1065</v>
      </c>
      <c r="G24">
        <v>311.27999999999997</v>
      </c>
    </row>
    <row r="25" spans="1:7" x14ac:dyDescent="0.3">
      <c r="A25" t="s">
        <v>12</v>
      </c>
      <c r="B25" t="s">
        <v>3</v>
      </c>
      <c r="C25">
        <v>48.61</v>
      </c>
      <c r="D25">
        <v>68.78</v>
      </c>
      <c r="E25">
        <v>16.59</v>
      </c>
      <c r="F25">
        <v>1158</v>
      </c>
      <c r="G25">
        <v>336.6</v>
      </c>
    </row>
    <row r="26" spans="1:7" x14ac:dyDescent="0.3">
      <c r="A26" t="s">
        <v>13</v>
      </c>
      <c r="B26" t="s">
        <v>1</v>
      </c>
      <c r="C26">
        <v>47.442857142857136</v>
      </c>
      <c r="D26">
        <v>4.282857142857142</v>
      </c>
      <c r="E26">
        <v>41.242857142857147</v>
      </c>
      <c r="F26">
        <v>15.774285714285712</v>
      </c>
      <c r="G26">
        <v>1169.742857142857</v>
      </c>
    </row>
    <row r="27" spans="1:7" x14ac:dyDescent="0.3">
      <c r="A27" t="s">
        <v>13</v>
      </c>
      <c r="B27" t="s">
        <v>2</v>
      </c>
      <c r="C27">
        <v>37.798571428571435</v>
      </c>
      <c r="D27">
        <v>4.9542857142857146</v>
      </c>
      <c r="E27">
        <v>34.808571428571433</v>
      </c>
      <c r="F27">
        <v>16.032857142857143</v>
      </c>
      <c r="G27">
        <v>1066.3214285714287</v>
      </c>
    </row>
    <row r="28" spans="1:7" x14ac:dyDescent="0.3">
      <c r="A28" t="s">
        <v>13</v>
      </c>
      <c r="B28" t="s">
        <v>3</v>
      </c>
      <c r="C28">
        <v>29.098571428571429</v>
      </c>
      <c r="D28">
        <v>4.9014285714285721</v>
      </c>
      <c r="E28">
        <v>28.002857142857142</v>
      </c>
      <c r="F28">
        <v>15.897142857142857</v>
      </c>
      <c r="G28">
        <v>1026.2442857142858</v>
      </c>
    </row>
    <row r="29" spans="1:7" x14ac:dyDescent="0.3">
      <c r="A29" t="s">
        <v>14</v>
      </c>
      <c r="B29" t="s">
        <v>1</v>
      </c>
      <c r="C29">
        <v>25.35</v>
      </c>
      <c r="D29">
        <v>10.92</v>
      </c>
      <c r="E29">
        <v>21.16</v>
      </c>
      <c r="F29">
        <v>74.16</v>
      </c>
      <c r="G29">
        <v>250.16</v>
      </c>
    </row>
    <row r="30" spans="1:7" x14ac:dyDescent="0.3">
      <c r="A30" t="s">
        <v>14</v>
      </c>
      <c r="B30" t="s">
        <v>2</v>
      </c>
      <c r="C30">
        <v>26.9</v>
      </c>
      <c r="D30">
        <v>22.89</v>
      </c>
      <c r="E30">
        <v>15.74</v>
      </c>
      <c r="F30">
        <v>86.77</v>
      </c>
      <c r="G30">
        <v>317.38</v>
      </c>
    </row>
    <row r="31" spans="1:7" x14ac:dyDescent="0.3">
      <c r="A31" t="s">
        <v>14</v>
      </c>
      <c r="B31" t="s">
        <v>3</v>
      </c>
      <c r="C31">
        <v>26.36</v>
      </c>
      <c r="D31">
        <v>27.47</v>
      </c>
      <c r="E31">
        <v>12.2</v>
      </c>
      <c r="F31">
        <v>111.75</v>
      </c>
      <c r="G31">
        <v>298.62</v>
      </c>
    </row>
    <row r="32" spans="1:7" x14ac:dyDescent="0.3">
      <c r="A32" t="s">
        <v>15</v>
      </c>
      <c r="B32" t="s">
        <v>1</v>
      </c>
      <c r="C32">
        <v>1112.8671428571429</v>
      </c>
      <c r="D32">
        <v>10.507142857142856</v>
      </c>
      <c r="E32">
        <v>309.65142857142865</v>
      </c>
      <c r="F32">
        <v>63.167142857142856</v>
      </c>
      <c r="G32">
        <v>691.61571428571438</v>
      </c>
    </row>
    <row r="33" spans="1:7" x14ac:dyDescent="0.3">
      <c r="A33" t="s">
        <v>15</v>
      </c>
      <c r="B33" t="s">
        <v>2</v>
      </c>
      <c r="C33">
        <v>968.19428571428568</v>
      </c>
      <c r="D33">
        <v>10.005714285714287</v>
      </c>
      <c r="E33">
        <v>277.41714285714284</v>
      </c>
      <c r="F33">
        <v>64.118571428571428</v>
      </c>
      <c r="G33">
        <v>659.00714285714287</v>
      </c>
    </row>
    <row r="34" spans="1:7" x14ac:dyDescent="0.3">
      <c r="A34" t="s">
        <v>15</v>
      </c>
      <c r="B34" t="s">
        <v>3</v>
      </c>
      <c r="C34">
        <v>860.07428571428568</v>
      </c>
      <c r="D34">
        <v>8.9414285714285722</v>
      </c>
      <c r="E34">
        <v>232.06857142857143</v>
      </c>
      <c r="F34">
        <v>67.30714285714285</v>
      </c>
      <c r="G34">
        <v>774.23857142857128</v>
      </c>
    </row>
    <row r="35" spans="1:7" x14ac:dyDescent="0.3">
      <c r="A35" t="s">
        <v>16</v>
      </c>
      <c r="B35" t="s">
        <v>1</v>
      </c>
      <c r="C35">
        <v>47.09</v>
      </c>
      <c r="D35">
        <v>13.09</v>
      </c>
      <c r="E35">
        <v>18.239999999999998</v>
      </c>
      <c r="F35">
        <v>693.7</v>
      </c>
      <c r="G35">
        <v>354.33</v>
      </c>
    </row>
    <row r="36" spans="1:7" x14ac:dyDescent="0.3">
      <c r="A36" t="s">
        <v>16</v>
      </c>
      <c r="B36" t="s">
        <v>2</v>
      </c>
      <c r="C36">
        <v>56.63</v>
      </c>
      <c r="D36">
        <v>11.39</v>
      </c>
      <c r="E36">
        <v>16.59</v>
      </c>
      <c r="F36">
        <v>738.56</v>
      </c>
      <c r="G36">
        <v>339.02</v>
      </c>
    </row>
    <row r="37" spans="1:7" x14ac:dyDescent="0.3">
      <c r="A37" t="s">
        <v>16</v>
      </c>
      <c r="B37" t="s">
        <v>3</v>
      </c>
      <c r="C37">
        <v>51.51</v>
      </c>
      <c r="D37">
        <v>11.39</v>
      </c>
      <c r="E37">
        <v>11.51</v>
      </c>
      <c r="F37">
        <v>678.21</v>
      </c>
      <c r="G37">
        <v>276.18</v>
      </c>
    </row>
    <row r="38" spans="1:7" x14ac:dyDescent="0.3">
      <c r="A38" t="s">
        <v>17</v>
      </c>
      <c r="B38" t="s">
        <v>1</v>
      </c>
      <c r="C38">
        <v>28.78</v>
      </c>
      <c r="D38">
        <v>6.07</v>
      </c>
      <c r="E38">
        <v>19.29</v>
      </c>
      <c r="F38">
        <v>157.54</v>
      </c>
      <c r="G38">
        <v>92.42</v>
      </c>
    </row>
    <row r="39" spans="1:7" x14ac:dyDescent="0.3">
      <c r="A39" t="s">
        <v>17</v>
      </c>
      <c r="B39" t="s">
        <v>2</v>
      </c>
      <c r="C39">
        <v>18.89</v>
      </c>
      <c r="D39">
        <v>6.07</v>
      </c>
      <c r="E39">
        <v>20.67</v>
      </c>
      <c r="F39">
        <v>157.54</v>
      </c>
      <c r="G39">
        <v>127.76</v>
      </c>
    </row>
    <row r="40" spans="1:7" x14ac:dyDescent="0.3">
      <c r="A40" t="s">
        <v>17</v>
      </c>
      <c r="B40" t="s">
        <v>3</v>
      </c>
      <c r="C40">
        <v>20.8</v>
      </c>
      <c r="D40">
        <v>6.07</v>
      </c>
      <c r="E40">
        <v>17.88</v>
      </c>
      <c r="F40">
        <v>173.04</v>
      </c>
      <c r="G40">
        <v>112.9</v>
      </c>
    </row>
    <row r="41" spans="1:7" x14ac:dyDescent="0.3">
      <c r="A41" t="s">
        <v>18</v>
      </c>
      <c r="B41" t="s">
        <v>1</v>
      </c>
      <c r="C41">
        <v>27.41</v>
      </c>
      <c r="D41">
        <v>6.21</v>
      </c>
      <c r="E41">
        <v>25.14</v>
      </c>
      <c r="F41">
        <v>390.64</v>
      </c>
      <c r="G41">
        <v>150.5</v>
      </c>
    </row>
    <row r="42" spans="1:7" x14ac:dyDescent="0.3">
      <c r="A42" t="s">
        <v>18</v>
      </c>
      <c r="B42" t="s">
        <v>2</v>
      </c>
      <c r="C42">
        <v>14.56</v>
      </c>
      <c r="D42">
        <v>4.96</v>
      </c>
      <c r="E42">
        <v>12.2</v>
      </c>
      <c r="F42">
        <v>340.6</v>
      </c>
      <c r="G42">
        <v>183.66</v>
      </c>
    </row>
    <row r="43" spans="1:7" x14ac:dyDescent="0.3">
      <c r="A43" t="s">
        <v>18</v>
      </c>
      <c r="B43" t="s">
        <v>3</v>
      </c>
      <c r="C43">
        <v>19.5</v>
      </c>
      <c r="D43">
        <v>6.21</v>
      </c>
      <c r="E43">
        <v>12.2</v>
      </c>
      <c r="F43">
        <v>313.97000000000003</v>
      </c>
      <c r="G43">
        <v>205.01</v>
      </c>
    </row>
    <row r="44" spans="1:7" x14ac:dyDescent="0.3">
      <c r="A44" t="s">
        <v>19</v>
      </c>
      <c r="B44" t="s">
        <v>1</v>
      </c>
      <c r="C44">
        <v>114.38</v>
      </c>
      <c r="D44">
        <v>5.29</v>
      </c>
      <c r="E44">
        <v>54</v>
      </c>
      <c r="F44">
        <v>542.46</v>
      </c>
      <c r="G44">
        <v>151.91</v>
      </c>
    </row>
    <row r="45" spans="1:7" x14ac:dyDescent="0.3">
      <c r="A45" t="s">
        <v>19</v>
      </c>
      <c r="B45" t="s">
        <v>2</v>
      </c>
      <c r="C45">
        <v>101.56</v>
      </c>
      <c r="D45">
        <v>8.18</v>
      </c>
      <c r="E45">
        <v>50.44</v>
      </c>
      <c r="F45">
        <v>551.66</v>
      </c>
      <c r="G45">
        <v>211.86</v>
      </c>
    </row>
    <row r="46" spans="1:7" x14ac:dyDescent="0.3">
      <c r="A46" t="s">
        <v>19</v>
      </c>
      <c r="B46" t="s">
        <v>3</v>
      </c>
      <c r="C46">
        <v>132.18</v>
      </c>
      <c r="D46">
        <v>14.84</v>
      </c>
      <c r="E46">
        <v>50.44</v>
      </c>
      <c r="F46">
        <v>621.62</v>
      </c>
      <c r="G46">
        <v>202.89</v>
      </c>
    </row>
    <row r="47" spans="1:7" x14ac:dyDescent="0.3">
      <c r="A47" t="s">
        <v>20</v>
      </c>
      <c r="B47" t="s">
        <v>1</v>
      </c>
      <c r="C47">
        <v>90.73</v>
      </c>
      <c r="D47">
        <v>26</v>
      </c>
      <c r="E47">
        <v>40.32</v>
      </c>
      <c r="F47">
        <v>464.51</v>
      </c>
      <c r="G47">
        <v>281.3</v>
      </c>
    </row>
    <row r="48" spans="1:7" x14ac:dyDescent="0.3">
      <c r="A48" t="s">
        <v>20</v>
      </c>
      <c r="B48" t="s">
        <v>2</v>
      </c>
      <c r="C48">
        <v>71.760000000000005</v>
      </c>
      <c r="D48">
        <v>45.56</v>
      </c>
      <c r="E48">
        <v>19.87</v>
      </c>
      <c r="F48">
        <v>474.71</v>
      </c>
      <c r="G48">
        <v>317.87</v>
      </c>
    </row>
    <row r="49" spans="1:7" x14ac:dyDescent="0.3">
      <c r="A49" t="s">
        <v>20</v>
      </c>
      <c r="B49" t="s">
        <v>3</v>
      </c>
      <c r="C49">
        <v>66.790000000000006</v>
      </c>
      <c r="D49">
        <v>53.39</v>
      </c>
      <c r="E49">
        <v>41.64</v>
      </c>
      <c r="F49">
        <v>523.72</v>
      </c>
      <c r="G49">
        <v>294.89999999999998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4AD5-080F-4B33-91F2-6980011E2074}">
  <sheetPr filterMode="1"/>
  <dimension ref="A1:P49"/>
  <sheetViews>
    <sheetView workbookViewId="0">
      <selection activeCell="H4" sqref="H4:H49"/>
    </sheetView>
  </sheetViews>
  <sheetFormatPr defaultRowHeight="14.4" x14ac:dyDescent="0.3"/>
  <cols>
    <col min="1" max="1" width="12.21875" bestFit="1" customWidth="1"/>
  </cols>
  <sheetData>
    <row r="1" spans="1:16" s="1" customFormat="1" x14ac:dyDescent="0.3">
      <c r="A1" s="1" t="s">
        <v>4</v>
      </c>
      <c r="B1" s="1" t="s">
        <v>0</v>
      </c>
      <c r="C1" s="1" t="s">
        <v>803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  <c r="J1" s="1" t="s">
        <v>810</v>
      </c>
      <c r="K1" s="1" t="s">
        <v>811</v>
      </c>
      <c r="L1" s="1" t="s">
        <v>812</v>
      </c>
      <c r="M1" s="1" t="s">
        <v>813</v>
      </c>
      <c r="N1" s="1" t="s">
        <v>814</v>
      </c>
      <c r="O1" s="1" t="s">
        <v>815</v>
      </c>
      <c r="P1" s="1" t="s">
        <v>816</v>
      </c>
    </row>
    <row r="2" spans="1:16" hidden="1" x14ac:dyDescent="0.3">
      <c r="A2" t="s">
        <v>17</v>
      </c>
      <c r="B2" t="s">
        <v>1</v>
      </c>
      <c r="C2">
        <v>57.8</v>
      </c>
      <c r="D2">
        <v>9.08</v>
      </c>
      <c r="E2">
        <v>1.8</v>
      </c>
      <c r="F2">
        <v>21.7</v>
      </c>
      <c r="G2">
        <v>17.100000000000001</v>
      </c>
      <c r="H2">
        <v>1.05</v>
      </c>
      <c r="I2">
        <v>2.69</v>
      </c>
      <c r="J2">
        <v>4.13</v>
      </c>
      <c r="K2">
        <v>1.1000000000000001</v>
      </c>
      <c r="L2">
        <v>15.4</v>
      </c>
      <c r="M2">
        <v>0.94</v>
      </c>
      <c r="N2">
        <v>23.6</v>
      </c>
      <c r="O2">
        <v>6.13</v>
      </c>
      <c r="P2">
        <v>12.4</v>
      </c>
    </row>
    <row r="3" spans="1:16" hidden="1" x14ac:dyDescent="0.3">
      <c r="A3" t="s">
        <v>17</v>
      </c>
      <c r="B3" t="s">
        <v>2</v>
      </c>
      <c r="C3">
        <v>53.8</v>
      </c>
      <c r="D3">
        <v>15.6</v>
      </c>
      <c r="E3">
        <v>3.03</v>
      </c>
      <c r="F3">
        <v>19.100000000000001</v>
      </c>
      <c r="G3">
        <v>14.3</v>
      </c>
      <c r="H3">
        <v>0.77</v>
      </c>
      <c r="I3">
        <v>2.15</v>
      </c>
      <c r="J3">
        <v>3.54</v>
      </c>
      <c r="K3">
        <v>0</v>
      </c>
      <c r="L3">
        <v>19.8</v>
      </c>
      <c r="M3">
        <v>0</v>
      </c>
      <c r="N3">
        <v>16.7</v>
      </c>
      <c r="O3">
        <v>5.39</v>
      </c>
      <c r="P3">
        <v>11.3</v>
      </c>
    </row>
    <row r="4" spans="1:16" x14ac:dyDescent="0.3">
      <c r="A4" t="s">
        <v>17</v>
      </c>
      <c r="B4" t="s">
        <v>3</v>
      </c>
      <c r="C4">
        <v>52.2</v>
      </c>
      <c r="D4">
        <v>14.1</v>
      </c>
      <c r="E4">
        <v>1.72</v>
      </c>
      <c r="F4">
        <v>18.600000000000001</v>
      </c>
      <c r="G4">
        <v>13.3</v>
      </c>
      <c r="H4">
        <v>0.95</v>
      </c>
      <c r="I4">
        <v>2.04</v>
      </c>
      <c r="J4">
        <v>4.32</v>
      </c>
      <c r="K4">
        <v>0.94</v>
      </c>
      <c r="L4">
        <v>14.2</v>
      </c>
      <c r="M4">
        <v>0</v>
      </c>
      <c r="N4">
        <v>6.12</v>
      </c>
      <c r="O4">
        <v>6.34</v>
      </c>
      <c r="P4">
        <v>11.3</v>
      </c>
    </row>
    <row r="5" spans="1:16" hidden="1" x14ac:dyDescent="0.3">
      <c r="A5" t="s">
        <v>20</v>
      </c>
      <c r="B5" t="s">
        <v>1</v>
      </c>
      <c r="C5">
        <v>54.5</v>
      </c>
      <c r="D5">
        <v>5.94</v>
      </c>
      <c r="E5">
        <v>0.34</v>
      </c>
      <c r="F5">
        <v>31.4</v>
      </c>
      <c r="G5">
        <v>10.3</v>
      </c>
      <c r="H5">
        <v>0.14000000000000001</v>
      </c>
      <c r="I5">
        <v>15.7</v>
      </c>
      <c r="J5">
        <v>6.61</v>
      </c>
      <c r="K5">
        <v>0.2</v>
      </c>
      <c r="L5">
        <v>4.29</v>
      </c>
      <c r="M5">
        <v>0</v>
      </c>
      <c r="N5">
        <v>0</v>
      </c>
      <c r="O5">
        <v>1.4</v>
      </c>
      <c r="P5">
        <v>50.2</v>
      </c>
    </row>
    <row r="6" spans="1:16" hidden="1" x14ac:dyDescent="0.3">
      <c r="A6" t="s">
        <v>20</v>
      </c>
      <c r="B6" t="s">
        <v>2</v>
      </c>
      <c r="C6">
        <v>59.1</v>
      </c>
      <c r="D6">
        <v>12.8</v>
      </c>
      <c r="E6">
        <v>0.81</v>
      </c>
      <c r="F6">
        <v>36.1</v>
      </c>
      <c r="G6">
        <v>13.1</v>
      </c>
      <c r="H6">
        <v>0.52</v>
      </c>
      <c r="I6">
        <v>18.899999999999999</v>
      </c>
      <c r="J6">
        <v>4.3499999999999996</v>
      </c>
      <c r="K6">
        <v>1.26</v>
      </c>
      <c r="L6">
        <v>13.2</v>
      </c>
      <c r="M6">
        <v>2.56</v>
      </c>
      <c r="N6">
        <v>12.8</v>
      </c>
      <c r="O6">
        <v>3.92</v>
      </c>
      <c r="P6">
        <v>52.4</v>
      </c>
    </row>
    <row r="7" spans="1:16" x14ac:dyDescent="0.3">
      <c r="A7" t="s">
        <v>20</v>
      </c>
      <c r="B7" t="s">
        <v>3</v>
      </c>
      <c r="C7">
        <v>54.4</v>
      </c>
      <c r="D7">
        <v>9.6300000000000008</v>
      </c>
      <c r="E7">
        <v>0.71</v>
      </c>
      <c r="F7">
        <v>37.6</v>
      </c>
      <c r="G7">
        <v>11.4</v>
      </c>
      <c r="H7">
        <v>0.3</v>
      </c>
      <c r="I7">
        <v>21.5</v>
      </c>
      <c r="J7">
        <v>7.04</v>
      </c>
      <c r="K7">
        <v>0.71</v>
      </c>
      <c r="L7">
        <v>7.29</v>
      </c>
      <c r="M7">
        <v>0</v>
      </c>
      <c r="N7">
        <v>4.55</v>
      </c>
      <c r="O7">
        <v>2.67</v>
      </c>
      <c r="P7">
        <v>57.2</v>
      </c>
    </row>
    <row r="8" spans="1:16" hidden="1" x14ac:dyDescent="0.3">
      <c r="A8" t="s">
        <v>12</v>
      </c>
      <c r="B8" t="s">
        <v>1</v>
      </c>
      <c r="C8">
        <v>31.1</v>
      </c>
      <c r="D8">
        <v>2.5499999999999998</v>
      </c>
      <c r="E8">
        <v>2.5000000000000001E-2</v>
      </c>
      <c r="F8">
        <v>48.6</v>
      </c>
      <c r="G8">
        <v>17.3</v>
      </c>
      <c r="H8">
        <v>0.24</v>
      </c>
      <c r="I8">
        <v>23</v>
      </c>
      <c r="J8">
        <v>5.96</v>
      </c>
      <c r="K8">
        <v>0.38</v>
      </c>
      <c r="L8">
        <v>2.83</v>
      </c>
      <c r="M8">
        <v>0</v>
      </c>
      <c r="N8">
        <v>10.5</v>
      </c>
      <c r="O8">
        <v>1.37</v>
      </c>
      <c r="P8">
        <v>47.3</v>
      </c>
    </row>
    <row r="9" spans="1:16" hidden="1" x14ac:dyDescent="0.3">
      <c r="A9" t="s">
        <v>12</v>
      </c>
      <c r="B9" t="s">
        <v>2</v>
      </c>
      <c r="C9">
        <v>28.6</v>
      </c>
      <c r="D9">
        <v>2.2000000000000002</v>
      </c>
      <c r="E9">
        <v>0.04</v>
      </c>
      <c r="F9">
        <v>55.9</v>
      </c>
      <c r="G9">
        <v>16.399999999999999</v>
      </c>
      <c r="H9">
        <v>0.25</v>
      </c>
      <c r="I9">
        <v>27.6</v>
      </c>
      <c r="J9">
        <v>6.77</v>
      </c>
      <c r="K9">
        <v>1.1499999999999999</v>
      </c>
      <c r="L9">
        <v>6.96</v>
      </c>
      <c r="M9">
        <v>0</v>
      </c>
      <c r="N9">
        <v>10.5</v>
      </c>
      <c r="O9">
        <v>1.53</v>
      </c>
      <c r="P9">
        <v>49.4</v>
      </c>
    </row>
    <row r="10" spans="1:16" x14ac:dyDescent="0.3">
      <c r="A10" t="s">
        <v>12</v>
      </c>
      <c r="B10" t="s">
        <v>3</v>
      </c>
      <c r="C10">
        <v>16.7</v>
      </c>
      <c r="D10">
        <v>3.48</v>
      </c>
      <c r="E10">
        <v>2.1000000000000001E-2</v>
      </c>
      <c r="F10">
        <v>43.1</v>
      </c>
      <c r="G10">
        <v>12.2</v>
      </c>
      <c r="H10">
        <v>0.27</v>
      </c>
      <c r="I10">
        <v>20.399999999999999</v>
      </c>
      <c r="J10">
        <v>4.92</v>
      </c>
      <c r="K10">
        <v>1.1299999999999999</v>
      </c>
      <c r="L10">
        <v>2.67</v>
      </c>
      <c r="M10">
        <v>0</v>
      </c>
      <c r="N10">
        <v>38.5</v>
      </c>
      <c r="O10">
        <v>2.23</v>
      </c>
      <c r="P10">
        <v>47.3</v>
      </c>
    </row>
    <row r="11" spans="1:16" hidden="1" x14ac:dyDescent="0.3">
      <c r="A11" t="s">
        <v>16</v>
      </c>
      <c r="B11" t="s">
        <v>1</v>
      </c>
      <c r="C11">
        <v>57.2</v>
      </c>
      <c r="D11">
        <v>19.7</v>
      </c>
      <c r="E11">
        <v>0.34</v>
      </c>
      <c r="F11">
        <v>32.799999999999997</v>
      </c>
      <c r="G11">
        <v>6.56</v>
      </c>
      <c r="H11">
        <v>0.42</v>
      </c>
      <c r="I11">
        <v>8.3800000000000008</v>
      </c>
      <c r="J11">
        <v>6.86</v>
      </c>
      <c r="K11">
        <v>0</v>
      </c>
      <c r="L11">
        <v>4.97</v>
      </c>
      <c r="M11">
        <v>3.45</v>
      </c>
      <c r="N11">
        <v>0</v>
      </c>
      <c r="O11">
        <v>6.35</v>
      </c>
      <c r="P11">
        <v>25.5</v>
      </c>
    </row>
    <row r="12" spans="1:16" hidden="1" x14ac:dyDescent="0.3">
      <c r="A12" t="s">
        <v>16</v>
      </c>
      <c r="B12" t="s">
        <v>2</v>
      </c>
      <c r="C12">
        <v>61.3</v>
      </c>
      <c r="D12">
        <v>13.9</v>
      </c>
      <c r="E12">
        <v>0.35</v>
      </c>
      <c r="F12">
        <v>32.799999999999997</v>
      </c>
      <c r="G12">
        <v>6.38</v>
      </c>
      <c r="H12">
        <v>0.4</v>
      </c>
      <c r="I12">
        <v>8.6300000000000008</v>
      </c>
      <c r="J12">
        <v>5.72</v>
      </c>
      <c r="K12">
        <v>0</v>
      </c>
      <c r="L12">
        <v>4.03</v>
      </c>
      <c r="M12">
        <v>0</v>
      </c>
      <c r="N12">
        <v>0</v>
      </c>
      <c r="O12">
        <v>6.24</v>
      </c>
      <c r="P12">
        <v>26.3</v>
      </c>
    </row>
    <row r="13" spans="1:16" x14ac:dyDescent="0.3">
      <c r="A13" t="s">
        <v>16</v>
      </c>
      <c r="B13" t="s">
        <v>3</v>
      </c>
      <c r="C13">
        <v>55.8</v>
      </c>
      <c r="D13">
        <v>12.8</v>
      </c>
      <c r="E13">
        <v>0.35</v>
      </c>
      <c r="F13">
        <v>33.1</v>
      </c>
      <c r="G13">
        <v>5.39</v>
      </c>
      <c r="H13">
        <v>0.12</v>
      </c>
      <c r="I13">
        <v>10.199999999999999</v>
      </c>
      <c r="J13">
        <v>9.2200000000000006</v>
      </c>
      <c r="K13">
        <v>0.14000000000000001</v>
      </c>
      <c r="L13">
        <v>2.7</v>
      </c>
      <c r="M13">
        <v>0</v>
      </c>
      <c r="N13">
        <v>0</v>
      </c>
      <c r="O13">
        <v>2.14</v>
      </c>
      <c r="P13">
        <v>30.7</v>
      </c>
    </row>
    <row r="14" spans="1:16" hidden="1" x14ac:dyDescent="0.3">
      <c r="A14" t="s">
        <v>6</v>
      </c>
      <c r="B14" t="s">
        <v>1</v>
      </c>
      <c r="C14">
        <v>38.799999999999997</v>
      </c>
      <c r="D14">
        <v>13</v>
      </c>
      <c r="E14">
        <v>7.3999999999999996E-2</v>
      </c>
      <c r="F14">
        <v>41</v>
      </c>
      <c r="G14">
        <v>9.91</v>
      </c>
      <c r="H14">
        <v>0.85</v>
      </c>
      <c r="I14">
        <v>10.1</v>
      </c>
      <c r="J14">
        <v>6.2</v>
      </c>
      <c r="K14">
        <v>2.21</v>
      </c>
      <c r="L14">
        <v>14</v>
      </c>
      <c r="M14">
        <v>0</v>
      </c>
      <c r="N14">
        <v>8.6999999999999993</v>
      </c>
      <c r="O14">
        <v>8.61</v>
      </c>
      <c r="P14">
        <v>24.6</v>
      </c>
    </row>
    <row r="15" spans="1:16" hidden="1" x14ac:dyDescent="0.3">
      <c r="A15" t="s">
        <v>6</v>
      </c>
      <c r="B15" t="s">
        <v>2</v>
      </c>
      <c r="C15">
        <v>44.6</v>
      </c>
      <c r="D15">
        <v>6.61</v>
      </c>
      <c r="E15">
        <v>4.7E-2</v>
      </c>
      <c r="F15">
        <v>42</v>
      </c>
      <c r="G15">
        <v>11.7</v>
      </c>
      <c r="H15">
        <v>1.08</v>
      </c>
      <c r="I15">
        <v>11.2</v>
      </c>
      <c r="J15">
        <v>8.6300000000000008</v>
      </c>
      <c r="K15">
        <v>3.36</v>
      </c>
      <c r="L15">
        <v>21</v>
      </c>
      <c r="M15">
        <v>0</v>
      </c>
      <c r="N15">
        <v>4.3499999999999996</v>
      </c>
      <c r="O15">
        <v>9.24</v>
      </c>
      <c r="P15">
        <v>26.6</v>
      </c>
    </row>
    <row r="16" spans="1:16" x14ac:dyDescent="0.3">
      <c r="A16" t="s">
        <v>6</v>
      </c>
      <c r="B16" t="s">
        <v>3</v>
      </c>
      <c r="C16">
        <v>45.7</v>
      </c>
      <c r="D16">
        <v>5.59</v>
      </c>
      <c r="E16">
        <v>0</v>
      </c>
      <c r="F16">
        <v>43.2</v>
      </c>
      <c r="G16">
        <v>9.0299999999999994</v>
      </c>
      <c r="H16">
        <v>0.71</v>
      </c>
      <c r="I16">
        <v>12.3</v>
      </c>
      <c r="J16">
        <v>8.73</v>
      </c>
      <c r="K16">
        <v>1.64</v>
      </c>
      <c r="L16">
        <v>11.7</v>
      </c>
      <c r="M16">
        <v>0</v>
      </c>
      <c r="N16">
        <v>14.3</v>
      </c>
      <c r="O16">
        <v>7.84</v>
      </c>
      <c r="P16">
        <v>28.6</v>
      </c>
    </row>
    <row r="17" spans="1:16" hidden="1" x14ac:dyDescent="0.3">
      <c r="A17" t="s">
        <v>8</v>
      </c>
      <c r="B17" t="s">
        <v>1</v>
      </c>
      <c r="C17">
        <v>55.6</v>
      </c>
      <c r="D17">
        <v>8.2100000000000009</v>
      </c>
      <c r="E17">
        <v>0.23</v>
      </c>
      <c r="F17">
        <v>29.6</v>
      </c>
      <c r="G17">
        <v>18.5</v>
      </c>
      <c r="H17">
        <v>1.22</v>
      </c>
      <c r="I17">
        <v>5.85</v>
      </c>
      <c r="J17">
        <v>5.91</v>
      </c>
      <c r="K17">
        <v>1.1399999999999999</v>
      </c>
      <c r="L17">
        <v>5.85</v>
      </c>
      <c r="M17">
        <v>0.78</v>
      </c>
      <c r="N17">
        <v>10.9</v>
      </c>
      <c r="O17">
        <v>6.6</v>
      </c>
      <c r="P17">
        <v>19.7</v>
      </c>
    </row>
    <row r="18" spans="1:16" hidden="1" x14ac:dyDescent="0.3">
      <c r="A18" t="s">
        <v>8</v>
      </c>
      <c r="B18" t="s">
        <v>2</v>
      </c>
      <c r="C18">
        <v>56.8</v>
      </c>
      <c r="D18">
        <v>8.34</v>
      </c>
      <c r="E18">
        <v>0.23</v>
      </c>
      <c r="F18">
        <v>27.9</v>
      </c>
      <c r="G18">
        <v>17.100000000000001</v>
      </c>
      <c r="H18">
        <v>1.54</v>
      </c>
      <c r="I18">
        <v>6.08</v>
      </c>
      <c r="J18">
        <v>4.75</v>
      </c>
      <c r="K18">
        <v>1.56</v>
      </c>
      <c r="L18">
        <v>7.68</v>
      </c>
      <c r="M18">
        <v>0.56000000000000005</v>
      </c>
      <c r="N18">
        <v>11.2</v>
      </c>
      <c r="O18">
        <v>9.02</v>
      </c>
      <c r="P18">
        <v>21.8</v>
      </c>
    </row>
    <row r="19" spans="1:16" x14ac:dyDescent="0.3">
      <c r="A19" t="s">
        <v>8</v>
      </c>
      <c r="B19" t="s">
        <v>3</v>
      </c>
      <c r="C19">
        <v>46.2</v>
      </c>
      <c r="D19">
        <v>6.62</v>
      </c>
      <c r="E19">
        <v>0.26</v>
      </c>
      <c r="F19">
        <v>25</v>
      </c>
      <c r="G19">
        <v>14.9</v>
      </c>
      <c r="H19">
        <v>1.76</v>
      </c>
      <c r="I19">
        <v>4.5999999999999996</v>
      </c>
      <c r="J19">
        <v>4.83</v>
      </c>
      <c r="K19">
        <v>2.67</v>
      </c>
      <c r="L19">
        <v>7.72</v>
      </c>
      <c r="M19">
        <v>0.78</v>
      </c>
      <c r="N19">
        <v>9.3000000000000007</v>
      </c>
      <c r="O19">
        <v>11.8</v>
      </c>
      <c r="P19">
        <v>18.399999999999999</v>
      </c>
    </row>
    <row r="20" spans="1:16" hidden="1" x14ac:dyDescent="0.3">
      <c r="A20" t="s">
        <v>5</v>
      </c>
      <c r="B20" t="s">
        <v>1</v>
      </c>
      <c r="C20">
        <v>36.5</v>
      </c>
      <c r="D20">
        <v>5.23</v>
      </c>
      <c r="E20">
        <v>0.13</v>
      </c>
      <c r="F20">
        <v>12.6</v>
      </c>
      <c r="G20">
        <v>5</v>
      </c>
      <c r="H20">
        <v>0.53</v>
      </c>
      <c r="I20">
        <v>4.53</v>
      </c>
      <c r="J20">
        <v>3.04</v>
      </c>
      <c r="K20">
        <v>0.73</v>
      </c>
      <c r="L20">
        <v>3.65</v>
      </c>
      <c r="M20">
        <v>0</v>
      </c>
      <c r="N20">
        <v>0</v>
      </c>
      <c r="O20">
        <v>10.6</v>
      </c>
      <c r="P20">
        <v>36.1</v>
      </c>
    </row>
    <row r="21" spans="1:16" hidden="1" x14ac:dyDescent="0.3">
      <c r="A21" t="s">
        <v>5</v>
      </c>
      <c r="B21" t="s">
        <v>2</v>
      </c>
      <c r="C21">
        <v>19.899999999999999</v>
      </c>
      <c r="D21">
        <v>8.6300000000000008</v>
      </c>
      <c r="E21">
        <v>0.31</v>
      </c>
      <c r="F21">
        <v>8.02</v>
      </c>
      <c r="G21">
        <v>4.84</v>
      </c>
      <c r="H21">
        <v>0.31</v>
      </c>
      <c r="I21">
        <v>1.35</v>
      </c>
      <c r="J21">
        <v>3.09</v>
      </c>
      <c r="K21">
        <v>0</v>
      </c>
      <c r="L21">
        <v>0</v>
      </c>
      <c r="M21">
        <v>0</v>
      </c>
      <c r="N21">
        <v>14.3</v>
      </c>
      <c r="O21">
        <v>6.31</v>
      </c>
      <c r="P21">
        <v>16.8</v>
      </c>
    </row>
    <row r="22" spans="1:16" x14ac:dyDescent="0.3">
      <c r="A22" t="s">
        <v>5</v>
      </c>
      <c r="B22" t="s">
        <v>3</v>
      </c>
      <c r="C22">
        <v>19.600000000000001</v>
      </c>
      <c r="D22">
        <v>9.51</v>
      </c>
      <c r="E22">
        <v>0.13</v>
      </c>
      <c r="F22">
        <v>15.2</v>
      </c>
      <c r="G22">
        <v>9.7799999999999994</v>
      </c>
      <c r="H22">
        <v>1.42</v>
      </c>
      <c r="I22">
        <v>2.12</v>
      </c>
      <c r="J22">
        <v>2.83</v>
      </c>
      <c r="K22">
        <v>3.17</v>
      </c>
      <c r="L22">
        <v>4.76</v>
      </c>
      <c r="M22">
        <v>0</v>
      </c>
      <c r="N22">
        <v>4.76</v>
      </c>
      <c r="O22">
        <v>14.5</v>
      </c>
      <c r="P22">
        <v>14</v>
      </c>
    </row>
    <row r="23" spans="1:16" hidden="1" x14ac:dyDescent="0.3">
      <c r="A23" t="s">
        <v>7</v>
      </c>
      <c r="B23" t="s">
        <v>1</v>
      </c>
      <c r="C23">
        <v>59</v>
      </c>
      <c r="D23">
        <v>2.92</v>
      </c>
      <c r="E23">
        <v>5.8999999999999997E-2</v>
      </c>
      <c r="F23">
        <v>32.299999999999997</v>
      </c>
      <c r="G23">
        <v>16.600000000000001</v>
      </c>
      <c r="H23">
        <v>1.23</v>
      </c>
      <c r="I23">
        <v>10.4</v>
      </c>
      <c r="J23">
        <v>22.4</v>
      </c>
      <c r="K23">
        <v>0.99</v>
      </c>
      <c r="L23">
        <v>7.65</v>
      </c>
      <c r="M23">
        <v>1.76</v>
      </c>
      <c r="N23">
        <v>6.61</v>
      </c>
      <c r="O23">
        <v>7.4</v>
      </c>
      <c r="P23">
        <v>32.1</v>
      </c>
    </row>
    <row r="24" spans="1:16" hidden="1" x14ac:dyDescent="0.3">
      <c r="A24" t="s">
        <v>7</v>
      </c>
      <c r="B24" t="s">
        <v>2</v>
      </c>
      <c r="C24">
        <v>59</v>
      </c>
      <c r="D24">
        <v>5.75</v>
      </c>
      <c r="E24">
        <v>0.41</v>
      </c>
      <c r="F24">
        <v>36.6</v>
      </c>
      <c r="G24">
        <v>17.7</v>
      </c>
      <c r="H24">
        <v>2.13</v>
      </c>
      <c r="I24">
        <v>15.1</v>
      </c>
      <c r="J24">
        <v>28.1</v>
      </c>
      <c r="K24">
        <v>1.84</v>
      </c>
      <c r="L24">
        <v>18.399999999999999</v>
      </c>
      <c r="M24">
        <v>0</v>
      </c>
      <c r="N24">
        <v>7.92</v>
      </c>
      <c r="O24">
        <v>12</v>
      </c>
      <c r="P24">
        <v>41.2</v>
      </c>
    </row>
    <row r="25" spans="1:16" x14ac:dyDescent="0.3">
      <c r="A25" t="s">
        <v>7</v>
      </c>
      <c r="B25" t="s">
        <v>3</v>
      </c>
      <c r="C25">
        <v>64.2</v>
      </c>
      <c r="D25">
        <v>5.14</v>
      </c>
      <c r="E25">
        <v>0.21</v>
      </c>
      <c r="F25">
        <v>36.200000000000003</v>
      </c>
      <c r="G25">
        <v>14.3</v>
      </c>
      <c r="H25">
        <v>2.4900000000000002</v>
      </c>
      <c r="I25">
        <v>14.6</v>
      </c>
      <c r="J25">
        <v>30.9</v>
      </c>
      <c r="K25">
        <v>3.79</v>
      </c>
      <c r="L25">
        <v>28.3</v>
      </c>
      <c r="M25">
        <v>0.22</v>
      </c>
      <c r="N25">
        <v>10</v>
      </c>
      <c r="O25">
        <v>17.399999999999999</v>
      </c>
      <c r="P25">
        <v>40.1</v>
      </c>
    </row>
    <row r="26" spans="1:16" hidden="1" x14ac:dyDescent="0.3">
      <c r="A26" t="s">
        <v>19</v>
      </c>
      <c r="B26" t="s">
        <v>1</v>
      </c>
      <c r="C26">
        <v>54.6</v>
      </c>
      <c r="D26">
        <v>6.67</v>
      </c>
      <c r="E26">
        <v>0.39</v>
      </c>
      <c r="F26">
        <v>39</v>
      </c>
      <c r="G26">
        <v>16.2</v>
      </c>
      <c r="H26">
        <v>0.38</v>
      </c>
      <c r="I26">
        <v>9.6</v>
      </c>
      <c r="J26">
        <v>9.11</v>
      </c>
      <c r="K26">
        <v>0.49</v>
      </c>
      <c r="L26">
        <v>0.49</v>
      </c>
      <c r="M26">
        <v>0</v>
      </c>
      <c r="N26">
        <v>4.17</v>
      </c>
      <c r="O26">
        <v>2.33</v>
      </c>
      <c r="P26">
        <v>24.6</v>
      </c>
    </row>
    <row r="27" spans="1:16" hidden="1" x14ac:dyDescent="0.3">
      <c r="A27" t="s">
        <v>19</v>
      </c>
      <c r="B27" t="s">
        <v>2</v>
      </c>
      <c r="C27">
        <v>50.5</v>
      </c>
      <c r="D27">
        <v>8.4499999999999993</v>
      </c>
      <c r="E27">
        <v>0.56999999999999995</v>
      </c>
      <c r="F27">
        <v>44.2</v>
      </c>
      <c r="G27">
        <v>9.2200000000000006</v>
      </c>
      <c r="H27">
        <v>0.16</v>
      </c>
      <c r="I27">
        <v>15.2</v>
      </c>
      <c r="J27">
        <v>14</v>
      </c>
      <c r="K27">
        <v>0.1</v>
      </c>
      <c r="L27">
        <v>0.21</v>
      </c>
      <c r="M27">
        <v>0</v>
      </c>
      <c r="N27">
        <v>0</v>
      </c>
      <c r="O27">
        <v>1.71</v>
      </c>
      <c r="P27">
        <v>34.4</v>
      </c>
    </row>
    <row r="28" spans="1:16" x14ac:dyDescent="0.3">
      <c r="A28" t="s">
        <v>19</v>
      </c>
      <c r="B28" t="s">
        <v>3</v>
      </c>
      <c r="C28">
        <v>65.599999999999994</v>
      </c>
      <c r="D28">
        <v>6.73</v>
      </c>
      <c r="E28">
        <v>0.25</v>
      </c>
      <c r="F28">
        <v>48.3</v>
      </c>
      <c r="G28">
        <v>10.7</v>
      </c>
      <c r="H28">
        <v>5.6000000000000001E-2</v>
      </c>
      <c r="I28">
        <v>16.8</v>
      </c>
      <c r="J28">
        <v>16.600000000000001</v>
      </c>
      <c r="K28">
        <v>0.13</v>
      </c>
      <c r="L28">
        <v>0.4</v>
      </c>
      <c r="M28">
        <v>0</v>
      </c>
      <c r="N28">
        <v>20</v>
      </c>
      <c r="O28">
        <v>0.52</v>
      </c>
      <c r="P28">
        <v>34.799999999999997</v>
      </c>
    </row>
    <row r="29" spans="1:16" hidden="1" x14ac:dyDescent="0.3">
      <c r="A29" t="s">
        <v>11</v>
      </c>
      <c r="B29" t="s">
        <v>1</v>
      </c>
      <c r="C29">
        <v>42</v>
      </c>
      <c r="D29">
        <v>5.77</v>
      </c>
      <c r="E29">
        <v>0.11</v>
      </c>
      <c r="F29">
        <v>41.5</v>
      </c>
      <c r="G29">
        <v>13.4</v>
      </c>
      <c r="H29">
        <v>0.52</v>
      </c>
      <c r="I29">
        <v>16.3</v>
      </c>
      <c r="J29">
        <v>6.35</v>
      </c>
      <c r="K29">
        <v>0.44</v>
      </c>
      <c r="L29">
        <v>8.75</v>
      </c>
      <c r="M29">
        <v>0</v>
      </c>
      <c r="N29">
        <v>6.9</v>
      </c>
      <c r="O29">
        <v>3.9</v>
      </c>
      <c r="P29">
        <v>39.200000000000003</v>
      </c>
    </row>
    <row r="30" spans="1:16" hidden="1" x14ac:dyDescent="0.3">
      <c r="A30" t="s">
        <v>11</v>
      </c>
      <c r="B30" t="s">
        <v>2</v>
      </c>
      <c r="C30">
        <v>36.4</v>
      </c>
      <c r="D30">
        <v>6.75</v>
      </c>
      <c r="E30">
        <v>0.02</v>
      </c>
      <c r="F30">
        <v>50.5</v>
      </c>
      <c r="G30">
        <v>14.8</v>
      </c>
      <c r="H30">
        <v>0.57999999999999996</v>
      </c>
      <c r="I30">
        <v>18.5</v>
      </c>
      <c r="J30">
        <v>7.93</v>
      </c>
      <c r="K30">
        <v>0.65</v>
      </c>
      <c r="L30">
        <v>9.3000000000000007</v>
      </c>
      <c r="M30">
        <v>0</v>
      </c>
      <c r="N30">
        <v>13.8</v>
      </c>
      <c r="O30">
        <v>3.9</v>
      </c>
      <c r="P30">
        <v>36.6</v>
      </c>
    </row>
    <row r="31" spans="1:16" x14ac:dyDescent="0.3">
      <c r="A31" t="s">
        <v>11</v>
      </c>
      <c r="B31" t="s">
        <v>3</v>
      </c>
      <c r="C31">
        <v>38.700000000000003</v>
      </c>
      <c r="D31">
        <v>10.9</v>
      </c>
      <c r="E31">
        <v>0.1</v>
      </c>
      <c r="F31">
        <v>42.5</v>
      </c>
      <c r="G31">
        <v>12.6</v>
      </c>
      <c r="H31">
        <v>1.52</v>
      </c>
      <c r="I31">
        <v>16.3</v>
      </c>
      <c r="J31">
        <v>8.98</v>
      </c>
      <c r="K31">
        <v>0.51</v>
      </c>
      <c r="L31">
        <v>15.9</v>
      </c>
      <c r="M31">
        <v>1.1000000000000001</v>
      </c>
      <c r="N31">
        <v>2.2000000000000002</v>
      </c>
      <c r="O31">
        <v>12.1</v>
      </c>
      <c r="P31">
        <v>38.4</v>
      </c>
    </row>
    <row r="32" spans="1:16" hidden="1" x14ac:dyDescent="0.3">
      <c r="A32" t="s">
        <v>14</v>
      </c>
      <c r="B32" t="s">
        <v>1</v>
      </c>
      <c r="C32">
        <v>67.900000000000006</v>
      </c>
      <c r="D32">
        <v>4.84</v>
      </c>
      <c r="E32">
        <v>0.21</v>
      </c>
      <c r="F32">
        <v>42.1</v>
      </c>
      <c r="G32">
        <v>17.399999999999999</v>
      </c>
      <c r="H32">
        <v>0.87</v>
      </c>
      <c r="I32">
        <v>16.7</v>
      </c>
      <c r="J32">
        <v>14.6</v>
      </c>
      <c r="K32">
        <v>0.53</v>
      </c>
      <c r="L32">
        <v>4.3600000000000003</v>
      </c>
      <c r="M32">
        <v>0</v>
      </c>
      <c r="N32">
        <v>4.05</v>
      </c>
      <c r="O32">
        <v>4.9800000000000004</v>
      </c>
      <c r="P32">
        <v>39.700000000000003</v>
      </c>
    </row>
    <row r="33" spans="1:16" hidden="1" x14ac:dyDescent="0.3">
      <c r="A33" t="s">
        <v>14</v>
      </c>
      <c r="B33" t="s">
        <v>2</v>
      </c>
      <c r="C33">
        <v>70.400000000000006</v>
      </c>
      <c r="D33">
        <v>7.06</v>
      </c>
      <c r="E33">
        <v>0.65</v>
      </c>
      <c r="F33">
        <v>42.8</v>
      </c>
      <c r="G33">
        <v>19.3</v>
      </c>
      <c r="H33">
        <v>2.2000000000000002</v>
      </c>
      <c r="I33">
        <v>18.100000000000001</v>
      </c>
      <c r="J33">
        <v>15.5</v>
      </c>
      <c r="K33">
        <v>0.76</v>
      </c>
      <c r="L33">
        <v>14.7</v>
      </c>
      <c r="M33">
        <v>0.76</v>
      </c>
      <c r="N33">
        <v>2.77</v>
      </c>
      <c r="O33">
        <v>11.4</v>
      </c>
      <c r="P33">
        <v>42.3</v>
      </c>
    </row>
    <row r="34" spans="1:16" x14ac:dyDescent="0.3">
      <c r="A34" t="s">
        <v>14</v>
      </c>
      <c r="B34" t="s">
        <v>3</v>
      </c>
      <c r="C34">
        <v>63.8</v>
      </c>
      <c r="D34">
        <v>5.22</v>
      </c>
      <c r="E34">
        <v>0.28999999999999998</v>
      </c>
      <c r="F34">
        <v>34.6</v>
      </c>
      <c r="G34">
        <v>13.8</v>
      </c>
      <c r="H34">
        <v>1.22</v>
      </c>
      <c r="I34">
        <v>16.399999999999999</v>
      </c>
      <c r="J34">
        <v>19.100000000000001</v>
      </c>
      <c r="K34">
        <v>0.84</v>
      </c>
      <c r="L34">
        <v>15.5</v>
      </c>
      <c r="M34">
        <v>0</v>
      </c>
      <c r="N34">
        <v>2.34</v>
      </c>
      <c r="O34">
        <v>8.89</v>
      </c>
      <c r="P34">
        <v>47.4</v>
      </c>
    </row>
    <row r="35" spans="1:16" hidden="1" x14ac:dyDescent="0.3">
      <c r="A35" t="s">
        <v>18</v>
      </c>
      <c r="B35" t="s">
        <v>1</v>
      </c>
      <c r="C35">
        <v>70.900000000000006</v>
      </c>
      <c r="D35">
        <v>7.34</v>
      </c>
      <c r="E35">
        <v>0.57999999999999996</v>
      </c>
      <c r="F35">
        <v>48.4</v>
      </c>
      <c r="G35">
        <v>24.6</v>
      </c>
      <c r="H35">
        <v>1.67</v>
      </c>
      <c r="I35">
        <v>20.7</v>
      </c>
      <c r="J35">
        <v>8.9600000000000009</v>
      </c>
      <c r="K35">
        <v>0.56999999999999995</v>
      </c>
      <c r="L35">
        <v>4.0199999999999996</v>
      </c>
      <c r="M35">
        <v>0</v>
      </c>
      <c r="N35">
        <v>3.21</v>
      </c>
      <c r="O35">
        <v>6.78</v>
      </c>
      <c r="P35">
        <v>42.8</v>
      </c>
    </row>
    <row r="36" spans="1:16" hidden="1" x14ac:dyDescent="0.3">
      <c r="A36" t="s">
        <v>18</v>
      </c>
      <c r="B36" t="s">
        <v>2</v>
      </c>
      <c r="C36">
        <v>66.3</v>
      </c>
      <c r="D36">
        <v>7.3</v>
      </c>
      <c r="E36">
        <v>0.74</v>
      </c>
      <c r="F36">
        <v>40.6</v>
      </c>
      <c r="G36">
        <v>20.399999999999999</v>
      </c>
      <c r="H36">
        <v>1.21</v>
      </c>
      <c r="I36">
        <v>17.600000000000001</v>
      </c>
      <c r="J36">
        <v>7.65</v>
      </c>
      <c r="K36">
        <v>0.25</v>
      </c>
      <c r="L36">
        <v>2.5299999999999998</v>
      </c>
      <c r="M36">
        <v>0</v>
      </c>
      <c r="N36">
        <v>0.89</v>
      </c>
      <c r="O36">
        <v>5.95</v>
      </c>
      <c r="P36">
        <v>43.2</v>
      </c>
    </row>
    <row r="37" spans="1:16" x14ac:dyDescent="0.3">
      <c r="A37" t="s">
        <v>18</v>
      </c>
      <c r="B37" t="s">
        <v>3</v>
      </c>
      <c r="C37">
        <v>64.900000000000006</v>
      </c>
      <c r="D37">
        <v>9.23</v>
      </c>
      <c r="E37">
        <v>0.62</v>
      </c>
      <c r="F37">
        <v>36.799999999999997</v>
      </c>
      <c r="G37">
        <v>19.100000000000001</v>
      </c>
      <c r="H37">
        <v>1.28</v>
      </c>
      <c r="I37">
        <v>15.1</v>
      </c>
      <c r="J37">
        <v>7.22</v>
      </c>
      <c r="K37">
        <v>0.45</v>
      </c>
      <c r="L37">
        <v>4.12</v>
      </c>
      <c r="M37">
        <v>0</v>
      </c>
      <c r="N37">
        <v>3.82</v>
      </c>
      <c r="O37">
        <v>6.68</v>
      </c>
      <c r="P37">
        <v>41.1</v>
      </c>
    </row>
    <row r="38" spans="1:16" hidden="1" x14ac:dyDescent="0.3">
      <c r="A38" t="s">
        <v>9</v>
      </c>
      <c r="B38" t="s">
        <v>1</v>
      </c>
      <c r="C38">
        <v>34.299999999999997</v>
      </c>
      <c r="D38">
        <v>3.87</v>
      </c>
      <c r="F38">
        <v>34.700000000000003</v>
      </c>
      <c r="G38">
        <v>28.6</v>
      </c>
      <c r="H38">
        <v>1.31</v>
      </c>
      <c r="I38">
        <v>5.95</v>
      </c>
      <c r="J38">
        <v>27.3</v>
      </c>
      <c r="K38">
        <v>2.2000000000000002</v>
      </c>
      <c r="L38">
        <v>0.63</v>
      </c>
      <c r="M38">
        <v>2.86</v>
      </c>
      <c r="N38">
        <v>21.4</v>
      </c>
      <c r="O38">
        <v>4.58</v>
      </c>
      <c r="P38">
        <v>17.100000000000001</v>
      </c>
    </row>
    <row r="39" spans="1:16" hidden="1" x14ac:dyDescent="0.3">
      <c r="A39" t="s">
        <v>9</v>
      </c>
      <c r="B39" t="s">
        <v>2</v>
      </c>
      <c r="C39">
        <v>43</v>
      </c>
      <c r="D39">
        <v>4.03</v>
      </c>
      <c r="F39">
        <v>33.4</v>
      </c>
      <c r="G39">
        <v>28.4</v>
      </c>
      <c r="H39">
        <v>2.15</v>
      </c>
      <c r="I39">
        <v>4.67</v>
      </c>
      <c r="J39">
        <v>27.1</v>
      </c>
      <c r="K39">
        <v>4.8099999999999996</v>
      </c>
      <c r="L39">
        <v>0.74</v>
      </c>
      <c r="M39">
        <v>0.81</v>
      </c>
      <c r="N39">
        <v>27.4</v>
      </c>
      <c r="O39">
        <v>7.55</v>
      </c>
      <c r="P39">
        <v>14</v>
      </c>
    </row>
    <row r="40" spans="1:16" x14ac:dyDescent="0.3">
      <c r="A40" t="s">
        <v>9</v>
      </c>
      <c r="B40" t="s">
        <v>3</v>
      </c>
      <c r="C40">
        <v>43.3</v>
      </c>
      <c r="D40">
        <v>6.16</v>
      </c>
      <c r="F40">
        <v>33.4</v>
      </c>
      <c r="G40">
        <v>27</v>
      </c>
      <c r="H40">
        <v>2.35</v>
      </c>
      <c r="I40">
        <v>6.11</v>
      </c>
      <c r="J40">
        <v>25.7</v>
      </c>
      <c r="K40">
        <v>4.4000000000000004</v>
      </c>
      <c r="L40">
        <v>1.47</v>
      </c>
      <c r="M40">
        <v>0.76</v>
      </c>
      <c r="N40">
        <v>28.2</v>
      </c>
      <c r="O40">
        <v>8.6999999999999993</v>
      </c>
      <c r="P40">
        <v>18.3</v>
      </c>
    </row>
    <row r="41" spans="1:16" hidden="1" x14ac:dyDescent="0.3">
      <c r="A41" t="s">
        <v>13</v>
      </c>
      <c r="B41" t="s">
        <v>1</v>
      </c>
      <c r="C41">
        <v>58</v>
      </c>
      <c r="D41">
        <v>22.1</v>
      </c>
      <c r="E41">
        <v>19.399999999999999</v>
      </c>
      <c r="F41">
        <v>40.799999999999997</v>
      </c>
      <c r="G41">
        <v>16</v>
      </c>
      <c r="H41">
        <v>4.8899999999999997</v>
      </c>
      <c r="I41">
        <v>13.7</v>
      </c>
      <c r="J41">
        <v>7.35</v>
      </c>
      <c r="K41">
        <v>12.4</v>
      </c>
      <c r="L41">
        <v>0.47</v>
      </c>
      <c r="M41">
        <v>30.7</v>
      </c>
      <c r="N41">
        <v>56.9</v>
      </c>
      <c r="O41">
        <v>30.6</v>
      </c>
      <c r="P41">
        <v>33.6</v>
      </c>
    </row>
    <row r="42" spans="1:16" hidden="1" x14ac:dyDescent="0.3">
      <c r="A42" t="s">
        <v>13</v>
      </c>
      <c r="B42" t="s">
        <v>2</v>
      </c>
      <c r="C42">
        <v>58.7</v>
      </c>
      <c r="D42">
        <v>9.18</v>
      </c>
      <c r="E42">
        <v>7.3</v>
      </c>
      <c r="F42">
        <v>35.799999999999997</v>
      </c>
      <c r="G42">
        <v>11.5</v>
      </c>
      <c r="H42">
        <v>1.82</v>
      </c>
      <c r="I42">
        <v>15.6</v>
      </c>
      <c r="J42">
        <v>33.700000000000003</v>
      </c>
      <c r="K42">
        <v>7.61</v>
      </c>
      <c r="L42">
        <v>0.71</v>
      </c>
      <c r="M42">
        <v>13.6</v>
      </c>
      <c r="N42">
        <v>53</v>
      </c>
      <c r="O42">
        <v>15.8</v>
      </c>
      <c r="P42">
        <v>43.5</v>
      </c>
    </row>
    <row r="43" spans="1:16" x14ac:dyDescent="0.3">
      <c r="A43" t="s">
        <v>13</v>
      </c>
      <c r="B43" t="s">
        <v>3</v>
      </c>
      <c r="C43">
        <v>55.2</v>
      </c>
      <c r="D43">
        <v>16.600000000000001</v>
      </c>
      <c r="E43">
        <v>13.6</v>
      </c>
      <c r="F43">
        <v>32</v>
      </c>
      <c r="G43">
        <v>16.600000000000001</v>
      </c>
      <c r="H43">
        <v>3.89</v>
      </c>
      <c r="I43">
        <v>10.8</v>
      </c>
      <c r="J43">
        <v>14.8</v>
      </c>
      <c r="K43">
        <v>12.4</v>
      </c>
      <c r="L43">
        <v>1.1000000000000001</v>
      </c>
      <c r="M43">
        <v>41.2</v>
      </c>
      <c r="N43">
        <v>58</v>
      </c>
      <c r="O43">
        <v>23.4</v>
      </c>
      <c r="P43">
        <v>33.700000000000003</v>
      </c>
    </row>
    <row r="44" spans="1:16" hidden="1" x14ac:dyDescent="0.3">
      <c r="A44" t="s">
        <v>15</v>
      </c>
      <c r="B44" t="s">
        <v>1</v>
      </c>
      <c r="C44">
        <v>77.599999999999994</v>
      </c>
      <c r="D44">
        <v>9.11</v>
      </c>
      <c r="E44">
        <v>6.78</v>
      </c>
      <c r="F44">
        <v>50.5</v>
      </c>
      <c r="G44">
        <v>18</v>
      </c>
      <c r="H44">
        <v>0.2</v>
      </c>
      <c r="I44">
        <v>27.2</v>
      </c>
      <c r="J44">
        <v>16.399999999999999</v>
      </c>
      <c r="K44">
        <v>0.68</v>
      </c>
      <c r="L44">
        <v>0</v>
      </c>
      <c r="M44">
        <v>23.1</v>
      </c>
      <c r="N44">
        <v>30.8</v>
      </c>
      <c r="O44">
        <v>1.1200000000000001</v>
      </c>
      <c r="P44">
        <v>53.9</v>
      </c>
    </row>
    <row r="45" spans="1:16" hidden="1" x14ac:dyDescent="0.3">
      <c r="A45" t="s">
        <v>15</v>
      </c>
      <c r="B45" t="s">
        <v>2</v>
      </c>
      <c r="C45">
        <v>69</v>
      </c>
      <c r="D45">
        <v>3.76</v>
      </c>
      <c r="E45">
        <v>3.17</v>
      </c>
      <c r="F45">
        <v>47.9</v>
      </c>
      <c r="G45">
        <v>23</v>
      </c>
      <c r="H45">
        <v>0.23</v>
      </c>
      <c r="I45">
        <v>22.6</v>
      </c>
      <c r="J45">
        <v>13.2</v>
      </c>
      <c r="K45">
        <v>8.5000000000000006E-2</v>
      </c>
      <c r="L45">
        <v>8.5000000000000006E-2</v>
      </c>
      <c r="M45">
        <v>33.299999999999997</v>
      </c>
      <c r="N45">
        <v>8.33</v>
      </c>
      <c r="O45">
        <v>1</v>
      </c>
      <c r="P45">
        <v>47.2</v>
      </c>
    </row>
    <row r="46" spans="1:16" x14ac:dyDescent="0.3">
      <c r="A46" t="s">
        <v>15</v>
      </c>
      <c r="B46" t="s">
        <v>3</v>
      </c>
      <c r="C46">
        <v>80.8</v>
      </c>
      <c r="D46">
        <v>5.32</v>
      </c>
      <c r="E46">
        <v>4.12</v>
      </c>
      <c r="F46">
        <v>45.4</v>
      </c>
      <c r="G46">
        <v>16.600000000000001</v>
      </c>
      <c r="H46">
        <v>0.34</v>
      </c>
      <c r="I46">
        <v>24.2</v>
      </c>
      <c r="J46">
        <v>14.9</v>
      </c>
      <c r="K46">
        <v>0.81</v>
      </c>
      <c r="L46">
        <v>0.15</v>
      </c>
      <c r="M46">
        <v>21.4</v>
      </c>
      <c r="N46">
        <v>28.6</v>
      </c>
      <c r="O46">
        <v>2.08</v>
      </c>
      <c r="P46">
        <v>53.3</v>
      </c>
    </row>
    <row r="47" spans="1:16" hidden="1" x14ac:dyDescent="0.3">
      <c r="A47" t="s">
        <v>10</v>
      </c>
      <c r="B47" t="s">
        <v>1</v>
      </c>
      <c r="C47">
        <v>13.8</v>
      </c>
      <c r="F47">
        <v>41.4</v>
      </c>
      <c r="G47">
        <v>16.600000000000001</v>
      </c>
      <c r="H47">
        <v>0</v>
      </c>
      <c r="I47">
        <v>22.9</v>
      </c>
      <c r="J47">
        <v>0.75</v>
      </c>
      <c r="K47">
        <v>1.79</v>
      </c>
      <c r="L47">
        <v>0.6</v>
      </c>
      <c r="M47">
        <v>0</v>
      </c>
      <c r="N47">
        <v>0</v>
      </c>
      <c r="O47">
        <v>0</v>
      </c>
      <c r="P47">
        <v>55.3</v>
      </c>
    </row>
    <row r="48" spans="1:16" hidden="1" x14ac:dyDescent="0.3">
      <c r="A48" t="s">
        <v>10</v>
      </c>
      <c r="B48" t="s">
        <v>2</v>
      </c>
      <c r="C48">
        <v>17.5</v>
      </c>
      <c r="F48">
        <v>50</v>
      </c>
      <c r="G48">
        <v>23</v>
      </c>
      <c r="H48">
        <v>1.86</v>
      </c>
      <c r="I48">
        <v>25.5</v>
      </c>
      <c r="J48">
        <v>1.6</v>
      </c>
      <c r="K48">
        <v>4.38</v>
      </c>
      <c r="L48">
        <v>1.46</v>
      </c>
      <c r="M48">
        <v>22.9</v>
      </c>
      <c r="N48">
        <v>28.6</v>
      </c>
      <c r="O48">
        <v>8.08</v>
      </c>
      <c r="P48">
        <v>51</v>
      </c>
    </row>
    <row r="49" spans="1:16" x14ac:dyDescent="0.3">
      <c r="A49" t="s">
        <v>10</v>
      </c>
      <c r="B49" t="s">
        <v>3</v>
      </c>
      <c r="C49">
        <v>11.6</v>
      </c>
      <c r="F49">
        <v>46.6</v>
      </c>
      <c r="G49">
        <v>19.7</v>
      </c>
      <c r="H49">
        <v>0.63</v>
      </c>
      <c r="I49">
        <v>23.8</v>
      </c>
      <c r="J49">
        <v>1.41</v>
      </c>
      <c r="K49">
        <v>2.95</v>
      </c>
      <c r="L49">
        <v>1.31</v>
      </c>
      <c r="M49">
        <v>37.5</v>
      </c>
      <c r="N49">
        <v>37.5</v>
      </c>
      <c r="O49">
        <v>3.17</v>
      </c>
      <c r="P49">
        <v>51.2</v>
      </c>
    </row>
  </sheetData>
  <autoFilter ref="A1:P49" xr:uid="{DF754AD5-080F-4B33-91F2-6980011E2074}">
    <filterColumn colId="1">
      <filters>
        <filter val="Rx-C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7E5C-2FF9-40F0-9759-B555D2394580}">
  <dimension ref="A1:ACR49"/>
  <sheetViews>
    <sheetView topLeftCell="ACD1" workbookViewId="0">
      <selection activeCell="ACV30" sqref="ACV30"/>
    </sheetView>
  </sheetViews>
  <sheetFormatPr defaultRowHeight="14.4" x14ac:dyDescent="0.3"/>
  <cols>
    <col min="1" max="1" width="17.88671875" customWidth="1"/>
  </cols>
  <sheetData>
    <row r="1" spans="1:772" s="1" customFormat="1" x14ac:dyDescent="0.3">
      <c r="A1" s="1" t="s">
        <v>4</v>
      </c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167</v>
      </c>
      <c r="EH1" s="1" t="s">
        <v>168</v>
      </c>
      <c r="EI1" s="1" t="s">
        <v>169</v>
      </c>
      <c r="EJ1" s="1" t="s">
        <v>170</v>
      </c>
      <c r="EK1" s="1" t="s">
        <v>171</v>
      </c>
      <c r="EL1" s="1" t="s">
        <v>172</v>
      </c>
      <c r="EM1" s="1" t="s">
        <v>173</v>
      </c>
      <c r="EN1" s="1" t="s">
        <v>174</v>
      </c>
      <c r="EO1" s="1" t="s">
        <v>175</v>
      </c>
      <c r="EP1" s="1" t="s">
        <v>176</v>
      </c>
      <c r="EQ1" s="1" t="s">
        <v>177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182</v>
      </c>
      <c r="EW1" s="1" t="s">
        <v>183</v>
      </c>
      <c r="EX1" s="1" t="s">
        <v>184</v>
      </c>
      <c r="EY1" s="1" t="s">
        <v>185</v>
      </c>
      <c r="EZ1" s="1" t="s">
        <v>186</v>
      </c>
      <c r="FA1" s="1" t="s">
        <v>187</v>
      </c>
      <c r="FB1" s="1" t="s">
        <v>188</v>
      </c>
      <c r="FC1" s="1" t="s">
        <v>189</v>
      </c>
      <c r="FD1" s="1" t="s">
        <v>190</v>
      </c>
      <c r="FE1" s="1" t="s">
        <v>191</v>
      </c>
      <c r="FF1" s="1" t="s">
        <v>192</v>
      </c>
      <c r="FG1" s="1" t="s">
        <v>193</v>
      </c>
      <c r="FH1" s="1" t="s">
        <v>194</v>
      </c>
      <c r="FI1" s="1" t="s">
        <v>195</v>
      </c>
      <c r="FJ1" s="1" t="s">
        <v>196</v>
      </c>
      <c r="FK1" s="1" t="s">
        <v>197</v>
      </c>
      <c r="FL1" s="1" t="s">
        <v>198</v>
      </c>
      <c r="FM1" s="1" t="s">
        <v>199</v>
      </c>
      <c r="FN1" s="1" t="s">
        <v>200</v>
      </c>
      <c r="FO1" s="1" t="s">
        <v>201</v>
      </c>
      <c r="FP1" s="1" t="s">
        <v>202</v>
      </c>
      <c r="FQ1" s="1" t="s">
        <v>203</v>
      </c>
      <c r="FR1" s="1" t="s">
        <v>204</v>
      </c>
      <c r="FS1" s="1" t="s">
        <v>205</v>
      </c>
      <c r="FT1" s="1" t="s">
        <v>206</v>
      </c>
      <c r="FU1" s="1" t="s">
        <v>207</v>
      </c>
      <c r="FV1" s="1" t="s">
        <v>208</v>
      </c>
      <c r="FW1" s="1" t="s">
        <v>209</v>
      </c>
      <c r="FX1" s="1" t="s">
        <v>210</v>
      </c>
      <c r="FY1" s="1" t="s">
        <v>211</v>
      </c>
      <c r="FZ1" s="1" t="s">
        <v>212</v>
      </c>
      <c r="GA1" s="1" t="s">
        <v>213</v>
      </c>
      <c r="GB1" s="1" t="s">
        <v>214</v>
      </c>
      <c r="GC1" s="1" t="s">
        <v>215</v>
      </c>
      <c r="GD1" s="1" t="s">
        <v>216</v>
      </c>
      <c r="GE1" s="1" t="s">
        <v>217</v>
      </c>
      <c r="GF1" s="1" t="s">
        <v>218</v>
      </c>
      <c r="GG1" s="1" t="s">
        <v>219</v>
      </c>
      <c r="GH1" s="1" t="s">
        <v>220</v>
      </c>
      <c r="GI1" s="1" t="s">
        <v>221</v>
      </c>
      <c r="GJ1" s="1" t="s">
        <v>222</v>
      </c>
      <c r="GK1" s="1" t="s">
        <v>223</v>
      </c>
      <c r="GL1" s="1" t="s">
        <v>224</v>
      </c>
      <c r="GM1" s="1" t="s">
        <v>225</v>
      </c>
      <c r="GN1" s="1" t="s">
        <v>226</v>
      </c>
      <c r="GO1" s="1" t="s">
        <v>227</v>
      </c>
      <c r="GP1" s="1" t="s">
        <v>228</v>
      </c>
      <c r="GQ1" s="1" t="s">
        <v>229</v>
      </c>
      <c r="GR1" s="1" t="s">
        <v>230</v>
      </c>
      <c r="GS1" s="1" t="s">
        <v>231</v>
      </c>
      <c r="GT1" s="1" t="s">
        <v>232</v>
      </c>
      <c r="GU1" s="1" t="s">
        <v>233</v>
      </c>
      <c r="GV1" s="1" t="s">
        <v>234</v>
      </c>
      <c r="GW1" s="1" t="s">
        <v>235</v>
      </c>
      <c r="GX1" s="1" t="s">
        <v>236</v>
      </c>
      <c r="GY1" s="1" t="s">
        <v>237</v>
      </c>
      <c r="GZ1" s="1" t="s">
        <v>238</v>
      </c>
      <c r="HA1" s="1" t="s">
        <v>239</v>
      </c>
      <c r="HB1" s="1" t="s">
        <v>240</v>
      </c>
      <c r="HC1" s="1" t="s">
        <v>241</v>
      </c>
      <c r="HD1" s="1" t="s">
        <v>242</v>
      </c>
      <c r="HE1" s="1" t="s">
        <v>243</v>
      </c>
      <c r="HF1" s="1" t="s">
        <v>244</v>
      </c>
      <c r="HG1" s="1" t="s">
        <v>245</v>
      </c>
      <c r="HH1" s="1" t="s">
        <v>246</v>
      </c>
      <c r="HI1" s="1" t="s">
        <v>247</v>
      </c>
      <c r="HJ1" s="1" t="s">
        <v>248</v>
      </c>
      <c r="HK1" s="1" t="s">
        <v>249</v>
      </c>
      <c r="HL1" s="1" t="s">
        <v>250</v>
      </c>
      <c r="HM1" s="1" t="s">
        <v>251</v>
      </c>
      <c r="HN1" s="1" t="s">
        <v>252</v>
      </c>
      <c r="HO1" s="1" t="s">
        <v>253</v>
      </c>
      <c r="HP1" s="1" t="s">
        <v>254</v>
      </c>
      <c r="HQ1" s="1" t="s">
        <v>255</v>
      </c>
      <c r="HR1" s="1" t="s">
        <v>256</v>
      </c>
      <c r="HS1" s="1" t="s">
        <v>257</v>
      </c>
      <c r="HT1" s="1" t="s">
        <v>258</v>
      </c>
      <c r="HU1" s="1" t="s">
        <v>259</v>
      </c>
      <c r="HV1" s="1" t="s">
        <v>260</v>
      </c>
      <c r="HW1" s="1" t="s">
        <v>261</v>
      </c>
      <c r="HX1" s="1" t="s">
        <v>262</v>
      </c>
      <c r="HY1" s="1" t="s">
        <v>263</v>
      </c>
      <c r="HZ1" s="1" t="s">
        <v>264</v>
      </c>
      <c r="IA1" s="1" t="s">
        <v>265</v>
      </c>
      <c r="IB1" s="1" t="s">
        <v>266</v>
      </c>
      <c r="IC1" s="1" t="s">
        <v>267</v>
      </c>
      <c r="ID1" s="1" t="s">
        <v>268</v>
      </c>
      <c r="IE1" s="1" t="s">
        <v>269</v>
      </c>
      <c r="IF1" s="1" t="s">
        <v>270</v>
      </c>
      <c r="IG1" s="1" t="s">
        <v>271</v>
      </c>
      <c r="IH1" s="1" t="s">
        <v>272</v>
      </c>
      <c r="II1" s="1" t="s">
        <v>273</v>
      </c>
      <c r="IJ1" s="1" t="s">
        <v>274</v>
      </c>
      <c r="IK1" s="1" t="s">
        <v>275</v>
      </c>
      <c r="IL1" s="1" t="s">
        <v>276</v>
      </c>
      <c r="IM1" s="1" t="s">
        <v>277</v>
      </c>
      <c r="IN1" s="1" t="s">
        <v>278</v>
      </c>
      <c r="IO1" s="1" t="s">
        <v>279</v>
      </c>
      <c r="IP1" s="1" t="s">
        <v>280</v>
      </c>
      <c r="IQ1" s="1" t="s">
        <v>281</v>
      </c>
      <c r="IR1" s="1" t="s">
        <v>282</v>
      </c>
      <c r="IS1" s="1" t="s">
        <v>283</v>
      </c>
      <c r="IT1" s="1" t="s">
        <v>284</v>
      </c>
      <c r="IU1" s="1" t="s">
        <v>285</v>
      </c>
      <c r="IV1" s="1" t="s">
        <v>286</v>
      </c>
      <c r="IW1" s="1" t="s">
        <v>287</v>
      </c>
      <c r="IX1" s="1" t="s">
        <v>288</v>
      </c>
      <c r="IY1" s="1" t="s">
        <v>289</v>
      </c>
      <c r="IZ1" s="1" t="s">
        <v>290</v>
      </c>
      <c r="JA1" s="1" t="s">
        <v>291</v>
      </c>
      <c r="JB1" s="1" t="s">
        <v>292</v>
      </c>
      <c r="JC1" s="1" t="s">
        <v>293</v>
      </c>
      <c r="JD1" s="1" t="s">
        <v>294</v>
      </c>
      <c r="JE1" s="1" t="s">
        <v>295</v>
      </c>
      <c r="JF1" s="1" t="s">
        <v>296</v>
      </c>
      <c r="JG1" s="1" t="s">
        <v>297</v>
      </c>
      <c r="JH1" s="1" t="s">
        <v>298</v>
      </c>
      <c r="JI1" s="1" t="s">
        <v>299</v>
      </c>
      <c r="JJ1" s="1" t="s">
        <v>300</v>
      </c>
      <c r="JK1" s="1" t="s">
        <v>301</v>
      </c>
      <c r="JL1" s="1" t="s">
        <v>302</v>
      </c>
      <c r="JM1" s="1" t="s">
        <v>303</v>
      </c>
      <c r="JN1" s="1" t="s">
        <v>304</v>
      </c>
      <c r="JO1" s="1" t="s">
        <v>305</v>
      </c>
      <c r="JP1" s="1" t="s">
        <v>306</v>
      </c>
      <c r="JQ1" s="1" t="s">
        <v>307</v>
      </c>
      <c r="JR1" s="1" t="s">
        <v>308</v>
      </c>
      <c r="JS1" s="1" t="s">
        <v>309</v>
      </c>
      <c r="JT1" s="1" t="s">
        <v>310</v>
      </c>
      <c r="JU1" s="1" t="s">
        <v>311</v>
      </c>
      <c r="JV1" s="1" t="s">
        <v>312</v>
      </c>
      <c r="JW1" s="1" t="s">
        <v>313</v>
      </c>
      <c r="JX1" s="1" t="s">
        <v>314</v>
      </c>
      <c r="JY1" s="1" t="s">
        <v>315</v>
      </c>
      <c r="JZ1" s="1" t="s">
        <v>316</v>
      </c>
      <c r="KA1" s="1" t="s">
        <v>317</v>
      </c>
      <c r="KB1" s="1" t="s">
        <v>318</v>
      </c>
      <c r="KC1" s="1" t="s">
        <v>319</v>
      </c>
      <c r="KD1" s="1" t="s">
        <v>320</v>
      </c>
      <c r="KE1" s="1" t="s">
        <v>321</v>
      </c>
      <c r="KF1" s="1" t="s">
        <v>322</v>
      </c>
      <c r="KG1" s="1" t="s">
        <v>323</v>
      </c>
      <c r="KH1" s="1" t="s">
        <v>324</v>
      </c>
      <c r="KI1" s="1" t="s">
        <v>325</v>
      </c>
      <c r="KJ1" s="1" t="s">
        <v>326</v>
      </c>
      <c r="KK1" s="1" t="s">
        <v>327</v>
      </c>
      <c r="KL1" s="1" t="s">
        <v>328</v>
      </c>
      <c r="KM1" s="1" t="s">
        <v>329</v>
      </c>
      <c r="KN1" s="1" t="s">
        <v>330</v>
      </c>
      <c r="KO1" s="1" t="s">
        <v>331</v>
      </c>
      <c r="KP1" s="1" t="s">
        <v>332</v>
      </c>
      <c r="KQ1" s="1" t="s">
        <v>333</v>
      </c>
      <c r="KR1" s="1" t="s">
        <v>334</v>
      </c>
      <c r="KS1" s="1" t="s">
        <v>335</v>
      </c>
      <c r="KT1" s="1" t="s">
        <v>336</v>
      </c>
      <c r="KU1" s="1" t="s">
        <v>337</v>
      </c>
      <c r="KV1" s="1" t="s">
        <v>338</v>
      </c>
      <c r="KW1" s="1" t="s">
        <v>339</v>
      </c>
      <c r="KX1" s="1" t="s">
        <v>340</v>
      </c>
      <c r="KY1" s="1" t="s">
        <v>341</v>
      </c>
      <c r="KZ1" s="1" t="s">
        <v>342</v>
      </c>
      <c r="LA1" s="1" t="s">
        <v>343</v>
      </c>
      <c r="LB1" s="1" t="s">
        <v>344</v>
      </c>
      <c r="LC1" s="1" t="s">
        <v>345</v>
      </c>
      <c r="LD1" s="1" t="s">
        <v>346</v>
      </c>
      <c r="LE1" s="1" t="s">
        <v>347</v>
      </c>
      <c r="LF1" s="1" t="s">
        <v>348</v>
      </c>
      <c r="LG1" s="1" t="s">
        <v>349</v>
      </c>
      <c r="LH1" s="1" t="s">
        <v>350</v>
      </c>
      <c r="LI1" s="1" t="s">
        <v>351</v>
      </c>
      <c r="LJ1" s="1" t="s">
        <v>352</v>
      </c>
      <c r="LK1" s="1" t="s">
        <v>353</v>
      </c>
      <c r="LL1" s="1" t="s">
        <v>354</v>
      </c>
      <c r="LM1" s="1" t="s">
        <v>355</v>
      </c>
      <c r="LN1" s="1" t="s">
        <v>356</v>
      </c>
      <c r="LO1" s="1" t="s">
        <v>357</v>
      </c>
      <c r="LP1" s="1" t="s">
        <v>358</v>
      </c>
      <c r="LQ1" s="1" t="s">
        <v>359</v>
      </c>
      <c r="LR1" s="1" t="s">
        <v>360</v>
      </c>
      <c r="LS1" s="1" t="s">
        <v>361</v>
      </c>
      <c r="LT1" s="1" t="s">
        <v>362</v>
      </c>
      <c r="LU1" s="1" t="s">
        <v>363</v>
      </c>
      <c r="LV1" s="1" t="s">
        <v>364</v>
      </c>
      <c r="LW1" s="1" t="s">
        <v>365</v>
      </c>
      <c r="LX1" s="1" t="s">
        <v>366</v>
      </c>
      <c r="LY1" s="1" t="s">
        <v>367</v>
      </c>
      <c r="LZ1" s="1" t="s">
        <v>368</v>
      </c>
      <c r="MA1" s="1" t="s">
        <v>369</v>
      </c>
      <c r="MB1" s="1" t="s">
        <v>370</v>
      </c>
      <c r="MC1" s="1" t="s">
        <v>371</v>
      </c>
      <c r="MD1" s="1" t="s">
        <v>372</v>
      </c>
      <c r="ME1" s="1" t="s">
        <v>373</v>
      </c>
      <c r="MF1" s="1" t="s">
        <v>374</v>
      </c>
      <c r="MG1" s="1" t="s">
        <v>375</v>
      </c>
      <c r="MH1" s="1" t="s">
        <v>376</v>
      </c>
      <c r="MI1" s="1" t="s">
        <v>377</v>
      </c>
      <c r="MJ1" s="1" t="s">
        <v>378</v>
      </c>
      <c r="MK1" s="1" t="s">
        <v>379</v>
      </c>
      <c r="ML1" s="1" t="s">
        <v>380</v>
      </c>
      <c r="MM1" s="1" t="s">
        <v>381</v>
      </c>
      <c r="MN1" s="1" t="s">
        <v>382</v>
      </c>
      <c r="MO1" s="1" t="s">
        <v>383</v>
      </c>
      <c r="MP1" s="1" t="s">
        <v>384</v>
      </c>
      <c r="MQ1" s="1" t="s">
        <v>385</v>
      </c>
      <c r="MR1" s="1" t="s">
        <v>386</v>
      </c>
      <c r="MS1" s="1" t="s">
        <v>387</v>
      </c>
      <c r="MT1" s="1" t="s">
        <v>388</v>
      </c>
      <c r="MU1" s="1" t="s">
        <v>389</v>
      </c>
      <c r="MV1" s="1" t="s">
        <v>390</v>
      </c>
      <c r="MW1" s="1" t="s">
        <v>391</v>
      </c>
      <c r="MX1" s="1" t="s">
        <v>392</v>
      </c>
      <c r="MY1" s="1" t="s">
        <v>393</v>
      </c>
      <c r="MZ1" s="1" t="s">
        <v>394</v>
      </c>
      <c r="NA1" s="1" t="s">
        <v>395</v>
      </c>
      <c r="NB1" s="1" t="s">
        <v>396</v>
      </c>
      <c r="NC1" s="1" t="s">
        <v>397</v>
      </c>
      <c r="ND1" s="1" t="s">
        <v>398</v>
      </c>
      <c r="NE1" s="1" t="s">
        <v>399</v>
      </c>
      <c r="NF1" s="1" t="s">
        <v>400</v>
      </c>
      <c r="NG1" s="1" t="s">
        <v>401</v>
      </c>
      <c r="NH1" s="1" t="s">
        <v>402</v>
      </c>
      <c r="NI1" s="1" t="s">
        <v>403</v>
      </c>
      <c r="NJ1" s="1" t="s">
        <v>404</v>
      </c>
      <c r="NK1" s="1" t="s">
        <v>405</v>
      </c>
      <c r="NL1" s="1" t="s">
        <v>406</v>
      </c>
      <c r="NM1" s="1" t="s">
        <v>407</v>
      </c>
      <c r="NN1" s="1" t="s">
        <v>408</v>
      </c>
      <c r="NO1" s="1" t="s">
        <v>409</v>
      </c>
      <c r="NP1" s="1" t="s">
        <v>410</v>
      </c>
      <c r="NQ1" s="1" t="s">
        <v>411</v>
      </c>
      <c r="NR1" s="1" t="s">
        <v>412</v>
      </c>
      <c r="NS1" s="1" t="s">
        <v>413</v>
      </c>
      <c r="NT1" s="1" t="s">
        <v>414</v>
      </c>
      <c r="NU1" s="1" t="s">
        <v>415</v>
      </c>
      <c r="NV1" s="1" t="s">
        <v>416</v>
      </c>
      <c r="NW1" s="1" t="s">
        <v>417</v>
      </c>
      <c r="NX1" s="1" t="s">
        <v>418</v>
      </c>
      <c r="NY1" s="1" t="s">
        <v>419</v>
      </c>
      <c r="NZ1" s="1" t="s">
        <v>420</v>
      </c>
      <c r="OA1" s="1" t="s">
        <v>421</v>
      </c>
      <c r="OB1" s="1" t="s">
        <v>422</v>
      </c>
      <c r="OC1" s="1" t="s">
        <v>423</v>
      </c>
      <c r="OD1" s="1" t="s">
        <v>424</v>
      </c>
      <c r="OE1" s="1" t="s">
        <v>425</v>
      </c>
      <c r="OF1" s="1" t="s">
        <v>426</v>
      </c>
      <c r="OG1" s="1" t="s">
        <v>427</v>
      </c>
      <c r="OH1" s="1" t="s">
        <v>428</v>
      </c>
      <c r="OI1" s="1" t="s">
        <v>429</v>
      </c>
      <c r="OJ1" s="1" t="s">
        <v>430</v>
      </c>
      <c r="OK1" s="1" t="s">
        <v>431</v>
      </c>
      <c r="OL1" s="1" t="s">
        <v>432</v>
      </c>
      <c r="OM1" s="1" t="s">
        <v>433</v>
      </c>
      <c r="ON1" s="1" t="s">
        <v>434</v>
      </c>
      <c r="OO1" s="1" t="s">
        <v>435</v>
      </c>
      <c r="OP1" s="1" t="s">
        <v>436</v>
      </c>
      <c r="OQ1" s="1" t="s">
        <v>437</v>
      </c>
      <c r="OR1" s="1" t="s">
        <v>438</v>
      </c>
      <c r="OS1" s="1" t="s">
        <v>439</v>
      </c>
      <c r="OT1" s="1" t="s">
        <v>440</v>
      </c>
      <c r="OU1" s="1" t="s">
        <v>441</v>
      </c>
      <c r="OV1" s="1" t="s">
        <v>442</v>
      </c>
      <c r="OW1" s="1" t="s">
        <v>443</v>
      </c>
      <c r="OX1" s="1" t="s">
        <v>444</v>
      </c>
      <c r="OY1" s="1" t="s">
        <v>445</v>
      </c>
      <c r="OZ1" s="1" t="s">
        <v>446</v>
      </c>
      <c r="PA1" s="1" t="s">
        <v>447</v>
      </c>
      <c r="PB1" s="1" t="s">
        <v>448</v>
      </c>
      <c r="PC1" s="1" t="s">
        <v>449</v>
      </c>
      <c r="PD1" s="1" t="s">
        <v>450</v>
      </c>
      <c r="PE1" s="1" t="s">
        <v>451</v>
      </c>
      <c r="PF1" s="1" t="s">
        <v>452</v>
      </c>
      <c r="PG1" s="1" t="s">
        <v>453</v>
      </c>
      <c r="PH1" s="1" t="s">
        <v>454</v>
      </c>
      <c r="PI1" s="1" t="s">
        <v>455</v>
      </c>
      <c r="PJ1" s="1" t="s">
        <v>456</v>
      </c>
      <c r="PK1" s="1" t="s">
        <v>457</v>
      </c>
      <c r="PL1" s="1" t="s">
        <v>458</v>
      </c>
      <c r="PM1" s="1" t="s">
        <v>459</v>
      </c>
      <c r="PN1" s="1" t="s">
        <v>460</v>
      </c>
      <c r="PO1" s="1" t="s">
        <v>461</v>
      </c>
      <c r="PP1" s="1" t="s">
        <v>462</v>
      </c>
      <c r="PQ1" s="1" t="s">
        <v>463</v>
      </c>
      <c r="PR1" s="1" t="s">
        <v>464</v>
      </c>
      <c r="PS1" s="1" t="s">
        <v>465</v>
      </c>
      <c r="PT1" s="1" t="s">
        <v>466</v>
      </c>
      <c r="PU1" s="1" t="s">
        <v>467</v>
      </c>
      <c r="PV1" s="1" t="s">
        <v>468</v>
      </c>
      <c r="PW1" s="1" t="s">
        <v>469</v>
      </c>
      <c r="PX1" s="1" t="s">
        <v>470</v>
      </c>
      <c r="PY1" s="1" t="s">
        <v>471</v>
      </c>
      <c r="PZ1" s="1" t="s">
        <v>472</v>
      </c>
      <c r="QA1" s="1" t="s">
        <v>473</v>
      </c>
      <c r="QB1" s="1" t="s">
        <v>474</v>
      </c>
      <c r="QC1" s="1" t="s">
        <v>475</v>
      </c>
      <c r="QD1" s="1" t="s">
        <v>476</v>
      </c>
      <c r="QE1" s="1" t="s">
        <v>477</v>
      </c>
      <c r="QF1" s="1" t="s">
        <v>478</v>
      </c>
      <c r="QG1" s="1" t="s">
        <v>479</v>
      </c>
      <c r="QH1" s="1" t="s">
        <v>480</v>
      </c>
      <c r="QI1" s="1" t="s">
        <v>481</v>
      </c>
      <c r="QJ1" s="1" t="s">
        <v>482</v>
      </c>
      <c r="QK1" s="1" t="s">
        <v>483</v>
      </c>
      <c r="QL1" s="1" t="s">
        <v>484</v>
      </c>
      <c r="QM1" s="1" t="s">
        <v>485</v>
      </c>
      <c r="QN1" s="1" t="s">
        <v>486</v>
      </c>
      <c r="QO1" s="1" t="s">
        <v>487</v>
      </c>
      <c r="QP1" s="1" t="s">
        <v>488</v>
      </c>
      <c r="QQ1" s="1" t="s">
        <v>489</v>
      </c>
      <c r="QR1" s="1" t="s">
        <v>490</v>
      </c>
      <c r="QS1" s="1" t="s">
        <v>491</v>
      </c>
      <c r="QT1" s="1" t="s">
        <v>492</v>
      </c>
      <c r="QU1" s="1" t="s">
        <v>493</v>
      </c>
      <c r="QV1" s="1" t="s">
        <v>494</v>
      </c>
      <c r="QW1" s="1" t="s">
        <v>495</v>
      </c>
      <c r="QX1" s="1" t="s">
        <v>496</v>
      </c>
      <c r="QY1" s="1" t="s">
        <v>497</v>
      </c>
      <c r="QZ1" s="1" t="s">
        <v>498</v>
      </c>
      <c r="RA1" s="1" t="s">
        <v>499</v>
      </c>
      <c r="RB1" s="1" t="s">
        <v>500</v>
      </c>
      <c r="RC1" s="1" t="s">
        <v>501</v>
      </c>
      <c r="RD1" s="1" t="s">
        <v>502</v>
      </c>
      <c r="RE1" s="1" t="s">
        <v>503</v>
      </c>
      <c r="RF1" s="1" t="s">
        <v>504</v>
      </c>
      <c r="RG1" s="1" t="s">
        <v>505</v>
      </c>
      <c r="RH1" s="1" t="s">
        <v>506</v>
      </c>
      <c r="RI1" s="1" t="s">
        <v>507</v>
      </c>
      <c r="RJ1" s="1" t="s">
        <v>508</v>
      </c>
      <c r="RK1" s="1" t="s">
        <v>509</v>
      </c>
      <c r="RL1" s="1" t="s">
        <v>510</v>
      </c>
      <c r="RM1" s="1" t="s">
        <v>511</v>
      </c>
      <c r="RN1" s="1" t="s">
        <v>512</v>
      </c>
      <c r="RO1" s="1" t="s">
        <v>513</v>
      </c>
      <c r="RP1" s="1" t="s">
        <v>514</v>
      </c>
      <c r="RQ1" s="1" t="s">
        <v>515</v>
      </c>
      <c r="RR1" s="1" t="s">
        <v>516</v>
      </c>
      <c r="RS1" s="1" t="s">
        <v>517</v>
      </c>
      <c r="RT1" s="1" t="s">
        <v>518</v>
      </c>
      <c r="RU1" s="1" t="s">
        <v>519</v>
      </c>
      <c r="RV1" s="1" t="s">
        <v>520</v>
      </c>
      <c r="RW1" s="1" t="s">
        <v>521</v>
      </c>
      <c r="RX1" s="1" t="s">
        <v>522</v>
      </c>
      <c r="RY1" s="1" t="s">
        <v>523</v>
      </c>
      <c r="RZ1" s="1" t="s">
        <v>524</v>
      </c>
      <c r="SA1" s="1" t="s">
        <v>525</v>
      </c>
      <c r="SB1" s="1" t="s">
        <v>526</v>
      </c>
      <c r="SC1" s="1" t="s">
        <v>527</v>
      </c>
      <c r="SD1" s="1" t="s">
        <v>528</v>
      </c>
      <c r="SE1" s="1" t="s">
        <v>529</v>
      </c>
      <c r="SF1" s="1" t="s">
        <v>530</v>
      </c>
      <c r="SG1" s="1" t="s">
        <v>531</v>
      </c>
      <c r="SH1" s="1" t="s">
        <v>532</v>
      </c>
      <c r="SI1" s="1" t="s">
        <v>533</v>
      </c>
      <c r="SJ1" s="1" t="s">
        <v>534</v>
      </c>
      <c r="SK1" s="1" t="s">
        <v>535</v>
      </c>
      <c r="SL1" s="1" t="s">
        <v>536</v>
      </c>
      <c r="SM1" s="1" t="s">
        <v>537</v>
      </c>
      <c r="SN1" s="1" t="s">
        <v>538</v>
      </c>
      <c r="SO1" s="1" t="s">
        <v>539</v>
      </c>
      <c r="SP1" s="1" t="s">
        <v>540</v>
      </c>
      <c r="SQ1" s="1" t="s">
        <v>541</v>
      </c>
      <c r="SR1" s="1" t="s">
        <v>542</v>
      </c>
      <c r="SS1" s="1" t="s">
        <v>543</v>
      </c>
      <c r="ST1" s="1" t="s">
        <v>544</v>
      </c>
      <c r="SU1" s="1" t="s">
        <v>545</v>
      </c>
      <c r="SV1" s="1" t="s">
        <v>546</v>
      </c>
      <c r="SW1" s="1" t="s">
        <v>547</v>
      </c>
      <c r="SX1" s="1" t="s">
        <v>548</v>
      </c>
      <c r="SY1" s="1" t="s">
        <v>549</v>
      </c>
      <c r="SZ1" s="1" t="s">
        <v>550</v>
      </c>
      <c r="TA1" s="1" t="s">
        <v>551</v>
      </c>
      <c r="TB1" s="1" t="s">
        <v>552</v>
      </c>
      <c r="TC1" s="1" t="s">
        <v>553</v>
      </c>
      <c r="TD1" s="1" t="s">
        <v>554</v>
      </c>
      <c r="TE1" s="1" t="s">
        <v>555</v>
      </c>
      <c r="TF1" s="1" t="s">
        <v>556</v>
      </c>
      <c r="TG1" s="1" t="s">
        <v>557</v>
      </c>
      <c r="TH1" s="1" t="s">
        <v>558</v>
      </c>
      <c r="TI1" s="1" t="s">
        <v>559</v>
      </c>
      <c r="TJ1" s="1" t="s">
        <v>560</v>
      </c>
      <c r="TK1" s="1" t="s">
        <v>561</v>
      </c>
      <c r="TL1" s="1" t="s">
        <v>562</v>
      </c>
      <c r="TM1" s="1" t="s">
        <v>563</v>
      </c>
      <c r="TN1" s="1" t="s">
        <v>564</v>
      </c>
      <c r="TO1" s="1" t="s">
        <v>565</v>
      </c>
      <c r="TP1" s="1" t="s">
        <v>566</v>
      </c>
      <c r="TQ1" s="1" t="s">
        <v>567</v>
      </c>
      <c r="TR1" s="1" t="s">
        <v>568</v>
      </c>
      <c r="TS1" s="1" t="s">
        <v>569</v>
      </c>
      <c r="TT1" s="1" t="s">
        <v>570</v>
      </c>
      <c r="TU1" s="1" t="s">
        <v>571</v>
      </c>
      <c r="TV1" s="1" t="s">
        <v>572</v>
      </c>
      <c r="TW1" s="1" t="s">
        <v>573</v>
      </c>
      <c r="TX1" s="1" t="s">
        <v>574</v>
      </c>
      <c r="TY1" s="1" t="s">
        <v>575</v>
      </c>
      <c r="TZ1" s="1" t="s">
        <v>576</v>
      </c>
      <c r="UA1" s="1" t="s">
        <v>577</v>
      </c>
      <c r="UB1" s="1" t="s">
        <v>578</v>
      </c>
      <c r="UC1" s="1" t="s">
        <v>579</v>
      </c>
      <c r="UD1" s="1" t="s">
        <v>580</v>
      </c>
      <c r="UE1" s="1" t="s">
        <v>581</v>
      </c>
      <c r="UF1" s="1" t="s">
        <v>582</v>
      </c>
      <c r="UG1" s="1" t="s">
        <v>583</v>
      </c>
      <c r="UH1" s="1" t="s">
        <v>584</v>
      </c>
      <c r="UI1" s="1" t="s">
        <v>585</v>
      </c>
      <c r="UJ1" s="1" t="s">
        <v>586</v>
      </c>
      <c r="UK1" s="1" t="s">
        <v>587</v>
      </c>
      <c r="UL1" s="1" t="s">
        <v>588</v>
      </c>
      <c r="UM1" s="1" t="s">
        <v>589</v>
      </c>
      <c r="UN1" s="1" t="s">
        <v>590</v>
      </c>
      <c r="UO1" s="1" t="s">
        <v>591</v>
      </c>
      <c r="UP1" s="1" t="s">
        <v>592</v>
      </c>
      <c r="UQ1" s="1" t="s">
        <v>593</v>
      </c>
      <c r="UR1" s="1" t="s">
        <v>594</v>
      </c>
      <c r="US1" s="1" t="s">
        <v>595</v>
      </c>
      <c r="UT1" s="1" t="s">
        <v>596</v>
      </c>
      <c r="UU1" s="1" t="s">
        <v>597</v>
      </c>
      <c r="UV1" s="1" t="s">
        <v>598</v>
      </c>
      <c r="UW1" s="1" t="s">
        <v>599</v>
      </c>
      <c r="UX1" s="1" t="s">
        <v>600</v>
      </c>
      <c r="UY1" s="1" t="s">
        <v>601</v>
      </c>
      <c r="UZ1" s="1" t="s">
        <v>602</v>
      </c>
      <c r="VA1" s="1" t="s">
        <v>603</v>
      </c>
      <c r="VB1" s="1" t="s">
        <v>604</v>
      </c>
      <c r="VC1" s="1" t="s">
        <v>605</v>
      </c>
      <c r="VD1" s="1" t="s">
        <v>606</v>
      </c>
      <c r="VE1" s="1" t="s">
        <v>607</v>
      </c>
      <c r="VF1" s="1" t="s">
        <v>608</v>
      </c>
      <c r="VG1" s="1" t="s">
        <v>609</v>
      </c>
      <c r="VH1" s="1" t="s">
        <v>610</v>
      </c>
      <c r="VI1" s="1" t="s">
        <v>611</v>
      </c>
      <c r="VJ1" s="1" t="s">
        <v>612</v>
      </c>
      <c r="VK1" s="1" t="s">
        <v>613</v>
      </c>
      <c r="VL1" s="1" t="s">
        <v>614</v>
      </c>
      <c r="VM1" s="1" t="s">
        <v>615</v>
      </c>
      <c r="VN1" s="1" t="s">
        <v>616</v>
      </c>
      <c r="VO1" s="1" t="s">
        <v>617</v>
      </c>
      <c r="VP1" s="1" t="s">
        <v>618</v>
      </c>
      <c r="VQ1" s="1" t="s">
        <v>619</v>
      </c>
      <c r="VR1" s="1" t="s">
        <v>620</v>
      </c>
      <c r="VS1" s="1" t="s">
        <v>621</v>
      </c>
      <c r="VT1" s="1" t="s">
        <v>622</v>
      </c>
      <c r="VU1" s="1" t="s">
        <v>623</v>
      </c>
      <c r="VV1" s="1" t="s">
        <v>624</v>
      </c>
      <c r="VW1" s="1" t="s">
        <v>625</v>
      </c>
      <c r="VX1" s="1" t="s">
        <v>626</v>
      </c>
      <c r="VY1" s="1" t="s">
        <v>627</v>
      </c>
      <c r="VZ1" s="1" t="s">
        <v>628</v>
      </c>
      <c r="WA1" s="1" t="s">
        <v>629</v>
      </c>
      <c r="WB1" s="1" t="s">
        <v>630</v>
      </c>
      <c r="WC1" s="1" t="s">
        <v>631</v>
      </c>
      <c r="WD1" s="1" t="s">
        <v>632</v>
      </c>
      <c r="WE1" s="1" t="s">
        <v>633</v>
      </c>
      <c r="WF1" s="1" t="s">
        <v>634</v>
      </c>
      <c r="WG1" s="1" t="s">
        <v>635</v>
      </c>
      <c r="WH1" s="1" t="s">
        <v>636</v>
      </c>
      <c r="WI1" s="1" t="s">
        <v>637</v>
      </c>
      <c r="WJ1" s="1" t="s">
        <v>638</v>
      </c>
      <c r="WK1" s="1" t="s">
        <v>639</v>
      </c>
      <c r="WL1" s="1" t="s">
        <v>640</v>
      </c>
      <c r="WM1" s="1" t="s">
        <v>641</v>
      </c>
      <c r="WN1" s="1" t="s">
        <v>642</v>
      </c>
      <c r="WO1" s="1" t="s">
        <v>643</v>
      </c>
      <c r="WP1" s="1" t="s">
        <v>644</v>
      </c>
      <c r="WQ1" s="1" t="s">
        <v>645</v>
      </c>
      <c r="WR1" s="1" t="s">
        <v>646</v>
      </c>
      <c r="WS1" s="1" t="s">
        <v>647</v>
      </c>
      <c r="WT1" s="1" t="s">
        <v>648</v>
      </c>
      <c r="WU1" s="1" t="s">
        <v>649</v>
      </c>
      <c r="WV1" s="1" t="s">
        <v>650</v>
      </c>
      <c r="WW1" s="1" t="s">
        <v>651</v>
      </c>
      <c r="WX1" s="1" t="s">
        <v>652</v>
      </c>
      <c r="WY1" s="1" t="s">
        <v>653</v>
      </c>
      <c r="WZ1" s="1" t="s">
        <v>654</v>
      </c>
      <c r="XA1" s="1" t="s">
        <v>655</v>
      </c>
      <c r="XB1" s="1" t="s">
        <v>656</v>
      </c>
      <c r="XC1" s="1" t="s">
        <v>657</v>
      </c>
      <c r="XD1" s="1" t="s">
        <v>658</v>
      </c>
      <c r="XE1" s="1" t="s">
        <v>659</v>
      </c>
      <c r="XF1" s="1" t="s">
        <v>660</v>
      </c>
      <c r="XG1" s="1" t="s">
        <v>661</v>
      </c>
      <c r="XH1" s="1" t="s">
        <v>662</v>
      </c>
      <c r="XI1" s="1" t="s">
        <v>663</v>
      </c>
      <c r="XJ1" s="1" t="s">
        <v>664</v>
      </c>
      <c r="XK1" s="1" t="s">
        <v>665</v>
      </c>
      <c r="XL1" s="1" t="s">
        <v>666</v>
      </c>
      <c r="XM1" s="1" t="s">
        <v>667</v>
      </c>
      <c r="XN1" s="1" t="s">
        <v>668</v>
      </c>
      <c r="XO1" s="1" t="s">
        <v>669</v>
      </c>
      <c r="XP1" s="1" t="s">
        <v>670</v>
      </c>
      <c r="XQ1" s="1" t="s">
        <v>671</v>
      </c>
      <c r="XR1" s="1" t="s">
        <v>672</v>
      </c>
      <c r="XS1" s="1" t="s">
        <v>673</v>
      </c>
      <c r="XT1" s="1" t="s">
        <v>674</v>
      </c>
      <c r="XU1" s="1" t="s">
        <v>675</v>
      </c>
      <c r="XV1" s="1" t="s">
        <v>676</v>
      </c>
      <c r="XW1" s="1" t="s">
        <v>677</v>
      </c>
      <c r="XX1" s="1" t="s">
        <v>678</v>
      </c>
      <c r="XY1" s="1" t="s">
        <v>679</v>
      </c>
      <c r="XZ1" s="1" t="s">
        <v>680</v>
      </c>
      <c r="YA1" s="1" t="s">
        <v>681</v>
      </c>
      <c r="YB1" s="1" t="s">
        <v>682</v>
      </c>
      <c r="YC1" s="1" t="s">
        <v>683</v>
      </c>
      <c r="YD1" s="1" t="s">
        <v>684</v>
      </c>
      <c r="YE1" s="1" t="s">
        <v>685</v>
      </c>
      <c r="YF1" s="1" t="s">
        <v>686</v>
      </c>
      <c r="YG1" s="1" t="s">
        <v>687</v>
      </c>
      <c r="YH1" s="1" t="s">
        <v>688</v>
      </c>
      <c r="YI1" s="1" t="s">
        <v>689</v>
      </c>
      <c r="YJ1" s="1" t="s">
        <v>690</v>
      </c>
      <c r="YK1" s="1" t="s">
        <v>691</v>
      </c>
      <c r="YL1" s="1" t="s">
        <v>692</v>
      </c>
      <c r="YM1" s="1" t="s">
        <v>693</v>
      </c>
      <c r="YN1" s="1" t="s">
        <v>694</v>
      </c>
      <c r="YO1" s="1" t="s">
        <v>695</v>
      </c>
      <c r="YP1" s="1" t="s">
        <v>696</v>
      </c>
      <c r="YQ1" s="1" t="s">
        <v>697</v>
      </c>
      <c r="YR1" s="1" t="s">
        <v>698</v>
      </c>
      <c r="YS1" s="1" t="s">
        <v>699</v>
      </c>
      <c r="YT1" s="1" t="s">
        <v>700</v>
      </c>
      <c r="YU1" s="1" t="s">
        <v>701</v>
      </c>
      <c r="YV1" s="1" t="s">
        <v>702</v>
      </c>
      <c r="YW1" s="1" t="s">
        <v>703</v>
      </c>
      <c r="YX1" s="1" t="s">
        <v>704</v>
      </c>
      <c r="YY1" s="1" t="s">
        <v>705</v>
      </c>
      <c r="YZ1" s="1" t="s">
        <v>706</v>
      </c>
      <c r="ZA1" s="1" t="s">
        <v>707</v>
      </c>
      <c r="ZB1" s="1" t="s">
        <v>708</v>
      </c>
      <c r="ZC1" s="1" t="s">
        <v>709</v>
      </c>
      <c r="ZD1" s="1" t="s">
        <v>710</v>
      </c>
      <c r="ZE1" s="1" t="s">
        <v>711</v>
      </c>
      <c r="ZF1" s="1" t="s">
        <v>712</v>
      </c>
      <c r="ZG1" s="1" t="s">
        <v>713</v>
      </c>
      <c r="ZH1" s="1" t="s">
        <v>714</v>
      </c>
      <c r="ZI1" s="1" t="s">
        <v>715</v>
      </c>
      <c r="ZJ1" s="1" t="s">
        <v>716</v>
      </c>
      <c r="ZK1" s="1" t="s">
        <v>717</v>
      </c>
      <c r="ZL1" s="1" t="s">
        <v>718</v>
      </c>
      <c r="ZM1" s="1" t="s">
        <v>719</v>
      </c>
      <c r="ZN1" s="1" t="s">
        <v>720</v>
      </c>
      <c r="ZO1" s="1" t="s">
        <v>721</v>
      </c>
      <c r="ZP1" s="1" t="s">
        <v>722</v>
      </c>
      <c r="ZQ1" s="1" t="s">
        <v>723</v>
      </c>
      <c r="ZR1" s="1" t="s">
        <v>724</v>
      </c>
      <c r="ZS1" s="1" t="s">
        <v>725</v>
      </c>
      <c r="ZT1" s="1" t="s">
        <v>726</v>
      </c>
      <c r="ZU1" s="1" t="s">
        <v>727</v>
      </c>
      <c r="ZV1" s="1" t="s">
        <v>728</v>
      </c>
      <c r="ZW1" s="1" t="s">
        <v>729</v>
      </c>
      <c r="ZX1" s="1" t="s">
        <v>730</v>
      </c>
      <c r="ZY1" s="1" t="s">
        <v>731</v>
      </c>
      <c r="ZZ1" s="1" t="s">
        <v>732</v>
      </c>
      <c r="AAA1" s="1" t="s">
        <v>733</v>
      </c>
      <c r="AAB1" s="1" t="s">
        <v>734</v>
      </c>
      <c r="AAC1" s="1" t="s">
        <v>735</v>
      </c>
      <c r="AAD1" s="1" t="s">
        <v>736</v>
      </c>
      <c r="AAE1" s="1" t="s">
        <v>737</v>
      </c>
      <c r="AAF1" s="1" t="s">
        <v>738</v>
      </c>
      <c r="AAG1" s="1" t="s">
        <v>739</v>
      </c>
      <c r="AAH1" s="1" t="s">
        <v>740</v>
      </c>
      <c r="AAI1" s="1" t="s">
        <v>741</v>
      </c>
      <c r="AAJ1" s="1" t="s">
        <v>742</v>
      </c>
      <c r="AAK1" s="1" t="s">
        <v>743</v>
      </c>
      <c r="AAL1" s="1" t="s">
        <v>744</v>
      </c>
      <c r="AAM1" s="1" t="s">
        <v>745</v>
      </c>
      <c r="AAN1" s="1" t="s">
        <v>746</v>
      </c>
      <c r="AAO1" s="1" t="s">
        <v>747</v>
      </c>
      <c r="AAP1" s="1" t="s">
        <v>748</v>
      </c>
      <c r="AAQ1" s="1" t="s">
        <v>749</v>
      </c>
      <c r="AAR1" s="1" t="s">
        <v>750</v>
      </c>
      <c r="AAS1" s="1" t="s">
        <v>751</v>
      </c>
      <c r="AAT1" s="1" t="s">
        <v>752</v>
      </c>
      <c r="AAU1" s="1" t="s">
        <v>753</v>
      </c>
      <c r="AAV1" s="1" t="s">
        <v>754</v>
      </c>
      <c r="AAW1" s="1" t="s">
        <v>755</v>
      </c>
      <c r="AAX1" s="1" t="s">
        <v>756</v>
      </c>
      <c r="AAY1" s="1" t="s">
        <v>757</v>
      </c>
      <c r="AAZ1" s="1" t="s">
        <v>758</v>
      </c>
      <c r="ABA1" s="1" t="s">
        <v>759</v>
      </c>
      <c r="ABB1" s="1" t="s">
        <v>760</v>
      </c>
      <c r="ABC1" s="1" t="s">
        <v>761</v>
      </c>
      <c r="ABD1" s="1" t="s">
        <v>762</v>
      </c>
      <c r="ABE1" s="1" t="s">
        <v>763</v>
      </c>
      <c r="ABF1" s="1" t="s">
        <v>764</v>
      </c>
      <c r="ABG1" s="1" t="s">
        <v>765</v>
      </c>
      <c r="ABH1" s="1" t="s">
        <v>766</v>
      </c>
      <c r="ABI1" s="1" t="s">
        <v>767</v>
      </c>
      <c r="ABJ1" s="1" t="s">
        <v>768</v>
      </c>
      <c r="ABK1" s="1" t="s">
        <v>769</v>
      </c>
      <c r="ABL1" s="1" t="s">
        <v>770</v>
      </c>
      <c r="ABM1" s="1" t="s">
        <v>771</v>
      </c>
      <c r="ABN1" s="1" t="s">
        <v>772</v>
      </c>
      <c r="ABO1" s="1" t="s">
        <v>773</v>
      </c>
      <c r="ABP1" s="1" t="s">
        <v>774</v>
      </c>
      <c r="ABQ1" s="1" t="s">
        <v>775</v>
      </c>
      <c r="ABR1" s="1" t="s">
        <v>776</v>
      </c>
      <c r="ABS1" s="1" t="s">
        <v>777</v>
      </c>
      <c r="ABT1" s="1" t="s">
        <v>778</v>
      </c>
      <c r="ABU1" s="1" t="s">
        <v>779</v>
      </c>
      <c r="ABV1" s="1" t="s">
        <v>780</v>
      </c>
      <c r="ABW1" s="1" t="s">
        <v>781</v>
      </c>
      <c r="ABX1" s="1" t="s">
        <v>782</v>
      </c>
      <c r="ABY1" s="1" t="s">
        <v>783</v>
      </c>
      <c r="ABZ1" s="1" t="s">
        <v>784</v>
      </c>
      <c r="ACA1" s="1" t="s">
        <v>785</v>
      </c>
      <c r="ACB1" s="1" t="s">
        <v>786</v>
      </c>
      <c r="ACC1" s="1" t="s">
        <v>787</v>
      </c>
      <c r="ACD1" s="1" t="s">
        <v>788</v>
      </c>
      <c r="ACE1" s="1" t="s">
        <v>789</v>
      </c>
      <c r="ACF1" s="1" t="s">
        <v>790</v>
      </c>
      <c r="ACG1" s="1" t="s">
        <v>791</v>
      </c>
      <c r="ACH1" s="1" t="s">
        <v>792</v>
      </c>
      <c r="ACI1" s="1" t="s">
        <v>793</v>
      </c>
      <c r="ACJ1" s="1" t="s">
        <v>794</v>
      </c>
      <c r="ACK1" s="1" t="s">
        <v>795</v>
      </c>
      <c r="ACL1" s="1" t="s">
        <v>796</v>
      </c>
      <c r="ACM1" s="1" t="s">
        <v>797</v>
      </c>
      <c r="ACN1" s="1" t="s">
        <v>798</v>
      </c>
      <c r="ACO1" s="1" t="s">
        <v>799</v>
      </c>
      <c r="ACP1" s="1" t="s">
        <v>800</v>
      </c>
      <c r="ACQ1" s="1" t="s">
        <v>801</v>
      </c>
      <c r="ACR1" s="1" t="s">
        <v>802</v>
      </c>
    </row>
    <row r="2" spans="1:772" x14ac:dyDescent="0.3">
      <c r="A2" t="s">
        <v>5</v>
      </c>
      <c r="B2" t="s">
        <v>1</v>
      </c>
      <c r="C2">
        <v>89.69</v>
      </c>
      <c r="D2">
        <v>138.05000000000001</v>
      </c>
      <c r="E2">
        <v>177.5</v>
      </c>
      <c r="F2">
        <v>9.4700000000000006</v>
      </c>
      <c r="G2">
        <v>15909.86</v>
      </c>
      <c r="H2">
        <v>41.79</v>
      </c>
      <c r="I2">
        <v>2299.94</v>
      </c>
      <c r="J2">
        <v>20977.89</v>
      </c>
      <c r="K2">
        <v>1091.27</v>
      </c>
      <c r="L2">
        <v>9.86</v>
      </c>
      <c r="M2">
        <v>37.1</v>
      </c>
      <c r="N2">
        <v>1248.58</v>
      </c>
      <c r="O2">
        <v>440.92</v>
      </c>
      <c r="P2">
        <v>315.08</v>
      </c>
      <c r="Q2">
        <v>103.77</v>
      </c>
      <c r="R2">
        <v>1149.03</v>
      </c>
      <c r="S2">
        <v>9.4700000000000006</v>
      </c>
      <c r="T2">
        <v>239.01</v>
      </c>
      <c r="U2">
        <v>217.41</v>
      </c>
      <c r="V2">
        <v>75.13</v>
      </c>
      <c r="W2">
        <v>4900.87</v>
      </c>
      <c r="X2">
        <v>9.4700000000000006</v>
      </c>
      <c r="Y2">
        <v>1134.47</v>
      </c>
      <c r="Z2">
        <v>579.91</v>
      </c>
      <c r="AA2">
        <v>29.11</v>
      </c>
      <c r="AB2">
        <v>4471.21</v>
      </c>
      <c r="AC2">
        <v>505.72</v>
      </c>
      <c r="AD2">
        <v>301.45999999999998</v>
      </c>
      <c r="AE2">
        <v>306.16000000000003</v>
      </c>
      <c r="AF2">
        <v>25340.63</v>
      </c>
      <c r="AG2">
        <v>871.52</v>
      </c>
      <c r="AH2">
        <v>259.2</v>
      </c>
      <c r="AI2">
        <v>21.6</v>
      </c>
      <c r="AJ2">
        <v>493.05</v>
      </c>
      <c r="AK2">
        <v>293.95</v>
      </c>
      <c r="AL2">
        <v>197.22</v>
      </c>
      <c r="AM2">
        <v>108</v>
      </c>
      <c r="AN2">
        <v>16.43</v>
      </c>
      <c r="AO2">
        <v>1147.1500000000001</v>
      </c>
      <c r="AP2">
        <v>9.4700000000000006</v>
      </c>
      <c r="AQ2">
        <v>141.34</v>
      </c>
      <c r="AR2">
        <v>110.82</v>
      </c>
      <c r="AS2">
        <v>125.84</v>
      </c>
      <c r="AT2">
        <v>9.4700000000000006</v>
      </c>
      <c r="AU2">
        <v>28.17</v>
      </c>
      <c r="AV2">
        <v>784.65</v>
      </c>
      <c r="AW2">
        <v>257.32</v>
      </c>
      <c r="AX2">
        <v>7269.83</v>
      </c>
      <c r="AY2">
        <v>46.96</v>
      </c>
      <c r="AZ2">
        <v>61.51</v>
      </c>
      <c r="BA2">
        <v>429.18</v>
      </c>
      <c r="BB2">
        <v>788.87</v>
      </c>
      <c r="BC2">
        <v>55.41</v>
      </c>
      <c r="BD2">
        <v>11.74</v>
      </c>
      <c r="BE2">
        <v>69.5</v>
      </c>
      <c r="BF2">
        <v>47.9</v>
      </c>
      <c r="BG2">
        <v>12.68</v>
      </c>
      <c r="BH2">
        <v>19.72</v>
      </c>
      <c r="BI2">
        <v>9.4700000000000006</v>
      </c>
      <c r="BJ2">
        <v>9.4700000000000006</v>
      </c>
      <c r="BK2">
        <v>106.59</v>
      </c>
      <c r="BL2">
        <v>965.9</v>
      </c>
      <c r="BM2">
        <v>92.04</v>
      </c>
      <c r="BN2">
        <v>253.57</v>
      </c>
      <c r="BO2">
        <v>149.79</v>
      </c>
      <c r="BP2">
        <v>9.4700000000000006</v>
      </c>
      <c r="BQ2">
        <v>9.4700000000000006</v>
      </c>
      <c r="BR2">
        <v>76.069999999999993</v>
      </c>
      <c r="BS2">
        <v>9.4700000000000006</v>
      </c>
      <c r="BT2">
        <v>143.22</v>
      </c>
      <c r="BU2">
        <v>448.91</v>
      </c>
      <c r="BV2">
        <v>11.74</v>
      </c>
      <c r="BW2">
        <v>63.39</v>
      </c>
      <c r="BX2">
        <v>196.28</v>
      </c>
      <c r="BY2">
        <v>67.150000000000006</v>
      </c>
      <c r="BZ2">
        <v>531.08000000000004</v>
      </c>
      <c r="CA2">
        <v>9.4700000000000006</v>
      </c>
      <c r="CB2">
        <v>12.21</v>
      </c>
      <c r="CC2">
        <v>14.56</v>
      </c>
      <c r="CD2">
        <v>108</v>
      </c>
      <c r="CE2">
        <v>359.69</v>
      </c>
      <c r="CF2">
        <v>654.58000000000004</v>
      </c>
      <c r="CG2">
        <v>51.18</v>
      </c>
      <c r="CH2">
        <v>178.9</v>
      </c>
      <c r="CI2">
        <v>9.4700000000000006</v>
      </c>
      <c r="CJ2">
        <v>9.4700000000000006</v>
      </c>
      <c r="CK2">
        <v>11.27</v>
      </c>
      <c r="CL2">
        <v>12.68</v>
      </c>
      <c r="CM2">
        <v>84.52</v>
      </c>
      <c r="CN2">
        <v>15.5</v>
      </c>
      <c r="CO2">
        <v>9.4700000000000006</v>
      </c>
      <c r="CP2">
        <v>9.4700000000000006</v>
      </c>
      <c r="CQ2">
        <v>18.78</v>
      </c>
      <c r="CR2">
        <v>19.72</v>
      </c>
      <c r="CS2">
        <v>9.4700000000000006</v>
      </c>
      <c r="CT2">
        <v>9.4700000000000006</v>
      </c>
      <c r="CU2">
        <v>9.4700000000000006</v>
      </c>
      <c r="CV2">
        <v>30.99</v>
      </c>
      <c r="CW2">
        <v>1835.07</v>
      </c>
      <c r="CX2">
        <v>11.27</v>
      </c>
      <c r="CY2">
        <v>94.38</v>
      </c>
      <c r="CZ2">
        <v>46.49</v>
      </c>
      <c r="DA2">
        <v>9.4700000000000006</v>
      </c>
      <c r="DB2">
        <v>9.4700000000000006</v>
      </c>
      <c r="DC2">
        <v>10.33</v>
      </c>
      <c r="DD2">
        <v>9.4700000000000006</v>
      </c>
      <c r="DE2">
        <v>9.4700000000000006</v>
      </c>
      <c r="DF2">
        <v>116.92</v>
      </c>
      <c r="DG2">
        <v>9.4700000000000006</v>
      </c>
      <c r="DH2">
        <v>2888.77</v>
      </c>
      <c r="DI2">
        <v>9.4700000000000006</v>
      </c>
      <c r="DJ2">
        <v>9.4700000000000006</v>
      </c>
      <c r="DK2">
        <v>28.17</v>
      </c>
      <c r="DL2">
        <v>1525.15</v>
      </c>
      <c r="DM2">
        <v>16.43</v>
      </c>
      <c r="DN2">
        <v>9.4700000000000006</v>
      </c>
      <c r="DO2">
        <v>168.1</v>
      </c>
      <c r="DP2">
        <v>11.74</v>
      </c>
      <c r="DQ2">
        <v>1142.46</v>
      </c>
      <c r="DR2">
        <v>9.4700000000000006</v>
      </c>
      <c r="DS2">
        <v>9.4700000000000006</v>
      </c>
      <c r="DT2">
        <v>17.84</v>
      </c>
      <c r="DU2">
        <v>732.99</v>
      </c>
      <c r="DV2">
        <v>58.23</v>
      </c>
      <c r="DW2">
        <v>9.4700000000000006</v>
      </c>
      <c r="DX2">
        <v>31.46</v>
      </c>
      <c r="DY2">
        <v>35.69</v>
      </c>
      <c r="DZ2">
        <v>17.37</v>
      </c>
      <c r="EA2">
        <v>9.86</v>
      </c>
      <c r="EB2">
        <v>17.84</v>
      </c>
      <c r="EC2">
        <v>9.4700000000000006</v>
      </c>
      <c r="ED2">
        <v>60.57</v>
      </c>
      <c r="EE2">
        <v>9.4700000000000006</v>
      </c>
      <c r="EF2">
        <v>2495.75</v>
      </c>
      <c r="EG2">
        <v>356.4</v>
      </c>
      <c r="EH2">
        <v>23.48</v>
      </c>
      <c r="EI2">
        <v>9.4700000000000006</v>
      </c>
      <c r="EJ2">
        <v>884.66</v>
      </c>
      <c r="EK2">
        <v>808.12</v>
      </c>
      <c r="EL2">
        <v>3858.9</v>
      </c>
      <c r="EM2">
        <v>807.65</v>
      </c>
      <c r="EN2">
        <v>175.62</v>
      </c>
      <c r="EO2">
        <v>798.73</v>
      </c>
      <c r="EP2">
        <v>9.4700000000000006</v>
      </c>
      <c r="EQ2">
        <v>2734.76</v>
      </c>
      <c r="ER2">
        <v>35.22</v>
      </c>
      <c r="ES2">
        <v>68.09</v>
      </c>
      <c r="ET2">
        <v>13.62</v>
      </c>
      <c r="EU2">
        <v>579.45000000000005</v>
      </c>
      <c r="EV2">
        <v>9.4700000000000006</v>
      </c>
      <c r="EW2">
        <v>9.86</v>
      </c>
      <c r="EX2">
        <v>21.13</v>
      </c>
      <c r="EY2">
        <v>10.33</v>
      </c>
      <c r="EZ2">
        <v>9.4700000000000006</v>
      </c>
      <c r="FA2">
        <v>32.869999999999997</v>
      </c>
      <c r="FB2">
        <v>9.4700000000000006</v>
      </c>
      <c r="FC2">
        <v>83.11</v>
      </c>
      <c r="FD2">
        <v>10.33</v>
      </c>
      <c r="FE2">
        <v>4793.34</v>
      </c>
      <c r="FF2">
        <v>68.56</v>
      </c>
      <c r="FG2">
        <v>950.87</v>
      </c>
      <c r="FH2">
        <v>886.54</v>
      </c>
      <c r="FI2">
        <v>9.4700000000000006</v>
      </c>
      <c r="FJ2">
        <v>9.4700000000000006</v>
      </c>
      <c r="FK2">
        <v>3947.18</v>
      </c>
      <c r="FL2">
        <v>28.64</v>
      </c>
      <c r="FM2">
        <v>66.209999999999994</v>
      </c>
      <c r="FN2">
        <v>383.17</v>
      </c>
      <c r="FO2">
        <v>16.899999999999999</v>
      </c>
      <c r="FP2">
        <v>9.4700000000000006</v>
      </c>
      <c r="FQ2">
        <v>21.13</v>
      </c>
      <c r="FR2">
        <v>9.4700000000000006</v>
      </c>
      <c r="FS2">
        <v>9.4700000000000006</v>
      </c>
      <c r="FT2">
        <v>9.4700000000000006</v>
      </c>
      <c r="FU2">
        <v>1388.04</v>
      </c>
      <c r="FV2">
        <v>264.37</v>
      </c>
      <c r="FW2">
        <v>15.97</v>
      </c>
      <c r="FX2">
        <v>36.159999999999997</v>
      </c>
      <c r="FY2">
        <v>10.33</v>
      </c>
      <c r="FZ2">
        <v>5830.61</v>
      </c>
      <c r="GA2">
        <v>38.03</v>
      </c>
      <c r="GB2">
        <v>16.43</v>
      </c>
      <c r="GC2">
        <v>9.4700000000000006</v>
      </c>
      <c r="GD2">
        <v>13.62</v>
      </c>
      <c r="GE2">
        <v>229.15</v>
      </c>
      <c r="GF2">
        <v>258.26</v>
      </c>
      <c r="GG2">
        <v>3236.72</v>
      </c>
      <c r="GH2">
        <v>236.66</v>
      </c>
      <c r="GI2">
        <v>366.26</v>
      </c>
      <c r="GJ2">
        <v>512.77</v>
      </c>
      <c r="GK2">
        <v>5508.96</v>
      </c>
      <c r="GL2">
        <v>16.43</v>
      </c>
      <c r="GM2">
        <v>22.07</v>
      </c>
      <c r="GN2">
        <v>9.4700000000000006</v>
      </c>
      <c r="GO2">
        <v>157.30000000000001</v>
      </c>
      <c r="GP2">
        <v>9.4700000000000006</v>
      </c>
      <c r="GQ2">
        <v>9.4700000000000006</v>
      </c>
      <c r="GR2">
        <v>50.24</v>
      </c>
      <c r="GS2">
        <v>112.23</v>
      </c>
      <c r="GT2">
        <v>603.86</v>
      </c>
      <c r="GU2">
        <v>10.8</v>
      </c>
      <c r="GV2">
        <v>12.68</v>
      </c>
      <c r="GW2">
        <v>404.77</v>
      </c>
      <c r="GX2">
        <v>304.75</v>
      </c>
      <c r="GY2">
        <v>49.77</v>
      </c>
      <c r="GZ2">
        <v>198.63</v>
      </c>
      <c r="HA2">
        <v>105.18</v>
      </c>
      <c r="HB2">
        <v>431.06</v>
      </c>
      <c r="HC2">
        <v>209.9</v>
      </c>
      <c r="HD2">
        <v>7353.88</v>
      </c>
      <c r="HE2">
        <v>9.4700000000000006</v>
      </c>
      <c r="HF2">
        <v>6116.11</v>
      </c>
      <c r="HG2">
        <v>202.85</v>
      </c>
      <c r="HH2">
        <v>232.91</v>
      </c>
      <c r="HI2">
        <v>37.1</v>
      </c>
      <c r="HJ2">
        <v>1539.71</v>
      </c>
      <c r="HK2">
        <v>9331.23</v>
      </c>
      <c r="HL2">
        <v>741.92</v>
      </c>
      <c r="HM2">
        <v>200.97</v>
      </c>
      <c r="HN2">
        <v>7884.02</v>
      </c>
      <c r="HO2">
        <v>9.4700000000000006</v>
      </c>
      <c r="HP2">
        <v>138.52000000000001</v>
      </c>
      <c r="HQ2">
        <v>8363.4500000000007</v>
      </c>
      <c r="HR2">
        <v>17.37</v>
      </c>
      <c r="HS2">
        <v>9.4700000000000006</v>
      </c>
      <c r="HT2">
        <v>235.25</v>
      </c>
      <c r="HU2">
        <v>220.7</v>
      </c>
      <c r="HV2">
        <v>347.01</v>
      </c>
      <c r="HW2">
        <v>9441.58</v>
      </c>
      <c r="HX2">
        <v>14.56</v>
      </c>
      <c r="HY2">
        <v>22.07</v>
      </c>
      <c r="HZ2">
        <v>196.28</v>
      </c>
      <c r="IA2">
        <v>306.16000000000003</v>
      </c>
      <c r="IB2">
        <v>222.57</v>
      </c>
      <c r="IC2">
        <v>16.43</v>
      </c>
      <c r="ID2">
        <v>11.74</v>
      </c>
      <c r="IE2">
        <v>33.340000000000003</v>
      </c>
      <c r="IF2">
        <v>385.51</v>
      </c>
      <c r="IG2">
        <v>32.4</v>
      </c>
      <c r="IH2">
        <v>9.4700000000000006</v>
      </c>
      <c r="II2">
        <v>68.09</v>
      </c>
      <c r="IJ2">
        <v>13.62</v>
      </c>
      <c r="IK2">
        <v>9.4700000000000006</v>
      </c>
      <c r="IL2">
        <v>253.57</v>
      </c>
      <c r="IM2">
        <v>85.93</v>
      </c>
      <c r="IN2">
        <v>53.53</v>
      </c>
      <c r="IO2">
        <v>342.78</v>
      </c>
      <c r="IP2">
        <v>9.4700000000000006</v>
      </c>
      <c r="IQ2">
        <v>9.4700000000000006</v>
      </c>
      <c r="IR2">
        <v>9.4700000000000006</v>
      </c>
      <c r="IS2">
        <v>9.4700000000000006</v>
      </c>
      <c r="IT2">
        <v>9.4700000000000006</v>
      </c>
      <c r="IU2">
        <v>115.98</v>
      </c>
      <c r="IV2">
        <v>1791.87</v>
      </c>
      <c r="IW2">
        <v>89.69</v>
      </c>
      <c r="IX2">
        <v>12332.23</v>
      </c>
      <c r="IY2">
        <v>12.21</v>
      </c>
      <c r="IZ2">
        <v>9.4700000000000006</v>
      </c>
      <c r="JA2">
        <v>50.24</v>
      </c>
      <c r="JB2">
        <v>803.9</v>
      </c>
      <c r="JC2">
        <v>98.14</v>
      </c>
      <c r="JD2">
        <v>67.150000000000006</v>
      </c>
      <c r="JE2">
        <v>19.25</v>
      </c>
      <c r="JF2">
        <v>9.4700000000000006</v>
      </c>
      <c r="JG2">
        <v>27.23</v>
      </c>
      <c r="JH2">
        <v>65.739999999999995</v>
      </c>
      <c r="JI2">
        <v>199.57</v>
      </c>
      <c r="JJ2">
        <v>23.01</v>
      </c>
      <c r="JK2">
        <v>55.88</v>
      </c>
      <c r="JL2">
        <v>19.25</v>
      </c>
      <c r="JM2">
        <v>9.4700000000000006</v>
      </c>
      <c r="JN2">
        <v>10.33</v>
      </c>
      <c r="JO2">
        <v>498.68</v>
      </c>
      <c r="JP2">
        <v>1853.38</v>
      </c>
      <c r="JQ2">
        <v>1330.75</v>
      </c>
      <c r="JR2">
        <v>20.66</v>
      </c>
      <c r="JS2">
        <v>9.4700000000000006</v>
      </c>
      <c r="JT2">
        <v>15.03</v>
      </c>
      <c r="JU2">
        <v>93.44</v>
      </c>
      <c r="JV2">
        <v>434.35</v>
      </c>
      <c r="JW2">
        <v>21.13</v>
      </c>
      <c r="JX2">
        <v>154.49</v>
      </c>
      <c r="JY2">
        <v>91.57</v>
      </c>
      <c r="JZ2">
        <v>9.4700000000000006</v>
      </c>
      <c r="KA2">
        <v>9.4700000000000006</v>
      </c>
      <c r="KB2">
        <v>9.4700000000000006</v>
      </c>
      <c r="KC2">
        <v>9.4700000000000006</v>
      </c>
      <c r="KD2">
        <v>15.5</v>
      </c>
      <c r="KE2">
        <v>48.37</v>
      </c>
      <c r="KF2">
        <v>23.01</v>
      </c>
      <c r="KG2">
        <v>44.61</v>
      </c>
      <c r="KH2">
        <v>139.46</v>
      </c>
      <c r="KI2">
        <v>507.13</v>
      </c>
      <c r="KJ2">
        <v>170.45</v>
      </c>
      <c r="KK2">
        <v>179.84</v>
      </c>
      <c r="KL2">
        <v>33.81</v>
      </c>
      <c r="KM2">
        <v>30.05</v>
      </c>
      <c r="KN2">
        <v>92.5</v>
      </c>
      <c r="KO2">
        <v>1607.8</v>
      </c>
      <c r="KP2">
        <v>97.67</v>
      </c>
      <c r="KQ2">
        <v>3192.11</v>
      </c>
      <c r="KR2">
        <v>1092.21</v>
      </c>
      <c r="KS2">
        <v>2785.47</v>
      </c>
      <c r="KT2">
        <v>2254.86</v>
      </c>
      <c r="KU2">
        <v>17304.47</v>
      </c>
      <c r="KV2">
        <v>1506.37</v>
      </c>
      <c r="KW2">
        <v>47.43</v>
      </c>
      <c r="KX2">
        <v>43.67</v>
      </c>
      <c r="KY2">
        <v>9.4700000000000006</v>
      </c>
      <c r="KZ2">
        <v>35.22</v>
      </c>
      <c r="LA2">
        <v>107.06</v>
      </c>
      <c r="LB2">
        <v>149.32</v>
      </c>
      <c r="LC2">
        <v>187.36</v>
      </c>
      <c r="LD2">
        <v>9.4700000000000006</v>
      </c>
      <c r="LE2">
        <v>44.14</v>
      </c>
      <c r="LF2">
        <v>265.31</v>
      </c>
      <c r="LG2">
        <v>407.11</v>
      </c>
      <c r="LH2">
        <v>9.4700000000000006</v>
      </c>
      <c r="LI2">
        <v>6517.59</v>
      </c>
      <c r="LJ2">
        <v>206.14</v>
      </c>
      <c r="LK2">
        <v>2142.16</v>
      </c>
      <c r="LL2">
        <v>165.29</v>
      </c>
      <c r="LM2">
        <v>9.86</v>
      </c>
      <c r="LN2">
        <v>495.86</v>
      </c>
      <c r="LO2">
        <v>9.4700000000000006</v>
      </c>
      <c r="LP2">
        <v>1234.02</v>
      </c>
      <c r="LQ2">
        <v>20.66</v>
      </c>
      <c r="LR2">
        <v>191.58</v>
      </c>
      <c r="LS2">
        <v>168.1</v>
      </c>
      <c r="LT2">
        <v>9.4700000000000006</v>
      </c>
      <c r="LU2">
        <v>104.24</v>
      </c>
      <c r="LV2">
        <v>38.97</v>
      </c>
      <c r="LW2">
        <v>46.02</v>
      </c>
      <c r="LX2">
        <v>7051.95</v>
      </c>
      <c r="LY2">
        <v>922.23</v>
      </c>
      <c r="LZ2">
        <v>4866.59</v>
      </c>
      <c r="MA2">
        <v>57.76</v>
      </c>
      <c r="MB2">
        <v>586.96</v>
      </c>
      <c r="MC2">
        <v>415.57</v>
      </c>
      <c r="MD2">
        <v>57.29</v>
      </c>
      <c r="ME2">
        <v>27.23</v>
      </c>
      <c r="MF2">
        <v>66.680000000000007</v>
      </c>
      <c r="MG2">
        <v>1221.81</v>
      </c>
      <c r="MH2">
        <v>982.8</v>
      </c>
      <c r="MI2">
        <v>13.15</v>
      </c>
      <c r="MJ2">
        <v>848.98</v>
      </c>
      <c r="MK2">
        <v>9.4700000000000006</v>
      </c>
      <c r="ML2">
        <v>1355.64</v>
      </c>
      <c r="MM2">
        <v>2711.28</v>
      </c>
      <c r="MN2">
        <v>484.59</v>
      </c>
      <c r="MO2">
        <v>9.4700000000000006</v>
      </c>
      <c r="MP2">
        <v>181.25</v>
      </c>
      <c r="MQ2">
        <v>250.75</v>
      </c>
      <c r="MR2">
        <v>11.27</v>
      </c>
      <c r="MS2">
        <v>62.45</v>
      </c>
      <c r="MT2">
        <v>130.54</v>
      </c>
      <c r="MU2">
        <v>10.33</v>
      </c>
      <c r="MV2">
        <v>248.4</v>
      </c>
      <c r="MW2">
        <v>131.01</v>
      </c>
      <c r="MX2">
        <v>17.84</v>
      </c>
      <c r="MY2">
        <v>10.8</v>
      </c>
      <c r="MZ2">
        <v>420.26</v>
      </c>
      <c r="NA2">
        <v>13.62</v>
      </c>
      <c r="NB2">
        <v>6689.92</v>
      </c>
      <c r="NC2">
        <v>4999.95</v>
      </c>
      <c r="ND2">
        <v>1043.3800000000001</v>
      </c>
      <c r="NE2">
        <v>2862.48</v>
      </c>
      <c r="NF2">
        <v>10.33</v>
      </c>
      <c r="NG2">
        <v>9.4700000000000006</v>
      </c>
      <c r="NH2">
        <v>196.28</v>
      </c>
      <c r="NI2">
        <v>492.11</v>
      </c>
      <c r="NJ2">
        <v>85.93</v>
      </c>
      <c r="NK2">
        <v>68.56</v>
      </c>
      <c r="NL2">
        <v>32.869999999999997</v>
      </c>
      <c r="NM2">
        <v>856.96</v>
      </c>
      <c r="NN2">
        <v>44.61</v>
      </c>
      <c r="NO2">
        <v>14.56</v>
      </c>
      <c r="NP2">
        <v>9.4700000000000006</v>
      </c>
      <c r="NQ2">
        <v>311.32</v>
      </c>
      <c r="NR2">
        <v>671.48</v>
      </c>
      <c r="NS2">
        <v>94.85</v>
      </c>
      <c r="NT2">
        <v>1211.01</v>
      </c>
      <c r="NU2">
        <v>302.87</v>
      </c>
      <c r="NV2">
        <v>584.14</v>
      </c>
      <c r="NW2">
        <v>295.36</v>
      </c>
      <c r="NX2">
        <v>18.78</v>
      </c>
      <c r="NY2">
        <v>177.5</v>
      </c>
      <c r="NZ2">
        <v>707.64</v>
      </c>
      <c r="OA2">
        <v>28.17</v>
      </c>
      <c r="OB2">
        <v>379.41</v>
      </c>
      <c r="OC2">
        <v>1569.29</v>
      </c>
      <c r="OD2">
        <v>61.51</v>
      </c>
      <c r="OE2">
        <v>1146.21</v>
      </c>
      <c r="OF2">
        <v>9.4700000000000006</v>
      </c>
      <c r="OG2">
        <v>5410.82</v>
      </c>
      <c r="OH2">
        <v>232.91</v>
      </c>
      <c r="OI2">
        <v>16.43</v>
      </c>
      <c r="OJ2">
        <v>14.09</v>
      </c>
      <c r="OK2">
        <v>1800.79</v>
      </c>
      <c r="OL2">
        <v>84.52</v>
      </c>
      <c r="OM2">
        <v>125.37</v>
      </c>
      <c r="ON2">
        <v>91.1</v>
      </c>
      <c r="OO2">
        <v>2040.27</v>
      </c>
      <c r="OP2">
        <v>191.11</v>
      </c>
      <c r="OQ2">
        <v>1339.2</v>
      </c>
      <c r="OR2">
        <v>84.52</v>
      </c>
      <c r="OS2">
        <v>752.25</v>
      </c>
      <c r="OT2">
        <v>286.44</v>
      </c>
      <c r="OU2">
        <v>25.36</v>
      </c>
      <c r="OV2">
        <v>558.30999999999995</v>
      </c>
      <c r="OW2">
        <v>9.4700000000000006</v>
      </c>
      <c r="OX2">
        <v>77.95</v>
      </c>
      <c r="OY2">
        <v>15.03</v>
      </c>
      <c r="OZ2">
        <v>9.4700000000000006</v>
      </c>
      <c r="PA2">
        <v>9.4700000000000006</v>
      </c>
      <c r="PB2">
        <v>25.83</v>
      </c>
      <c r="PC2">
        <v>9.4700000000000006</v>
      </c>
      <c r="PD2">
        <v>33.340000000000003</v>
      </c>
      <c r="PE2">
        <v>9.4700000000000006</v>
      </c>
      <c r="PF2">
        <v>1274.8699999999999</v>
      </c>
      <c r="PG2">
        <v>23.48</v>
      </c>
      <c r="PH2">
        <v>25.83</v>
      </c>
      <c r="PI2">
        <v>131.47999999999999</v>
      </c>
      <c r="PJ2">
        <v>11506.26</v>
      </c>
      <c r="PK2">
        <v>13535.26</v>
      </c>
      <c r="PL2">
        <v>9.4700000000000006</v>
      </c>
      <c r="PM2">
        <v>29906.7</v>
      </c>
      <c r="PN2">
        <v>1250.93</v>
      </c>
      <c r="PO2">
        <v>54.94</v>
      </c>
      <c r="PP2">
        <v>228.68</v>
      </c>
      <c r="PQ2">
        <v>14.09</v>
      </c>
      <c r="PR2">
        <v>21.6</v>
      </c>
      <c r="PS2">
        <v>12.68</v>
      </c>
      <c r="PT2">
        <v>13.62</v>
      </c>
      <c r="PU2">
        <v>95.79</v>
      </c>
      <c r="PV2">
        <v>437.64</v>
      </c>
      <c r="PW2">
        <v>46.49</v>
      </c>
      <c r="PX2">
        <v>16.43</v>
      </c>
      <c r="PY2">
        <v>196.75</v>
      </c>
      <c r="PZ2">
        <v>9.4700000000000006</v>
      </c>
      <c r="QA2">
        <v>316.95999999999998</v>
      </c>
      <c r="QB2">
        <v>416.98</v>
      </c>
      <c r="QC2">
        <v>9.4700000000000006</v>
      </c>
      <c r="QD2">
        <v>9.4700000000000006</v>
      </c>
      <c r="QE2">
        <v>159.65</v>
      </c>
      <c r="QF2">
        <v>9.4700000000000006</v>
      </c>
      <c r="QG2">
        <v>9.86</v>
      </c>
      <c r="QH2">
        <v>12.21</v>
      </c>
      <c r="QI2">
        <v>9.4700000000000006</v>
      </c>
      <c r="QJ2">
        <v>321.18</v>
      </c>
      <c r="QK2">
        <v>15.03</v>
      </c>
      <c r="QL2">
        <v>377.53</v>
      </c>
      <c r="QM2">
        <v>1288.02</v>
      </c>
      <c r="QN2">
        <v>1010.98</v>
      </c>
      <c r="QO2">
        <v>44.61</v>
      </c>
      <c r="QP2">
        <v>57.29</v>
      </c>
      <c r="QQ2">
        <v>266.70999999999998</v>
      </c>
      <c r="QR2">
        <v>56.35</v>
      </c>
      <c r="QS2">
        <v>1974.53</v>
      </c>
      <c r="QT2">
        <v>779.01</v>
      </c>
      <c r="QU2">
        <v>22.07</v>
      </c>
      <c r="QV2">
        <v>165.76</v>
      </c>
      <c r="QW2">
        <v>206.14</v>
      </c>
      <c r="QX2">
        <v>74.19</v>
      </c>
      <c r="QY2">
        <v>51.18</v>
      </c>
      <c r="QZ2">
        <v>10.33</v>
      </c>
      <c r="RA2">
        <v>186.89</v>
      </c>
      <c r="RB2">
        <v>522.63</v>
      </c>
      <c r="RC2">
        <v>100.96</v>
      </c>
      <c r="RD2">
        <v>1116.1600000000001</v>
      </c>
      <c r="RE2">
        <v>54.94</v>
      </c>
      <c r="RF2">
        <v>30.99</v>
      </c>
      <c r="RG2">
        <v>578.51</v>
      </c>
      <c r="RH2">
        <v>15.03</v>
      </c>
      <c r="RI2">
        <v>9.4700000000000006</v>
      </c>
      <c r="RJ2">
        <v>49.3</v>
      </c>
      <c r="RK2">
        <v>13.15</v>
      </c>
      <c r="RL2">
        <v>243.24</v>
      </c>
      <c r="RM2">
        <v>130.54</v>
      </c>
      <c r="RN2">
        <v>267.18</v>
      </c>
      <c r="RO2">
        <v>239.01</v>
      </c>
      <c r="RP2">
        <v>512.29999999999995</v>
      </c>
      <c r="RQ2">
        <v>1477.26</v>
      </c>
      <c r="RR2">
        <v>9.4700000000000006</v>
      </c>
      <c r="RS2">
        <v>716.56</v>
      </c>
      <c r="RT2">
        <v>390.21</v>
      </c>
      <c r="RU2">
        <v>9.4700000000000006</v>
      </c>
      <c r="RV2">
        <v>9.4700000000000006</v>
      </c>
      <c r="RW2">
        <v>2428.6</v>
      </c>
      <c r="RX2">
        <v>2858.25</v>
      </c>
      <c r="RY2">
        <v>1510.6</v>
      </c>
      <c r="RZ2">
        <v>24.89</v>
      </c>
      <c r="SA2">
        <v>468.16</v>
      </c>
      <c r="SB2">
        <v>15.5</v>
      </c>
      <c r="SC2">
        <v>34.75</v>
      </c>
      <c r="SD2">
        <v>2288.1999999999998</v>
      </c>
      <c r="SE2">
        <v>707.64</v>
      </c>
      <c r="SF2">
        <v>447.5</v>
      </c>
      <c r="SG2">
        <v>13846.58</v>
      </c>
      <c r="SH2">
        <v>94.85</v>
      </c>
      <c r="SI2">
        <v>11.74</v>
      </c>
      <c r="SJ2">
        <v>73.72</v>
      </c>
      <c r="SK2">
        <v>9.86</v>
      </c>
      <c r="SL2">
        <v>14.09</v>
      </c>
      <c r="SM2">
        <v>19.72</v>
      </c>
      <c r="SN2">
        <v>307.57</v>
      </c>
      <c r="SO2">
        <v>9.4700000000000006</v>
      </c>
      <c r="SP2">
        <v>218.35</v>
      </c>
      <c r="SQ2">
        <v>920.35</v>
      </c>
      <c r="SR2">
        <v>2896.76</v>
      </c>
      <c r="SS2">
        <v>1828.96</v>
      </c>
      <c r="ST2">
        <v>387.39</v>
      </c>
      <c r="SU2">
        <v>283.62</v>
      </c>
      <c r="SV2">
        <v>191.58</v>
      </c>
      <c r="SW2">
        <v>239.01</v>
      </c>
      <c r="SX2">
        <v>101.43</v>
      </c>
      <c r="SY2">
        <v>70.900000000000006</v>
      </c>
      <c r="SZ2">
        <v>9.4700000000000006</v>
      </c>
      <c r="TA2">
        <v>13.62</v>
      </c>
      <c r="TB2">
        <v>2462.41</v>
      </c>
      <c r="TC2">
        <v>803.43</v>
      </c>
      <c r="TD2">
        <v>97.2</v>
      </c>
      <c r="TE2">
        <v>612.30999999999995</v>
      </c>
      <c r="TF2">
        <v>577.1</v>
      </c>
      <c r="TG2">
        <v>278.92</v>
      </c>
      <c r="TH2">
        <v>292.54000000000002</v>
      </c>
      <c r="TI2">
        <v>108.47</v>
      </c>
      <c r="TJ2">
        <v>9.4700000000000006</v>
      </c>
      <c r="TK2">
        <v>40.85</v>
      </c>
      <c r="TL2">
        <v>326.82</v>
      </c>
      <c r="TM2">
        <v>128.19</v>
      </c>
      <c r="TN2">
        <v>191.58</v>
      </c>
      <c r="TO2">
        <v>1728.94</v>
      </c>
      <c r="TP2">
        <v>859.78</v>
      </c>
      <c r="TQ2">
        <v>58.7</v>
      </c>
      <c r="TR2">
        <v>9.4700000000000006</v>
      </c>
      <c r="TS2">
        <v>791.22</v>
      </c>
      <c r="TT2">
        <v>84.52</v>
      </c>
      <c r="TU2">
        <v>40.380000000000003</v>
      </c>
      <c r="TV2">
        <v>421.67</v>
      </c>
      <c r="TW2">
        <v>635.32000000000005</v>
      </c>
      <c r="TX2">
        <v>196.28</v>
      </c>
      <c r="TY2">
        <v>14.09</v>
      </c>
      <c r="TZ2">
        <v>38.97</v>
      </c>
      <c r="UA2">
        <v>385.98</v>
      </c>
      <c r="UB2">
        <v>53.06</v>
      </c>
      <c r="UC2">
        <v>9556.6200000000008</v>
      </c>
      <c r="UD2">
        <v>9.4700000000000006</v>
      </c>
      <c r="UE2">
        <v>10.8</v>
      </c>
      <c r="UF2">
        <v>1539.24</v>
      </c>
      <c r="UG2">
        <v>248.4</v>
      </c>
      <c r="UH2">
        <v>9.4700000000000006</v>
      </c>
      <c r="UI2">
        <v>40.380000000000003</v>
      </c>
      <c r="UJ2">
        <v>12.68</v>
      </c>
      <c r="UK2">
        <v>14.09</v>
      </c>
      <c r="UL2">
        <v>9.4700000000000006</v>
      </c>
      <c r="UM2">
        <v>11.74</v>
      </c>
      <c r="UN2">
        <v>230.56</v>
      </c>
      <c r="UO2">
        <v>145.57</v>
      </c>
      <c r="UP2">
        <v>9.4700000000000006</v>
      </c>
      <c r="UQ2">
        <v>9.4700000000000006</v>
      </c>
      <c r="UR2">
        <v>9.4700000000000006</v>
      </c>
      <c r="US2">
        <v>71.37</v>
      </c>
      <c r="UT2">
        <v>65.27</v>
      </c>
      <c r="UU2">
        <v>1169.22</v>
      </c>
      <c r="UV2">
        <v>256.38</v>
      </c>
      <c r="UW2">
        <v>129.6</v>
      </c>
      <c r="UX2">
        <v>46.96</v>
      </c>
      <c r="UY2">
        <v>279.86</v>
      </c>
      <c r="UZ2">
        <v>96.26</v>
      </c>
      <c r="VA2">
        <v>1916.77</v>
      </c>
      <c r="VB2">
        <v>1979.69</v>
      </c>
      <c r="VC2">
        <v>23.95</v>
      </c>
      <c r="VD2">
        <v>345.6</v>
      </c>
      <c r="VE2">
        <v>61.98</v>
      </c>
      <c r="VF2">
        <v>302.39999999999998</v>
      </c>
      <c r="VG2">
        <v>55.41</v>
      </c>
      <c r="VH2">
        <v>58.7</v>
      </c>
      <c r="VI2">
        <v>225.86</v>
      </c>
      <c r="VJ2">
        <v>20.66</v>
      </c>
      <c r="VK2">
        <v>1027.8800000000001</v>
      </c>
      <c r="VL2">
        <v>1585.26</v>
      </c>
      <c r="VM2">
        <v>2489.17</v>
      </c>
      <c r="VN2">
        <v>389.27</v>
      </c>
      <c r="VO2">
        <v>9.4700000000000006</v>
      </c>
      <c r="VP2">
        <v>9.4700000000000006</v>
      </c>
      <c r="VQ2">
        <v>1617.66</v>
      </c>
      <c r="VR2">
        <v>433.41</v>
      </c>
      <c r="VS2">
        <v>435.29</v>
      </c>
      <c r="VT2">
        <v>31.93</v>
      </c>
      <c r="VU2">
        <v>37.57</v>
      </c>
      <c r="VV2">
        <v>9.4700000000000006</v>
      </c>
      <c r="VW2">
        <v>340.44</v>
      </c>
      <c r="VX2">
        <v>102.84</v>
      </c>
      <c r="VY2">
        <v>9.4700000000000006</v>
      </c>
      <c r="VZ2">
        <v>26751.21</v>
      </c>
      <c r="WA2">
        <v>19078.96</v>
      </c>
      <c r="WB2">
        <v>347.48</v>
      </c>
      <c r="WC2">
        <v>144.63</v>
      </c>
      <c r="WD2">
        <v>163.88</v>
      </c>
      <c r="WE2">
        <v>157.30000000000001</v>
      </c>
      <c r="WF2">
        <v>96.26</v>
      </c>
      <c r="WG2">
        <v>523.57000000000005</v>
      </c>
      <c r="WH2">
        <v>21994.97</v>
      </c>
      <c r="WI2">
        <v>45201.89</v>
      </c>
      <c r="WJ2">
        <v>2314.02</v>
      </c>
      <c r="WK2">
        <v>40.85</v>
      </c>
      <c r="WL2">
        <v>570.52</v>
      </c>
      <c r="WM2">
        <v>9.4700000000000006</v>
      </c>
      <c r="WN2">
        <v>9.86</v>
      </c>
      <c r="WO2">
        <v>9.4700000000000006</v>
      </c>
      <c r="WP2">
        <v>56.82</v>
      </c>
      <c r="WQ2">
        <v>6682.87</v>
      </c>
      <c r="WR2">
        <v>2109.29</v>
      </c>
      <c r="WS2">
        <v>46.02</v>
      </c>
      <c r="WT2">
        <v>49.3</v>
      </c>
      <c r="WU2">
        <v>694.49</v>
      </c>
      <c r="WV2">
        <v>2075.02</v>
      </c>
      <c r="WW2">
        <v>9.4700000000000006</v>
      </c>
      <c r="WX2">
        <v>20.66</v>
      </c>
      <c r="WY2">
        <v>13.15</v>
      </c>
      <c r="WZ2">
        <v>9.4700000000000006</v>
      </c>
      <c r="XA2">
        <v>9.4700000000000006</v>
      </c>
      <c r="XB2">
        <v>293.48</v>
      </c>
      <c r="XC2">
        <v>17.84</v>
      </c>
      <c r="XD2">
        <v>242.3</v>
      </c>
      <c r="XE2">
        <v>140.4</v>
      </c>
      <c r="XF2">
        <v>1471.62</v>
      </c>
      <c r="XG2">
        <v>1143.3900000000001</v>
      </c>
      <c r="XH2">
        <v>870.11</v>
      </c>
      <c r="XI2">
        <v>2858.72</v>
      </c>
      <c r="XJ2">
        <v>532.02</v>
      </c>
      <c r="XK2">
        <v>1142.93</v>
      </c>
      <c r="XL2">
        <v>50.24</v>
      </c>
      <c r="XM2">
        <v>388.33</v>
      </c>
      <c r="XN2">
        <v>523.57000000000005</v>
      </c>
      <c r="XO2">
        <v>10.33</v>
      </c>
      <c r="XP2">
        <v>16.43</v>
      </c>
      <c r="XQ2">
        <v>23.01</v>
      </c>
      <c r="XR2">
        <v>9.4700000000000006</v>
      </c>
      <c r="XS2">
        <v>404.77</v>
      </c>
      <c r="XT2">
        <v>152.61000000000001</v>
      </c>
      <c r="XU2">
        <v>752.72</v>
      </c>
      <c r="XV2">
        <v>844.75</v>
      </c>
      <c r="XW2">
        <v>596.35</v>
      </c>
      <c r="XX2">
        <v>1283.8</v>
      </c>
      <c r="XY2">
        <v>2792.98</v>
      </c>
      <c r="XZ2">
        <v>33.81</v>
      </c>
      <c r="YA2">
        <v>251.69</v>
      </c>
      <c r="YB2">
        <v>207.55</v>
      </c>
      <c r="YC2">
        <v>21.6</v>
      </c>
      <c r="YD2">
        <v>598.23</v>
      </c>
      <c r="YE2">
        <v>353.11</v>
      </c>
      <c r="YF2">
        <v>392.56</v>
      </c>
      <c r="YG2">
        <v>39.44</v>
      </c>
      <c r="YH2">
        <v>9.4700000000000006</v>
      </c>
      <c r="YI2">
        <v>16.899999999999999</v>
      </c>
      <c r="YJ2">
        <v>596.82000000000005</v>
      </c>
      <c r="YK2">
        <v>9.4700000000000006</v>
      </c>
      <c r="YL2">
        <v>25.83</v>
      </c>
      <c r="YM2">
        <v>8932.57</v>
      </c>
      <c r="YN2">
        <v>178.9</v>
      </c>
      <c r="YO2">
        <v>177.97</v>
      </c>
      <c r="YP2">
        <v>2785.47</v>
      </c>
      <c r="YQ2">
        <v>192.99</v>
      </c>
      <c r="YR2">
        <v>368.14</v>
      </c>
      <c r="YS2">
        <v>3206.67</v>
      </c>
      <c r="YT2">
        <v>77.010000000000005</v>
      </c>
      <c r="YU2">
        <v>500.56</v>
      </c>
      <c r="YV2">
        <v>9.4700000000000006</v>
      </c>
      <c r="YW2">
        <v>16.43</v>
      </c>
      <c r="YX2">
        <v>37.57</v>
      </c>
      <c r="YY2">
        <v>220.7</v>
      </c>
      <c r="YZ2">
        <v>33.340000000000003</v>
      </c>
      <c r="ZA2">
        <v>38.5</v>
      </c>
      <c r="ZB2">
        <v>69.03</v>
      </c>
      <c r="ZC2">
        <v>9.4700000000000006</v>
      </c>
      <c r="ZD2">
        <v>341.37</v>
      </c>
      <c r="ZE2">
        <v>12.68</v>
      </c>
      <c r="ZF2">
        <v>48.37</v>
      </c>
      <c r="ZG2">
        <v>186.89</v>
      </c>
      <c r="ZH2">
        <v>151.66999999999999</v>
      </c>
      <c r="ZI2">
        <v>949.93</v>
      </c>
      <c r="ZJ2">
        <v>64.33</v>
      </c>
      <c r="ZK2">
        <v>305.22000000000003</v>
      </c>
      <c r="ZL2">
        <v>9.86</v>
      </c>
      <c r="ZM2">
        <v>136.63999999999999</v>
      </c>
      <c r="ZN2">
        <v>114.57</v>
      </c>
      <c r="ZO2">
        <v>10.8</v>
      </c>
      <c r="ZP2">
        <v>162.94</v>
      </c>
      <c r="ZQ2">
        <v>9.4700000000000006</v>
      </c>
      <c r="ZR2">
        <v>9.4700000000000006</v>
      </c>
      <c r="ZS2">
        <v>1288.02</v>
      </c>
      <c r="ZT2">
        <v>134.77000000000001</v>
      </c>
      <c r="ZU2">
        <v>143.22</v>
      </c>
      <c r="ZV2">
        <v>9.4700000000000006</v>
      </c>
      <c r="ZW2">
        <v>9.4700000000000006</v>
      </c>
      <c r="ZX2">
        <v>25.36</v>
      </c>
      <c r="ZY2">
        <v>629.22</v>
      </c>
      <c r="ZZ2">
        <v>101.9</v>
      </c>
      <c r="AAA2">
        <v>35.22</v>
      </c>
      <c r="AAB2">
        <v>25.36</v>
      </c>
      <c r="AAC2">
        <v>13.15</v>
      </c>
      <c r="AAD2">
        <v>22.07</v>
      </c>
      <c r="AAE2">
        <v>9.4700000000000006</v>
      </c>
      <c r="AAF2">
        <v>22.54</v>
      </c>
      <c r="AAG2">
        <v>607.15</v>
      </c>
      <c r="AAH2">
        <v>262.95999999999998</v>
      </c>
      <c r="AAI2">
        <v>6815.29</v>
      </c>
      <c r="AAJ2">
        <v>576.16</v>
      </c>
      <c r="AAK2">
        <v>46.49</v>
      </c>
      <c r="AAL2">
        <v>76.069999999999993</v>
      </c>
      <c r="AAM2">
        <v>9.4700000000000006</v>
      </c>
      <c r="AAN2">
        <v>183.6</v>
      </c>
      <c r="AAO2">
        <v>22.07</v>
      </c>
      <c r="AAP2">
        <v>105.65</v>
      </c>
      <c r="AAQ2">
        <v>60.1</v>
      </c>
      <c r="AAR2">
        <v>60.57</v>
      </c>
      <c r="AAS2">
        <v>3863.59</v>
      </c>
      <c r="AAT2">
        <v>52.12</v>
      </c>
      <c r="AAU2">
        <v>9.4700000000000006</v>
      </c>
      <c r="AAV2">
        <v>1501.2</v>
      </c>
      <c r="AAW2">
        <v>58.7</v>
      </c>
      <c r="AAX2">
        <v>26.77</v>
      </c>
      <c r="AAY2">
        <v>203.32</v>
      </c>
      <c r="AAZ2">
        <v>53.53</v>
      </c>
      <c r="ABA2">
        <v>659.74</v>
      </c>
      <c r="ABB2">
        <v>9.4700000000000006</v>
      </c>
      <c r="ABC2">
        <v>393.03</v>
      </c>
      <c r="ABD2">
        <v>3778.6</v>
      </c>
      <c r="ABE2">
        <v>1015.67</v>
      </c>
      <c r="ABF2">
        <v>1463.17</v>
      </c>
      <c r="ABG2">
        <v>57.76</v>
      </c>
      <c r="ABH2">
        <v>142.28</v>
      </c>
      <c r="ABI2">
        <v>15.97</v>
      </c>
      <c r="ABJ2">
        <v>43.2</v>
      </c>
      <c r="ABK2">
        <v>185.48</v>
      </c>
      <c r="ABL2">
        <v>16.43</v>
      </c>
      <c r="ABM2">
        <v>14.09</v>
      </c>
      <c r="ABN2">
        <v>69.03</v>
      </c>
      <c r="ABO2">
        <v>9.4700000000000006</v>
      </c>
      <c r="ABP2">
        <v>61.51</v>
      </c>
      <c r="ABQ2">
        <v>152.13999999999999</v>
      </c>
      <c r="ABR2">
        <v>15.03</v>
      </c>
      <c r="ABS2">
        <v>650.35</v>
      </c>
      <c r="ABT2">
        <v>20.66</v>
      </c>
      <c r="ABU2">
        <v>9.4700000000000006</v>
      </c>
      <c r="ABV2">
        <v>140.4</v>
      </c>
      <c r="ABW2">
        <v>184.54</v>
      </c>
      <c r="ABX2">
        <v>325.41000000000003</v>
      </c>
      <c r="ABY2">
        <v>399.6</v>
      </c>
      <c r="ABZ2">
        <v>159.18</v>
      </c>
      <c r="ACA2">
        <v>830.66</v>
      </c>
      <c r="ACB2">
        <v>165.76</v>
      </c>
      <c r="ACC2">
        <v>170.45</v>
      </c>
      <c r="ACD2">
        <v>493.05</v>
      </c>
      <c r="ACE2">
        <v>157.30000000000001</v>
      </c>
      <c r="ACF2">
        <v>7256.68</v>
      </c>
      <c r="ACG2">
        <v>2891.59</v>
      </c>
      <c r="ACH2">
        <v>541.41</v>
      </c>
      <c r="ACI2">
        <v>954.63</v>
      </c>
      <c r="ACJ2">
        <v>1244.82</v>
      </c>
      <c r="ACK2">
        <v>764.92</v>
      </c>
      <c r="ACL2">
        <v>67.150000000000006</v>
      </c>
      <c r="ACM2">
        <v>528.73</v>
      </c>
      <c r="ACN2">
        <v>408.52</v>
      </c>
      <c r="ACO2">
        <v>495.86</v>
      </c>
      <c r="ACP2">
        <v>713.27</v>
      </c>
      <c r="ACQ2">
        <v>422.61</v>
      </c>
      <c r="ACR2">
        <v>5179.32</v>
      </c>
    </row>
    <row r="3" spans="1:772" x14ac:dyDescent="0.3">
      <c r="A3" t="s">
        <v>5</v>
      </c>
      <c r="B3" t="s">
        <v>2</v>
      </c>
      <c r="C3">
        <v>115.99</v>
      </c>
      <c r="D3">
        <v>174.42</v>
      </c>
      <c r="E3">
        <v>213.08</v>
      </c>
      <c r="F3">
        <v>12.89</v>
      </c>
      <c r="G3">
        <v>10468.4</v>
      </c>
      <c r="H3">
        <v>30.07</v>
      </c>
      <c r="I3">
        <v>2379.96</v>
      </c>
      <c r="J3">
        <v>18880.75</v>
      </c>
      <c r="K3">
        <v>739.76</v>
      </c>
      <c r="L3">
        <v>12.03</v>
      </c>
      <c r="M3">
        <v>29.21</v>
      </c>
      <c r="N3">
        <v>1101.48</v>
      </c>
      <c r="O3">
        <v>507.78</v>
      </c>
      <c r="P3">
        <v>383.2</v>
      </c>
      <c r="Q3">
        <v>79.05</v>
      </c>
      <c r="R3">
        <v>1203.73</v>
      </c>
      <c r="S3">
        <v>8.59</v>
      </c>
      <c r="T3">
        <v>299.86</v>
      </c>
      <c r="U3">
        <v>278.38</v>
      </c>
      <c r="V3">
        <v>82.48</v>
      </c>
      <c r="W3">
        <v>5409.48</v>
      </c>
      <c r="X3">
        <v>14.61</v>
      </c>
      <c r="Y3">
        <v>1165.06</v>
      </c>
      <c r="Z3">
        <v>670.17</v>
      </c>
      <c r="AA3">
        <v>18.899999999999999</v>
      </c>
      <c r="AB3">
        <v>3337.96</v>
      </c>
      <c r="AC3">
        <v>413.27</v>
      </c>
      <c r="AD3">
        <v>318.76</v>
      </c>
      <c r="AE3">
        <v>386.64</v>
      </c>
      <c r="AF3">
        <v>24584.07</v>
      </c>
      <c r="AG3">
        <v>915.04</v>
      </c>
      <c r="AH3">
        <v>225.11</v>
      </c>
      <c r="AI3">
        <v>26.63</v>
      </c>
      <c r="AJ3">
        <v>531.84</v>
      </c>
      <c r="AK3">
        <v>230.26</v>
      </c>
      <c r="AL3">
        <v>246.59</v>
      </c>
      <c r="AM3">
        <v>61</v>
      </c>
      <c r="AN3">
        <v>22.34</v>
      </c>
      <c r="AO3">
        <v>985.49</v>
      </c>
      <c r="AP3">
        <v>11.17</v>
      </c>
      <c r="AQ3">
        <v>207.92</v>
      </c>
      <c r="AR3">
        <v>130.6</v>
      </c>
      <c r="AS3">
        <v>289.55</v>
      </c>
      <c r="AT3">
        <v>8.3000000000000007</v>
      </c>
      <c r="AU3">
        <v>40.380000000000003</v>
      </c>
      <c r="AV3">
        <v>716.57</v>
      </c>
      <c r="AW3">
        <v>358.28</v>
      </c>
      <c r="AX3">
        <v>5770.34</v>
      </c>
      <c r="AY3">
        <v>67.02</v>
      </c>
      <c r="AZ3">
        <v>103.96</v>
      </c>
      <c r="BA3">
        <v>364.3</v>
      </c>
      <c r="BB3">
        <v>739.76</v>
      </c>
      <c r="BC3">
        <v>87.64</v>
      </c>
      <c r="BD3">
        <v>8.3000000000000007</v>
      </c>
      <c r="BE3">
        <v>100.53</v>
      </c>
      <c r="BF3">
        <v>82.48</v>
      </c>
      <c r="BG3">
        <v>24.06</v>
      </c>
      <c r="BH3">
        <v>16.32</v>
      </c>
      <c r="BI3">
        <v>8.3000000000000007</v>
      </c>
      <c r="BJ3">
        <v>9.4499999999999993</v>
      </c>
      <c r="BK3">
        <v>123.72</v>
      </c>
      <c r="BL3">
        <v>968.31</v>
      </c>
      <c r="BM3">
        <v>97.09</v>
      </c>
      <c r="BN3">
        <v>272.36</v>
      </c>
      <c r="BO3">
        <v>138.33000000000001</v>
      </c>
      <c r="BP3">
        <v>8.3000000000000007</v>
      </c>
      <c r="BQ3">
        <v>8.3000000000000007</v>
      </c>
      <c r="BR3">
        <v>105.68</v>
      </c>
      <c r="BS3">
        <v>8.3000000000000007</v>
      </c>
      <c r="BT3">
        <v>268.07</v>
      </c>
      <c r="BU3">
        <v>286.97000000000003</v>
      </c>
      <c r="BV3">
        <v>18.899999999999999</v>
      </c>
      <c r="BW3">
        <v>128.88</v>
      </c>
      <c r="BX3">
        <v>211.36</v>
      </c>
      <c r="BY3">
        <v>69.59</v>
      </c>
      <c r="BZ3">
        <v>400.38</v>
      </c>
      <c r="CA3">
        <v>12.89</v>
      </c>
      <c r="CB3">
        <v>23.2</v>
      </c>
      <c r="CC3">
        <v>12.89</v>
      </c>
      <c r="CD3">
        <v>233.7</v>
      </c>
      <c r="CE3">
        <v>633.22</v>
      </c>
      <c r="CF3">
        <v>918.48</v>
      </c>
      <c r="CG3">
        <v>67.88</v>
      </c>
      <c r="CH3">
        <v>146.91999999999999</v>
      </c>
      <c r="CI3">
        <v>8.59</v>
      </c>
      <c r="CJ3">
        <v>11.17</v>
      </c>
      <c r="CK3">
        <v>14.61</v>
      </c>
      <c r="CL3">
        <v>19.760000000000002</v>
      </c>
      <c r="CM3">
        <v>83.34</v>
      </c>
      <c r="CN3">
        <v>22.34</v>
      </c>
      <c r="CO3">
        <v>8.3000000000000007</v>
      </c>
      <c r="CP3">
        <v>8.3000000000000007</v>
      </c>
      <c r="CQ3">
        <v>21.48</v>
      </c>
      <c r="CR3">
        <v>27.49</v>
      </c>
      <c r="CS3">
        <v>8.3000000000000007</v>
      </c>
      <c r="CT3">
        <v>8.3000000000000007</v>
      </c>
      <c r="CU3">
        <v>9.4499999999999993</v>
      </c>
      <c r="CV3">
        <v>39.520000000000003</v>
      </c>
      <c r="CW3">
        <v>1803.44</v>
      </c>
      <c r="CX3">
        <v>12.89</v>
      </c>
      <c r="CY3">
        <v>94.51</v>
      </c>
      <c r="CZ3">
        <v>54.99</v>
      </c>
      <c r="DA3">
        <v>8.3000000000000007</v>
      </c>
      <c r="DB3">
        <v>16.32</v>
      </c>
      <c r="DC3">
        <v>12.89</v>
      </c>
      <c r="DD3">
        <v>12.89</v>
      </c>
      <c r="DE3">
        <v>13.75</v>
      </c>
      <c r="DF3">
        <v>109.12</v>
      </c>
      <c r="DG3">
        <v>8.59</v>
      </c>
      <c r="DH3">
        <v>2684.12</v>
      </c>
      <c r="DI3">
        <v>8.3000000000000007</v>
      </c>
      <c r="DJ3">
        <v>12.03</v>
      </c>
      <c r="DK3">
        <v>36.090000000000003</v>
      </c>
      <c r="DL3">
        <v>1806.88</v>
      </c>
      <c r="DM3">
        <v>9.4499999999999993</v>
      </c>
      <c r="DN3">
        <v>9.4499999999999993</v>
      </c>
      <c r="DO3">
        <v>202.77</v>
      </c>
      <c r="DP3">
        <v>9.4499999999999993</v>
      </c>
      <c r="DQ3">
        <v>1293.94</v>
      </c>
      <c r="DR3">
        <v>17.18</v>
      </c>
      <c r="DS3">
        <v>8.3000000000000007</v>
      </c>
      <c r="DT3">
        <v>24.92</v>
      </c>
      <c r="DU3">
        <v>889.26</v>
      </c>
      <c r="DV3">
        <v>49.83</v>
      </c>
      <c r="DW3">
        <v>8.3000000000000007</v>
      </c>
      <c r="DX3">
        <v>27.49</v>
      </c>
      <c r="DY3">
        <v>17.18</v>
      </c>
      <c r="DZ3">
        <v>25.78</v>
      </c>
      <c r="EA3">
        <v>17.18</v>
      </c>
      <c r="EB3">
        <v>25.78</v>
      </c>
      <c r="EC3">
        <v>13.75</v>
      </c>
      <c r="ED3">
        <v>116.85</v>
      </c>
      <c r="EE3">
        <v>10.31</v>
      </c>
      <c r="EF3">
        <v>2518.29</v>
      </c>
      <c r="EG3">
        <v>315.32</v>
      </c>
      <c r="EH3">
        <v>20.62</v>
      </c>
      <c r="EI3">
        <v>13.75</v>
      </c>
      <c r="EJ3">
        <v>1069.69</v>
      </c>
      <c r="EK3">
        <v>1242.3900000000001</v>
      </c>
      <c r="EL3">
        <v>3840.59</v>
      </c>
      <c r="EM3">
        <v>372.89</v>
      </c>
      <c r="EN3">
        <v>255.18</v>
      </c>
      <c r="EO3">
        <v>794.75</v>
      </c>
      <c r="EP3">
        <v>8.3000000000000007</v>
      </c>
      <c r="EQ3">
        <v>2605.9299999999998</v>
      </c>
      <c r="ER3">
        <v>93.65</v>
      </c>
      <c r="ES3">
        <v>136.61000000000001</v>
      </c>
      <c r="ET3">
        <v>12.89</v>
      </c>
      <c r="EU3">
        <v>591.12</v>
      </c>
      <c r="EV3">
        <v>8.3000000000000007</v>
      </c>
      <c r="EW3">
        <v>12.89</v>
      </c>
      <c r="EX3">
        <v>24.06</v>
      </c>
      <c r="EY3">
        <v>15.47</v>
      </c>
      <c r="EZ3">
        <v>8.3000000000000007</v>
      </c>
      <c r="FA3">
        <v>34.369999999999997</v>
      </c>
      <c r="FB3">
        <v>8.3000000000000007</v>
      </c>
      <c r="FC3">
        <v>79.05</v>
      </c>
      <c r="FD3">
        <v>17.18</v>
      </c>
      <c r="FE3">
        <v>7567.77</v>
      </c>
      <c r="FF3">
        <v>92.79</v>
      </c>
      <c r="FG3">
        <v>1204.5899999999999</v>
      </c>
      <c r="FH3">
        <v>750.07</v>
      </c>
      <c r="FI3">
        <v>8.3000000000000007</v>
      </c>
      <c r="FJ3">
        <v>13.75</v>
      </c>
      <c r="FK3">
        <v>3756.39</v>
      </c>
      <c r="FL3">
        <v>30.07</v>
      </c>
      <c r="FM3">
        <v>83.34</v>
      </c>
      <c r="FN3">
        <v>534.41999999999996</v>
      </c>
      <c r="FO3">
        <v>18.899999999999999</v>
      </c>
      <c r="FP3">
        <v>8.3000000000000007</v>
      </c>
      <c r="FQ3">
        <v>24.06</v>
      </c>
      <c r="FR3">
        <v>9.4499999999999993</v>
      </c>
      <c r="FS3">
        <v>8.3000000000000007</v>
      </c>
      <c r="FT3">
        <v>8.3000000000000007</v>
      </c>
      <c r="FU3">
        <v>1418.53</v>
      </c>
      <c r="FV3">
        <v>360.86</v>
      </c>
      <c r="FW3">
        <v>18.04</v>
      </c>
      <c r="FX3">
        <v>88.5</v>
      </c>
      <c r="FY3">
        <v>15.47</v>
      </c>
      <c r="FZ3">
        <v>4262.45</v>
      </c>
      <c r="GA3">
        <v>158.09</v>
      </c>
      <c r="GB3">
        <v>35.229999999999997</v>
      </c>
      <c r="GC3">
        <v>8.3000000000000007</v>
      </c>
      <c r="GD3">
        <v>8.3000000000000007</v>
      </c>
      <c r="GE3">
        <v>219.95</v>
      </c>
      <c r="GF3">
        <v>336.8</v>
      </c>
      <c r="GG3">
        <v>2532.04</v>
      </c>
      <c r="GH3">
        <v>176.13</v>
      </c>
      <c r="GI3">
        <v>201.05</v>
      </c>
      <c r="GJ3">
        <v>462.25</v>
      </c>
      <c r="GK3">
        <v>3601.73</v>
      </c>
      <c r="GL3">
        <v>69.59</v>
      </c>
      <c r="GM3">
        <v>18.04</v>
      </c>
      <c r="GN3">
        <v>8.3000000000000007</v>
      </c>
      <c r="GO3">
        <v>103.96</v>
      </c>
      <c r="GP3">
        <v>12.89</v>
      </c>
      <c r="GQ3">
        <v>8.3000000000000007</v>
      </c>
      <c r="GR3">
        <v>73.03</v>
      </c>
      <c r="GS3">
        <v>93.65</v>
      </c>
      <c r="GT3">
        <v>665.87</v>
      </c>
      <c r="GU3">
        <v>8.3000000000000007</v>
      </c>
      <c r="GV3">
        <v>18.899999999999999</v>
      </c>
      <c r="GW3">
        <v>421</v>
      </c>
      <c r="GX3">
        <v>314.45999999999998</v>
      </c>
      <c r="GY3">
        <v>33.51</v>
      </c>
      <c r="GZ3">
        <v>245.73</v>
      </c>
      <c r="HA3">
        <v>45.54</v>
      </c>
      <c r="HB3">
        <v>525.83000000000004</v>
      </c>
      <c r="HC3">
        <v>296.42</v>
      </c>
      <c r="HD3">
        <v>5672.39</v>
      </c>
      <c r="HE3">
        <v>17.18</v>
      </c>
      <c r="HF3">
        <v>4050.23</v>
      </c>
      <c r="HG3">
        <v>233.7</v>
      </c>
      <c r="HH3">
        <v>307.58999999999997</v>
      </c>
      <c r="HI3">
        <v>50.69</v>
      </c>
      <c r="HJ3">
        <v>1807.74</v>
      </c>
      <c r="HK3">
        <v>10397.09</v>
      </c>
      <c r="HL3">
        <v>816.23</v>
      </c>
      <c r="HM3">
        <v>170.98</v>
      </c>
      <c r="HN3">
        <v>7705.24</v>
      </c>
      <c r="HO3">
        <v>8.3000000000000007</v>
      </c>
      <c r="HP3">
        <v>139.19</v>
      </c>
      <c r="HQ3">
        <v>9032.69</v>
      </c>
      <c r="HR3">
        <v>32.65</v>
      </c>
      <c r="HS3">
        <v>9.4499999999999993</v>
      </c>
      <c r="HT3">
        <v>192.46</v>
      </c>
      <c r="HU3">
        <v>230.26</v>
      </c>
      <c r="HV3">
        <v>317.04000000000002</v>
      </c>
      <c r="HW3">
        <v>7852.16</v>
      </c>
      <c r="HX3">
        <v>32.65</v>
      </c>
      <c r="HY3">
        <v>34.369999999999997</v>
      </c>
      <c r="HZ3">
        <v>212.22</v>
      </c>
      <c r="IA3">
        <v>317.04000000000002</v>
      </c>
      <c r="IB3">
        <v>240.57</v>
      </c>
      <c r="IC3">
        <v>16.32</v>
      </c>
      <c r="ID3">
        <v>10.31</v>
      </c>
      <c r="IE3">
        <v>67.02</v>
      </c>
      <c r="IF3">
        <v>480.29</v>
      </c>
      <c r="IG3">
        <v>34.369999999999997</v>
      </c>
      <c r="IH3">
        <v>8.3000000000000007</v>
      </c>
      <c r="II3">
        <v>77.33</v>
      </c>
      <c r="IJ3">
        <v>21.48</v>
      </c>
      <c r="IK3">
        <v>8.59</v>
      </c>
      <c r="IL3">
        <v>277.52</v>
      </c>
      <c r="IM3">
        <v>91.93</v>
      </c>
      <c r="IN3">
        <v>63.58</v>
      </c>
      <c r="IO3">
        <v>323.06</v>
      </c>
      <c r="IP3">
        <v>8.3000000000000007</v>
      </c>
      <c r="IQ3">
        <v>12.89</v>
      </c>
      <c r="IR3">
        <v>8.3000000000000007</v>
      </c>
      <c r="IS3">
        <v>12.03</v>
      </c>
      <c r="IT3">
        <v>9.4499999999999993</v>
      </c>
      <c r="IU3">
        <v>61.86</v>
      </c>
      <c r="IV3">
        <v>1741.58</v>
      </c>
      <c r="IW3">
        <v>113.41</v>
      </c>
      <c r="IX3">
        <v>15751.57</v>
      </c>
      <c r="IY3">
        <v>18.04</v>
      </c>
      <c r="IZ3">
        <v>17.18</v>
      </c>
      <c r="JA3">
        <v>71.31</v>
      </c>
      <c r="JB3">
        <v>1150.46</v>
      </c>
      <c r="JC3">
        <v>128.02000000000001</v>
      </c>
      <c r="JD3">
        <v>43.82</v>
      </c>
      <c r="JE3">
        <v>23.2</v>
      </c>
      <c r="JF3">
        <v>12.89</v>
      </c>
      <c r="JG3">
        <v>24.92</v>
      </c>
      <c r="JH3">
        <v>116.85</v>
      </c>
      <c r="JI3">
        <v>169.26</v>
      </c>
      <c r="JJ3">
        <v>84.2</v>
      </c>
      <c r="JK3">
        <v>73.89</v>
      </c>
      <c r="JL3">
        <v>19.760000000000002</v>
      </c>
      <c r="JM3">
        <v>8.3000000000000007</v>
      </c>
      <c r="JN3">
        <v>8.59</v>
      </c>
      <c r="JO3">
        <v>598.86</v>
      </c>
      <c r="JP3">
        <v>1681.44</v>
      </c>
      <c r="JQ3">
        <v>1426.26</v>
      </c>
      <c r="JR3">
        <v>15.47</v>
      </c>
      <c r="JS3">
        <v>8.59</v>
      </c>
      <c r="JT3">
        <v>21.48</v>
      </c>
      <c r="JU3">
        <v>93.65</v>
      </c>
      <c r="JV3">
        <v>433.03</v>
      </c>
      <c r="JW3">
        <v>13.75</v>
      </c>
      <c r="JX3">
        <v>94.51</v>
      </c>
      <c r="JY3">
        <v>110.84</v>
      </c>
      <c r="JZ3">
        <v>8.3000000000000007</v>
      </c>
      <c r="KA3">
        <v>8.3000000000000007</v>
      </c>
      <c r="KB3">
        <v>8.3000000000000007</v>
      </c>
      <c r="KC3">
        <v>8.3000000000000007</v>
      </c>
      <c r="KD3">
        <v>8.59</v>
      </c>
      <c r="KE3">
        <v>83.34</v>
      </c>
      <c r="KF3">
        <v>24.92</v>
      </c>
      <c r="KG3">
        <v>61.86</v>
      </c>
      <c r="KH3">
        <v>133.16999999999999</v>
      </c>
      <c r="KI3">
        <v>463.1</v>
      </c>
      <c r="KJ3">
        <v>169.26</v>
      </c>
      <c r="KK3">
        <v>161.53</v>
      </c>
      <c r="KL3">
        <v>38.659999999999997</v>
      </c>
      <c r="KM3">
        <v>69.59</v>
      </c>
      <c r="KN3">
        <v>92.79</v>
      </c>
      <c r="KO3">
        <v>1472.66</v>
      </c>
      <c r="KP3">
        <v>81.62</v>
      </c>
      <c r="KQ3">
        <v>2154.85</v>
      </c>
      <c r="KR3">
        <v>1028.45</v>
      </c>
      <c r="KS3">
        <v>1847.26</v>
      </c>
      <c r="KT3">
        <v>2288.89</v>
      </c>
      <c r="KU3">
        <v>15504.13</v>
      </c>
      <c r="KV3">
        <v>1492.42</v>
      </c>
      <c r="KW3">
        <v>49.83</v>
      </c>
      <c r="KX3">
        <v>71.31</v>
      </c>
      <c r="KY3">
        <v>15.47</v>
      </c>
      <c r="KZ3">
        <v>41.24</v>
      </c>
      <c r="LA3">
        <v>138.33000000000001</v>
      </c>
      <c r="LB3">
        <v>164.11</v>
      </c>
      <c r="LC3">
        <v>200.19</v>
      </c>
      <c r="LD3">
        <v>8.3000000000000007</v>
      </c>
      <c r="LE3">
        <v>40.380000000000003</v>
      </c>
      <c r="LF3">
        <v>309.31</v>
      </c>
      <c r="LG3">
        <v>539.57000000000005</v>
      </c>
      <c r="LH3">
        <v>8.3000000000000007</v>
      </c>
      <c r="LI3">
        <v>5556.4</v>
      </c>
      <c r="LJ3">
        <v>265.49</v>
      </c>
      <c r="LK3">
        <v>2635.14</v>
      </c>
      <c r="LL3">
        <v>158.94999999999999</v>
      </c>
      <c r="LM3">
        <v>8.3000000000000007</v>
      </c>
      <c r="LN3">
        <v>626.35</v>
      </c>
      <c r="LO3">
        <v>8.3000000000000007</v>
      </c>
      <c r="LP3">
        <v>1602.39</v>
      </c>
      <c r="LQ3">
        <v>17.18</v>
      </c>
      <c r="LR3">
        <v>178.71</v>
      </c>
      <c r="LS3">
        <v>124.58</v>
      </c>
      <c r="LT3">
        <v>8.3000000000000007</v>
      </c>
      <c r="LU3">
        <v>110.84</v>
      </c>
      <c r="LV3">
        <v>58.43</v>
      </c>
      <c r="LW3">
        <v>186.44</v>
      </c>
      <c r="LX3">
        <v>7494.74</v>
      </c>
      <c r="LY3">
        <v>1043.92</v>
      </c>
      <c r="LZ3">
        <v>5759.17</v>
      </c>
      <c r="MA3">
        <v>110.84</v>
      </c>
      <c r="MB3">
        <v>849.74</v>
      </c>
      <c r="MC3">
        <v>445.92</v>
      </c>
      <c r="MD3">
        <v>89.36</v>
      </c>
      <c r="ME3">
        <v>65.3</v>
      </c>
      <c r="MF3">
        <v>128.02000000000001</v>
      </c>
      <c r="MG3">
        <v>1227.79</v>
      </c>
      <c r="MH3">
        <v>838.57</v>
      </c>
      <c r="MI3">
        <v>12.03</v>
      </c>
      <c r="MJ3">
        <v>853.18</v>
      </c>
      <c r="MK3">
        <v>8.3000000000000007</v>
      </c>
      <c r="ML3">
        <v>1147.8800000000001</v>
      </c>
      <c r="MM3">
        <v>2725.36</v>
      </c>
      <c r="MN3">
        <v>579.95000000000005</v>
      </c>
      <c r="MO3">
        <v>10.31</v>
      </c>
      <c r="MP3">
        <v>179.57</v>
      </c>
      <c r="MQ3">
        <v>233.7</v>
      </c>
      <c r="MR3">
        <v>11.17</v>
      </c>
      <c r="MS3">
        <v>60.14</v>
      </c>
      <c r="MT3">
        <v>147.78</v>
      </c>
      <c r="MU3">
        <v>18.899999999999999</v>
      </c>
      <c r="MV3">
        <v>273.22000000000003</v>
      </c>
      <c r="MW3">
        <v>178.71</v>
      </c>
      <c r="MX3">
        <v>22.34</v>
      </c>
      <c r="MY3">
        <v>12.03</v>
      </c>
      <c r="MZ3">
        <v>506.06</v>
      </c>
      <c r="NA3">
        <v>18.04</v>
      </c>
      <c r="NB3">
        <v>7074.59</v>
      </c>
      <c r="NC3">
        <v>5811.58</v>
      </c>
      <c r="ND3">
        <v>1222.6300000000001</v>
      </c>
      <c r="NE3">
        <v>2482.21</v>
      </c>
      <c r="NF3">
        <v>8.3000000000000007</v>
      </c>
      <c r="NG3">
        <v>8.3000000000000007</v>
      </c>
      <c r="NH3">
        <v>152.08000000000001</v>
      </c>
      <c r="NI3">
        <v>280.95999999999998</v>
      </c>
      <c r="NJ3">
        <v>78.19</v>
      </c>
      <c r="NK3">
        <v>62.72</v>
      </c>
      <c r="NL3">
        <v>36.950000000000003</v>
      </c>
      <c r="NM3">
        <v>1361.82</v>
      </c>
      <c r="NN3">
        <v>52.41</v>
      </c>
      <c r="NO3">
        <v>24.06</v>
      </c>
      <c r="NP3">
        <v>8.3000000000000007</v>
      </c>
      <c r="NQ3">
        <v>154.65</v>
      </c>
      <c r="NR3">
        <v>505.21</v>
      </c>
      <c r="NS3">
        <v>99.67</v>
      </c>
      <c r="NT3">
        <v>1471.8</v>
      </c>
      <c r="NU3">
        <v>358.28</v>
      </c>
      <c r="NV3">
        <v>610.89</v>
      </c>
      <c r="NW3">
        <v>306.73</v>
      </c>
      <c r="NX3">
        <v>21.48</v>
      </c>
      <c r="NY3">
        <v>146.91999999999999</v>
      </c>
      <c r="NZ3">
        <v>701.96</v>
      </c>
      <c r="OA3">
        <v>30.93</v>
      </c>
      <c r="OB3">
        <v>400.38</v>
      </c>
      <c r="OC3">
        <v>1531.94</v>
      </c>
      <c r="OD3">
        <v>50.69</v>
      </c>
      <c r="OE3">
        <v>1099.77</v>
      </c>
      <c r="OF3">
        <v>12.03</v>
      </c>
      <c r="OG3">
        <v>6431.06</v>
      </c>
      <c r="OH3">
        <v>231.12</v>
      </c>
      <c r="OI3">
        <v>17.18</v>
      </c>
      <c r="OJ3">
        <v>12.89</v>
      </c>
      <c r="OK3">
        <v>2184.9299999999998</v>
      </c>
      <c r="OL3">
        <v>60.14</v>
      </c>
      <c r="OM3">
        <v>160.66999999999999</v>
      </c>
      <c r="ON3">
        <v>73.89</v>
      </c>
      <c r="OO3">
        <v>3473.72</v>
      </c>
      <c r="OP3">
        <v>225.11</v>
      </c>
      <c r="OQ3">
        <v>1647.93</v>
      </c>
      <c r="OR3">
        <v>117.71</v>
      </c>
      <c r="OS3">
        <v>743.2</v>
      </c>
      <c r="OT3">
        <v>264.63</v>
      </c>
      <c r="OU3">
        <v>16.32</v>
      </c>
      <c r="OV3">
        <v>469.12</v>
      </c>
      <c r="OW3">
        <v>8.3000000000000007</v>
      </c>
      <c r="OX3">
        <v>91.07</v>
      </c>
      <c r="OY3">
        <v>10.31</v>
      </c>
      <c r="OZ3">
        <v>8.59</v>
      </c>
      <c r="PA3">
        <v>8.3000000000000007</v>
      </c>
      <c r="PB3">
        <v>9.4499999999999993</v>
      </c>
      <c r="PC3">
        <v>8.3000000000000007</v>
      </c>
      <c r="PD3">
        <v>14.61</v>
      </c>
      <c r="PE3">
        <v>8.3000000000000007</v>
      </c>
      <c r="PF3">
        <v>1101.48</v>
      </c>
      <c r="PG3">
        <v>22.34</v>
      </c>
      <c r="PH3">
        <v>24.06</v>
      </c>
      <c r="PI3">
        <v>197.61</v>
      </c>
      <c r="PJ3">
        <v>15096.87</v>
      </c>
      <c r="PK3">
        <v>18733.830000000002</v>
      </c>
      <c r="PL3">
        <v>18.04</v>
      </c>
      <c r="PM3">
        <v>28155.74</v>
      </c>
      <c r="PN3">
        <v>1318</v>
      </c>
      <c r="PO3">
        <v>61</v>
      </c>
      <c r="PP3">
        <v>175.28</v>
      </c>
      <c r="PQ3">
        <v>18.04</v>
      </c>
      <c r="PR3">
        <v>32.65</v>
      </c>
      <c r="PS3">
        <v>15.47</v>
      </c>
      <c r="PT3">
        <v>10.31</v>
      </c>
      <c r="PU3">
        <v>74.75</v>
      </c>
      <c r="PV3">
        <v>596.28</v>
      </c>
      <c r="PW3">
        <v>50.69</v>
      </c>
      <c r="PX3">
        <v>18.04</v>
      </c>
      <c r="PY3">
        <v>195.04</v>
      </c>
      <c r="PZ3">
        <v>10.31</v>
      </c>
      <c r="QA3">
        <v>287.83</v>
      </c>
      <c r="QB3">
        <v>526.67999999999995</v>
      </c>
      <c r="QC3">
        <v>10.31</v>
      </c>
      <c r="QD3">
        <v>8.3000000000000007</v>
      </c>
      <c r="QE3">
        <v>185.59</v>
      </c>
      <c r="QF3">
        <v>8.3000000000000007</v>
      </c>
      <c r="QG3">
        <v>8.3000000000000007</v>
      </c>
      <c r="QH3">
        <v>10.31</v>
      </c>
      <c r="QI3">
        <v>8.3000000000000007</v>
      </c>
      <c r="QJ3">
        <v>426.16</v>
      </c>
      <c r="QK3">
        <v>12.03</v>
      </c>
      <c r="QL3">
        <v>410.69</v>
      </c>
      <c r="QM3">
        <v>1190.8399999999999</v>
      </c>
      <c r="QN3">
        <v>747.5</v>
      </c>
      <c r="QO3">
        <v>52.41</v>
      </c>
      <c r="QP3">
        <v>61</v>
      </c>
      <c r="QQ3">
        <v>285.25</v>
      </c>
      <c r="QR3">
        <v>95.37</v>
      </c>
      <c r="QS3">
        <v>2190.94</v>
      </c>
      <c r="QT3">
        <v>837.71</v>
      </c>
      <c r="QU3">
        <v>22.34</v>
      </c>
      <c r="QV3">
        <v>219.95</v>
      </c>
      <c r="QW3">
        <v>199.33</v>
      </c>
      <c r="QX3">
        <v>66.16</v>
      </c>
      <c r="QY3">
        <v>155.51</v>
      </c>
      <c r="QZ3">
        <v>8.3000000000000007</v>
      </c>
      <c r="RA3">
        <v>172.7</v>
      </c>
      <c r="RB3">
        <v>427.02</v>
      </c>
      <c r="RC3">
        <v>106.54</v>
      </c>
      <c r="RD3">
        <v>1264.73</v>
      </c>
      <c r="RE3">
        <v>37.799999999999997</v>
      </c>
      <c r="RF3">
        <v>46.4</v>
      </c>
      <c r="RG3">
        <v>605.73</v>
      </c>
      <c r="RH3">
        <v>22.34</v>
      </c>
      <c r="RI3">
        <v>8.3000000000000007</v>
      </c>
      <c r="RJ3">
        <v>52.41</v>
      </c>
      <c r="RK3">
        <v>12.03</v>
      </c>
      <c r="RL3">
        <v>280.10000000000002</v>
      </c>
      <c r="RM3">
        <v>121.15</v>
      </c>
      <c r="RN3">
        <v>283.52999999999997</v>
      </c>
      <c r="RO3">
        <v>240.57</v>
      </c>
      <c r="RP3">
        <v>408.98</v>
      </c>
      <c r="RQ3">
        <v>1795.71</v>
      </c>
      <c r="RR3">
        <v>8.3000000000000007</v>
      </c>
      <c r="RS3">
        <v>711.41</v>
      </c>
      <c r="RT3">
        <v>511.22</v>
      </c>
      <c r="RU3">
        <v>8.3000000000000007</v>
      </c>
      <c r="RV3">
        <v>11.17</v>
      </c>
      <c r="RW3">
        <v>2539.77</v>
      </c>
      <c r="RX3">
        <v>3094.81</v>
      </c>
      <c r="RY3">
        <v>1342.06</v>
      </c>
      <c r="RZ3">
        <v>18.899999999999999</v>
      </c>
      <c r="SA3">
        <v>431.31</v>
      </c>
      <c r="SB3">
        <v>17.18</v>
      </c>
      <c r="SC3">
        <v>42.1</v>
      </c>
      <c r="SD3">
        <v>1751.89</v>
      </c>
      <c r="SE3">
        <v>787.02</v>
      </c>
      <c r="SF3">
        <v>434.75</v>
      </c>
      <c r="SG3">
        <v>12695.43</v>
      </c>
      <c r="SH3">
        <v>89.36</v>
      </c>
      <c r="SI3">
        <v>13.75</v>
      </c>
      <c r="SJ3">
        <v>49.83</v>
      </c>
      <c r="SK3">
        <v>21.48</v>
      </c>
      <c r="SL3">
        <v>41.24</v>
      </c>
      <c r="SM3">
        <v>19.760000000000002</v>
      </c>
      <c r="SN3">
        <v>266.35000000000002</v>
      </c>
      <c r="SO3">
        <v>12.03</v>
      </c>
      <c r="SP3">
        <v>231.98</v>
      </c>
      <c r="SQ3">
        <v>984.63</v>
      </c>
      <c r="SR3">
        <v>2731.37</v>
      </c>
      <c r="SS3">
        <v>2558.6799999999998</v>
      </c>
      <c r="ST3">
        <v>367.73</v>
      </c>
      <c r="SU3">
        <v>371.17</v>
      </c>
      <c r="SV3">
        <v>257.76</v>
      </c>
      <c r="SW3">
        <v>182.15</v>
      </c>
      <c r="SX3">
        <v>91.07</v>
      </c>
      <c r="SY3">
        <v>68.739999999999995</v>
      </c>
      <c r="SZ3">
        <v>8.3000000000000007</v>
      </c>
      <c r="TA3">
        <v>13.75</v>
      </c>
      <c r="TB3">
        <v>2216.7199999999998</v>
      </c>
      <c r="TC3">
        <v>717.43</v>
      </c>
      <c r="TD3">
        <v>146.06</v>
      </c>
      <c r="TE3">
        <v>652.99</v>
      </c>
      <c r="TF3">
        <v>634.08000000000004</v>
      </c>
      <c r="TG3">
        <v>285.25</v>
      </c>
      <c r="TH3">
        <v>275.8</v>
      </c>
      <c r="TI3">
        <v>155.51</v>
      </c>
      <c r="TJ3">
        <v>9.4499999999999993</v>
      </c>
      <c r="TK3">
        <v>61</v>
      </c>
      <c r="TL3">
        <v>324.77</v>
      </c>
      <c r="TM3">
        <v>186.44</v>
      </c>
      <c r="TN3">
        <v>207.92</v>
      </c>
      <c r="TO3">
        <v>1368.69</v>
      </c>
      <c r="TP3">
        <v>753.51</v>
      </c>
      <c r="TQ3">
        <v>53.27</v>
      </c>
      <c r="TR3">
        <v>13.75</v>
      </c>
      <c r="TS3">
        <v>777.57</v>
      </c>
      <c r="TT3">
        <v>92.79</v>
      </c>
      <c r="TU3">
        <v>27.49</v>
      </c>
      <c r="TV3">
        <v>352.27</v>
      </c>
      <c r="TW3">
        <v>583.39</v>
      </c>
      <c r="TX3">
        <v>242.29</v>
      </c>
      <c r="TY3">
        <v>12.89</v>
      </c>
      <c r="TZ3">
        <v>54.13</v>
      </c>
      <c r="UA3">
        <v>402.1</v>
      </c>
      <c r="UB3">
        <v>50.69</v>
      </c>
      <c r="UC3">
        <v>10288.83</v>
      </c>
      <c r="UD3">
        <v>8.3000000000000007</v>
      </c>
      <c r="UE3">
        <v>10.31</v>
      </c>
      <c r="UF3">
        <v>1818.91</v>
      </c>
      <c r="UG3">
        <v>284.39</v>
      </c>
      <c r="UH3">
        <v>9.4499999999999993</v>
      </c>
      <c r="UI3">
        <v>51.55</v>
      </c>
      <c r="UJ3">
        <v>14.61</v>
      </c>
      <c r="UK3">
        <v>26.63</v>
      </c>
      <c r="UL3">
        <v>8.3000000000000007</v>
      </c>
      <c r="UM3">
        <v>10.31</v>
      </c>
      <c r="UN3">
        <v>263.77</v>
      </c>
      <c r="UO3">
        <v>170.98</v>
      </c>
      <c r="UP3">
        <v>8.3000000000000007</v>
      </c>
      <c r="UQ3">
        <v>10.31</v>
      </c>
      <c r="UR3">
        <v>8.3000000000000007</v>
      </c>
      <c r="US3">
        <v>93.65</v>
      </c>
      <c r="UT3">
        <v>97.95</v>
      </c>
      <c r="UU3">
        <v>1097.19</v>
      </c>
      <c r="UV3">
        <v>285.25</v>
      </c>
      <c r="UW3">
        <v>243.15</v>
      </c>
      <c r="UX3">
        <v>45.54</v>
      </c>
      <c r="UY3">
        <v>286.11</v>
      </c>
      <c r="UZ3">
        <v>137.47</v>
      </c>
      <c r="VA3">
        <v>1219.19</v>
      </c>
      <c r="VB3">
        <v>1942.63</v>
      </c>
      <c r="VC3">
        <v>27.49</v>
      </c>
      <c r="VD3">
        <v>397.81</v>
      </c>
      <c r="VE3">
        <v>65.3</v>
      </c>
      <c r="VF3">
        <v>356.56</v>
      </c>
      <c r="VG3">
        <v>117.71</v>
      </c>
      <c r="VH3">
        <v>69.59</v>
      </c>
      <c r="VI3">
        <v>129.74</v>
      </c>
      <c r="VJ3">
        <v>31.79</v>
      </c>
      <c r="VK3">
        <v>1034.47</v>
      </c>
      <c r="VL3">
        <v>1419.39</v>
      </c>
      <c r="VM3">
        <v>2425.5</v>
      </c>
      <c r="VN3">
        <v>396.09</v>
      </c>
      <c r="VO3">
        <v>8.3000000000000007</v>
      </c>
      <c r="VP3">
        <v>8.3000000000000007</v>
      </c>
      <c r="VQ3">
        <v>1465.78</v>
      </c>
      <c r="VR3">
        <v>448.5</v>
      </c>
      <c r="VS3">
        <v>378.04</v>
      </c>
      <c r="VT3">
        <v>29.21</v>
      </c>
      <c r="VU3">
        <v>42.96</v>
      </c>
      <c r="VV3">
        <v>12.03</v>
      </c>
      <c r="VW3">
        <v>329.93</v>
      </c>
      <c r="VX3">
        <v>73.03</v>
      </c>
      <c r="VY3">
        <v>12.89</v>
      </c>
      <c r="VZ3">
        <v>26413.29</v>
      </c>
      <c r="WA3">
        <v>18366.96</v>
      </c>
      <c r="WB3">
        <v>389.21</v>
      </c>
      <c r="WC3">
        <v>206.21</v>
      </c>
      <c r="WD3">
        <v>292.13</v>
      </c>
      <c r="WE3">
        <v>178.71</v>
      </c>
      <c r="WF3">
        <v>92.79</v>
      </c>
      <c r="WG3">
        <v>402.96</v>
      </c>
      <c r="WH3">
        <v>12069.08</v>
      </c>
      <c r="WI3">
        <v>25629.71</v>
      </c>
      <c r="WJ3">
        <v>2197.81</v>
      </c>
      <c r="WK3">
        <v>48.97</v>
      </c>
      <c r="WL3">
        <v>465.68</v>
      </c>
      <c r="WM3">
        <v>8.3000000000000007</v>
      </c>
      <c r="WN3">
        <v>17.18</v>
      </c>
      <c r="WO3">
        <v>8.3000000000000007</v>
      </c>
      <c r="WP3">
        <v>54.13</v>
      </c>
      <c r="WQ3">
        <v>6558.22</v>
      </c>
      <c r="WR3">
        <v>2224.4499999999998</v>
      </c>
      <c r="WS3">
        <v>78.19</v>
      </c>
      <c r="WT3">
        <v>8.3000000000000007</v>
      </c>
      <c r="WU3">
        <v>728.6</v>
      </c>
      <c r="WV3">
        <v>1638.48</v>
      </c>
      <c r="WW3">
        <v>8.3000000000000007</v>
      </c>
      <c r="WX3">
        <v>26.63</v>
      </c>
      <c r="WY3">
        <v>11.17</v>
      </c>
      <c r="WZ3">
        <v>10.31</v>
      </c>
      <c r="XA3">
        <v>8.3000000000000007</v>
      </c>
      <c r="XB3">
        <v>329.07</v>
      </c>
      <c r="XC3">
        <v>30.93</v>
      </c>
      <c r="XD3">
        <v>188.16</v>
      </c>
      <c r="XE3">
        <v>97.95</v>
      </c>
      <c r="XF3">
        <v>1334.33</v>
      </c>
      <c r="XG3">
        <v>1336.04</v>
      </c>
      <c r="XH3">
        <v>776.71</v>
      </c>
      <c r="XI3">
        <v>2859.39</v>
      </c>
      <c r="XJ3">
        <v>555.9</v>
      </c>
      <c r="XK3">
        <v>918.48</v>
      </c>
      <c r="XL3">
        <v>58.43</v>
      </c>
      <c r="XM3">
        <v>511.22</v>
      </c>
      <c r="XN3">
        <v>624.63</v>
      </c>
      <c r="XO3">
        <v>8.59</v>
      </c>
      <c r="XP3">
        <v>12.03</v>
      </c>
      <c r="XQ3">
        <v>34.369999999999997</v>
      </c>
      <c r="XR3">
        <v>8.3000000000000007</v>
      </c>
      <c r="XS3">
        <v>559.33000000000004</v>
      </c>
      <c r="XT3">
        <v>171.84</v>
      </c>
      <c r="XU3">
        <v>708.83</v>
      </c>
      <c r="XV3">
        <v>581.66999999999996</v>
      </c>
      <c r="XW3">
        <v>893.56</v>
      </c>
      <c r="XX3">
        <v>1266.45</v>
      </c>
      <c r="XY3">
        <v>2427.2199999999998</v>
      </c>
      <c r="XZ3">
        <v>34.369999999999997</v>
      </c>
      <c r="YA3">
        <v>122.01</v>
      </c>
      <c r="YB3">
        <v>218.23</v>
      </c>
      <c r="YC3">
        <v>26.63</v>
      </c>
      <c r="YD3">
        <v>758.67</v>
      </c>
      <c r="YE3">
        <v>408.98</v>
      </c>
      <c r="YF3">
        <v>567.92999999999995</v>
      </c>
      <c r="YG3">
        <v>59.28</v>
      </c>
      <c r="YH3">
        <v>12.03</v>
      </c>
      <c r="YI3">
        <v>18.899999999999999</v>
      </c>
      <c r="YJ3">
        <v>777.57</v>
      </c>
      <c r="YK3">
        <v>8.3000000000000007</v>
      </c>
      <c r="YL3">
        <v>43.82</v>
      </c>
      <c r="YM3">
        <v>7303.14</v>
      </c>
      <c r="YN3">
        <v>224.25</v>
      </c>
      <c r="YO3">
        <v>177.85</v>
      </c>
      <c r="YP3">
        <v>2655.76</v>
      </c>
      <c r="YQ3">
        <v>240.57</v>
      </c>
      <c r="YR3">
        <v>400.38</v>
      </c>
      <c r="YS3">
        <v>4045.08</v>
      </c>
      <c r="YT3">
        <v>90.22</v>
      </c>
      <c r="YU3">
        <v>527.54</v>
      </c>
      <c r="YV3">
        <v>12.89</v>
      </c>
      <c r="YW3">
        <v>19.760000000000002</v>
      </c>
      <c r="YX3">
        <v>45.54</v>
      </c>
      <c r="YY3">
        <v>298.14</v>
      </c>
      <c r="YZ3">
        <v>59.28</v>
      </c>
      <c r="ZA3">
        <v>54.99</v>
      </c>
      <c r="ZB3">
        <v>106.54</v>
      </c>
      <c r="ZC3">
        <v>8.3000000000000007</v>
      </c>
      <c r="ZD3">
        <v>320.48</v>
      </c>
      <c r="ZE3">
        <v>8.3000000000000007</v>
      </c>
      <c r="ZF3">
        <v>47.26</v>
      </c>
      <c r="ZG3">
        <v>227.69</v>
      </c>
      <c r="ZH3">
        <v>208.78</v>
      </c>
      <c r="ZI3">
        <v>876.38</v>
      </c>
      <c r="ZJ3">
        <v>63.58</v>
      </c>
      <c r="ZK3">
        <v>334.23</v>
      </c>
      <c r="ZL3">
        <v>8.3000000000000007</v>
      </c>
      <c r="ZM3">
        <v>122.86</v>
      </c>
      <c r="ZN3">
        <v>85.06</v>
      </c>
      <c r="ZO3">
        <v>8.3000000000000007</v>
      </c>
      <c r="ZP3">
        <v>183.01</v>
      </c>
      <c r="ZQ3">
        <v>8.3000000000000007</v>
      </c>
      <c r="ZR3">
        <v>8.3000000000000007</v>
      </c>
      <c r="ZS3">
        <v>1200.29</v>
      </c>
      <c r="ZT3">
        <v>71.31</v>
      </c>
      <c r="ZU3">
        <v>158.09</v>
      </c>
      <c r="ZV3">
        <v>8.3000000000000007</v>
      </c>
      <c r="ZW3">
        <v>10.31</v>
      </c>
      <c r="ZX3">
        <v>34.369999999999997</v>
      </c>
      <c r="ZY3">
        <v>832.56</v>
      </c>
      <c r="ZZ3">
        <v>115.13</v>
      </c>
      <c r="AAA3">
        <v>44.68</v>
      </c>
      <c r="AAB3">
        <v>29.21</v>
      </c>
      <c r="AAC3">
        <v>14.61</v>
      </c>
      <c r="AAD3">
        <v>13.75</v>
      </c>
      <c r="AAE3">
        <v>8.3000000000000007</v>
      </c>
      <c r="AAF3">
        <v>24.06</v>
      </c>
      <c r="AAG3">
        <v>543.01</v>
      </c>
      <c r="AAH3">
        <v>296.42</v>
      </c>
      <c r="AAI3">
        <v>7520.51</v>
      </c>
      <c r="AAJ3">
        <v>866.93</v>
      </c>
      <c r="AAK3">
        <v>42.1</v>
      </c>
      <c r="AAL3">
        <v>69.59</v>
      </c>
      <c r="AAM3">
        <v>9.4499999999999993</v>
      </c>
      <c r="AAN3">
        <v>185.59</v>
      </c>
      <c r="AAO3">
        <v>26.63</v>
      </c>
      <c r="AAP3">
        <v>134.88999999999999</v>
      </c>
      <c r="AAQ3">
        <v>43.82</v>
      </c>
      <c r="AAR3">
        <v>83.34</v>
      </c>
      <c r="AAS3">
        <v>3268.37</v>
      </c>
      <c r="AAT3">
        <v>50.69</v>
      </c>
      <c r="AAU3">
        <v>8.3000000000000007</v>
      </c>
      <c r="AAV3">
        <v>1526.78</v>
      </c>
      <c r="AAW3">
        <v>116.85</v>
      </c>
      <c r="AAX3">
        <v>50.69</v>
      </c>
      <c r="AAY3">
        <v>351.41</v>
      </c>
      <c r="AAZ3">
        <v>80.760000000000005</v>
      </c>
      <c r="ABA3">
        <v>547.30999999999995</v>
      </c>
      <c r="ABB3">
        <v>8.3000000000000007</v>
      </c>
      <c r="ABC3">
        <v>428.74</v>
      </c>
      <c r="ABD3">
        <v>3636.96</v>
      </c>
      <c r="ABE3">
        <v>1244.1099999999999</v>
      </c>
      <c r="ABF3">
        <v>1626.45</v>
      </c>
      <c r="ABG3">
        <v>82.48</v>
      </c>
      <c r="ABH3">
        <v>213.08</v>
      </c>
      <c r="ABI3">
        <v>27.49</v>
      </c>
      <c r="ABJ3">
        <v>61</v>
      </c>
      <c r="ABK3">
        <v>250.88</v>
      </c>
      <c r="ABL3">
        <v>18.04</v>
      </c>
      <c r="ABM3">
        <v>13.75</v>
      </c>
      <c r="ABN3">
        <v>67.88</v>
      </c>
      <c r="ABO3">
        <v>9.4499999999999993</v>
      </c>
      <c r="ABP3">
        <v>58.43</v>
      </c>
      <c r="ABQ3">
        <v>122.01</v>
      </c>
      <c r="ABR3">
        <v>15.47</v>
      </c>
      <c r="ABS3">
        <v>700.24</v>
      </c>
      <c r="ABT3">
        <v>17.18</v>
      </c>
      <c r="ABU3">
        <v>17.18</v>
      </c>
      <c r="ABV3">
        <v>175.28</v>
      </c>
      <c r="ABW3">
        <v>147.78</v>
      </c>
      <c r="ABX3">
        <v>195.9</v>
      </c>
      <c r="ABY3">
        <v>456.23</v>
      </c>
      <c r="ABZ3">
        <v>182.15</v>
      </c>
      <c r="ACA3">
        <v>738.05</v>
      </c>
      <c r="ACB3">
        <v>179.57</v>
      </c>
      <c r="ACC3">
        <v>166.68</v>
      </c>
      <c r="ACD3">
        <v>492.32</v>
      </c>
      <c r="ACE3">
        <v>161.53</v>
      </c>
      <c r="ACF3">
        <v>6909.63</v>
      </c>
      <c r="ACG3">
        <v>2777.77</v>
      </c>
      <c r="ACH3">
        <v>483.73</v>
      </c>
      <c r="ACI3">
        <v>818.81</v>
      </c>
      <c r="ACJ3">
        <v>1121.25</v>
      </c>
      <c r="ACK3">
        <v>621.20000000000005</v>
      </c>
      <c r="ACL3">
        <v>71.31</v>
      </c>
      <c r="ACM3">
        <v>518.95000000000005</v>
      </c>
      <c r="ACN3">
        <v>383.2</v>
      </c>
      <c r="ACO3">
        <v>483.73</v>
      </c>
      <c r="ACP3">
        <v>618.62</v>
      </c>
      <c r="ACQ3">
        <v>427.88</v>
      </c>
      <c r="ACR3">
        <v>4620.74</v>
      </c>
    </row>
    <row r="4" spans="1:772" x14ac:dyDescent="0.3">
      <c r="A4" t="s">
        <v>5</v>
      </c>
      <c r="B4" t="s">
        <v>3</v>
      </c>
      <c r="C4">
        <v>135.18</v>
      </c>
      <c r="D4">
        <v>168.22</v>
      </c>
      <c r="E4">
        <v>321.43</v>
      </c>
      <c r="F4">
        <v>9.76</v>
      </c>
      <c r="G4">
        <v>15030.51</v>
      </c>
      <c r="H4">
        <v>36.799999999999997</v>
      </c>
      <c r="I4">
        <v>2266.52</v>
      </c>
      <c r="J4">
        <v>21118.86</v>
      </c>
      <c r="K4">
        <v>1036.3800000000001</v>
      </c>
      <c r="L4">
        <v>11.26</v>
      </c>
      <c r="M4">
        <v>57.83</v>
      </c>
      <c r="N4">
        <v>1264.68</v>
      </c>
      <c r="O4">
        <v>377</v>
      </c>
      <c r="P4">
        <v>343.21</v>
      </c>
      <c r="Q4">
        <v>96.13</v>
      </c>
      <c r="R4">
        <v>1114.48</v>
      </c>
      <c r="S4">
        <v>11.26</v>
      </c>
      <c r="T4">
        <v>344.71</v>
      </c>
      <c r="U4">
        <v>197.51</v>
      </c>
      <c r="V4">
        <v>80.36</v>
      </c>
      <c r="W4">
        <v>4838.6899999999996</v>
      </c>
      <c r="X4">
        <v>12.02</v>
      </c>
      <c r="Y4">
        <v>1126.5</v>
      </c>
      <c r="Z4">
        <v>664.63</v>
      </c>
      <c r="AA4">
        <v>26.28</v>
      </c>
      <c r="AB4">
        <v>3669.38</v>
      </c>
      <c r="AC4">
        <v>487.4</v>
      </c>
      <c r="AD4">
        <v>339.45</v>
      </c>
      <c r="AE4">
        <v>347.71</v>
      </c>
      <c r="AF4">
        <v>21088.07</v>
      </c>
      <c r="AG4">
        <v>868.16</v>
      </c>
      <c r="AH4">
        <v>256.83999999999997</v>
      </c>
      <c r="AI4">
        <v>35.299999999999997</v>
      </c>
      <c r="AJ4">
        <v>522.70000000000005</v>
      </c>
      <c r="AK4">
        <v>319.17</v>
      </c>
      <c r="AL4">
        <v>210.28</v>
      </c>
      <c r="AM4">
        <v>143.44</v>
      </c>
      <c r="AN4">
        <v>19.53</v>
      </c>
      <c r="AO4">
        <v>1002.58</v>
      </c>
      <c r="AP4">
        <v>13.52</v>
      </c>
      <c r="AQ4">
        <v>194.51</v>
      </c>
      <c r="AR4">
        <v>145.69</v>
      </c>
      <c r="AS4">
        <v>120.91</v>
      </c>
      <c r="AT4">
        <v>7.09</v>
      </c>
      <c r="AU4">
        <v>29.29</v>
      </c>
      <c r="AV4">
        <v>764.52</v>
      </c>
      <c r="AW4">
        <v>349.97</v>
      </c>
      <c r="AX4">
        <v>6748.48</v>
      </c>
      <c r="AY4">
        <v>51.82</v>
      </c>
      <c r="AZ4">
        <v>83.36</v>
      </c>
      <c r="BA4">
        <v>370.99</v>
      </c>
      <c r="BB4">
        <v>743.49</v>
      </c>
      <c r="BC4">
        <v>62.33</v>
      </c>
      <c r="BD4">
        <v>7.09</v>
      </c>
      <c r="BE4">
        <v>81.11</v>
      </c>
      <c r="BF4">
        <v>78.849999999999994</v>
      </c>
      <c r="BG4">
        <v>21.78</v>
      </c>
      <c r="BH4">
        <v>30.04</v>
      </c>
      <c r="BI4">
        <v>8.26</v>
      </c>
      <c r="BJ4">
        <v>13.52</v>
      </c>
      <c r="BK4">
        <v>108.89</v>
      </c>
      <c r="BL4">
        <v>984.56</v>
      </c>
      <c r="BM4">
        <v>75.849999999999994</v>
      </c>
      <c r="BN4">
        <v>284.63</v>
      </c>
      <c r="BO4">
        <v>122.41</v>
      </c>
      <c r="BP4">
        <v>9.01</v>
      </c>
      <c r="BQ4">
        <v>7.09</v>
      </c>
      <c r="BR4">
        <v>77.349999999999994</v>
      </c>
      <c r="BS4">
        <v>7.51</v>
      </c>
      <c r="BT4">
        <v>207.28</v>
      </c>
      <c r="BU4">
        <v>246.33</v>
      </c>
      <c r="BV4">
        <v>15.77</v>
      </c>
      <c r="BW4">
        <v>62.33</v>
      </c>
      <c r="BX4">
        <v>220.04</v>
      </c>
      <c r="BY4">
        <v>81.86</v>
      </c>
      <c r="BZ4">
        <v>312.42</v>
      </c>
      <c r="CA4">
        <v>20.28</v>
      </c>
      <c r="CB4">
        <v>19.53</v>
      </c>
      <c r="CC4">
        <v>17.27</v>
      </c>
      <c r="CD4">
        <v>113.4</v>
      </c>
      <c r="CE4">
        <v>448.35</v>
      </c>
      <c r="CF4">
        <v>796.06</v>
      </c>
      <c r="CG4">
        <v>63.08</v>
      </c>
      <c r="CH4">
        <v>159.21</v>
      </c>
      <c r="CI4">
        <v>10.51</v>
      </c>
      <c r="CJ4">
        <v>15.77</v>
      </c>
      <c r="CK4">
        <v>20.28</v>
      </c>
      <c r="CL4">
        <v>20.28</v>
      </c>
      <c r="CM4">
        <v>75.849999999999994</v>
      </c>
      <c r="CN4">
        <v>18.02</v>
      </c>
      <c r="CO4">
        <v>8.26</v>
      </c>
      <c r="CP4">
        <v>7.09</v>
      </c>
      <c r="CQ4">
        <v>24.78</v>
      </c>
      <c r="CR4">
        <v>31.54</v>
      </c>
      <c r="CS4">
        <v>7.51</v>
      </c>
      <c r="CT4">
        <v>8.26</v>
      </c>
      <c r="CU4">
        <v>9.01</v>
      </c>
      <c r="CV4">
        <v>31.54</v>
      </c>
      <c r="CW4">
        <v>2031.45</v>
      </c>
      <c r="CX4">
        <v>20.28</v>
      </c>
      <c r="CY4">
        <v>119.41</v>
      </c>
      <c r="CZ4">
        <v>73.599999999999994</v>
      </c>
      <c r="DA4">
        <v>7.09</v>
      </c>
      <c r="DB4">
        <v>12.02</v>
      </c>
      <c r="DC4">
        <v>13.52</v>
      </c>
      <c r="DD4">
        <v>8.26</v>
      </c>
      <c r="DE4">
        <v>15.02</v>
      </c>
      <c r="DF4">
        <v>117.16</v>
      </c>
      <c r="DG4">
        <v>7.09</v>
      </c>
      <c r="DH4">
        <v>2774.94</v>
      </c>
      <c r="DI4">
        <v>7.09</v>
      </c>
      <c r="DJ4">
        <v>14.27</v>
      </c>
      <c r="DK4">
        <v>31.54</v>
      </c>
      <c r="DL4">
        <v>1372.08</v>
      </c>
      <c r="DM4">
        <v>10.51</v>
      </c>
      <c r="DN4">
        <v>9.01</v>
      </c>
      <c r="DO4">
        <v>156.96</v>
      </c>
      <c r="DP4">
        <v>16.52</v>
      </c>
      <c r="DQ4">
        <v>1363.82</v>
      </c>
      <c r="DR4">
        <v>11.26</v>
      </c>
      <c r="DS4">
        <v>7.09</v>
      </c>
      <c r="DT4">
        <v>31.54</v>
      </c>
      <c r="DU4">
        <v>806.57</v>
      </c>
      <c r="DV4">
        <v>33.79</v>
      </c>
      <c r="DW4">
        <v>7.09</v>
      </c>
      <c r="DX4">
        <v>38.299999999999997</v>
      </c>
      <c r="DY4">
        <v>21.78</v>
      </c>
      <c r="DZ4">
        <v>30.79</v>
      </c>
      <c r="EA4">
        <v>17.27</v>
      </c>
      <c r="EB4">
        <v>20.28</v>
      </c>
      <c r="EC4">
        <v>10.51</v>
      </c>
      <c r="ED4">
        <v>65.34</v>
      </c>
      <c r="EE4">
        <v>7.09</v>
      </c>
      <c r="EF4">
        <v>2456.52</v>
      </c>
      <c r="EG4">
        <v>519.69000000000005</v>
      </c>
      <c r="EH4">
        <v>27.79</v>
      </c>
      <c r="EI4">
        <v>10.51</v>
      </c>
      <c r="EJ4">
        <v>828.35</v>
      </c>
      <c r="EK4">
        <v>1142.27</v>
      </c>
      <c r="EL4">
        <v>3390.76</v>
      </c>
      <c r="EM4">
        <v>722.46</v>
      </c>
      <c r="EN4">
        <v>205.77</v>
      </c>
      <c r="EO4">
        <v>751</v>
      </c>
      <c r="EP4">
        <v>7.51</v>
      </c>
      <c r="EQ4">
        <v>2593.9499999999998</v>
      </c>
      <c r="ER4">
        <v>40.549999999999997</v>
      </c>
      <c r="ES4">
        <v>69.09</v>
      </c>
      <c r="ET4">
        <v>18.02</v>
      </c>
      <c r="EU4">
        <v>567.76</v>
      </c>
      <c r="EV4">
        <v>7.51</v>
      </c>
      <c r="EW4">
        <v>10.51</v>
      </c>
      <c r="EX4">
        <v>16.52</v>
      </c>
      <c r="EY4">
        <v>21.03</v>
      </c>
      <c r="EZ4">
        <v>9.01</v>
      </c>
      <c r="FA4">
        <v>40.549999999999997</v>
      </c>
      <c r="FB4">
        <v>9.76</v>
      </c>
      <c r="FC4">
        <v>234.31</v>
      </c>
      <c r="FD4">
        <v>18.02</v>
      </c>
      <c r="FE4">
        <v>4988.1400000000003</v>
      </c>
      <c r="FF4">
        <v>77.349999999999994</v>
      </c>
      <c r="FG4">
        <v>1663.46</v>
      </c>
      <c r="FH4">
        <v>1284.96</v>
      </c>
      <c r="FI4">
        <v>7.09</v>
      </c>
      <c r="FJ4">
        <v>18.02</v>
      </c>
      <c r="FK4">
        <v>3939.74</v>
      </c>
      <c r="FL4">
        <v>30.04</v>
      </c>
      <c r="FM4">
        <v>93.12</v>
      </c>
      <c r="FN4">
        <v>326.68</v>
      </c>
      <c r="FO4">
        <v>20.28</v>
      </c>
      <c r="FP4">
        <v>7.09</v>
      </c>
      <c r="FQ4">
        <v>26.28</v>
      </c>
      <c r="FR4">
        <v>7.09</v>
      </c>
      <c r="FS4">
        <v>7.09</v>
      </c>
      <c r="FT4">
        <v>14.27</v>
      </c>
      <c r="FU4">
        <v>1485.48</v>
      </c>
      <c r="FV4">
        <v>254.59</v>
      </c>
      <c r="FW4">
        <v>18.02</v>
      </c>
      <c r="FX4">
        <v>62.33</v>
      </c>
      <c r="FY4">
        <v>12.02</v>
      </c>
      <c r="FZ4">
        <v>2698.34</v>
      </c>
      <c r="GA4">
        <v>57.83</v>
      </c>
      <c r="GB4">
        <v>9.01</v>
      </c>
      <c r="GC4">
        <v>7.09</v>
      </c>
      <c r="GD4">
        <v>7.09</v>
      </c>
      <c r="GE4">
        <v>216.29</v>
      </c>
      <c r="GF4">
        <v>310.91000000000003</v>
      </c>
      <c r="GG4">
        <v>1599.63</v>
      </c>
      <c r="GH4">
        <v>179.49</v>
      </c>
      <c r="GI4">
        <v>259.08999999999997</v>
      </c>
      <c r="GJ4">
        <v>262.10000000000002</v>
      </c>
      <c r="GK4">
        <v>3288.63</v>
      </c>
      <c r="GL4">
        <v>30.79</v>
      </c>
      <c r="GM4">
        <v>21.78</v>
      </c>
      <c r="GN4">
        <v>7.09</v>
      </c>
      <c r="GO4">
        <v>114.15</v>
      </c>
      <c r="GP4">
        <v>16.52</v>
      </c>
      <c r="GQ4">
        <v>7.51</v>
      </c>
      <c r="GR4">
        <v>37.549999999999997</v>
      </c>
      <c r="GS4">
        <v>150.19999999999999</v>
      </c>
      <c r="GT4">
        <v>663.88</v>
      </c>
      <c r="GU4">
        <v>7.09</v>
      </c>
      <c r="GV4">
        <v>14.27</v>
      </c>
      <c r="GW4">
        <v>387.52</v>
      </c>
      <c r="GX4">
        <v>328.94</v>
      </c>
      <c r="GY4">
        <v>27.79</v>
      </c>
      <c r="GZ4">
        <v>190.75</v>
      </c>
      <c r="HA4">
        <v>183.24</v>
      </c>
      <c r="HB4">
        <v>376.25</v>
      </c>
      <c r="HC4">
        <v>243.32</v>
      </c>
      <c r="HD4">
        <v>6348.2</v>
      </c>
      <c r="HE4">
        <v>15.77</v>
      </c>
      <c r="HF4">
        <v>3827.09</v>
      </c>
      <c r="HG4">
        <v>221.54</v>
      </c>
      <c r="HH4">
        <v>268.11</v>
      </c>
      <c r="HI4">
        <v>48.81</v>
      </c>
      <c r="HJ4">
        <v>1623.66</v>
      </c>
      <c r="HK4">
        <v>9243.2999999999993</v>
      </c>
      <c r="HL4">
        <v>609.05999999999995</v>
      </c>
      <c r="HM4">
        <v>156.21</v>
      </c>
      <c r="HN4">
        <v>7905.77</v>
      </c>
      <c r="HO4">
        <v>16.52</v>
      </c>
      <c r="HP4">
        <v>144.94</v>
      </c>
      <c r="HQ4">
        <v>8089.77</v>
      </c>
      <c r="HR4">
        <v>21.03</v>
      </c>
      <c r="HS4">
        <v>7.09</v>
      </c>
      <c r="HT4">
        <v>162.97</v>
      </c>
      <c r="HU4">
        <v>242.57</v>
      </c>
      <c r="HV4">
        <v>334.19</v>
      </c>
      <c r="HW4">
        <v>8419.4599999999991</v>
      </c>
      <c r="HX4">
        <v>28.54</v>
      </c>
      <c r="HY4">
        <v>19.53</v>
      </c>
      <c r="HZ4">
        <v>185.5</v>
      </c>
      <c r="IA4">
        <v>277.87</v>
      </c>
      <c r="IB4">
        <v>232.06</v>
      </c>
      <c r="IC4">
        <v>25.53</v>
      </c>
      <c r="ID4">
        <v>13.52</v>
      </c>
      <c r="IE4">
        <v>34.549999999999997</v>
      </c>
      <c r="IF4">
        <v>509.18</v>
      </c>
      <c r="IG4">
        <v>27.04</v>
      </c>
      <c r="IH4">
        <v>7.09</v>
      </c>
      <c r="II4">
        <v>70.59</v>
      </c>
      <c r="IJ4">
        <v>13.52</v>
      </c>
      <c r="IK4">
        <v>7.09</v>
      </c>
      <c r="IL4">
        <v>262.10000000000002</v>
      </c>
      <c r="IM4">
        <v>96.13</v>
      </c>
      <c r="IN4">
        <v>78.849999999999994</v>
      </c>
      <c r="IO4">
        <v>413.05</v>
      </c>
      <c r="IP4">
        <v>7.09</v>
      </c>
      <c r="IQ4">
        <v>10.51</v>
      </c>
      <c r="IR4">
        <v>8.26</v>
      </c>
      <c r="IS4">
        <v>9.01</v>
      </c>
      <c r="IT4">
        <v>7.09</v>
      </c>
      <c r="IU4">
        <v>146.44</v>
      </c>
      <c r="IV4">
        <v>1848.21</v>
      </c>
      <c r="IW4">
        <v>202.02</v>
      </c>
      <c r="IX4">
        <v>12701.66</v>
      </c>
      <c r="IY4">
        <v>15.77</v>
      </c>
      <c r="IZ4">
        <v>18.77</v>
      </c>
      <c r="JA4">
        <v>65.34</v>
      </c>
      <c r="JB4">
        <v>859.89</v>
      </c>
      <c r="JC4">
        <v>132.18</v>
      </c>
      <c r="JD4">
        <v>75.099999999999994</v>
      </c>
      <c r="JE4">
        <v>21.78</v>
      </c>
      <c r="JF4">
        <v>13.52</v>
      </c>
      <c r="JG4">
        <v>40.549999999999997</v>
      </c>
      <c r="JH4">
        <v>60.08</v>
      </c>
      <c r="JI4">
        <v>180.24</v>
      </c>
      <c r="JJ4">
        <v>45.06</v>
      </c>
      <c r="JK4">
        <v>78.849999999999994</v>
      </c>
      <c r="JL4">
        <v>24.03</v>
      </c>
      <c r="JM4">
        <v>9.01</v>
      </c>
      <c r="JN4">
        <v>22.53</v>
      </c>
      <c r="JO4">
        <v>482.14</v>
      </c>
      <c r="JP4">
        <v>1577.85</v>
      </c>
      <c r="JQ4">
        <v>1193.3399999999999</v>
      </c>
      <c r="JR4">
        <v>16.52</v>
      </c>
      <c r="JS4">
        <v>12.77</v>
      </c>
      <c r="JT4">
        <v>12.77</v>
      </c>
      <c r="JU4">
        <v>81.86</v>
      </c>
      <c r="JV4">
        <v>401.78</v>
      </c>
      <c r="JW4">
        <v>27.79</v>
      </c>
      <c r="JX4">
        <v>90.12</v>
      </c>
      <c r="JY4">
        <v>93.12</v>
      </c>
      <c r="JZ4">
        <v>7.09</v>
      </c>
      <c r="KA4">
        <v>7.09</v>
      </c>
      <c r="KB4">
        <v>7.51</v>
      </c>
      <c r="KC4">
        <v>7.09</v>
      </c>
      <c r="KD4">
        <v>18.02</v>
      </c>
      <c r="KE4">
        <v>72.849999999999994</v>
      </c>
      <c r="KF4">
        <v>36.049999999999997</v>
      </c>
      <c r="KG4">
        <v>49.57</v>
      </c>
      <c r="KH4">
        <v>157.71</v>
      </c>
      <c r="KI4">
        <v>481.39</v>
      </c>
      <c r="KJ4">
        <v>162.22</v>
      </c>
      <c r="KK4">
        <v>189.25</v>
      </c>
      <c r="KL4">
        <v>34.549999999999997</v>
      </c>
      <c r="KM4">
        <v>35.299999999999997</v>
      </c>
      <c r="KN4">
        <v>62.33</v>
      </c>
      <c r="KO4">
        <v>1597.38</v>
      </c>
      <c r="KP4">
        <v>141.94</v>
      </c>
      <c r="KQ4">
        <v>2596.21</v>
      </c>
      <c r="KR4">
        <v>987.56</v>
      </c>
      <c r="KS4">
        <v>2485.06</v>
      </c>
      <c r="KT4">
        <v>2563.16</v>
      </c>
      <c r="KU4">
        <v>18151.66</v>
      </c>
      <c r="KV4">
        <v>1604.89</v>
      </c>
      <c r="KW4">
        <v>48.06</v>
      </c>
      <c r="KX4">
        <v>57.83</v>
      </c>
      <c r="KY4">
        <v>14.27</v>
      </c>
      <c r="KZ4">
        <v>38.299999999999997</v>
      </c>
      <c r="LA4">
        <v>115.65</v>
      </c>
      <c r="LB4">
        <v>196.76</v>
      </c>
      <c r="LC4">
        <v>170.48</v>
      </c>
      <c r="LD4">
        <v>7.09</v>
      </c>
      <c r="LE4">
        <v>54.07</v>
      </c>
      <c r="LF4">
        <v>251.58</v>
      </c>
      <c r="LG4">
        <v>453.6</v>
      </c>
      <c r="LH4">
        <v>7.51</v>
      </c>
      <c r="LI4">
        <v>5887.09</v>
      </c>
      <c r="LJ4">
        <v>247.08</v>
      </c>
      <c r="LK4">
        <v>2330.35</v>
      </c>
      <c r="LL4">
        <v>153.19999999999999</v>
      </c>
      <c r="LM4">
        <v>15.77</v>
      </c>
      <c r="LN4">
        <v>597.79999999999995</v>
      </c>
      <c r="LO4">
        <v>7.09</v>
      </c>
      <c r="LP4">
        <v>1830.94</v>
      </c>
      <c r="LQ4">
        <v>27.79</v>
      </c>
      <c r="LR4">
        <v>199.01</v>
      </c>
      <c r="LS4">
        <v>233.56</v>
      </c>
      <c r="LT4">
        <v>7.09</v>
      </c>
      <c r="LU4">
        <v>131.41999999999999</v>
      </c>
      <c r="LV4">
        <v>57.83</v>
      </c>
      <c r="LW4">
        <v>56.32</v>
      </c>
      <c r="LX4">
        <v>7083.43</v>
      </c>
      <c r="LY4">
        <v>868.16</v>
      </c>
      <c r="LZ4">
        <v>3479.38</v>
      </c>
      <c r="MA4">
        <v>62.33</v>
      </c>
      <c r="MB4">
        <v>376.25</v>
      </c>
      <c r="MC4">
        <v>338.7</v>
      </c>
      <c r="MD4">
        <v>45.81</v>
      </c>
      <c r="ME4">
        <v>21.78</v>
      </c>
      <c r="MF4">
        <v>54.07</v>
      </c>
      <c r="MG4">
        <v>992.82</v>
      </c>
      <c r="MH4">
        <v>786.3</v>
      </c>
      <c r="MI4">
        <v>15.02</v>
      </c>
      <c r="MJ4">
        <v>831.36</v>
      </c>
      <c r="MK4">
        <v>7.09</v>
      </c>
      <c r="ML4">
        <v>1258.68</v>
      </c>
      <c r="MM4">
        <v>2564.66</v>
      </c>
      <c r="MN4">
        <v>604.54999999999995</v>
      </c>
      <c r="MO4">
        <v>7.09</v>
      </c>
      <c r="MP4">
        <v>169.73</v>
      </c>
      <c r="MQ4">
        <v>253.09</v>
      </c>
      <c r="MR4">
        <v>7.09</v>
      </c>
      <c r="MS4">
        <v>81.11</v>
      </c>
      <c r="MT4">
        <v>155.46</v>
      </c>
      <c r="MU4">
        <v>29.29</v>
      </c>
      <c r="MV4">
        <v>259.85000000000002</v>
      </c>
      <c r="MW4">
        <v>108.89</v>
      </c>
      <c r="MX4">
        <v>21.78</v>
      </c>
      <c r="MY4">
        <v>7.09</v>
      </c>
      <c r="MZ4">
        <v>420.56</v>
      </c>
      <c r="NA4">
        <v>13.52</v>
      </c>
      <c r="NB4">
        <v>5660.28</v>
      </c>
      <c r="NC4">
        <v>4397.1000000000004</v>
      </c>
      <c r="ND4">
        <v>996.58</v>
      </c>
      <c r="NE4">
        <v>2491.0700000000002</v>
      </c>
      <c r="NF4">
        <v>7.09</v>
      </c>
      <c r="NG4">
        <v>7.09</v>
      </c>
      <c r="NH4">
        <v>168.22</v>
      </c>
      <c r="NI4">
        <v>264.35000000000002</v>
      </c>
      <c r="NJ4">
        <v>81.86</v>
      </c>
      <c r="NK4">
        <v>68.34</v>
      </c>
      <c r="NL4">
        <v>39.049999999999997</v>
      </c>
      <c r="NM4">
        <v>1155.79</v>
      </c>
      <c r="NN4">
        <v>42.06</v>
      </c>
      <c r="NO4">
        <v>31.54</v>
      </c>
      <c r="NP4">
        <v>7.09</v>
      </c>
      <c r="NQ4">
        <v>230.56</v>
      </c>
      <c r="NR4">
        <v>588.03</v>
      </c>
      <c r="NS4">
        <v>73.599999999999994</v>
      </c>
      <c r="NT4">
        <v>1259.43</v>
      </c>
      <c r="NU4">
        <v>274.87</v>
      </c>
      <c r="NV4">
        <v>561.75</v>
      </c>
      <c r="NW4">
        <v>262.10000000000002</v>
      </c>
      <c r="NX4">
        <v>21.78</v>
      </c>
      <c r="NY4">
        <v>160.71</v>
      </c>
      <c r="NZ4">
        <v>613.57000000000005</v>
      </c>
      <c r="OA4">
        <v>36.799999999999997</v>
      </c>
      <c r="OB4">
        <v>334.19</v>
      </c>
      <c r="OC4">
        <v>1056.6600000000001</v>
      </c>
      <c r="OD4">
        <v>96.88</v>
      </c>
      <c r="OE4">
        <v>811.83</v>
      </c>
      <c r="OF4">
        <v>12.77</v>
      </c>
      <c r="OG4">
        <v>4915.29</v>
      </c>
      <c r="OH4">
        <v>229.05</v>
      </c>
      <c r="OI4">
        <v>15.77</v>
      </c>
      <c r="OJ4">
        <v>18.02</v>
      </c>
      <c r="OK4">
        <v>1649.95</v>
      </c>
      <c r="OL4">
        <v>96.88</v>
      </c>
      <c r="OM4">
        <v>153.94999999999999</v>
      </c>
      <c r="ON4">
        <v>123.16</v>
      </c>
      <c r="OO4">
        <v>2784.71</v>
      </c>
      <c r="OP4">
        <v>231.31</v>
      </c>
      <c r="OQ4">
        <v>1352.55</v>
      </c>
      <c r="OR4">
        <v>111.9</v>
      </c>
      <c r="OS4">
        <v>784.04</v>
      </c>
      <c r="OT4">
        <v>286.13</v>
      </c>
      <c r="OU4">
        <v>32.29</v>
      </c>
      <c r="OV4">
        <v>470.13</v>
      </c>
      <c r="OW4">
        <v>7.09</v>
      </c>
      <c r="OX4">
        <v>77.349999999999994</v>
      </c>
      <c r="OY4">
        <v>18.77</v>
      </c>
      <c r="OZ4">
        <v>12.02</v>
      </c>
      <c r="PA4">
        <v>9.76</v>
      </c>
      <c r="PB4">
        <v>44.31</v>
      </c>
      <c r="PC4">
        <v>7.09</v>
      </c>
      <c r="PD4">
        <v>25.53</v>
      </c>
      <c r="PE4">
        <v>7.09</v>
      </c>
      <c r="PF4">
        <v>1417.14</v>
      </c>
      <c r="PG4">
        <v>17.27</v>
      </c>
      <c r="PH4">
        <v>35.299999999999997</v>
      </c>
      <c r="PI4">
        <v>170.48</v>
      </c>
      <c r="PJ4">
        <v>11406.18</v>
      </c>
      <c r="PK4">
        <v>12163.94</v>
      </c>
      <c r="PL4">
        <v>16.52</v>
      </c>
      <c r="PM4">
        <v>26233.17</v>
      </c>
      <c r="PN4">
        <v>1205.3499999999999</v>
      </c>
      <c r="PO4">
        <v>54.82</v>
      </c>
      <c r="PP4">
        <v>229.05</v>
      </c>
      <c r="PQ4">
        <v>24.78</v>
      </c>
      <c r="PR4">
        <v>25.53</v>
      </c>
      <c r="PS4">
        <v>13.52</v>
      </c>
      <c r="PT4">
        <v>8.26</v>
      </c>
      <c r="PU4">
        <v>74.349999999999994</v>
      </c>
      <c r="PV4">
        <v>539.97</v>
      </c>
      <c r="PW4">
        <v>59.33</v>
      </c>
      <c r="PX4">
        <v>14.27</v>
      </c>
      <c r="PY4">
        <v>188.5</v>
      </c>
      <c r="PZ4">
        <v>10.51</v>
      </c>
      <c r="QA4">
        <v>292.14</v>
      </c>
      <c r="QB4">
        <v>445.34</v>
      </c>
      <c r="QC4">
        <v>11.26</v>
      </c>
      <c r="QD4">
        <v>7.09</v>
      </c>
      <c r="QE4">
        <v>135.18</v>
      </c>
      <c r="QF4">
        <v>7.09</v>
      </c>
      <c r="QG4">
        <v>13.52</v>
      </c>
      <c r="QH4">
        <v>9.76</v>
      </c>
      <c r="QI4">
        <v>10.51</v>
      </c>
      <c r="QJ4">
        <v>408.54</v>
      </c>
      <c r="QK4">
        <v>18.77</v>
      </c>
      <c r="QL4">
        <v>353.72</v>
      </c>
      <c r="QM4">
        <v>1427.65</v>
      </c>
      <c r="QN4">
        <v>777.28</v>
      </c>
      <c r="QO4">
        <v>49.57</v>
      </c>
      <c r="QP4">
        <v>47.31</v>
      </c>
      <c r="QQ4">
        <v>244.07</v>
      </c>
      <c r="QR4">
        <v>64.59</v>
      </c>
      <c r="QS4">
        <v>2032.96</v>
      </c>
      <c r="QT4">
        <v>866.65</v>
      </c>
      <c r="QU4">
        <v>26.28</v>
      </c>
      <c r="QV4">
        <v>180.24</v>
      </c>
      <c r="QW4">
        <v>249.33</v>
      </c>
      <c r="QX4">
        <v>75.849999999999994</v>
      </c>
      <c r="QY4">
        <v>60.08</v>
      </c>
      <c r="QZ4">
        <v>13.52</v>
      </c>
      <c r="RA4">
        <v>202.77</v>
      </c>
      <c r="RB4">
        <v>366.49</v>
      </c>
      <c r="RC4">
        <v>138.93</v>
      </c>
      <c r="RD4">
        <v>1054.4000000000001</v>
      </c>
      <c r="RE4">
        <v>48.06</v>
      </c>
      <c r="RF4">
        <v>39.049999999999997</v>
      </c>
      <c r="RG4">
        <v>557.99</v>
      </c>
      <c r="RH4">
        <v>28.54</v>
      </c>
      <c r="RI4">
        <v>7.09</v>
      </c>
      <c r="RJ4">
        <v>56.32</v>
      </c>
      <c r="RK4">
        <v>16.52</v>
      </c>
      <c r="RL4">
        <v>245.58</v>
      </c>
      <c r="RM4">
        <v>152.44999999999999</v>
      </c>
      <c r="RN4">
        <v>266.60000000000002</v>
      </c>
      <c r="RO4">
        <v>166.72</v>
      </c>
      <c r="RP4">
        <v>477.64</v>
      </c>
      <c r="RQ4">
        <v>1428.4</v>
      </c>
      <c r="RR4">
        <v>7.09</v>
      </c>
      <c r="RS4">
        <v>699.93</v>
      </c>
      <c r="RT4">
        <v>371.74</v>
      </c>
      <c r="RU4">
        <v>7.09</v>
      </c>
      <c r="RV4">
        <v>9.01</v>
      </c>
      <c r="RW4">
        <v>3001.75</v>
      </c>
      <c r="RX4">
        <v>3108.39</v>
      </c>
      <c r="RY4">
        <v>1409.63</v>
      </c>
      <c r="RZ4">
        <v>29.29</v>
      </c>
      <c r="SA4">
        <v>437.83</v>
      </c>
      <c r="SB4">
        <v>18.77</v>
      </c>
      <c r="SC4">
        <v>62.33</v>
      </c>
      <c r="SD4">
        <v>2255.25</v>
      </c>
      <c r="SE4">
        <v>706.69</v>
      </c>
      <c r="SF4">
        <v>495.66</v>
      </c>
      <c r="SG4">
        <v>12309.64</v>
      </c>
      <c r="SH4">
        <v>104.39</v>
      </c>
      <c r="SI4">
        <v>22.53</v>
      </c>
      <c r="SJ4">
        <v>103.64</v>
      </c>
      <c r="SK4">
        <v>14.27</v>
      </c>
      <c r="SL4">
        <v>23.28</v>
      </c>
      <c r="SM4">
        <v>21.03</v>
      </c>
      <c r="SN4">
        <v>316.92</v>
      </c>
      <c r="SO4">
        <v>10.51</v>
      </c>
      <c r="SP4">
        <v>241.07</v>
      </c>
      <c r="SQ4">
        <v>995.07</v>
      </c>
      <c r="SR4">
        <v>2686.33</v>
      </c>
      <c r="SS4">
        <v>1789.63</v>
      </c>
      <c r="ST4">
        <v>259.08999999999997</v>
      </c>
      <c r="SU4">
        <v>215.54</v>
      </c>
      <c r="SV4">
        <v>162.97</v>
      </c>
      <c r="SW4">
        <v>91.62</v>
      </c>
      <c r="SX4">
        <v>162.22</v>
      </c>
      <c r="SY4">
        <v>64.59</v>
      </c>
      <c r="SZ4">
        <v>7.09</v>
      </c>
      <c r="TA4">
        <v>24.03</v>
      </c>
      <c r="TB4">
        <v>2517.35</v>
      </c>
      <c r="TC4">
        <v>734.48</v>
      </c>
      <c r="TD4">
        <v>132.93</v>
      </c>
      <c r="TE4">
        <v>570.76</v>
      </c>
      <c r="TF4">
        <v>558.74</v>
      </c>
      <c r="TG4">
        <v>239.57</v>
      </c>
      <c r="TH4">
        <v>232.06</v>
      </c>
      <c r="TI4">
        <v>135.18</v>
      </c>
      <c r="TJ4">
        <v>16.52</v>
      </c>
      <c r="TK4">
        <v>36.049999999999997</v>
      </c>
      <c r="TL4">
        <v>372.5</v>
      </c>
      <c r="TM4">
        <v>226.05</v>
      </c>
      <c r="TN4">
        <v>326.68</v>
      </c>
      <c r="TO4">
        <v>1685.24</v>
      </c>
      <c r="TP4">
        <v>649.61</v>
      </c>
      <c r="TQ4">
        <v>67.59</v>
      </c>
      <c r="TR4">
        <v>13.52</v>
      </c>
      <c r="TS4">
        <v>934.99</v>
      </c>
      <c r="TT4">
        <v>83.36</v>
      </c>
      <c r="TU4">
        <v>42.06</v>
      </c>
      <c r="TV4">
        <v>410.8</v>
      </c>
      <c r="TW4">
        <v>564.75</v>
      </c>
      <c r="TX4">
        <v>229.05</v>
      </c>
      <c r="TY4">
        <v>17.27</v>
      </c>
      <c r="TZ4">
        <v>51.82</v>
      </c>
      <c r="UA4">
        <v>385.26</v>
      </c>
      <c r="UB4">
        <v>59.33</v>
      </c>
      <c r="UC4">
        <v>8846.0300000000007</v>
      </c>
      <c r="UD4">
        <v>9.01</v>
      </c>
      <c r="UE4">
        <v>14.27</v>
      </c>
      <c r="UF4">
        <v>1891.02</v>
      </c>
      <c r="UG4">
        <v>259.85000000000002</v>
      </c>
      <c r="UH4">
        <v>15.02</v>
      </c>
      <c r="UI4">
        <v>44.31</v>
      </c>
      <c r="UJ4">
        <v>15.02</v>
      </c>
      <c r="UK4">
        <v>17.27</v>
      </c>
      <c r="UL4">
        <v>7.09</v>
      </c>
      <c r="UM4">
        <v>21.03</v>
      </c>
      <c r="UN4">
        <v>242.57</v>
      </c>
      <c r="UO4">
        <v>149.44999999999999</v>
      </c>
      <c r="UP4">
        <v>7.09</v>
      </c>
      <c r="UQ4">
        <v>9.01</v>
      </c>
      <c r="UR4">
        <v>7.09</v>
      </c>
      <c r="US4">
        <v>99.88</v>
      </c>
      <c r="UT4">
        <v>87.12</v>
      </c>
      <c r="UU4">
        <v>1085.95</v>
      </c>
      <c r="UV4">
        <v>299.64999999999998</v>
      </c>
      <c r="UW4">
        <v>114.9</v>
      </c>
      <c r="UX4">
        <v>34.549999999999997</v>
      </c>
      <c r="UY4">
        <v>247.83</v>
      </c>
      <c r="UZ4">
        <v>138.93</v>
      </c>
      <c r="VA4">
        <v>1692</v>
      </c>
      <c r="VB4">
        <v>2020.94</v>
      </c>
      <c r="VC4">
        <v>24.78</v>
      </c>
      <c r="VD4">
        <v>331.94</v>
      </c>
      <c r="VE4">
        <v>53.32</v>
      </c>
      <c r="VF4">
        <v>309.41000000000003</v>
      </c>
      <c r="VG4">
        <v>67.59</v>
      </c>
      <c r="VH4">
        <v>65.34</v>
      </c>
      <c r="VI4">
        <v>172.73</v>
      </c>
      <c r="VJ4">
        <v>21.78</v>
      </c>
      <c r="VK4">
        <v>927.48</v>
      </c>
      <c r="VL4">
        <v>1398.36</v>
      </c>
      <c r="VM4">
        <v>2592.4499999999998</v>
      </c>
      <c r="VN4">
        <v>418.31</v>
      </c>
      <c r="VO4">
        <v>7.09</v>
      </c>
      <c r="VP4">
        <v>7.09</v>
      </c>
      <c r="VQ4">
        <v>1627.42</v>
      </c>
      <c r="VR4">
        <v>409.29</v>
      </c>
      <c r="VS4">
        <v>428.07</v>
      </c>
      <c r="VT4">
        <v>36.049999999999997</v>
      </c>
      <c r="VU4">
        <v>36.799999999999997</v>
      </c>
      <c r="VV4">
        <v>9.76</v>
      </c>
      <c r="VW4">
        <v>326.68</v>
      </c>
      <c r="VX4">
        <v>84.86</v>
      </c>
      <c r="VY4">
        <v>11.26</v>
      </c>
      <c r="VZ4">
        <v>25183.27</v>
      </c>
      <c r="WA4">
        <v>18301.11</v>
      </c>
      <c r="WB4">
        <v>395.03</v>
      </c>
      <c r="WC4">
        <v>168.22</v>
      </c>
      <c r="WD4">
        <v>158.46</v>
      </c>
      <c r="WE4">
        <v>126.17</v>
      </c>
      <c r="WF4">
        <v>91.62</v>
      </c>
      <c r="WG4">
        <v>316.92</v>
      </c>
      <c r="WH4">
        <v>11225.19</v>
      </c>
      <c r="WI4">
        <v>23360.6</v>
      </c>
      <c r="WJ4">
        <v>1982.64</v>
      </c>
      <c r="WK4">
        <v>39.799999999999997</v>
      </c>
      <c r="WL4">
        <v>532.46</v>
      </c>
      <c r="WM4">
        <v>7.51</v>
      </c>
      <c r="WN4">
        <v>20.28</v>
      </c>
      <c r="WO4">
        <v>7.09</v>
      </c>
      <c r="WP4">
        <v>104.39</v>
      </c>
      <c r="WQ4">
        <v>5962.19</v>
      </c>
      <c r="WR4">
        <v>2161.38</v>
      </c>
      <c r="WS4">
        <v>61.58</v>
      </c>
      <c r="WT4">
        <v>7.09</v>
      </c>
      <c r="WU4">
        <v>782.54</v>
      </c>
      <c r="WV4">
        <v>1799.4</v>
      </c>
      <c r="WW4">
        <v>9.01</v>
      </c>
      <c r="WX4">
        <v>28.54</v>
      </c>
      <c r="WY4">
        <v>10.51</v>
      </c>
      <c r="WZ4">
        <v>7.09</v>
      </c>
      <c r="XA4">
        <v>11.26</v>
      </c>
      <c r="XB4">
        <v>281.62</v>
      </c>
      <c r="XC4">
        <v>26.28</v>
      </c>
      <c r="XD4">
        <v>167.47</v>
      </c>
      <c r="XE4">
        <v>138.93</v>
      </c>
      <c r="XF4">
        <v>1167.8</v>
      </c>
      <c r="XG4">
        <v>1128</v>
      </c>
      <c r="XH4">
        <v>969.54</v>
      </c>
      <c r="XI4">
        <v>2648.02</v>
      </c>
      <c r="XJ4">
        <v>561</v>
      </c>
      <c r="XK4">
        <v>1002.58</v>
      </c>
      <c r="XL4">
        <v>63.08</v>
      </c>
      <c r="XM4">
        <v>380.01</v>
      </c>
      <c r="XN4">
        <v>416.05</v>
      </c>
      <c r="XO4">
        <v>11.26</v>
      </c>
      <c r="XP4">
        <v>26.28</v>
      </c>
      <c r="XQ4">
        <v>29.29</v>
      </c>
      <c r="XR4">
        <v>7.09</v>
      </c>
      <c r="XS4">
        <v>972.54</v>
      </c>
      <c r="XT4">
        <v>172.73</v>
      </c>
      <c r="XU4">
        <v>639.85</v>
      </c>
      <c r="XV4">
        <v>766.02</v>
      </c>
      <c r="XW4">
        <v>538.47</v>
      </c>
      <c r="XX4">
        <v>1222.6300000000001</v>
      </c>
      <c r="XY4">
        <v>2533.87</v>
      </c>
      <c r="XZ4">
        <v>40.549999999999997</v>
      </c>
      <c r="YA4">
        <v>363.48</v>
      </c>
      <c r="YB4">
        <v>165.97</v>
      </c>
      <c r="YC4">
        <v>27.79</v>
      </c>
      <c r="YD4">
        <v>699.93</v>
      </c>
      <c r="YE4">
        <v>345.46</v>
      </c>
      <c r="YF4">
        <v>463.37</v>
      </c>
      <c r="YG4">
        <v>41.3</v>
      </c>
      <c r="YH4">
        <v>11.26</v>
      </c>
      <c r="YI4">
        <v>23.28</v>
      </c>
      <c r="YJ4">
        <v>699.18</v>
      </c>
      <c r="YK4">
        <v>7.09</v>
      </c>
      <c r="YL4">
        <v>58.58</v>
      </c>
      <c r="YM4">
        <v>8067.99</v>
      </c>
      <c r="YN4">
        <v>180.99</v>
      </c>
      <c r="YO4">
        <v>231.31</v>
      </c>
      <c r="YP4">
        <v>2584.19</v>
      </c>
      <c r="YQ4">
        <v>210.28</v>
      </c>
      <c r="YR4">
        <v>345.46</v>
      </c>
      <c r="YS4">
        <v>3750.49</v>
      </c>
      <c r="YT4">
        <v>120.91</v>
      </c>
      <c r="YU4">
        <v>524.95000000000005</v>
      </c>
      <c r="YV4">
        <v>15.02</v>
      </c>
      <c r="YW4">
        <v>9.76</v>
      </c>
      <c r="YX4">
        <v>42.81</v>
      </c>
      <c r="YY4">
        <v>259.08999999999997</v>
      </c>
      <c r="YZ4">
        <v>54.82</v>
      </c>
      <c r="ZA4">
        <v>49.57</v>
      </c>
      <c r="ZB4">
        <v>87.87</v>
      </c>
      <c r="ZC4">
        <v>11.26</v>
      </c>
      <c r="ZD4">
        <v>351.47</v>
      </c>
      <c r="ZE4">
        <v>16.52</v>
      </c>
      <c r="ZF4">
        <v>59.33</v>
      </c>
      <c r="ZG4">
        <v>177.99</v>
      </c>
      <c r="ZH4">
        <v>171.98</v>
      </c>
      <c r="ZI4">
        <v>1027.3699999999999</v>
      </c>
      <c r="ZJ4">
        <v>86.36</v>
      </c>
      <c r="ZK4">
        <v>355.97</v>
      </c>
      <c r="ZL4">
        <v>10.51</v>
      </c>
      <c r="ZM4">
        <v>192.26</v>
      </c>
      <c r="ZN4">
        <v>90.12</v>
      </c>
      <c r="ZO4">
        <v>9.76</v>
      </c>
      <c r="ZP4">
        <v>220.79</v>
      </c>
      <c r="ZQ4">
        <v>7.09</v>
      </c>
      <c r="ZR4">
        <v>9.01</v>
      </c>
      <c r="ZS4">
        <v>1077.68</v>
      </c>
      <c r="ZT4">
        <v>111.15</v>
      </c>
      <c r="ZU4">
        <v>152.44999999999999</v>
      </c>
      <c r="ZV4">
        <v>10.51</v>
      </c>
      <c r="ZW4">
        <v>13.52</v>
      </c>
      <c r="ZX4">
        <v>36.799999999999997</v>
      </c>
      <c r="ZY4">
        <v>641.35</v>
      </c>
      <c r="ZZ4">
        <v>118.66</v>
      </c>
      <c r="AAA4">
        <v>48.81</v>
      </c>
      <c r="AAB4">
        <v>42.81</v>
      </c>
      <c r="AAC4">
        <v>15.77</v>
      </c>
      <c r="AAD4">
        <v>28.54</v>
      </c>
      <c r="AAE4">
        <v>15.02</v>
      </c>
      <c r="AAF4">
        <v>27.04</v>
      </c>
      <c r="AAG4">
        <v>594.79</v>
      </c>
      <c r="AAH4">
        <v>286.88</v>
      </c>
      <c r="AAI4">
        <v>7081.93</v>
      </c>
      <c r="AAJ4">
        <v>744.24</v>
      </c>
      <c r="AAK4">
        <v>90.12</v>
      </c>
      <c r="AAL4">
        <v>90.12</v>
      </c>
      <c r="AAM4">
        <v>11.26</v>
      </c>
      <c r="AAN4">
        <v>370.24</v>
      </c>
      <c r="AAO4">
        <v>30.79</v>
      </c>
      <c r="AAP4">
        <v>122.41</v>
      </c>
      <c r="AAQ4">
        <v>53.32</v>
      </c>
      <c r="AAR4">
        <v>77.349999999999994</v>
      </c>
      <c r="AAS4">
        <v>3393.77</v>
      </c>
      <c r="AAT4">
        <v>76.599999999999994</v>
      </c>
      <c r="AAU4">
        <v>7.09</v>
      </c>
      <c r="AAV4">
        <v>1282.71</v>
      </c>
      <c r="AAW4">
        <v>51.82</v>
      </c>
      <c r="AAX4">
        <v>37.549999999999997</v>
      </c>
      <c r="AAY4">
        <v>224.55</v>
      </c>
      <c r="AAZ4">
        <v>42.06</v>
      </c>
      <c r="ABA4">
        <v>687.92</v>
      </c>
      <c r="ABB4">
        <v>13.52</v>
      </c>
      <c r="ABC4">
        <v>681.91</v>
      </c>
      <c r="ABD4">
        <v>3718.2</v>
      </c>
      <c r="ABE4">
        <v>1250.4100000000001</v>
      </c>
      <c r="ABF4">
        <v>1398.36</v>
      </c>
      <c r="ABG4">
        <v>60.08</v>
      </c>
      <c r="ABH4">
        <v>166.72</v>
      </c>
      <c r="ABI4">
        <v>27.79</v>
      </c>
      <c r="ABJ4">
        <v>50.32</v>
      </c>
      <c r="ABK4">
        <v>170.48</v>
      </c>
      <c r="ABL4">
        <v>30.79</v>
      </c>
      <c r="ABM4">
        <v>19.53</v>
      </c>
      <c r="ABN4">
        <v>83.36</v>
      </c>
      <c r="ABO4">
        <v>12.77</v>
      </c>
      <c r="ABP4">
        <v>48.81</v>
      </c>
      <c r="ABQ4">
        <v>230.56</v>
      </c>
      <c r="ABR4">
        <v>21.03</v>
      </c>
      <c r="ABS4">
        <v>627.08000000000004</v>
      </c>
      <c r="ABT4">
        <v>22.53</v>
      </c>
      <c r="ABU4">
        <v>8.26</v>
      </c>
      <c r="ABV4">
        <v>171.23</v>
      </c>
      <c r="ABW4">
        <v>213.28</v>
      </c>
      <c r="ABX4">
        <v>351.47</v>
      </c>
      <c r="ABY4">
        <v>398.78</v>
      </c>
      <c r="ABZ4">
        <v>171.98</v>
      </c>
      <c r="ACA4">
        <v>808.08</v>
      </c>
      <c r="ACB4">
        <v>148.69999999999999</v>
      </c>
      <c r="ACC4">
        <v>158.46</v>
      </c>
      <c r="ACD4">
        <v>455.11</v>
      </c>
      <c r="ACE4">
        <v>158.46</v>
      </c>
      <c r="ACF4">
        <v>7093.94</v>
      </c>
      <c r="ACG4">
        <v>2852.3</v>
      </c>
      <c r="ACH4">
        <v>545.98</v>
      </c>
      <c r="ACI4">
        <v>910.21</v>
      </c>
      <c r="ACJ4">
        <v>1109.23</v>
      </c>
      <c r="ACK4">
        <v>782.54</v>
      </c>
      <c r="ACL4">
        <v>85.61</v>
      </c>
      <c r="ACM4">
        <v>488.9</v>
      </c>
      <c r="ACN4">
        <v>417.56</v>
      </c>
      <c r="ACO4">
        <v>542.97</v>
      </c>
      <c r="ACP4">
        <v>654.12</v>
      </c>
      <c r="ACQ4">
        <v>410.8</v>
      </c>
      <c r="ACR4">
        <v>4674.97</v>
      </c>
    </row>
    <row r="5" spans="1:772" x14ac:dyDescent="0.3">
      <c r="A5" t="s">
        <v>6</v>
      </c>
      <c r="B5" t="s">
        <v>1</v>
      </c>
      <c r="C5">
        <v>403.68</v>
      </c>
      <c r="D5">
        <v>86.07</v>
      </c>
      <c r="E5">
        <v>259.72000000000003</v>
      </c>
      <c r="F5">
        <v>25.17</v>
      </c>
      <c r="G5">
        <v>3355.77</v>
      </c>
      <c r="H5">
        <v>64.430000000000007</v>
      </c>
      <c r="I5">
        <v>845.61</v>
      </c>
      <c r="J5">
        <v>11823.97</v>
      </c>
      <c r="K5">
        <v>942.76</v>
      </c>
      <c r="L5">
        <v>64.430000000000007</v>
      </c>
      <c r="M5">
        <v>52.85</v>
      </c>
      <c r="N5">
        <v>1003.16</v>
      </c>
      <c r="O5">
        <v>206.37</v>
      </c>
      <c r="P5">
        <v>227.51</v>
      </c>
      <c r="Q5">
        <v>18.62</v>
      </c>
      <c r="R5">
        <v>952.32</v>
      </c>
      <c r="S5">
        <v>36.24</v>
      </c>
      <c r="T5">
        <v>263.25</v>
      </c>
      <c r="U5">
        <v>587.4</v>
      </c>
      <c r="V5">
        <v>82.55</v>
      </c>
      <c r="W5">
        <v>885.88</v>
      </c>
      <c r="X5">
        <v>26.17</v>
      </c>
      <c r="Y5">
        <v>179.19</v>
      </c>
      <c r="Z5">
        <v>648.29999999999995</v>
      </c>
      <c r="AA5">
        <v>105.2</v>
      </c>
      <c r="AB5">
        <v>1304.1600000000001</v>
      </c>
      <c r="AC5">
        <v>288.41000000000003</v>
      </c>
      <c r="AD5">
        <v>192.28</v>
      </c>
      <c r="AE5">
        <v>306.52999999999997</v>
      </c>
      <c r="AF5">
        <v>15583.93</v>
      </c>
      <c r="AG5">
        <v>357.37</v>
      </c>
      <c r="AH5">
        <v>483.21</v>
      </c>
      <c r="AI5">
        <v>58.39</v>
      </c>
      <c r="AJ5">
        <v>894.44</v>
      </c>
      <c r="AK5">
        <v>376</v>
      </c>
      <c r="AL5">
        <v>168.62</v>
      </c>
      <c r="AM5">
        <v>228.01</v>
      </c>
      <c r="AN5">
        <v>117.78</v>
      </c>
      <c r="AO5">
        <v>1044.43</v>
      </c>
      <c r="AP5">
        <v>25.17</v>
      </c>
      <c r="AQ5">
        <v>212.41</v>
      </c>
      <c r="AR5">
        <v>25.67</v>
      </c>
      <c r="AS5">
        <v>219.96</v>
      </c>
      <c r="AT5">
        <v>7.12</v>
      </c>
      <c r="AU5">
        <v>32.72</v>
      </c>
      <c r="AV5">
        <v>1016.75</v>
      </c>
      <c r="AW5">
        <v>242.11</v>
      </c>
      <c r="AX5">
        <v>1697.77</v>
      </c>
      <c r="AY5">
        <v>106.2</v>
      </c>
      <c r="AZ5">
        <v>78.52</v>
      </c>
      <c r="BA5">
        <v>438.41</v>
      </c>
      <c r="BB5">
        <v>779.67</v>
      </c>
      <c r="BC5">
        <v>130.87</v>
      </c>
      <c r="BD5">
        <v>16.11</v>
      </c>
      <c r="BE5">
        <v>90.6</v>
      </c>
      <c r="BF5">
        <v>69.959999999999994</v>
      </c>
      <c r="BG5">
        <v>66.44</v>
      </c>
      <c r="BH5">
        <v>52.35</v>
      </c>
      <c r="BI5">
        <v>19.63</v>
      </c>
      <c r="BJ5">
        <v>23.15</v>
      </c>
      <c r="BK5">
        <v>199.32</v>
      </c>
      <c r="BL5">
        <v>483.71</v>
      </c>
      <c r="BM5">
        <v>60.4</v>
      </c>
      <c r="BN5">
        <v>155.53</v>
      </c>
      <c r="BO5">
        <v>160.06</v>
      </c>
      <c r="BP5">
        <v>19.13</v>
      </c>
      <c r="BQ5">
        <v>7.12</v>
      </c>
      <c r="BR5">
        <v>50.33</v>
      </c>
      <c r="BS5">
        <v>12.08</v>
      </c>
      <c r="BT5">
        <v>520.96</v>
      </c>
      <c r="BU5">
        <v>1493.91</v>
      </c>
      <c r="BV5">
        <v>60.4</v>
      </c>
      <c r="BW5">
        <v>318.61</v>
      </c>
      <c r="BX5">
        <v>298.98</v>
      </c>
      <c r="BY5">
        <v>157.04</v>
      </c>
      <c r="BZ5">
        <v>304.02</v>
      </c>
      <c r="CA5">
        <v>36.24</v>
      </c>
      <c r="CB5">
        <v>50.33</v>
      </c>
      <c r="CC5">
        <v>20.64</v>
      </c>
      <c r="CD5">
        <v>159.06</v>
      </c>
      <c r="CE5">
        <v>575.82000000000005</v>
      </c>
      <c r="CF5">
        <v>115.26</v>
      </c>
      <c r="CG5">
        <v>87.58</v>
      </c>
      <c r="CH5">
        <v>109.73</v>
      </c>
      <c r="CI5">
        <v>36.24</v>
      </c>
      <c r="CJ5">
        <v>28.19</v>
      </c>
      <c r="CK5">
        <v>42.78</v>
      </c>
      <c r="CL5">
        <v>33.22</v>
      </c>
      <c r="CM5">
        <v>157.55000000000001</v>
      </c>
      <c r="CN5">
        <v>33.72</v>
      </c>
      <c r="CO5">
        <v>19.13</v>
      </c>
      <c r="CP5">
        <v>7.12</v>
      </c>
      <c r="CQ5">
        <v>22.65</v>
      </c>
      <c r="CR5">
        <v>51.84</v>
      </c>
      <c r="CS5">
        <v>7.12</v>
      </c>
      <c r="CT5">
        <v>12.08</v>
      </c>
      <c r="CU5">
        <v>27.68</v>
      </c>
      <c r="CV5">
        <v>213.42</v>
      </c>
      <c r="CW5">
        <v>1054.5</v>
      </c>
      <c r="CX5">
        <v>21.14</v>
      </c>
      <c r="CY5">
        <v>91.61</v>
      </c>
      <c r="CZ5">
        <v>53.86</v>
      </c>
      <c r="DA5">
        <v>42.28</v>
      </c>
      <c r="DB5">
        <v>42.78</v>
      </c>
      <c r="DC5">
        <v>30.2</v>
      </c>
      <c r="DD5">
        <v>18.62</v>
      </c>
      <c r="DE5">
        <v>26.17</v>
      </c>
      <c r="DF5">
        <v>359.89</v>
      </c>
      <c r="DG5">
        <v>28.19</v>
      </c>
      <c r="DH5">
        <v>2923.4</v>
      </c>
      <c r="DI5">
        <v>11.07</v>
      </c>
      <c r="DJ5">
        <v>14.09</v>
      </c>
      <c r="DK5">
        <v>60.4</v>
      </c>
      <c r="DL5">
        <v>1028.32</v>
      </c>
      <c r="DM5">
        <v>44.29</v>
      </c>
      <c r="DN5">
        <v>14.09</v>
      </c>
      <c r="DO5">
        <v>122.82</v>
      </c>
      <c r="DP5">
        <v>49.83</v>
      </c>
      <c r="DQ5">
        <v>2732.64</v>
      </c>
      <c r="DR5">
        <v>44.8</v>
      </c>
      <c r="DS5">
        <v>14.09</v>
      </c>
      <c r="DT5">
        <v>38.76</v>
      </c>
      <c r="DU5">
        <v>1773.27</v>
      </c>
      <c r="DV5">
        <v>20.64</v>
      </c>
      <c r="DW5">
        <v>17.62</v>
      </c>
      <c r="DX5">
        <v>46.31</v>
      </c>
      <c r="DY5">
        <v>31.21</v>
      </c>
      <c r="DZ5">
        <v>31.71</v>
      </c>
      <c r="EA5">
        <v>43.29</v>
      </c>
      <c r="EB5">
        <v>61.91</v>
      </c>
      <c r="EC5">
        <v>14.6</v>
      </c>
      <c r="ED5">
        <v>77.510000000000005</v>
      </c>
      <c r="EE5">
        <v>12.58</v>
      </c>
      <c r="EF5">
        <v>2874.58</v>
      </c>
      <c r="EG5">
        <v>1693.74</v>
      </c>
      <c r="EH5">
        <v>47.31</v>
      </c>
      <c r="EI5">
        <v>42.78</v>
      </c>
      <c r="EJ5">
        <v>796.28</v>
      </c>
      <c r="EK5">
        <v>410.22</v>
      </c>
      <c r="EL5">
        <v>4971.49</v>
      </c>
      <c r="EM5">
        <v>1008.19</v>
      </c>
      <c r="EN5">
        <v>1040.9100000000001</v>
      </c>
      <c r="EO5">
        <v>643.27</v>
      </c>
      <c r="EP5">
        <v>18.12</v>
      </c>
      <c r="EQ5">
        <v>2343.5500000000002</v>
      </c>
      <c r="ER5">
        <v>43.29</v>
      </c>
      <c r="ES5">
        <v>123.82</v>
      </c>
      <c r="ET5">
        <v>24.66</v>
      </c>
      <c r="EU5">
        <v>545.62</v>
      </c>
      <c r="EV5">
        <v>11.07</v>
      </c>
      <c r="EW5">
        <v>29.19</v>
      </c>
      <c r="EX5">
        <v>17.62</v>
      </c>
      <c r="EY5">
        <v>31.71</v>
      </c>
      <c r="EZ5">
        <v>27.68</v>
      </c>
      <c r="FA5">
        <v>59.39</v>
      </c>
      <c r="FB5">
        <v>17.62</v>
      </c>
      <c r="FC5">
        <v>65.430000000000007</v>
      </c>
      <c r="FD5">
        <v>35.74</v>
      </c>
      <c r="FE5">
        <v>6939.05</v>
      </c>
      <c r="FF5">
        <v>122.82</v>
      </c>
      <c r="FG5">
        <v>952.82</v>
      </c>
      <c r="FH5">
        <v>1143.5899999999999</v>
      </c>
      <c r="FI5">
        <v>508.88</v>
      </c>
      <c r="FJ5">
        <v>335.22</v>
      </c>
      <c r="FK5">
        <v>916.58</v>
      </c>
      <c r="FL5">
        <v>95.13</v>
      </c>
      <c r="FM5">
        <v>73.989999999999995</v>
      </c>
      <c r="FN5">
        <v>103.69</v>
      </c>
      <c r="FO5">
        <v>35.74</v>
      </c>
      <c r="FP5">
        <v>7.12</v>
      </c>
      <c r="FQ5">
        <v>35.74</v>
      </c>
      <c r="FR5">
        <v>7.12</v>
      </c>
      <c r="FS5">
        <v>7.12</v>
      </c>
      <c r="FT5">
        <v>28.69</v>
      </c>
      <c r="FU5">
        <v>1808</v>
      </c>
      <c r="FV5">
        <v>1032.3499999999999</v>
      </c>
      <c r="FW5">
        <v>41.27</v>
      </c>
      <c r="FX5">
        <v>1232.18</v>
      </c>
      <c r="FY5">
        <v>31.71</v>
      </c>
      <c r="FZ5">
        <v>858.7</v>
      </c>
      <c r="GA5">
        <v>2654.11</v>
      </c>
      <c r="GB5">
        <v>214.93</v>
      </c>
      <c r="GC5">
        <v>15.1</v>
      </c>
      <c r="GD5">
        <v>661.39</v>
      </c>
      <c r="GE5">
        <v>405.19</v>
      </c>
      <c r="GF5">
        <v>476.66</v>
      </c>
      <c r="GG5">
        <v>678</v>
      </c>
      <c r="GH5">
        <v>169.63</v>
      </c>
      <c r="GI5">
        <v>634.21</v>
      </c>
      <c r="GJ5">
        <v>90.6</v>
      </c>
      <c r="GK5">
        <v>6284.21</v>
      </c>
      <c r="GL5">
        <v>303.01</v>
      </c>
      <c r="GM5">
        <v>34.229999999999997</v>
      </c>
      <c r="GN5">
        <v>22.65</v>
      </c>
      <c r="GO5">
        <v>359.89</v>
      </c>
      <c r="GP5">
        <v>22.15</v>
      </c>
      <c r="GQ5">
        <v>47.82</v>
      </c>
      <c r="GR5">
        <v>84.56</v>
      </c>
      <c r="GS5">
        <v>297.98</v>
      </c>
      <c r="GT5">
        <v>502.33</v>
      </c>
      <c r="GU5">
        <v>11.58</v>
      </c>
      <c r="GV5">
        <v>43.79</v>
      </c>
      <c r="GW5">
        <v>255.7</v>
      </c>
      <c r="GX5">
        <v>521.96</v>
      </c>
      <c r="GY5">
        <v>25.17</v>
      </c>
      <c r="GZ5">
        <v>463.58</v>
      </c>
      <c r="HA5">
        <v>41.27</v>
      </c>
      <c r="HB5">
        <v>1578.98</v>
      </c>
      <c r="HC5">
        <v>184.73</v>
      </c>
      <c r="HD5">
        <v>971.45</v>
      </c>
      <c r="HE5">
        <v>49.33</v>
      </c>
      <c r="HF5">
        <v>2922.9</v>
      </c>
      <c r="HG5">
        <v>310.06</v>
      </c>
      <c r="HH5">
        <v>341.26</v>
      </c>
      <c r="HI5">
        <v>50.33</v>
      </c>
      <c r="HJ5">
        <v>1026.31</v>
      </c>
      <c r="HK5">
        <v>6814.73</v>
      </c>
      <c r="HL5">
        <v>815.41</v>
      </c>
      <c r="HM5">
        <v>87.08</v>
      </c>
      <c r="HN5">
        <v>2024.94</v>
      </c>
      <c r="HO5">
        <v>20.64</v>
      </c>
      <c r="HP5">
        <v>104.69</v>
      </c>
      <c r="HQ5">
        <v>8779.77</v>
      </c>
      <c r="HR5">
        <v>149.49</v>
      </c>
      <c r="HS5">
        <v>7.12</v>
      </c>
      <c r="HT5">
        <v>157.04</v>
      </c>
      <c r="HU5">
        <v>193.79</v>
      </c>
      <c r="HV5">
        <v>161.07</v>
      </c>
      <c r="HW5">
        <v>2478.9499999999998</v>
      </c>
      <c r="HX5">
        <v>30.2</v>
      </c>
      <c r="HY5">
        <v>75.5</v>
      </c>
      <c r="HZ5">
        <v>312.07</v>
      </c>
      <c r="IA5">
        <v>156.54</v>
      </c>
      <c r="IB5">
        <v>65.94</v>
      </c>
      <c r="IC5">
        <v>34.229999999999997</v>
      </c>
      <c r="ID5">
        <v>15.1</v>
      </c>
      <c r="IE5">
        <v>95.63</v>
      </c>
      <c r="IF5">
        <v>273.82</v>
      </c>
      <c r="IG5">
        <v>40.770000000000003</v>
      </c>
      <c r="IH5">
        <v>7.12</v>
      </c>
      <c r="II5">
        <v>70.47</v>
      </c>
      <c r="IJ5">
        <v>39.76</v>
      </c>
      <c r="IK5">
        <v>7.55</v>
      </c>
      <c r="IL5">
        <v>404.69</v>
      </c>
      <c r="IM5">
        <v>81.540000000000006</v>
      </c>
      <c r="IN5">
        <v>71.98</v>
      </c>
      <c r="IO5">
        <v>381.53</v>
      </c>
      <c r="IP5">
        <v>19.13</v>
      </c>
      <c r="IQ5">
        <v>18.12</v>
      </c>
      <c r="IR5">
        <v>52.35</v>
      </c>
      <c r="IS5">
        <v>28.19</v>
      </c>
      <c r="IT5">
        <v>21.64</v>
      </c>
      <c r="IU5">
        <v>223.48</v>
      </c>
      <c r="IV5">
        <v>848.63</v>
      </c>
      <c r="IW5">
        <v>80.03</v>
      </c>
      <c r="IX5">
        <v>7788.69</v>
      </c>
      <c r="IY5">
        <v>49.33</v>
      </c>
      <c r="IZ5">
        <v>36.24</v>
      </c>
      <c r="JA5">
        <v>49.83</v>
      </c>
      <c r="JB5">
        <v>203.35</v>
      </c>
      <c r="JC5">
        <v>53.35</v>
      </c>
      <c r="JD5">
        <v>329.18</v>
      </c>
      <c r="JE5">
        <v>72.98</v>
      </c>
      <c r="JF5">
        <v>53.35</v>
      </c>
      <c r="JG5">
        <v>62.92</v>
      </c>
      <c r="JH5">
        <v>523.47</v>
      </c>
      <c r="JI5">
        <v>618.1</v>
      </c>
      <c r="JJ5">
        <v>670.95</v>
      </c>
      <c r="JK5">
        <v>57.38</v>
      </c>
      <c r="JL5">
        <v>71.47</v>
      </c>
      <c r="JM5">
        <v>18.12</v>
      </c>
      <c r="JN5">
        <v>32.72</v>
      </c>
      <c r="JO5">
        <v>261.23</v>
      </c>
      <c r="JP5">
        <v>479.18</v>
      </c>
      <c r="JQ5">
        <v>3176.58</v>
      </c>
      <c r="JR5">
        <v>38.76</v>
      </c>
      <c r="JS5">
        <v>26.17</v>
      </c>
      <c r="JT5">
        <v>62.92</v>
      </c>
      <c r="JU5">
        <v>271.8</v>
      </c>
      <c r="JV5">
        <v>397.14</v>
      </c>
      <c r="JW5">
        <v>110.23</v>
      </c>
      <c r="JX5">
        <v>142.44999999999999</v>
      </c>
      <c r="JY5">
        <v>109.22</v>
      </c>
      <c r="JZ5">
        <v>7.12</v>
      </c>
      <c r="KA5">
        <v>7.12</v>
      </c>
      <c r="KB5">
        <v>17.11</v>
      </c>
      <c r="KC5">
        <v>8.56</v>
      </c>
      <c r="KD5">
        <v>40.770000000000003</v>
      </c>
      <c r="KE5">
        <v>141.44</v>
      </c>
      <c r="KF5">
        <v>37.75</v>
      </c>
      <c r="KG5">
        <v>82.55</v>
      </c>
      <c r="KH5">
        <v>131.37</v>
      </c>
      <c r="KI5">
        <v>406.7</v>
      </c>
      <c r="KJ5">
        <v>246.13</v>
      </c>
      <c r="KK5">
        <v>186.74</v>
      </c>
      <c r="KL5">
        <v>69.459999999999994</v>
      </c>
      <c r="KM5">
        <v>237.07</v>
      </c>
      <c r="KN5">
        <v>297.47000000000003</v>
      </c>
      <c r="KO5">
        <v>455.02</v>
      </c>
      <c r="KP5">
        <v>86.07</v>
      </c>
      <c r="KQ5">
        <v>2008.33</v>
      </c>
      <c r="KR5">
        <v>843.1</v>
      </c>
      <c r="KS5">
        <v>823.47</v>
      </c>
      <c r="KT5">
        <v>3270.71</v>
      </c>
      <c r="KU5">
        <v>31545.360000000001</v>
      </c>
      <c r="KV5">
        <v>3167.02</v>
      </c>
      <c r="KW5">
        <v>108.22</v>
      </c>
      <c r="KX5">
        <v>95.13</v>
      </c>
      <c r="KY5">
        <v>17.11</v>
      </c>
      <c r="KZ5">
        <v>10.57</v>
      </c>
      <c r="LA5">
        <v>201.34</v>
      </c>
      <c r="LB5">
        <v>167.11</v>
      </c>
      <c r="LC5">
        <v>7.12</v>
      </c>
      <c r="LD5">
        <v>7.12</v>
      </c>
      <c r="LE5">
        <v>7.12</v>
      </c>
      <c r="LF5">
        <v>604.01</v>
      </c>
      <c r="LG5">
        <v>151.51</v>
      </c>
      <c r="LH5">
        <v>7.12</v>
      </c>
      <c r="LI5">
        <v>4628.22</v>
      </c>
      <c r="LJ5">
        <v>351.33</v>
      </c>
      <c r="LK5">
        <v>1618.74</v>
      </c>
      <c r="LL5">
        <v>114.76</v>
      </c>
      <c r="LM5">
        <v>18.12</v>
      </c>
      <c r="LN5">
        <v>282.88</v>
      </c>
      <c r="LO5">
        <v>247.14</v>
      </c>
      <c r="LP5">
        <v>2720.05</v>
      </c>
      <c r="LQ5">
        <v>41.78</v>
      </c>
      <c r="LR5">
        <v>101.67</v>
      </c>
      <c r="LS5">
        <v>79.02</v>
      </c>
      <c r="LT5">
        <v>10.57</v>
      </c>
      <c r="LU5">
        <v>156.54</v>
      </c>
      <c r="LV5">
        <v>352.84</v>
      </c>
      <c r="LW5">
        <v>4545.67</v>
      </c>
      <c r="LX5">
        <v>2008.33</v>
      </c>
      <c r="LY5">
        <v>1861.86</v>
      </c>
      <c r="LZ5">
        <v>6964.72</v>
      </c>
      <c r="MA5">
        <v>385.56</v>
      </c>
      <c r="MB5">
        <v>5360.07</v>
      </c>
      <c r="MC5">
        <v>1174.8</v>
      </c>
      <c r="MD5">
        <v>239.59</v>
      </c>
      <c r="ME5">
        <v>99.66</v>
      </c>
      <c r="MF5">
        <v>386.06</v>
      </c>
      <c r="MG5">
        <v>6353.16</v>
      </c>
      <c r="MH5">
        <v>594.45000000000005</v>
      </c>
      <c r="MI5">
        <v>49.33</v>
      </c>
      <c r="MJ5">
        <v>414.75</v>
      </c>
      <c r="MK5">
        <v>7.12</v>
      </c>
      <c r="ML5">
        <v>1414.39</v>
      </c>
      <c r="MM5">
        <v>3017.02</v>
      </c>
      <c r="MN5">
        <v>431.87</v>
      </c>
      <c r="MO5">
        <v>13.59</v>
      </c>
      <c r="MP5">
        <v>135.9</v>
      </c>
      <c r="MQ5">
        <v>265.76</v>
      </c>
      <c r="MR5">
        <v>7.12</v>
      </c>
      <c r="MS5">
        <v>85.06</v>
      </c>
      <c r="MT5">
        <v>1277.98</v>
      </c>
      <c r="MU5">
        <v>46.31</v>
      </c>
      <c r="MV5">
        <v>151</v>
      </c>
      <c r="MW5">
        <v>60.4</v>
      </c>
      <c r="MX5">
        <v>67.45</v>
      </c>
      <c r="MY5">
        <v>29.19</v>
      </c>
      <c r="MZ5">
        <v>17.11</v>
      </c>
      <c r="NA5">
        <v>50.84</v>
      </c>
      <c r="NB5">
        <v>1221.6099999999999</v>
      </c>
      <c r="NC5">
        <v>1236.71</v>
      </c>
      <c r="ND5">
        <v>2557.4699999999998</v>
      </c>
      <c r="NE5">
        <v>2687.33</v>
      </c>
      <c r="NF5">
        <v>14.6</v>
      </c>
      <c r="NG5">
        <v>9.06</v>
      </c>
      <c r="NH5">
        <v>69.959999999999994</v>
      </c>
      <c r="NI5">
        <v>1012.22</v>
      </c>
      <c r="NJ5">
        <v>62.92</v>
      </c>
      <c r="NK5">
        <v>94.12</v>
      </c>
      <c r="NL5">
        <v>90.6</v>
      </c>
      <c r="NM5">
        <v>2504.12</v>
      </c>
      <c r="NN5">
        <v>293.45</v>
      </c>
      <c r="NO5">
        <v>78.52</v>
      </c>
      <c r="NP5">
        <v>10.07</v>
      </c>
      <c r="NQ5">
        <v>1349.46</v>
      </c>
      <c r="NR5">
        <v>139.93</v>
      </c>
      <c r="NS5">
        <v>161.07</v>
      </c>
      <c r="NT5">
        <v>764.57</v>
      </c>
      <c r="NU5">
        <v>928.66</v>
      </c>
      <c r="NV5">
        <v>513.91</v>
      </c>
      <c r="NW5">
        <v>325.16000000000003</v>
      </c>
      <c r="NX5">
        <v>90.6</v>
      </c>
      <c r="NY5">
        <v>72.98</v>
      </c>
      <c r="NZ5">
        <v>1259.8599999999999</v>
      </c>
      <c r="OA5">
        <v>84.56</v>
      </c>
      <c r="OB5">
        <v>871.79</v>
      </c>
      <c r="OC5">
        <v>4525.03</v>
      </c>
      <c r="OD5">
        <v>110.73</v>
      </c>
      <c r="OE5">
        <v>911.05</v>
      </c>
      <c r="OF5">
        <v>21.14</v>
      </c>
      <c r="OG5">
        <v>2333.9899999999998</v>
      </c>
      <c r="OH5">
        <v>141.44</v>
      </c>
      <c r="OI5">
        <v>30.2</v>
      </c>
      <c r="OJ5">
        <v>13.59</v>
      </c>
      <c r="OK5">
        <v>2067.7199999999998</v>
      </c>
      <c r="OL5">
        <v>152.01</v>
      </c>
      <c r="OM5">
        <v>162.58000000000001</v>
      </c>
      <c r="ON5">
        <v>133.88999999999999</v>
      </c>
      <c r="OO5">
        <v>3739.82</v>
      </c>
      <c r="OP5">
        <v>162.58000000000001</v>
      </c>
      <c r="OQ5">
        <v>1286.03</v>
      </c>
      <c r="OR5">
        <v>52.85</v>
      </c>
      <c r="OS5">
        <v>506.36</v>
      </c>
      <c r="OT5">
        <v>311.06</v>
      </c>
      <c r="OU5">
        <v>48.32</v>
      </c>
      <c r="OV5">
        <v>284.39</v>
      </c>
      <c r="OW5">
        <v>12.08</v>
      </c>
      <c r="OX5">
        <v>102.68</v>
      </c>
      <c r="OY5">
        <v>49.33</v>
      </c>
      <c r="OZ5">
        <v>21.14</v>
      </c>
      <c r="PA5">
        <v>34.229999999999997</v>
      </c>
      <c r="PB5">
        <v>77.510000000000005</v>
      </c>
      <c r="PC5">
        <v>8.0500000000000007</v>
      </c>
      <c r="PD5">
        <v>27.68</v>
      </c>
      <c r="PE5">
        <v>17.11</v>
      </c>
      <c r="PF5">
        <v>982.52</v>
      </c>
      <c r="PG5">
        <v>29.7</v>
      </c>
      <c r="PH5">
        <v>21.14</v>
      </c>
      <c r="PI5">
        <v>355.36</v>
      </c>
      <c r="PJ5">
        <v>7762.01</v>
      </c>
      <c r="PK5">
        <v>7040.22</v>
      </c>
      <c r="PL5">
        <v>31.71</v>
      </c>
      <c r="PM5">
        <v>13520.73</v>
      </c>
      <c r="PN5">
        <v>1706.83</v>
      </c>
      <c r="PO5">
        <v>182.21</v>
      </c>
      <c r="PP5">
        <v>1236.2</v>
      </c>
      <c r="PQ5">
        <v>71.47</v>
      </c>
      <c r="PR5">
        <v>66.44</v>
      </c>
      <c r="PS5">
        <v>38.76</v>
      </c>
      <c r="PT5">
        <v>22.65</v>
      </c>
      <c r="PU5">
        <v>66.44</v>
      </c>
      <c r="PV5">
        <v>121.31</v>
      </c>
      <c r="PW5">
        <v>79.53</v>
      </c>
      <c r="PX5">
        <v>28.19</v>
      </c>
      <c r="PY5">
        <v>343.28</v>
      </c>
      <c r="PZ5">
        <v>22.65</v>
      </c>
      <c r="QA5">
        <v>191.27</v>
      </c>
      <c r="QB5">
        <v>620.62</v>
      </c>
      <c r="QC5">
        <v>47.82</v>
      </c>
      <c r="QD5">
        <v>26.68</v>
      </c>
      <c r="QE5">
        <v>33.22</v>
      </c>
      <c r="QF5">
        <v>18.12</v>
      </c>
      <c r="QG5">
        <v>25.67</v>
      </c>
      <c r="QH5">
        <v>38.25</v>
      </c>
      <c r="QI5">
        <v>29.19</v>
      </c>
      <c r="QJ5">
        <v>96.64</v>
      </c>
      <c r="QK5">
        <v>21.64</v>
      </c>
      <c r="QL5">
        <v>431.36</v>
      </c>
      <c r="QM5">
        <v>850.65</v>
      </c>
      <c r="QN5">
        <v>1268.92</v>
      </c>
      <c r="QO5">
        <v>24.66</v>
      </c>
      <c r="QP5">
        <v>212.41</v>
      </c>
      <c r="QQ5">
        <v>460.56</v>
      </c>
      <c r="QR5">
        <v>154.53</v>
      </c>
      <c r="QS5">
        <v>1731.99</v>
      </c>
      <c r="QT5">
        <v>527</v>
      </c>
      <c r="QU5">
        <v>77.010000000000005</v>
      </c>
      <c r="QV5">
        <v>120.3</v>
      </c>
      <c r="QW5">
        <v>160.57</v>
      </c>
      <c r="QX5">
        <v>110.23</v>
      </c>
      <c r="QY5">
        <v>268.77999999999997</v>
      </c>
      <c r="QZ5">
        <v>49.33</v>
      </c>
      <c r="RA5">
        <v>161.57</v>
      </c>
      <c r="RB5">
        <v>5013.2700000000004</v>
      </c>
      <c r="RC5">
        <v>234.56</v>
      </c>
      <c r="RD5">
        <v>841.08</v>
      </c>
      <c r="RE5">
        <v>27.18</v>
      </c>
      <c r="RF5">
        <v>35.229999999999997</v>
      </c>
      <c r="RG5">
        <v>158.05000000000001</v>
      </c>
      <c r="RH5">
        <v>41.27</v>
      </c>
      <c r="RI5">
        <v>15.6</v>
      </c>
      <c r="RJ5">
        <v>45.8</v>
      </c>
      <c r="RK5">
        <v>35.74</v>
      </c>
      <c r="RL5">
        <v>153.52000000000001</v>
      </c>
      <c r="RM5">
        <v>114.26</v>
      </c>
      <c r="RN5">
        <v>325.16000000000003</v>
      </c>
      <c r="RO5">
        <v>1925.78</v>
      </c>
      <c r="RP5">
        <v>258.72000000000003</v>
      </c>
      <c r="RQ5">
        <v>724.81</v>
      </c>
      <c r="RR5">
        <v>7.12</v>
      </c>
      <c r="RS5">
        <v>446.97</v>
      </c>
      <c r="RT5">
        <v>532.03</v>
      </c>
      <c r="RU5">
        <v>16.61</v>
      </c>
      <c r="RV5">
        <v>19.13</v>
      </c>
      <c r="RW5">
        <v>517.42999999999995</v>
      </c>
      <c r="RX5">
        <v>2219.73</v>
      </c>
      <c r="RY5">
        <v>2027.96</v>
      </c>
      <c r="RZ5">
        <v>23.66</v>
      </c>
      <c r="SA5">
        <v>386.06</v>
      </c>
      <c r="SB5">
        <v>44.8</v>
      </c>
      <c r="SC5">
        <v>61.91</v>
      </c>
      <c r="SD5">
        <v>1110.8699999999999</v>
      </c>
      <c r="SE5">
        <v>885.88</v>
      </c>
      <c r="SF5">
        <v>637.23</v>
      </c>
      <c r="SG5">
        <v>6311.39</v>
      </c>
      <c r="SH5">
        <v>167.11</v>
      </c>
      <c r="SI5">
        <v>172.65</v>
      </c>
      <c r="SJ5">
        <v>113.75</v>
      </c>
      <c r="SK5">
        <v>61.91</v>
      </c>
      <c r="SL5">
        <v>219.96</v>
      </c>
      <c r="SM5">
        <v>29.19</v>
      </c>
      <c r="SN5">
        <v>112.24</v>
      </c>
      <c r="SO5">
        <v>21.14</v>
      </c>
      <c r="SP5">
        <v>140.94</v>
      </c>
      <c r="SQ5">
        <v>967.42</v>
      </c>
      <c r="SR5">
        <v>1226.1400000000001</v>
      </c>
      <c r="SS5">
        <v>587.4</v>
      </c>
      <c r="ST5">
        <v>1534.18</v>
      </c>
      <c r="SU5">
        <v>2261.0100000000002</v>
      </c>
      <c r="SV5">
        <v>787.22</v>
      </c>
      <c r="SW5">
        <v>1348.95</v>
      </c>
      <c r="SX5">
        <v>113.75</v>
      </c>
      <c r="SY5">
        <v>27.68</v>
      </c>
      <c r="SZ5">
        <v>7.12</v>
      </c>
      <c r="TA5">
        <v>52.85</v>
      </c>
      <c r="TB5">
        <v>1793.91</v>
      </c>
      <c r="TC5">
        <v>424.32</v>
      </c>
      <c r="TD5">
        <v>139.43</v>
      </c>
      <c r="TE5">
        <v>660.38</v>
      </c>
      <c r="TF5">
        <v>497.3</v>
      </c>
      <c r="TG5">
        <v>1340.4</v>
      </c>
      <c r="TH5">
        <v>163.08000000000001</v>
      </c>
      <c r="TI5">
        <v>159.06</v>
      </c>
      <c r="TJ5">
        <v>31.71</v>
      </c>
      <c r="TK5">
        <v>109.73</v>
      </c>
      <c r="TL5">
        <v>131.37</v>
      </c>
      <c r="TM5">
        <v>100.16</v>
      </c>
      <c r="TN5">
        <v>572.29999999999995</v>
      </c>
      <c r="TO5">
        <v>698.13</v>
      </c>
      <c r="TP5">
        <v>299.49</v>
      </c>
      <c r="TQ5">
        <v>133.38999999999999</v>
      </c>
      <c r="TR5">
        <v>22.65</v>
      </c>
      <c r="TS5">
        <v>332.2</v>
      </c>
      <c r="TT5">
        <v>86.07</v>
      </c>
      <c r="TU5">
        <v>131.88</v>
      </c>
      <c r="TV5">
        <v>424.82</v>
      </c>
      <c r="TW5">
        <v>426.33</v>
      </c>
      <c r="TX5">
        <v>123.32</v>
      </c>
      <c r="TY5">
        <v>35.229999999999997</v>
      </c>
      <c r="TZ5">
        <v>43.29</v>
      </c>
      <c r="UA5">
        <v>239.09</v>
      </c>
      <c r="UB5">
        <v>81.040000000000006</v>
      </c>
      <c r="UC5">
        <v>5009.75</v>
      </c>
      <c r="UD5">
        <v>31.21</v>
      </c>
      <c r="UE5">
        <v>27.18</v>
      </c>
      <c r="UF5">
        <v>1222.6099999999999</v>
      </c>
      <c r="UG5">
        <v>103.18</v>
      </c>
      <c r="UH5">
        <v>20.13</v>
      </c>
      <c r="UI5">
        <v>78.52</v>
      </c>
      <c r="UJ5">
        <v>58.89</v>
      </c>
      <c r="UK5">
        <v>66.94</v>
      </c>
      <c r="UL5">
        <v>27.68</v>
      </c>
      <c r="UM5">
        <v>20.64</v>
      </c>
      <c r="UN5">
        <v>143.96</v>
      </c>
      <c r="UO5">
        <v>89.59</v>
      </c>
      <c r="UP5">
        <v>17.62</v>
      </c>
      <c r="UQ5">
        <v>83.55</v>
      </c>
      <c r="UR5">
        <v>30.2</v>
      </c>
      <c r="US5">
        <v>104.69</v>
      </c>
      <c r="UT5">
        <v>257.20999999999998</v>
      </c>
      <c r="UU5">
        <v>1171.27</v>
      </c>
      <c r="UV5">
        <v>598.98</v>
      </c>
      <c r="UW5">
        <v>696.12</v>
      </c>
      <c r="UX5">
        <v>40.270000000000003</v>
      </c>
      <c r="UY5">
        <v>261.74</v>
      </c>
      <c r="UZ5">
        <v>210.9</v>
      </c>
      <c r="VA5">
        <v>1411.37</v>
      </c>
      <c r="VB5">
        <v>1263.3800000000001</v>
      </c>
      <c r="VC5">
        <v>29.7</v>
      </c>
      <c r="VD5">
        <v>230.53</v>
      </c>
      <c r="VE5">
        <v>52.85</v>
      </c>
      <c r="VF5">
        <v>189.26</v>
      </c>
      <c r="VG5">
        <v>39.76</v>
      </c>
      <c r="VH5">
        <v>79.02</v>
      </c>
      <c r="VI5">
        <v>58.89</v>
      </c>
      <c r="VJ5">
        <v>36.24</v>
      </c>
      <c r="VK5">
        <v>518.44000000000005</v>
      </c>
      <c r="VL5">
        <v>678</v>
      </c>
      <c r="VM5">
        <v>1147.6199999999999</v>
      </c>
      <c r="VN5">
        <v>465.09</v>
      </c>
      <c r="VO5">
        <v>7.12</v>
      </c>
      <c r="VP5">
        <v>7.12</v>
      </c>
      <c r="VQ5">
        <v>655.85</v>
      </c>
      <c r="VR5">
        <v>371.97</v>
      </c>
      <c r="VS5">
        <v>385.56</v>
      </c>
      <c r="VT5">
        <v>16.11</v>
      </c>
      <c r="VU5">
        <v>30.2</v>
      </c>
      <c r="VV5">
        <v>7.12</v>
      </c>
      <c r="VW5">
        <v>221.97</v>
      </c>
      <c r="VX5">
        <v>98.15</v>
      </c>
      <c r="VY5">
        <v>7.12</v>
      </c>
      <c r="VZ5">
        <v>8627.76</v>
      </c>
      <c r="WA5">
        <v>8126.94</v>
      </c>
      <c r="WB5">
        <v>362.41</v>
      </c>
      <c r="WC5">
        <v>170.63</v>
      </c>
      <c r="WD5">
        <v>228.52</v>
      </c>
      <c r="WE5">
        <v>1046.44</v>
      </c>
      <c r="WF5">
        <v>247.14</v>
      </c>
      <c r="WG5">
        <v>75</v>
      </c>
      <c r="WH5">
        <v>11618.61</v>
      </c>
      <c r="WI5">
        <v>20426.560000000001</v>
      </c>
      <c r="WJ5">
        <v>1955.48</v>
      </c>
      <c r="WK5">
        <v>120.8</v>
      </c>
      <c r="WL5">
        <v>690.58</v>
      </c>
      <c r="WM5">
        <v>29.7</v>
      </c>
      <c r="WN5">
        <v>56.88</v>
      </c>
      <c r="WO5">
        <v>7.12</v>
      </c>
      <c r="WP5">
        <v>54.86</v>
      </c>
      <c r="WQ5">
        <v>846.62</v>
      </c>
      <c r="WR5">
        <v>814.4</v>
      </c>
      <c r="WS5">
        <v>84.06</v>
      </c>
      <c r="WT5">
        <v>643.27</v>
      </c>
      <c r="WU5">
        <v>773.13</v>
      </c>
      <c r="WV5">
        <v>915.07</v>
      </c>
      <c r="WW5">
        <v>30.7</v>
      </c>
      <c r="WX5">
        <v>58.39</v>
      </c>
      <c r="WY5">
        <v>11.07</v>
      </c>
      <c r="WZ5">
        <v>27.68</v>
      </c>
      <c r="XA5">
        <v>17.11</v>
      </c>
      <c r="XB5">
        <v>371.97</v>
      </c>
      <c r="XC5">
        <v>26.17</v>
      </c>
      <c r="XD5">
        <v>66.94</v>
      </c>
      <c r="XE5">
        <v>115.77</v>
      </c>
      <c r="XF5">
        <v>1246.27</v>
      </c>
      <c r="XG5">
        <v>2080.81</v>
      </c>
      <c r="XH5">
        <v>352.84</v>
      </c>
      <c r="XI5">
        <v>1969.07</v>
      </c>
      <c r="XJ5">
        <v>372.98</v>
      </c>
      <c r="XK5">
        <v>650.32000000000005</v>
      </c>
      <c r="XL5">
        <v>105.2</v>
      </c>
      <c r="XM5">
        <v>182.71</v>
      </c>
      <c r="XN5">
        <v>255.7</v>
      </c>
      <c r="XO5">
        <v>20.13</v>
      </c>
      <c r="XP5">
        <v>25.17</v>
      </c>
      <c r="XQ5">
        <v>412.24</v>
      </c>
      <c r="XR5">
        <v>22.65</v>
      </c>
      <c r="XS5">
        <v>684.04</v>
      </c>
      <c r="XT5">
        <v>105.2</v>
      </c>
      <c r="XU5">
        <v>425.83</v>
      </c>
      <c r="XV5">
        <v>316.10000000000002</v>
      </c>
      <c r="XW5">
        <v>2162.35</v>
      </c>
      <c r="XX5">
        <v>2074.77</v>
      </c>
      <c r="XY5">
        <v>1842.73</v>
      </c>
      <c r="XZ5">
        <v>85.06</v>
      </c>
      <c r="YA5">
        <v>979.5</v>
      </c>
      <c r="YB5">
        <v>166.1</v>
      </c>
      <c r="YC5">
        <v>37.25</v>
      </c>
      <c r="YD5">
        <v>2135.17</v>
      </c>
      <c r="YE5">
        <v>660.89</v>
      </c>
      <c r="YF5">
        <v>1589.55</v>
      </c>
      <c r="YG5">
        <v>115.26</v>
      </c>
      <c r="YH5">
        <v>25.17</v>
      </c>
      <c r="YI5">
        <v>27.68</v>
      </c>
      <c r="YJ5">
        <v>566.26</v>
      </c>
      <c r="YK5">
        <v>7.12</v>
      </c>
      <c r="YL5">
        <v>7.55</v>
      </c>
      <c r="YM5">
        <v>3571.2</v>
      </c>
      <c r="YN5">
        <v>208.38</v>
      </c>
      <c r="YO5">
        <v>284.89</v>
      </c>
      <c r="YP5">
        <v>1330.83</v>
      </c>
      <c r="YQ5">
        <v>96.64</v>
      </c>
      <c r="YR5">
        <v>336.23</v>
      </c>
      <c r="YS5">
        <v>2770.89</v>
      </c>
      <c r="YT5">
        <v>150.5</v>
      </c>
      <c r="YU5">
        <v>465.09</v>
      </c>
      <c r="YV5">
        <v>33.22</v>
      </c>
      <c r="YW5">
        <v>31.71</v>
      </c>
      <c r="YX5">
        <v>146.47</v>
      </c>
      <c r="YY5">
        <v>596.46</v>
      </c>
      <c r="YZ5">
        <v>90.1</v>
      </c>
      <c r="ZA5">
        <v>92.11</v>
      </c>
      <c r="ZB5">
        <v>88.08</v>
      </c>
      <c r="ZC5">
        <v>29.7</v>
      </c>
      <c r="ZD5">
        <v>133.38999999999999</v>
      </c>
      <c r="ZE5">
        <v>41.78</v>
      </c>
      <c r="ZF5">
        <v>151</v>
      </c>
      <c r="ZG5">
        <v>396.63</v>
      </c>
      <c r="ZH5">
        <v>154.02000000000001</v>
      </c>
      <c r="ZI5">
        <v>635.22</v>
      </c>
      <c r="ZJ5">
        <v>364.92</v>
      </c>
      <c r="ZK5">
        <v>389.59</v>
      </c>
      <c r="ZL5">
        <v>21.14</v>
      </c>
      <c r="ZM5">
        <v>122.82</v>
      </c>
      <c r="ZN5">
        <v>93.12</v>
      </c>
      <c r="ZO5">
        <v>44.29</v>
      </c>
      <c r="ZP5">
        <v>440.42</v>
      </c>
      <c r="ZQ5">
        <v>7.12</v>
      </c>
      <c r="ZR5">
        <v>7.12</v>
      </c>
      <c r="ZS5">
        <v>846.62</v>
      </c>
      <c r="ZT5">
        <v>172.65</v>
      </c>
      <c r="ZU5">
        <v>262.74</v>
      </c>
      <c r="ZV5">
        <v>25.17</v>
      </c>
      <c r="ZW5">
        <v>32.21</v>
      </c>
      <c r="ZX5">
        <v>59.39</v>
      </c>
      <c r="ZY5">
        <v>3948.2</v>
      </c>
      <c r="ZZ5">
        <v>53.86</v>
      </c>
      <c r="AAA5">
        <v>38.25</v>
      </c>
      <c r="AAB5">
        <v>55.87</v>
      </c>
      <c r="AAC5">
        <v>45.3</v>
      </c>
      <c r="AAD5">
        <v>44.8</v>
      </c>
      <c r="AAE5">
        <v>31.21</v>
      </c>
      <c r="AAF5">
        <v>27.18</v>
      </c>
      <c r="AAG5">
        <v>200.83</v>
      </c>
      <c r="AAH5">
        <v>451.5</v>
      </c>
      <c r="AAI5">
        <v>6608.36</v>
      </c>
      <c r="AAJ5">
        <v>377</v>
      </c>
      <c r="AAK5">
        <v>910.54</v>
      </c>
      <c r="AAL5">
        <v>250.66</v>
      </c>
      <c r="AAM5">
        <v>26.17</v>
      </c>
      <c r="AAN5">
        <v>79.53</v>
      </c>
      <c r="AAO5">
        <v>29.19</v>
      </c>
      <c r="AAP5">
        <v>238.08</v>
      </c>
      <c r="AAQ5">
        <v>33.72</v>
      </c>
      <c r="AAR5">
        <v>68.959999999999994</v>
      </c>
      <c r="AAS5">
        <v>858.2</v>
      </c>
      <c r="AAT5">
        <v>106.2</v>
      </c>
      <c r="AAU5">
        <v>7.12</v>
      </c>
      <c r="AAV5">
        <v>2404.96</v>
      </c>
      <c r="AAW5">
        <v>309.05</v>
      </c>
      <c r="AAX5">
        <v>80.53</v>
      </c>
      <c r="AAY5">
        <v>233.55</v>
      </c>
      <c r="AAZ5">
        <v>121.31</v>
      </c>
      <c r="ABA5">
        <v>347.81</v>
      </c>
      <c r="ABB5">
        <v>95.63</v>
      </c>
      <c r="ABC5">
        <v>632.20000000000005</v>
      </c>
      <c r="ABD5">
        <v>2387.34</v>
      </c>
      <c r="ABE5">
        <v>505.35</v>
      </c>
      <c r="ABF5">
        <v>145.97</v>
      </c>
      <c r="ABG5">
        <v>81.040000000000006</v>
      </c>
      <c r="ABH5">
        <v>265.76</v>
      </c>
      <c r="ABI5">
        <v>82.04</v>
      </c>
      <c r="ABJ5">
        <v>63.92</v>
      </c>
      <c r="ABK5">
        <v>43.79</v>
      </c>
      <c r="ABL5">
        <v>14.6</v>
      </c>
      <c r="ABM5">
        <v>52.35</v>
      </c>
      <c r="ABN5">
        <v>248.65</v>
      </c>
      <c r="ABO5">
        <v>26.68</v>
      </c>
      <c r="ABP5">
        <v>43.79</v>
      </c>
      <c r="ABQ5">
        <v>495.29</v>
      </c>
      <c r="ABR5">
        <v>86.07</v>
      </c>
      <c r="ABS5">
        <v>690.58</v>
      </c>
      <c r="ABT5">
        <v>13.09</v>
      </c>
      <c r="ABU5">
        <v>25.17</v>
      </c>
      <c r="ABV5">
        <v>289.42</v>
      </c>
      <c r="ABW5">
        <v>220.97</v>
      </c>
      <c r="ABX5">
        <v>443.44</v>
      </c>
      <c r="ABY5">
        <v>471.63</v>
      </c>
      <c r="ABZ5">
        <v>184.73</v>
      </c>
      <c r="ACA5">
        <v>653.34</v>
      </c>
      <c r="ACB5">
        <v>237.07</v>
      </c>
      <c r="ACC5">
        <v>171.64</v>
      </c>
      <c r="ACD5">
        <v>331.2</v>
      </c>
      <c r="ACE5">
        <v>96.64</v>
      </c>
      <c r="ACF5">
        <v>6820.77</v>
      </c>
      <c r="ACG5">
        <v>1433.01</v>
      </c>
      <c r="ACH5">
        <v>731.86</v>
      </c>
      <c r="ACI5">
        <v>604.51</v>
      </c>
      <c r="ACJ5">
        <v>694.61</v>
      </c>
      <c r="ACK5">
        <v>519.95000000000005</v>
      </c>
      <c r="ACL5">
        <v>69.959999999999994</v>
      </c>
      <c r="ACM5">
        <v>390.59</v>
      </c>
      <c r="ACN5">
        <v>338.24</v>
      </c>
      <c r="ACO5">
        <v>725.31</v>
      </c>
      <c r="ACP5">
        <v>597.97</v>
      </c>
      <c r="ACQ5">
        <v>369.45</v>
      </c>
      <c r="ACR5">
        <v>4932.2299999999996</v>
      </c>
    </row>
    <row r="6" spans="1:772" x14ac:dyDescent="0.3">
      <c r="A6" t="s">
        <v>6</v>
      </c>
      <c r="B6" t="s">
        <v>2</v>
      </c>
      <c r="C6">
        <v>336.62</v>
      </c>
      <c r="D6">
        <v>67.510000000000005</v>
      </c>
      <c r="E6">
        <v>235.35</v>
      </c>
      <c r="F6">
        <v>20.92</v>
      </c>
      <c r="G6">
        <v>3927.74</v>
      </c>
      <c r="H6">
        <v>70.37</v>
      </c>
      <c r="I6">
        <v>805.42</v>
      </c>
      <c r="J6">
        <v>11444.7</v>
      </c>
      <c r="K6">
        <v>924.76</v>
      </c>
      <c r="L6">
        <v>49.45</v>
      </c>
      <c r="M6">
        <v>49.45</v>
      </c>
      <c r="N6">
        <v>1231.9100000000001</v>
      </c>
      <c r="O6">
        <v>114.58</v>
      </c>
      <c r="P6">
        <v>218.71</v>
      </c>
      <c r="Q6">
        <v>21.87</v>
      </c>
      <c r="R6">
        <v>977.06</v>
      </c>
      <c r="S6">
        <v>39.94</v>
      </c>
      <c r="T6">
        <v>167.84</v>
      </c>
      <c r="U6">
        <v>997.98</v>
      </c>
      <c r="V6">
        <v>71.319999999999993</v>
      </c>
      <c r="W6">
        <v>1054.0899999999999</v>
      </c>
      <c r="X6">
        <v>24.25</v>
      </c>
      <c r="Y6">
        <v>165.93</v>
      </c>
      <c r="Z6">
        <v>638.05999999999995</v>
      </c>
      <c r="AA6">
        <v>75.599999999999994</v>
      </c>
      <c r="AB6">
        <v>1581.37</v>
      </c>
      <c r="AC6">
        <v>271.49</v>
      </c>
      <c r="AD6">
        <v>180.2</v>
      </c>
      <c r="AE6">
        <v>285.75</v>
      </c>
      <c r="AF6">
        <v>21875.26</v>
      </c>
      <c r="AG6">
        <v>312.85000000000002</v>
      </c>
      <c r="AH6">
        <v>467.37</v>
      </c>
      <c r="AI6">
        <v>68.94</v>
      </c>
      <c r="AJ6">
        <v>840.13</v>
      </c>
      <c r="AK6">
        <v>331.87</v>
      </c>
      <c r="AL6">
        <v>150.24</v>
      </c>
      <c r="AM6">
        <v>230.6</v>
      </c>
      <c r="AN6">
        <v>122.19</v>
      </c>
      <c r="AO6">
        <v>1079.29</v>
      </c>
      <c r="AP6">
        <v>31.38</v>
      </c>
      <c r="AQ6">
        <v>189.71</v>
      </c>
      <c r="AR6">
        <v>17.12</v>
      </c>
      <c r="AS6">
        <v>99.37</v>
      </c>
      <c r="AT6">
        <v>7.66</v>
      </c>
      <c r="AU6">
        <v>23.77</v>
      </c>
      <c r="AV6">
        <v>1153.46</v>
      </c>
      <c r="AW6">
        <v>307.62</v>
      </c>
      <c r="AX6">
        <v>1679.31</v>
      </c>
      <c r="AY6">
        <v>68.47</v>
      </c>
      <c r="AZ6">
        <v>82.25</v>
      </c>
      <c r="BA6">
        <v>389.87</v>
      </c>
      <c r="BB6">
        <v>716.99</v>
      </c>
      <c r="BC6">
        <v>130.75</v>
      </c>
      <c r="BD6">
        <v>13.31</v>
      </c>
      <c r="BE6">
        <v>71.790000000000006</v>
      </c>
      <c r="BF6">
        <v>87.48</v>
      </c>
      <c r="BG6">
        <v>86.06</v>
      </c>
      <c r="BH6">
        <v>60.86</v>
      </c>
      <c r="BI6">
        <v>12.36</v>
      </c>
      <c r="BJ6">
        <v>22.35</v>
      </c>
      <c r="BK6">
        <v>262.93</v>
      </c>
      <c r="BL6">
        <v>475.93</v>
      </c>
      <c r="BM6">
        <v>64.66</v>
      </c>
      <c r="BN6">
        <v>131.69999999999999</v>
      </c>
      <c r="BO6">
        <v>138.36000000000001</v>
      </c>
      <c r="BP6">
        <v>13.31</v>
      </c>
      <c r="BQ6">
        <v>7.66</v>
      </c>
      <c r="BR6">
        <v>38.04</v>
      </c>
      <c r="BS6">
        <v>7.66</v>
      </c>
      <c r="BT6">
        <v>684.18</v>
      </c>
      <c r="BU6">
        <v>1240.94</v>
      </c>
      <c r="BV6">
        <v>47.07</v>
      </c>
      <c r="BW6">
        <v>290.02999999999997</v>
      </c>
      <c r="BX6">
        <v>343.75</v>
      </c>
      <c r="BY6">
        <v>142.16</v>
      </c>
      <c r="BZ6">
        <v>406.99</v>
      </c>
      <c r="CA6">
        <v>55.15</v>
      </c>
      <c r="CB6">
        <v>80.83</v>
      </c>
      <c r="CC6">
        <v>22.82</v>
      </c>
      <c r="CD6">
        <v>95.09</v>
      </c>
      <c r="CE6">
        <v>590.04</v>
      </c>
      <c r="CF6">
        <v>125.52</v>
      </c>
      <c r="CG6">
        <v>88.43</v>
      </c>
      <c r="CH6">
        <v>93.66</v>
      </c>
      <c r="CI6">
        <v>33.28</v>
      </c>
      <c r="CJ6">
        <v>28.53</v>
      </c>
      <c r="CK6">
        <v>37.56</v>
      </c>
      <c r="CL6">
        <v>37.090000000000003</v>
      </c>
      <c r="CM6">
        <v>121.72</v>
      </c>
      <c r="CN6">
        <v>28.05</v>
      </c>
      <c r="CO6">
        <v>22.35</v>
      </c>
      <c r="CP6">
        <v>7.66</v>
      </c>
      <c r="CQ6">
        <v>29.95</v>
      </c>
      <c r="CR6">
        <v>40.89</v>
      </c>
      <c r="CS6">
        <v>7.66</v>
      </c>
      <c r="CT6">
        <v>12.84</v>
      </c>
      <c r="CU6">
        <v>25.2</v>
      </c>
      <c r="CV6">
        <v>479.74</v>
      </c>
      <c r="CW6">
        <v>944.26</v>
      </c>
      <c r="CX6">
        <v>24.72</v>
      </c>
      <c r="CY6">
        <v>73.22</v>
      </c>
      <c r="CZ6">
        <v>36.61</v>
      </c>
      <c r="DA6">
        <v>89.39</v>
      </c>
      <c r="DB6">
        <v>35.18</v>
      </c>
      <c r="DC6">
        <v>46.12</v>
      </c>
      <c r="DD6">
        <v>19.489999999999998</v>
      </c>
      <c r="DE6">
        <v>18.54</v>
      </c>
      <c r="DF6">
        <v>435.99</v>
      </c>
      <c r="DG6">
        <v>19.97</v>
      </c>
      <c r="DH6">
        <v>2961.62</v>
      </c>
      <c r="DI6">
        <v>9.0299999999999994</v>
      </c>
      <c r="DJ6">
        <v>18.07</v>
      </c>
      <c r="DK6">
        <v>61.81</v>
      </c>
      <c r="DL6">
        <v>1236.6600000000001</v>
      </c>
      <c r="DM6">
        <v>40.409999999999997</v>
      </c>
      <c r="DN6">
        <v>13.79</v>
      </c>
      <c r="DO6">
        <v>106.98</v>
      </c>
      <c r="DP6">
        <v>42.32</v>
      </c>
      <c r="DQ6">
        <v>2904.56</v>
      </c>
      <c r="DR6">
        <v>46.59</v>
      </c>
      <c r="DS6">
        <v>23.77</v>
      </c>
      <c r="DT6">
        <v>47.07</v>
      </c>
      <c r="DU6">
        <v>2989.19</v>
      </c>
      <c r="DV6">
        <v>26.63</v>
      </c>
      <c r="DW6">
        <v>21.87</v>
      </c>
      <c r="DX6">
        <v>49.45</v>
      </c>
      <c r="DY6">
        <v>23.3</v>
      </c>
      <c r="DZ6">
        <v>48.97</v>
      </c>
      <c r="EA6">
        <v>44.22</v>
      </c>
      <c r="EB6">
        <v>73.7</v>
      </c>
      <c r="EC6">
        <v>15.21</v>
      </c>
      <c r="ED6">
        <v>42.32</v>
      </c>
      <c r="EE6">
        <v>7.66</v>
      </c>
      <c r="EF6">
        <v>2862.25</v>
      </c>
      <c r="EG6">
        <v>1400.69</v>
      </c>
      <c r="EH6">
        <v>36.130000000000003</v>
      </c>
      <c r="EI6">
        <v>53.73</v>
      </c>
      <c r="EJ6">
        <v>775.94</v>
      </c>
      <c r="EK6">
        <v>415.55</v>
      </c>
      <c r="EL6">
        <v>5135.3999999999996</v>
      </c>
      <c r="EM6">
        <v>1010.82</v>
      </c>
      <c r="EN6">
        <v>934.75</v>
      </c>
      <c r="EO6">
        <v>725.55</v>
      </c>
      <c r="EP6">
        <v>23.3</v>
      </c>
      <c r="EQ6">
        <v>2518.02</v>
      </c>
      <c r="ER6">
        <v>20.440000000000001</v>
      </c>
      <c r="ES6">
        <v>61.81</v>
      </c>
      <c r="ET6">
        <v>27.58</v>
      </c>
      <c r="EU6">
        <v>512.07000000000005</v>
      </c>
      <c r="EV6">
        <v>12.84</v>
      </c>
      <c r="EW6">
        <v>39.46</v>
      </c>
      <c r="EX6">
        <v>32.33</v>
      </c>
      <c r="EY6">
        <v>33.28</v>
      </c>
      <c r="EZ6">
        <v>19.97</v>
      </c>
      <c r="FA6">
        <v>49.45</v>
      </c>
      <c r="FB6">
        <v>16.64</v>
      </c>
      <c r="FC6">
        <v>61.81</v>
      </c>
      <c r="FD6">
        <v>48.02</v>
      </c>
      <c r="FE6">
        <v>5790.58</v>
      </c>
      <c r="FF6">
        <v>130.75</v>
      </c>
      <c r="FG6">
        <v>803.52</v>
      </c>
      <c r="FH6">
        <v>911.92</v>
      </c>
      <c r="FI6">
        <v>245.34</v>
      </c>
      <c r="FJ6">
        <v>292.41000000000003</v>
      </c>
      <c r="FK6">
        <v>613.80999999999995</v>
      </c>
      <c r="FL6">
        <v>132.65</v>
      </c>
      <c r="FM6">
        <v>48.97</v>
      </c>
      <c r="FN6">
        <v>127.9</v>
      </c>
      <c r="FO6">
        <v>38.51</v>
      </c>
      <c r="FP6">
        <v>7.66</v>
      </c>
      <c r="FQ6">
        <v>39.46</v>
      </c>
      <c r="FR6">
        <v>7.66</v>
      </c>
      <c r="FS6">
        <v>7.66</v>
      </c>
      <c r="FT6">
        <v>34.229999999999997</v>
      </c>
      <c r="FU6">
        <v>1821</v>
      </c>
      <c r="FV6">
        <v>1742.55</v>
      </c>
      <c r="FW6">
        <v>46.12</v>
      </c>
      <c r="FX6">
        <v>1588.02</v>
      </c>
      <c r="FY6">
        <v>24.72</v>
      </c>
      <c r="FZ6">
        <v>796.39</v>
      </c>
      <c r="GA6">
        <v>10459.08</v>
      </c>
      <c r="GB6">
        <v>1257.1099999999999</v>
      </c>
      <c r="GC6">
        <v>19.02</v>
      </c>
      <c r="GD6">
        <v>333.29</v>
      </c>
      <c r="GE6">
        <v>373.71</v>
      </c>
      <c r="GF6">
        <v>522.53</v>
      </c>
      <c r="GG6">
        <v>770.71</v>
      </c>
      <c r="GH6">
        <v>243.43</v>
      </c>
      <c r="GI6">
        <v>691.79</v>
      </c>
      <c r="GJ6">
        <v>81.3</v>
      </c>
      <c r="GK6">
        <v>8560.11</v>
      </c>
      <c r="GL6">
        <v>2037.33</v>
      </c>
      <c r="GM6">
        <v>31.86</v>
      </c>
      <c r="GN6">
        <v>23.3</v>
      </c>
      <c r="GO6">
        <v>304.77</v>
      </c>
      <c r="GP6">
        <v>26.63</v>
      </c>
      <c r="GQ6">
        <v>44.22</v>
      </c>
      <c r="GR6">
        <v>80.349999999999994</v>
      </c>
      <c r="GS6">
        <v>282.89999999999998</v>
      </c>
      <c r="GT6">
        <v>450.73</v>
      </c>
      <c r="GU6">
        <v>9.98</v>
      </c>
      <c r="GV6">
        <v>53.25</v>
      </c>
      <c r="GW6">
        <v>261.02999999999997</v>
      </c>
      <c r="GX6">
        <v>552.48</v>
      </c>
      <c r="GY6">
        <v>24.72</v>
      </c>
      <c r="GZ6">
        <v>415.07</v>
      </c>
      <c r="HA6">
        <v>45.17</v>
      </c>
      <c r="HB6">
        <v>1780.11</v>
      </c>
      <c r="HC6">
        <v>170.69</v>
      </c>
      <c r="HD6">
        <v>1179.1300000000001</v>
      </c>
      <c r="HE6">
        <v>69.42</v>
      </c>
      <c r="HF6">
        <v>3051</v>
      </c>
      <c r="HG6">
        <v>296.68</v>
      </c>
      <c r="HH6">
        <v>312.37</v>
      </c>
      <c r="HI6">
        <v>42.79</v>
      </c>
      <c r="HJ6">
        <v>994.65</v>
      </c>
      <c r="HK6">
        <v>7742.8</v>
      </c>
      <c r="HL6">
        <v>849.16</v>
      </c>
      <c r="HM6">
        <v>65.14</v>
      </c>
      <c r="HN6">
        <v>1666</v>
      </c>
      <c r="HO6">
        <v>19.97</v>
      </c>
      <c r="HP6">
        <v>84.63</v>
      </c>
      <c r="HQ6">
        <v>9188.66</v>
      </c>
      <c r="HR6">
        <v>140.26</v>
      </c>
      <c r="HS6">
        <v>7.66</v>
      </c>
      <c r="HT6">
        <v>169.26</v>
      </c>
      <c r="HU6">
        <v>192.08</v>
      </c>
      <c r="HV6">
        <v>155.47</v>
      </c>
      <c r="HW6">
        <v>2942.12</v>
      </c>
      <c r="HX6">
        <v>27.58</v>
      </c>
      <c r="HY6">
        <v>56.58</v>
      </c>
      <c r="HZ6">
        <v>307.62</v>
      </c>
      <c r="IA6">
        <v>149.29</v>
      </c>
      <c r="IB6">
        <v>72.27</v>
      </c>
      <c r="IC6">
        <v>31.86</v>
      </c>
      <c r="ID6">
        <v>19.02</v>
      </c>
      <c r="IE6">
        <v>82.73</v>
      </c>
      <c r="IF6">
        <v>224.42</v>
      </c>
      <c r="IG6">
        <v>32.33</v>
      </c>
      <c r="IH6">
        <v>7.66</v>
      </c>
      <c r="II6">
        <v>45.64</v>
      </c>
      <c r="IJ6">
        <v>47.55</v>
      </c>
      <c r="IK6">
        <v>7.66</v>
      </c>
      <c r="IL6">
        <v>304.29000000000002</v>
      </c>
      <c r="IM6">
        <v>46.59</v>
      </c>
      <c r="IN6">
        <v>67.040000000000006</v>
      </c>
      <c r="IO6">
        <v>348.03</v>
      </c>
      <c r="IP6">
        <v>32.81</v>
      </c>
      <c r="IQ6">
        <v>15.69</v>
      </c>
      <c r="IR6">
        <v>46.12</v>
      </c>
      <c r="IS6">
        <v>27.58</v>
      </c>
      <c r="IT6">
        <v>10.46</v>
      </c>
      <c r="IU6">
        <v>250.57</v>
      </c>
      <c r="IV6">
        <v>806.85</v>
      </c>
      <c r="IW6">
        <v>70.37</v>
      </c>
      <c r="IX6">
        <v>8352.81</v>
      </c>
      <c r="IY6">
        <v>55.63</v>
      </c>
      <c r="IZ6">
        <v>29</v>
      </c>
      <c r="JA6">
        <v>39.94</v>
      </c>
      <c r="JB6">
        <v>200.17</v>
      </c>
      <c r="JC6">
        <v>59.91</v>
      </c>
      <c r="JD6">
        <v>317.60000000000002</v>
      </c>
      <c r="JE6">
        <v>76.55</v>
      </c>
      <c r="JF6">
        <v>54.2</v>
      </c>
      <c r="JG6">
        <v>80.83</v>
      </c>
      <c r="JH6">
        <v>1446.34</v>
      </c>
      <c r="JI6">
        <v>1277.08</v>
      </c>
      <c r="JJ6">
        <v>1513.85</v>
      </c>
      <c r="JK6">
        <v>53.25</v>
      </c>
      <c r="JL6">
        <v>76.55</v>
      </c>
      <c r="JM6">
        <v>10.94</v>
      </c>
      <c r="JN6">
        <v>32.81</v>
      </c>
      <c r="JO6">
        <v>250.09</v>
      </c>
      <c r="JP6">
        <v>340.9</v>
      </c>
      <c r="JQ6">
        <v>2705.82</v>
      </c>
      <c r="JR6">
        <v>32.33</v>
      </c>
      <c r="JS6">
        <v>29</v>
      </c>
      <c r="JT6">
        <v>81.78</v>
      </c>
      <c r="JU6">
        <v>208.25</v>
      </c>
      <c r="JV6">
        <v>435.99</v>
      </c>
      <c r="JW6">
        <v>109.83</v>
      </c>
      <c r="JX6">
        <v>145.97</v>
      </c>
      <c r="JY6">
        <v>99.85</v>
      </c>
      <c r="JZ6">
        <v>12.84</v>
      </c>
      <c r="KA6">
        <v>7.66</v>
      </c>
      <c r="KB6">
        <v>16.170000000000002</v>
      </c>
      <c r="KC6">
        <v>9.98</v>
      </c>
      <c r="KD6">
        <v>45.17</v>
      </c>
      <c r="KE6">
        <v>139.31</v>
      </c>
      <c r="KF6">
        <v>35.18</v>
      </c>
      <c r="KG6">
        <v>75.12</v>
      </c>
      <c r="KH6">
        <v>119.34</v>
      </c>
      <c r="KI6">
        <v>382.27</v>
      </c>
      <c r="KJ6">
        <v>264.83</v>
      </c>
      <c r="KK6">
        <v>161.66</v>
      </c>
      <c r="KL6">
        <v>55.63</v>
      </c>
      <c r="KM6">
        <v>159.75</v>
      </c>
      <c r="KN6">
        <v>389.87</v>
      </c>
      <c r="KO6">
        <v>403.66</v>
      </c>
      <c r="KP6">
        <v>61.33</v>
      </c>
      <c r="KQ6">
        <v>2092.0100000000002</v>
      </c>
      <c r="KR6">
        <v>823.01</v>
      </c>
      <c r="KS6">
        <v>851.54</v>
      </c>
      <c r="KT6">
        <v>4487.83</v>
      </c>
      <c r="KU6">
        <v>41585.769999999997</v>
      </c>
      <c r="KV6">
        <v>4364.6899999999996</v>
      </c>
      <c r="KW6">
        <v>172.12</v>
      </c>
      <c r="KX6">
        <v>113.63</v>
      </c>
      <c r="KY6">
        <v>15.69</v>
      </c>
      <c r="KZ6">
        <v>13.31</v>
      </c>
      <c r="LA6">
        <v>281.47000000000003</v>
      </c>
      <c r="LB6">
        <v>219.66</v>
      </c>
      <c r="LC6">
        <v>7.66</v>
      </c>
      <c r="LD6">
        <v>7.66</v>
      </c>
      <c r="LE6">
        <v>7.66</v>
      </c>
      <c r="LF6">
        <v>959.95</v>
      </c>
      <c r="LG6">
        <v>204.92</v>
      </c>
      <c r="LH6">
        <v>7.66</v>
      </c>
      <c r="LI6">
        <v>7054.82</v>
      </c>
      <c r="LJ6">
        <v>488.29</v>
      </c>
      <c r="LK6">
        <v>1515.75</v>
      </c>
      <c r="LL6">
        <v>96.04</v>
      </c>
      <c r="LM6">
        <v>20.440000000000001</v>
      </c>
      <c r="LN6">
        <v>259.12</v>
      </c>
      <c r="LO6">
        <v>397.48</v>
      </c>
      <c r="LP6">
        <v>4940.46</v>
      </c>
      <c r="LQ6">
        <v>60.86</v>
      </c>
      <c r="LR6">
        <v>78.45</v>
      </c>
      <c r="LS6">
        <v>79.88</v>
      </c>
      <c r="LT6">
        <v>9.98</v>
      </c>
      <c r="LU6">
        <v>178.3</v>
      </c>
      <c r="LV6">
        <v>360.87</v>
      </c>
      <c r="LW6">
        <v>11620.15</v>
      </c>
      <c r="LX6">
        <v>2276.0100000000002</v>
      </c>
      <c r="LY6">
        <v>1845.72</v>
      </c>
      <c r="LZ6">
        <v>7947.72</v>
      </c>
      <c r="MA6">
        <v>514.44000000000005</v>
      </c>
      <c r="MB6">
        <v>7042.46</v>
      </c>
      <c r="MC6">
        <v>1333.18</v>
      </c>
      <c r="MD6">
        <v>157.85</v>
      </c>
      <c r="ME6">
        <v>74.17</v>
      </c>
      <c r="MF6">
        <v>498.28</v>
      </c>
      <c r="MG6">
        <v>7501.75</v>
      </c>
      <c r="MH6">
        <v>590.52</v>
      </c>
      <c r="MI6">
        <v>48.5</v>
      </c>
      <c r="MJ6">
        <v>387.5</v>
      </c>
      <c r="MK6">
        <v>11.41</v>
      </c>
      <c r="ML6">
        <v>1298.95</v>
      </c>
      <c r="MM6">
        <v>2703.92</v>
      </c>
      <c r="MN6">
        <v>399.86</v>
      </c>
      <c r="MO6">
        <v>14.74</v>
      </c>
      <c r="MP6">
        <v>136.93</v>
      </c>
      <c r="MQ6">
        <v>257.7</v>
      </c>
      <c r="MR6">
        <v>7.66</v>
      </c>
      <c r="MS6">
        <v>93.19</v>
      </c>
      <c r="MT6">
        <v>2039.23</v>
      </c>
      <c r="MU6">
        <v>51.35</v>
      </c>
      <c r="MV6">
        <v>172.12</v>
      </c>
      <c r="MW6">
        <v>86.53</v>
      </c>
      <c r="MX6">
        <v>56.58</v>
      </c>
      <c r="MY6">
        <v>30.43</v>
      </c>
      <c r="MZ6">
        <v>21.4</v>
      </c>
      <c r="NA6">
        <v>60.38</v>
      </c>
      <c r="NB6">
        <v>948.53</v>
      </c>
      <c r="NC6">
        <v>1099.73</v>
      </c>
      <c r="ND6">
        <v>3565.45</v>
      </c>
      <c r="NE6">
        <v>2382.04</v>
      </c>
      <c r="NF6">
        <v>14.26</v>
      </c>
      <c r="NG6">
        <v>10.46</v>
      </c>
      <c r="NH6">
        <v>99.85</v>
      </c>
      <c r="NI6">
        <v>1062.6400000000001</v>
      </c>
      <c r="NJ6">
        <v>70.37</v>
      </c>
      <c r="NK6">
        <v>116.01</v>
      </c>
      <c r="NL6">
        <v>111.26</v>
      </c>
      <c r="NM6">
        <v>4777.8599999999997</v>
      </c>
      <c r="NN6">
        <v>283.85000000000002</v>
      </c>
      <c r="NO6">
        <v>95.09</v>
      </c>
      <c r="NP6">
        <v>9.98</v>
      </c>
      <c r="NQ6">
        <v>3419.96</v>
      </c>
      <c r="NR6">
        <v>107.93</v>
      </c>
      <c r="NS6">
        <v>108.4</v>
      </c>
      <c r="NT6">
        <v>672.29</v>
      </c>
      <c r="NU6">
        <v>2227.9899999999998</v>
      </c>
      <c r="NV6">
        <v>548.67999999999995</v>
      </c>
      <c r="NW6">
        <v>327.11</v>
      </c>
      <c r="NX6">
        <v>110.78</v>
      </c>
      <c r="NY6">
        <v>62.28</v>
      </c>
      <c r="NZ6">
        <v>1391.66</v>
      </c>
      <c r="OA6">
        <v>106.5</v>
      </c>
      <c r="OB6">
        <v>907.17</v>
      </c>
      <c r="OC6">
        <v>5910.4</v>
      </c>
      <c r="OD6">
        <v>148.82</v>
      </c>
      <c r="OE6">
        <v>844.41</v>
      </c>
      <c r="OF6">
        <v>13.31</v>
      </c>
      <c r="OG6">
        <v>2148.59</v>
      </c>
      <c r="OH6">
        <v>109.35</v>
      </c>
      <c r="OI6">
        <v>42.32</v>
      </c>
      <c r="OJ6">
        <v>7.66</v>
      </c>
      <c r="OK6">
        <v>1815.29</v>
      </c>
      <c r="OL6">
        <v>107.93</v>
      </c>
      <c r="OM6">
        <v>121.24</v>
      </c>
      <c r="ON6">
        <v>131.69999999999999</v>
      </c>
      <c r="OO6">
        <v>3330.57</v>
      </c>
      <c r="OP6">
        <v>164.98</v>
      </c>
      <c r="OQ6">
        <v>1086.8900000000001</v>
      </c>
      <c r="OR6">
        <v>38.51</v>
      </c>
      <c r="OS6">
        <v>485.44</v>
      </c>
      <c r="OT6">
        <v>595.27</v>
      </c>
      <c r="OU6">
        <v>65.61</v>
      </c>
      <c r="OV6">
        <v>330.44</v>
      </c>
      <c r="OW6">
        <v>11.41</v>
      </c>
      <c r="OX6">
        <v>48.5</v>
      </c>
      <c r="OY6">
        <v>51.35</v>
      </c>
      <c r="OZ6">
        <v>24.25</v>
      </c>
      <c r="PA6">
        <v>37.56</v>
      </c>
      <c r="PB6">
        <v>49.92</v>
      </c>
      <c r="PC6">
        <v>11.41</v>
      </c>
      <c r="PD6">
        <v>30.43</v>
      </c>
      <c r="PE6">
        <v>24.72</v>
      </c>
      <c r="PF6">
        <v>843.93</v>
      </c>
      <c r="PG6">
        <v>39.94</v>
      </c>
      <c r="PH6">
        <v>20.440000000000001</v>
      </c>
      <c r="PI6">
        <v>344.23</v>
      </c>
      <c r="PJ6">
        <v>8537.76</v>
      </c>
      <c r="PK6">
        <v>8606.7099999999991</v>
      </c>
      <c r="PL6">
        <v>35.659999999999997</v>
      </c>
      <c r="PM6">
        <v>14022.63</v>
      </c>
      <c r="PN6">
        <v>1472.96</v>
      </c>
      <c r="PO6">
        <v>172.59</v>
      </c>
      <c r="PP6">
        <v>1738.27</v>
      </c>
      <c r="PQ6">
        <v>56.58</v>
      </c>
      <c r="PR6">
        <v>57.05</v>
      </c>
      <c r="PS6">
        <v>45.17</v>
      </c>
      <c r="PT6">
        <v>27.58</v>
      </c>
      <c r="PU6">
        <v>69.89</v>
      </c>
      <c r="PV6">
        <v>115.06</v>
      </c>
      <c r="PW6">
        <v>76.069999999999993</v>
      </c>
      <c r="PX6">
        <v>33.28</v>
      </c>
      <c r="PY6">
        <v>265.77999999999997</v>
      </c>
      <c r="PZ6">
        <v>34.229999999999997</v>
      </c>
      <c r="QA6">
        <v>230.6</v>
      </c>
      <c r="QB6">
        <v>502.08</v>
      </c>
      <c r="QC6">
        <v>55.63</v>
      </c>
      <c r="QD6">
        <v>32.81</v>
      </c>
      <c r="QE6">
        <v>32.33</v>
      </c>
      <c r="QF6">
        <v>14.74</v>
      </c>
      <c r="QG6">
        <v>29</v>
      </c>
      <c r="QH6">
        <v>28.05</v>
      </c>
      <c r="QI6">
        <v>35.18</v>
      </c>
      <c r="QJ6">
        <v>119.34</v>
      </c>
      <c r="QK6">
        <v>21.87</v>
      </c>
      <c r="QL6">
        <v>446.93</v>
      </c>
      <c r="QM6">
        <v>832.52</v>
      </c>
      <c r="QN6">
        <v>1491.03</v>
      </c>
      <c r="QO6">
        <v>22.35</v>
      </c>
      <c r="QP6">
        <v>120.77</v>
      </c>
      <c r="QQ6">
        <v>449.78</v>
      </c>
      <c r="QR6">
        <v>112.68</v>
      </c>
      <c r="QS6">
        <v>1954.12</v>
      </c>
      <c r="QT6">
        <v>407.47</v>
      </c>
      <c r="QU6">
        <v>67.989999999999995</v>
      </c>
      <c r="QV6">
        <v>132.18</v>
      </c>
      <c r="QW6">
        <v>137.41</v>
      </c>
      <c r="QX6">
        <v>115.06</v>
      </c>
      <c r="QY6">
        <v>113.63</v>
      </c>
      <c r="QZ6">
        <v>44.69</v>
      </c>
      <c r="RA6">
        <v>166.89</v>
      </c>
      <c r="RB6">
        <v>5766.81</v>
      </c>
      <c r="RC6">
        <v>139.78</v>
      </c>
      <c r="RD6">
        <v>648.52</v>
      </c>
      <c r="RE6">
        <v>19.02</v>
      </c>
      <c r="RF6">
        <v>16.170000000000002</v>
      </c>
      <c r="RG6">
        <v>150.24</v>
      </c>
      <c r="RH6">
        <v>41.84</v>
      </c>
      <c r="RI6">
        <v>14.26</v>
      </c>
      <c r="RJ6">
        <v>40.409999999999997</v>
      </c>
      <c r="RK6">
        <v>23.77</v>
      </c>
      <c r="RL6">
        <v>124.57</v>
      </c>
      <c r="RM6">
        <v>128.37</v>
      </c>
      <c r="RN6">
        <v>306.67</v>
      </c>
      <c r="RO6">
        <v>2113.4</v>
      </c>
      <c r="RP6">
        <v>235.35</v>
      </c>
      <c r="RQ6">
        <v>600.03</v>
      </c>
      <c r="RR6">
        <v>9.98</v>
      </c>
      <c r="RS6">
        <v>482.11</v>
      </c>
      <c r="RT6">
        <v>592.89</v>
      </c>
      <c r="RU6">
        <v>23.77</v>
      </c>
      <c r="RV6">
        <v>19.02</v>
      </c>
      <c r="RW6">
        <v>502.08</v>
      </c>
      <c r="RX6">
        <v>2327.36</v>
      </c>
      <c r="RY6">
        <v>2077.27</v>
      </c>
      <c r="RZ6">
        <v>29.48</v>
      </c>
      <c r="SA6">
        <v>374.18</v>
      </c>
      <c r="SB6">
        <v>39.94</v>
      </c>
      <c r="SC6">
        <v>71.790000000000006</v>
      </c>
      <c r="SD6">
        <v>1079.29</v>
      </c>
      <c r="SE6">
        <v>912.88</v>
      </c>
      <c r="SF6">
        <v>610.96</v>
      </c>
      <c r="SG6">
        <v>7932.51</v>
      </c>
      <c r="SH6">
        <v>193.04</v>
      </c>
      <c r="SI6">
        <v>141.69</v>
      </c>
      <c r="SJ6">
        <v>88.43</v>
      </c>
      <c r="SK6">
        <v>88.91</v>
      </c>
      <c r="SL6">
        <v>393.68</v>
      </c>
      <c r="SM6">
        <v>36.130000000000003</v>
      </c>
      <c r="SN6">
        <v>173.07</v>
      </c>
      <c r="SO6">
        <v>30.9</v>
      </c>
      <c r="SP6">
        <v>127.42</v>
      </c>
      <c r="SQ6">
        <v>861.53</v>
      </c>
      <c r="SR6">
        <v>1196.72</v>
      </c>
      <c r="SS6">
        <v>681.8</v>
      </c>
      <c r="ST6">
        <v>1862.36</v>
      </c>
      <c r="SU6">
        <v>2626.42</v>
      </c>
      <c r="SV6">
        <v>984.67</v>
      </c>
      <c r="SW6">
        <v>1616.55</v>
      </c>
      <c r="SX6">
        <v>91.76</v>
      </c>
      <c r="SY6">
        <v>15.21</v>
      </c>
      <c r="SZ6">
        <v>7.66</v>
      </c>
      <c r="TA6">
        <v>53.25</v>
      </c>
      <c r="TB6">
        <v>1773.45</v>
      </c>
      <c r="TC6">
        <v>475.46</v>
      </c>
      <c r="TD6">
        <v>118.39</v>
      </c>
      <c r="TE6">
        <v>859.15</v>
      </c>
      <c r="TF6">
        <v>444.08</v>
      </c>
      <c r="TG6">
        <v>1809.59</v>
      </c>
      <c r="TH6">
        <v>156.43</v>
      </c>
      <c r="TI6">
        <v>160.22999999999999</v>
      </c>
      <c r="TJ6">
        <v>38.51</v>
      </c>
      <c r="TK6">
        <v>184</v>
      </c>
      <c r="TL6">
        <v>132.18</v>
      </c>
      <c r="TM6">
        <v>54.68</v>
      </c>
      <c r="TN6">
        <v>484.97</v>
      </c>
      <c r="TO6">
        <v>692.74</v>
      </c>
      <c r="TP6">
        <v>289.55</v>
      </c>
      <c r="TQ6">
        <v>103.17</v>
      </c>
      <c r="TR6">
        <v>23.3</v>
      </c>
      <c r="TS6">
        <v>350.89</v>
      </c>
      <c r="TT6">
        <v>69.89</v>
      </c>
      <c r="TU6">
        <v>114.58</v>
      </c>
      <c r="TV6">
        <v>426.96</v>
      </c>
      <c r="TW6">
        <v>418.4</v>
      </c>
      <c r="TX6">
        <v>117.44</v>
      </c>
      <c r="TY6">
        <v>40.409999999999997</v>
      </c>
      <c r="TZ6">
        <v>35.659999999999997</v>
      </c>
      <c r="UA6">
        <v>204.45</v>
      </c>
      <c r="UB6">
        <v>69.42</v>
      </c>
      <c r="UC6">
        <v>5083.58</v>
      </c>
      <c r="UD6">
        <v>34.229999999999997</v>
      </c>
      <c r="UE6">
        <v>37.090000000000003</v>
      </c>
      <c r="UF6">
        <v>1476.77</v>
      </c>
      <c r="UG6">
        <v>91.29</v>
      </c>
      <c r="UH6">
        <v>16.170000000000002</v>
      </c>
      <c r="UI6">
        <v>60.86</v>
      </c>
      <c r="UJ6">
        <v>51.82</v>
      </c>
      <c r="UK6">
        <v>41.36</v>
      </c>
      <c r="UL6">
        <v>23.77</v>
      </c>
      <c r="UM6">
        <v>18.54</v>
      </c>
      <c r="UN6">
        <v>163.56</v>
      </c>
      <c r="UO6">
        <v>99.85</v>
      </c>
      <c r="UP6">
        <v>14.74</v>
      </c>
      <c r="UQ6">
        <v>77.5</v>
      </c>
      <c r="UR6">
        <v>29.48</v>
      </c>
      <c r="US6">
        <v>88.91</v>
      </c>
      <c r="UT6">
        <v>436.47</v>
      </c>
      <c r="UU6">
        <v>1104.01</v>
      </c>
      <c r="UV6">
        <v>837.28</v>
      </c>
      <c r="UW6">
        <v>1197.2</v>
      </c>
      <c r="UX6">
        <v>35.18</v>
      </c>
      <c r="UY6">
        <v>222.51</v>
      </c>
      <c r="UZ6">
        <v>204.92</v>
      </c>
      <c r="VA6">
        <v>2442.42</v>
      </c>
      <c r="VB6">
        <v>1264.71</v>
      </c>
      <c r="VC6">
        <v>30.9</v>
      </c>
      <c r="VD6">
        <v>240.58</v>
      </c>
      <c r="VE6">
        <v>59.91</v>
      </c>
      <c r="VF6">
        <v>183.05</v>
      </c>
      <c r="VG6">
        <v>32.33</v>
      </c>
      <c r="VH6">
        <v>77.02</v>
      </c>
      <c r="VI6">
        <v>38.99</v>
      </c>
      <c r="VJ6">
        <v>23.3</v>
      </c>
      <c r="VK6">
        <v>485.44</v>
      </c>
      <c r="VL6">
        <v>554.38</v>
      </c>
      <c r="VM6">
        <v>1208.6099999999999</v>
      </c>
      <c r="VN6">
        <v>429.81</v>
      </c>
      <c r="VO6">
        <v>7.66</v>
      </c>
      <c r="VP6">
        <v>7.66</v>
      </c>
      <c r="VQ6">
        <v>644.72</v>
      </c>
      <c r="VR6">
        <v>382.74</v>
      </c>
      <c r="VS6">
        <v>576.73</v>
      </c>
      <c r="VT6">
        <v>21.4</v>
      </c>
      <c r="VU6">
        <v>21.87</v>
      </c>
      <c r="VV6">
        <v>7.66</v>
      </c>
      <c r="VW6">
        <v>222.51</v>
      </c>
      <c r="VX6">
        <v>95.09</v>
      </c>
      <c r="VY6">
        <v>13.31</v>
      </c>
      <c r="VZ6">
        <v>7234.54</v>
      </c>
      <c r="WA6">
        <v>6768.12</v>
      </c>
      <c r="WB6">
        <v>312.85000000000002</v>
      </c>
      <c r="WC6">
        <v>164.98</v>
      </c>
      <c r="WD6">
        <v>146.44</v>
      </c>
      <c r="WE6">
        <v>1646.98</v>
      </c>
      <c r="WF6">
        <v>241.06</v>
      </c>
      <c r="WG6">
        <v>54.2</v>
      </c>
      <c r="WH6">
        <v>9383.6</v>
      </c>
      <c r="WI6">
        <v>17940.38</v>
      </c>
      <c r="WJ6">
        <v>2250.81</v>
      </c>
      <c r="WK6">
        <v>105.55</v>
      </c>
      <c r="WL6">
        <v>733.15</v>
      </c>
      <c r="WM6">
        <v>40.89</v>
      </c>
      <c r="WN6">
        <v>55.15</v>
      </c>
      <c r="WO6">
        <v>7.66</v>
      </c>
      <c r="WP6">
        <v>60.86</v>
      </c>
      <c r="WQ6">
        <v>745.04</v>
      </c>
      <c r="WR6">
        <v>866.76</v>
      </c>
      <c r="WS6">
        <v>77.97</v>
      </c>
      <c r="WT6">
        <v>234.4</v>
      </c>
      <c r="WU6">
        <v>735.06</v>
      </c>
      <c r="WV6">
        <v>812.55</v>
      </c>
      <c r="WW6">
        <v>36.130000000000003</v>
      </c>
      <c r="WX6">
        <v>53.25</v>
      </c>
      <c r="WY6">
        <v>20.92</v>
      </c>
      <c r="WZ6">
        <v>26.15</v>
      </c>
      <c r="XA6">
        <v>16.64</v>
      </c>
      <c r="XB6">
        <v>405.09</v>
      </c>
      <c r="XC6">
        <v>19.97</v>
      </c>
      <c r="XD6">
        <v>64.66</v>
      </c>
      <c r="XE6">
        <v>90.81</v>
      </c>
      <c r="XF6">
        <v>1123.03</v>
      </c>
      <c r="XG6">
        <v>1763.47</v>
      </c>
      <c r="XH6">
        <v>343.75</v>
      </c>
      <c r="XI6">
        <v>1616.55</v>
      </c>
      <c r="XJ6">
        <v>342.33</v>
      </c>
      <c r="XK6">
        <v>569.6</v>
      </c>
      <c r="XL6">
        <v>90.34</v>
      </c>
      <c r="XM6">
        <v>100.32</v>
      </c>
      <c r="XN6">
        <v>288.60000000000002</v>
      </c>
      <c r="XO6">
        <v>24.72</v>
      </c>
      <c r="XP6">
        <v>26.63</v>
      </c>
      <c r="XQ6">
        <v>263.88</v>
      </c>
      <c r="XR6">
        <v>15.69</v>
      </c>
      <c r="XS6">
        <v>310.95</v>
      </c>
      <c r="XT6">
        <v>89.39</v>
      </c>
      <c r="XU6">
        <v>395.1</v>
      </c>
      <c r="XV6">
        <v>330.92</v>
      </c>
      <c r="XW6">
        <v>3660.06</v>
      </c>
      <c r="XX6">
        <v>2677.77</v>
      </c>
      <c r="XY6">
        <v>1704.51</v>
      </c>
      <c r="XZ6">
        <v>132.65</v>
      </c>
      <c r="YA6">
        <v>827.77</v>
      </c>
      <c r="YB6">
        <v>168.31</v>
      </c>
      <c r="YC6">
        <v>44.22</v>
      </c>
      <c r="YD6">
        <v>4112.22</v>
      </c>
      <c r="YE6">
        <v>1144.9000000000001</v>
      </c>
      <c r="YF6">
        <v>1767.27</v>
      </c>
      <c r="YG6">
        <v>162.13</v>
      </c>
      <c r="YH6">
        <v>25.2</v>
      </c>
      <c r="YI6">
        <v>26.15</v>
      </c>
      <c r="YJ6">
        <v>492.1</v>
      </c>
      <c r="YK6">
        <v>7.66</v>
      </c>
      <c r="YL6">
        <v>21.4</v>
      </c>
      <c r="YM6">
        <v>3753.73</v>
      </c>
      <c r="YN6">
        <v>198.27</v>
      </c>
      <c r="YO6">
        <v>212.05</v>
      </c>
      <c r="YP6">
        <v>1222.4000000000001</v>
      </c>
      <c r="YQ6">
        <v>83.68</v>
      </c>
      <c r="YR6">
        <v>230.6</v>
      </c>
      <c r="YS6">
        <v>2646.39</v>
      </c>
      <c r="YT6">
        <v>134.55000000000001</v>
      </c>
      <c r="YU6">
        <v>435.04</v>
      </c>
      <c r="YV6">
        <v>27.1</v>
      </c>
      <c r="YW6">
        <v>29.95</v>
      </c>
      <c r="YX6">
        <v>133.6</v>
      </c>
      <c r="YY6">
        <v>609.05999999999995</v>
      </c>
      <c r="YZ6">
        <v>152.62</v>
      </c>
      <c r="ZA6">
        <v>88.91</v>
      </c>
      <c r="ZB6">
        <v>76.069999999999993</v>
      </c>
      <c r="ZC6">
        <v>30.43</v>
      </c>
      <c r="ZD6">
        <v>102.22</v>
      </c>
      <c r="ZE6">
        <v>32.81</v>
      </c>
      <c r="ZF6">
        <v>265.3</v>
      </c>
      <c r="ZG6">
        <v>399.86</v>
      </c>
      <c r="ZH6">
        <v>157.85</v>
      </c>
      <c r="ZI6">
        <v>759.3</v>
      </c>
      <c r="ZJ6">
        <v>808.75</v>
      </c>
      <c r="ZK6">
        <v>395.1</v>
      </c>
      <c r="ZL6">
        <v>32.81</v>
      </c>
      <c r="ZM6">
        <v>120.77</v>
      </c>
      <c r="ZN6">
        <v>80.349999999999994</v>
      </c>
      <c r="ZO6">
        <v>31.86</v>
      </c>
      <c r="ZP6">
        <v>489.72</v>
      </c>
      <c r="ZQ6">
        <v>7.66</v>
      </c>
      <c r="ZR6">
        <v>9.51</v>
      </c>
      <c r="ZS6">
        <v>808.75</v>
      </c>
      <c r="ZT6">
        <v>198.74</v>
      </c>
      <c r="ZU6">
        <v>235.35</v>
      </c>
      <c r="ZV6">
        <v>23.3</v>
      </c>
      <c r="ZW6">
        <v>35.659999999999997</v>
      </c>
      <c r="ZX6">
        <v>77.97</v>
      </c>
      <c r="ZY6">
        <v>5150.1400000000003</v>
      </c>
      <c r="ZZ6">
        <v>58.96</v>
      </c>
      <c r="AAA6">
        <v>37.090000000000003</v>
      </c>
      <c r="AAB6">
        <v>48.5</v>
      </c>
      <c r="AAC6">
        <v>35.18</v>
      </c>
      <c r="AAD6">
        <v>47.07</v>
      </c>
      <c r="AAE6">
        <v>42.79</v>
      </c>
      <c r="AAF6">
        <v>18.54</v>
      </c>
      <c r="AAG6">
        <v>196.84</v>
      </c>
      <c r="AAH6">
        <v>378.94</v>
      </c>
      <c r="AAI6">
        <v>6022.13</v>
      </c>
      <c r="AAJ6">
        <v>312.85000000000002</v>
      </c>
      <c r="AAK6">
        <v>800.19</v>
      </c>
      <c r="AAL6">
        <v>266.26</v>
      </c>
      <c r="AAM6">
        <v>16.64</v>
      </c>
      <c r="AAN6">
        <v>67.510000000000005</v>
      </c>
      <c r="AAO6">
        <v>28.05</v>
      </c>
      <c r="AAP6">
        <v>319.98</v>
      </c>
      <c r="AAQ6">
        <v>37.090000000000003</v>
      </c>
      <c r="AAR6">
        <v>77.97</v>
      </c>
      <c r="AAS6">
        <v>887.2</v>
      </c>
      <c r="AAT6">
        <v>99.37</v>
      </c>
      <c r="AAU6">
        <v>7.66</v>
      </c>
      <c r="AAV6">
        <v>2891.25</v>
      </c>
      <c r="AAW6">
        <v>223.94</v>
      </c>
      <c r="AAX6">
        <v>104.12</v>
      </c>
      <c r="AAY6">
        <v>93.66</v>
      </c>
      <c r="AAZ6">
        <v>78.930000000000007</v>
      </c>
      <c r="ABA6">
        <v>396.05</v>
      </c>
      <c r="ABB6">
        <v>104.12</v>
      </c>
      <c r="ABC6">
        <v>464.05</v>
      </c>
      <c r="ABD6">
        <v>2227.9899999999998</v>
      </c>
      <c r="ABE6">
        <v>423.16</v>
      </c>
      <c r="ABF6">
        <v>195.89</v>
      </c>
      <c r="ABG6">
        <v>79.88</v>
      </c>
      <c r="ABH6">
        <v>276.72000000000003</v>
      </c>
      <c r="ABI6">
        <v>67.989999999999995</v>
      </c>
      <c r="ABJ6">
        <v>65.14</v>
      </c>
      <c r="ABK6">
        <v>42.79</v>
      </c>
      <c r="ABL6">
        <v>19.489999999999998</v>
      </c>
      <c r="ABM6">
        <v>55.63</v>
      </c>
      <c r="ABN6">
        <v>196.84</v>
      </c>
      <c r="ABO6">
        <v>23.77</v>
      </c>
      <c r="ABP6">
        <v>39.94</v>
      </c>
      <c r="ABQ6">
        <v>552.96</v>
      </c>
      <c r="ABR6">
        <v>74.17</v>
      </c>
      <c r="ABS6">
        <v>680.85</v>
      </c>
      <c r="ABT6">
        <v>11.89</v>
      </c>
      <c r="ABU6">
        <v>32.81</v>
      </c>
      <c r="ABV6">
        <v>303.82</v>
      </c>
      <c r="ABW6">
        <v>246.29</v>
      </c>
      <c r="ABX6">
        <v>419.83</v>
      </c>
      <c r="ABY6">
        <v>452.16</v>
      </c>
      <c r="ABZ6">
        <v>180.67</v>
      </c>
      <c r="ACA6">
        <v>554.86</v>
      </c>
      <c r="ACB6">
        <v>211.58</v>
      </c>
      <c r="ACC6">
        <v>176.39</v>
      </c>
      <c r="ACD6">
        <v>317.60000000000002</v>
      </c>
      <c r="ACE6">
        <v>113.63</v>
      </c>
      <c r="ACF6">
        <v>6673.98</v>
      </c>
      <c r="ACG6">
        <v>1436.35</v>
      </c>
      <c r="ACH6">
        <v>757.4</v>
      </c>
      <c r="ACI6">
        <v>610.01</v>
      </c>
      <c r="ACJ6">
        <v>663.26</v>
      </c>
      <c r="ACK6">
        <v>440.75</v>
      </c>
      <c r="ACL6">
        <v>53.73</v>
      </c>
      <c r="ACM6">
        <v>383.22</v>
      </c>
      <c r="ACN6">
        <v>348.03</v>
      </c>
      <c r="ACO6">
        <v>661.83</v>
      </c>
      <c r="ACP6">
        <v>633.30999999999995</v>
      </c>
      <c r="ACQ6">
        <v>409.84</v>
      </c>
      <c r="ACR6">
        <v>4573.41</v>
      </c>
    </row>
    <row r="7" spans="1:772" x14ac:dyDescent="0.3">
      <c r="A7" t="s">
        <v>6</v>
      </c>
      <c r="B7" t="s">
        <v>3</v>
      </c>
      <c r="C7">
        <v>329.28</v>
      </c>
      <c r="D7">
        <v>71.2</v>
      </c>
      <c r="E7">
        <v>253.64</v>
      </c>
      <c r="F7">
        <v>16.02</v>
      </c>
      <c r="G7">
        <v>3740.46</v>
      </c>
      <c r="H7">
        <v>63.19</v>
      </c>
      <c r="I7">
        <v>917.54</v>
      </c>
      <c r="J7">
        <v>11095.91</v>
      </c>
      <c r="K7">
        <v>785.83</v>
      </c>
      <c r="L7">
        <v>48.06</v>
      </c>
      <c r="M7">
        <v>40.94</v>
      </c>
      <c r="N7">
        <v>924.66</v>
      </c>
      <c r="O7">
        <v>134.38</v>
      </c>
      <c r="P7">
        <v>235.84</v>
      </c>
      <c r="Q7">
        <v>27.59</v>
      </c>
      <c r="R7">
        <v>1041.24</v>
      </c>
      <c r="S7">
        <v>28.48</v>
      </c>
      <c r="T7">
        <v>209.14</v>
      </c>
      <c r="U7">
        <v>1131.1300000000001</v>
      </c>
      <c r="V7">
        <v>93.44</v>
      </c>
      <c r="W7">
        <v>816.08</v>
      </c>
      <c r="X7">
        <v>18.690000000000001</v>
      </c>
      <c r="Y7">
        <v>145.94999999999999</v>
      </c>
      <c r="Z7">
        <v>682.59</v>
      </c>
      <c r="AA7">
        <v>67.64</v>
      </c>
      <c r="AB7">
        <v>1070.6099999999999</v>
      </c>
      <c r="AC7">
        <v>288.33999999999997</v>
      </c>
      <c r="AD7">
        <v>161.08000000000001</v>
      </c>
      <c r="AE7">
        <v>311.48</v>
      </c>
      <c r="AF7">
        <v>25240.78</v>
      </c>
      <c r="AG7">
        <v>352.42</v>
      </c>
      <c r="AH7">
        <v>536.64</v>
      </c>
      <c r="AI7">
        <v>66.75</v>
      </c>
      <c r="AJ7">
        <v>898.85</v>
      </c>
      <c r="AK7">
        <v>402.26</v>
      </c>
      <c r="AL7">
        <v>222.49</v>
      </c>
      <c r="AM7">
        <v>260.76</v>
      </c>
      <c r="AN7">
        <v>128.15</v>
      </c>
      <c r="AO7">
        <v>1128.46</v>
      </c>
      <c r="AP7">
        <v>12.46</v>
      </c>
      <c r="AQ7">
        <v>195.79</v>
      </c>
      <c r="AR7">
        <v>21.36</v>
      </c>
      <c r="AS7">
        <v>85.44</v>
      </c>
      <c r="AT7">
        <v>5.23</v>
      </c>
      <c r="AU7">
        <v>19.579999999999998</v>
      </c>
      <c r="AV7">
        <v>1168.51</v>
      </c>
      <c r="AW7">
        <v>238.51</v>
      </c>
      <c r="AX7">
        <v>1721.16</v>
      </c>
      <c r="AY7">
        <v>76.540000000000006</v>
      </c>
      <c r="AZ7">
        <v>74.760000000000005</v>
      </c>
      <c r="BA7">
        <v>361.32</v>
      </c>
      <c r="BB7">
        <v>739.55</v>
      </c>
      <c r="BC7">
        <v>145.06</v>
      </c>
      <c r="BD7">
        <v>12.46</v>
      </c>
      <c r="BE7">
        <v>69.42</v>
      </c>
      <c r="BF7">
        <v>102.34</v>
      </c>
      <c r="BG7">
        <v>83.66</v>
      </c>
      <c r="BH7">
        <v>47.17</v>
      </c>
      <c r="BI7">
        <v>19.579999999999998</v>
      </c>
      <c r="BJ7">
        <v>20.47</v>
      </c>
      <c r="BK7">
        <v>258.98</v>
      </c>
      <c r="BL7">
        <v>555.33000000000004</v>
      </c>
      <c r="BM7">
        <v>73.87</v>
      </c>
      <c r="BN7">
        <v>145.06</v>
      </c>
      <c r="BO7">
        <v>132.6</v>
      </c>
      <c r="BP7">
        <v>20.47</v>
      </c>
      <c r="BQ7">
        <v>8.01</v>
      </c>
      <c r="BR7">
        <v>29.37</v>
      </c>
      <c r="BS7">
        <v>18.690000000000001</v>
      </c>
      <c r="BT7">
        <v>1120.45</v>
      </c>
      <c r="BU7">
        <v>1742.52</v>
      </c>
      <c r="BV7">
        <v>30.26</v>
      </c>
      <c r="BW7">
        <v>365.77</v>
      </c>
      <c r="BX7">
        <v>310.58999999999997</v>
      </c>
      <c r="BY7">
        <v>186.89</v>
      </c>
      <c r="BZ7">
        <v>552.66</v>
      </c>
      <c r="CA7">
        <v>104.12</v>
      </c>
      <c r="CB7">
        <v>199.35</v>
      </c>
      <c r="CC7">
        <v>9.7899999999999991</v>
      </c>
      <c r="CD7">
        <v>99.67</v>
      </c>
      <c r="CE7">
        <v>535.75</v>
      </c>
      <c r="CF7">
        <v>97</v>
      </c>
      <c r="CG7">
        <v>83.66</v>
      </c>
      <c r="CH7">
        <v>79.209999999999994</v>
      </c>
      <c r="CI7">
        <v>35.6</v>
      </c>
      <c r="CJ7">
        <v>19.579999999999998</v>
      </c>
      <c r="CK7">
        <v>46.28</v>
      </c>
      <c r="CL7">
        <v>56.96</v>
      </c>
      <c r="CM7">
        <v>138.83000000000001</v>
      </c>
      <c r="CN7">
        <v>40.049999999999997</v>
      </c>
      <c r="CO7">
        <v>16.02</v>
      </c>
      <c r="CP7">
        <v>5.23</v>
      </c>
      <c r="CQ7">
        <v>32.04</v>
      </c>
      <c r="CR7">
        <v>43.61</v>
      </c>
      <c r="CS7">
        <v>5.23</v>
      </c>
      <c r="CT7">
        <v>9.7899999999999991</v>
      </c>
      <c r="CU7">
        <v>33.82</v>
      </c>
      <c r="CV7">
        <v>397.81</v>
      </c>
      <c r="CW7">
        <v>1003.86</v>
      </c>
      <c r="CX7">
        <v>26.7</v>
      </c>
      <c r="CY7">
        <v>99.67</v>
      </c>
      <c r="CZ7">
        <v>24.92</v>
      </c>
      <c r="DA7">
        <v>169.09</v>
      </c>
      <c r="DB7">
        <v>80.989999999999995</v>
      </c>
      <c r="DC7">
        <v>57.85</v>
      </c>
      <c r="DD7">
        <v>16.91</v>
      </c>
      <c r="DE7">
        <v>17.8</v>
      </c>
      <c r="DF7">
        <v>505.49</v>
      </c>
      <c r="DG7">
        <v>11.57</v>
      </c>
      <c r="DH7">
        <v>2660.95</v>
      </c>
      <c r="DI7">
        <v>8.9</v>
      </c>
      <c r="DJ7">
        <v>18.690000000000001</v>
      </c>
      <c r="DK7">
        <v>82.77</v>
      </c>
      <c r="DL7">
        <v>1366.96</v>
      </c>
      <c r="DM7">
        <v>56.07</v>
      </c>
      <c r="DN7">
        <v>25.81</v>
      </c>
      <c r="DO7">
        <v>121.92</v>
      </c>
      <c r="DP7">
        <v>45.39</v>
      </c>
      <c r="DQ7">
        <v>2879.88</v>
      </c>
      <c r="DR7">
        <v>42.72</v>
      </c>
      <c r="DS7">
        <v>30.26</v>
      </c>
      <c r="DT7">
        <v>26.7</v>
      </c>
      <c r="DU7">
        <v>4047.5</v>
      </c>
      <c r="DV7">
        <v>36.49</v>
      </c>
      <c r="DW7">
        <v>12.46</v>
      </c>
      <c r="DX7">
        <v>51.62</v>
      </c>
      <c r="DY7">
        <v>32.04</v>
      </c>
      <c r="DZ7">
        <v>37.380000000000003</v>
      </c>
      <c r="EA7">
        <v>45.39</v>
      </c>
      <c r="EB7">
        <v>56.07</v>
      </c>
      <c r="EC7">
        <v>21.36</v>
      </c>
      <c r="ED7">
        <v>42.72</v>
      </c>
      <c r="EE7">
        <v>5.23</v>
      </c>
      <c r="EF7">
        <v>2980.45</v>
      </c>
      <c r="EG7">
        <v>1639.29</v>
      </c>
      <c r="EH7">
        <v>22.25</v>
      </c>
      <c r="EI7">
        <v>24.92</v>
      </c>
      <c r="EJ7">
        <v>793.84</v>
      </c>
      <c r="EK7">
        <v>375.56</v>
      </c>
      <c r="EL7">
        <v>6100.61</v>
      </c>
      <c r="EM7">
        <v>1021.66</v>
      </c>
      <c r="EN7">
        <v>1108.8800000000001</v>
      </c>
      <c r="EO7">
        <v>813.41</v>
      </c>
      <c r="EP7">
        <v>15.13</v>
      </c>
      <c r="EQ7">
        <v>2757.07</v>
      </c>
      <c r="ER7">
        <v>29.37</v>
      </c>
      <c r="ES7">
        <v>64.08</v>
      </c>
      <c r="ET7">
        <v>12.46</v>
      </c>
      <c r="EU7">
        <v>560.66999999999996</v>
      </c>
      <c r="EV7">
        <v>11.57</v>
      </c>
      <c r="EW7">
        <v>33.82</v>
      </c>
      <c r="EX7">
        <v>33.82</v>
      </c>
      <c r="EY7">
        <v>25.81</v>
      </c>
      <c r="EZ7">
        <v>14.24</v>
      </c>
      <c r="FA7">
        <v>42.72</v>
      </c>
      <c r="FB7">
        <v>11.57</v>
      </c>
      <c r="FC7">
        <v>52.51</v>
      </c>
      <c r="FD7">
        <v>23.14</v>
      </c>
      <c r="FE7">
        <v>5357.5</v>
      </c>
      <c r="FF7">
        <v>104.12</v>
      </c>
      <c r="FG7">
        <v>715.52</v>
      </c>
      <c r="FH7">
        <v>746.67</v>
      </c>
      <c r="FI7">
        <v>353.31</v>
      </c>
      <c r="FJ7">
        <v>274.10000000000002</v>
      </c>
      <c r="FK7">
        <v>681.7</v>
      </c>
      <c r="FL7">
        <v>143.28</v>
      </c>
      <c r="FM7">
        <v>64.08</v>
      </c>
      <c r="FN7">
        <v>92.55</v>
      </c>
      <c r="FO7">
        <v>45.39</v>
      </c>
      <c r="FP7">
        <v>5.23</v>
      </c>
      <c r="FQ7">
        <v>30.26</v>
      </c>
      <c r="FR7">
        <v>5.23</v>
      </c>
      <c r="FS7">
        <v>5.23</v>
      </c>
      <c r="FT7">
        <v>39.159999999999997</v>
      </c>
      <c r="FU7">
        <v>1917.84</v>
      </c>
      <c r="FV7">
        <v>2167.0300000000002</v>
      </c>
      <c r="FW7">
        <v>49.84</v>
      </c>
      <c r="FX7">
        <v>1768.33</v>
      </c>
      <c r="FY7">
        <v>24.92</v>
      </c>
      <c r="FZ7">
        <v>1074.17</v>
      </c>
      <c r="GA7">
        <v>14459.92</v>
      </c>
      <c r="GB7">
        <v>1348.28</v>
      </c>
      <c r="GC7">
        <v>20.47</v>
      </c>
      <c r="GD7">
        <v>618.52</v>
      </c>
      <c r="GE7">
        <v>344.41</v>
      </c>
      <c r="GF7">
        <v>589.15</v>
      </c>
      <c r="GG7">
        <v>822.31</v>
      </c>
      <c r="GH7">
        <v>299.02</v>
      </c>
      <c r="GI7">
        <v>1027</v>
      </c>
      <c r="GJ7">
        <v>55.18</v>
      </c>
      <c r="GK7">
        <v>8477.67</v>
      </c>
      <c r="GL7">
        <v>2452.6999999999998</v>
      </c>
      <c r="GM7">
        <v>43.61</v>
      </c>
      <c r="GN7">
        <v>19.579999999999998</v>
      </c>
      <c r="GO7">
        <v>386.24</v>
      </c>
      <c r="GP7">
        <v>28.48</v>
      </c>
      <c r="GQ7">
        <v>24.03</v>
      </c>
      <c r="GR7">
        <v>108.57</v>
      </c>
      <c r="GS7">
        <v>293.68</v>
      </c>
      <c r="GT7">
        <v>466.33</v>
      </c>
      <c r="GU7">
        <v>5.34</v>
      </c>
      <c r="GV7">
        <v>32.93</v>
      </c>
      <c r="GW7">
        <v>148.62</v>
      </c>
      <c r="GX7">
        <v>347.97</v>
      </c>
      <c r="GY7">
        <v>16.91</v>
      </c>
      <c r="GZ7">
        <v>422.73</v>
      </c>
      <c r="HA7">
        <v>55.18</v>
      </c>
      <c r="HB7">
        <v>1987.26</v>
      </c>
      <c r="HC7">
        <v>186</v>
      </c>
      <c r="HD7">
        <v>835.66</v>
      </c>
      <c r="HE7">
        <v>63.19</v>
      </c>
      <c r="HF7">
        <v>3120.17</v>
      </c>
      <c r="HG7">
        <v>338.18</v>
      </c>
      <c r="HH7">
        <v>280.33</v>
      </c>
      <c r="HI7">
        <v>44.5</v>
      </c>
      <c r="HJ7">
        <v>884.61</v>
      </c>
      <c r="HK7">
        <v>5692.12</v>
      </c>
      <c r="HL7">
        <v>1099.98</v>
      </c>
      <c r="HM7">
        <v>80.989999999999995</v>
      </c>
      <c r="HN7">
        <v>1697.14</v>
      </c>
      <c r="HO7">
        <v>8.9</v>
      </c>
      <c r="HP7">
        <v>89.89</v>
      </c>
      <c r="HQ7">
        <v>7802.2</v>
      </c>
      <c r="HR7">
        <v>177.1</v>
      </c>
      <c r="HS7">
        <v>5.23</v>
      </c>
      <c r="HT7">
        <v>141.5</v>
      </c>
      <c r="HU7">
        <v>226.94</v>
      </c>
      <c r="HV7">
        <v>135.27000000000001</v>
      </c>
      <c r="HW7">
        <v>2153.6799999999998</v>
      </c>
      <c r="HX7">
        <v>22.25</v>
      </c>
      <c r="HY7">
        <v>51.62</v>
      </c>
      <c r="HZ7">
        <v>328.39</v>
      </c>
      <c r="IA7">
        <v>188.67</v>
      </c>
      <c r="IB7">
        <v>76.540000000000006</v>
      </c>
      <c r="IC7">
        <v>23.14</v>
      </c>
      <c r="ID7">
        <v>15.13</v>
      </c>
      <c r="IE7">
        <v>90.77</v>
      </c>
      <c r="IF7">
        <v>248.3</v>
      </c>
      <c r="IG7">
        <v>24.92</v>
      </c>
      <c r="IH7">
        <v>5.34</v>
      </c>
      <c r="II7">
        <v>80.099999999999994</v>
      </c>
      <c r="IJ7">
        <v>39.159999999999997</v>
      </c>
      <c r="IK7">
        <v>8.9</v>
      </c>
      <c r="IL7">
        <v>465.44</v>
      </c>
      <c r="IM7">
        <v>75.650000000000006</v>
      </c>
      <c r="IN7">
        <v>81.88</v>
      </c>
      <c r="IO7">
        <v>305.25</v>
      </c>
      <c r="IP7">
        <v>14.24</v>
      </c>
      <c r="IQ7">
        <v>16.91</v>
      </c>
      <c r="IR7">
        <v>53.4</v>
      </c>
      <c r="IS7">
        <v>24.92</v>
      </c>
      <c r="IT7">
        <v>8.9</v>
      </c>
      <c r="IU7">
        <v>186</v>
      </c>
      <c r="IV7">
        <v>826.76</v>
      </c>
      <c r="IW7">
        <v>53.4</v>
      </c>
      <c r="IX7">
        <v>8062.95</v>
      </c>
      <c r="IY7">
        <v>56.96</v>
      </c>
      <c r="IZ7">
        <v>28.48</v>
      </c>
      <c r="JA7">
        <v>64.08</v>
      </c>
      <c r="JB7">
        <v>142.38999999999999</v>
      </c>
      <c r="JC7">
        <v>54.29</v>
      </c>
      <c r="JD7">
        <v>337.29</v>
      </c>
      <c r="JE7">
        <v>54.29</v>
      </c>
      <c r="JF7">
        <v>67.64</v>
      </c>
      <c r="JG7">
        <v>61.41</v>
      </c>
      <c r="JH7">
        <v>1366.96</v>
      </c>
      <c r="JI7">
        <v>1232.58</v>
      </c>
      <c r="JJ7">
        <v>1506.69</v>
      </c>
      <c r="JK7">
        <v>37.380000000000003</v>
      </c>
      <c r="JL7">
        <v>69.42</v>
      </c>
      <c r="JM7">
        <v>21.36</v>
      </c>
      <c r="JN7">
        <v>24.03</v>
      </c>
      <c r="JO7">
        <v>299.02</v>
      </c>
      <c r="JP7">
        <v>363.1</v>
      </c>
      <c r="JQ7">
        <v>2854.96</v>
      </c>
      <c r="JR7">
        <v>30.26</v>
      </c>
      <c r="JS7">
        <v>23.14</v>
      </c>
      <c r="JT7">
        <v>91.66</v>
      </c>
      <c r="JU7">
        <v>205.58</v>
      </c>
      <c r="JV7">
        <v>357.76</v>
      </c>
      <c r="JW7">
        <v>81.88</v>
      </c>
      <c r="JX7">
        <v>147.72999999999999</v>
      </c>
      <c r="JY7">
        <v>110.35</v>
      </c>
      <c r="JZ7">
        <v>17.8</v>
      </c>
      <c r="KA7">
        <v>9.7899999999999991</v>
      </c>
      <c r="KB7">
        <v>13.35</v>
      </c>
      <c r="KC7">
        <v>10.68</v>
      </c>
      <c r="KD7">
        <v>25.81</v>
      </c>
      <c r="KE7">
        <v>113.02</v>
      </c>
      <c r="KF7">
        <v>32.04</v>
      </c>
      <c r="KG7">
        <v>84.55</v>
      </c>
      <c r="KH7">
        <v>102.34</v>
      </c>
      <c r="KI7">
        <v>385.35</v>
      </c>
      <c r="KJ7">
        <v>274.10000000000002</v>
      </c>
      <c r="KK7">
        <v>167.31</v>
      </c>
      <c r="KL7">
        <v>55.18</v>
      </c>
      <c r="KM7">
        <v>153.07</v>
      </c>
      <c r="KN7">
        <v>439.64</v>
      </c>
      <c r="KO7">
        <v>380.01</v>
      </c>
      <c r="KP7">
        <v>48.06</v>
      </c>
      <c r="KQ7">
        <v>1965.9</v>
      </c>
      <c r="KR7">
        <v>878.38</v>
      </c>
      <c r="KS7">
        <v>789.39</v>
      </c>
      <c r="KT7">
        <v>3908.66</v>
      </c>
      <c r="KU7">
        <v>43011.32</v>
      </c>
      <c r="KV7">
        <v>4103.5600000000004</v>
      </c>
      <c r="KW7">
        <v>170.87</v>
      </c>
      <c r="KX7">
        <v>117.47</v>
      </c>
      <c r="KY7">
        <v>30.26</v>
      </c>
      <c r="KZ7">
        <v>23.14</v>
      </c>
      <c r="LA7">
        <v>355.98</v>
      </c>
      <c r="LB7">
        <v>292.79000000000002</v>
      </c>
      <c r="LC7">
        <v>5.23</v>
      </c>
      <c r="LD7">
        <v>5.23</v>
      </c>
      <c r="LE7">
        <v>5.23</v>
      </c>
      <c r="LF7">
        <v>1236.1400000000001</v>
      </c>
      <c r="LG7">
        <v>233.17</v>
      </c>
      <c r="LH7">
        <v>5.23</v>
      </c>
      <c r="LI7">
        <v>7577.93</v>
      </c>
      <c r="LJ7">
        <v>469</v>
      </c>
      <c r="LK7">
        <v>1601.91</v>
      </c>
      <c r="LL7">
        <v>98.78</v>
      </c>
      <c r="LM7">
        <v>9.7899999999999991</v>
      </c>
      <c r="LN7">
        <v>258.08999999999997</v>
      </c>
      <c r="LO7">
        <v>333.73</v>
      </c>
      <c r="LP7">
        <v>4767.47</v>
      </c>
      <c r="LQ7">
        <v>37.380000000000003</v>
      </c>
      <c r="LR7">
        <v>85.44</v>
      </c>
      <c r="LS7">
        <v>56.96</v>
      </c>
      <c r="LT7">
        <v>9.7899999999999991</v>
      </c>
      <c r="LU7">
        <v>208.25</v>
      </c>
      <c r="LV7">
        <v>416.5</v>
      </c>
      <c r="LW7">
        <v>12185.21</v>
      </c>
      <c r="LX7">
        <v>1984.59</v>
      </c>
      <c r="LY7">
        <v>2057.5700000000002</v>
      </c>
      <c r="LZ7">
        <v>7816.44</v>
      </c>
      <c r="MA7">
        <v>489.47</v>
      </c>
      <c r="MB7">
        <v>7158.76</v>
      </c>
      <c r="MC7">
        <v>1718.49</v>
      </c>
      <c r="MD7">
        <v>166.42</v>
      </c>
      <c r="ME7">
        <v>73.87</v>
      </c>
      <c r="MF7">
        <v>403.15</v>
      </c>
      <c r="MG7">
        <v>8502.59</v>
      </c>
      <c r="MH7">
        <v>533.08000000000004</v>
      </c>
      <c r="MI7">
        <v>31.15</v>
      </c>
      <c r="MJ7">
        <v>432.52</v>
      </c>
      <c r="MK7">
        <v>12.46</v>
      </c>
      <c r="ML7">
        <v>1406.12</v>
      </c>
      <c r="MM7">
        <v>3621.21</v>
      </c>
      <c r="MN7">
        <v>437.86</v>
      </c>
      <c r="MO7">
        <v>14.24</v>
      </c>
      <c r="MP7">
        <v>145.94999999999999</v>
      </c>
      <c r="MQ7">
        <v>227.83</v>
      </c>
      <c r="MR7">
        <v>5.23</v>
      </c>
      <c r="MS7">
        <v>105.9</v>
      </c>
      <c r="MT7">
        <v>2146.56</v>
      </c>
      <c r="MU7">
        <v>41.83</v>
      </c>
      <c r="MV7">
        <v>113.02</v>
      </c>
      <c r="MW7">
        <v>105.01</v>
      </c>
      <c r="MX7">
        <v>55.18</v>
      </c>
      <c r="MY7">
        <v>24.92</v>
      </c>
      <c r="MZ7">
        <v>21.36</v>
      </c>
      <c r="NA7">
        <v>69.42</v>
      </c>
      <c r="NB7">
        <v>1080.4000000000001</v>
      </c>
      <c r="NC7">
        <v>1192.53</v>
      </c>
      <c r="ND7">
        <v>2407.3200000000002</v>
      </c>
      <c r="NE7">
        <v>2665.4</v>
      </c>
      <c r="NF7">
        <v>5.23</v>
      </c>
      <c r="NG7">
        <v>17.8</v>
      </c>
      <c r="NH7">
        <v>64.08</v>
      </c>
      <c r="NI7">
        <v>1035.9000000000001</v>
      </c>
      <c r="NJ7">
        <v>100.56</v>
      </c>
      <c r="NK7">
        <v>129.93</v>
      </c>
      <c r="NL7">
        <v>112.13</v>
      </c>
      <c r="NM7">
        <v>5727.72</v>
      </c>
      <c r="NN7">
        <v>206.47</v>
      </c>
      <c r="NO7">
        <v>98.78</v>
      </c>
      <c r="NP7">
        <v>8.9</v>
      </c>
      <c r="NQ7">
        <v>2569.29</v>
      </c>
      <c r="NR7">
        <v>139.72</v>
      </c>
      <c r="NS7">
        <v>184.22</v>
      </c>
      <c r="NT7">
        <v>670.13</v>
      </c>
      <c r="NU7">
        <v>1625.94</v>
      </c>
      <c r="NV7">
        <v>578.47</v>
      </c>
      <c r="NW7">
        <v>340.85</v>
      </c>
      <c r="NX7">
        <v>119.25</v>
      </c>
      <c r="NY7">
        <v>67.64</v>
      </c>
      <c r="NZ7">
        <v>1651.75</v>
      </c>
      <c r="OA7">
        <v>88.11</v>
      </c>
      <c r="OB7">
        <v>986.07</v>
      </c>
      <c r="OC7">
        <v>7561.91</v>
      </c>
      <c r="OD7">
        <v>140.61000000000001</v>
      </c>
      <c r="OE7">
        <v>820.53</v>
      </c>
      <c r="OF7">
        <v>22.25</v>
      </c>
      <c r="OG7">
        <v>1869.79</v>
      </c>
      <c r="OH7">
        <v>109.46</v>
      </c>
      <c r="OI7">
        <v>38.270000000000003</v>
      </c>
      <c r="OJ7">
        <v>14.24</v>
      </c>
      <c r="OK7">
        <v>1772.78</v>
      </c>
      <c r="OL7">
        <v>140.61000000000001</v>
      </c>
      <c r="OM7">
        <v>133.49</v>
      </c>
      <c r="ON7">
        <v>139.72</v>
      </c>
      <c r="OO7">
        <v>3909.55</v>
      </c>
      <c r="OP7">
        <v>139.72</v>
      </c>
      <c r="OQ7">
        <v>1116</v>
      </c>
      <c r="OR7">
        <v>31.15</v>
      </c>
      <c r="OS7">
        <v>547.32000000000005</v>
      </c>
      <c r="OT7">
        <v>560.66999999999996</v>
      </c>
      <c r="OU7">
        <v>80.099999999999994</v>
      </c>
      <c r="OV7">
        <v>363.99</v>
      </c>
      <c r="OW7">
        <v>8.9</v>
      </c>
      <c r="OX7">
        <v>48.06</v>
      </c>
      <c r="OY7">
        <v>34.71</v>
      </c>
      <c r="OZ7">
        <v>16.02</v>
      </c>
      <c r="PA7">
        <v>24.03</v>
      </c>
      <c r="PB7">
        <v>41.83</v>
      </c>
      <c r="PC7">
        <v>12.46</v>
      </c>
      <c r="PD7">
        <v>16.91</v>
      </c>
      <c r="PE7">
        <v>13.35</v>
      </c>
      <c r="PF7">
        <v>1129.3499999999999</v>
      </c>
      <c r="PG7">
        <v>50.73</v>
      </c>
      <c r="PH7">
        <v>24.92</v>
      </c>
      <c r="PI7">
        <v>301.69</v>
      </c>
      <c r="PJ7">
        <v>7230.85</v>
      </c>
      <c r="PK7">
        <v>6718.24</v>
      </c>
      <c r="PL7">
        <v>29.37</v>
      </c>
      <c r="PM7">
        <v>13095.62</v>
      </c>
      <c r="PN7">
        <v>1477.32</v>
      </c>
      <c r="PO7">
        <v>185.11</v>
      </c>
      <c r="PP7">
        <v>1532.5</v>
      </c>
      <c r="PQ7">
        <v>51.62</v>
      </c>
      <c r="PR7">
        <v>58.74</v>
      </c>
      <c r="PS7">
        <v>26.7</v>
      </c>
      <c r="PT7">
        <v>19.579999999999998</v>
      </c>
      <c r="PU7">
        <v>105.9</v>
      </c>
      <c r="PV7">
        <v>116.58</v>
      </c>
      <c r="PW7">
        <v>82.77</v>
      </c>
      <c r="PX7">
        <v>36.49</v>
      </c>
      <c r="PY7">
        <v>335.51</v>
      </c>
      <c r="PZ7">
        <v>18.690000000000001</v>
      </c>
      <c r="QA7">
        <v>175.32</v>
      </c>
      <c r="QB7">
        <v>793.84</v>
      </c>
      <c r="QC7">
        <v>42.72</v>
      </c>
      <c r="QD7">
        <v>22.25</v>
      </c>
      <c r="QE7">
        <v>13.35</v>
      </c>
      <c r="QF7">
        <v>6.23</v>
      </c>
      <c r="QG7">
        <v>23.14</v>
      </c>
      <c r="QH7">
        <v>19.579999999999998</v>
      </c>
      <c r="QI7">
        <v>19.579999999999998</v>
      </c>
      <c r="QJ7">
        <v>130.82</v>
      </c>
      <c r="QK7">
        <v>16.02</v>
      </c>
      <c r="QL7">
        <v>442.31</v>
      </c>
      <c r="QM7">
        <v>871.26</v>
      </c>
      <c r="QN7">
        <v>1561.86</v>
      </c>
      <c r="QO7">
        <v>12.46</v>
      </c>
      <c r="QP7">
        <v>135.27000000000001</v>
      </c>
      <c r="QQ7">
        <v>480.57</v>
      </c>
      <c r="QR7">
        <v>102.34</v>
      </c>
      <c r="QS7">
        <v>1853.77</v>
      </c>
      <c r="QT7">
        <v>352.42</v>
      </c>
      <c r="QU7">
        <v>66.75</v>
      </c>
      <c r="QV7">
        <v>121.92</v>
      </c>
      <c r="QW7">
        <v>138.83000000000001</v>
      </c>
      <c r="QX7">
        <v>115.69</v>
      </c>
      <c r="QY7">
        <v>178.88</v>
      </c>
      <c r="QZ7">
        <v>37.380000000000003</v>
      </c>
      <c r="RA7">
        <v>157.52000000000001</v>
      </c>
      <c r="RB7">
        <v>4563.67</v>
      </c>
      <c r="RC7">
        <v>141.5</v>
      </c>
      <c r="RD7">
        <v>1006.53</v>
      </c>
      <c r="RE7">
        <v>14.24</v>
      </c>
      <c r="RF7">
        <v>28.48</v>
      </c>
      <c r="RG7">
        <v>142.38999999999999</v>
      </c>
      <c r="RH7">
        <v>32.04</v>
      </c>
      <c r="RI7">
        <v>12.46</v>
      </c>
      <c r="RJ7">
        <v>61.41</v>
      </c>
      <c r="RK7">
        <v>14.24</v>
      </c>
      <c r="RL7">
        <v>129.93</v>
      </c>
      <c r="RM7">
        <v>110.35</v>
      </c>
      <c r="RN7">
        <v>357.76</v>
      </c>
      <c r="RO7">
        <v>2533.69</v>
      </c>
      <c r="RP7">
        <v>266.99</v>
      </c>
      <c r="RQ7">
        <v>450.32</v>
      </c>
      <c r="RR7">
        <v>5.34</v>
      </c>
      <c r="RS7">
        <v>578.47</v>
      </c>
      <c r="RT7">
        <v>766.25</v>
      </c>
      <c r="RU7">
        <v>24.03</v>
      </c>
      <c r="RV7">
        <v>17.8</v>
      </c>
      <c r="RW7">
        <v>506.38</v>
      </c>
      <c r="RX7">
        <v>2313.87</v>
      </c>
      <c r="RY7">
        <v>2175.04</v>
      </c>
      <c r="RZ7">
        <v>22.25</v>
      </c>
      <c r="SA7">
        <v>374.67</v>
      </c>
      <c r="SB7">
        <v>34.71</v>
      </c>
      <c r="SC7">
        <v>65.86</v>
      </c>
      <c r="SD7">
        <v>1035.9000000000001</v>
      </c>
      <c r="SE7">
        <v>1110.6600000000001</v>
      </c>
      <c r="SF7">
        <v>587.37</v>
      </c>
      <c r="SG7">
        <v>8200.9</v>
      </c>
      <c r="SH7">
        <v>192.23</v>
      </c>
      <c r="SI7">
        <v>125.48</v>
      </c>
      <c r="SJ7">
        <v>100.56</v>
      </c>
      <c r="SK7">
        <v>86.33</v>
      </c>
      <c r="SL7">
        <v>452.1</v>
      </c>
      <c r="SM7">
        <v>32.04</v>
      </c>
      <c r="SN7">
        <v>185.11</v>
      </c>
      <c r="SO7">
        <v>15.13</v>
      </c>
      <c r="SP7">
        <v>136.16</v>
      </c>
      <c r="SQ7">
        <v>980.73</v>
      </c>
      <c r="SR7">
        <v>1265.51</v>
      </c>
      <c r="SS7">
        <v>654.11</v>
      </c>
      <c r="ST7">
        <v>2279.16</v>
      </c>
      <c r="SU7">
        <v>3209.16</v>
      </c>
      <c r="SV7">
        <v>1155.1600000000001</v>
      </c>
      <c r="SW7">
        <v>1860.89</v>
      </c>
      <c r="SX7">
        <v>91.66</v>
      </c>
      <c r="SY7">
        <v>22.25</v>
      </c>
      <c r="SZ7">
        <v>5.23</v>
      </c>
      <c r="TA7">
        <v>41.83</v>
      </c>
      <c r="TB7">
        <v>1760.32</v>
      </c>
      <c r="TC7">
        <v>392.47</v>
      </c>
      <c r="TD7">
        <v>130.82</v>
      </c>
      <c r="TE7">
        <v>1044.8</v>
      </c>
      <c r="TF7">
        <v>483.24</v>
      </c>
      <c r="TG7">
        <v>2004.17</v>
      </c>
      <c r="TH7">
        <v>158.41</v>
      </c>
      <c r="TI7">
        <v>162.86000000000001</v>
      </c>
      <c r="TJ7">
        <v>24.92</v>
      </c>
      <c r="TK7">
        <v>147.72999999999999</v>
      </c>
      <c r="TL7">
        <v>137.94</v>
      </c>
      <c r="TM7">
        <v>76.540000000000006</v>
      </c>
      <c r="TN7">
        <v>422.73</v>
      </c>
      <c r="TO7">
        <v>683.48</v>
      </c>
      <c r="TP7">
        <v>291.01</v>
      </c>
      <c r="TQ7">
        <v>133.49</v>
      </c>
      <c r="TR7">
        <v>9.7899999999999991</v>
      </c>
      <c r="TS7">
        <v>307.02999999999997</v>
      </c>
      <c r="TT7">
        <v>88.11</v>
      </c>
      <c r="TU7">
        <v>113.02</v>
      </c>
      <c r="TV7">
        <v>444.09</v>
      </c>
      <c r="TW7">
        <v>511.72</v>
      </c>
      <c r="TX7">
        <v>114.8</v>
      </c>
      <c r="TY7">
        <v>28.48</v>
      </c>
      <c r="TZ7">
        <v>37.380000000000003</v>
      </c>
      <c r="UA7">
        <v>239.4</v>
      </c>
      <c r="UB7">
        <v>81.88</v>
      </c>
      <c r="UC7">
        <v>4765.6899999999996</v>
      </c>
      <c r="UD7">
        <v>27.59</v>
      </c>
      <c r="UE7">
        <v>32.04</v>
      </c>
      <c r="UF7">
        <v>1270.8499999999999</v>
      </c>
      <c r="UG7">
        <v>97.89</v>
      </c>
      <c r="UH7">
        <v>8.9</v>
      </c>
      <c r="UI7">
        <v>64.97</v>
      </c>
      <c r="UJ7">
        <v>36.49</v>
      </c>
      <c r="UK7">
        <v>35.6</v>
      </c>
      <c r="UL7">
        <v>19.579999999999998</v>
      </c>
      <c r="UM7">
        <v>13.35</v>
      </c>
      <c r="UN7">
        <v>145.06</v>
      </c>
      <c r="UO7">
        <v>82.77</v>
      </c>
      <c r="UP7">
        <v>16.91</v>
      </c>
      <c r="UQ7">
        <v>97.89</v>
      </c>
      <c r="UR7">
        <v>18.690000000000001</v>
      </c>
      <c r="US7">
        <v>76.540000000000006</v>
      </c>
      <c r="UT7">
        <v>430.74</v>
      </c>
      <c r="UU7">
        <v>1122.23</v>
      </c>
      <c r="UV7">
        <v>776.04</v>
      </c>
      <c r="UW7">
        <v>1299.33</v>
      </c>
      <c r="UX7">
        <v>33.82</v>
      </c>
      <c r="UY7">
        <v>258.98</v>
      </c>
      <c r="UZ7">
        <v>155.74</v>
      </c>
      <c r="VA7">
        <v>2043.33</v>
      </c>
      <c r="VB7">
        <v>1346.5</v>
      </c>
      <c r="VC7">
        <v>37.380000000000003</v>
      </c>
      <c r="VD7">
        <v>207.36</v>
      </c>
      <c r="VE7">
        <v>53.4</v>
      </c>
      <c r="VF7">
        <v>188.67</v>
      </c>
      <c r="VG7">
        <v>33.82</v>
      </c>
      <c r="VH7">
        <v>80.989999999999995</v>
      </c>
      <c r="VI7">
        <v>44.5</v>
      </c>
      <c r="VJ7">
        <v>24.03</v>
      </c>
      <c r="VK7">
        <v>525.96</v>
      </c>
      <c r="VL7">
        <v>629.20000000000005</v>
      </c>
      <c r="VM7">
        <v>1311.79</v>
      </c>
      <c r="VN7">
        <v>469.89</v>
      </c>
      <c r="VO7">
        <v>5.23</v>
      </c>
      <c r="VP7">
        <v>5.23</v>
      </c>
      <c r="VQ7">
        <v>688.82</v>
      </c>
      <c r="VR7">
        <v>396.03</v>
      </c>
      <c r="VS7">
        <v>663.9</v>
      </c>
      <c r="VT7">
        <v>26.7</v>
      </c>
      <c r="VU7">
        <v>21.36</v>
      </c>
      <c r="VV7">
        <v>5.23</v>
      </c>
      <c r="VW7">
        <v>227.83</v>
      </c>
      <c r="VX7">
        <v>113.02</v>
      </c>
      <c r="VY7">
        <v>5.34</v>
      </c>
      <c r="VZ7">
        <v>7108.04</v>
      </c>
      <c r="WA7">
        <v>6678.19</v>
      </c>
      <c r="WB7">
        <v>376.45</v>
      </c>
      <c r="WC7">
        <v>163.75</v>
      </c>
      <c r="WD7">
        <v>167.31</v>
      </c>
      <c r="WE7">
        <v>2328.11</v>
      </c>
      <c r="WF7">
        <v>200.24</v>
      </c>
      <c r="WG7">
        <v>45.39</v>
      </c>
      <c r="WH7">
        <v>10891.22</v>
      </c>
      <c r="WI7">
        <v>18601.75</v>
      </c>
      <c r="WJ7">
        <v>2742.83</v>
      </c>
      <c r="WK7">
        <v>128.15</v>
      </c>
      <c r="WL7">
        <v>774.26</v>
      </c>
      <c r="WM7">
        <v>53.4</v>
      </c>
      <c r="WN7">
        <v>64.08</v>
      </c>
      <c r="WO7">
        <v>5.23</v>
      </c>
      <c r="WP7">
        <v>106.79</v>
      </c>
      <c r="WQ7">
        <v>796.51</v>
      </c>
      <c r="WR7">
        <v>850.79</v>
      </c>
      <c r="WS7">
        <v>89.89</v>
      </c>
      <c r="WT7">
        <v>219.82</v>
      </c>
      <c r="WU7">
        <v>800.96</v>
      </c>
      <c r="WV7">
        <v>843.67</v>
      </c>
      <c r="WW7">
        <v>24.03</v>
      </c>
      <c r="WX7">
        <v>43.61</v>
      </c>
      <c r="WY7">
        <v>32.04</v>
      </c>
      <c r="WZ7">
        <v>24.03</v>
      </c>
      <c r="XA7">
        <v>8.01</v>
      </c>
      <c r="XB7">
        <v>470.78</v>
      </c>
      <c r="XC7">
        <v>18.690000000000001</v>
      </c>
      <c r="XD7">
        <v>70.31</v>
      </c>
      <c r="XE7">
        <v>152.18</v>
      </c>
      <c r="XF7">
        <v>1124.01</v>
      </c>
      <c r="XG7">
        <v>1690.02</v>
      </c>
      <c r="XH7">
        <v>333.73</v>
      </c>
      <c r="XI7">
        <v>1730.95</v>
      </c>
      <c r="XJ7">
        <v>414.72</v>
      </c>
      <c r="XK7">
        <v>628.30999999999995</v>
      </c>
      <c r="XL7">
        <v>80.989999999999995</v>
      </c>
      <c r="XM7">
        <v>99.67</v>
      </c>
      <c r="XN7">
        <v>293.68</v>
      </c>
      <c r="XO7">
        <v>12.46</v>
      </c>
      <c r="XP7">
        <v>24.03</v>
      </c>
      <c r="XQ7">
        <v>358.65</v>
      </c>
      <c r="XR7">
        <v>18.690000000000001</v>
      </c>
      <c r="XS7">
        <v>430.74</v>
      </c>
      <c r="XT7">
        <v>78.319999999999993</v>
      </c>
      <c r="XU7">
        <v>408.49</v>
      </c>
      <c r="XV7">
        <v>313.26</v>
      </c>
      <c r="XW7">
        <v>3884.64</v>
      </c>
      <c r="XX7">
        <v>2992.9</v>
      </c>
      <c r="XY7">
        <v>1706.04</v>
      </c>
      <c r="XZ7">
        <v>122.81</v>
      </c>
      <c r="YA7">
        <v>824.98</v>
      </c>
      <c r="YB7">
        <v>160.19</v>
      </c>
      <c r="YC7">
        <v>28.48</v>
      </c>
      <c r="YD7">
        <v>4572.57</v>
      </c>
      <c r="YE7">
        <v>1166.73</v>
      </c>
      <c r="YF7">
        <v>1770.11</v>
      </c>
      <c r="YG7">
        <v>158.41</v>
      </c>
      <c r="YH7">
        <v>24.03</v>
      </c>
      <c r="YI7">
        <v>22.25</v>
      </c>
      <c r="YJ7">
        <v>542.87</v>
      </c>
      <c r="YK7">
        <v>5.23</v>
      </c>
      <c r="YL7">
        <v>8.9</v>
      </c>
      <c r="YM7">
        <v>3482.38</v>
      </c>
      <c r="YN7">
        <v>183.33</v>
      </c>
      <c r="YO7">
        <v>165.53</v>
      </c>
      <c r="YP7">
        <v>1294.8800000000001</v>
      </c>
      <c r="YQ7">
        <v>93.44</v>
      </c>
      <c r="YR7">
        <v>271.43</v>
      </c>
      <c r="YS7">
        <v>2183.0500000000002</v>
      </c>
      <c r="YT7">
        <v>136.16</v>
      </c>
      <c r="YU7">
        <v>572.24</v>
      </c>
      <c r="YV7">
        <v>20.47</v>
      </c>
      <c r="YW7">
        <v>45.39</v>
      </c>
      <c r="YX7">
        <v>163.75</v>
      </c>
      <c r="YY7">
        <v>755.57</v>
      </c>
      <c r="YZ7">
        <v>145.06</v>
      </c>
      <c r="ZA7">
        <v>104.12</v>
      </c>
      <c r="ZB7">
        <v>57.85</v>
      </c>
      <c r="ZC7">
        <v>25.81</v>
      </c>
      <c r="ZD7">
        <v>100.56</v>
      </c>
      <c r="ZE7">
        <v>28.48</v>
      </c>
      <c r="ZF7">
        <v>299.91000000000003</v>
      </c>
      <c r="ZG7">
        <v>328.39</v>
      </c>
      <c r="ZH7">
        <v>223.38</v>
      </c>
      <c r="ZI7">
        <v>912.2</v>
      </c>
      <c r="ZJ7">
        <v>908.64</v>
      </c>
      <c r="ZK7">
        <v>425.4</v>
      </c>
      <c r="ZL7">
        <v>23.14</v>
      </c>
      <c r="ZM7">
        <v>91.66</v>
      </c>
      <c r="ZN7">
        <v>82.77</v>
      </c>
      <c r="ZO7">
        <v>22.25</v>
      </c>
      <c r="ZP7">
        <v>556.22</v>
      </c>
      <c r="ZQ7">
        <v>5.23</v>
      </c>
      <c r="ZR7">
        <v>20.47</v>
      </c>
      <c r="ZS7">
        <v>856.13</v>
      </c>
      <c r="ZT7">
        <v>242.07</v>
      </c>
      <c r="ZU7">
        <v>249.19</v>
      </c>
      <c r="ZV7">
        <v>13.35</v>
      </c>
      <c r="ZW7">
        <v>28.48</v>
      </c>
      <c r="ZX7">
        <v>76.540000000000006</v>
      </c>
      <c r="ZY7">
        <v>6249.23</v>
      </c>
      <c r="ZZ7">
        <v>71.2</v>
      </c>
      <c r="AAA7">
        <v>26.7</v>
      </c>
      <c r="AAB7">
        <v>39.159999999999997</v>
      </c>
      <c r="AAC7">
        <v>24.92</v>
      </c>
      <c r="AAD7">
        <v>47.17</v>
      </c>
      <c r="AAE7">
        <v>19.579999999999998</v>
      </c>
      <c r="AAF7">
        <v>17.8</v>
      </c>
      <c r="AAG7">
        <v>210.92</v>
      </c>
      <c r="AAH7">
        <v>337.29</v>
      </c>
      <c r="AAI7">
        <v>6027.64</v>
      </c>
      <c r="AAJ7">
        <v>329.28</v>
      </c>
      <c r="AAK7">
        <v>671.91</v>
      </c>
      <c r="AAL7">
        <v>335.51</v>
      </c>
      <c r="AAM7">
        <v>27.59</v>
      </c>
      <c r="AAN7">
        <v>94.33</v>
      </c>
      <c r="AAO7">
        <v>24.03</v>
      </c>
      <c r="AAP7">
        <v>314.14999999999998</v>
      </c>
      <c r="AAQ7">
        <v>34.71</v>
      </c>
      <c r="AAR7">
        <v>66.75</v>
      </c>
      <c r="AAS7">
        <v>1005.64</v>
      </c>
      <c r="AAT7">
        <v>91.66</v>
      </c>
      <c r="AAU7">
        <v>5.23</v>
      </c>
      <c r="AAV7">
        <v>3000.02</v>
      </c>
      <c r="AAW7">
        <v>253.64</v>
      </c>
      <c r="AAX7">
        <v>112.13</v>
      </c>
      <c r="AAY7">
        <v>102.34</v>
      </c>
      <c r="AAZ7">
        <v>74.760000000000005</v>
      </c>
      <c r="ABA7">
        <v>400.48</v>
      </c>
      <c r="ABB7">
        <v>141.5</v>
      </c>
      <c r="ABC7">
        <v>525.96</v>
      </c>
      <c r="ABD7">
        <v>2455.37</v>
      </c>
      <c r="ABE7">
        <v>477.01</v>
      </c>
      <c r="ABF7">
        <v>209.14</v>
      </c>
      <c r="ABG7">
        <v>89</v>
      </c>
      <c r="ABH7">
        <v>241.18</v>
      </c>
      <c r="ABI7">
        <v>62.3</v>
      </c>
      <c r="ABJ7">
        <v>49.84</v>
      </c>
      <c r="ABK7">
        <v>36.49</v>
      </c>
      <c r="ABL7">
        <v>20.47</v>
      </c>
      <c r="ABM7">
        <v>92.55</v>
      </c>
      <c r="ABN7">
        <v>203.8</v>
      </c>
      <c r="ABO7">
        <v>19.579999999999998</v>
      </c>
      <c r="ABP7">
        <v>39.159999999999997</v>
      </c>
      <c r="ABQ7">
        <v>606.05999999999995</v>
      </c>
      <c r="ABR7">
        <v>75.650000000000006</v>
      </c>
      <c r="ABS7">
        <v>811.64</v>
      </c>
      <c r="ABT7">
        <v>10.68</v>
      </c>
      <c r="ABU7">
        <v>29.37</v>
      </c>
      <c r="ABV7">
        <v>294.57</v>
      </c>
      <c r="ABW7">
        <v>248.3</v>
      </c>
      <c r="ABX7">
        <v>485.91</v>
      </c>
      <c r="ABY7">
        <v>486.8</v>
      </c>
      <c r="ABZ7">
        <v>194.01</v>
      </c>
      <c r="ACA7">
        <v>673.69</v>
      </c>
      <c r="ACB7">
        <v>196.68</v>
      </c>
      <c r="ACC7">
        <v>186</v>
      </c>
      <c r="ACD7">
        <v>314.14999999999998</v>
      </c>
      <c r="ACE7">
        <v>95.22</v>
      </c>
      <c r="ACF7">
        <v>7622.43</v>
      </c>
      <c r="ACG7">
        <v>1279.75</v>
      </c>
      <c r="ACH7">
        <v>825.87</v>
      </c>
      <c r="ACI7">
        <v>575.79999999999995</v>
      </c>
      <c r="ACJ7">
        <v>664.79</v>
      </c>
      <c r="ACK7">
        <v>458.32</v>
      </c>
      <c r="ACL7">
        <v>59.63</v>
      </c>
      <c r="ACM7">
        <v>429.85</v>
      </c>
      <c r="ACN7">
        <v>384.46</v>
      </c>
      <c r="ACO7">
        <v>725.31</v>
      </c>
      <c r="ACP7">
        <v>676.36</v>
      </c>
      <c r="ACQ7">
        <v>441.42</v>
      </c>
      <c r="ACR7">
        <v>4398.1400000000003</v>
      </c>
    </row>
    <row r="8" spans="1:772" x14ac:dyDescent="0.3">
      <c r="A8" t="s">
        <v>7</v>
      </c>
      <c r="B8" t="s">
        <v>1</v>
      </c>
      <c r="C8">
        <v>804.29</v>
      </c>
      <c r="D8">
        <v>45.71</v>
      </c>
      <c r="E8">
        <v>1059.42</v>
      </c>
      <c r="F8">
        <v>8.16</v>
      </c>
      <c r="G8">
        <v>7088.54</v>
      </c>
      <c r="H8">
        <v>94.51</v>
      </c>
      <c r="I8">
        <v>1521.49</v>
      </c>
      <c r="J8">
        <v>10614.58</v>
      </c>
      <c r="K8">
        <v>570.79</v>
      </c>
      <c r="L8">
        <v>14.21</v>
      </c>
      <c r="M8">
        <v>153.19999999999999</v>
      </c>
      <c r="N8">
        <v>1562.88</v>
      </c>
      <c r="O8">
        <v>51.89</v>
      </c>
      <c r="P8">
        <v>311.95999999999998</v>
      </c>
      <c r="Q8">
        <v>54.36</v>
      </c>
      <c r="R8">
        <v>847.54</v>
      </c>
      <c r="S8">
        <v>22.24</v>
      </c>
      <c r="T8">
        <v>1567.2</v>
      </c>
      <c r="U8">
        <v>359.52</v>
      </c>
      <c r="V8">
        <v>221.77</v>
      </c>
      <c r="W8">
        <v>1901.4</v>
      </c>
      <c r="X8">
        <v>8.16</v>
      </c>
      <c r="Y8">
        <v>386.7</v>
      </c>
      <c r="Z8">
        <v>397.21</v>
      </c>
      <c r="AA8">
        <v>33.979999999999997</v>
      </c>
      <c r="AB8">
        <v>841.36</v>
      </c>
      <c r="AC8">
        <v>652.33000000000004</v>
      </c>
      <c r="AD8">
        <v>147.63999999999999</v>
      </c>
      <c r="AE8">
        <v>663.45</v>
      </c>
      <c r="AF8">
        <v>25561.97</v>
      </c>
      <c r="AG8">
        <v>243.39</v>
      </c>
      <c r="AH8">
        <v>174.82</v>
      </c>
      <c r="AI8">
        <v>43.86</v>
      </c>
      <c r="AJ8">
        <v>535.58000000000004</v>
      </c>
      <c r="AK8">
        <v>177.91</v>
      </c>
      <c r="AL8">
        <v>131.58000000000001</v>
      </c>
      <c r="AM8">
        <v>305.77999999999997</v>
      </c>
      <c r="AN8">
        <v>145.16999999999999</v>
      </c>
      <c r="AO8">
        <v>922.9</v>
      </c>
      <c r="AP8">
        <v>31.5</v>
      </c>
      <c r="AQ8">
        <v>132.19999999999999</v>
      </c>
      <c r="AR8">
        <v>14.21</v>
      </c>
      <c r="AS8">
        <v>45.71</v>
      </c>
      <c r="AT8">
        <v>64.86</v>
      </c>
      <c r="AU8">
        <v>16.059999999999999</v>
      </c>
      <c r="AV8">
        <v>820.36</v>
      </c>
      <c r="AW8">
        <v>702.99</v>
      </c>
      <c r="AX8">
        <v>3603.26</v>
      </c>
      <c r="AY8">
        <v>34.590000000000003</v>
      </c>
      <c r="AZ8">
        <v>59.3</v>
      </c>
      <c r="BA8">
        <v>424.39</v>
      </c>
      <c r="BB8">
        <v>519.52</v>
      </c>
      <c r="BC8">
        <v>42.62</v>
      </c>
      <c r="BD8">
        <v>15.44</v>
      </c>
      <c r="BE8">
        <v>342.84</v>
      </c>
      <c r="BF8">
        <v>294.04000000000002</v>
      </c>
      <c r="BG8">
        <v>59.3</v>
      </c>
      <c r="BH8">
        <v>13.59</v>
      </c>
      <c r="BI8">
        <v>21.62</v>
      </c>
      <c r="BJ8">
        <v>8.16</v>
      </c>
      <c r="BK8">
        <v>273.04000000000002</v>
      </c>
      <c r="BL8">
        <v>494.19</v>
      </c>
      <c r="BM8">
        <v>80.92</v>
      </c>
      <c r="BN8">
        <v>53.13</v>
      </c>
      <c r="BO8">
        <v>51.89</v>
      </c>
      <c r="BP8">
        <v>32.119999999999997</v>
      </c>
      <c r="BQ8">
        <v>35.21</v>
      </c>
      <c r="BR8">
        <v>108.72</v>
      </c>
      <c r="BS8">
        <v>58.07</v>
      </c>
      <c r="BT8">
        <v>1538.78</v>
      </c>
      <c r="BU8">
        <v>150.11000000000001</v>
      </c>
      <c r="BV8">
        <v>93.28</v>
      </c>
      <c r="BW8">
        <v>473.19</v>
      </c>
      <c r="BX8">
        <v>213.12</v>
      </c>
      <c r="BY8">
        <v>92.66</v>
      </c>
      <c r="BZ8">
        <v>162.46</v>
      </c>
      <c r="CA8">
        <v>63.01</v>
      </c>
      <c r="CB8">
        <v>92.04</v>
      </c>
      <c r="CC8">
        <v>18.53</v>
      </c>
      <c r="CD8">
        <v>64.86</v>
      </c>
      <c r="CE8">
        <v>450.33</v>
      </c>
      <c r="CF8">
        <v>521.37</v>
      </c>
      <c r="CG8">
        <v>50.65</v>
      </c>
      <c r="CH8">
        <v>115.52</v>
      </c>
      <c r="CI8">
        <v>8.16</v>
      </c>
      <c r="CJ8">
        <v>9.27</v>
      </c>
      <c r="CK8">
        <v>37.06</v>
      </c>
      <c r="CL8">
        <v>58.69</v>
      </c>
      <c r="CM8">
        <v>521.37</v>
      </c>
      <c r="CN8">
        <v>137.13999999999999</v>
      </c>
      <c r="CO8">
        <v>173.58</v>
      </c>
      <c r="CP8">
        <v>8.16</v>
      </c>
      <c r="CQ8">
        <v>27.8</v>
      </c>
      <c r="CR8">
        <v>46.33</v>
      </c>
      <c r="CS8">
        <v>8.16</v>
      </c>
      <c r="CT8">
        <v>21.62</v>
      </c>
      <c r="CU8">
        <v>114.9</v>
      </c>
      <c r="CV8">
        <v>191.5</v>
      </c>
      <c r="CW8">
        <v>2357.9</v>
      </c>
      <c r="CX8">
        <v>32.74</v>
      </c>
      <c r="CY8">
        <v>273.66000000000003</v>
      </c>
      <c r="CZ8">
        <v>81.540000000000006</v>
      </c>
      <c r="DA8">
        <v>12.35</v>
      </c>
      <c r="DB8">
        <v>82.16</v>
      </c>
      <c r="DC8">
        <v>79.069999999999993</v>
      </c>
      <c r="DD8">
        <v>24.71</v>
      </c>
      <c r="DE8">
        <v>43.86</v>
      </c>
      <c r="DF8">
        <v>381.14</v>
      </c>
      <c r="DG8">
        <v>8.16</v>
      </c>
      <c r="DH8">
        <v>3802.79</v>
      </c>
      <c r="DI8">
        <v>90.19</v>
      </c>
      <c r="DJ8">
        <v>46.33</v>
      </c>
      <c r="DK8">
        <v>190.26</v>
      </c>
      <c r="DL8">
        <v>1394.23</v>
      </c>
      <c r="DM8">
        <v>198.29</v>
      </c>
      <c r="DN8">
        <v>32.74</v>
      </c>
      <c r="DO8">
        <v>58.69</v>
      </c>
      <c r="DP8">
        <v>19.149999999999999</v>
      </c>
      <c r="DQ8">
        <v>2476.5100000000002</v>
      </c>
      <c r="DR8">
        <v>42.62</v>
      </c>
      <c r="DS8">
        <v>16.059999999999999</v>
      </c>
      <c r="DT8">
        <v>30.27</v>
      </c>
      <c r="DU8">
        <v>5324.9</v>
      </c>
      <c r="DV8">
        <v>72.28</v>
      </c>
      <c r="DW8">
        <v>29.03</v>
      </c>
      <c r="DX8">
        <v>63.01</v>
      </c>
      <c r="DY8">
        <v>142.69999999999999</v>
      </c>
      <c r="DZ8">
        <v>85.25</v>
      </c>
      <c r="EA8">
        <v>35.83</v>
      </c>
      <c r="EB8">
        <v>22.24</v>
      </c>
      <c r="EC8">
        <v>51.89</v>
      </c>
      <c r="ED8">
        <v>17.91</v>
      </c>
      <c r="EE8">
        <v>8.16</v>
      </c>
      <c r="EF8">
        <v>1345.43</v>
      </c>
      <c r="EG8">
        <v>1201.5</v>
      </c>
      <c r="EH8">
        <v>56.83</v>
      </c>
      <c r="EI8">
        <v>43.24</v>
      </c>
      <c r="EJ8">
        <v>545.46</v>
      </c>
      <c r="EK8">
        <v>711.63</v>
      </c>
      <c r="EL8">
        <v>4093.75</v>
      </c>
      <c r="EM8">
        <v>408.94</v>
      </c>
      <c r="EN8">
        <v>122.31</v>
      </c>
      <c r="EO8">
        <v>614.65</v>
      </c>
      <c r="EP8">
        <v>13.59</v>
      </c>
      <c r="EQ8">
        <v>3012.71</v>
      </c>
      <c r="ER8">
        <v>19.149999999999999</v>
      </c>
      <c r="ES8">
        <v>29.03</v>
      </c>
      <c r="ET8">
        <v>8.16</v>
      </c>
      <c r="EU8">
        <v>626.39</v>
      </c>
      <c r="EV8">
        <v>24.71</v>
      </c>
      <c r="EW8">
        <v>11.74</v>
      </c>
      <c r="EX8">
        <v>106.25</v>
      </c>
      <c r="EY8">
        <v>46.95</v>
      </c>
      <c r="EZ8">
        <v>103.16</v>
      </c>
      <c r="FA8">
        <v>102.54</v>
      </c>
      <c r="FB8">
        <v>8.16</v>
      </c>
      <c r="FC8">
        <v>160.61000000000001</v>
      </c>
      <c r="FD8">
        <v>9.8800000000000008</v>
      </c>
      <c r="FE8">
        <v>7900.86</v>
      </c>
      <c r="FF8">
        <v>68.569999999999993</v>
      </c>
      <c r="FG8">
        <v>4132.66</v>
      </c>
      <c r="FH8">
        <v>3810.82</v>
      </c>
      <c r="FI8">
        <v>25.33</v>
      </c>
      <c r="FJ8">
        <v>262.54000000000002</v>
      </c>
      <c r="FK8">
        <v>822.21</v>
      </c>
      <c r="FL8">
        <v>63.63</v>
      </c>
      <c r="FM8">
        <v>300.83999999999997</v>
      </c>
      <c r="FN8">
        <v>171.73</v>
      </c>
      <c r="FO8">
        <v>58.07</v>
      </c>
      <c r="FP8">
        <v>8.16</v>
      </c>
      <c r="FQ8">
        <v>29.03</v>
      </c>
      <c r="FR8">
        <v>8.16</v>
      </c>
      <c r="FS8">
        <v>8.16</v>
      </c>
      <c r="FT8">
        <v>34.590000000000003</v>
      </c>
      <c r="FU8">
        <v>2011.97</v>
      </c>
      <c r="FV8">
        <v>1737.7</v>
      </c>
      <c r="FW8">
        <v>19.149999999999999</v>
      </c>
      <c r="FX8">
        <v>67.95</v>
      </c>
      <c r="FY8">
        <v>8.16</v>
      </c>
      <c r="FZ8">
        <v>390.41</v>
      </c>
      <c r="GA8">
        <v>213.12</v>
      </c>
      <c r="GB8">
        <v>48.8</v>
      </c>
      <c r="GC8">
        <v>22.24</v>
      </c>
      <c r="GD8">
        <v>208.8</v>
      </c>
      <c r="GE8">
        <v>1650.59</v>
      </c>
      <c r="GF8">
        <v>211.27</v>
      </c>
      <c r="GG8">
        <v>368.17</v>
      </c>
      <c r="GH8">
        <v>177.91</v>
      </c>
      <c r="GI8">
        <v>1189.1400000000001</v>
      </c>
      <c r="GJ8">
        <v>29.03</v>
      </c>
      <c r="GK8">
        <v>4545.3100000000004</v>
      </c>
      <c r="GL8">
        <v>159.99</v>
      </c>
      <c r="GM8">
        <v>8.16</v>
      </c>
      <c r="GN8">
        <v>9.8800000000000008</v>
      </c>
      <c r="GO8">
        <v>1008.77</v>
      </c>
      <c r="GP8">
        <v>33.979999999999997</v>
      </c>
      <c r="GQ8">
        <v>37.06</v>
      </c>
      <c r="GR8">
        <v>288.48</v>
      </c>
      <c r="GS8">
        <v>376.2</v>
      </c>
      <c r="GT8">
        <v>392.88</v>
      </c>
      <c r="GU8">
        <v>8.16</v>
      </c>
      <c r="GV8">
        <v>21</v>
      </c>
      <c r="GW8">
        <v>37.68</v>
      </c>
      <c r="GX8">
        <v>286.01</v>
      </c>
      <c r="GY8">
        <v>29.65</v>
      </c>
      <c r="GZ8">
        <v>212.5</v>
      </c>
      <c r="HA8">
        <v>395.35</v>
      </c>
      <c r="HB8">
        <v>536.20000000000005</v>
      </c>
      <c r="HC8">
        <v>221.15</v>
      </c>
      <c r="HD8">
        <v>1418.94</v>
      </c>
      <c r="HE8">
        <v>22.24</v>
      </c>
      <c r="HF8">
        <v>2464.15</v>
      </c>
      <c r="HG8">
        <v>187.79</v>
      </c>
      <c r="HH8">
        <v>200.76</v>
      </c>
      <c r="HI8">
        <v>10.5</v>
      </c>
      <c r="HJ8">
        <v>4371.7299999999996</v>
      </c>
      <c r="HK8">
        <v>3930.66</v>
      </c>
      <c r="HL8">
        <v>570.79</v>
      </c>
      <c r="HM8">
        <v>120.46</v>
      </c>
      <c r="HN8">
        <v>1892.75</v>
      </c>
      <c r="HO8">
        <v>8.16</v>
      </c>
      <c r="HP8">
        <v>91.43</v>
      </c>
      <c r="HQ8">
        <v>8075.06</v>
      </c>
      <c r="HR8">
        <v>163.08000000000001</v>
      </c>
      <c r="HS8">
        <v>15.44</v>
      </c>
      <c r="HT8">
        <v>135.28</v>
      </c>
      <c r="HU8">
        <v>269.33</v>
      </c>
      <c r="HV8">
        <v>107.49</v>
      </c>
      <c r="HW8">
        <v>4008.5</v>
      </c>
      <c r="HX8">
        <v>14.21</v>
      </c>
      <c r="HY8">
        <v>17.91</v>
      </c>
      <c r="HZ8">
        <v>98.84</v>
      </c>
      <c r="IA8">
        <v>396.59</v>
      </c>
      <c r="IB8">
        <v>121.69</v>
      </c>
      <c r="IC8">
        <v>14.83</v>
      </c>
      <c r="ID8">
        <v>79.69</v>
      </c>
      <c r="IE8">
        <v>15.44</v>
      </c>
      <c r="IF8">
        <v>1306.51</v>
      </c>
      <c r="IG8">
        <v>35.21</v>
      </c>
      <c r="IH8">
        <v>8.16</v>
      </c>
      <c r="II8">
        <v>170.5</v>
      </c>
      <c r="IJ8">
        <v>98.84</v>
      </c>
      <c r="IK8">
        <v>25.94</v>
      </c>
      <c r="IL8">
        <v>1646.89</v>
      </c>
      <c r="IM8">
        <v>474.42</v>
      </c>
      <c r="IN8">
        <v>164.94</v>
      </c>
      <c r="IO8">
        <v>738.81</v>
      </c>
      <c r="IP8">
        <v>19.77</v>
      </c>
      <c r="IQ8">
        <v>41.39</v>
      </c>
      <c r="IR8">
        <v>19.149999999999999</v>
      </c>
      <c r="IS8">
        <v>24.09</v>
      </c>
      <c r="IT8">
        <v>8.16</v>
      </c>
      <c r="IU8">
        <v>221.15</v>
      </c>
      <c r="IV8">
        <v>917.96</v>
      </c>
      <c r="IW8">
        <v>205.71</v>
      </c>
      <c r="IX8">
        <v>5493.54</v>
      </c>
      <c r="IY8">
        <v>53.13</v>
      </c>
      <c r="IZ8">
        <v>24.09</v>
      </c>
      <c r="JA8">
        <v>285.39</v>
      </c>
      <c r="JB8">
        <v>537.42999999999995</v>
      </c>
      <c r="JC8">
        <v>92.66</v>
      </c>
      <c r="JD8">
        <v>319.37</v>
      </c>
      <c r="JE8">
        <v>22.86</v>
      </c>
      <c r="JF8">
        <v>11.12</v>
      </c>
      <c r="JG8">
        <v>68.569999999999993</v>
      </c>
      <c r="JH8">
        <v>306.39999999999998</v>
      </c>
      <c r="JI8">
        <v>319.99</v>
      </c>
      <c r="JJ8">
        <v>137.13999999999999</v>
      </c>
      <c r="JK8">
        <v>14.83</v>
      </c>
      <c r="JL8">
        <v>67.33</v>
      </c>
      <c r="JM8">
        <v>20.39</v>
      </c>
      <c r="JN8">
        <v>8.16</v>
      </c>
      <c r="JO8">
        <v>235.98</v>
      </c>
      <c r="JP8">
        <v>888.31</v>
      </c>
      <c r="JQ8">
        <v>2197.91</v>
      </c>
      <c r="JR8">
        <v>16.68</v>
      </c>
      <c r="JS8">
        <v>8.65</v>
      </c>
      <c r="JT8">
        <v>43.24</v>
      </c>
      <c r="JU8">
        <v>128.49</v>
      </c>
      <c r="JV8">
        <v>281.07</v>
      </c>
      <c r="JW8">
        <v>103.78</v>
      </c>
      <c r="JX8">
        <v>103.78</v>
      </c>
      <c r="JY8">
        <v>274.27999999999997</v>
      </c>
      <c r="JZ8">
        <v>9.8800000000000008</v>
      </c>
      <c r="KA8">
        <v>8.16</v>
      </c>
      <c r="KB8">
        <v>10.5</v>
      </c>
      <c r="KC8">
        <v>17.91</v>
      </c>
      <c r="KD8">
        <v>11.12</v>
      </c>
      <c r="KE8">
        <v>158.13999999999999</v>
      </c>
      <c r="KF8">
        <v>64.239999999999995</v>
      </c>
      <c r="KG8">
        <v>163.69999999999999</v>
      </c>
      <c r="KH8">
        <v>105.02</v>
      </c>
      <c r="KI8">
        <v>379.91</v>
      </c>
      <c r="KJ8">
        <v>151.96</v>
      </c>
      <c r="KK8">
        <v>161.85</v>
      </c>
      <c r="KL8">
        <v>31.5</v>
      </c>
      <c r="KM8">
        <v>61.16</v>
      </c>
      <c r="KN8">
        <v>96.98</v>
      </c>
      <c r="KO8">
        <v>412.03</v>
      </c>
      <c r="KP8">
        <v>87.1</v>
      </c>
      <c r="KQ8">
        <v>3584.11</v>
      </c>
      <c r="KR8">
        <v>689.39</v>
      </c>
      <c r="KS8">
        <v>958.73</v>
      </c>
      <c r="KT8">
        <v>677.66</v>
      </c>
      <c r="KU8">
        <v>45684.77</v>
      </c>
      <c r="KV8">
        <v>5322.43</v>
      </c>
      <c r="KW8">
        <v>325.55</v>
      </c>
      <c r="KX8">
        <v>276.75</v>
      </c>
      <c r="KY8">
        <v>36.450000000000003</v>
      </c>
      <c r="KZ8">
        <v>46.95</v>
      </c>
      <c r="LA8">
        <v>814.8</v>
      </c>
      <c r="LB8">
        <v>927.84</v>
      </c>
      <c r="LC8">
        <v>1053.8599999999999</v>
      </c>
      <c r="LD8">
        <v>8.16</v>
      </c>
      <c r="LE8">
        <v>897.57</v>
      </c>
      <c r="LF8">
        <v>2681.6</v>
      </c>
      <c r="LG8">
        <v>2031.12</v>
      </c>
      <c r="LH8">
        <v>612.17999999999995</v>
      </c>
      <c r="LI8">
        <v>7283.12</v>
      </c>
      <c r="LJ8">
        <v>455.27</v>
      </c>
      <c r="LK8">
        <v>1915.6</v>
      </c>
      <c r="LL8">
        <v>150.72999999999999</v>
      </c>
      <c r="LM8">
        <v>8.16</v>
      </c>
      <c r="LN8">
        <v>371.26</v>
      </c>
      <c r="LO8">
        <v>37.68</v>
      </c>
      <c r="LP8">
        <v>1310.22</v>
      </c>
      <c r="LQ8">
        <v>60.54</v>
      </c>
      <c r="LR8">
        <v>137.13999999999999</v>
      </c>
      <c r="LS8">
        <v>53.13</v>
      </c>
      <c r="LT8">
        <v>24.09</v>
      </c>
      <c r="LU8">
        <v>126.02</v>
      </c>
      <c r="LV8">
        <v>212.5</v>
      </c>
      <c r="LW8">
        <v>555.96</v>
      </c>
      <c r="LX8">
        <v>3416.71</v>
      </c>
      <c r="LY8">
        <v>1395.47</v>
      </c>
      <c r="LZ8">
        <v>3261.65</v>
      </c>
      <c r="MA8">
        <v>159.38</v>
      </c>
      <c r="MB8">
        <v>761.67</v>
      </c>
      <c r="MC8">
        <v>446.62</v>
      </c>
      <c r="MD8">
        <v>161.22999999999999</v>
      </c>
      <c r="ME8">
        <v>240.3</v>
      </c>
      <c r="MF8">
        <v>428.09</v>
      </c>
      <c r="MG8">
        <v>2855.8</v>
      </c>
      <c r="MH8">
        <v>1769.82</v>
      </c>
      <c r="MI8">
        <v>8.16</v>
      </c>
      <c r="MJ8">
        <v>547.92999999999995</v>
      </c>
      <c r="MK8">
        <v>8.16</v>
      </c>
      <c r="ML8">
        <v>886.45</v>
      </c>
      <c r="MM8">
        <v>1242.27</v>
      </c>
      <c r="MN8">
        <v>513.34</v>
      </c>
      <c r="MO8">
        <v>9.27</v>
      </c>
      <c r="MP8">
        <v>108.1</v>
      </c>
      <c r="MQ8">
        <v>208.8</v>
      </c>
      <c r="MR8">
        <v>8.16</v>
      </c>
      <c r="MS8">
        <v>412.03</v>
      </c>
      <c r="MT8">
        <v>1725.96</v>
      </c>
      <c r="MU8">
        <v>29.65</v>
      </c>
      <c r="MV8">
        <v>95.13</v>
      </c>
      <c r="MW8">
        <v>145.16999999999999</v>
      </c>
      <c r="MX8">
        <v>127.87</v>
      </c>
      <c r="MY8">
        <v>11.74</v>
      </c>
      <c r="MZ8">
        <v>375.58</v>
      </c>
      <c r="NA8">
        <v>28.42</v>
      </c>
      <c r="NB8">
        <v>895.1</v>
      </c>
      <c r="NC8">
        <v>989.62</v>
      </c>
      <c r="ND8">
        <v>113.05</v>
      </c>
      <c r="NE8">
        <v>484.92</v>
      </c>
      <c r="NF8">
        <v>8.16</v>
      </c>
      <c r="NG8">
        <v>19.77</v>
      </c>
      <c r="NH8">
        <v>64.86</v>
      </c>
      <c r="NI8">
        <v>1441.18</v>
      </c>
      <c r="NJ8">
        <v>199.53</v>
      </c>
      <c r="NK8">
        <v>163.08000000000001</v>
      </c>
      <c r="NL8">
        <v>134.05000000000001</v>
      </c>
      <c r="NM8">
        <v>1097.0999999999999</v>
      </c>
      <c r="NN8">
        <v>644.91999999999996</v>
      </c>
      <c r="NO8">
        <v>22.24</v>
      </c>
      <c r="NP8">
        <v>8.16</v>
      </c>
      <c r="NQ8">
        <v>2679.13</v>
      </c>
      <c r="NR8">
        <v>290.33999999999997</v>
      </c>
      <c r="NS8">
        <v>796.26</v>
      </c>
      <c r="NT8">
        <v>1152.7</v>
      </c>
      <c r="NU8">
        <v>701.75</v>
      </c>
      <c r="NV8">
        <v>388.56</v>
      </c>
      <c r="NW8">
        <v>250.18</v>
      </c>
      <c r="NX8">
        <v>90.19</v>
      </c>
      <c r="NY8">
        <v>77.22</v>
      </c>
      <c r="NZ8">
        <v>591.16999999999996</v>
      </c>
      <c r="OA8">
        <v>248.95</v>
      </c>
      <c r="OB8">
        <v>497.9</v>
      </c>
      <c r="OC8">
        <v>628.86</v>
      </c>
      <c r="OD8">
        <v>163.69999999999999</v>
      </c>
      <c r="OE8">
        <v>1444.89</v>
      </c>
      <c r="OF8">
        <v>53.74</v>
      </c>
      <c r="OG8">
        <v>4429.79</v>
      </c>
      <c r="OH8">
        <v>181.61</v>
      </c>
      <c r="OI8">
        <v>86.48</v>
      </c>
      <c r="OJ8">
        <v>53.74</v>
      </c>
      <c r="OK8">
        <v>1353.46</v>
      </c>
      <c r="OL8">
        <v>382.38</v>
      </c>
      <c r="OM8">
        <v>717.19</v>
      </c>
      <c r="ON8">
        <v>440.45</v>
      </c>
      <c r="OO8">
        <v>477.51</v>
      </c>
      <c r="OP8">
        <v>277.98</v>
      </c>
      <c r="OQ8">
        <v>1027.92</v>
      </c>
      <c r="OR8">
        <v>22.86</v>
      </c>
      <c r="OS8">
        <v>521.37</v>
      </c>
      <c r="OT8">
        <v>395.35</v>
      </c>
      <c r="OU8">
        <v>126.02</v>
      </c>
      <c r="OV8">
        <v>340.99</v>
      </c>
      <c r="OW8">
        <v>32.74</v>
      </c>
      <c r="OX8">
        <v>19.149999999999999</v>
      </c>
      <c r="OY8">
        <v>8.16</v>
      </c>
      <c r="OZ8">
        <v>8.16</v>
      </c>
      <c r="PA8">
        <v>8.16</v>
      </c>
      <c r="PB8">
        <v>93.9</v>
      </c>
      <c r="PC8">
        <v>12.97</v>
      </c>
      <c r="PD8">
        <v>34.590000000000003</v>
      </c>
      <c r="PE8">
        <v>9.27</v>
      </c>
      <c r="PF8">
        <v>434.27</v>
      </c>
      <c r="PG8">
        <v>30.27</v>
      </c>
      <c r="PH8">
        <v>113.05</v>
      </c>
      <c r="PI8">
        <v>192.73</v>
      </c>
      <c r="PJ8">
        <v>5472.54</v>
      </c>
      <c r="PK8">
        <v>11572.08</v>
      </c>
      <c r="PL8">
        <v>61.77</v>
      </c>
      <c r="PM8">
        <v>21399.66</v>
      </c>
      <c r="PN8">
        <v>825.91</v>
      </c>
      <c r="PO8">
        <v>84.01</v>
      </c>
      <c r="PP8">
        <v>2474.66</v>
      </c>
      <c r="PQ8">
        <v>30.89</v>
      </c>
      <c r="PR8">
        <v>107.49</v>
      </c>
      <c r="PS8">
        <v>19.77</v>
      </c>
      <c r="PT8">
        <v>39.54</v>
      </c>
      <c r="PU8">
        <v>358.91</v>
      </c>
      <c r="PV8">
        <v>237.21</v>
      </c>
      <c r="PW8">
        <v>298.98</v>
      </c>
      <c r="PX8">
        <v>29.03</v>
      </c>
      <c r="PY8">
        <v>452.18</v>
      </c>
      <c r="PZ8">
        <v>69.19</v>
      </c>
      <c r="QA8">
        <v>378.06</v>
      </c>
      <c r="QB8">
        <v>4416.82</v>
      </c>
      <c r="QC8">
        <v>8.16</v>
      </c>
      <c r="QD8">
        <v>8.16</v>
      </c>
      <c r="QE8">
        <v>8.16</v>
      </c>
      <c r="QF8">
        <v>8.16</v>
      </c>
      <c r="QG8">
        <v>8.16</v>
      </c>
      <c r="QH8">
        <v>8.16</v>
      </c>
      <c r="QI8">
        <v>8.16</v>
      </c>
      <c r="QJ8">
        <v>238.45</v>
      </c>
      <c r="QK8">
        <v>27.8</v>
      </c>
      <c r="QL8">
        <v>220.53</v>
      </c>
      <c r="QM8">
        <v>576.97</v>
      </c>
      <c r="QN8">
        <v>517.04999999999995</v>
      </c>
      <c r="QO8">
        <v>20.39</v>
      </c>
      <c r="QP8">
        <v>24.71</v>
      </c>
      <c r="QQ8">
        <v>185.32</v>
      </c>
      <c r="QR8">
        <v>48.8</v>
      </c>
      <c r="QS8">
        <v>778.35</v>
      </c>
      <c r="QT8">
        <v>1402.88</v>
      </c>
      <c r="QU8">
        <v>53.74</v>
      </c>
      <c r="QV8">
        <v>160.61000000000001</v>
      </c>
      <c r="QW8">
        <v>148.87</v>
      </c>
      <c r="QX8">
        <v>142.08000000000001</v>
      </c>
      <c r="QY8">
        <v>50.04</v>
      </c>
      <c r="QZ8">
        <v>8.16</v>
      </c>
      <c r="RA8">
        <v>130.96</v>
      </c>
      <c r="RB8">
        <v>15704.12</v>
      </c>
      <c r="RC8">
        <v>52.51</v>
      </c>
      <c r="RD8">
        <v>2573.4899999999998</v>
      </c>
      <c r="RE8">
        <v>72.28</v>
      </c>
      <c r="RF8">
        <v>169.26</v>
      </c>
      <c r="RG8">
        <v>383</v>
      </c>
      <c r="RH8">
        <v>341.61</v>
      </c>
      <c r="RI8">
        <v>11.12</v>
      </c>
      <c r="RJ8">
        <v>97.6</v>
      </c>
      <c r="RK8">
        <v>8.16</v>
      </c>
      <c r="RL8">
        <v>113.05</v>
      </c>
      <c r="RM8">
        <v>129.11000000000001</v>
      </c>
      <c r="RN8">
        <v>189.03</v>
      </c>
      <c r="RO8">
        <v>318.75</v>
      </c>
      <c r="RP8">
        <v>256.36</v>
      </c>
      <c r="RQ8">
        <v>483.07</v>
      </c>
      <c r="RR8">
        <v>22.24</v>
      </c>
      <c r="RS8">
        <v>482.45</v>
      </c>
      <c r="RT8">
        <v>442.92</v>
      </c>
      <c r="RU8">
        <v>8.16</v>
      </c>
      <c r="RV8">
        <v>11.74</v>
      </c>
      <c r="RW8">
        <v>240.3</v>
      </c>
      <c r="RX8">
        <v>1889.66</v>
      </c>
      <c r="RY8">
        <v>851.24</v>
      </c>
      <c r="RZ8">
        <v>27.8</v>
      </c>
      <c r="SA8">
        <v>378.67</v>
      </c>
      <c r="SB8">
        <v>21</v>
      </c>
      <c r="SC8">
        <v>121.08</v>
      </c>
      <c r="SD8">
        <v>1411.53</v>
      </c>
      <c r="SE8">
        <v>491.72</v>
      </c>
      <c r="SF8">
        <v>587.47</v>
      </c>
      <c r="SG8">
        <v>5691.21</v>
      </c>
      <c r="SH8">
        <v>135.9</v>
      </c>
      <c r="SI8">
        <v>22.86</v>
      </c>
      <c r="SJ8">
        <v>315.05</v>
      </c>
      <c r="SK8">
        <v>115.52</v>
      </c>
      <c r="SL8">
        <v>182.23</v>
      </c>
      <c r="SM8">
        <v>50.04</v>
      </c>
      <c r="SN8">
        <v>167.41</v>
      </c>
      <c r="SO8">
        <v>8.16</v>
      </c>
      <c r="SP8">
        <v>186.56</v>
      </c>
      <c r="SQ8">
        <v>1020.5</v>
      </c>
      <c r="SR8">
        <v>1014.94</v>
      </c>
      <c r="SS8">
        <v>1544.34</v>
      </c>
      <c r="ST8">
        <v>269.95</v>
      </c>
      <c r="SU8">
        <v>410.8</v>
      </c>
      <c r="SV8">
        <v>116.13</v>
      </c>
      <c r="SW8">
        <v>213.12</v>
      </c>
      <c r="SX8">
        <v>363.85</v>
      </c>
      <c r="SY8">
        <v>61.77</v>
      </c>
      <c r="SZ8">
        <v>8.16</v>
      </c>
      <c r="TA8">
        <v>8.16</v>
      </c>
      <c r="TB8">
        <v>1757.46</v>
      </c>
      <c r="TC8">
        <v>727.08</v>
      </c>
      <c r="TD8">
        <v>77.83</v>
      </c>
      <c r="TE8">
        <v>292.81</v>
      </c>
      <c r="TF8">
        <v>294.04000000000002</v>
      </c>
      <c r="TG8">
        <v>381.14</v>
      </c>
      <c r="TH8">
        <v>191.5</v>
      </c>
      <c r="TI8">
        <v>88.95</v>
      </c>
      <c r="TJ8">
        <v>13.59</v>
      </c>
      <c r="TK8">
        <v>326.17</v>
      </c>
      <c r="TL8">
        <v>96.37</v>
      </c>
      <c r="TM8">
        <v>145.79</v>
      </c>
      <c r="TN8">
        <v>1208.9100000000001</v>
      </c>
      <c r="TO8">
        <v>859.89</v>
      </c>
      <c r="TP8">
        <v>181</v>
      </c>
      <c r="TQ8">
        <v>526.92999999999995</v>
      </c>
      <c r="TR8">
        <v>8.16</v>
      </c>
      <c r="TS8">
        <v>389.79</v>
      </c>
      <c r="TT8">
        <v>67.33</v>
      </c>
      <c r="TU8">
        <v>79.69</v>
      </c>
      <c r="TV8">
        <v>271.19</v>
      </c>
      <c r="TW8">
        <v>450.95</v>
      </c>
      <c r="TX8">
        <v>215.59</v>
      </c>
      <c r="TY8">
        <v>51.89</v>
      </c>
      <c r="TZ8">
        <v>116.75</v>
      </c>
      <c r="UA8">
        <v>218.06</v>
      </c>
      <c r="UB8">
        <v>147.63999999999999</v>
      </c>
      <c r="UC8">
        <v>7403.58</v>
      </c>
      <c r="UD8">
        <v>9.8800000000000008</v>
      </c>
      <c r="UE8">
        <v>12.97</v>
      </c>
      <c r="UF8">
        <v>2446.2399999999998</v>
      </c>
      <c r="UG8">
        <v>90.81</v>
      </c>
      <c r="UH8">
        <v>8.16</v>
      </c>
      <c r="UI8">
        <v>43.86</v>
      </c>
      <c r="UJ8">
        <v>37.68</v>
      </c>
      <c r="UK8">
        <v>21</v>
      </c>
      <c r="UL8">
        <v>17.91</v>
      </c>
      <c r="UM8">
        <v>32.119999999999997</v>
      </c>
      <c r="UN8">
        <v>205.09</v>
      </c>
      <c r="UO8">
        <v>143.32</v>
      </c>
      <c r="UP8">
        <v>8.16</v>
      </c>
      <c r="UQ8">
        <v>8.16</v>
      </c>
      <c r="UR8">
        <v>8.16</v>
      </c>
      <c r="US8">
        <v>105.02</v>
      </c>
      <c r="UT8">
        <v>179.76</v>
      </c>
      <c r="UU8">
        <v>1080.42</v>
      </c>
      <c r="UV8">
        <v>546.08000000000004</v>
      </c>
      <c r="UW8">
        <v>473.19</v>
      </c>
      <c r="UX8">
        <v>45.71</v>
      </c>
      <c r="UY8">
        <v>559.04999999999995</v>
      </c>
      <c r="UZ8">
        <v>105.02</v>
      </c>
      <c r="VA8">
        <v>1392.38</v>
      </c>
      <c r="VB8">
        <v>1121.19</v>
      </c>
      <c r="VC8">
        <v>143.32</v>
      </c>
      <c r="VD8">
        <v>276.13</v>
      </c>
      <c r="VE8">
        <v>47.57</v>
      </c>
      <c r="VF8">
        <v>317.52</v>
      </c>
      <c r="VG8">
        <v>24.71</v>
      </c>
      <c r="VH8">
        <v>33.36</v>
      </c>
      <c r="VI8">
        <v>26.56</v>
      </c>
      <c r="VJ8">
        <v>33.36</v>
      </c>
      <c r="VK8">
        <v>436.74</v>
      </c>
      <c r="VL8">
        <v>630.71</v>
      </c>
      <c r="VM8">
        <v>909.93</v>
      </c>
      <c r="VN8">
        <v>329.25</v>
      </c>
      <c r="VO8">
        <v>14.21</v>
      </c>
      <c r="VP8">
        <v>8.16</v>
      </c>
      <c r="VQ8">
        <v>784.53</v>
      </c>
      <c r="VR8">
        <v>322.45999999999998</v>
      </c>
      <c r="VS8">
        <v>430.56</v>
      </c>
      <c r="VT8">
        <v>25.94</v>
      </c>
      <c r="VU8">
        <v>41.39</v>
      </c>
      <c r="VV8">
        <v>42.01</v>
      </c>
      <c r="VW8">
        <v>190.88</v>
      </c>
      <c r="VX8">
        <v>166.79</v>
      </c>
      <c r="VY8">
        <v>8.16</v>
      </c>
      <c r="VZ8">
        <v>14246.88</v>
      </c>
      <c r="WA8">
        <v>11945.19</v>
      </c>
      <c r="WB8">
        <v>281.69</v>
      </c>
      <c r="WC8">
        <v>121.08</v>
      </c>
      <c r="WD8">
        <v>77.83</v>
      </c>
      <c r="WE8">
        <v>609.71</v>
      </c>
      <c r="WF8">
        <v>232.89</v>
      </c>
      <c r="WG8">
        <v>455.89</v>
      </c>
      <c r="WH8">
        <v>5287.21</v>
      </c>
      <c r="WI8">
        <v>9102.98</v>
      </c>
      <c r="WJ8">
        <v>2213.35</v>
      </c>
      <c r="WK8">
        <v>258.20999999999998</v>
      </c>
      <c r="WL8">
        <v>381.76</v>
      </c>
      <c r="WM8">
        <v>10.5</v>
      </c>
      <c r="WN8">
        <v>61.16</v>
      </c>
      <c r="WO8">
        <v>8.16</v>
      </c>
      <c r="WP8">
        <v>105.02</v>
      </c>
      <c r="WQ8">
        <v>1054.48</v>
      </c>
      <c r="WR8">
        <v>1985.41</v>
      </c>
      <c r="WS8">
        <v>103.16</v>
      </c>
      <c r="WT8">
        <v>53.74</v>
      </c>
      <c r="WU8">
        <v>523.84</v>
      </c>
      <c r="WV8">
        <v>584.38</v>
      </c>
      <c r="WW8">
        <v>19.149999999999999</v>
      </c>
      <c r="WX8">
        <v>111.19</v>
      </c>
      <c r="WY8">
        <v>33.36</v>
      </c>
      <c r="WZ8">
        <v>9.27</v>
      </c>
      <c r="XA8">
        <v>8.16</v>
      </c>
      <c r="XB8">
        <v>834.56</v>
      </c>
      <c r="XC8">
        <v>19.77</v>
      </c>
      <c r="XD8">
        <v>145.16999999999999</v>
      </c>
      <c r="XE8">
        <v>566.47</v>
      </c>
      <c r="XF8">
        <v>774.64</v>
      </c>
      <c r="XG8">
        <v>893.25</v>
      </c>
      <c r="XH8">
        <v>278.60000000000002</v>
      </c>
      <c r="XI8">
        <v>747.46</v>
      </c>
      <c r="XJ8">
        <v>425.62</v>
      </c>
      <c r="XK8">
        <v>444.77</v>
      </c>
      <c r="XL8">
        <v>169.88</v>
      </c>
      <c r="XM8">
        <v>53.13</v>
      </c>
      <c r="XN8">
        <v>357.67</v>
      </c>
      <c r="XO8">
        <v>71.66</v>
      </c>
      <c r="XP8">
        <v>57.45</v>
      </c>
      <c r="XQ8">
        <v>18.53</v>
      </c>
      <c r="XR8">
        <v>49.42</v>
      </c>
      <c r="XS8">
        <v>2069.42</v>
      </c>
      <c r="XT8">
        <v>268.10000000000002</v>
      </c>
      <c r="XU8">
        <v>473.19</v>
      </c>
      <c r="XV8">
        <v>446.62</v>
      </c>
      <c r="XW8">
        <v>1229.92</v>
      </c>
      <c r="XX8">
        <v>1282.42</v>
      </c>
      <c r="XY8">
        <v>1958.23</v>
      </c>
      <c r="XZ8">
        <v>100.07</v>
      </c>
      <c r="YA8">
        <v>1423.88</v>
      </c>
      <c r="YB8">
        <v>212.5</v>
      </c>
      <c r="YC8">
        <v>26.56</v>
      </c>
      <c r="YD8">
        <v>1100.19</v>
      </c>
      <c r="YE8">
        <v>373.73</v>
      </c>
      <c r="YF8">
        <v>746.84</v>
      </c>
      <c r="YG8">
        <v>61.16</v>
      </c>
      <c r="YH8">
        <v>8.16</v>
      </c>
      <c r="YI8">
        <v>137.76</v>
      </c>
      <c r="YJ8">
        <v>411.41</v>
      </c>
      <c r="YK8">
        <v>8.16</v>
      </c>
      <c r="YL8">
        <v>423.15</v>
      </c>
      <c r="YM8">
        <v>2697.04</v>
      </c>
      <c r="YN8">
        <v>150.11000000000001</v>
      </c>
      <c r="YO8">
        <v>640.59</v>
      </c>
      <c r="YP8">
        <v>2619.21</v>
      </c>
      <c r="YQ8">
        <v>271.8</v>
      </c>
      <c r="YR8">
        <v>217.44</v>
      </c>
      <c r="YS8">
        <v>7529.6</v>
      </c>
      <c r="YT8">
        <v>196.44</v>
      </c>
      <c r="YU8">
        <v>226.71</v>
      </c>
      <c r="YV8">
        <v>31.5</v>
      </c>
      <c r="YW8">
        <v>51.89</v>
      </c>
      <c r="YX8">
        <v>73.510000000000005</v>
      </c>
      <c r="YY8">
        <v>324.93</v>
      </c>
      <c r="YZ8">
        <v>22.86</v>
      </c>
      <c r="ZA8">
        <v>177.29</v>
      </c>
      <c r="ZB8">
        <v>16.68</v>
      </c>
      <c r="ZC8">
        <v>11.12</v>
      </c>
      <c r="ZD8">
        <v>84.63</v>
      </c>
      <c r="ZE8">
        <v>37.06</v>
      </c>
      <c r="ZF8">
        <v>150.72999999999999</v>
      </c>
      <c r="ZG8">
        <v>253.89</v>
      </c>
      <c r="ZH8">
        <v>122.31</v>
      </c>
      <c r="ZI8">
        <v>535.58000000000004</v>
      </c>
      <c r="ZJ8">
        <v>649.24</v>
      </c>
      <c r="ZK8">
        <v>227.33</v>
      </c>
      <c r="ZL8">
        <v>8.16</v>
      </c>
      <c r="ZM8">
        <v>169.88</v>
      </c>
      <c r="ZN8">
        <v>22.86</v>
      </c>
      <c r="ZO8">
        <v>29.65</v>
      </c>
      <c r="ZP8">
        <v>415.74</v>
      </c>
      <c r="ZQ8">
        <v>28.42</v>
      </c>
      <c r="ZR8">
        <v>12.35</v>
      </c>
      <c r="ZS8">
        <v>854.95</v>
      </c>
      <c r="ZT8">
        <v>348.4</v>
      </c>
      <c r="ZU8">
        <v>147.02000000000001</v>
      </c>
      <c r="ZV8">
        <v>11.74</v>
      </c>
      <c r="ZW8">
        <v>9.8800000000000008</v>
      </c>
      <c r="ZX8">
        <v>81.540000000000006</v>
      </c>
      <c r="ZY8">
        <v>1059.42</v>
      </c>
      <c r="ZZ8">
        <v>221.77</v>
      </c>
      <c r="AAA8">
        <v>90.81</v>
      </c>
      <c r="AAB8">
        <v>33.36</v>
      </c>
      <c r="AAC8">
        <v>8.16</v>
      </c>
      <c r="AAD8">
        <v>30.89</v>
      </c>
      <c r="AAE8">
        <v>8.65</v>
      </c>
      <c r="AAF8">
        <v>19.77</v>
      </c>
      <c r="AAG8">
        <v>233.5</v>
      </c>
      <c r="AAH8">
        <v>142.69999999999999</v>
      </c>
      <c r="AAI8">
        <v>4873.33</v>
      </c>
      <c r="AAJ8">
        <v>1381.26</v>
      </c>
      <c r="AAK8">
        <v>357.05</v>
      </c>
      <c r="AAL8">
        <v>99.46</v>
      </c>
      <c r="AAM8">
        <v>16.059999999999999</v>
      </c>
      <c r="AAN8">
        <v>488.01</v>
      </c>
      <c r="AAO8">
        <v>67.95</v>
      </c>
      <c r="AAP8">
        <v>171.11</v>
      </c>
      <c r="AAQ8">
        <v>14.83</v>
      </c>
      <c r="AAR8">
        <v>53.13</v>
      </c>
      <c r="AAS8">
        <v>1156.4000000000001</v>
      </c>
      <c r="AAT8">
        <v>87.1</v>
      </c>
      <c r="AAU8">
        <v>8.16</v>
      </c>
      <c r="AAV8">
        <v>751.17</v>
      </c>
      <c r="AAW8">
        <v>46.95</v>
      </c>
      <c r="AAX8">
        <v>93.9</v>
      </c>
      <c r="AAY8">
        <v>50.04</v>
      </c>
      <c r="AAZ8">
        <v>22.86</v>
      </c>
      <c r="ABA8">
        <v>300.22000000000003</v>
      </c>
      <c r="ABB8">
        <v>49.42</v>
      </c>
      <c r="ABC8">
        <v>1812.44</v>
      </c>
      <c r="ABD8">
        <v>2323.9299999999998</v>
      </c>
      <c r="ABE8">
        <v>514.58000000000004</v>
      </c>
      <c r="ABF8">
        <v>744.99</v>
      </c>
      <c r="ABG8">
        <v>71.66</v>
      </c>
      <c r="ABH8">
        <v>218.68</v>
      </c>
      <c r="ABI8">
        <v>12.97</v>
      </c>
      <c r="ABJ8">
        <v>23.47</v>
      </c>
      <c r="ABK8">
        <v>109.96</v>
      </c>
      <c r="ABL8">
        <v>11.12</v>
      </c>
      <c r="ABM8">
        <v>51.27</v>
      </c>
      <c r="ABN8">
        <v>42.01</v>
      </c>
      <c r="ABO8">
        <v>8.16</v>
      </c>
      <c r="ABP8">
        <v>9.27</v>
      </c>
      <c r="ABQ8">
        <v>460.83</v>
      </c>
      <c r="ABR8">
        <v>50.65</v>
      </c>
      <c r="ABS8">
        <v>662.21</v>
      </c>
      <c r="ABT8">
        <v>22.24</v>
      </c>
      <c r="ABU8">
        <v>27.18</v>
      </c>
      <c r="ABV8">
        <v>185.32</v>
      </c>
      <c r="ABW8">
        <v>489.25</v>
      </c>
      <c r="ABX8">
        <v>1305.28</v>
      </c>
      <c r="ABY8">
        <v>329.25</v>
      </c>
      <c r="ABZ8">
        <v>157.52000000000001</v>
      </c>
      <c r="ACA8">
        <v>512.72</v>
      </c>
      <c r="ACB8">
        <v>258.20999999999998</v>
      </c>
      <c r="ACC8">
        <v>118.61</v>
      </c>
      <c r="ACD8">
        <v>290.95</v>
      </c>
      <c r="ACE8">
        <v>150.11000000000001</v>
      </c>
      <c r="ACF8">
        <v>4495.8900000000003</v>
      </c>
      <c r="ACG8">
        <v>1945.26</v>
      </c>
      <c r="ACH8">
        <v>371.88</v>
      </c>
      <c r="ACI8">
        <v>472.57</v>
      </c>
      <c r="ACJ8">
        <v>667.16</v>
      </c>
      <c r="ACK8">
        <v>381.14</v>
      </c>
      <c r="ACL8">
        <v>60.54</v>
      </c>
      <c r="ACM8">
        <v>281.07</v>
      </c>
      <c r="ACN8">
        <v>292.19</v>
      </c>
      <c r="ACO8">
        <v>848.15</v>
      </c>
      <c r="ACP8">
        <v>373.73</v>
      </c>
      <c r="ACQ8">
        <v>315.66000000000003</v>
      </c>
      <c r="ACR8">
        <v>4608.32</v>
      </c>
    </row>
    <row r="9" spans="1:772" x14ac:dyDescent="0.3">
      <c r="A9" t="s">
        <v>7</v>
      </c>
      <c r="B9" t="s">
        <v>2</v>
      </c>
      <c r="C9">
        <v>972.32</v>
      </c>
      <c r="D9">
        <v>48.42</v>
      </c>
      <c r="E9">
        <v>1508.29</v>
      </c>
      <c r="F9">
        <v>10.02</v>
      </c>
      <c r="G9">
        <v>4837.66</v>
      </c>
      <c r="H9">
        <v>94.06</v>
      </c>
      <c r="I9">
        <v>1330.19</v>
      </c>
      <c r="J9">
        <v>11847.58</v>
      </c>
      <c r="K9">
        <v>622.24</v>
      </c>
      <c r="L9">
        <v>23.38</v>
      </c>
      <c r="M9">
        <v>144.15</v>
      </c>
      <c r="N9">
        <v>1939.63</v>
      </c>
      <c r="O9">
        <v>48.42</v>
      </c>
      <c r="P9">
        <v>301.10000000000002</v>
      </c>
      <c r="Q9">
        <v>67.900000000000006</v>
      </c>
      <c r="R9">
        <v>914.99</v>
      </c>
      <c r="S9">
        <v>17.809999999999999</v>
      </c>
      <c r="T9">
        <v>1473.23</v>
      </c>
      <c r="U9">
        <v>495.9</v>
      </c>
      <c r="V9">
        <v>216.5</v>
      </c>
      <c r="W9">
        <v>1429.81</v>
      </c>
      <c r="X9">
        <v>10.57</v>
      </c>
      <c r="Y9">
        <v>189.79</v>
      </c>
      <c r="Z9">
        <v>401.84</v>
      </c>
      <c r="AA9">
        <v>64</v>
      </c>
      <c r="AB9">
        <v>838.74</v>
      </c>
      <c r="AC9">
        <v>783.09</v>
      </c>
      <c r="AD9">
        <v>138.58000000000001</v>
      </c>
      <c r="AE9">
        <v>745.24</v>
      </c>
      <c r="AF9">
        <v>27306.15</v>
      </c>
      <c r="AG9">
        <v>202.59</v>
      </c>
      <c r="AH9">
        <v>87.38</v>
      </c>
      <c r="AI9">
        <v>55.1</v>
      </c>
      <c r="AJ9">
        <v>535.97</v>
      </c>
      <c r="AK9">
        <v>233.2</v>
      </c>
      <c r="AL9">
        <v>133.02000000000001</v>
      </c>
      <c r="AM9">
        <v>330.04</v>
      </c>
      <c r="AN9">
        <v>159.72999999999999</v>
      </c>
      <c r="AO9">
        <v>665.09</v>
      </c>
      <c r="AP9">
        <v>43.41</v>
      </c>
      <c r="AQ9">
        <v>117.99</v>
      </c>
      <c r="AR9">
        <v>18.920000000000002</v>
      </c>
      <c r="AS9">
        <v>32.28</v>
      </c>
      <c r="AT9">
        <v>100.74</v>
      </c>
      <c r="AU9">
        <v>18.920000000000002</v>
      </c>
      <c r="AV9">
        <v>653.41</v>
      </c>
      <c r="AW9">
        <v>613.33000000000004</v>
      </c>
      <c r="AX9">
        <v>3948.27</v>
      </c>
      <c r="AY9">
        <v>27.83</v>
      </c>
      <c r="AZ9">
        <v>72.91</v>
      </c>
      <c r="BA9">
        <v>385.14</v>
      </c>
      <c r="BB9">
        <v>553.78</v>
      </c>
      <c r="BC9">
        <v>26.72</v>
      </c>
      <c r="BD9">
        <v>19.48</v>
      </c>
      <c r="BE9">
        <v>353.97</v>
      </c>
      <c r="BF9">
        <v>375.68</v>
      </c>
      <c r="BG9">
        <v>94.06</v>
      </c>
      <c r="BH9">
        <v>20.59</v>
      </c>
      <c r="BI9">
        <v>25.05</v>
      </c>
      <c r="BJ9">
        <v>8.76</v>
      </c>
      <c r="BK9">
        <v>353.97</v>
      </c>
      <c r="BL9">
        <v>434.12</v>
      </c>
      <c r="BM9">
        <v>115.21</v>
      </c>
      <c r="BN9">
        <v>65.12</v>
      </c>
      <c r="BO9">
        <v>41.74</v>
      </c>
      <c r="BP9">
        <v>65.67</v>
      </c>
      <c r="BQ9">
        <v>18.37</v>
      </c>
      <c r="BR9">
        <v>139.13999999999999</v>
      </c>
      <c r="BS9">
        <v>26.72</v>
      </c>
      <c r="BT9">
        <v>1453.19</v>
      </c>
      <c r="BU9">
        <v>60.11</v>
      </c>
      <c r="BV9">
        <v>39.520000000000003</v>
      </c>
      <c r="BW9">
        <v>305</v>
      </c>
      <c r="BX9">
        <v>187.56</v>
      </c>
      <c r="BY9">
        <v>123</v>
      </c>
      <c r="BZ9">
        <v>272.16000000000003</v>
      </c>
      <c r="CA9">
        <v>107.42</v>
      </c>
      <c r="CB9">
        <v>171.42</v>
      </c>
      <c r="CC9">
        <v>160.29</v>
      </c>
      <c r="CD9">
        <v>64</v>
      </c>
      <c r="CE9">
        <v>319.47000000000003</v>
      </c>
      <c r="CF9">
        <v>638.94000000000005</v>
      </c>
      <c r="CG9">
        <v>67.34</v>
      </c>
      <c r="CH9">
        <v>85.15</v>
      </c>
      <c r="CI9">
        <v>8.76</v>
      </c>
      <c r="CJ9">
        <v>16.7</v>
      </c>
      <c r="CK9">
        <v>45.64</v>
      </c>
      <c r="CL9">
        <v>53.99</v>
      </c>
      <c r="CM9">
        <v>403.51</v>
      </c>
      <c r="CN9">
        <v>159.18</v>
      </c>
      <c r="CO9">
        <v>285.52</v>
      </c>
      <c r="CP9">
        <v>8.76</v>
      </c>
      <c r="CQ9">
        <v>33.950000000000003</v>
      </c>
      <c r="CR9">
        <v>41.19</v>
      </c>
      <c r="CS9">
        <v>8.76</v>
      </c>
      <c r="CT9">
        <v>20.59</v>
      </c>
      <c r="CU9">
        <v>161.4</v>
      </c>
      <c r="CV9">
        <v>198.14</v>
      </c>
      <c r="CW9">
        <v>2484.5</v>
      </c>
      <c r="CX9">
        <v>28.94</v>
      </c>
      <c r="CY9">
        <v>302.77</v>
      </c>
      <c r="CZ9">
        <v>85.71</v>
      </c>
      <c r="DA9">
        <v>15.58</v>
      </c>
      <c r="DB9">
        <v>92.95</v>
      </c>
      <c r="DC9">
        <v>80.150000000000006</v>
      </c>
      <c r="DD9">
        <v>19.48</v>
      </c>
      <c r="DE9">
        <v>40.630000000000003</v>
      </c>
      <c r="DF9">
        <v>418.54</v>
      </c>
      <c r="DG9">
        <v>8.76</v>
      </c>
      <c r="DH9">
        <v>4455.3</v>
      </c>
      <c r="DI9">
        <v>134.69</v>
      </c>
      <c r="DJ9">
        <v>34.51</v>
      </c>
      <c r="DK9">
        <v>211.49</v>
      </c>
      <c r="DL9">
        <v>1555.6</v>
      </c>
      <c r="DM9">
        <v>320.58</v>
      </c>
      <c r="DN9">
        <v>32.28</v>
      </c>
      <c r="DO9">
        <v>67.34</v>
      </c>
      <c r="DP9">
        <v>50.09</v>
      </c>
      <c r="DQ9">
        <v>2490.62</v>
      </c>
      <c r="DR9">
        <v>67.34</v>
      </c>
      <c r="DS9">
        <v>21.15</v>
      </c>
      <c r="DT9">
        <v>32.840000000000003</v>
      </c>
      <c r="DU9">
        <v>7080.05</v>
      </c>
      <c r="DV9">
        <v>70.13</v>
      </c>
      <c r="DW9">
        <v>28.38</v>
      </c>
      <c r="DX9">
        <v>65.12</v>
      </c>
      <c r="DY9">
        <v>124.11</v>
      </c>
      <c r="DZ9">
        <v>74.58</v>
      </c>
      <c r="EA9">
        <v>41.19</v>
      </c>
      <c r="EB9">
        <v>32.840000000000003</v>
      </c>
      <c r="EC9">
        <v>32.840000000000003</v>
      </c>
      <c r="ED9">
        <v>22.82</v>
      </c>
      <c r="EE9">
        <v>8.76</v>
      </c>
      <c r="EF9">
        <v>772.51</v>
      </c>
      <c r="EG9">
        <v>1586.21</v>
      </c>
      <c r="EH9">
        <v>51.76</v>
      </c>
      <c r="EI9">
        <v>56.21</v>
      </c>
      <c r="EJ9">
        <v>542.09</v>
      </c>
      <c r="EK9">
        <v>324.48</v>
      </c>
      <c r="EL9">
        <v>4038.43</v>
      </c>
      <c r="EM9">
        <v>534.86</v>
      </c>
      <c r="EN9">
        <v>91.83</v>
      </c>
      <c r="EO9">
        <v>345.07</v>
      </c>
      <c r="EP9">
        <v>13.36</v>
      </c>
      <c r="EQ9">
        <v>3007.12</v>
      </c>
      <c r="ER9">
        <v>12.8</v>
      </c>
      <c r="ES9">
        <v>30.61</v>
      </c>
      <c r="ET9">
        <v>17.809999999999999</v>
      </c>
      <c r="EU9">
        <v>458.05</v>
      </c>
      <c r="EV9">
        <v>30.61</v>
      </c>
      <c r="EW9">
        <v>10.57</v>
      </c>
      <c r="EX9">
        <v>122.44</v>
      </c>
      <c r="EY9">
        <v>45.08</v>
      </c>
      <c r="EZ9">
        <v>168.08</v>
      </c>
      <c r="FA9">
        <v>123</v>
      </c>
      <c r="FB9">
        <v>10.57</v>
      </c>
      <c r="FC9">
        <v>222.07</v>
      </c>
      <c r="FD9">
        <v>15.03</v>
      </c>
      <c r="FE9">
        <v>5491.06</v>
      </c>
      <c r="FF9">
        <v>55.1</v>
      </c>
      <c r="FG9">
        <v>4935.6099999999997</v>
      </c>
      <c r="FH9">
        <v>6137.79</v>
      </c>
      <c r="FI9">
        <v>22.26</v>
      </c>
      <c r="FJ9">
        <v>279.39999999999998</v>
      </c>
      <c r="FK9">
        <v>902.19</v>
      </c>
      <c r="FL9">
        <v>96.84</v>
      </c>
      <c r="FM9">
        <v>297.76</v>
      </c>
      <c r="FN9">
        <v>159.72999999999999</v>
      </c>
      <c r="FO9">
        <v>66.23</v>
      </c>
      <c r="FP9">
        <v>8.76</v>
      </c>
      <c r="FQ9">
        <v>33.39</v>
      </c>
      <c r="FR9">
        <v>8.76</v>
      </c>
      <c r="FS9">
        <v>8.76</v>
      </c>
      <c r="FT9">
        <v>44.53</v>
      </c>
      <c r="FU9">
        <v>2150.56</v>
      </c>
      <c r="FV9">
        <v>2092.6799999999998</v>
      </c>
      <c r="FW9">
        <v>30.05</v>
      </c>
      <c r="FX9">
        <v>86.82</v>
      </c>
      <c r="FY9">
        <v>16.14</v>
      </c>
      <c r="FZ9">
        <v>581.04999999999995</v>
      </c>
      <c r="GA9">
        <v>951.17</v>
      </c>
      <c r="GB9">
        <v>186.45</v>
      </c>
      <c r="GC9">
        <v>36.18</v>
      </c>
      <c r="GD9">
        <v>615</v>
      </c>
      <c r="GE9">
        <v>1083.6300000000001</v>
      </c>
      <c r="GF9">
        <v>214.28</v>
      </c>
      <c r="GG9">
        <v>460.84</v>
      </c>
      <c r="GH9">
        <v>178.1</v>
      </c>
      <c r="GI9">
        <v>1319.06</v>
      </c>
      <c r="GJ9">
        <v>101.85</v>
      </c>
      <c r="GK9">
        <v>3590.4</v>
      </c>
      <c r="GL9">
        <v>455.83</v>
      </c>
      <c r="GM9">
        <v>11.69</v>
      </c>
      <c r="GN9">
        <v>21.15</v>
      </c>
      <c r="GO9">
        <v>1417.57</v>
      </c>
      <c r="GP9">
        <v>36.729999999999997</v>
      </c>
      <c r="GQ9">
        <v>37.29</v>
      </c>
      <c r="GR9">
        <v>371.23</v>
      </c>
      <c r="GS9">
        <v>534.29999999999995</v>
      </c>
      <c r="GT9">
        <v>513.71</v>
      </c>
      <c r="GU9">
        <v>12.24</v>
      </c>
      <c r="GV9">
        <v>52.87</v>
      </c>
      <c r="GW9">
        <v>32.28</v>
      </c>
      <c r="GX9">
        <v>420.21</v>
      </c>
      <c r="GY9">
        <v>28.38</v>
      </c>
      <c r="GZ9">
        <v>223.74</v>
      </c>
      <c r="HA9">
        <v>504.25</v>
      </c>
      <c r="HB9">
        <v>636.71</v>
      </c>
      <c r="HC9">
        <v>188.12</v>
      </c>
      <c r="HD9">
        <v>1333.53</v>
      </c>
      <c r="HE9">
        <v>26.72</v>
      </c>
      <c r="HF9">
        <v>1857.25</v>
      </c>
      <c r="HG9">
        <v>185.34</v>
      </c>
      <c r="HH9">
        <v>145.82</v>
      </c>
      <c r="HI9">
        <v>35.06</v>
      </c>
      <c r="HJ9">
        <v>1403.65</v>
      </c>
      <c r="HK9">
        <v>6004.77</v>
      </c>
      <c r="HL9">
        <v>552.11</v>
      </c>
      <c r="HM9">
        <v>115.21</v>
      </c>
      <c r="HN9">
        <v>1279.54</v>
      </c>
      <c r="HO9">
        <v>11.69</v>
      </c>
      <c r="HP9">
        <v>62.34</v>
      </c>
      <c r="HQ9">
        <v>8991.85</v>
      </c>
      <c r="HR9">
        <v>184.22</v>
      </c>
      <c r="HS9">
        <v>17.809999999999999</v>
      </c>
      <c r="HT9">
        <v>131.35</v>
      </c>
      <c r="HU9">
        <v>347.85</v>
      </c>
      <c r="HV9">
        <v>90.16</v>
      </c>
      <c r="HW9">
        <v>3284.84</v>
      </c>
      <c r="HX9">
        <v>24.49</v>
      </c>
      <c r="HY9">
        <v>15.03</v>
      </c>
      <c r="HZ9">
        <v>85.15</v>
      </c>
      <c r="IA9">
        <v>194.8</v>
      </c>
      <c r="IB9">
        <v>123.56</v>
      </c>
      <c r="IC9">
        <v>21.71</v>
      </c>
      <c r="ID9">
        <v>92.39</v>
      </c>
      <c r="IE9">
        <v>18.920000000000002</v>
      </c>
      <c r="IF9">
        <v>1270.08</v>
      </c>
      <c r="IG9">
        <v>40.630000000000003</v>
      </c>
      <c r="IH9">
        <v>8.76</v>
      </c>
      <c r="II9">
        <v>176.99</v>
      </c>
      <c r="IJ9">
        <v>104.08</v>
      </c>
      <c r="IK9">
        <v>29.5</v>
      </c>
      <c r="IL9">
        <v>1537.79</v>
      </c>
      <c r="IM9">
        <v>461.95</v>
      </c>
      <c r="IN9">
        <v>209.27</v>
      </c>
      <c r="IO9">
        <v>674</v>
      </c>
      <c r="IP9">
        <v>29.5</v>
      </c>
      <c r="IQ9">
        <v>72.349999999999994</v>
      </c>
      <c r="IR9">
        <v>35.06</v>
      </c>
      <c r="IS9">
        <v>22.82</v>
      </c>
      <c r="IT9">
        <v>8.76</v>
      </c>
      <c r="IU9">
        <v>303.33</v>
      </c>
      <c r="IV9">
        <v>812.58</v>
      </c>
      <c r="IW9">
        <v>153.61000000000001</v>
      </c>
      <c r="IX9">
        <v>3332.71</v>
      </c>
      <c r="IY9">
        <v>52.32</v>
      </c>
      <c r="IZ9">
        <v>17.809999999999999</v>
      </c>
      <c r="JA9">
        <v>279.95</v>
      </c>
      <c r="JB9">
        <v>476.98</v>
      </c>
      <c r="JC9">
        <v>97.96</v>
      </c>
      <c r="JD9">
        <v>351.75</v>
      </c>
      <c r="JE9">
        <v>21.15</v>
      </c>
      <c r="JF9">
        <v>16.7</v>
      </c>
      <c r="JG9">
        <v>105.75</v>
      </c>
      <c r="JH9">
        <v>622.24</v>
      </c>
      <c r="JI9">
        <v>730.77</v>
      </c>
      <c r="JJ9">
        <v>343.4</v>
      </c>
      <c r="JK9">
        <v>27.27</v>
      </c>
      <c r="JL9">
        <v>70.13</v>
      </c>
      <c r="JM9">
        <v>18.37</v>
      </c>
      <c r="JN9">
        <v>9.4600000000000009</v>
      </c>
      <c r="JO9">
        <v>239.32</v>
      </c>
      <c r="JP9">
        <v>966.75</v>
      </c>
      <c r="JQ9">
        <v>2887.45</v>
      </c>
      <c r="JR9">
        <v>25.05</v>
      </c>
      <c r="JS9">
        <v>8.76</v>
      </c>
      <c r="JT9">
        <v>164.74</v>
      </c>
      <c r="JU9">
        <v>160.29</v>
      </c>
      <c r="JV9">
        <v>235.43</v>
      </c>
      <c r="JW9">
        <v>140.25</v>
      </c>
      <c r="JX9">
        <v>117.44</v>
      </c>
      <c r="JY9">
        <v>354.53</v>
      </c>
      <c r="JZ9">
        <v>13.91</v>
      </c>
      <c r="KA9">
        <v>8.76</v>
      </c>
      <c r="KB9">
        <v>12.24</v>
      </c>
      <c r="KC9">
        <v>15.58</v>
      </c>
      <c r="KD9">
        <v>16.14</v>
      </c>
      <c r="KE9">
        <v>143.04</v>
      </c>
      <c r="KF9">
        <v>89.05</v>
      </c>
      <c r="KG9">
        <v>200.92</v>
      </c>
      <c r="KH9">
        <v>90.72</v>
      </c>
      <c r="KI9">
        <v>350.64</v>
      </c>
      <c r="KJ9">
        <v>195.35</v>
      </c>
      <c r="KK9">
        <v>207.04</v>
      </c>
      <c r="KL9">
        <v>42.3</v>
      </c>
      <c r="KM9">
        <v>38.4</v>
      </c>
      <c r="KN9">
        <v>69.010000000000005</v>
      </c>
      <c r="KO9">
        <v>338.95</v>
      </c>
      <c r="KP9">
        <v>104.08</v>
      </c>
      <c r="KQ9">
        <v>2963.7</v>
      </c>
      <c r="KR9">
        <v>921.67</v>
      </c>
      <c r="KS9">
        <v>1265.07</v>
      </c>
      <c r="KT9">
        <v>835.4</v>
      </c>
      <c r="KU9">
        <v>52316.480000000003</v>
      </c>
      <c r="KV9">
        <v>6211.81</v>
      </c>
      <c r="KW9">
        <v>381.25</v>
      </c>
      <c r="KX9">
        <v>279.39999999999998</v>
      </c>
      <c r="KY9">
        <v>51.76</v>
      </c>
      <c r="KZ9">
        <v>58.44</v>
      </c>
      <c r="LA9">
        <v>1031.31</v>
      </c>
      <c r="LB9">
        <v>1341.32</v>
      </c>
      <c r="LC9">
        <v>1336.87</v>
      </c>
      <c r="LD9">
        <v>12.24</v>
      </c>
      <c r="LE9">
        <v>1109.79</v>
      </c>
      <c r="LF9">
        <v>3516.93</v>
      </c>
      <c r="LG9">
        <v>2421.0500000000002</v>
      </c>
      <c r="LH9">
        <v>815.92</v>
      </c>
      <c r="LI9">
        <v>8177.6</v>
      </c>
      <c r="LJ9">
        <v>567.14</v>
      </c>
      <c r="LK9">
        <v>1010.16</v>
      </c>
      <c r="LL9">
        <v>172.53</v>
      </c>
      <c r="LM9">
        <v>8.76</v>
      </c>
      <c r="LN9">
        <v>329.49</v>
      </c>
      <c r="LO9">
        <v>41.74</v>
      </c>
      <c r="LP9">
        <v>2209.56</v>
      </c>
      <c r="LQ9">
        <v>55.1</v>
      </c>
      <c r="LR9">
        <v>178.66</v>
      </c>
      <c r="LS9">
        <v>128.01</v>
      </c>
      <c r="LT9">
        <v>25.6</v>
      </c>
      <c r="LU9">
        <v>163.63</v>
      </c>
      <c r="LV9">
        <v>128.57</v>
      </c>
      <c r="LW9">
        <v>1000.7</v>
      </c>
      <c r="LX9">
        <v>2399.35</v>
      </c>
      <c r="LY9">
        <v>1539.46</v>
      </c>
      <c r="LZ9">
        <v>2213.46</v>
      </c>
      <c r="MA9">
        <v>197.58</v>
      </c>
      <c r="MB9">
        <v>786.43</v>
      </c>
      <c r="MC9">
        <v>509.26</v>
      </c>
      <c r="MD9">
        <v>129.12</v>
      </c>
      <c r="ME9">
        <v>218.17</v>
      </c>
      <c r="MF9">
        <v>524.84</v>
      </c>
      <c r="MG9">
        <v>4156.9799999999996</v>
      </c>
      <c r="MH9">
        <v>2254.08</v>
      </c>
      <c r="MI9">
        <v>11.69</v>
      </c>
      <c r="MJ9">
        <v>583.28</v>
      </c>
      <c r="MK9">
        <v>12.24</v>
      </c>
      <c r="ML9">
        <v>1018.51</v>
      </c>
      <c r="MM9">
        <v>1452.08</v>
      </c>
      <c r="MN9">
        <v>544.88</v>
      </c>
      <c r="MO9">
        <v>9.4600000000000009</v>
      </c>
      <c r="MP9">
        <v>110.76</v>
      </c>
      <c r="MQ9">
        <v>175.87</v>
      </c>
      <c r="MR9">
        <v>12.8</v>
      </c>
      <c r="MS9">
        <v>351.19</v>
      </c>
      <c r="MT9">
        <v>2292.4899999999998</v>
      </c>
      <c r="MU9">
        <v>41.19</v>
      </c>
      <c r="MV9">
        <v>128.57</v>
      </c>
      <c r="MW9">
        <v>160.29</v>
      </c>
      <c r="MX9">
        <v>179.21</v>
      </c>
      <c r="MY9">
        <v>10.57</v>
      </c>
      <c r="MZ9">
        <v>179.21</v>
      </c>
      <c r="NA9">
        <v>33.950000000000003</v>
      </c>
      <c r="NB9">
        <v>501.46</v>
      </c>
      <c r="NC9">
        <v>615.55999999999995</v>
      </c>
      <c r="ND9">
        <v>82.93</v>
      </c>
      <c r="NE9">
        <v>341.73</v>
      </c>
      <c r="NF9">
        <v>8.76</v>
      </c>
      <c r="NG9">
        <v>21.71</v>
      </c>
      <c r="NH9">
        <v>49.53</v>
      </c>
      <c r="NI9">
        <v>1321.28</v>
      </c>
      <c r="NJ9">
        <v>196.47</v>
      </c>
      <c r="NK9">
        <v>187.01</v>
      </c>
      <c r="NL9">
        <v>180.88</v>
      </c>
      <c r="NM9">
        <v>3206.92</v>
      </c>
      <c r="NN9">
        <v>350.08</v>
      </c>
      <c r="NO9">
        <v>41.19</v>
      </c>
      <c r="NP9">
        <v>8.76</v>
      </c>
      <c r="NQ9">
        <v>1683.61</v>
      </c>
      <c r="NR9">
        <v>261.02999999999997</v>
      </c>
      <c r="NS9">
        <v>806.46</v>
      </c>
      <c r="NT9">
        <v>779.19</v>
      </c>
      <c r="NU9">
        <v>1201.07</v>
      </c>
      <c r="NV9">
        <v>423.55</v>
      </c>
      <c r="NW9">
        <v>262.7</v>
      </c>
      <c r="NX9">
        <v>112.43</v>
      </c>
      <c r="NY9">
        <v>77.92</v>
      </c>
      <c r="NZ9">
        <v>530.41</v>
      </c>
      <c r="OA9">
        <v>258.25</v>
      </c>
      <c r="OB9">
        <v>516.49</v>
      </c>
      <c r="OC9">
        <v>667.88</v>
      </c>
      <c r="OD9">
        <v>184.78</v>
      </c>
      <c r="OE9">
        <v>928.91</v>
      </c>
      <c r="OF9">
        <v>66.23</v>
      </c>
      <c r="OG9">
        <v>3238.09</v>
      </c>
      <c r="OH9">
        <v>163.07</v>
      </c>
      <c r="OI9">
        <v>118.55</v>
      </c>
      <c r="OJ9">
        <v>53.43</v>
      </c>
      <c r="OK9">
        <v>1528.88</v>
      </c>
      <c r="OL9">
        <v>317.24</v>
      </c>
      <c r="OM9">
        <v>739.67</v>
      </c>
      <c r="ON9">
        <v>431.89</v>
      </c>
      <c r="OO9">
        <v>259.92</v>
      </c>
      <c r="OP9">
        <v>193.13</v>
      </c>
      <c r="OQ9">
        <v>661.75</v>
      </c>
      <c r="OR9">
        <v>21.15</v>
      </c>
      <c r="OS9">
        <v>570.48</v>
      </c>
      <c r="OT9">
        <v>424.66</v>
      </c>
      <c r="OU9">
        <v>185.34</v>
      </c>
      <c r="OV9">
        <v>313.89999999999998</v>
      </c>
      <c r="OW9">
        <v>32.840000000000003</v>
      </c>
      <c r="OX9">
        <v>26.16</v>
      </c>
      <c r="OY9">
        <v>15.03</v>
      </c>
      <c r="OZ9">
        <v>8.76</v>
      </c>
      <c r="PA9">
        <v>8.76</v>
      </c>
      <c r="PB9">
        <v>81.260000000000005</v>
      </c>
      <c r="PC9">
        <v>13.36</v>
      </c>
      <c r="PD9">
        <v>45.08</v>
      </c>
      <c r="PE9">
        <v>24.49</v>
      </c>
      <c r="PF9">
        <v>456.94</v>
      </c>
      <c r="PG9">
        <v>34.51</v>
      </c>
      <c r="PH9">
        <v>131.91</v>
      </c>
      <c r="PI9">
        <v>178.1</v>
      </c>
      <c r="PJ9">
        <v>4135.2700000000004</v>
      </c>
      <c r="PK9">
        <v>6284.17</v>
      </c>
      <c r="PL9">
        <v>79.59</v>
      </c>
      <c r="PM9">
        <v>19868.78</v>
      </c>
      <c r="PN9">
        <v>993.47</v>
      </c>
      <c r="PO9">
        <v>99.62</v>
      </c>
      <c r="PP9">
        <v>1130.3800000000001</v>
      </c>
      <c r="PQ9">
        <v>29.5</v>
      </c>
      <c r="PR9">
        <v>109.09</v>
      </c>
      <c r="PS9">
        <v>23.38</v>
      </c>
      <c r="PT9">
        <v>36.729999999999997</v>
      </c>
      <c r="PU9">
        <v>396.27</v>
      </c>
      <c r="PV9">
        <v>294.42</v>
      </c>
      <c r="PW9">
        <v>305</v>
      </c>
      <c r="PX9">
        <v>31.17</v>
      </c>
      <c r="PY9">
        <v>543.76</v>
      </c>
      <c r="PZ9">
        <v>123</v>
      </c>
      <c r="QA9">
        <v>406.29</v>
      </c>
      <c r="QB9">
        <v>4927.82</v>
      </c>
      <c r="QC9">
        <v>10.57</v>
      </c>
      <c r="QD9">
        <v>8.76</v>
      </c>
      <c r="QE9">
        <v>8.76</v>
      </c>
      <c r="QF9">
        <v>8.76</v>
      </c>
      <c r="QG9">
        <v>10.57</v>
      </c>
      <c r="QH9">
        <v>8.76</v>
      </c>
      <c r="QI9">
        <v>9.4600000000000009</v>
      </c>
      <c r="QJ9">
        <v>245.44</v>
      </c>
      <c r="QK9">
        <v>36.18</v>
      </c>
      <c r="QL9">
        <v>249.34</v>
      </c>
      <c r="QM9">
        <v>522.05999999999995</v>
      </c>
      <c r="QN9">
        <v>468.63</v>
      </c>
      <c r="QO9">
        <v>16.14</v>
      </c>
      <c r="QP9">
        <v>23.93</v>
      </c>
      <c r="QQ9">
        <v>161.4</v>
      </c>
      <c r="QR9">
        <v>28.38</v>
      </c>
      <c r="QS9">
        <v>796.44</v>
      </c>
      <c r="QT9">
        <v>1306.26</v>
      </c>
      <c r="QU9">
        <v>58.44</v>
      </c>
      <c r="QV9">
        <v>198.14</v>
      </c>
      <c r="QW9">
        <v>179.77</v>
      </c>
      <c r="QX9">
        <v>154.16999999999999</v>
      </c>
      <c r="QY9">
        <v>44.53</v>
      </c>
      <c r="QZ9">
        <v>17.25</v>
      </c>
      <c r="RA9">
        <v>185.34</v>
      </c>
      <c r="RB9">
        <v>19357.3</v>
      </c>
      <c r="RC9">
        <v>59.55</v>
      </c>
      <c r="RD9">
        <v>3344.95</v>
      </c>
      <c r="RE9">
        <v>55.1</v>
      </c>
      <c r="RF9">
        <v>180.33</v>
      </c>
      <c r="RG9">
        <v>355.09</v>
      </c>
      <c r="RH9">
        <v>606.65</v>
      </c>
      <c r="RI9">
        <v>8.76</v>
      </c>
      <c r="RJ9">
        <v>110.76</v>
      </c>
      <c r="RK9">
        <v>10.02</v>
      </c>
      <c r="RL9">
        <v>131.91</v>
      </c>
      <c r="RM9">
        <v>134.13</v>
      </c>
      <c r="RN9">
        <v>190.34</v>
      </c>
      <c r="RO9">
        <v>282.18</v>
      </c>
      <c r="RP9">
        <v>302.77</v>
      </c>
      <c r="RQ9">
        <v>422.99</v>
      </c>
      <c r="RR9">
        <v>25.05</v>
      </c>
      <c r="RS9">
        <v>525.4</v>
      </c>
      <c r="RT9">
        <v>466.4</v>
      </c>
      <c r="RU9">
        <v>292.75</v>
      </c>
      <c r="RV9">
        <v>10.57</v>
      </c>
      <c r="RW9">
        <v>95.73</v>
      </c>
      <c r="RX9">
        <v>1365.25</v>
      </c>
      <c r="RY9">
        <v>720.75</v>
      </c>
      <c r="RZ9">
        <v>31.72</v>
      </c>
      <c r="SA9">
        <v>370.67</v>
      </c>
      <c r="SB9">
        <v>24.49</v>
      </c>
      <c r="SC9">
        <v>97.4</v>
      </c>
      <c r="SD9">
        <v>1440.94</v>
      </c>
      <c r="SE9">
        <v>559.35</v>
      </c>
      <c r="SF9">
        <v>678.45</v>
      </c>
      <c r="SG9">
        <v>4954.53</v>
      </c>
      <c r="SH9">
        <v>161.4</v>
      </c>
      <c r="SI9">
        <v>34.51</v>
      </c>
      <c r="SJ9">
        <v>518.72</v>
      </c>
      <c r="SK9">
        <v>136.36000000000001</v>
      </c>
      <c r="SL9">
        <v>232.09</v>
      </c>
      <c r="SM9">
        <v>31.72</v>
      </c>
      <c r="SN9">
        <v>216.5</v>
      </c>
      <c r="SO9">
        <v>8.76</v>
      </c>
      <c r="SP9">
        <v>185.34</v>
      </c>
      <c r="SQ9">
        <v>1110.9000000000001</v>
      </c>
      <c r="SR9">
        <v>894.96</v>
      </c>
      <c r="SS9">
        <v>1025.75</v>
      </c>
      <c r="ST9">
        <v>344.51</v>
      </c>
      <c r="SU9">
        <v>488.11</v>
      </c>
      <c r="SV9">
        <v>143.59</v>
      </c>
      <c r="SW9">
        <v>143.59</v>
      </c>
      <c r="SX9">
        <v>475.86</v>
      </c>
      <c r="SY9">
        <v>66.790000000000006</v>
      </c>
      <c r="SZ9">
        <v>8.76</v>
      </c>
      <c r="TA9">
        <v>10.02</v>
      </c>
      <c r="TB9">
        <v>2424.9499999999998</v>
      </c>
      <c r="TC9">
        <v>895.51</v>
      </c>
      <c r="TD9">
        <v>67.900000000000006</v>
      </c>
      <c r="TE9">
        <v>377.35</v>
      </c>
      <c r="TF9">
        <v>320.58</v>
      </c>
      <c r="TG9">
        <v>444.14</v>
      </c>
      <c r="TH9">
        <v>158.06</v>
      </c>
      <c r="TI9">
        <v>74.02</v>
      </c>
      <c r="TJ9">
        <v>12.8</v>
      </c>
      <c r="TK9">
        <v>268.82</v>
      </c>
      <c r="TL9">
        <v>79.59</v>
      </c>
      <c r="TM9">
        <v>162.52000000000001</v>
      </c>
      <c r="TN9">
        <v>1911.8</v>
      </c>
      <c r="TO9">
        <v>922.23</v>
      </c>
      <c r="TP9">
        <v>125.78</v>
      </c>
      <c r="TQ9">
        <v>448.03</v>
      </c>
      <c r="TR9">
        <v>10.02</v>
      </c>
      <c r="TS9">
        <v>468.63</v>
      </c>
      <c r="TT9">
        <v>87.94</v>
      </c>
      <c r="TU9">
        <v>83.48</v>
      </c>
      <c r="TV9">
        <v>258.8</v>
      </c>
      <c r="TW9">
        <v>407.96</v>
      </c>
      <c r="TX9">
        <v>211.49</v>
      </c>
      <c r="TY9">
        <v>55.66</v>
      </c>
      <c r="TZ9">
        <v>177.54</v>
      </c>
      <c r="UA9">
        <v>229.86</v>
      </c>
      <c r="UB9">
        <v>159.18</v>
      </c>
      <c r="UC9">
        <v>7873.71</v>
      </c>
      <c r="UD9">
        <v>17.809999999999999</v>
      </c>
      <c r="UE9">
        <v>17.25</v>
      </c>
      <c r="UF9">
        <v>2614.7399999999998</v>
      </c>
      <c r="UG9">
        <v>108.53</v>
      </c>
      <c r="UH9">
        <v>13.91</v>
      </c>
      <c r="UI9">
        <v>41.19</v>
      </c>
      <c r="UJ9">
        <v>38.96</v>
      </c>
      <c r="UK9">
        <v>28.38</v>
      </c>
      <c r="UL9">
        <v>13.91</v>
      </c>
      <c r="UM9">
        <v>51.76</v>
      </c>
      <c r="UN9">
        <v>186.45</v>
      </c>
      <c r="UO9">
        <v>149.72</v>
      </c>
      <c r="UP9">
        <v>8.76</v>
      </c>
      <c r="UQ9">
        <v>8.76</v>
      </c>
      <c r="UR9">
        <v>8.76</v>
      </c>
      <c r="US9">
        <v>140.25</v>
      </c>
      <c r="UT9">
        <v>293.31</v>
      </c>
      <c r="UU9">
        <v>873.25</v>
      </c>
      <c r="UV9">
        <v>713.52</v>
      </c>
      <c r="UW9">
        <v>671.22</v>
      </c>
      <c r="UX9">
        <v>57.88</v>
      </c>
      <c r="UY9">
        <v>666.76</v>
      </c>
      <c r="UZ9">
        <v>90.72</v>
      </c>
      <c r="VA9">
        <v>863.79</v>
      </c>
      <c r="VB9">
        <v>1022.96</v>
      </c>
      <c r="VC9">
        <v>154.72</v>
      </c>
      <c r="VD9">
        <v>266.58999999999997</v>
      </c>
      <c r="VE9">
        <v>70.680000000000007</v>
      </c>
      <c r="VF9">
        <v>355.09</v>
      </c>
      <c r="VG9">
        <v>15.03</v>
      </c>
      <c r="VH9">
        <v>48.98</v>
      </c>
      <c r="VI9">
        <v>28.94</v>
      </c>
      <c r="VJ9">
        <v>36.18</v>
      </c>
      <c r="VK9">
        <v>421.32</v>
      </c>
      <c r="VL9">
        <v>657.86</v>
      </c>
      <c r="VM9">
        <v>1017.4</v>
      </c>
      <c r="VN9">
        <v>391.82</v>
      </c>
      <c r="VO9">
        <v>8.91</v>
      </c>
      <c r="VP9">
        <v>8.76</v>
      </c>
      <c r="VQ9">
        <v>912.21</v>
      </c>
      <c r="VR9">
        <v>306.67</v>
      </c>
      <c r="VS9">
        <v>434.68</v>
      </c>
      <c r="VT9">
        <v>30.05</v>
      </c>
      <c r="VU9">
        <v>53.43</v>
      </c>
      <c r="VV9">
        <v>31.17</v>
      </c>
      <c r="VW9">
        <v>231.53</v>
      </c>
      <c r="VX9">
        <v>277.17</v>
      </c>
      <c r="VY9">
        <v>8.76</v>
      </c>
      <c r="VZ9">
        <v>15385.66</v>
      </c>
      <c r="WA9">
        <v>11895.45</v>
      </c>
      <c r="WB9">
        <v>261.58999999999997</v>
      </c>
      <c r="WC9">
        <v>131.35</v>
      </c>
      <c r="WD9">
        <v>52.87</v>
      </c>
      <c r="WE9">
        <v>538.20000000000005</v>
      </c>
      <c r="WF9">
        <v>240.44</v>
      </c>
      <c r="WG9">
        <v>106.3</v>
      </c>
      <c r="WH9">
        <v>3506.35</v>
      </c>
      <c r="WI9">
        <v>4680.7</v>
      </c>
      <c r="WJ9">
        <v>704.61</v>
      </c>
      <c r="WK9">
        <v>297.20999999999998</v>
      </c>
      <c r="WL9">
        <v>443.03</v>
      </c>
      <c r="WM9">
        <v>10.57</v>
      </c>
      <c r="WN9">
        <v>64.56</v>
      </c>
      <c r="WO9">
        <v>8.76</v>
      </c>
      <c r="WP9">
        <v>76.25</v>
      </c>
      <c r="WQ9">
        <v>733.55</v>
      </c>
      <c r="WR9">
        <v>2252.9699999999998</v>
      </c>
      <c r="WS9">
        <v>50.65</v>
      </c>
      <c r="WT9">
        <v>109.09</v>
      </c>
      <c r="WU9">
        <v>696.82</v>
      </c>
      <c r="WV9">
        <v>438.02</v>
      </c>
      <c r="WW9">
        <v>22.82</v>
      </c>
      <c r="WX9">
        <v>133.58000000000001</v>
      </c>
      <c r="WY9">
        <v>41.19</v>
      </c>
      <c r="WZ9">
        <v>19.48</v>
      </c>
      <c r="XA9">
        <v>8.76</v>
      </c>
      <c r="XB9">
        <v>810.91</v>
      </c>
      <c r="XC9">
        <v>28.94</v>
      </c>
      <c r="XD9">
        <v>71.8</v>
      </c>
      <c r="XE9">
        <v>554.34</v>
      </c>
      <c r="XF9">
        <v>931.13</v>
      </c>
      <c r="XG9">
        <v>911.1</v>
      </c>
      <c r="XH9">
        <v>228.75</v>
      </c>
      <c r="XI9">
        <v>621.13</v>
      </c>
      <c r="XJ9">
        <v>476.98</v>
      </c>
      <c r="XK9">
        <v>412.41</v>
      </c>
      <c r="XL9">
        <v>133.58000000000001</v>
      </c>
      <c r="XM9">
        <v>65.67</v>
      </c>
      <c r="XN9">
        <v>288.86</v>
      </c>
      <c r="XO9">
        <v>18.920000000000002</v>
      </c>
      <c r="XP9">
        <v>126.9</v>
      </c>
      <c r="XQ9">
        <v>11.69</v>
      </c>
      <c r="XR9">
        <v>58.44</v>
      </c>
      <c r="XS9">
        <v>1868.39</v>
      </c>
      <c r="XT9">
        <v>165.86</v>
      </c>
      <c r="XU9">
        <v>459.72</v>
      </c>
      <c r="XV9">
        <v>464.73</v>
      </c>
      <c r="XW9">
        <v>1901.78</v>
      </c>
      <c r="XX9">
        <v>1579.53</v>
      </c>
      <c r="XY9">
        <v>2004.74</v>
      </c>
      <c r="XZ9">
        <v>125.78</v>
      </c>
      <c r="YA9">
        <v>1290.67</v>
      </c>
      <c r="YB9">
        <v>233.76</v>
      </c>
      <c r="YC9">
        <v>26.72</v>
      </c>
      <c r="YD9">
        <v>1796.03</v>
      </c>
      <c r="YE9">
        <v>530.96</v>
      </c>
      <c r="YF9">
        <v>888.83</v>
      </c>
      <c r="YG9">
        <v>84.04</v>
      </c>
      <c r="YH9">
        <v>8.76</v>
      </c>
      <c r="YI9">
        <v>119.66</v>
      </c>
      <c r="YJ9">
        <v>440.24</v>
      </c>
      <c r="YK9">
        <v>8.76</v>
      </c>
      <c r="YL9">
        <v>721.31</v>
      </c>
      <c r="YM9">
        <v>2787.27</v>
      </c>
      <c r="YN9">
        <v>214.28</v>
      </c>
      <c r="YO9">
        <v>978.44</v>
      </c>
      <c r="YP9">
        <v>2218.46</v>
      </c>
      <c r="YQ9">
        <v>300.54000000000002</v>
      </c>
      <c r="YR9">
        <v>158.62</v>
      </c>
      <c r="YS9">
        <v>5560.08</v>
      </c>
      <c r="YT9">
        <v>225.41</v>
      </c>
      <c r="YU9">
        <v>165.3</v>
      </c>
      <c r="YV9">
        <v>23.93</v>
      </c>
      <c r="YW9">
        <v>56.77</v>
      </c>
      <c r="YX9">
        <v>55.66</v>
      </c>
      <c r="YY9">
        <v>390.15</v>
      </c>
      <c r="YZ9">
        <v>33.39</v>
      </c>
      <c r="ZA9">
        <v>266.58999999999997</v>
      </c>
      <c r="ZB9">
        <v>23.38</v>
      </c>
      <c r="ZC9">
        <v>19.48</v>
      </c>
      <c r="ZD9">
        <v>104.63</v>
      </c>
      <c r="ZE9">
        <v>55.66</v>
      </c>
      <c r="ZF9">
        <v>252.12</v>
      </c>
      <c r="ZG9">
        <v>274.94</v>
      </c>
      <c r="ZH9">
        <v>115.21</v>
      </c>
      <c r="ZI9">
        <v>345.07</v>
      </c>
      <c r="ZJ9">
        <v>1119.81</v>
      </c>
      <c r="ZK9">
        <v>283.85000000000002</v>
      </c>
      <c r="ZL9">
        <v>12.24</v>
      </c>
      <c r="ZM9">
        <v>150.27000000000001</v>
      </c>
      <c r="ZN9">
        <v>30.61</v>
      </c>
      <c r="ZO9">
        <v>17.25</v>
      </c>
      <c r="ZP9">
        <v>519.83000000000004</v>
      </c>
      <c r="ZQ9">
        <v>27.83</v>
      </c>
      <c r="ZR9">
        <v>19.48</v>
      </c>
      <c r="ZS9">
        <v>859.34</v>
      </c>
      <c r="ZT9">
        <v>410.74</v>
      </c>
      <c r="ZU9">
        <v>125.23</v>
      </c>
      <c r="ZV9">
        <v>15.03</v>
      </c>
      <c r="ZW9">
        <v>12.8</v>
      </c>
      <c r="ZX9">
        <v>93.5</v>
      </c>
      <c r="ZY9">
        <v>979</v>
      </c>
      <c r="ZZ9">
        <v>227.63</v>
      </c>
      <c r="AAA9">
        <v>107.42</v>
      </c>
      <c r="AAB9">
        <v>42.3</v>
      </c>
      <c r="AAC9">
        <v>11.13</v>
      </c>
      <c r="AAD9">
        <v>39.520000000000003</v>
      </c>
      <c r="AAE9">
        <v>20.59</v>
      </c>
      <c r="AAF9">
        <v>15.03</v>
      </c>
      <c r="AAG9">
        <v>296.64999999999998</v>
      </c>
      <c r="AAH9">
        <v>165.86</v>
      </c>
      <c r="AAI9">
        <v>5325.76</v>
      </c>
      <c r="AAJ9">
        <v>1062.48</v>
      </c>
      <c r="AAK9">
        <v>394.05</v>
      </c>
      <c r="AAL9">
        <v>104.63</v>
      </c>
      <c r="AAM9">
        <v>23.38</v>
      </c>
      <c r="AAN9">
        <v>662.31</v>
      </c>
      <c r="AAO9">
        <v>73.47</v>
      </c>
      <c r="AAP9">
        <v>192.01</v>
      </c>
      <c r="AAQ9">
        <v>17.25</v>
      </c>
      <c r="AAR9">
        <v>55.66</v>
      </c>
      <c r="AAS9">
        <v>952.28</v>
      </c>
      <c r="AAT9">
        <v>128.57</v>
      </c>
      <c r="AAU9">
        <v>8.76</v>
      </c>
      <c r="AAV9">
        <v>1058.03</v>
      </c>
      <c r="AAW9">
        <v>50.09</v>
      </c>
      <c r="AAX9">
        <v>151.94</v>
      </c>
      <c r="AAY9">
        <v>64</v>
      </c>
      <c r="AAZ9">
        <v>31.72</v>
      </c>
      <c r="ABA9">
        <v>193.13</v>
      </c>
      <c r="ABB9">
        <v>95.73</v>
      </c>
      <c r="ABC9">
        <v>2150.56</v>
      </c>
      <c r="ABD9">
        <v>2677.63</v>
      </c>
      <c r="ABE9">
        <v>632.80999999999995</v>
      </c>
      <c r="ABF9">
        <v>825.38</v>
      </c>
      <c r="ABG9">
        <v>86.27</v>
      </c>
      <c r="ABH9">
        <v>176.99</v>
      </c>
      <c r="ABI9">
        <v>8.76</v>
      </c>
      <c r="ABJ9">
        <v>21.71</v>
      </c>
      <c r="ABK9">
        <v>96.29</v>
      </c>
      <c r="ABL9">
        <v>11.13</v>
      </c>
      <c r="ABM9">
        <v>120.22</v>
      </c>
      <c r="ABN9">
        <v>53.43</v>
      </c>
      <c r="ABO9">
        <v>8.76</v>
      </c>
      <c r="ABP9">
        <v>14.47</v>
      </c>
      <c r="ABQ9">
        <v>913.88</v>
      </c>
      <c r="ABR9">
        <v>53.99</v>
      </c>
      <c r="ABS9">
        <v>664.54</v>
      </c>
      <c r="ABT9">
        <v>15.03</v>
      </c>
      <c r="ABU9">
        <v>44.53</v>
      </c>
      <c r="ABV9">
        <v>202.59</v>
      </c>
      <c r="ABW9">
        <v>722.98</v>
      </c>
      <c r="ABX9">
        <v>1409.22</v>
      </c>
      <c r="ABY9">
        <v>336.16</v>
      </c>
      <c r="ABZ9">
        <v>161.4</v>
      </c>
      <c r="ACA9">
        <v>515.92999999999995</v>
      </c>
      <c r="ACB9">
        <v>207.04</v>
      </c>
      <c r="ACC9">
        <v>134.13</v>
      </c>
      <c r="ACD9">
        <v>276.61</v>
      </c>
      <c r="ACE9">
        <v>138.58000000000001</v>
      </c>
      <c r="ACF9">
        <v>4469.21</v>
      </c>
      <c r="ACG9">
        <v>1976.36</v>
      </c>
      <c r="ACH9">
        <v>384.03</v>
      </c>
      <c r="ACI9">
        <v>445.81</v>
      </c>
      <c r="ACJ9">
        <v>677.9</v>
      </c>
      <c r="ACK9">
        <v>394.05</v>
      </c>
      <c r="ACL9">
        <v>56.21</v>
      </c>
      <c r="ACM9">
        <v>274.39</v>
      </c>
      <c r="ACN9">
        <v>293.31</v>
      </c>
      <c r="ACO9">
        <v>824.27</v>
      </c>
      <c r="ACP9">
        <v>354.53</v>
      </c>
      <c r="ACQ9">
        <v>317.24</v>
      </c>
      <c r="ACR9">
        <v>4432.4799999999996</v>
      </c>
    </row>
    <row r="10" spans="1:772" x14ac:dyDescent="0.3">
      <c r="A10" t="s">
        <v>7</v>
      </c>
      <c r="B10" t="s">
        <v>3</v>
      </c>
      <c r="C10">
        <v>670.32</v>
      </c>
      <c r="D10">
        <v>66.349999999999994</v>
      </c>
      <c r="E10">
        <v>1466.47</v>
      </c>
      <c r="F10">
        <v>7.84</v>
      </c>
      <c r="G10">
        <v>6169.6</v>
      </c>
      <c r="H10">
        <v>82.93</v>
      </c>
      <c r="I10">
        <v>1475.05</v>
      </c>
      <c r="J10">
        <v>11549.33</v>
      </c>
      <c r="K10">
        <v>638.29</v>
      </c>
      <c r="L10">
        <v>14.3</v>
      </c>
      <c r="M10">
        <v>153.85</v>
      </c>
      <c r="N10">
        <v>1560.84</v>
      </c>
      <c r="O10">
        <v>36.03</v>
      </c>
      <c r="P10">
        <v>311.70999999999998</v>
      </c>
      <c r="Q10">
        <v>46.9</v>
      </c>
      <c r="R10">
        <v>860.78</v>
      </c>
      <c r="S10">
        <v>24.59</v>
      </c>
      <c r="T10">
        <v>1584.87</v>
      </c>
      <c r="U10">
        <v>494.16</v>
      </c>
      <c r="V10">
        <v>196.18</v>
      </c>
      <c r="W10">
        <v>1306.33</v>
      </c>
      <c r="X10">
        <v>7.84</v>
      </c>
      <c r="Y10">
        <v>275.68</v>
      </c>
      <c r="Z10">
        <v>412.95</v>
      </c>
      <c r="AA10">
        <v>45.18</v>
      </c>
      <c r="AB10">
        <v>957.44</v>
      </c>
      <c r="AC10">
        <v>686.34</v>
      </c>
      <c r="AD10">
        <v>164.72</v>
      </c>
      <c r="AE10">
        <v>776.13</v>
      </c>
      <c r="AF10">
        <v>30593.46</v>
      </c>
      <c r="AG10">
        <v>199.61</v>
      </c>
      <c r="AH10">
        <v>186.45</v>
      </c>
      <c r="AI10">
        <v>42.32</v>
      </c>
      <c r="AJ10">
        <v>578.80999999999995</v>
      </c>
      <c r="AK10">
        <v>212.76</v>
      </c>
      <c r="AL10">
        <v>110.96</v>
      </c>
      <c r="AM10">
        <v>375.2</v>
      </c>
      <c r="AN10">
        <v>133.84</v>
      </c>
      <c r="AO10">
        <v>932.27</v>
      </c>
      <c r="AP10">
        <v>41.18</v>
      </c>
      <c r="AQ10">
        <v>132.69</v>
      </c>
      <c r="AR10">
        <v>16.010000000000002</v>
      </c>
      <c r="AS10">
        <v>28.6</v>
      </c>
      <c r="AT10">
        <v>90.94</v>
      </c>
      <c r="AU10">
        <v>22.31</v>
      </c>
      <c r="AV10">
        <v>1233.69</v>
      </c>
      <c r="AW10">
        <v>528.48</v>
      </c>
      <c r="AX10">
        <v>3849.21</v>
      </c>
      <c r="AY10">
        <v>23.45</v>
      </c>
      <c r="AZ10">
        <v>70.92</v>
      </c>
      <c r="BA10">
        <v>394.07</v>
      </c>
      <c r="BB10">
        <v>558.79</v>
      </c>
      <c r="BC10">
        <v>30.31</v>
      </c>
      <c r="BD10">
        <v>18.87</v>
      </c>
      <c r="BE10">
        <v>371.19</v>
      </c>
      <c r="BF10">
        <v>392.93</v>
      </c>
      <c r="BG10">
        <v>97.23</v>
      </c>
      <c r="BH10">
        <v>12.01</v>
      </c>
      <c r="BI10">
        <v>23.45</v>
      </c>
      <c r="BJ10">
        <v>7.84</v>
      </c>
      <c r="BK10">
        <v>395.79</v>
      </c>
      <c r="BL10">
        <v>463.85</v>
      </c>
      <c r="BM10">
        <v>95.52</v>
      </c>
      <c r="BN10">
        <v>66.92</v>
      </c>
      <c r="BO10">
        <v>51.48</v>
      </c>
      <c r="BP10">
        <v>49.76</v>
      </c>
      <c r="BQ10">
        <v>19.45</v>
      </c>
      <c r="BR10">
        <v>116.68</v>
      </c>
      <c r="BS10">
        <v>22.88</v>
      </c>
      <c r="BT10">
        <v>1540.25</v>
      </c>
      <c r="BU10">
        <v>84.65</v>
      </c>
      <c r="BV10">
        <v>56.05</v>
      </c>
      <c r="BW10">
        <v>220.77</v>
      </c>
      <c r="BX10">
        <v>243.08</v>
      </c>
      <c r="BY10">
        <v>141.84</v>
      </c>
      <c r="BZ10">
        <v>296.83999999999997</v>
      </c>
      <c r="CA10">
        <v>53.76</v>
      </c>
      <c r="CB10">
        <v>109.24</v>
      </c>
      <c r="CC10">
        <v>28.6</v>
      </c>
      <c r="CD10">
        <v>52.62</v>
      </c>
      <c r="CE10">
        <v>337.45</v>
      </c>
      <c r="CF10">
        <v>651.45000000000005</v>
      </c>
      <c r="CG10">
        <v>54.33</v>
      </c>
      <c r="CH10">
        <v>116.11</v>
      </c>
      <c r="CI10">
        <v>8.58</v>
      </c>
      <c r="CJ10">
        <v>11.44</v>
      </c>
      <c r="CK10">
        <v>34.89</v>
      </c>
      <c r="CL10">
        <v>69.209999999999994</v>
      </c>
      <c r="CM10">
        <v>466.71</v>
      </c>
      <c r="CN10">
        <v>160.15</v>
      </c>
      <c r="CO10">
        <v>256.8</v>
      </c>
      <c r="CP10">
        <v>7.84</v>
      </c>
      <c r="CQ10">
        <v>34.89</v>
      </c>
      <c r="CR10">
        <v>48.62</v>
      </c>
      <c r="CS10">
        <v>7.84</v>
      </c>
      <c r="CT10">
        <v>28.6</v>
      </c>
      <c r="CU10">
        <v>132.69</v>
      </c>
      <c r="CV10">
        <v>229.92</v>
      </c>
      <c r="CW10">
        <v>2927.23</v>
      </c>
      <c r="CX10">
        <v>32.03</v>
      </c>
      <c r="CY10">
        <v>299.7</v>
      </c>
      <c r="CZ10">
        <v>100.09</v>
      </c>
      <c r="DA10">
        <v>15.44</v>
      </c>
      <c r="DB10">
        <v>91.51</v>
      </c>
      <c r="DC10">
        <v>77.209999999999994</v>
      </c>
      <c r="DD10">
        <v>24.59</v>
      </c>
      <c r="DE10">
        <v>44.61</v>
      </c>
      <c r="DF10">
        <v>444.4</v>
      </c>
      <c r="DG10">
        <v>7.84</v>
      </c>
      <c r="DH10">
        <v>4545.84</v>
      </c>
      <c r="DI10">
        <v>112.1</v>
      </c>
      <c r="DJ10">
        <v>41.75</v>
      </c>
      <c r="DK10">
        <v>213.91</v>
      </c>
      <c r="DL10">
        <v>1537.97</v>
      </c>
      <c r="DM10">
        <v>249.94</v>
      </c>
      <c r="DN10">
        <v>30.31</v>
      </c>
      <c r="DO10">
        <v>65.77</v>
      </c>
      <c r="DP10">
        <v>37.18</v>
      </c>
      <c r="DQ10">
        <v>2540.02</v>
      </c>
      <c r="DR10">
        <v>52.05</v>
      </c>
      <c r="DS10">
        <v>22.31</v>
      </c>
      <c r="DT10">
        <v>44.04</v>
      </c>
      <c r="DU10">
        <v>6929.14</v>
      </c>
      <c r="DV10">
        <v>85.22</v>
      </c>
      <c r="DW10">
        <v>29.17</v>
      </c>
      <c r="DX10">
        <v>58.34</v>
      </c>
      <c r="DY10">
        <v>130.97999999999999</v>
      </c>
      <c r="DZ10">
        <v>82.36</v>
      </c>
      <c r="EA10">
        <v>53.19</v>
      </c>
      <c r="EB10">
        <v>29.74</v>
      </c>
      <c r="EC10">
        <v>53.76</v>
      </c>
      <c r="ED10">
        <v>9.7200000000000006</v>
      </c>
      <c r="EE10">
        <v>7.84</v>
      </c>
      <c r="EF10">
        <v>1227.97</v>
      </c>
      <c r="EG10">
        <v>1799.92</v>
      </c>
      <c r="EH10">
        <v>54.33</v>
      </c>
      <c r="EI10">
        <v>47.47</v>
      </c>
      <c r="EJ10">
        <v>542.21</v>
      </c>
      <c r="EK10">
        <v>549.64</v>
      </c>
      <c r="EL10">
        <v>4824.95</v>
      </c>
      <c r="EM10">
        <v>549.64</v>
      </c>
      <c r="EN10">
        <v>126.4</v>
      </c>
      <c r="EO10">
        <v>591.97</v>
      </c>
      <c r="EP10">
        <v>14.3</v>
      </c>
      <c r="EQ10">
        <v>3248.66</v>
      </c>
      <c r="ER10">
        <v>14.87</v>
      </c>
      <c r="ES10">
        <v>24.59</v>
      </c>
      <c r="ET10">
        <v>7.84</v>
      </c>
      <c r="EU10">
        <v>598.83000000000004</v>
      </c>
      <c r="EV10">
        <v>32.6</v>
      </c>
      <c r="EW10">
        <v>7.84</v>
      </c>
      <c r="EX10">
        <v>122.4</v>
      </c>
      <c r="EY10">
        <v>49.19</v>
      </c>
      <c r="EZ10">
        <v>132.69</v>
      </c>
      <c r="FA10">
        <v>118.97</v>
      </c>
      <c r="FB10">
        <v>7.84</v>
      </c>
      <c r="FC10">
        <v>262.52</v>
      </c>
      <c r="FD10">
        <v>15.44</v>
      </c>
      <c r="FE10">
        <v>5944.25</v>
      </c>
      <c r="FF10">
        <v>69.78</v>
      </c>
      <c r="FG10">
        <v>4686.54</v>
      </c>
      <c r="FH10">
        <v>5649.12</v>
      </c>
      <c r="FI10">
        <v>18.87</v>
      </c>
      <c r="FJ10">
        <v>234.5</v>
      </c>
      <c r="FK10">
        <v>1133.5999999999999</v>
      </c>
      <c r="FL10">
        <v>75.5</v>
      </c>
      <c r="FM10">
        <v>303.13</v>
      </c>
      <c r="FN10">
        <v>147.56</v>
      </c>
      <c r="FO10">
        <v>52.05</v>
      </c>
      <c r="FP10">
        <v>7.84</v>
      </c>
      <c r="FQ10">
        <v>22.88</v>
      </c>
      <c r="FR10">
        <v>7.84</v>
      </c>
      <c r="FS10">
        <v>7.84</v>
      </c>
      <c r="FT10">
        <v>26.31</v>
      </c>
      <c r="FU10">
        <v>2411.9</v>
      </c>
      <c r="FV10">
        <v>2248.9</v>
      </c>
      <c r="FW10">
        <v>24.02</v>
      </c>
      <c r="FX10">
        <v>88.08</v>
      </c>
      <c r="FY10">
        <v>10.87</v>
      </c>
      <c r="FZ10">
        <v>421.53</v>
      </c>
      <c r="GA10">
        <v>898.53</v>
      </c>
      <c r="GB10">
        <v>125.83</v>
      </c>
      <c r="GC10">
        <v>28.6</v>
      </c>
      <c r="GD10">
        <v>680.62</v>
      </c>
      <c r="GE10">
        <v>1799.35</v>
      </c>
      <c r="GF10">
        <v>225.35</v>
      </c>
      <c r="GG10">
        <v>394.64</v>
      </c>
      <c r="GH10">
        <v>160.15</v>
      </c>
      <c r="GI10">
        <v>1152.47</v>
      </c>
      <c r="GJ10">
        <v>40.04</v>
      </c>
      <c r="GK10">
        <v>3077.08</v>
      </c>
      <c r="GL10">
        <v>658.31</v>
      </c>
      <c r="GM10">
        <v>7.84</v>
      </c>
      <c r="GN10">
        <v>9.15</v>
      </c>
      <c r="GO10">
        <v>1365.24</v>
      </c>
      <c r="GP10">
        <v>29.74</v>
      </c>
      <c r="GQ10">
        <v>46.9</v>
      </c>
      <c r="GR10">
        <v>381.49</v>
      </c>
      <c r="GS10">
        <v>498.74</v>
      </c>
      <c r="GT10">
        <v>462.71</v>
      </c>
      <c r="GU10">
        <v>7.84</v>
      </c>
      <c r="GV10">
        <v>18.87</v>
      </c>
      <c r="GW10">
        <v>48.04</v>
      </c>
      <c r="GX10">
        <v>373.48</v>
      </c>
      <c r="GY10">
        <v>25.74</v>
      </c>
      <c r="GZ10">
        <v>255.09</v>
      </c>
      <c r="HA10">
        <v>531.91</v>
      </c>
      <c r="HB10">
        <v>603.4</v>
      </c>
      <c r="HC10">
        <v>229.92</v>
      </c>
      <c r="HD10">
        <v>1678.67</v>
      </c>
      <c r="HE10">
        <v>24.02</v>
      </c>
      <c r="HF10">
        <v>2609.8000000000002</v>
      </c>
      <c r="HG10">
        <v>195.03</v>
      </c>
      <c r="HH10">
        <v>198.47</v>
      </c>
      <c r="HI10">
        <v>7.84</v>
      </c>
      <c r="HJ10">
        <v>2804.83</v>
      </c>
      <c r="HK10">
        <v>6215.92</v>
      </c>
      <c r="HL10">
        <v>554.22</v>
      </c>
      <c r="HM10">
        <v>105.81</v>
      </c>
      <c r="HN10">
        <v>1814.79</v>
      </c>
      <c r="HO10">
        <v>7.84</v>
      </c>
      <c r="HP10">
        <v>69.78</v>
      </c>
      <c r="HQ10">
        <v>8323.5499999999993</v>
      </c>
      <c r="HR10">
        <v>157.86000000000001</v>
      </c>
      <c r="HS10">
        <v>21.73</v>
      </c>
      <c r="HT10">
        <v>173.87</v>
      </c>
      <c r="HU10">
        <v>350.6</v>
      </c>
      <c r="HV10">
        <v>84.65</v>
      </c>
      <c r="HW10">
        <v>3758.84</v>
      </c>
      <c r="HX10">
        <v>20.59</v>
      </c>
      <c r="HY10">
        <v>10.3</v>
      </c>
      <c r="HZ10">
        <v>100.66</v>
      </c>
      <c r="IA10">
        <v>352.32</v>
      </c>
      <c r="IB10">
        <v>113.25</v>
      </c>
      <c r="IC10">
        <v>18.3</v>
      </c>
      <c r="ID10">
        <v>86.94</v>
      </c>
      <c r="IE10">
        <v>15.44</v>
      </c>
      <c r="IF10">
        <v>1433.3</v>
      </c>
      <c r="IG10">
        <v>57.77</v>
      </c>
      <c r="IH10">
        <v>8.01</v>
      </c>
      <c r="II10">
        <v>168.15</v>
      </c>
      <c r="IJ10">
        <v>94.37</v>
      </c>
      <c r="IK10">
        <v>31.46</v>
      </c>
      <c r="IL10">
        <v>1491.64</v>
      </c>
      <c r="IM10">
        <v>500.45</v>
      </c>
      <c r="IN10">
        <v>155</v>
      </c>
      <c r="IO10">
        <v>760.12</v>
      </c>
      <c r="IP10">
        <v>30.89</v>
      </c>
      <c r="IQ10">
        <v>68.63</v>
      </c>
      <c r="IR10">
        <v>8.01</v>
      </c>
      <c r="IS10">
        <v>28.6</v>
      </c>
      <c r="IT10">
        <v>7.84</v>
      </c>
      <c r="IU10">
        <v>330.01</v>
      </c>
      <c r="IV10">
        <v>1041.52</v>
      </c>
      <c r="IW10">
        <v>257.95</v>
      </c>
      <c r="IX10">
        <v>5425.49</v>
      </c>
      <c r="IY10">
        <v>36.03</v>
      </c>
      <c r="IZ10">
        <v>19.45</v>
      </c>
      <c r="JA10">
        <v>291.69</v>
      </c>
      <c r="JB10">
        <v>459.85</v>
      </c>
      <c r="JC10">
        <v>102.38</v>
      </c>
      <c r="JD10">
        <v>354.04</v>
      </c>
      <c r="JE10">
        <v>20.59</v>
      </c>
      <c r="JF10">
        <v>10.3</v>
      </c>
      <c r="JG10">
        <v>112.1</v>
      </c>
      <c r="JH10">
        <v>670.32</v>
      </c>
      <c r="JI10">
        <v>676.04</v>
      </c>
      <c r="JJ10">
        <v>280.83</v>
      </c>
      <c r="JK10">
        <v>21.73</v>
      </c>
      <c r="JL10">
        <v>80.64</v>
      </c>
      <c r="JM10">
        <v>18.3</v>
      </c>
      <c r="JN10">
        <v>8.58</v>
      </c>
      <c r="JO10">
        <v>304.27999999999997</v>
      </c>
      <c r="JP10">
        <v>963.73</v>
      </c>
      <c r="JQ10">
        <v>2559.46</v>
      </c>
      <c r="JR10">
        <v>21.16</v>
      </c>
      <c r="JS10">
        <v>7.84</v>
      </c>
      <c r="JT10">
        <v>49.19</v>
      </c>
      <c r="JU10">
        <v>124.68</v>
      </c>
      <c r="JV10">
        <v>272.82</v>
      </c>
      <c r="JW10">
        <v>123.54</v>
      </c>
      <c r="JX10">
        <v>99.52</v>
      </c>
      <c r="JY10">
        <v>320.29000000000002</v>
      </c>
      <c r="JZ10">
        <v>9.7200000000000006</v>
      </c>
      <c r="KA10">
        <v>10.3</v>
      </c>
      <c r="KB10">
        <v>13.15</v>
      </c>
      <c r="KC10">
        <v>30.89</v>
      </c>
      <c r="KD10">
        <v>18.87</v>
      </c>
      <c r="KE10">
        <v>123.54</v>
      </c>
      <c r="KF10">
        <v>91.51</v>
      </c>
      <c r="KG10">
        <v>160.72</v>
      </c>
      <c r="KH10">
        <v>109.24</v>
      </c>
      <c r="KI10">
        <v>377.49</v>
      </c>
      <c r="KJ10">
        <v>192.75</v>
      </c>
      <c r="KK10">
        <v>183.02</v>
      </c>
      <c r="KL10">
        <v>37.75</v>
      </c>
      <c r="KM10">
        <v>52.62</v>
      </c>
      <c r="KN10">
        <v>83.5</v>
      </c>
      <c r="KO10">
        <v>498.74</v>
      </c>
      <c r="KP10">
        <v>115.53</v>
      </c>
      <c r="KQ10">
        <v>3311</v>
      </c>
      <c r="KR10">
        <v>844.19</v>
      </c>
      <c r="KS10">
        <v>1470.48</v>
      </c>
      <c r="KT10">
        <v>849.91</v>
      </c>
      <c r="KU10">
        <v>60099.64</v>
      </c>
      <c r="KV10">
        <v>6656.32</v>
      </c>
      <c r="KW10">
        <v>374.05</v>
      </c>
      <c r="KX10">
        <v>285.39999999999998</v>
      </c>
      <c r="KY10">
        <v>44.61</v>
      </c>
      <c r="KZ10">
        <v>52.62</v>
      </c>
      <c r="LA10">
        <v>1020.35</v>
      </c>
      <c r="LB10">
        <v>1324.63</v>
      </c>
      <c r="LC10">
        <v>1360.66</v>
      </c>
      <c r="LD10">
        <v>12.01</v>
      </c>
      <c r="LE10">
        <v>1019.21</v>
      </c>
      <c r="LF10">
        <v>3596.4</v>
      </c>
      <c r="LG10">
        <v>2467.38</v>
      </c>
      <c r="LH10">
        <v>781.85</v>
      </c>
      <c r="LI10">
        <v>9857.51</v>
      </c>
      <c r="LJ10">
        <v>654.30999999999995</v>
      </c>
      <c r="LK10">
        <v>1775.9</v>
      </c>
      <c r="LL10">
        <v>165.86</v>
      </c>
      <c r="LM10">
        <v>7.84</v>
      </c>
      <c r="LN10">
        <v>348.32</v>
      </c>
      <c r="LO10">
        <v>40.61</v>
      </c>
      <c r="LP10">
        <v>2298.08</v>
      </c>
      <c r="LQ10">
        <v>61.2</v>
      </c>
      <c r="LR10">
        <v>160.72</v>
      </c>
      <c r="LS10">
        <v>92.08</v>
      </c>
      <c r="LT10">
        <v>21.73</v>
      </c>
      <c r="LU10">
        <v>136.69999999999999</v>
      </c>
      <c r="LV10">
        <v>150.99</v>
      </c>
      <c r="LW10">
        <v>1318.91</v>
      </c>
      <c r="LX10">
        <v>2831.71</v>
      </c>
      <c r="LY10">
        <v>1527.67</v>
      </c>
      <c r="LZ10">
        <v>2748.21</v>
      </c>
      <c r="MA10">
        <v>184.17</v>
      </c>
      <c r="MB10">
        <v>731.52</v>
      </c>
      <c r="MC10">
        <v>495.88</v>
      </c>
      <c r="MD10">
        <v>69.78</v>
      </c>
      <c r="ME10">
        <v>131.55000000000001</v>
      </c>
      <c r="MF10">
        <v>329.44</v>
      </c>
      <c r="MG10">
        <v>3829.19</v>
      </c>
      <c r="MH10">
        <v>1890.86</v>
      </c>
      <c r="MI10">
        <v>7.84</v>
      </c>
      <c r="MJ10">
        <v>544.49</v>
      </c>
      <c r="MK10">
        <v>7.84</v>
      </c>
      <c r="ML10">
        <v>1002.62</v>
      </c>
      <c r="MM10">
        <v>1452.17</v>
      </c>
      <c r="MN10">
        <v>525.04999999999995</v>
      </c>
      <c r="MO10">
        <v>7.84</v>
      </c>
      <c r="MP10">
        <v>123.54</v>
      </c>
      <c r="MQ10">
        <v>197.32</v>
      </c>
      <c r="MR10">
        <v>7.84</v>
      </c>
      <c r="MS10">
        <v>397.5</v>
      </c>
      <c r="MT10">
        <v>1315.48</v>
      </c>
      <c r="MU10">
        <v>41.18</v>
      </c>
      <c r="MV10">
        <v>93.23</v>
      </c>
      <c r="MW10">
        <v>181.31</v>
      </c>
      <c r="MX10">
        <v>164.72</v>
      </c>
      <c r="MY10">
        <v>8.58</v>
      </c>
      <c r="MZ10">
        <v>379.77</v>
      </c>
      <c r="NA10">
        <v>41.18</v>
      </c>
      <c r="NB10">
        <v>783.57</v>
      </c>
      <c r="NC10">
        <v>768.13</v>
      </c>
      <c r="ND10">
        <v>126.97</v>
      </c>
      <c r="NE10">
        <v>506.17</v>
      </c>
      <c r="NF10">
        <v>7.84</v>
      </c>
      <c r="NG10">
        <v>17.16</v>
      </c>
      <c r="NH10">
        <v>37.18</v>
      </c>
      <c r="NI10">
        <v>934.56</v>
      </c>
      <c r="NJ10">
        <v>157.29</v>
      </c>
      <c r="NK10">
        <v>195.03</v>
      </c>
      <c r="NL10">
        <v>174.44</v>
      </c>
      <c r="NM10">
        <v>2031.56</v>
      </c>
      <c r="NN10">
        <v>463.85</v>
      </c>
      <c r="NO10">
        <v>28.03</v>
      </c>
      <c r="NP10">
        <v>7.84</v>
      </c>
      <c r="NQ10">
        <v>1067.83</v>
      </c>
      <c r="NR10">
        <v>377.49</v>
      </c>
      <c r="NS10">
        <v>769.84</v>
      </c>
      <c r="NT10">
        <v>881.94</v>
      </c>
      <c r="NU10">
        <v>1115.8699999999999</v>
      </c>
      <c r="NV10">
        <v>473.57</v>
      </c>
      <c r="NW10">
        <v>298.56</v>
      </c>
      <c r="NX10">
        <v>103.52</v>
      </c>
      <c r="NY10">
        <v>72.64</v>
      </c>
      <c r="NZ10">
        <v>537.63</v>
      </c>
      <c r="OA10">
        <v>277.39</v>
      </c>
      <c r="OB10">
        <v>517.04</v>
      </c>
      <c r="OC10">
        <v>566.23</v>
      </c>
      <c r="OD10">
        <v>138.41</v>
      </c>
      <c r="OE10">
        <v>1151.33</v>
      </c>
      <c r="OF10">
        <v>65.2</v>
      </c>
      <c r="OG10">
        <v>3602.7</v>
      </c>
      <c r="OH10">
        <v>167.58</v>
      </c>
      <c r="OI10">
        <v>108.1</v>
      </c>
      <c r="OJ10">
        <v>50.33</v>
      </c>
      <c r="OK10">
        <v>1571.71</v>
      </c>
      <c r="OL10">
        <v>353.46</v>
      </c>
      <c r="OM10">
        <v>773.27</v>
      </c>
      <c r="ON10">
        <v>507.89</v>
      </c>
      <c r="OO10">
        <v>611.41</v>
      </c>
      <c r="OP10">
        <v>248.23</v>
      </c>
      <c r="OQ10">
        <v>897.39</v>
      </c>
      <c r="OR10">
        <v>25.17</v>
      </c>
      <c r="OS10">
        <v>558.22</v>
      </c>
      <c r="OT10">
        <v>462.13</v>
      </c>
      <c r="OU10">
        <v>198.47</v>
      </c>
      <c r="OV10">
        <v>404.94</v>
      </c>
      <c r="OW10">
        <v>43.47</v>
      </c>
      <c r="OX10">
        <v>19.45</v>
      </c>
      <c r="OY10">
        <v>7.84</v>
      </c>
      <c r="OZ10">
        <v>7.84</v>
      </c>
      <c r="PA10">
        <v>7.84</v>
      </c>
      <c r="PB10">
        <v>97.8</v>
      </c>
      <c r="PC10">
        <v>8.01</v>
      </c>
      <c r="PD10">
        <v>60.05</v>
      </c>
      <c r="PE10">
        <v>21.73</v>
      </c>
      <c r="PF10">
        <v>538.20000000000005</v>
      </c>
      <c r="PG10">
        <v>33.17</v>
      </c>
      <c r="PH10">
        <v>134.41</v>
      </c>
      <c r="PI10">
        <v>194.46</v>
      </c>
      <c r="PJ10">
        <v>4985.66</v>
      </c>
      <c r="PK10">
        <v>8152.54</v>
      </c>
      <c r="PL10">
        <v>74.349999999999994</v>
      </c>
      <c r="PM10">
        <v>22428.34</v>
      </c>
      <c r="PN10">
        <v>938.57</v>
      </c>
      <c r="PO10">
        <v>96.09</v>
      </c>
      <c r="PP10">
        <v>1151.9000000000001</v>
      </c>
      <c r="PQ10">
        <v>32.6</v>
      </c>
      <c r="PR10">
        <v>94.37</v>
      </c>
      <c r="PS10">
        <v>20.59</v>
      </c>
      <c r="PT10">
        <v>44.61</v>
      </c>
      <c r="PU10">
        <v>405.51</v>
      </c>
      <c r="PV10">
        <v>249.37</v>
      </c>
      <c r="PW10">
        <v>348.89</v>
      </c>
      <c r="PX10">
        <v>33.17</v>
      </c>
      <c r="PY10">
        <v>452.98</v>
      </c>
      <c r="PZ10">
        <v>114.96</v>
      </c>
      <c r="QA10">
        <v>367.19</v>
      </c>
      <c r="QB10">
        <v>4704.2700000000004</v>
      </c>
      <c r="QC10">
        <v>7.84</v>
      </c>
      <c r="QD10">
        <v>7.84</v>
      </c>
      <c r="QE10">
        <v>7.84</v>
      </c>
      <c r="QF10">
        <v>7.84</v>
      </c>
      <c r="QG10">
        <v>7.84</v>
      </c>
      <c r="QH10">
        <v>7.84</v>
      </c>
      <c r="QI10">
        <v>7.84</v>
      </c>
      <c r="QJ10">
        <v>266.52999999999997</v>
      </c>
      <c r="QK10">
        <v>28.6</v>
      </c>
      <c r="QL10">
        <v>193.89</v>
      </c>
      <c r="QM10">
        <v>612.55999999999995</v>
      </c>
      <c r="QN10">
        <v>507.32</v>
      </c>
      <c r="QO10">
        <v>14.3</v>
      </c>
      <c r="QP10">
        <v>20.02</v>
      </c>
      <c r="QQ10">
        <v>225.35</v>
      </c>
      <c r="QR10">
        <v>29.74</v>
      </c>
      <c r="QS10">
        <v>827.61</v>
      </c>
      <c r="QT10">
        <v>1336.07</v>
      </c>
      <c r="QU10">
        <v>58.91</v>
      </c>
      <c r="QV10">
        <v>181.31</v>
      </c>
      <c r="QW10">
        <v>200.18</v>
      </c>
      <c r="QX10">
        <v>180.16</v>
      </c>
      <c r="QY10">
        <v>38.32</v>
      </c>
      <c r="QZ10">
        <v>14.87</v>
      </c>
      <c r="RA10">
        <v>189.31</v>
      </c>
      <c r="RB10">
        <v>20640.43</v>
      </c>
      <c r="RC10">
        <v>90.94</v>
      </c>
      <c r="RD10">
        <v>3571.81</v>
      </c>
      <c r="RE10">
        <v>85.79</v>
      </c>
      <c r="RF10">
        <v>216.2</v>
      </c>
      <c r="RG10">
        <v>400.36</v>
      </c>
      <c r="RH10">
        <v>605.69000000000005</v>
      </c>
      <c r="RI10">
        <v>9.7200000000000006</v>
      </c>
      <c r="RJ10">
        <v>85.22</v>
      </c>
      <c r="RK10">
        <v>7.84</v>
      </c>
      <c r="RL10">
        <v>124.68</v>
      </c>
      <c r="RM10">
        <v>118.97</v>
      </c>
      <c r="RN10">
        <v>213.34</v>
      </c>
      <c r="RO10">
        <v>268.82</v>
      </c>
      <c r="RP10">
        <v>282.54000000000002</v>
      </c>
      <c r="RQ10">
        <v>412.37</v>
      </c>
      <c r="RR10">
        <v>36.03</v>
      </c>
      <c r="RS10">
        <v>609.12</v>
      </c>
      <c r="RT10">
        <v>502.17</v>
      </c>
      <c r="RU10">
        <v>13.73</v>
      </c>
      <c r="RV10">
        <v>7.84</v>
      </c>
      <c r="RW10">
        <v>125.83</v>
      </c>
      <c r="RX10">
        <v>1717.56</v>
      </c>
      <c r="RY10">
        <v>920.26</v>
      </c>
      <c r="RZ10">
        <v>33.17</v>
      </c>
      <c r="SA10">
        <v>376.34</v>
      </c>
      <c r="SB10">
        <v>25.74</v>
      </c>
      <c r="SC10">
        <v>128.12</v>
      </c>
      <c r="SD10">
        <v>1561.42</v>
      </c>
      <c r="SE10">
        <v>574.24</v>
      </c>
      <c r="SF10">
        <v>684.05</v>
      </c>
      <c r="SG10">
        <v>6117.55</v>
      </c>
      <c r="SH10">
        <v>148.71</v>
      </c>
      <c r="SI10">
        <v>26.31</v>
      </c>
      <c r="SJ10">
        <v>473.57</v>
      </c>
      <c r="SK10">
        <v>151.57</v>
      </c>
      <c r="SL10">
        <v>282.54000000000002</v>
      </c>
      <c r="SM10">
        <v>36.6</v>
      </c>
      <c r="SN10">
        <v>232.21</v>
      </c>
      <c r="SO10">
        <v>7.84</v>
      </c>
      <c r="SP10">
        <v>203.61</v>
      </c>
      <c r="SQ10">
        <v>1238.8399999999999</v>
      </c>
      <c r="SR10">
        <v>1003.77</v>
      </c>
      <c r="SS10">
        <v>1086.1300000000001</v>
      </c>
      <c r="ST10">
        <v>248.23</v>
      </c>
      <c r="SU10">
        <v>361.47</v>
      </c>
      <c r="SV10">
        <v>114.96</v>
      </c>
      <c r="SW10">
        <v>209.9</v>
      </c>
      <c r="SX10">
        <v>571.95000000000005</v>
      </c>
      <c r="SY10">
        <v>80.64</v>
      </c>
      <c r="SZ10">
        <v>7.84</v>
      </c>
      <c r="TA10">
        <v>7.84</v>
      </c>
      <c r="TB10">
        <v>2578.91</v>
      </c>
      <c r="TC10">
        <v>894.53</v>
      </c>
      <c r="TD10">
        <v>62.34</v>
      </c>
      <c r="TE10">
        <v>323.72000000000003</v>
      </c>
      <c r="TF10">
        <v>344.31</v>
      </c>
      <c r="TG10">
        <v>398.08</v>
      </c>
      <c r="TH10">
        <v>172.16</v>
      </c>
      <c r="TI10">
        <v>82.36</v>
      </c>
      <c r="TJ10">
        <v>10.3</v>
      </c>
      <c r="TK10">
        <v>286.55</v>
      </c>
      <c r="TL10">
        <v>74.349999999999994</v>
      </c>
      <c r="TM10">
        <v>168.15</v>
      </c>
      <c r="TN10">
        <v>1630.62</v>
      </c>
      <c r="TO10">
        <v>956.3</v>
      </c>
      <c r="TP10">
        <v>88.65</v>
      </c>
      <c r="TQ10">
        <v>558.22</v>
      </c>
      <c r="TR10">
        <v>7.84</v>
      </c>
      <c r="TS10">
        <v>465.57</v>
      </c>
      <c r="TT10">
        <v>70.349999999999994</v>
      </c>
      <c r="TU10">
        <v>68.63</v>
      </c>
      <c r="TV10">
        <v>283.11</v>
      </c>
      <c r="TW10">
        <v>491.3</v>
      </c>
      <c r="TX10">
        <v>231.07</v>
      </c>
      <c r="TY10">
        <v>63.49</v>
      </c>
      <c r="TZ10">
        <v>142.99</v>
      </c>
      <c r="UA10">
        <v>199.04</v>
      </c>
      <c r="UB10">
        <v>150.99</v>
      </c>
      <c r="UC10">
        <v>7521.11</v>
      </c>
      <c r="UD10">
        <v>7.84</v>
      </c>
      <c r="UE10">
        <v>20.59</v>
      </c>
      <c r="UF10">
        <v>2506.27</v>
      </c>
      <c r="UG10">
        <v>91.51</v>
      </c>
      <c r="UH10">
        <v>7.84</v>
      </c>
      <c r="UI10">
        <v>36.03</v>
      </c>
      <c r="UJ10">
        <v>36.03</v>
      </c>
      <c r="UK10">
        <v>21.16</v>
      </c>
      <c r="UL10">
        <v>18.87</v>
      </c>
      <c r="UM10">
        <v>15.44</v>
      </c>
      <c r="UN10">
        <v>170.44</v>
      </c>
      <c r="UO10">
        <v>163</v>
      </c>
      <c r="UP10">
        <v>7.84</v>
      </c>
      <c r="UQ10">
        <v>7.84</v>
      </c>
      <c r="UR10">
        <v>7.84</v>
      </c>
      <c r="US10">
        <v>112.1</v>
      </c>
      <c r="UT10">
        <v>269.95999999999998</v>
      </c>
      <c r="UU10">
        <v>987.18</v>
      </c>
      <c r="UV10">
        <v>741.82</v>
      </c>
      <c r="UW10">
        <v>620.55999999999995</v>
      </c>
      <c r="UX10">
        <v>41.18</v>
      </c>
      <c r="UY10">
        <v>563.94000000000005</v>
      </c>
      <c r="UZ10">
        <v>96.09</v>
      </c>
      <c r="VA10">
        <v>839.05</v>
      </c>
      <c r="VB10">
        <v>1051.24</v>
      </c>
      <c r="VC10">
        <v>149.85</v>
      </c>
      <c r="VD10">
        <v>243.65</v>
      </c>
      <c r="VE10">
        <v>54.91</v>
      </c>
      <c r="VF10">
        <v>363.19</v>
      </c>
      <c r="VG10">
        <v>18.3</v>
      </c>
      <c r="VH10">
        <v>37.18</v>
      </c>
      <c r="VI10">
        <v>25.74</v>
      </c>
      <c r="VJ10">
        <v>57.19</v>
      </c>
      <c r="VK10">
        <v>441.54</v>
      </c>
      <c r="VL10">
        <v>646.87</v>
      </c>
      <c r="VM10">
        <v>1130.17</v>
      </c>
      <c r="VN10">
        <v>350.03</v>
      </c>
      <c r="VO10">
        <v>10.87</v>
      </c>
      <c r="VP10">
        <v>7.84</v>
      </c>
      <c r="VQ10">
        <v>885.95</v>
      </c>
      <c r="VR10">
        <v>326.01</v>
      </c>
      <c r="VS10">
        <v>550.21</v>
      </c>
      <c r="VT10">
        <v>22.88</v>
      </c>
      <c r="VU10">
        <v>40.04</v>
      </c>
      <c r="VV10">
        <v>33.17</v>
      </c>
      <c r="VW10">
        <v>228.21</v>
      </c>
      <c r="VX10">
        <v>314.57</v>
      </c>
      <c r="VY10">
        <v>7.84</v>
      </c>
      <c r="VZ10">
        <v>15566.12</v>
      </c>
      <c r="WA10">
        <v>11917.09</v>
      </c>
      <c r="WB10">
        <v>259.66000000000003</v>
      </c>
      <c r="WC10">
        <v>121.82</v>
      </c>
      <c r="WD10">
        <v>57.77</v>
      </c>
      <c r="WE10">
        <v>682.33</v>
      </c>
      <c r="WF10">
        <v>233.93</v>
      </c>
      <c r="WG10">
        <v>171.01</v>
      </c>
      <c r="WH10">
        <v>3385.93</v>
      </c>
      <c r="WI10">
        <v>4994.82</v>
      </c>
      <c r="WJ10">
        <v>1528.82</v>
      </c>
      <c r="WK10">
        <v>272.25</v>
      </c>
      <c r="WL10">
        <v>432.96</v>
      </c>
      <c r="WM10">
        <v>7.84</v>
      </c>
      <c r="WN10">
        <v>69.209999999999994</v>
      </c>
      <c r="WO10">
        <v>7.84</v>
      </c>
      <c r="WP10">
        <v>89.8</v>
      </c>
      <c r="WQ10">
        <v>1337.21</v>
      </c>
      <c r="WR10">
        <v>2198.5700000000002</v>
      </c>
      <c r="WS10">
        <v>85.79</v>
      </c>
      <c r="WT10">
        <v>105.24</v>
      </c>
      <c r="WU10">
        <v>656.6</v>
      </c>
      <c r="WV10">
        <v>502.17</v>
      </c>
      <c r="WW10">
        <v>28.03</v>
      </c>
      <c r="WX10">
        <v>155</v>
      </c>
      <c r="WY10">
        <v>32.6</v>
      </c>
      <c r="WZ10">
        <v>15.44</v>
      </c>
      <c r="XA10">
        <v>7.84</v>
      </c>
      <c r="XB10">
        <v>857.92</v>
      </c>
      <c r="XC10">
        <v>25.74</v>
      </c>
      <c r="XD10">
        <v>106.38</v>
      </c>
      <c r="XE10">
        <v>523.33000000000004</v>
      </c>
      <c r="XF10">
        <v>896.81</v>
      </c>
      <c r="XG10">
        <v>868.22</v>
      </c>
      <c r="XH10">
        <v>261.38</v>
      </c>
      <c r="XI10">
        <v>630.86</v>
      </c>
      <c r="XJ10">
        <v>454.13</v>
      </c>
      <c r="XK10">
        <v>464.42</v>
      </c>
      <c r="XL10">
        <v>162.43</v>
      </c>
      <c r="XM10">
        <v>56.62</v>
      </c>
      <c r="XN10">
        <v>300.27</v>
      </c>
      <c r="XO10">
        <v>52.62</v>
      </c>
      <c r="XP10">
        <v>122.97</v>
      </c>
      <c r="XQ10">
        <v>18.3</v>
      </c>
      <c r="XR10">
        <v>53.19</v>
      </c>
      <c r="XS10">
        <v>2256.9</v>
      </c>
      <c r="XT10">
        <v>204.76</v>
      </c>
      <c r="XU10">
        <v>493.02</v>
      </c>
      <c r="XV10">
        <v>511.89</v>
      </c>
      <c r="XW10">
        <v>1732.43</v>
      </c>
      <c r="XX10">
        <v>1572.85</v>
      </c>
      <c r="XY10">
        <v>2044.14</v>
      </c>
      <c r="XZ10">
        <v>121.25</v>
      </c>
      <c r="YA10">
        <v>1298.32</v>
      </c>
      <c r="YB10">
        <v>207.04</v>
      </c>
      <c r="YC10">
        <v>21.16</v>
      </c>
      <c r="YD10">
        <v>1883.42</v>
      </c>
      <c r="YE10">
        <v>535.34</v>
      </c>
      <c r="YF10">
        <v>898.53</v>
      </c>
      <c r="YG10">
        <v>78.36</v>
      </c>
      <c r="YH10">
        <v>8.01</v>
      </c>
      <c r="YI10">
        <v>134.41</v>
      </c>
      <c r="YJ10">
        <v>455.27</v>
      </c>
      <c r="YK10">
        <v>7.84</v>
      </c>
      <c r="YL10">
        <v>706.93</v>
      </c>
      <c r="YM10">
        <v>3002.15</v>
      </c>
      <c r="YN10">
        <v>124.11</v>
      </c>
      <c r="YO10">
        <v>1000.91</v>
      </c>
      <c r="YP10">
        <v>2492.5500000000002</v>
      </c>
      <c r="YQ10">
        <v>314</v>
      </c>
      <c r="YR10">
        <v>165.29</v>
      </c>
      <c r="YS10">
        <v>4144.33</v>
      </c>
      <c r="YT10">
        <v>278.54000000000002</v>
      </c>
      <c r="YU10">
        <v>226.49</v>
      </c>
      <c r="YV10">
        <v>36.03</v>
      </c>
      <c r="YW10">
        <v>53.19</v>
      </c>
      <c r="YX10">
        <v>72.64</v>
      </c>
      <c r="YY10">
        <v>388.92</v>
      </c>
      <c r="YZ10">
        <v>22.88</v>
      </c>
      <c r="ZA10">
        <v>217.91</v>
      </c>
      <c r="ZB10">
        <v>13.73</v>
      </c>
      <c r="ZC10">
        <v>17.16</v>
      </c>
      <c r="ZD10">
        <v>136.12</v>
      </c>
      <c r="ZE10">
        <v>41.18</v>
      </c>
      <c r="ZF10">
        <v>193.32</v>
      </c>
      <c r="ZG10">
        <v>263.67</v>
      </c>
      <c r="ZH10">
        <v>120.11</v>
      </c>
      <c r="ZI10">
        <v>531.91</v>
      </c>
      <c r="ZJ10">
        <v>1166.77</v>
      </c>
      <c r="ZK10">
        <v>270.52999999999997</v>
      </c>
      <c r="ZL10">
        <v>7.84</v>
      </c>
      <c r="ZM10">
        <v>171.58</v>
      </c>
      <c r="ZN10">
        <v>21.16</v>
      </c>
      <c r="ZO10">
        <v>10.3</v>
      </c>
      <c r="ZP10">
        <v>495.88</v>
      </c>
      <c r="ZQ10">
        <v>24.02</v>
      </c>
      <c r="ZR10">
        <v>8.58</v>
      </c>
      <c r="ZS10">
        <v>900.25</v>
      </c>
      <c r="ZT10">
        <v>328.3</v>
      </c>
      <c r="ZU10">
        <v>145.27000000000001</v>
      </c>
      <c r="ZV10">
        <v>9.15</v>
      </c>
      <c r="ZW10">
        <v>8.58</v>
      </c>
      <c r="ZX10">
        <v>101.23</v>
      </c>
      <c r="ZY10">
        <v>1186.79</v>
      </c>
      <c r="ZZ10">
        <v>229.92</v>
      </c>
      <c r="AAA10">
        <v>92.08</v>
      </c>
      <c r="AAB10">
        <v>40.04</v>
      </c>
      <c r="AAC10">
        <v>7.84</v>
      </c>
      <c r="AAD10">
        <v>33.74</v>
      </c>
      <c r="AAE10">
        <v>14.87</v>
      </c>
      <c r="AAF10">
        <v>20.59</v>
      </c>
      <c r="AAG10">
        <v>260.81</v>
      </c>
      <c r="AAH10">
        <v>159</v>
      </c>
      <c r="AAI10">
        <v>5038.28</v>
      </c>
      <c r="AAJ10">
        <v>1084.98</v>
      </c>
      <c r="AAK10">
        <v>316.29000000000002</v>
      </c>
      <c r="AAL10">
        <v>97.8</v>
      </c>
      <c r="AAM10">
        <v>20.59</v>
      </c>
      <c r="AAN10">
        <v>686.34</v>
      </c>
      <c r="AAO10">
        <v>78.36</v>
      </c>
      <c r="AAP10">
        <v>197.32</v>
      </c>
      <c r="AAQ10">
        <v>11.44</v>
      </c>
      <c r="AAR10">
        <v>40.61</v>
      </c>
      <c r="AAS10">
        <v>1184.5</v>
      </c>
      <c r="AAT10">
        <v>110.39</v>
      </c>
      <c r="AAU10">
        <v>7.84</v>
      </c>
      <c r="AAV10">
        <v>932.85</v>
      </c>
      <c r="AAW10">
        <v>37.18</v>
      </c>
      <c r="AAX10">
        <v>128.12</v>
      </c>
      <c r="AAY10">
        <v>48.62</v>
      </c>
      <c r="AAZ10">
        <v>21.73</v>
      </c>
      <c r="ABA10">
        <v>234.5</v>
      </c>
      <c r="ABB10">
        <v>125.83</v>
      </c>
      <c r="ABC10">
        <v>2619.52</v>
      </c>
      <c r="ABD10">
        <v>2594.92</v>
      </c>
      <c r="ABE10">
        <v>661.17</v>
      </c>
      <c r="ABF10">
        <v>817.88</v>
      </c>
      <c r="ABG10">
        <v>81.790000000000006</v>
      </c>
      <c r="ABH10">
        <v>172.16</v>
      </c>
      <c r="ABI10">
        <v>15.44</v>
      </c>
      <c r="ABJ10">
        <v>19.45</v>
      </c>
      <c r="ABK10">
        <v>99.52</v>
      </c>
      <c r="ABL10">
        <v>12.01</v>
      </c>
      <c r="ABM10">
        <v>90.37</v>
      </c>
      <c r="ABN10">
        <v>56.05</v>
      </c>
      <c r="ABO10">
        <v>7.84</v>
      </c>
      <c r="ABP10">
        <v>9.15</v>
      </c>
      <c r="ABQ10">
        <v>692.06</v>
      </c>
      <c r="ABR10">
        <v>56.05</v>
      </c>
      <c r="ABS10">
        <v>659.46</v>
      </c>
      <c r="ABT10">
        <v>19.45</v>
      </c>
      <c r="ABU10">
        <v>30.31</v>
      </c>
      <c r="ABV10">
        <v>198.47</v>
      </c>
      <c r="ABW10">
        <v>661.17</v>
      </c>
      <c r="ABX10">
        <v>1361.81</v>
      </c>
      <c r="ABY10">
        <v>338.02</v>
      </c>
      <c r="ABZ10">
        <v>123.54</v>
      </c>
      <c r="ACA10">
        <v>572.52</v>
      </c>
      <c r="ACB10">
        <v>249.37</v>
      </c>
      <c r="ACC10">
        <v>148.71</v>
      </c>
      <c r="ACD10">
        <v>276.25</v>
      </c>
      <c r="ACE10">
        <v>158.43</v>
      </c>
      <c r="ACF10">
        <v>4519.53</v>
      </c>
      <c r="ACG10">
        <v>2122.5</v>
      </c>
      <c r="ACH10">
        <v>368.33</v>
      </c>
      <c r="ACI10">
        <v>459.27</v>
      </c>
      <c r="ACJ10">
        <v>653.74</v>
      </c>
      <c r="ACK10">
        <v>457.56</v>
      </c>
      <c r="ACL10">
        <v>59.48</v>
      </c>
      <c r="ACM10">
        <v>281.39999999999998</v>
      </c>
      <c r="ACN10">
        <v>280.25</v>
      </c>
      <c r="ACO10">
        <v>814.45</v>
      </c>
      <c r="ACP10">
        <v>370.62</v>
      </c>
      <c r="ACQ10">
        <v>291.69</v>
      </c>
      <c r="ACR10">
        <v>4624.1899999999996</v>
      </c>
    </row>
    <row r="11" spans="1:772" x14ac:dyDescent="0.3">
      <c r="A11" t="s">
        <v>8</v>
      </c>
      <c r="B11" t="s">
        <v>1</v>
      </c>
      <c r="C11">
        <v>131.63</v>
      </c>
      <c r="D11">
        <v>101.42</v>
      </c>
      <c r="E11">
        <v>722.89</v>
      </c>
      <c r="F11">
        <v>8.6300000000000008</v>
      </c>
      <c r="G11">
        <v>4112.93</v>
      </c>
      <c r="H11">
        <v>84.16</v>
      </c>
      <c r="I11">
        <v>1650.78</v>
      </c>
      <c r="J11">
        <v>14683.35</v>
      </c>
      <c r="K11">
        <v>333.39</v>
      </c>
      <c r="L11">
        <v>11.87</v>
      </c>
      <c r="M11">
        <v>46.39</v>
      </c>
      <c r="N11">
        <v>1746.81</v>
      </c>
      <c r="O11">
        <v>99.26</v>
      </c>
      <c r="P11">
        <v>457.47</v>
      </c>
      <c r="Q11">
        <v>87.39</v>
      </c>
      <c r="R11">
        <v>1271</v>
      </c>
      <c r="S11">
        <v>10.79</v>
      </c>
      <c r="T11">
        <v>147.82</v>
      </c>
      <c r="U11">
        <v>432.66</v>
      </c>
      <c r="V11">
        <v>226.58</v>
      </c>
      <c r="W11">
        <v>6932.21</v>
      </c>
      <c r="X11">
        <v>11.87</v>
      </c>
      <c r="Y11">
        <v>197.45</v>
      </c>
      <c r="Z11">
        <v>410</v>
      </c>
      <c r="AA11">
        <v>31.29</v>
      </c>
      <c r="AB11">
        <v>4131.28</v>
      </c>
      <c r="AC11">
        <v>413.24</v>
      </c>
      <c r="AD11">
        <v>211.47</v>
      </c>
      <c r="AE11">
        <v>752.02</v>
      </c>
      <c r="AF11">
        <v>43061.73</v>
      </c>
      <c r="AG11">
        <v>418.63</v>
      </c>
      <c r="AH11">
        <v>120.84</v>
      </c>
      <c r="AI11">
        <v>52.87</v>
      </c>
      <c r="AJ11">
        <v>643.04999999999995</v>
      </c>
      <c r="AK11">
        <v>202.84</v>
      </c>
      <c r="AL11">
        <v>164</v>
      </c>
      <c r="AM11">
        <v>161.84</v>
      </c>
      <c r="AN11">
        <v>41</v>
      </c>
      <c r="AO11">
        <v>2254.9899999999998</v>
      </c>
      <c r="AP11">
        <v>9.7100000000000009</v>
      </c>
      <c r="AQ11">
        <v>141.34</v>
      </c>
      <c r="AR11">
        <v>293.47000000000003</v>
      </c>
      <c r="AS11">
        <v>53.95</v>
      </c>
      <c r="AT11">
        <v>5.39</v>
      </c>
      <c r="AU11">
        <v>10.79</v>
      </c>
      <c r="AV11">
        <v>698.08</v>
      </c>
      <c r="AW11">
        <v>508.18</v>
      </c>
      <c r="AX11">
        <v>5183.25</v>
      </c>
      <c r="AY11">
        <v>22.66</v>
      </c>
      <c r="AZ11">
        <v>50.71</v>
      </c>
      <c r="BA11">
        <v>335.55</v>
      </c>
      <c r="BB11">
        <v>730.45</v>
      </c>
      <c r="BC11">
        <v>61.5</v>
      </c>
      <c r="BD11">
        <v>7.55</v>
      </c>
      <c r="BE11">
        <v>66.89</v>
      </c>
      <c r="BF11">
        <v>154.29</v>
      </c>
      <c r="BG11">
        <v>16.18</v>
      </c>
      <c r="BH11">
        <v>12.95</v>
      </c>
      <c r="BI11">
        <v>16.18</v>
      </c>
      <c r="BJ11">
        <v>5.39</v>
      </c>
      <c r="BK11">
        <v>210.39</v>
      </c>
      <c r="BL11">
        <v>664.63</v>
      </c>
      <c r="BM11">
        <v>67.97</v>
      </c>
      <c r="BN11">
        <v>79.84</v>
      </c>
      <c r="BO11">
        <v>60.42</v>
      </c>
      <c r="BP11">
        <v>16.18</v>
      </c>
      <c r="BQ11">
        <v>4.59</v>
      </c>
      <c r="BR11">
        <v>44.24</v>
      </c>
      <c r="BS11">
        <v>6.47</v>
      </c>
      <c r="BT11">
        <v>1067.08</v>
      </c>
      <c r="BU11">
        <v>750.94</v>
      </c>
      <c r="BV11">
        <v>7.55</v>
      </c>
      <c r="BW11">
        <v>60.42</v>
      </c>
      <c r="BX11">
        <v>1185.76</v>
      </c>
      <c r="BY11">
        <v>260.02999999999997</v>
      </c>
      <c r="BZ11">
        <v>470.42</v>
      </c>
      <c r="CA11">
        <v>108.97</v>
      </c>
      <c r="CB11">
        <v>132.71</v>
      </c>
      <c r="CC11">
        <v>73.37</v>
      </c>
      <c r="CD11">
        <v>98.18</v>
      </c>
      <c r="CE11">
        <v>465.02</v>
      </c>
      <c r="CF11">
        <v>880.42</v>
      </c>
      <c r="CG11">
        <v>76.61</v>
      </c>
      <c r="CH11">
        <v>229.82</v>
      </c>
      <c r="CI11">
        <v>25.89</v>
      </c>
      <c r="CJ11">
        <v>8.6300000000000008</v>
      </c>
      <c r="CK11">
        <v>17.260000000000002</v>
      </c>
      <c r="CL11">
        <v>18.34</v>
      </c>
      <c r="CM11">
        <v>390.58</v>
      </c>
      <c r="CN11">
        <v>46.39</v>
      </c>
      <c r="CO11">
        <v>5.39</v>
      </c>
      <c r="CP11">
        <v>4.59</v>
      </c>
      <c r="CQ11">
        <v>23.74</v>
      </c>
      <c r="CR11">
        <v>28.05</v>
      </c>
      <c r="CS11">
        <v>4.59</v>
      </c>
      <c r="CT11">
        <v>11.87</v>
      </c>
      <c r="CU11">
        <v>18.34</v>
      </c>
      <c r="CV11">
        <v>84.16</v>
      </c>
      <c r="CW11">
        <v>1805.07</v>
      </c>
      <c r="CX11">
        <v>16.18</v>
      </c>
      <c r="CY11">
        <v>99.26</v>
      </c>
      <c r="CZ11">
        <v>12.95</v>
      </c>
      <c r="DA11">
        <v>5.39</v>
      </c>
      <c r="DB11">
        <v>34.53</v>
      </c>
      <c r="DC11">
        <v>36.68</v>
      </c>
      <c r="DD11">
        <v>9.7100000000000009</v>
      </c>
      <c r="DE11">
        <v>16.18</v>
      </c>
      <c r="DF11">
        <v>201.76</v>
      </c>
      <c r="DG11">
        <v>4.59</v>
      </c>
      <c r="DH11">
        <v>2480.4899999999998</v>
      </c>
      <c r="DI11">
        <v>7.55</v>
      </c>
      <c r="DJ11">
        <v>16.18</v>
      </c>
      <c r="DK11">
        <v>86.32</v>
      </c>
      <c r="DL11">
        <v>1712.28</v>
      </c>
      <c r="DM11">
        <v>63.66</v>
      </c>
      <c r="DN11">
        <v>9.7100000000000009</v>
      </c>
      <c r="DO11">
        <v>76.61</v>
      </c>
      <c r="DP11">
        <v>14.03</v>
      </c>
      <c r="DQ11">
        <v>1486.78</v>
      </c>
      <c r="DR11">
        <v>30.21</v>
      </c>
      <c r="DS11">
        <v>8.6300000000000008</v>
      </c>
      <c r="DT11">
        <v>18.34</v>
      </c>
      <c r="DU11">
        <v>1335.73</v>
      </c>
      <c r="DV11">
        <v>7.55</v>
      </c>
      <c r="DW11">
        <v>5.39</v>
      </c>
      <c r="DX11">
        <v>67.97</v>
      </c>
      <c r="DY11">
        <v>32.369999999999997</v>
      </c>
      <c r="DZ11">
        <v>52.87</v>
      </c>
      <c r="EA11">
        <v>23.74</v>
      </c>
      <c r="EB11">
        <v>7.55</v>
      </c>
      <c r="EC11">
        <v>10.79</v>
      </c>
      <c r="ED11">
        <v>21.58</v>
      </c>
      <c r="EE11">
        <v>4.59</v>
      </c>
      <c r="EF11">
        <v>3196.91</v>
      </c>
      <c r="EG11">
        <v>629.02</v>
      </c>
      <c r="EH11">
        <v>118.68</v>
      </c>
      <c r="EI11">
        <v>7.55</v>
      </c>
      <c r="EJ11">
        <v>871.79</v>
      </c>
      <c r="EK11">
        <v>986.15</v>
      </c>
      <c r="EL11">
        <v>5612.67</v>
      </c>
      <c r="EM11">
        <v>189.89</v>
      </c>
      <c r="EN11">
        <v>130.55000000000001</v>
      </c>
      <c r="EO11">
        <v>482.29</v>
      </c>
      <c r="EP11">
        <v>14.03</v>
      </c>
      <c r="EQ11">
        <v>2859.2</v>
      </c>
      <c r="ER11">
        <v>15.11</v>
      </c>
      <c r="ES11">
        <v>57.18</v>
      </c>
      <c r="ET11">
        <v>11.87</v>
      </c>
      <c r="EU11">
        <v>652.76</v>
      </c>
      <c r="EV11">
        <v>4.59</v>
      </c>
      <c r="EW11">
        <v>21.58</v>
      </c>
      <c r="EX11">
        <v>38.840000000000003</v>
      </c>
      <c r="EY11">
        <v>4.59</v>
      </c>
      <c r="EZ11">
        <v>6.47</v>
      </c>
      <c r="FA11">
        <v>31.29</v>
      </c>
      <c r="FB11">
        <v>6.47</v>
      </c>
      <c r="FC11">
        <v>57.18</v>
      </c>
      <c r="FD11">
        <v>14.03</v>
      </c>
      <c r="FE11">
        <v>13465.22</v>
      </c>
      <c r="FF11">
        <v>56.11</v>
      </c>
      <c r="FG11">
        <v>1351.92</v>
      </c>
      <c r="FH11">
        <v>2228.02</v>
      </c>
      <c r="FI11">
        <v>5.39</v>
      </c>
      <c r="FJ11">
        <v>28.05</v>
      </c>
      <c r="FK11">
        <v>511.42</v>
      </c>
      <c r="FL11">
        <v>35.61</v>
      </c>
      <c r="FM11">
        <v>107.89</v>
      </c>
      <c r="FN11">
        <v>979.68</v>
      </c>
      <c r="FO11">
        <v>30.21</v>
      </c>
      <c r="FP11">
        <v>10.79</v>
      </c>
      <c r="FQ11">
        <v>21.58</v>
      </c>
      <c r="FR11">
        <v>5.39</v>
      </c>
      <c r="FS11">
        <v>4.59</v>
      </c>
      <c r="FT11">
        <v>28.05</v>
      </c>
      <c r="FU11">
        <v>1690.71</v>
      </c>
      <c r="FV11">
        <v>715.34</v>
      </c>
      <c r="FW11">
        <v>15.11</v>
      </c>
      <c r="FX11">
        <v>20.5</v>
      </c>
      <c r="FY11">
        <v>5.39</v>
      </c>
      <c r="FZ11">
        <v>2702.75</v>
      </c>
      <c r="GA11">
        <v>55.03</v>
      </c>
      <c r="GB11">
        <v>26.97</v>
      </c>
      <c r="GC11">
        <v>4.59</v>
      </c>
      <c r="GD11">
        <v>25.89</v>
      </c>
      <c r="GE11">
        <v>171.55</v>
      </c>
      <c r="GF11">
        <v>517.89</v>
      </c>
      <c r="GG11">
        <v>2183.7800000000002</v>
      </c>
      <c r="GH11">
        <v>898.76</v>
      </c>
      <c r="GI11">
        <v>5990.3</v>
      </c>
      <c r="GJ11">
        <v>86.32</v>
      </c>
      <c r="GK11">
        <v>10201.41</v>
      </c>
      <c r="GL11">
        <v>17.260000000000002</v>
      </c>
      <c r="GM11">
        <v>5.39</v>
      </c>
      <c r="GN11">
        <v>9.7100000000000009</v>
      </c>
      <c r="GO11">
        <v>198.53</v>
      </c>
      <c r="GP11">
        <v>20.5</v>
      </c>
      <c r="GQ11">
        <v>7.55</v>
      </c>
      <c r="GR11">
        <v>67.97</v>
      </c>
      <c r="GS11">
        <v>290.24</v>
      </c>
      <c r="GT11">
        <v>254.63</v>
      </c>
      <c r="GU11">
        <v>4.59</v>
      </c>
      <c r="GV11">
        <v>23.74</v>
      </c>
      <c r="GW11">
        <v>522.21</v>
      </c>
      <c r="GX11">
        <v>362.53</v>
      </c>
      <c r="GY11">
        <v>120.84</v>
      </c>
      <c r="GZ11">
        <v>208.24</v>
      </c>
      <c r="HA11">
        <v>114.37</v>
      </c>
      <c r="HB11">
        <v>666.79</v>
      </c>
      <c r="HC11">
        <v>157.53</v>
      </c>
      <c r="HD11">
        <v>5154.1099999999997</v>
      </c>
      <c r="HE11">
        <v>9.7100000000000009</v>
      </c>
      <c r="HF11">
        <v>5114.1899999999996</v>
      </c>
      <c r="HG11">
        <v>192.05</v>
      </c>
      <c r="HH11">
        <v>645.21</v>
      </c>
      <c r="HI11">
        <v>4.59</v>
      </c>
      <c r="HJ11">
        <v>1600.07</v>
      </c>
      <c r="HK11">
        <v>6268.66</v>
      </c>
      <c r="HL11">
        <v>974.29</v>
      </c>
      <c r="HM11">
        <v>140.26</v>
      </c>
      <c r="HN11">
        <v>1473.84</v>
      </c>
      <c r="HO11">
        <v>4.59</v>
      </c>
      <c r="HP11">
        <v>61.5</v>
      </c>
      <c r="HQ11">
        <v>8846.26</v>
      </c>
      <c r="HR11">
        <v>74.45</v>
      </c>
      <c r="HS11">
        <v>4.59</v>
      </c>
      <c r="HT11">
        <v>142.41999999999999</v>
      </c>
      <c r="HU11">
        <v>172.63</v>
      </c>
      <c r="HV11">
        <v>132.71</v>
      </c>
      <c r="HW11">
        <v>6130.56</v>
      </c>
      <c r="HX11">
        <v>6.47</v>
      </c>
      <c r="HY11">
        <v>17.260000000000002</v>
      </c>
      <c r="HZ11">
        <v>167.24</v>
      </c>
      <c r="IA11">
        <v>570.76</v>
      </c>
      <c r="IB11">
        <v>156.44999999999999</v>
      </c>
      <c r="IC11">
        <v>7.55</v>
      </c>
      <c r="ID11">
        <v>9.7100000000000009</v>
      </c>
      <c r="IE11">
        <v>37.76</v>
      </c>
      <c r="IF11">
        <v>1061.68</v>
      </c>
      <c r="IG11">
        <v>34.53</v>
      </c>
      <c r="IH11">
        <v>4.59</v>
      </c>
      <c r="II11">
        <v>59.34</v>
      </c>
      <c r="IJ11">
        <v>80.92</v>
      </c>
      <c r="IK11">
        <v>5.39</v>
      </c>
      <c r="IL11">
        <v>386.26</v>
      </c>
      <c r="IM11">
        <v>55.03</v>
      </c>
      <c r="IN11">
        <v>45.32</v>
      </c>
      <c r="IO11">
        <v>264.33999999999997</v>
      </c>
      <c r="IP11">
        <v>4.59</v>
      </c>
      <c r="IQ11">
        <v>4.59</v>
      </c>
      <c r="IR11">
        <v>4.59</v>
      </c>
      <c r="IS11">
        <v>25.89</v>
      </c>
      <c r="IT11">
        <v>4.59</v>
      </c>
      <c r="IU11">
        <v>148.88999999999999</v>
      </c>
      <c r="IV11">
        <v>1729.55</v>
      </c>
      <c r="IW11">
        <v>162.91999999999999</v>
      </c>
      <c r="IX11">
        <v>7138.29</v>
      </c>
      <c r="IY11">
        <v>30.21</v>
      </c>
      <c r="IZ11">
        <v>12.95</v>
      </c>
      <c r="JA11">
        <v>39.92</v>
      </c>
      <c r="JB11">
        <v>1628.13</v>
      </c>
      <c r="JC11">
        <v>90.63</v>
      </c>
      <c r="JD11">
        <v>201.76</v>
      </c>
      <c r="JE11">
        <v>24.82</v>
      </c>
      <c r="JF11">
        <v>6.47</v>
      </c>
      <c r="JG11">
        <v>102.5</v>
      </c>
      <c r="JH11">
        <v>275.13</v>
      </c>
      <c r="JI11">
        <v>210.39</v>
      </c>
      <c r="JJ11">
        <v>90.63</v>
      </c>
      <c r="JK11">
        <v>88.47</v>
      </c>
      <c r="JL11">
        <v>45.32</v>
      </c>
      <c r="JM11">
        <v>16.18</v>
      </c>
      <c r="JN11">
        <v>9.7100000000000009</v>
      </c>
      <c r="JO11">
        <v>275.13</v>
      </c>
      <c r="JP11">
        <v>1184.68</v>
      </c>
      <c r="JQ11">
        <v>1703.65</v>
      </c>
      <c r="JR11">
        <v>25.89</v>
      </c>
      <c r="JS11">
        <v>8.6300000000000008</v>
      </c>
      <c r="JT11">
        <v>159.68</v>
      </c>
      <c r="JU11">
        <v>333.39</v>
      </c>
      <c r="JV11">
        <v>529.76</v>
      </c>
      <c r="JW11">
        <v>33.450000000000003</v>
      </c>
      <c r="JX11">
        <v>63.66</v>
      </c>
      <c r="JY11">
        <v>225.5</v>
      </c>
      <c r="JZ11">
        <v>20.5</v>
      </c>
      <c r="KA11">
        <v>6.47</v>
      </c>
      <c r="KB11">
        <v>11.87</v>
      </c>
      <c r="KC11">
        <v>4.59</v>
      </c>
      <c r="KD11">
        <v>15.11</v>
      </c>
      <c r="KE11">
        <v>97.1</v>
      </c>
      <c r="KF11">
        <v>42.08</v>
      </c>
      <c r="KG11">
        <v>137.03</v>
      </c>
      <c r="KH11">
        <v>71.209999999999994</v>
      </c>
      <c r="KI11">
        <v>379.79</v>
      </c>
      <c r="KJ11">
        <v>162.91999999999999</v>
      </c>
      <c r="KK11">
        <v>173.71</v>
      </c>
      <c r="KL11">
        <v>36.68</v>
      </c>
      <c r="KM11">
        <v>67.97</v>
      </c>
      <c r="KN11">
        <v>210.39</v>
      </c>
      <c r="KO11">
        <v>404.6</v>
      </c>
      <c r="KP11">
        <v>69.05</v>
      </c>
      <c r="KQ11">
        <v>3018.89</v>
      </c>
      <c r="KR11">
        <v>764.97</v>
      </c>
      <c r="KS11">
        <v>838.34</v>
      </c>
      <c r="KT11">
        <v>13128.59</v>
      </c>
      <c r="KU11">
        <v>55109.21</v>
      </c>
      <c r="KV11">
        <v>3748.25</v>
      </c>
      <c r="KW11">
        <v>60.42</v>
      </c>
      <c r="KX11">
        <v>45.32</v>
      </c>
      <c r="KY11">
        <v>10.79</v>
      </c>
      <c r="KZ11">
        <v>10.79</v>
      </c>
      <c r="LA11">
        <v>172.63</v>
      </c>
      <c r="LB11">
        <v>142.41999999999999</v>
      </c>
      <c r="LC11">
        <v>4.59</v>
      </c>
      <c r="LD11">
        <v>4.59</v>
      </c>
      <c r="LE11">
        <v>4.59</v>
      </c>
      <c r="LF11">
        <v>413.24</v>
      </c>
      <c r="LG11">
        <v>129.47</v>
      </c>
      <c r="LH11">
        <v>4.59</v>
      </c>
      <c r="LI11">
        <v>6980.77</v>
      </c>
      <c r="LJ11">
        <v>584.79</v>
      </c>
      <c r="LK11">
        <v>1997.13</v>
      </c>
      <c r="LL11">
        <v>145.66</v>
      </c>
      <c r="LM11">
        <v>4.59</v>
      </c>
      <c r="LN11">
        <v>359.29</v>
      </c>
      <c r="LO11">
        <v>32.369999999999997</v>
      </c>
      <c r="LP11">
        <v>2622.91</v>
      </c>
      <c r="LQ11">
        <v>21.58</v>
      </c>
      <c r="LR11">
        <v>108.97</v>
      </c>
      <c r="LS11">
        <v>55.03</v>
      </c>
      <c r="LT11">
        <v>10.79</v>
      </c>
      <c r="LU11">
        <v>47.47</v>
      </c>
      <c r="LV11">
        <v>85.24</v>
      </c>
      <c r="LW11">
        <v>328</v>
      </c>
      <c r="LX11">
        <v>3480.67</v>
      </c>
      <c r="LY11">
        <v>1668.05</v>
      </c>
      <c r="LZ11">
        <v>8703.84</v>
      </c>
      <c r="MA11">
        <v>267.58</v>
      </c>
      <c r="MB11">
        <v>1016.37</v>
      </c>
      <c r="MC11">
        <v>895.52</v>
      </c>
      <c r="MD11">
        <v>165.08</v>
      </c>
      <c r="ME11">
        <v>172.63</v>
      </c>
      <c r="MF11">
        <v>552.41999999999996</v>
      </c>
      <c r="MG11">
        <v>1591.44</v>
      </c>
      <c r="MH11">
        <v>650.6</v>
      </c>
      <c r="MI11">
        <v>8.6300000000000008</v>
      </c>
      <c r="MJ11">
        <v>496.31</v>
      </c>
      <c r="MK11">
        <v>4.59</v>
      </c>
      <c r="ML11">
        <v>1292.57</v>
      </c>
      <c r="MM11">
        <v>1103.76</v>
      </c>
      <c r="MN11">
        <v>862.08</v>
      </c>
      <c r="MO11">
        <v>7.55</v>
      </c>
      <c r="MP11">
        <v>165.08</v>
      </c>
      <c r="MQ11">
        <v>247.08</v>
      </c>
      <c r="MR11">
        <v>15.11</v>
      </c>
      <c r="MS11">
        <v>156.44999999999999</v>
      </c>
      <c r="MT11">
        <v>2489.12</v>
      </c>
      <c r="MU11">
        <v>21.58</v>
      </c>
      <c r="MV11">
        <v>741.23</v>
      </c>
      <c r="MW11">
        <v>220.1</v>
      </c>
      <c r="MX11">
        <v>61.5</v>
      </c>
      <c r="MY11">
        <v>12.95</v>
      </c>
      <c r="MZ11">
        <v>863.16</v>
      </c>
      <c r="NA11">
        <v>57.18</v>
      </c>
      <c r="NB11">
        <v>5085.0600000000004</v>
      </c>
      <c r="NC11">
        <v>5839.24</v>
      </c>
      <c r="ND11">
        <v>4096.75</v>
      </c>
      <c r="NE11">
        <v>820</v>
      </c>
      <c r="NF11">
        <v>6.47</v>
      </c>
      <c r="NG11">
        <v>4.59</v>
      </c>
      <c r="NH11">
        <v>44.24</v>
      </c>
      <c r="NI11">
        <v>3958.64</v>
      </c>
      <c r="NJ11">
        <v>294.55</v>
      </c>
      <c r="NK11">
        <v>91.71</v>
      </c>
      <c r="NL11">
        <v>82</v>
      </c>
      <c r="NM11">
        <v>3465.57</v>
      </c>
      <c r="NN11">
        <v>125.16</v>
      </c>
      <c r="NO11">
        <v>19.420000000000002</v>
      </c>
      <c r="NP11">
        <v>4.59</v>
      </c>
      <c r="NQ11">
        <v>2033.81</v>
      </c>
      <c r="NR11">
        <v>475.81</v>
      </c>
      <c r="NS11">
        <v>257.87</v>
      </c>
      <c r="NT11">
        <v>1540.73</v>
      </c>
      <c r="NU11">
        <v>680.81</v>
      </c>
      <c r="NV11">
        <v>371.16</v>
      </c>
      <c r="NW11">
        <v>276.20999999999998</v>
      </c>
      <c r="NX11">
        <v>38.840000000000003</v>
      </c>
      <c r="NY11">
        <v>65.819999999999993</v>
      </c>
      <c r="NZ11">
        <v>425.1</v>
      </c>
      <c r="OA11">
        <v>39.92</v>
      </c>
      <c r="OB11">
        <v>351.74</v>
      </c>
      <c r="OC11">
        <v>1386.44</v>
      </c>
      <c r="OD11">
        <v>169.39</v>
      </c>
      <c r="OE11">
        <v>4329.8</v>
      </c>
      <c r="OF11">
        <v>10.79</v>
      </c>
      <c r="OG11">
        <v>4493.8</v>
      </c>
      <c r="OH11">
        <v>104.66</v>
      </c>
      <c r="OI11">
        <v>24.82</v>
      </c>
      <c r="OJ11">
        <v>11.87</v>
      </c>
      <c r="OK11">
        <v>859.92</v>
      </c>
      <c r="OL11">
        <v>186.66</v>
      </c>
      <c r="OM11">
        <v>166.16</v>
      </c>
      <c r="ON11">
        <v>309.66000000000003</v>
      </c>
      <c r="OO11">
        <v>603.13</v>
      </c>
      <c r="OP11">
        <v>430.5</v>
      </c>
      <c r="OQ11">
        <v>459.63</v>
      </c>
      <c r="OR11">
        <v>22.66</v>
      </c>
      <c r="OS11">
        <v>851.29</v>
      </c>
      <c r="OT11">
        <v>219.03</v>
      </c>
      <c r="OU11">
        <v>38.840000000000003</v>
      </c>
      <c r="OV11">
        <v>299.95</v>
      </c>
      <c r="OW11">
        <v>4.59</v>
      </c>
      <c r="OX11">
        <v>35.61</v>
      </c>
      <c r="OY11">
        <v>4.59</v>
      </c>
      <c r="OZ11">
        <v>4.59</v>
      </c>
      <c r="PA11">
        <v>5.39</v>
      </c>
      <c r="PB11">
        <v>10.79</v>
      </c>
      <c r="PC11">
        <v>4.59</v>
      </c>
      <c r="PD11">
        <v>19.420000000000002</v>
      </c>
      <c r="PE11">
        <v>9.7100000000000009</v>
      </c>
      <c r="PF11">
        <v>666.79</v>
      </c>
      <c r="PG11">
        <v>30.21</v>
      </c>
      <c r="PH11">
        <v>49.63</v>
      </c>
      <c r="PI11">
        <v>47.47</v>
      </c>
      <c r="PJ11">
        <v>26003.62</v>
      </c>
      <c r="PK11">
        <v>34914.620000000003</v>
      </c>
      <c r="PL11">
        <v>18.34</v>
      </c>
      <c r="PM11">
        <v>20488.060000000001</v>
      </c>
      <c r="PN11">
        <v>1035.79</v>
      </c>
      <c r="PO11">
        <v>52.87</v>
      </c>
      <c r="PP11">
        <v>511.42</v>
      </c>
      <c r="PQ11">
        <v>18.34</v>
      </c>
      <c r="PR11">
        <v>53.95</v>
      </c>
      <c r="PS11">
        <v>14.03</v>
      </c>
      <c r="PT11">
        <v>17.260000000000002</v>
      </c>
      <c r="PU11">
        <v>101.42</v>
      </c>
      <c r="PV11">
        <v>217.95</v>
      </c>
      <c r="PW11">
        <v>59.34</v>
      </c>
      <c r="PX11">
        <v>10.79</v>
      </c>
      <c r="PY11">
        <v>401.37</v>
      </c>
      <c r="PZ11">
        <v>18.34</v>
      </c>
      <c r="QA11">
        <v>102.5</v>
      </c>
      <c r="QB11">
        <v>1084.3399999999999</v>
      </c>
      <c r="QC11">
        <v>11.87</v>
      </c>
      <c r="QD11">
        <v>4.59</v>
      </c>
      <c r="QE11">
        <v>4.59</v>
      </c>
      <c r="QF11">
        <v>4.59</v>
      </c>
      <c r="QG11">
        <v>17.260000000000002</v>
      </c>
      <c r="QH11">
        <v>7.55</v>
      </c>
      <c r="QI11">
        <v>4.59</v>
      </c>
      <c r="QJ11">
        <v>345.26</v>
      </c>
      <c r="QK11">
        <v>29.13</v>
      </c>
      <c r="QL11">
        <v>243.84</v>
      </c>
      <c r="QM11">
        <v>1002.34</v>
      </c>
      <c r="QN11">
        <v>711.02</v>
      </c>
      <c r="QO11">
        <v>33.450000000000003</v>
      </c>
      <c r="QP11">
        <v>164</v>
      </c>
      <c r="QQ11">
        <v>281.60000000000002</v>
      </c>
      <c r="QR11">
        <v>43.16</v>
      </c>
      <c r="QS11">
        <v>2025.18</v>
      </c>
      <c r="QT11">
        <v>1313.07</v>
      </c>
      <c r="QU11">
        <v>32.369999999999997</v>
      </c>
      <c r="QV11">
        <v>196.37</v>
      </c>
      <c r="QW11">
        <v>144.58000000000001</v>
      </c>
      <c r="QX11">
        <v>269.74</v>
      </c>
      <c r="QY11">
        <v>46.39</v>
      </c>
      <c r="QZ11">
        <v>17.260000000000002</v>
      </c>
      <c r="RA11">
        <v>123</v>
      </c>
      <c r="RB11">
        <v>7625.98</v>
      </c>
      <c r="RC11">
        <v>77.680000000000007</v>
      </c>
      <c r="RD11">
        <v>2695.2</v>
      </c>
      <c r="RE11">
        <v>82</v>
      </c>
      <c r="RF11">
        <v>26.97</v>
      </c>
      <c r="RG11">
        <v>307.5</v>
      </c>
      <c r="RH11">
        <v>16.18</v>
      </c>
      <c r="RI11">
        <v>4.59</v>
      </c>
      <c r="RJ11">
        <v>74.45</v>
      </c>
      <c r="RK11">
        <v>5.39</v>
      </c>
      <c r="RL11">
        <v>158.6</v>
      </c>
      <c r="RM11">
        <v>130.55000000000001</v>
      </c>
      <c r="RN11">
        <v>378.71</v>
      </c>
      <c r="RO11">
        <v>617.16</v>
      </c>
      <c r="RP11">
        <v>196.37</v>
      </c>
      <c r="RQ11">
        <v>712.1</v>
      </c>
      <c r="RR11">
        <v>4.59</v>
      </c>
      <c r="RS11">
        <v>504.95</v>
      </c>
      <c r="RT11">
        <v>516.80999999999995</v>
      </c>
      <c r="RU11">
        <v>11.87</v>
      </c>
      <c r="RV11">
        <v>5.39</v>
      </c>
      <c r="RW11">
        <v>90.63</v>
      </c>
      <c r="RX11">
        <v>1984.18</v>
      </c>
      <c r="RY11">
        <v>1822.34</v>
      </c>
      <c r="RZ11">
        <v>12.95</v>
      </c>
      <c r="SA11">
        <v>441.29</v>
      </c>
      <c r="SB11">
        <v>9.7100000000000009</v>
      </c>
      <c r="SC11">
        <v>43.16</v>
      </c>
      <c r="SD11">
        <v>1110.23</v>
      </c>
      <c r="SE11">
        <v>861</v>
      </c>
      <c r="SF11">
        <v>869.63</v>
      </c>
      <c r="SG11">
        <v>5595.4</v>
      </c>
      <c r="SH11">
        <v>178.03</v>
      </c>
      <c r="SI11">
        <v>22.66</v>
      </c>
      <c r="SJ11">
        <v>233.05</v>
      </c>
      <c r="SK11">
        <v>55.03</v>
      </c>
      <c r="SL11">
        <v>165.08</v>
      </c>
      <c r="SM11">
        <v>48.55</v>
      </c>
      <c r="SN11">
        <v>108.97</v>
      </c>
      <c r="SO11">
        <v>4.59</v>
      </c>
      <c r="SP11">
        <v>131.63</v>
      </c>
      <c r="SQ11">
        <v>1013.13</v>
      </c>
      <c r="SR11">
        <v>1584.97</v>
      </c>
      <c r="SS11">
        <v>2503.15</v>
      </c>
      <c r="ST11">
        <v>321.52999999999997</v>
      </c>
      <c r="SU11">
        <v>447.76</v>
      </c>
      <c r="SV11">
        <v>212.55</v>
      </c>
      <c r="SW11">
        <v>153.21</v>
      </c>
      <c r="SX11">
        <v>186.66</v>
      </c>
      <c r="SY11">
        <v>23.74</v>
      </c>
      <c r="SZ11">
        <v>4.59</v>
      </c>
      <c r="TA11">
        <v>5.39</v>
      </c>
      <c r="TB11">
        <v>1494.34</v>
      </c>
      <c r="TC11">
        <v>937.6</v>
      </c>
      <c r="TD11">
        <v>42.08</v>
      </c>
      <c r="TE11">
        <v>603.13</v>
      </c>
      <c r="TF11">
        <v>489.84</v>
      </c>
      <c r="TG11">
        <v>358.21</v>
      </c>
      <c r="TH11">
        <v>287</v>
      </c>
      <c r="TI11">
        <v>94.95</v>
      </c>
      <c r="TJ11">
        <v>9.7100000000000009</v>
      </c>
      <c r="TK11">
        <v>214.71</v>
      </c>
      <c r="TL11">
        <v>102.5</v>
      </c>
      <c r="TM11">
        <v>59.34</v>
      </c>
      <c r="TN11">
        <v>725.05</v>
      </c>
      <c r="TO11">
        <v>740.16</v>
      </c>
      <c r="TP11">
        <v>1337.89</v>
      </c>
      <c r="TQ11">
        <v>90.63</v>
      </c>
      <c r="TR11">
        <v>8.6300000000000008</v>
      </c>
      <c r="TS11">
        <v>419.71</v>
      </c>
      <c r="TT11">
        <v>87.39</v>
      </c>
      <c r="TU11">
        <v>44.24</v>
      </c>
      <c r="TV11">
        <v>278.37</v>
      </c>
      <c r="TW11">
        <v>452.08</v>
      </c>
      <c r="TX11">
        <v>186.66</v>
      </c>
      <c r="TY11">
        <v>10.79</v>
      </c>
      <c r="TZ11">
        <v>49.63</v>
      </c>
      <c r="UA11">
        <v>263.26</v>
      </c>
      <c r="UB11">
        <v>114.37</v>
      </c>
      <c r="UC11">
        <v>8203.2099999999991</v>
      </c>
      <c r="UD11">
        <v>4.59</v>
      </c>
      <c r="UE11">
        <v>5.39</v>
      </c>
      <c r="UF11">
        <v>2858.12</v>
      </c>
      <c r="UG11">
        <v>89.55</v>
      </c>
      <c r="UH11">
        <v>5.39</v>
      </c>
      <c r="UI11">
        <v>28.05</v>
      </c>
      <c r="UJ11">
        <v>4.59</v>
      </c>
      <c r="UK11">
        <v>22.66</v>
      </c>
      <c r="UL11">
        <v>15.11</v>
      </c>
      <c r="UM11">
        <v>8.6300000000000008</v>
      </c>
      <c r="UN11">
        <v>214.71</v>
      </c>
      <c r="UO11">
        <v>182.34</v>
      </c>
      <c r="UP11">
        <v>4.59</v>
      </c>
      <c r="UQ11">
        <v>8.6300000000000008</v>
      </c>
      <c r="UR11">
        <v>5.39</v>
      </c>
      <c r="US11">
        <v>85.24</v>
      </c>
      <c r="UT11">
        <v>181.26</v>
      </c>
      <c r="UU11">
        <v>709.95</v>
      </c>
      <c r="UV11">
        <v>503.87</v>
      </c>
      <c r="UW11">
        <v>436.97</v>
      </c>
      <c r="UX11">
        <v>55.03</v>
      </c>
      <c r="UY11">
        <v>363.6</v>
      </c>
      <c r="UZ11">
        <v>197.45</v>
      </c>
      <c r="VA11">
        <v>5252.3</v>
      </c>
      <c r="VB11">
        <v>1637.84</v>
      </c>
      <c r="VC11">
        <v>48.55</v>
      </c>
      <c r="VD11">
        <v>541.63</v>
      </c>
      <c r="VE11">
        <v>33.450000000000003</v>
      </c>
      <c r="VF11">
        <v>485.52</v>
      </c>
      <c r="VG11">
        <v>33.450000000000003</v>
      </c>
      <c r="VH11">
        <v>28.05</v>
      </c>
      <c r="VI11">
        <v>24.82</v>
      </c>
      <c r="VJ11">
        <v>39.92</v>
      </c>
      <c r="VK11">
        <v>841.58</v>
      </c>
      <c r="VL11">
        <v>1005.58</v>
      </c>
      <c r="VM11">
        <v>1401.55</v>
      </c>
      <c r="VN11">
        <v>597.73</v>
      </c>
      <c r="VO11">
        <v>4.59</v>
      </c>
      <c r="VP11">
        <v>4.59</v>
      </c>
      <c r="VQ11">
        <v>1114.55</v>
      </c>
      <c r="VR11">
        <v>410</v>
      </c>
      <c r="VS11">
        <v>486.6</v>
      </c>
      <c r="VT11">
        <v>22.66</v>
      </c>
      <c r="VU11">
        <v>67.97</v>
      </c>
      <c r="VV11">
        <v>10.79</v>
      </c>
      <c r="VW11">
        <v>311.81</v>
      </c>
      <c r="VX11">
        <v>56.11</v>
      </c>
      <c r="VY11">
        <v>5.39</v>
      </c>
      <c r="VZ11">
        <v>20775.060000000001</v>
      </c>
      <c r="WA11">
        <v>13983.11</v>
      </c>
      <c r="WB11">
        <v>294.55</v>
      </c>
      <c r="WC11">
        <v>103.58</v>
      </c>
      <c r="WD11">
        <v>59.34</v>
      </c>
      <c r="WE11">
        <v>570.76</v>
      </c>
      <c r="WF11">
        <v>124.08</v>
      </c>
      <c r="WG11">
        <v>235.21</v>
      </c>
      <c r="WH11">
        <v>11902.91</v>
      </c>
      <c r="WI11">
        <v>33278.949999999997</v>
      </c>
      <c r="WJ11">
        <v>1867.65</v>
      </c>
      <c r="WK11">
        <v>220.1</v>
      </c>
      <c r="WL11">
        <v>689.45</v>
      </c>
      <c r="WM11">
        <v>8.6300000000000008</v>
      </c>
      <c r="WN11">
        <v>12.95</v>
      </c>
      <c r="WO11">
        <v>4.59</v>
      </c>
      <c r="WP11">
        <v>190.97</v>
      </c>
      <c r="WQ11">
        <v>1765.15</v>
      </c>
      <c r="WR11">
        <v>1663.73</v>
      </c>
      <c r="WS11">
        <v>12.95</v>
      </c>
      <c r="WT11">
        <v>30.21</v>
      </c>
      <c r="WU11">
        <v>611.76</v>
      </c>
      <c r="WV11">
        <v>1875.2</v>
      </c>
      <c r="WW11">
        <v>11.87</v>
      </c>
      <c r="WX11">
        <v>39.92</v>
      </c>
      <c r="WY11">
        <v>28.05</v>
      </c>
      <c r="WZ11">
        <v>10.79</v>
      </c>
      <c r="XA11">
        <v>9.7100000000000009</v>
      </c>
      <c r="XB11">
        <v>565.37</v>
      </c>
      <c r="XC11">
        <v>17.260000000000002</v>
      </c>
      <c r="XD11">
        <v>632.26</v>
      </c>
      <c r="XE11">
        <v>262.18</v>
      </c>
      <c r="XF11">
        <v>709.95</v>
      </c>
      <c r="XG11">
        <v>1621.65</v>
      </c>
      <c r="XH11">
        <v>255.71</v>
      </c>
      <c r="XI11">
        <v>3328.54</v>
      </c>
      <c r="XJ11">
        <v>487.68</v>
      </c>
      <c r="XK11">
        <v>989.39</v>
      </c>
      <c r="XL11">
        <v>120.84</v>
      </c>
      <c r="XM11">
        <v>183.42</v>
      </c>
      <c r="XN11">
        <v>310.74</v>
      </c>
      <c r="XO11">
        <v>10.79</v>
      </c>
      <c r="XP11">
        <v>48.55</v>
      </c>
      <c r="XQ11">
        <v>8.6300000000000008</v>
      </c>
      <c r="XR11">
        <v>4.59</v>
      </c>
      <c r="XS11">
        <v>559.97</v>
      </c>
      <c r="XT11">
        <v>226.58</v>
      </c>
      <c r="XU11">
        <v>542.71</v>
      </c>
      <c r="XV11">
        <v>353.89</v>
      </c>
      <c r="XW11">
        <v>730.45</v>
      </c>
      <c r="XX11">
        <v>1276.3900000000001</v>
      </c>
      <c r="XY11">
        <v>2284.12</v>
      </c>
      <c r="XZ11">
        <v>64.739999999999995</v>
      </c>
      <c r="YA11">
        <v>924.65</v>
      </c>
      <c r="YB11">
        <v>160.76</v>
      </c>
      <c r="YC11">
        <v>25.89</v>
      </c>
      <c r="YD11">
        <v>1112.3900000000001</v>
      </c>
      <c r="YE11">
        <v>565.37</v>
      </c>
      <c r="YF11">
        <v>711.02</v>
      </c>
      <c r="YG11">
        <v>59.34</v>
      </c>
      <c r="YH11">
        <v>6.47</v>
      </c>
      <c r="YI11">
        <v>17.260000000000002</v>
      </c>
      <c r="YJ11">
        <v>466.1</v>
      </c>
      <c r="YK11">
        <v>4.59</v>
      </c>
      <c r="YL11">
        <v>120.84</v>
      </c>
      <c r="YM11">
        <v>3820.54</v>
      </c>
      <c r="YN11">
        <v>868.55</v>
      </c>
      <c r="YO11">
        <v>362.53</v>
      </c>
      <c r="YP11">
        <v>2606.73</v>
      </c>
      <c r="YQ11">
        <v>238.45</v>
      </c>
      <c r="YR11">
        <v>252.47</v>
      </c>
      <c r="YS11">
        <v>11203.75</v>
      </c>
      <c r="YT11">
        <v>79.84</v>
      </c>
      <c r="YU11">
        <v>590.17999999999995</v>
      </c>
      <c r="YV11">
        <v>6.47</v>
      </c>
      <c r="YW11">
        <v>28.05</v>
      </c>
      <c r="YX11">
        <v>39.92</v>
      </c>
      <c r="YY11">
        <v>283.76</v>
      </c>
      <c r="YZ11">
        <v>61.5</v>
      </c>
      <c r="ZA11">
        <v>45.32</v>
      </c>
      <c r="ZB11">
        <v>11.87</v>
      </c>
      <c r="ZC11">
        <v>4.59</v>
      </c>
      <c r="ZD11">
        <v>63.66</v>
      </c>
      <c r="ZE11">
        <v>12.95</v>
      </c>
      <c r="ZF11">
        <v>121.92</v>
      </c>
      <c r="ZG11">
        <v>387.34</v>
      </c>
      <c r="ZH11">
        <v>195.29</v>
      </c>
      <c r="ZI11">
        <v>908.47</v>
      </c>
      <c r="ZJ11">
        <v>739.08</v>
      </c>
      <c r="ZK11">
        <v>490.92</v>
      </c>
      <c r="ZL11">
        <v>4.59</v>
      </c>
      <c r="ZM11">
        <v>223.34</v>
      </c>
      <c r="ZN11">
        <v>19.420000000000002</v>
      </c>
      <c r="ZO11">
        <v>9.7100000000000009</v>
      </c>
      <c r="ZP11">
        <v>224.42</v>
      </c>
      <c r="ZQ11">
        <v>4.59</v>
      </c>
      <c r="ZR11">
        <v>14.03</v>
      </c>
      <c r="ZS11">
        <v>1113.47</v>
      </c>
      <c r="ZT11">
        <v>176.95</v>
      </c>
      <c r="ZU11">
        <v>208.24</v>
      </c>
      <c r="ZV11">
        <v>12.95</v>
      </c>
      <c r="ZW11">
        <v>9.7100000000000009</v>
      </c>
      <c r="ZX11">
        <v>31.29</v>
      </c>
      <c r="ZY11">
        <v>330.16</v>
      </c>
      <c r="ZZ11">
        <v>157.53</v>
      </c>
      <c r="AAA11">
        <v>12.95</v>
      </c>
      <c r="AAB11">
        <v>46.39</v>
      </c>
      <c r="AAC11">
        <v>4.59</v>
      </c>
      <c r="AAD11">
        <v>26.97</v>
      </c>
      <c r="AAE11">
        <v>7.55</v>
      </c>
      <c r="AAF11">
        <v>28.05</v>
      </c>
      <c r="AAG11">
        <v>363.6</v>
      </c>
      <c r="AAH11">
        <v>152.13</v>
      </c>
      <c r="AAI11">
        <v>8284.1299999999992</v>
      </c>
      <c r="AAJ11">
        <v>2677.94</v>
      </c>
      <c r="AAK11">
        <v>83.08</v>
      </c>
      <c r="AAL11">
        <v>233.05</v>
      </c>
      <c r="AAM11">
        <v>6.47</v>
      </c>
      <c r="AAN11">
        <v>310.74</v>
      </c>
      <c r="AAO11">
        <v>18.34</v>
      </c>
      <c r="AAP11">
        <v>149.97</v>
      </c>
      <c r="AAQ11">
        <v>45.32</v>
      </c>
      <c r="AAR11">
        <v>83.08</v>
      </c>
      <c r="AAS11">
        <v>2175.15</v>
      </c>
      <c r="AAT11">
        <v>57.18</v>
      </c>
      <c r="AAU11">
        <v>5.39</v>
      </c>
      <c r="AAV11">
        <v>905.23</v>
      </c>
      <c r="AAW11">
        <v>41</v>
      </c>
      <c r="AAX11">
        <v>41</v>
      </c>
      <c r="AAY11">
        <v>37.76</v>
      </c>
      <c r="AAZ11">
        <v>33.450000000000003</v>
      </c>
      <c r="ABA11">
        <v>250.31</v>
      </c>
      <c r="ABB11">
        <v>5.39</v>
      </c>
      <c r="ABC11">
        <v>866.39</v>
      </c>
      <c r="ABD11">
        <v>1247.26</v>
      </c>
      <c r="ABE11">
        <v>571.84</v>
      </c>
      <c r="ABF11">
        <v>839.42</v>
      </c>
      <c r="ABG11">
        <v>64.739999999999995</v>
      </c>
      <c r="ABH11">
        <v>433.74</v>
      </c>
      <c r="ABI11">
        <v>17.260000000000002</v>
      </c>
      <c r="ABJ11">
        <v>49.63</v>
      </c>
      <c r="ABK11">
        <v>83.08</v>
      </c>
      <c r="ABL11">
        <v>7.55</v>
      </c>
      <c r="ABM11">
        <v>50.71</v>
      </c>
      <c r="ABN11">
        <v>51.79</v>
      </c>
      <c r="ABO11">
        <v>7.55</v>
      </c>
      <c r="ABP11">
        <v>12.95</v>
      </c>
      <c r="ABQ11">
        <v>899.84</v>
      </c>
      <c r="ABR11">
        <v>33.450000000000003</v>
      </c>
      <c r="ABS11">
        <v>2191.33</v>
      </c>
      <c r="ABT11">
        <v>4.59</v>
      </c>
      <c r="ABU11">
        <v>8.6300000000000008</v>
      </c>
      <c r="ABV11">
        <v>162.91999999999999</v>
      </c>
      <c r="ABW11">
        <v>390.58</v>
      </c>
      <c r="ABX11">
        <v>649.52</v>
      </c>
      <c r="ABY11">
        <v>553.5</v>
      </c>
      <c r="ABZ11">
        <v>222.26</v>
      </c>
      <c r="ACA11">
        <v>711.02</v>
      </c>
      <c r="ACB11">
        <v>165.08</v>
      </c>
      <c r="ACC11">
        <v>170.47</v>
      </c>
      <c r="ACD11">
        <v>378.71</v>
      </c>
      <c r="ACE11">
        <v>142.41999999999999</v>
      </c>
      <c r="ACF11">
        <v>6708.87</v>
      </c>
      <c r="ACG11">
        <v>2161.12</v>
      </c>
      <c r="ACH11">
        <v>617.16</v>
      </c>
      <c r="ACI11">
        <v>318.29000000000002</v>
      </c>
      <c r="ACJ11">
        <v>963.5</v>
      </c>
      <c r="ACK11">
        <v>468.26</v>
      </c>
      <c r="ACL11">
        <v>64.739999999999995</v>
      </c>
      <c r="ACM11">
        <v>455.31</v>
      </c>
      <c r="ACN11">
        <v>422.95</v>
      </c>
      <c r="ACO11">
        <v>651.67999999999995</v>
      </c>
      <c r="ACP11">
        <v>585.87</v>
      </c>
      <c r="ACQ11">
        <v>348.5</v>
      </c>
      <c r="ACR11">
        <v>3117.07</v>
      </c>
    </row>
    <row r="12" spans="1:772" x14ac:dyDescent="0.3">
      <c r="A12" t="s">
        <v>8</v>
      </c>
      <c r="B12" t="s">
        <v>2</v>
      </c>
      <c r="C12">
        <v>209.93</v>
      </c>
      <c r="D12">
        <v>81.48</v>
      </c>
      <c r="E12">
        <v>1199.3800000000001</v>
      </c>
      <c r="F12">
        <v>28.63</v>
      </c>
      <c r="G12">
        <v>4908.37</v>
      </c>
      <c r="H12">
        <v>82.94</v>
      </c>
      <c r="I12">
        <v>1442.34</v>
      </c>
      <c r="J12">
        <v>11071.91</v>
      </c>
      <c r="K12">
        <v>469.04</v>
      </c>
      <c r="L12">
        <v>33.03</v>
      </c>
      <c r="M12">
        <v>66.8</v>
      </c>
      <c r="N12">
        <v>2643.93</v>
      </c>
      <c r="O12">
        <v>69.73</v>
      </c>
      <c r="P12">
        <v>367.74</v>
      </c>
      <c r="Q12">
        <v>95.42</v>
      </c>
      <c r="R12">
        <v>1005.6</v>
      </c>
      <c r="S12">
        <v>29.36</v>
      </c>
      <c r="T12">
        <v>286.27</v>
      </c>
      <c r="U12">
        <v>372.88</v>
      </c>
      <c r="V12">
        <v>296.54000000000002</v>
      </c>
      <c r="W12">
        <v>5103.62</v>
      </c>
      <c r="X12">
        <v>21.29</v>
      </c>
      <c r="Y12">
        <v>177.63</v>
      </c>
      <c r="Z12">
        <v>416.92</v>
      </c>
      <c r="AA12">
        <v>70.47</v>
      </c>
      <c r="AB12">
        <v>5845.71</v>
      </c>
      <c r="AC12">
        <v>504.27</v>
      </c>
      <c r="AD12">
        <v>187.17</v>
      </c>
      <c r="AE12">
        <v>838.25</v>
      </c>
      <c r="AF12">
        <v>39004.18</v>
      </c>
      <c r="AG12">
        <v>311.95999999999998</v>
      </c>
      <c r="AH12">
        <v>149.74</v>
      </c>
      <c r="AI12">
        <v>78.540000000000006</v>
      </c>
      <c r="AJ12">
        <v>609.23</v>
      </c>
      <c r="AK12">
        <v>198.92</v>
      </c>
      <c r="AL12">
        <v>104.23</v>
      </c>
      <c r="AM12">
        <v>387.56</v>
      </c>
      <c r="AN12">
        <v>38.9</v>
      </c>
      <c r="AO12">
        <v>1468.03</v>
      </c>
      <c r="AP12">
        <v>43.31</v>
      </c>
      <c r="AQ12">
        <v>135.06</v>
      </c>
      <c r="AR12">
        <v>344.99</v>
      </c>
      <c r="AS12">
        <v>38.9</v>
      </c>
      <c r="AT12">
        <v>7.9</v>
      </c>
      <c r="AU12">
        <v>20.55</v>
      </c>
      <c r="AV12">
        <v>936.61</v>
      </c>
      <c r="AW12">
        <v>570.33000000000004</v>
      </c>
      <c r="AX12">
        <v>5351.72</v>
      </c>
      <c r="AY12">
        <v>30.09</v>
      </c>
      <c r="AZ12">
        <v>63.13</v>
      </c>
      <c r="BA12">
        <v>361.14</v>
      </c>
      <c r="BB12">
        <v>610.70000000000005</v>
      </c>
      <c r="BC12">
        <v>68.260000000000005</v>
      </c>
      <c r="BD12">
        <v>8.81</v>
      </c>
      <c r="BE12">
        <v>183.5</v>
      </c>
      <c r="BF12">
        <v>259.83999999999997</v>
      </c>
      <c r="BG12">
        <v>60.92</v>
      </c>
      <c r="BH12">
        <v>33.76</v>
      </c>
      <c r="BI12">
        <v>22.75</v>
      </c>
      <c r="BJ12">
        <v>17.62</v>
      </c>
      <c r="BK12">
        <v>137.26</v>
      </c>
      <c r="BL12">
        <v>538.03</v>
      </c>
      <c r="BM12">
        <v>59.46</v>
      </c>
      <c r="BN12">
        <v>111.57</v>
      </c>
      <c r="BO12">
        <v>66.8</v>
      </c>
      <c r="BP12">
        <v>27.16</v>
      </c>
      <c r="BQ12">
        <v>8.81</v>
      </c>
      <c r="BR12">
        <v>76.34</v>
      </c>
      <c r="BS12">
        <v>10.28</v>
      </c>
      <c r="BT12">
        <v>1351.32</v>
      </c>
      <c r="BU12">
        <v>1251.5</v>
      </c>
      <c r="BV12">
        <v>16.149999999999999</v>
      </c>
      <c r="BW12">
        <v>110.84</v>
      </c>
      <c r="BX12">
        <v>1237.55</v>
      </c>
      <c r="BY12">
        <v>431.6</v>
      </c>
      <c r="BZ12">
        <v>959.36</v>
      </c>
      <c r="CA12">
        <v>115.97</v>
      </c>
      <c r="CB12">
        <v>171.76</v>
      </c>
      <c r="CC12">
        <v>86.61</v>
      </c>
      <c r="CD12">
        <v>80.739999999999995</v>
      </c>
      <c r="CE12">
        <v>432.34</v>
      </c>
      <c r="CF12">
        <v>496.93</v>
      </c>
      <c r="CG12">
        <v>83.68</v>
      </c>
      <c r="CH12">
        <v>157.81</v>
      </c>
      <c r="CI12">
        <v>25.69</v>
      </c>
      <c r="CJ12">
        <v>27.89</v>
      </c>
      <c r="CK12">
        <v>45.51</v>
      </c>
      <c r="CL12">
        <v>34.5</v>
      </c>
      <c r="CM12">
        <v>539.5</v>
      </c>
      <c r="CN12">
        <v>88.08</v>
      </c>
      <c r="CO12">
        <v>13.21</v>
      </c>
      <c r="CP12">
        <v>7.9</v>
      </c>
      <c r="CQ12">
        <v>29.36</v>
      </c>
      <c r="CR12">
        <v>73.400000000000006</v>
      </c>
      <c r="CS12">
        <v>7.9</v>
      </c>
      <c r="CT12">
        <v>17.62</v>
      </c>
      <c r="CU12">
        <v>22.02</v>
      </c>
      <c r="CV12">
        <v>93.95</v>
      </c>
      <c r="CW12">
        <v>2120.5700000000002</v>
      </c>
      <c r="CX12">
        <v>33.76</v>
      </c>
      <c r="CY12">
        <v>181.3</v>
      </c>
      <c r="CZ12">
        <v>36.700000000000003</v>
      </c>
      <c r="DA12">
        <v>15.41</v>
      </c>
      <c r="DB12">
        <v>42.57</v>
      </c>
      <c r="DC12">
        <v>46.24</v>
      </c>
      <c r="DD12">
        <v>13.21</v>
      </c>
      <c r="DE12">
        <v>23.49</v>
      </c>
      <c r="DF12">
        <v>214.33</v>
      </c>
      <c r="DG12">
        <v>13.21</v>
      </c>
      <c r="DH12">
        <v>3140.12</v>
      </c>
      <c r="DI12">
        <v>7.9</v>
      </c>
      <c r="DJ12">
        <v>23.49</v>
      </c>
      <c r="DK12">
        <v>104.23</v>
      </c>
      <c r="DL12">
        <v>1257.3699999999999</v>
      </c>
      <c r="DM12">
        <v>69.73</v>
      </c>
      <c r="DN12">
        <v>13.95</v>
      </c>
      <c r="DO12">
        <v>59.46</v>
      </c>
      <c r="DP12">
        <v>27.16</v>
      </c>
      <c r="DQ12">
        <v>1917.25</v>
      </c>
      <c r="DR12">
        <v>44.04</v>
      </c>
      <c r="DS12">
        <v>18.350000000000001</v>
      </c>
      <c r="DT12">
        <v>37.43</v>
      </c>
      <c r="DU12">
        <v>2453.8200000000002</v>
      </c>
      <c r="DV12">
        <v>14.68</v>
      </c>
      <c r="DW12">
        <v>23.49</v>
      </c>
      <c r="DX12">
        <v>69.73</v>
      </c>
      <c r="DY12">
        <v>54.32</v>
      </c>
      <c r="DZ12">
        <v>63.86</v>
      </c>
      <c r="EA12">
        <v>43.31</v>
      </c>
      <c r="EB12">
        <v>51.38</v>
      </c>
      <c r="EC12">
        <v>17.62</v>
      </c>
      <c r="ED12">
        <v>24.22</v>
      </c>
      <c r="EE12">
        <v>7.9</v>
      </c>
      <c r="EF12">
        <v>2337.84</v>
      </c>
      <c r="EG12">
        <v>1161.21</v>
      </c>
      <c r="EH12">
        <v>180.57</v>
      </c>
      <c r="EI12">
        <v>41.84</v>
      </c>
      <c r="EJ12">
        <v>693.65</v>
      </c>
      <c r="EK12">
        <v>670.16</v>
      </c>
      <c r="EL12">
        <v>4884.1499999999996</v>
      </c>
      <c r="EM12">
        <v>408.11</v>
      </c>
      <c r="EN12">
        <v>100.56</v>
      </c>
      <c r="EO12">
        <v>332.51</v>
      </c>
      <c r="EP12">
        <v>18.350000000000001</v>
      </c>
      <c r="EQ12">
        <v>3509.33</v>
      </c>
      <c r="ER12">
        <v>11.01</v>
      </c>
      <c r="ES12">
        <v>38.17</v>
      </c>
      <c r="ET12">
        <v>23.49</v>
      </c>
      <c r="EU12">
        <v>468.3</v>
      </c>
      <c r="EV12">
        <v>11.74</v>
      </c>
      <c r="EW12">
        <v>31.56</v>
      </c>
      <c r="EX12">
        <v>56.52</v>
      </c>
      <c r="EY12">
        <v>40.369999999999997</v>
      </c>
      <c r="EZ12">
        <v>14.68</v>
      </c>
      <c r="FA12">
        <v>69</v>
      </c>
      <c r="FB12">
        <v>9.5399999999999991</v>
      </c>
      <c r="FC12">
        <v>218</v>
      </c>
      <c r="FD12">
        <v>44.78</v>
      </c>
      <c r="FE12">
        <v>10467.81</v>
      </c>
      <c r="FF12">
        <v>47.71</v>
      </c>
      <c r="FG12">
        <v>2341.5100000000002</v>
      </c>
      <c r="FH12">
        <v>3236.28</v>
      </c>
      <c r="FI12">
        <v>13.21</v>
      </c>
      <c r="FJ12">
        <v>124.05</v>
      </c>
      <c r="FK12">
        <v>318.56</v>
      </c>
      <c r="FL12">
        <v>102.03</v>
      </c>
      <c r="FM12">
        <v>179.83</v>
      </c>
      <c r="FN12">
        <v>959.36</v>
      </c>
      <c r="FO12">
        <v>33.76</v>
      </c>
      <c r="FP12">
        <v>18.350000000000001</v>
      </c>
      <c r="FQ12">
        <v>33.76</v>
      </c>
      <c r="FR12">
        <v>7.9</v>
      </c>
      <c r="FS12">
        <v>7.9</v>
      </c>
      <c r="FT12">
        <v>33.76</v>
      </c>
      <c r="FU12">
        <v>1959.82</v>
      </c>
      <c r="FV12">
        <v>1202.32</v>
      </c>
      <c r="FW12">
        <v>24.96</v>
      </c>
      <c r="FX12">
        <v>137.26</v>
      </c>
      <c r="FY12">
        <v>24.22</v>
      </c>
      <c r="FZ12">
        <v>2457.4899999999998</v>
      </c>
      <c r="GA12">
        <v>655.48</v>
      </c>
      <c r="GB12">
        <v>134.33000000000001</v>
      </c>
      <c r="GC12">
        <v>34.5</v>
      </c>
      <c r="GD12">
        <v>60.19</v>
      </c>
      <c r="GE12">
        <v>336.18</v>
      </c>
      <c r="GF12">
        <v>412.52</v>
      </c>
      <c r="GG12">
        <v>2414.92</v>
      </c>
      <c r="GH12">
        <v>1007.07</v>
      </c>
      <c r="GI12">
        <v>7711.58</v>
      </c>
      <c r="GJ12">
        <v>95.42</v>
      </c>
      <c r="GK12">
        <v>12700.69</v>
      </c>
      <c r="GL12">
        <v>881.55</v>
      </c>
      <c r="GM12">
        <v>18.350000000000001</v>
      </c>
      <c r="GN12">
        <v>14.68</v>
      </c>
      <c r="GO12">
        <v>313.43</v>
      </c>
      <c r="GP12">
        <v>33.76</v>
      </c>
      <c r="GQ12">
        <v>19.079999999999998</v>
      </c>
      <c r="GR12">
        <v>168.82</v>
      </c>
      <c r="GS12">
        <v>420.59</v>
      </c>
      <c r="GT12">
        <v>321.5</v>
      </c>
      <c r="GU12">
        <v>10.28</v>
      </c>
      <c r="GV12">
        <v>43.31</v>
      </c>
      <c r="GW12">
        <v>280.39</v>
      </c>
      <c r="GX12">
        <v>596.02</v>
      </c>
      <c r="GY12">
        <v>94.69</v>
      </c>
      <c r="GZ12">
        <v>200.39</v>
      </c>
      <c r="HA12">
        <v>477.84</v>
      </c>
      <c r="HB12">
        <v>571.79999999999995</v>
      </c>
      <c r="HC12">
        <v>147.54</v>
      </c>
      <c r="HD12">
        <v>7185.29</v>
      </c>
      <c r="HE12">
        <v>28.63</v>
      </c>
      <c r="HF12">
        <v>4258.7700000000004</v>
      </c>
      <c r="HG12">
        <v>189.38</v>
      </c>
      <c r="HH12">
        <v>481.51</v>
      </c>
      <c r="HI12">
        <v>19.079999999999998</v>
      </c>
      <c r="HJ12">
        <v>1249.3</v>
      </c>
      <c r="HK12">
        <v>14161.38</v>
      </c>
      <c r="HL12">
        <v>747.23</v>
      </c>
      <c r="HM12">
        <v>119.64</v>
      </c>
      <c r="HN12">
        <v>1351.32</v>
      </c>
      <c r="HO12">
        <v>19.82</v>
      </c>
      <c r="HP12">
        <v>54.32</v>
      </c>
      <c r="HQ12">
        <v>9104.01</v>
      </c>
      <c r="HR12">
        <v>165.15</v>
      </c>
      <c r="HS12">
        <v>7.9</v>
      </c>
      <c r="HT12">
        <v>103.5</v>
      </c>
      <c r="HU12">
        <v>244.43</v>
      </c>
      <c r="HV12">
        <v>125.52</v>
      </c>
      <c r="HW12">
        <v>4659.54</v>
      </c>
      <c r="HX12">
        <v>35.229999999999997</v>
      </c>
      <c r="HY12">
        <v>28.63</v>
      </c>
      <c r="HZ12">
        <v>146.07</v>
      </c>
      <c r="IA12">
        <v>314.89</v>
      </c>
      <c r="IB12">
        <v>107.17</v>
      </c>
      <c r="IC12">
        <v>16.149999999999999</v>
      </c>
      <c r="ID12">
        <v>22.75</v>
      </c>
      <c r="IE12">
        <v>22.02</v>
      </c>
      <c r="IF12">
        <v>1437.2</v>
      </c>
      <c r="IG12">
        <v>60.92</v>
      </c>
      <c r="IH12">
        <v>7.9</v>
      </c>
      <c r="II12">
        <v>89.55</v>
      </c>
      <c r="IJ12">
        <v>129.91999999999999</v>
      </c>
      <c r="IK12">
        <v>7.9</v>
      </c>
      <c r="IL12">
        <v>619.51</v>
      </c>
      <c r="IM12">
        <v>124.78</v>
      </c>
      <c r="IN12">
        <v>104.23</v>
      </c>
      <c r="IO12">
        <v>385.36</v>
      </c>
      <c r="IP12">
        <v>16.88</v>
      </c>
      <c r="IQ12">
        <v>15.41</v>
      </c>
      <c r="IR12">
        <v>11.74</v>
      </c>
      <c r="IS12">
        <v>63.86</v>
      </c>
      <c r="IT12">
        <v>20.55</v>
      </c>
      <c r="IU12">
        <v>482.25</v>
      </c>
      <c r="IV12">
        <v>1569.33</v>
      </c>
      <c r="IW12">
        <v>136.53</v>
      </c>
      <c r="IX12">
        <v>5399.43</v>
      </c>
      <c r="IY12">
        <v>43.31</v>
      </c>
      <c r="IZ12">
        <v>27.16</v>
      </c>
      <c r="JA12">
        <v>115.97</v>
      </c>
      <c r="JB12">
        <v>1530.42</v>
      </c>
      <c r="JC12">
        <v>117.44</v>
      </c>
      <c r="JD12">
        <v>291.39999999999998</v>
      </c>
      <c r="JE12">
        <v>66.8</v>
      </c>
      <c r="JF12">
        <v>17.62</v>
      </c>
      <c r="JG12">
        <v>245.9</v>
      </c>
      <c r="JH12">
        <v>477.11</v>
      </c>
      <c r="JI12">
        <v>537.29999999999995</v>
      </c>
      <c r="JJ12">
        <v>168.09</v>
      </c>
      <c r="JK12">
        <v>93.22</v>
      </c>
      <c r="JL12">
        <v>87.35</v>
      </c>
      <c r="JM12">
        <v>17.62</v>
      </c>
      <c r="JN12">
        <v>24.96</v>
      </c>
      <c r="JO12">
        <v>269.38</v>
      </c>
      <c r="JP12">
        <v>1000.46</v>
      </c>
      <c r="JQ12">
        <v>2210.86</v>
      </c>
      <c r="JR12">
        <v>14.68</v>
      </c>
      <c r="JS12">
        <v>22.75</v>
      </c>
      <c r="JT12">
        <v>129.19</v>
      </c>
      <c r="JU12">
        <v>285.52999999999997</v>
      </c>
      <c r="JV12">
        <v>439.68</v>
      </c>
      <c r="JW12">
        <v>59.46</v>
      </c>
      <c r="JX12">
        <v>55.05</v>
      </c>
      <c r="JY12">
        <v>235.62</v>
      </c>
      <c r="JZ12">
        <v>18.350000000000001</v>
      </c>
      <c r="KA12">
        <v>7.9</v>
      </c>
      <c r="KB12">
        <v>11.01</v>
      </c>
      <c r="KC12">
        <v>7.9</v>
      </c>
      <c r="KD12">
        <v>30.83</v>
      </c>
      <c r="KE12">
        <v>174.7</v>
      </c>
      <c r="KF12">
        <v>69.73</v>
      </c>
      <c r="KG12">
        <v>206.26</v>
      </c>
      <c r="KH12">
        <v>85.15</v>
      </c>
      <c r="KI12">
        <v>375.82</v>
      </c>
      <c r="KJ12">
        <v>165.15</v>
      </c>
      <c r="KK12">
        <v>179.83</v>
      </c>
      <c r="KL12">
        <v>59.46</v>
      </c>
      <c r="KM12">
        <v>61.66</v>
      </c>
      <c r="KN12">
        <v>132.86000000000001</v>
      </c>
      <c r="KO12">
        <v>369.94</v>
      </c>
      <c r="KP12">
        <v>57.99</v>
      </c>
      <c r="KQ12">
        <v>2986.71</v>
      </c>
      <c r="KR12">
        <v>758.24</v>
      </c>
      <c r="KS12">
        <v>1048.18</v>
      </c>
      <c r="KT12">
        <v>14305.25</v>
      </c>
      <c r="KU12">
        <v>59715.93</v>
      </c>
      <c r="KV12">
        <v>4333.63</v>
      </c>
      <c r="KW12">
        <v>101.29</v>
      </c>
      <c r="KX12">
        <v>78.540000000000006</v>
      </c>
      <c r="KY12">
        <v>24.96</v>
      </c>
      <c r="KZ12">
        <v>11.74</v>
      </c>
      <c r="LA12">
        <v>339.85</v>
      </c>
      <c r="LB12">
        <v>298.01</v>
      </c>
      <c r="LC12">
        <v>7.9</v>
      </c>
      <c r="LD12">
        <v>7.9</v>
      </c>
      <c r="LE12">
        <v>7.9</v>
      </c>
      <c r="LF12">
        <v>869.81</v>
      </c>
      <c r="LG12">
        <v>260.58</v>
      </c>
      <c r="LH12">
        <v>7.9</v>
      </c>
      <c r="LI12">
        <v>6926.92</v>
      </c>
      <c r="LJ12">
        <v>585.01</v>
      </c>
      <c r="LK12">
        <v>1288.2</v>
      </c>
      <c r="LL12">
        <v>135.06</v>
      </c>
      <c r="LM12">
        <v>20.55</v>
      </c>
      <c r="LN12">
        <v>222.41</v>
      </c>
      <c r="LO12">
        <v>56.52</v>
      </c>
      <c r="LP12">
        <v>3275.18</v>
      </c>
      <c r="LQ12">
        <v>45.51</v>
      </c>
      <c r="LR12">
        <v>133.59</v>
      </c>
      <c r="LS12">
        <v>91.75</v>
      </c>
      <c r="LT12">
        <v>25.69</v>
      </c>
      <c r="LU12">
        <v>110.1</v>
      </c>
      <c r="LV12">
        <v>126.25</v>
      </c>
      <c r="LW12">
        <v>1212.5999999999999</v>
      </c>
      <c r="LX12">
        <v>3736.15</v>
      </c>
      <c r="LY12">
        <v>1528.22</v>
      </c>
      <c r="LZ12">
        <v>7277.78</v>
      </c>
      <c r="MA12">
        <v>250.3</v>
      </c>
      <c r="MB12">
        <v>1221.4000000000001</v>
      </c>
      <c r="MC12">
        <v>686.31</v>
      </c>
      <c r="MD12">
        <v>118.91</v>
      </c>
      <c r="ME12">
        <v>160.02000000000001</v>
      </c>
      <c r="MF12">
        <v>424.26</v>
      </c>
      <c r="MG12">
        <v>2709.26</v>
      </c>
      <c r="MH12">
        <v>1032.03</v>
      </c>
      <c r="MI12">
        <v>27.89</v>
      </c>
      <c r="MJ12">
        <v>465.37</v>
      </c>
      <c r="MK12">
        <v>7.9</v>
      </c>
      <c r="ML12">
        <v>1229.48</v>
      </c>
      <c r="MM12">
        <v>1032.03</v>
      </c>
      <c r="MN12">
        <v>725.94</v>
      </c>
      <c r="MO12">
        <v>12.48</v>
      </c>
      <c r="MP12">
        <v>132.86000000000001</v>
      </c>
      <c r="MQ12">
        <v>218</v>
      </c>
      <c r="MR12">
        <v>8.81</v>
      </c>
      <c r="MS12">
        <v>218</v>
      </c>
      <c r="MT12">
        <v>3162.88</v>
      </c>
      <c r="MU12">
        <v>31.56</v>
      </c>
      <c r="MV12">
        <v>507.94</v>
      </c>
      <c r="MW12">
        <v>221.67</v>
      </c>
      <c r="MX12">
        <v>84.41</v>
      </c>
      <c r="MY12">
        <v>22.75</v>
      </c>
      <c r="MZ12">
        <v>484.45</v>
      </c>
      <c r="NA12">
        <v>62.39</v>
      </c>
      <c r="NB12">
        <v>3576.86</v>
      </c>
      <c r="NC12">
        <v>4473.1000000000004</v>
      </c>
      <c r="ND12">
        <v>2605.7600000000002</v>
      </c>
      <c r="NE12">
        <v>427.93</v>
      </c>
      <c r="NF12">
        <v>11.74</v>
      </c>
      <c r="NG12">
        <v>11.01</v>
      </c>
      <c r="NH12">
        <v>52.12</v>
      </c>
      <c r="NI12">
        <v>2875.88</v>
      </c>
      <c r="NJ12">
        <v>272.32</v>
      </c>
      <c r="NK12">
        <v>104.23</v>
      </c>
      <c r="NL12">
        <v>74.87</v>
      </c>
      <c r="NM12">
        <v>3573.93</v>
      </c>
      <c r="NN12">
        <v>532.9</v>
      </c>
      <c r="NO12">
        <v>37.43</v>
      </c>
      <c r="NP12">
        <v>16.88</v>
      </c>
      <c r="NQ12">
        <v>3382.35</v>
      </c>
      <c r="NR12">
        <v>367.01</v>
      </c>
      <c r="NS12">
        <v>521.89</v>
      </c>
      <c r="NT12">
        <v>1694.11</v>
      </c>
      <c r="NU12">
        <v>1197.18</v>
      </c>
      <c r="NV12">
        <v>430.13</v>
      </c>
      <c r="NW12">
        <v>257.64</v>
      </c>
      <c r="NX12">
        <v>62.39</v>
      </c>
      <c r="NY12">
        <v>75.599999999999994</v>
      </c>
      <c r="NZ12">
        <v>450.69</v>
      </c>
      <c r="OA12">
        <v>92.49</v>
      </c>
      <c r="OB12">
        <v>400.77</v>
      </c>
      <c r="OC12">
        <v>1187.6400000000001</v>
      </c>
      <c r="OD12">
        <v>179.83</v>
      </c>
      <c r="OE12">
        <v>3337.57</v>
      </c>
      <c r="OF12">
        <v>21.29</v>
      </c>
      <c r="OG12">
        <v>3596.68</v>
      </c>
      <c r="OH12">
        <v>124.78</v>
      </c>
      <c r="OI12">
        <v>52.12</v>
      </c>
      <c r="OJ12">
        <v>30.09</v>
      </c>
      <c r="OK12">
        <v>1574.47</v>
      </c>
      <c r="OL12">
        <v>271.58999999999997</v>
      </c>
      <c r="OM12">
        <v>282.60000000000002</v>
      </c>
      <c r="ON12">
        <v>502.07</v>
      </c>
      <c r="OO12">
        <v>458.03</v>
      </c>
      <c r="OP12">
        <v>416.19</v>
      </c>
      <c r="OQ12">
        <v>381.69</v>
      </c>
      <c r="OR12">
        <v>37.43</v>
      </c>
      <c r="OS12">
        <v>780.26</v>
      </c>
      <c r="OT12">
        <v>298.01</v>
      </c>
      <c r="OU12">
        <v>74.14</v>
      </c>
      <c r="OV12">
        <v>356.73</v>
      </c>
      <c r="OW12">
        <v>7.9</v>
      </c>
      <c r="OX12">
        <v>32.299999999999997</v>
      </c>
      <c r="OY12">
        <v>45.51</v>
      </c>
      <c r="OZ12">
        <v>14.68</v>
      </c>
      <c r="PA12">
        <v>24.96</v>
      </c>
      <c r="PB12">
        <v>41.84</v>
      </c>
      <c r="PC12">
        <v>7.9</v>
      </c>
      <c r="PD12">
        <v>42.57</v>
      </c>
      <c r="PE12">
        <v>10.28</v>
      </c>
      <c r="PF12">
        <v>548.30999999999995</v>
      </c>
      <c r="PG12">
        <v>40.369999999999997</v>
      </c>
      <c r="PH12">
        <v>88.08</v>
      </c>
      <c r="PI12">
        <v>113.77</v>
      </c>
      <c r="PJ12">
        <v>16756.87</v>
      </c>
      <c r="PK12">
        <v>25924</v>
      </c>
      <c r="PL12">
        <v>29.36</v>
      </c>
      <c r="PM12">
        <v>20163.439999999999</v>
      </c>
      <c r="PN12">
        <v>894.03</v>
      </c>
      <c r="PO12">
        <v>80.739999999999995</v>
      </c>
      <c r="PP12">
        <v>1630.25</v>
      </c>
      <c r="PQ12">
        <v>53.58</v>
      </c>
      <c r="PR12">
        <v>83.68</v>
      </c>
      <c r="PS12">
        <v>32.299999999999997</v>
      </c>
      <c r="PT12">
        <v>36.700000000000003</v>
      </c>
      <c r="PU12">
        <v>245.9</v>
      </c>
      <c r="PV12">
        <v>273.05</v>
      </c>
      <c r="PW12">
        <v>139.46</v>
      </c>
      <c r="PX12">
        <v>24.96</v>
      </c>
      <c r="PY12">
        <v>608.5</v>
      </c>
      <c r="PZ12">
        <v>26.42</v>
      </c>
      <c r="QA12">
        <v>182.77</v>
      </c>
      <c r="QB12">
        <v>2343.7199999999998</v>
      </c>
      <c r="QC12">
        <v>13.95</v>
      </c>
      <c r="QD12">
        <v>11.74</v>
      </c>
      <c r="QE12">
        <v>14.68</v>
      </c>
      <c r="QF12">
        <v>10.28</v>
      </c>
      <c r="QG12">
        <v>15.41</v>
      </c>
      <c r="QH12">
        <v>10.28</v>
      </c>
      <c r="QI12">
        <v>14.68</v>
      </c>
      <c r="QJ12">
        <v>353.06</v>
      </c>
      <c r="QK12">
        <v>22.02</v>
      </c>
      <c r="QL12">
        <v>278.93</v>
      </c>
      <c r="QM12">
        <v>760.44</v>
      </c>
      <c r="QN12">
        <v>743.56</v>
      </c>
      <c r="QO12">
        <v>22.75</v>
      </c>
      <c r="QP12">
        <v>156.35</v>
      </c>
      <c r="QQ12">
        <v>241.49</v>
      </c>
      <c r="QR12">
        <v>31.56</v>
      </c>
      <c r="QS12">
        <v>1255.9000000000001</v>
      </c>
      <c r="QT12">
        <v>1334.44</v>
      </c>
      <c r="QU12">
        <v>30.83</v>
      </c>
      <c r="QV12">
        <v>226.08</v>
      </c>
      <c r="QW12">
        <v>186.44</v>
      </c>
      <c r="QX12">
        <v>235.62</v>
      </c>
      <c r="QY12">
        <v>36.700000000000003</v>
      </c>
      <c r="QZ12">
        <v>29.36</v>
      </c>
      <c r="RA12">
        <v>158.55000000000001</v>
      </c>
      <c r="RB12">
        <v>14517.38</v>
      </c>
      <c r="RC12">
        <v>314.16000000000003</v>
      </c>
      <c r="RD12">
        <v>2867.8</v>
      </c>
      <c r="RE12">
        <v>99.09</v>
      </c>
      <c r="RF12">
        <v>69</v>
      </c>
      <c r="RG12">
        <v>310.49</v>
      </c>
      <c r="RH12">
        <v>33.76</v>
      </c>
      <c r="RI12">
        <v>7.9</v>
      </c>
      <c r="RJ12">
        <v>135.79</v>
      </c>
      <c r="RK12">
        <v>24.96</v>
      </c>
      <c r="RL12">
        <v>154.88</v>
      </c>
      <c r="RM12">
        <v>118.91</v>
      </c>
      <c r="RN12">
        <v>298.74</v>
      </c>
      <c r="RO12">
        <v>447.02</v>
      </c>
      <c r="RP12">
        <v>273.79000000000002</v>
      </c>
      <c r="RQ12">
        <v>704.66</v>
      </c>
      <c r="RR12">
        <v>7.9</v>
      </c>
      <c r="RS12">
        <v>604.1</v>
      </c>
      <c r="RT12">
        <v>521.89</v>
      </c>
      <c r="RU12">
        <v>22.02</v>
      </c>
      <c r="RV12">
        <v>23.49</v>
      </c>
      <c r="RW12">
        <v>104.23</v>
      </c>
      <c r="RX12">
        <v>1205.26</v>
      </c>
      <c r="RY12">
        <v>1486.38</v>
      </c>
      <c r="RZ12">
        <v>50.65</v>
      </c>
      <c r="SA12">
        <v>402.98</v>
      </c>
      <c r="SB12">
        <v>28.63</v>
      </c>
      <c r="SC12">
        <v>107.9</v>
      </c>
      <c r="SD12">
        <v>1450.42</v>
      </c>
      <c r="SE12">
        <v>844.12</v>
      </c>
      <c r="SF12">
        <v>877.15</v>
      </c>
      <c r="SG12">
        <v>10556.63</v>
      </c>
      <c r="SH12">
        <v>162.94999999999999</v>
      </c>
      <c r="SI12">
        <v>25.69</v>
      </c>
      <c r="SJ12">
        <v>392.7</v>
      </c>
      <c r="SK12">
        <v>77.069999999999993</v>
      </c>
      <c r="SL12">
        <v>213.6</v>
      </c>
      <c r="SM12">
        <v>63.13</v>
      </c>
      <c r="SN12">
        <v>184.97</v>
      </c>
      <c r="SO12">
        <v>12.48</v>
      </c>
      <c r="SP12">
        <v>113.77</v>
      </c>
      <c r="SQ12">
        <v>1139.93</v>
      </c>
      <c r="SR12">
        <v>1229.48</v>
      </c>
      <c r="SS12">
        <v>1928.26</v>
      </c>
      <c r="ST12">
        <v>373.61</v>
      </c>
      <c r="SU12">
        <v>467.57</v>
      </c>
      <c r="SV12">
        <v>210.66</v>
      </c>
      <c r="SW12">
        <v>165.15</v>
      </c>
      <c r="SX12">
        <v>324.44</v>
      </c>
      <c r="SY12">
        <v>49.91</v>
      </c>
      <c r="SZ12">
        <v>7.9</v>
      </c>
      <c r="TA12">
        <v>21.29</v>
      </c>
      <c r="TB12">
        <v>1691.91</v>
      </c>
      <c r="TC12">
        <v>1106.1600000000001</v>
      </c>
      <c r="TD12">
        <v>34.5</v>
      </c>
      <c r="TE12">
        <v>585.75</v>
      </c>
      <c r="TF12">
        <v>441.14</v>
      </c>
      <c r="TG12">
        <v>299.48</v>
      </c>
      <c r="TH12">
        <v>256.17</v>
      </c>
      <c r="TI12">
        <v>104.96</v>
      </c>
      <c r="TJ12">
        <v>22.75</v>
      </c>
      <c r="TK12">
        <v>167.36</v>
      </c>
      <c r="TL12">
        <v>87.35</v>
      </c>
      <c r="TM12">
        <v>52.12</v>
      </c>
      <c r="TN12">
        <v>971.84</v>
      </c>
      <c r="TO12">
        <v>939.54</v>
      </c>
      <c r="TP12">
        <v>794.94</v>
      </c>
      <c r="TQ12">
        <v>175.43</v>
      </c>
      <c r="TR12">
        <v>26.42</v>
      </c>
      <c r="TS12">
        <v>653.27</v>
      </c>
      <c r="TT12">
        <v>89.55</v>
      </c>
      <c r="TU12">
        <v>55.05</v>
      </c>
      <c r="TV12">
        <v>236.35</v>
      </c>
      <c r="TW12">
        <v>384.62</v>
      </c>
      <c r="TX12">
        <v>198.92</v>
      </c>
      <c r="TY12">
        <v>34.5</v>
      </c>
      <c r="TZ12">
        <v>75.599999999999994</v>
      </c>
      <c r="UA12">
        <v>262.77999999999997</v>
      </c>
      <c r="UB12">
        <v>158.55000000000001</v>
      </c>
      <c r="UC12">
        <v>7694.7</v>
      </c>
      <c r="UD12">
        <v>13.95</v>
      </c>
      <c r="UE12">
        <v>19.079999999999998</v>
      </c>
      <c r="UF12">
        <v>3415.38</v>
      </c>
      <c r="UG12">
        <v>119.64</v>
      </c>
      <c r="UH12">
        <v>24.96</v>
      </c>
      <c r="UI12">
        <v>34.5</v>
      </c>
      <c r="UJ12">
        <v>19.079999999999998</v>
      </c>
      <c r="UK12">
        <v>27.89</v>
      </c>
      <c r="UL12">
        <v>23.49</v>
      </c>
      <c r="UM12">
        <v>16.88</v>
      </c>
      <c r="UN12">
        <v>172.49</v>
      </c>
      <c r="UO12">
        <v>152.68</v>
      </c>
      <c r="UP12">
        <v>7.9</v>
      </c>
      <c r="UQ12">
        <v>14.68</v>
      </c>
      <c r="UR12">
        <v>14.68</v>
      </c>
      <c r="US12">
        <v>154.88</v>
      </c>
      <c r="UT12">
        <v>186.44</v>
      </c>
      <c r="UU12">
        <v>569.6</v>
      </c>
      <c r="UV12">
        <v>512.34</v>
      </c>
      <c r="UW12">
        <v>385.36</v>
      </c>
      <c r="UX12">
        <v>58.72</v>
      </c>
      <c r="UY12">
        <v>482.25</v>
      </c>
      <c r="UZ12">
        <v>167.36</v>
      </c>
      <c r="VA12">
        <v>6355.85</v>
      </c>
      <c r="VB12">
        <v>1460.69</v>
      </c>
      <c r="VC12">
        <v>61.66</v>
      </c>
      <c r="VD12">
        <v>400.77</v>
      </c>
      <c r="VE12">
        <v>41.84</v>
      </c>
      <c r="VF12">
        <v>436.74</v>
      </c>
      <c r="VG12">
        <v>28.63</v>
      </c>
      <c r="VH12">
        <v>22.02</v>
      </c>
      <c r="VI12">
        <v>30.83</v>
      </c>
      <c r="VJ12">
        <v>25.69</v>
      </c>
      <c r="VK12">
        <v>675.3</v>
      </c>
      <c r="VL12">
        <v>859.53</v>
      </c>
      <c r="VM12">
        <v>1326.37</v>
      </c>
      <c r="VN12">
        <v>554.17999999999995</v>
      </c>
      <c r="VO12">
        <v>7.9</v>
      </c>
      <c r="VP12">
        <v>7.9</v>
      </c>
      <c r="VQ12">
        <v>912.38</v>
      </c>
      <c r="VR12">
        <v>350.13</v>
      </c>
      <c r="VS12">
        <v>520.41999999999996</v>
      </c>
      <c r="VT12">
        <v>24.96</v>
      </c>
      <c r="VU12">
        <v>84.41</v>
      </c>
      <c r="VV12">
        <v>7.9</v>
      </c>
      <c r="VW12">
        <v>330.31</v>
      </c>
      <c r="VX12">
        <v>206.26</v>
      </c>
      <c r="VY12">
        <v>9.5399999999999991</v>
      </c>
      <c r="VZ12">
        <v>16755.400000000001</v>
      </c>
      <c r="WA12">
        <v>11601.13</v>
      </c>
      <c r="WB12">
        <v>288.47000000000003</v>
      </c>
      <c r="WC12">
        <v>139.46</v>
      </c>
      <c r="WD12">
        <v>74.14</v>
      </c>
      <c r="WE12">
        <v>840.45</v>
      </c>
      <c r="WF12">
        <v>160.02000000000001</v>
      </c>
      <c r="WG12">
        <v>220.94</v>
      </c>
      <c r="WH12">
        <v>8321.5499999999993</v>
      </c>
      <c r="WI12">
        <v>19416.21</v>
      </c>
      <c r="WJ12">
        <v>1297.74</v>
      </c>
      <c r="WK12">
        <v>277.45999999999998</v>
      </c>
      <c r="WL12">
        <v>579.14</v>
      </c>
      <c r="WM12">
        <v>23.49</v>
      </c>
      <c r="WN12">
        <v>49.91</v>
      </c>
      <c r="WO12">
        <v>7.9</v>
      </c>
      <c r="WP12">
        <v>308.29000000000002</v>
      </c>
      <c r="WQ12">
        <v>1586.21</v>
      </c>
      <c r="WR12">
        <v>2310.6799999999998</v>
      </c>
      <c r="WS12">
        <v>18.350000000000001</v>
      </c>
      <c r="WT12">
        <v>293.61</v>
      </c>
      <c r="WU12">
        <v>694.38</v>
      </c>
      <c r="WV12">
        <v>1744.02</v>
      </c>
      <c r="WW12">
        <v>16.88</v>
      </c>
      <c r="WX12">
        <v>73.400000000000006</v>
      </c>
      <c r="WY12">
        <v>43.31</v>
      </c>
      <c r="WZ12">
        <v>25.69</v>
      </c>
      <c r="XA12">
        <v>13.21</v>
      </c>
      <c r="XB12">
        <v>824.3</v>
      </c>
      <c r="XC12">
        <v>24.96</v>
      </c>
      <c r="XD12">
        <v>381.69</v>
      </c>
      <c r="XE12">
        <v>438.21</v>
      </c>
      <c r="XF12">
        <v>778.06</v>
      </c>
      <c r="XG12">
        <v>1394.63</v>
      </c>
      <c r="XH12">
        <v>218</v>
      </c>
      <c r="XI12">
        <v>3216.46</v>
      </c>
      <c r="XJ12">
        <v>398.57</v>
      </c>
      <c r="XK12">
        <v>840.45</v>
      </c>
      <c r="XL12">
        <v>220.94</v>
      </c>
      <c r="XM12">
        <v>112.3</v>
      </c>
      <c r="XN12">
        <v>379.49</v>
      </c>
      <c r="XO12">
        <v>21.29</v>
      </c>
      <c r="XP12">
        <v>150.47</v>
      </c>
      <c r="XQ12">
        <v>19.079999999999998</v>
      </c>
      <c r="XR12">
        <v>13.21</v>
      </c>
      <c r="XS12">
        <v>1379.95</v>
      </c>
      <c r="XT12">
        <v>206.26</v>
      </c>
      <c r="XU12">
        <v>497.66</v>
      </c>
      <c r="XV12">
        <v>354.53</v>
      </c>
      <c r="XW12">
        <v>1189.8399999999999</v>
      </c>
      <c r="XX12">
        <v>1514.28</v>
      </c>
      <c r="XY12">
        <v>2053.7800000000002</v>
      </c>
      <c r="XZ12">
        <v>125.52</v>
      </c>
      <c r="YA12">
        <v>1201.5899999999999</v>
      </c>
      <c r="YB12">
        <v>189.38</v>
      </c>
      <c r="YC12">
        <v>37.43</v>
      </c>
      <c r="YD12">
        <v>1364.54</v>
      </c>
      <c r="YE12">
        <v>479.31</v>
      </c>
      <c r="YF12">
        <v>763.38</v>
      </c>
      <c r="YG12">
        <v>65.33</v>
      </c>
      <c r="YH12">
        <v>23.49</v>
      </c>
      <c r="YI12">
        <v>63.86</v>
      </c>
      <c r="YJ12">
        <v>444.81</v>
      </c>
      <c r="YK12">
        <v>7.9</v>
      </c>
      <c r="YL12">
        <v>293.61</v>
      </c>
      <c r="YM12">
        <v>2894.23</v>
      </c>
      <c r="YN12">
        <v>626.12</v>
      </c>
      <c r="YO12">
        <v>549.04</v>
      </c>
      <c r="YP12">
        <v>2485.38</v>
      </c>
      <c r="YQ12">
        <v>216.53</v>
      </c>
      <c r="YR12">
        <v>235.62</v>
      </c>
      <c r="YS12">
        <v>13091.92</v>
      </c>
      <c r="YT12">
        <v>253.24</v>
      </c>
      <c r="YU12">
        <v>390.5</v>
      </c>
      <c r="YV12">
        <v>14.68</v>
      </c>
      <c r="YW12">
        <v>29.36</v>
      </c>
      <c r="YX12">
        <v>43.31</v>
      </c>
      <c r="YY12">
        <v>404.44</v>
      </c>
      <c r="YZ12">
        <v>30.83</v>
      </c>
      <c r="ZA12">
        <v>142.4</v>
      </c>
      <c r="ZB12">
        <v>29.36</v>
      </c>
      <c r="ZC12">
        <v>15.41</v>
      </c>
      <c r="ZD12">
        <v>53.58</v>
      </c>
      <c r="ZE12">
        <v>33.76</v>
      </c>
      <c r="ZF12">
        <v>143.13</v>
      </c>
      <c r="ZG12">
        <v>344.99</v>
      </c>
      <c r="ZH12">
        <v>225.34</v>
      </c>
      <c r="ZI12">
        <v>861</v>
      </c>
      <c r="ZJ12">
        <v>1920.19</v>
      </c>
      <c r="ZK12">
        <v>433.07</v>
      </c>
      <c r="ZL12">
        <v>20.55</v>
      </c>
      <c r="ZM12">
        <v>206.26</v>
      </c>
      <c r="ZN12">
        <v>26.42</v>
      </c>
      <c r="ZO12">
        <v>30.09</v>
      </c>
      <c r="ZP12">
        <v>268.64999999999998</v>
      </c>
      <c r="ZQ12">
        <v>7.9</v>
      </c>
      <c r="ZR12">
        <v>12.48</v>
      </c>
      <c r="ZS12">
        <v>909.45</v>
      </c>
      <c r="ZT12">
        <v>254.7</v>
      </c>
      <c r="ZU12">
        <v>158.55000000000001</v>
      </c>
      <c r="ZV12">
        <v>20.55</v>
      </c>
      <c r="ZW12">
        <v>32.299999999999997</v>
      </c>
      <c r="ZX12">
        <v>86.61</v>
      </c>
      <c r="ZY12">
        <v>368.48</v>
      </c>
      <c r="ZZ12">
        <v>192.31</v>
      </c>
      <c r="AAA12">
        <v>48.45</v>
      </c>
      <c r="AAB12">
        <v>62.39</v>
      </c>
      <c r="AAC12">
        <v>21.29</v>
      </c>
      <c r="AAD12">
        <v>41.1</v>
      </c>
      <c r="AAE12">
        <v>33.03</v>
      </c>
      <c r="AAF12">
        <v>29.36</v>
      </c>
      <c r="AAG12">
        <v>340.58</v>
      </c>
      <c r="AAH12">
        <v>126.98</v>
      </c>
      <c r="AAI12">
        <v>7724.79</v>
      </c>
      <c r="AAJ12">
        <v>2351.79</v>
      </c>
      <c r="AAK12">
        <v>348.66</v>
      </c>
      <c r="AAL12">
        <v>241.49</v>
      </c>
      <c r="AAM12">
        <v>23.49</v>
      </c>
      <c r="AAN12">
        <v>563.72</v>
      </c>
      <c r="AAO12">
        <v>24.96</v>
      </c>
      <c r="AAP12">
        <v>173.23</v>
      </c>
      <c r="AAQ12">
        <v>40.369999999999997</v>
      </c>
      <c r="AAR12">
        <v>88.82</v>
      </c>
      <c r="AAS12">
        <v>1545.84</v>
      </c>
      <c r="AAT12">
        <v>147.54</v>
      </c>
      <c r="AAU12">
        <v>7.9</v>
      </c>
      <c r="AAV12">
        <v>968.17</v>
      </c>
      <c r="AAW12">
        <v>47.71</v>
      </c>
      <c r="AAX12">
        <v>55.79</v>
      </c>
      <c r="AAY12">
        <v>35.97</v>
      </c>
      <c r="AAZ12">
        <v>42.57</v>
      </c>
      <c r="ABA12">
        <v>206.99</v>
      </c>
      <c r="ABB12">
        <v>85.88</v>
      </c>
      <c r="ABC12">
        <v>1394.63</v>
      </c>
      <c r="ABD12">
        <v>2256.37</v>
      </c>
      <c r="ABE12">
        <v>634.19000000000005</v>
      </c>
      <c r="ABF12">
        <v>681.17</v>
      </c>
      <c r="ABG12">
        <v>80.739999999999995</v>
      </c>
      <c r="ABH12">
        <v>309.76</v>
      </c>
      <c r="ABI12">
        <v>15.41</v>
      </c>
      <c r="ABJ12">
        <v>52.12</v>
      </c>
      <c r="ABK12">
        <v>71.930000000000007</v>
      </c>
      <c r="ABL12">
        <v>24.96</v>
      </c>
      <c r="ABM12">
        <v>229.01</v>
      </c>
      <c r="ABN12">
        <v>81.48</v>
      </c>
      <c r="ABO12">
        <v>19.079999999999998</v>
      </c>
      <c r="ABP12">
        <v>30.09</v>
      </c>
      <c r="ABQ12">
        <v>1286</v>
      </c>
      <c r="ABR12">
        <v>84.41</v>
      </c>
      <c r="ABS12">
        <v>2867.07</v>
      </c>
      <c r="ABT12">
        <v>13.21</v>
      </c>
      <c r="ABU12">
        <v>33.03</v>
      </c>
      <c r="ABV12">
        <v>224.61</v>
      </c>
      <c r="ABW12">
        <v>509.41</v>
      </c>
      <c r="ABX12">
        <v>1099.56</v>
      </c>
      <c r="ABY12">
        <v>438.21</v>
      </c>
      <c r="ABZ12">
        <v>223.14</v>
      </c>
      <c r="ACA12">
        <v>662.08</v>
      </c>
      <c r="ACB12">
        <v>162.22</v>
      </c>
      <c r="ACC12">
        <v>130.65</v>
      </c>
      <c r="ACD12">
        <v>324.44</v>
      </c>
      <c r="ACE12">
        <v>179.83</v>
      </c>
      <c r="ACF12">
        <v>5354.65</v>
      </c>
      <c r="ACG12">
        <v>2149.9299999999998</v>
      </c>
      <c r="ACH12">
        <v>483.72</v>
      </c>
      <c r="ACI12">
        <v>304.62</v>
      </c>
      <c r="ACJ12">
        <v>697.32</v>
      </c>
      <c r="ACK12">
        <v>425</v>
      </c>
      <c r="ACL12">
        <v>63.86</v>
      </c>
      <c r="ACM12">
        <v>413.99</v>
      </c>
      <c r="ACN12">
        <v>326.64</v>
      </c>
      <c r="ACO12">
        <v>629.04999999999995</v>
      </c>
      <c r="ACP12">
        <v>515.28</v>
      </c>
      <c r="ACQ12">
        <v>342.79</v>
      </c>
      <c r="ACR12">
        <v>3323.63</v>
      </c>
    </row>
    <row r="13" spans="1:772" x14ac:dyDescent="0.3">
      <c r="A13" t="s">
        <v>8</v>
      </c>
      <c r="B13" t="s">
        <v>3</v>
      </c>
      <c r="C13">
        <v>80.72</v>
      </c>
      <c r="D13">
        <v>151.08000000000001</v>
      </c>
      <c r="E13">
        <v>253.53</v>
      </c>
      <c r="F13">
        <v>27.94</v>
      </c>
      <c r="G13">
        <v>4651.47</v>
      </c>
      <c r="H13">
        <v>48.64</v>
      </c>
      <c r="I13">
        <v>1444.59</v>
      </c>
      <c r="J13">
        <v>16555.919999999998</v>
      </c>
      <c r="K13">
        <v>444.97</v>
      </c>
      <c r="L13">
        <v>37.25</v>
      </c>
      <c r="M13">
        <v>28.97</v>
      </c>
      <c r="N13">
        <v>1729.17</v>
      </c>
      <c r="O13">
        <v>157.29</v>
      </c>
      <c r="P13">
        <v>503.95</v>
      </c>
      <c r="Q13">
        <v>111.76</v>
      </c>
      <c r="R13">
        <v>1378.37</v>
      </c>
      <c r="S13">
        <v>32.08</v>
      </c>
      <c r="T13">
        <v>144.87</v>
      </c>
      <c r="U13">
        <v>363.22</v>
      </c>
      <c r="V13">
        <v>239.04</v>
      </c>
      <c r="W13">
        <v>9847.25</v>
      </c>
      <c r="X13">
        <v>19.66</v>
      </c>
      <c r="Y13">
        <v>269.05</v>
      </c>
      <c r="Z13">
        <v>425.31</v>
      </c>
      <c r="AA13">
        <v>60.02</v>
      </c>
      <c r="AB13">
        <v>5292.02</v>
      </c>
      <c r="AC13">
        <v>189.37</v>
      </c>
      <c r="AD13">
        <v>257.67</v>
      </c>
      <c r="AE13">
        <v>502.92</v>
      </c>
      <c r="AF13">
        <v>38788.800000000003</v>
      </c>
      <c r="AG13">
        <v>387.02</v>
      </c>
      <c r="AH13">
        <v>179.02</v>
      </c>
      <c r="AI13">
        <v>56.91</v>
      </c>
      <c r="AJ13">
        <v>752.31</v>
      </c>
      <c r="AK13">
        <v>200.75</v>
      </c>
      <c r="AL13">
        <v>128.32</v>
      </c>
      <c r="AM13">
        <v>120.04</v>
      </c>
      <c r="AN13">
        <v>34.15</v>
      </c>
      <c r="AO13">
        <v>2465.9499999999998</v>
      </c>
      <c r="AP13">
        <v>17.59</v>
      </c>
      <c r="AQ13">
        <v>170.74</v>
      </c>
      <c r="AR13">
        <v>477.05</v>
      </c>
      <c r="AS13">
        <v>96.24</v>
      </c>
      <c r="AT13">
        <v>3.53</v>
      </c>
      <c r="AU13">
        <v>37.25</v>
      </c>
      <c r="AV13">
        <v>790.59</v>
      </c>
      <c r="AW13">
        <v>647.79</v>
      </c>
      <c r="AX13">
        <v>4781.8599999999997</v>
      </c>
      <c r="AY13">
        <v>34.15</v>
      </c>
      <c r="AZ13">
        <v>60.02</v>
      </c>
      <c r="BA13">
        <v>289.75</v>
      </c>
      <c r="BB13">
        <v>651.92999999999995</v>
      </c>
      <c r="BC13">
        <v>78.650000000000006</v>
      </c>
      <c r="BD13">
        <v>17.59</v>
      </c>
      <c r="BE13">
        <v>121.07</v>
      </c>
      <c r="BF13">
        <v>168.67</v>
      </c>
      <c r="BG13">
        <v>37.25</v>
      </c>
      <c r="BH13">
        <v>43.46</v>
      </c>
      <c r="BI13">
        <v>19.66</v>
      </c>
      <c r="BJ13">
        <v>17.59</v>
      </c>
      <c r="BK13">
        <v>134.53</v>
      </c>
      <c r="BL13">
        <v>625.03</v>
      </c>
      <c r="BM13">
        <v>52.78</v>
      </c>
      <c r="BN13">
        <v>131.41999999999999</v>
      </c>
      <c r="BO13">
        <v>106.59</v>
      </c>
      <c r="BP13">
        <v>16.559999999999999</v>
      </c>
      <c r="BQ13">
        <v>6.21</v>
      </c>
      <c r="BR13">
        <v>56.91</v>
      </c>
      <c r="BS13">
        <v>8.2799999999999994</v>
      </c>
      <c r="BT13">
        <v>871.31</v>
      </c>
      <c r="BU13">
        <v>720.23</v>
      </c>
      <c r="BV13">
        <v>30.01</v>
      </c>
      <c r="BW13">
        <v>81.75</v>
      </c>
      <c r="BX13">
        <v>881.66</v>
      </c>
      <c r="BY13">
        <v>221.45</v>
      </c>
      <c r="BZ13">
        <v>368.39</v>
      </c>
      <c r="CA13">
        <v>102.45</v>
      </c>
      <c r="CB13">
        <v>119</v>
      </c>
      <c r="CC13">
        <v>119</v>
      </c>
      <c r="CD13">
        <v>112.79</v>
      </c>
      <c r="CE13">
        <v>438.76</v>
      </c>
      <c r="CF13">
        <v>876.48</v>
      </c>
      <c r="CG13">
        <v>98.31</v>
      </c>
      <c r="CH13">
        <v>249.39</v>
      </c>
      <c r="CI13">
        <v>31.04</v>
      </c>
      <c r="CJ13">
        <v>30.01</v>
      </c>
      <c r="CK13">
        <v>34.15</v>
      </c>
      <c r="CL13">
        <v>39.32</v>
      </c>
      <c r="CM13">
        <v>315.62</v>
      </c>
      <c r="CN13">
        <v>33.11</v>
      </c>
      <c r="CO13">
        <v>25.87</v>
      </c>
      <c r="CP13">
        <v>3.53</v>
      </c>
      <c r="CQ13">
        <v>34.15</v>
      </c>
      <c r="CR13">
        <v>49.67</v>
      </c>
      <c r="CS13">
        <v>3.53</v>
      </c>
      <c r="CT13">
        <v>13.45</v>
      </c>
      <c r="CU13">
        <v>35.18</v>
      </c>
      <c r="CV13">
        <v>76.58</v>
      </c>
      <c r="CW13">
        <v>1536.69</v>
      </c>
      <c r="CX13">
        <v>17.59</v>
      </c>
      <c r="CY13">
        <v>106.59</v>
      </c>
      <c r="CZ13">
        <v>32.08</v>
      </c>
      <c r="DA13">
        <v>11.38</v>
      </c>
      <c r="DB13">
        <v>27.94</v>
      </c>
      <c r="DC13">
        <v>24.84</v>
      </c>
      <c r="DD13">
        <v>14.49</v>
      </c>
      <c r="DE13">
        <v>20.7</v>
      </c>
      <c r="DF13">
        <v>117.97</v>
      </c>
      <c r="DG13">
        <v>9.31</v>
      </c>
      <c r="DH13">
        <v>1987.87</v>
      </c>
      <c r="DI13">
        <v>4.1399999999999997</v>
      </c>
      <c r="DJ13">
        <v>17.59</v>
      </c>
      <c r="DK13">
        <v>54.84</v>
      </c>
      <c r="DL13">
        <v>1392.85</v>
      </c>
      <c r="DM13">
        <v>39.32</v>
      </c>
      <c r="DN13">
        <v>15.52</v>
      </c>
      <c r="DO13">
        <v>108.66</v>
      </c>
      <c r="DP13">
        <v>40.36</v>
      </c>
      <c r="DQ13">
        <v>1519.1</v>
      </c>
      <c r="DR13">
        <v>18.63</v>
      </c>
      <c r="DS13">
        <v>7.24</v>
      </c>
      <c r="DT13">
        <v>39.32</v>
      </c>
      <c r="DU13">
        <v>1376.3</v>
      </c>
      <c r="DV13">
        <v>6.21</v>
      </c>
      <c r="DW13">
        <v>21.73</v>
      </c>
      <c r="DX13">
        <v>63.12</v>
      </c>
      <c r="DY13">
        <v>31.04</v>
      </c>
      <c r="DZ13">
        <v>60.02</v>
      </c>
      <c r="EA13">
        <v>36.22</v>
      </c>
      <c r="EB13">
        <v>82.78</v>
      </c>
      <c r="EC13">
        <v>12.42</v>
      </c>
      <c r="ED13">
        <v>40.36</v>
      </c>
      <c r="EE13">
        <v>5.17</v>
      </c>
      <c r="EF13">
        <v>3737.73</v>
      </c>
      <c r="EG13">
        <v>238.01</v>
      </c>
      <c r="EH13">
        <v>68.3</v>
      </c>
      <c r="EI13">
        <v>33.11</v>
      </c>
      <c r="EJ13">
        <v>747.13</v>
      </c>
      <c r="EK13">
        <v>902.35</v>
      </c>
      <c r="EL13">
        <v>5847.71</v>
      </c>
      <c r="EM13">
        <v>132.46</v>
      </c>
      <c r="EN13">
        <v>129.35</v>
      </c>
      <c r="EO13">
        <v>482.22</v>
      </c>
      <c r="EP13">
        <v>20.7</v>
      </c>
      <c r="EQ13">
        <v>2666.7</v>
      </c>
      <c r="ER13">
        <v>23.8</v>
      </c>
      <c r="ES13">
        <v>58.98</v>
      </c>
      <c r="ET13">
        <v>17.59</v>
      </c>
      <c r="EU13">
        <v>671.59</v>
      </c>
      <c r="EV13">
        <v>10.35</v>
      </c>
      <c r="EW13">
        <v>44.5</v>
      </c>
      <c r="EX13">
        <v>20.7</v>
      </c>
      <c r="EY13">
        <v>32.08</v>
      </c>
      <c r="EZ13">
        <v>30.01</v>
      </c>
      <c r="FA13">
        <v>60.02</v>
      </c>
      <c r="FB13">
        <v>12.42</v>
      </c>
      <c r="FC13">
        <v>34.15</v>
      </c>
      <c r="FD13">
        <v>40.36</v>
      </c>
      <c r="FE13">
        <v>14191.38</v>
      </c>
      <c r="FF13">
        <v>74.510000000000005</v>
      </c>
      <c r="FG13">
        <v>582.6</v>
      </c>
      <c r="FH13">
        <v>926.15</v>
      </c>
      <c r="FI13">
        <v>10.35</v>
      </c>
      <c r="FJ13">
        <v>5.17</v>
      </c>
      <c r="FK13">
        <v>645.72</v>
      </c>
      <c r="FL13">
        <v>76.58</v>
      </c>
      <c r="FM13">
        <v>142.80000000000001</v>
      </c>
      <c r="FN13">
        <v>1304.9000000000001</v>
      </c>
      <c r="FO13">
        <v>28.97</v>
      </c>
      <c r="FP13">
        <v>10.35</v>
      </c>
      <c r="FQ13">
        <v>34.15</v>
      </c>
      <c r="FR13">
        <v>5.17</v>
      </c>
      <c r="FS13">
        <v>3.53</v>
      </c>
      <c r="FT13">
        <v>21.73</v>
      </c>
      <c r="FU13">
        <v>1787.12</v>
      </c>
      <c r="FV13">
        <v>588.80999999999995</v>
      </c>
      <c r="FW13">
        <v>51.74</v>
      </c>
      <c r="FX13">
        <v>34.15</v>
      </c>
      <c r="FY13">
        <v>23.8</v>
      </c>
      <c r="FZ13">
        <v>1827.47</v>
      </c>
      <c r="GA13">
        <v>79.680000000000007</v>
      </c>
      <c r="GB13">
        <v>19.66</v>
      </c>
      <c r="GC13">
        <v>8.2799999999999994</v>
      </c>
      <c r="GD13">
        <v>14.49</v>
      </c>
      <c r="GE13">
        <v>109.69</v>
      </c>
      <c r="GF13">
        <v>493.6</v>
      </c>
      <c r="GG13">
        <v>1983.73</v>
      </c>
      <c r="GH13">
        <v>645.72</v>
      </c>
      <c r="GI13">
        <v>4419.67</v>
      </c>
      <c r="GJ13">
        <v>157.29</v>
      </c>
      <c r="GK13">
        <v>6899.08</v>
      </c>
      <c r="GL13">
        <v>42.43</v>
      </c>
      <c r="GM13">
        <v>28.97</v>
      </c>
      <c r="GN13">
        <v>21.73</v>
      </c>
      <c r="GO13">
        <v>176.95</v>
      </c>
      <c r="GP13">
        <v>32.08</v>
      </c>
      <c r="GQ13">
        <v>15.52</v>
      </c>
      <c r="GR13">
        <v>105.55</v>
      </c>
      <c r="GS13">
        <v>144.87</v>
      </c>
      <c r="GT13">
        <v>218.34</v>
      </c>
      <c r="GU13">
        <v>8.2799999999999994</v>
      </c>
      <c r="GV13">
        <v>26.91</v>
      </c>
      <c r="GW13">
        <v>412.89</v>
      </c>
      <c r="GX13">
        <v>212.14</v>
      </c>
      <c r="GY13">
        <v>93.13</v>
      </c>
      <c r="GZ13">
        <v>240.08</v>
      </c>
      <c r="HA13">
        <v>74.510000000000005</v>
      </c>
      <c r="HB13">
        <v>733.68</v>
      </c>
      <c r="HC13">
        <v>184.2</v>
      </c>
      <c r="HD13">
        <v>7483.74</v>
      </c>
      <c r="HE13">
        <v>13.45</v>
      </c>
      <c r="HF13">
        <v>5524.85</v>
      </c>
      <c r="HG13">
        <v>206.96</v>
      </c>
      <c r="HH13">
        <v>845.44</v>
      </c>
      <c r="HI13">
        <v>15.52</v>
      </c>
      <c r="HJ13">
        <v>1863.69</v>
      </c>
      <c r="HK13">
        <v>9138.4</v>
      </c>
      <c r="HL13">
        <v>1016.18</v>
      </c>
      <c r="HM13">
        <v>157.29</v>
      </c>
      <c r="HN13">
        <v>1861.62</v>
      </c>
      <c r="HO13">
        <v>40.36</v>
      </c>
      <c r="HP13">
        <v>67.260000000000005</v>
      </c>
      <c r="HQ13">
        <v>10121.469999999999</v>
      </c>
      <c r="HR13">
        <v>53.81</v>
      </c>
      <c r="HS13">
        <v>3.53</v>
      </c>
      <c r="HT13">
        <v>285.61</v>
      </c>
      <c r="HU13">
        <v>154.19</v>
      </c>
      <c r="HV13">
        <v>166.6</v>
      </c>
      <c r="HW13">
        <v>6856.65</v>
      </c>
      <c r="HX13">
        <v>38.29</v>
      </c>
      <c r="HY13">
        <v>33.11</v>
      </c>
      <c r="HZ13">
        <v>160.4</v>
      </c>
      <c r="IA13">
        <v>610.54</v>
      </c>
      <c r="IB13">
        <v>169.71</v>
      </c>
      <c r="IC13">
        <v>10.35</v>
      </c>
      <c r="ID13">
        <v>33.11</v>
      </c>
      <c r="IE13">
        <v>34.15</v>
      </c>
      <c r="IF13">
        <v>1115.52</v>
      </c>
      <c r="IG13">
        <v>52.78</v>
      </c>
      <c r="IH13">
        <v>6.21</v>
      </c>
      <c r="II13">
        <v>77.61</v>
      </c>
      <c r="IJ13">
        <v>85.89</v>
      </c>
      <c r="IK13">
        <v>7.24</v>
      </c>
      <c r="IL13">
        <v>323.89999999999998</v>
      </c>
      <c r="IM13">
        <v>86.92</v>
      </c>
      <c r="IN13">
        <v>78.650000000000006</v>
      </c>
      <c r="IO13">
        <v>261.81</v>
      </c>
      <c r="IP13">
        <v>15.52</v>
      </c>
      <c r="IQ13">
        <v>28.97</v>
      </c>
      <c r="IR13">
        <v>11.38</v>
      </c>
      <c r="IS13">
        <v>54.84</v>
      </c>
      <c r="IT13">
        <v>14.49</v>
      </c>
      <c r="IU13">
        <v>95.2</v>
      </c>
      <c r="IV13">
        <v>1707.44</v>
      </c>
      <c r="IW13">
        <v>96.24</v>
      </c>
      <c r="IX13">
        <v>7115.35</v>
      </c>
      <c r="IY13">
        <v>33.11</v>
      </c>
      <c r="IZ13">
        <v>27.94</v>
      </c>
      <c r="JA13">
        <v>75.540000000000006</v>
      </c>
      <c r="JB13">
        <v>1758.14</v>
      </c>
      <c r="JC13">
        <v>115.9</v>
      </c>
      <c r="JD13">
        <v>134.53</v>
      </c>
      <c r="JE13">
        <v>36.22</v>
      </c>
      <c r="JF13">
        <v>28.97</v>
      </c>
      <c r="JG13">
        <v>66.23</v>
      </c>
      <c r="JH13">
        <v>305.27</v>
      </c>
      <c r="JI13">
        <v>192.47</v>
      </c>
      <c r="JJ13">
        <v>81.75</v>
      </c>
      <c r="JK13">
        <v>139.69999999999999</v>
      </c>
      <c r="JL13">
        <v>52.78</v>
      </c>
      <c r="JM13">
        <v>15.52</v>
      </c>
      <c r="JN13">
        <v>35.18</v>
      </c>
      <c r="JO13">
        <v>241.11</v>
      </c>
      <c r="JP13">
        <v>1217.97</v>
      </c>
      <c r="JQ13">
        <v>1344.22</v>
      </c>
      <c r="JR13">
        <v>24.84</v>
      </c>
      <c r="JS13">
        <v>21.73</v>
      </c>
      <c r="JT13">
        <v>189.37</v>
      </c>
      <c r="JU13">
        <v>441.86</v>
      </c>
      <c r="JV13">
        <v>640.54999999999995</v>
      </c>
      <c r="JW13">
        <v>24.84</v>
      </c>
      <c r="JX13">
        <v>61.05</v>
      </c>
      <c r="JY13">
        <v>218.34</v>
      </c>
      <c r="JZ13">
        <v>22.77</v>
      </c>
      <c r="KA13">
        <v>4.1399999999999997</v>
      </c>
      <c r="KB13">
        <v>13.45</v>
      </c>
      <c r="KC13">
        <v>4.1399999999999997</v>
      </c>
      <c r="KD13">
        <v>41.39</v>
      </c>
      <c r="KE13">
        <v>95.2</v>
      </c>
      <c r="KF13">
        <v>45.53</v>
      </c>
      <c r="KG13">
        <v>110.72</v>
      </c>
      <c r="KH13">
        <v>79.680000000000007</v>
      </c>
      <c r="KI13">
        <v>454.28</v>
      </c>
      <c r="KJ13">
        <v>132.46</v>
      </c>
      <c r="KK13">
        <v>119</v>
      </c>
      <c r="KL13">
        <v>60.02</v>
      </c>
      <c r="KM13">
        <v>64.16</v>
      </c>
      <c r="KN13">
        <v>168.67</v>
      </c>
      <c r="KO13">
        <v>611.57000000000005</v>
      </c>
      <c r="KP13">
        <v>46.57</v>
      </c>
      <c r="KQ13">
        <v>2660.5</v>
      </c>
      <c r="KR13">
        <v>841.3</v>
      </c>
      <c r="KS13">
        <v>1137.26</v>
      </c>
      <c r="KT13">
        <v>11367.38</v>
      </c>
      <c r="KU13">
        <v>43680.35</v>
      </c>
      <c r="KV13">
        <v>3239.99</v>
      </c>
      <c r="KW13">
        <v>61.05</v>
      </c>
      <c r="KX13">
        <v>61.05</v>
      </c>
      <c r="KY13">
        <v>20.7</v>
      </c>
      <c r="KZ13">
        <v>8.2799999999999994</v>
      </c>
      <c r="LA13">
        <v>183.16</v>
      </c>
      <c r="LB13">
        <v>137.63</v>
      </c>
      <c r="LC13">
        <v>3.53</v>
      </c>
      <c r="LD13">
        <v>3.53</v>
      </c>
      <c r="LE13">
        <v>3.53</v>
      </c>
      <c r="LF13">
        <v>434.62</v>
      </c>
      <c r="LG13">
        <v>141.77000000000001</v>
      </c>
      <c r="LH13">
        <v>11.38</v>
      </c>
      <c r="LI13">
        <v>6307.17</v>
      </c>
      <c r="LJ13">
        <v>514.29999999999995</v>
      </c>
      <c r="LK13">
        <v>1909.22</v>
      </c>
      <c r="LL13">
        <v>135.56</v>
      </c>
      <c r="LM13">
        <v>34.15</v>
      </c>
      <c r="LN13">
        <v>354.94</v>
      </c>
      <c r="LO13">
        <v>18.63</v>
      </c>
      <c r="LP13">
        <v>2220.6999999999998</v>
      </c>
      <c r="LQ13">
        <v>31.04</v>
      </c>
      <c r="LR13">
        <v>134.53</v>
      </c>
      <c r="LS13">
        <v>55.88</v>
      </c>
      <c r="LT13">
        <v>10.35</v>
      </c>
      <c r="LU13">
        <v>49.67</v>
      </c>
      <c r="LV13">
        <v>47.6</v>
      </c>
      <c r="LW13">
        <v>352.87</v>
      </c>
      <c r="LX13">
        <v>3307.25</v>
      </c>
      <c r="LY13">
        <v>1487.02</v>
      </c>
      <c r="LZ13">
        <v>9741.7000000000007</v>
      </c>
      <c r="MA13">
        <v>217.31</v>
      </c>
      <c r="MB13">
        <v>1169.33</v>
      </c>
      <c r="MC13">
        <v>1028.5999999999999</v>
      </c>
      <c r="MD13">
        <v>145.91</v>
      </c>
      <c r="ME13">
        <v>221.45</v>
      </c>
      <c r="MF13">
        <v>523.61</v>
      </c>
      <c r="MG13">
        <v>933.4</v>
      </c>
      <c r="MH13">
        <v>292.85000000000002</v>
      </c>
      <c r="MI13">
        <v>25.87</v>
      </c>
      <c r="MJ13">
        <v>392.19</v>
      </c>
      <c r="MK13">
        <v>3.53</v>
      </c>
      <c r="ML13">
        <v>1223.1500000000001</v>
      </c>
      <c r="MM13">
        <v>938.57</v>
      </c>
      <c r="MN13">
        <v>779.21</v>
      </c>
      <c r="MO13">
        <v>18.63</v>
      </c>
      <c r="MP13">
        <v>149.01</v>
      </c>
      <c r="MQ13">
        <v>274.22000000000003</v>
      </c>
      <c r="MR13">
        <v>9.31</v>
      </c>
      <c r="MS13">
        <v>160.4</v>
      </c>
      <c r="MT13">
        <v>1628.79</v>
      </c>
      <c r="MU13">
        <v>22.77</v>
      </c>
      <c r="MV13">
        <v>1059.6500000000001</v>
      </c>
      <c r="MW13">
        <v>257.67</v>
      </c>
      <c r="MX13">
        <v>41.39</v>
      </c>
      <c r="MY13">
        <v>33.11</v>
      </c>
      <c r="MZ13">
        <v>1003.77</v>
      </c>
      <c r="NA13">
        <v>53.81</v>
      </c>
      <c r="NB13">
        <v>5978.1</v>
      </c>
      <c r="NC13">
        <v>5379.98</v>
      </c>
      <c r="ND13">
        <v>3706.69</v>
      </c>
      <c r="NE13">
        <v>873.38</v>
      </c>
      <c r="NF13">
        <v>16.559999999999999</v>
      </c>
      <c r="NG13">
        <v>3.53</v>
      </c>
      <c r="NH13">
        <v>68.3</v>
      </c>
      <c r="NI13">
        <v>2066.5100000000002</v>
      </c>
      <c r="NJ13">
        <v>194.54</v>
      </c>
      <c r="NK13">
        <v>83.82</v>
      </c>
      <c r="NL13">
        <v>58.98</v>
      </c>
      <c r="NM13">
        <v>3693.24</v>
      </c>
      <c r="NN13">
        <v>71.400000000000006</v>
      </c>
      <c r="NO13">
        <v>34.15</v>
      </c>
      <c r="NP13">
        <v>19.66</v>
      </c>
      <c r="NQ13">
        <v>1301.79</v>
      </c>
      <c r="NR13">
        <v>501.88</v>
      </c>
      <c r="NS13">
        <v>246.28</v>
      </c>
      <c r="NT13">
        <v>1825.4</v>
      </c>
      <c r="NU13">
        <v>687.11</v>
      </c>
      <c r="NV13">
        <v>274.22000000000003</v>
      </c>
      <c r="NW13">
        <v>253.53</v>
      </c>
      <c r="NX13">
        <v>43.46</v>
      </c>
      <c r="NY13">
        <v>105.55</v>
      </c>
      <c r="NZ13">
        <v>320.79000000000002</v>
      </c>
      <c r="OA13">
        <v>62.09</v>
      </c>
      <c r="OB13">
        <v>359.08</v>
      </c>
      <c r="OC13">
        <v>1600.85</v>
      </c>
      <c r="OD13">
        <v>63.12</v>
      </c>
      <c r="OE13">
        <v>4379.3100000000004</v>
      </c>
      <c r="OF13">
        <v>8.2799999999999994</v>
      </c>
      <c r="OG13">
        <v>4118.54</v>
      </c>
      <c r="OH13">
        <v>117.97</v>
      </c>
      <c r="OI13">
        <v>23.8</v>
      </c>
      <c r="OJ13">
        <v>19.66</v>
      </c>
      <c r="OK13">
        <v>496.71</v>
      </c>
      <c r="OL13">
        <v>125.21</v>
      </c>
      <c r="OM13">
        <v>166.6</v>
      </c>
      <c r="ON13">
        <v>141.77000000000001</v>
      </c>
      <c r="OO13">
        <v>453.25</v>
      </c>
      <c r="OP13">
        <v>616.75</v>
      </c>
      <c r="OQ13">
        <v>472.91</v>
      </c>
      <c r="OR13">
        <v>53.81</v>
      </c>
      <c r="OS13">
        <v>840.27</v>
      </c>
      <c r="OT13">
        <v>228.69</v>
      </c>
      <c r="OU13">
        <v>32.08</v>
      </c>
      <c r="OV13">
        <v>342.52</v>
      </c>
      <c r="OW13">
        <v>3.53</v>
      </c>
      <c r="OX13">
        <v>47.6</v>
      </c>
      <c r="OY13">
        <v>42.43</v>
      </c>
      <c r="OZ13">
        <v>15.52</v>
      </c>
      <c r="PA13">
        <v>27.94</v>
      </c>
      <c r="PB13">
        <v>3.53</v>
      </c>
      <c r="PC13">
        <v>6.21</v>
      </c>
      <c r="PD13">
        <v>20.7</v>
      </c>
      <c r="PE13">
        <v>19.66</v>
      </c>
      <c r="PF13">
        <v>714.02</v>
      </c>
      <c r="PG13">
        <v>26.91</v>
      </c>
      <c r="PH13">
        <v>36.22</v>
      </c>
      <c r="PI13">
        <v>38.29</v>
      </c>
      <c r="PJ13">
        <v>21980.39</v>
      </c>
      <c r="PK13">
        <v>26615.3</v>
      </c>
      <c r="PL13">
        <v>30.01</v>
      </c>
      <c r="PM13">
        <v>27017.85</v>
      </c>
      <c r="PN13">
        <v>1185.8900000000001</v>
      </c>
      <c r="PO13">
        <v>67.260000000000005</v>
      </c>
      <c r="PP13">
        <v>441.86</v>
      </c>
      <c r="PQ13">
        <v>51.74</v>
      </c>
      <c r="PR13">
        <v>57.95</v>
      </c>
      <c r="PS13">
        <v>52.78</v>
      </c>
      <c r="PT13">
        <v>28.97</v>
      </c>
      <c r="PU13">
        <v>116.93</v>
      </c>
      <c r="PV13">
        <v>161.43</v>
      </c>
      <c r="PW13">
        <v>34.15</v>
      </c>
      <c r="PX13">
        <v>38.29</v>
      </c>
      <c r="PY13">
        <v>228.69</v>
      </c>
      <c r="PZ13">
        <v>21.73</v>
      </c>
      <c r="QA13">
        <v>80.72</v>
      </c>
      <c r="QB13">
        <v>1172.44</v>
      </c>
      <c r="QC13">
        <v>20.7</v>
      </c>
      <c r="QD13">
        <v>23.8</v>
      </c>
      <c r="QE13">
        <v>10.35</v>
      </c>
      <c r="QF13">
        <v>16.559999999999999</v>
      </c>
      <c r="QG13">
        <v>13.45</v>
      </c>
      <c r="QH13">
        <v>22.77</v>
      </c>
      <c r="QI13">
        <v>15.52</v>
      </c>
      <c r="QJ13">
        <v>350.8</v>
      </c>
      <c r="QK13">
        <v>14.49</v>
      </c>
      <c r="QL13">
        <v>135.56</v>
      </c>
      <c r="QM13">
        <v>884.76</v>
      </c>
      <c r="QN13">
        <v>841.3</v>
      </c>
      <c r="QO13">
        <v>43.46</v>
      </c>
      <c r="QP13">
        <v>277.33</v>
      </c>
      <c r="QQ13">
        <v>363.22</v>
      </c>
      <c r="QR13">
        <v>42.43</v>
      </c>
      <c r="QS13">
        <v>1849.2</v>
      </c>
      <c r="QT13">
        <v>1120.7</v>
      </c>
      <c r="QU13">
        <v>23.8</v>
      </c>
      <c r="QV13">
        <v>258.7</v>
      </c>
      <c r="QW13">
        <v>203.86</v>
      </c>
      <c r="QX13">
        <v>311.48</v>
      </c>
      <c r="QY13">
        <v>66.23</v>
      </c>
      <c r="QZ13">
        <v>32.08</v>
      </c>
      <c r="RA13">
        <v>130.38999999999999</v>
      </c>
      <c r="RB13">
        <v>4582.1400000000003</v>
      </c>
      <c r="RC13">
        <v>418.06</v>
      </c>
      <c r="RD13">
        <v>1190.03</v>
      </c>
      <c r="RE13">
        <v>138.66</v>
      </c>
      <c r="RF13">
        <v>41.39</v>
      </c>
      <c r="RG13">
        <v>337.35</v>
      </c>
      <c r="RH13">
        <v>34.15</v>
      </c>
      <c r="RI13">
        <v>7.24</v>
      </c>
      <c r="RJ13">
        <v>99.34</v>
      </c>
      <c r="RK13">
        <v>26.91</v>
      </c>
      <c r="RL13">
        <v>219.38</v>
      </c>
      <c r="RM13">
        <v>157.29</v>
      </c>
      <c r="RN13">
        <v>368.39</v>
      </c>
      <c r="RO13">
        <v>435.65</v>
      </c>
      <c r="RP13">
        <v>189.37</v>
      </c>
      <c r="RQ13">
        <v>1006.87</v>
      </c>
      <c r="RR13">
        <v>4.1399999999999997</v>
      </c>
      <c r="RS13">
        <v>591.91</v>
      </c>
      <c r="RT13">
        <v>455.32</v>
      </c>
      <c r="RU13">
        <v>18.63</v>
      </c>
      <c r="RV13">
        <v>17.59</v>
      </c>
      <c r="RW13">
        <v>133.49</v>
      </c>
      <c r="RX13">
        <v>1417.69</v>
      </c>
      <c r="RY13">
        <v>1907.15</v>
      </c>
      <c r="RZ13">
        <v>21.73</v>
      </c>
      <c r="SA13">
        <v>424.27</v>
      </c>
      <c r="SB13">
        <v>21.73</v>
      </c>
      <c r="SC13">
        <v>68.3</v>
      </c>
      <c r="SD13">
        <v>1066.8900000000001</v>
      </c>
      <c r="SE13">
        <v>823.71</v>
      </c>
      <c r="SF13">
        <v>826.81</v>
      </c>
      <c r="SG13">
        <v>5040.5600000000004</v>
      </c>
      <c r="SH13">
        <v>112.79</v>
      </c>
      <c r="SI13">
        <v>34.15</v>
      </c>
      <c r="SJ13">
        <v>113.83</v>
      </c>
      <c r="SK13">
        <v>93.13</v>
      </c>
      <c r="SL13">
        <v>133.49</v>
      </c>
      <c r="SM13">
        <v>78.650000000000006</v>
      </c>
      <c r="SN13">
        <v>117.97</v>
      </c>
      <c r="SO13">
        <v>18.63</v>
      </c>
      <c r="SP13">
        <v>133.49</v>
      </c>
      <c r="SQ13">
        <v>1204.52</v>
      </c>
      <c r="SR13">
        <v>1776.77</v>
      </c>
      <c r="SS13">
        <v>2200.0100000000002</v>
      </c>
      <c r="ST13">
        <v>427.38</v>
      </c>
      <c r="SU13">
        <v>468.77</v>
      </c>
      <c r="SV13">
        <v>256.63</v>
      </c>
      <c r="SW13">
        <v>231.8</v>
      </c>
      <c r="SX13">
        <v>85.89</v>
      </c>
      <c r="SY13">
        <v>31.04</v>
      </c>
      <c r="SZ13">
        <v>4.1399999999999997</v>
      </c>
      <c r="TA13">
        <v>41.39</v>
      </c>
      <c r="TB13">
        <v>1435.28</v>
      </c>
      <c r="TC13">
        <v>804.05</v>
      </c>
      <c r="TD13">
        <v>52.78</v>
      </c>
      <c r="TE13">
        <v>675.73</v>
      </c>
      <c r="TF13">
        <v>525.67999999999995</v>
      </c>
      <c r="TG13">
        <v>372.53</v>
      </c>
      <c r="TH13">
        <v>284.57</v>
      </c>
      <c r="TI13">
        <v>112.79</v>
      </c>
      <c r="TJ13">
        <v>19.66</v>
      </c>
      <c r="TK13">
        <v>195.58</v>
      </c>
      <c r="TL13">
        <v>114.86</v>
      </c>
      <c r="TM13">
        <v>45.53</v>
      </c>
      <c r="TN13">
        <v>299.06</v>
      </c>
      <c r="TO13">
        <v>721.26</v>
      </c>
      <c r="TP13">
        <v>1384.58</v>
      </c>
      <c r="TQ13">
        <v>106.59</v>
      </c>
      <c r="TR13">
        <v>35.18</v>
      </c>
      <c r="TS13">
        <v>361.15</v>
      </c>
      <c r="TT13">
        <v>117.97</v>
      </c>
      <c r="TU13">
        <v>51.74</v>
      </c>
      <c r="TV13">
        <v>280.43</v>
      </c>
      <c r="TW13">
        <v>443.93</v>
      </c>
      <c r="TX13">
        <v>169.71</v>
      </c>
      <c r="TY13">
        <v>31.04</v>
      </c>
      <c r="TZ13">
        <v>44.5</v>
      </c>
      <c r="UA13">
        <v>289.75</v>
      </c>
      <c r="UB13">
        <v>117.97</v>
      </c>
      <c r="UC13">
        <v>9078.3799999999992</v>
      </c>
      <c r="UD13">
        <v>21.73</v>
      </c>
      <c r="UE13">
        <v>16.559999999999999</v>
      </c>
      <c r="UF13">
        <v>2960.59</v>
      </c>
      <c r="UG13">
        <v>117.97</v>
      </c>
      <c r="UH13">
        <v>30.01</v>
      </c>
      <c r="UI13">
        <v>44.5</v>
      </c>
      <c r="UJ13">
        <v>15.52</v>
      </c>
      <c r="UK13">
        <v>44.5</v>
      </c>
      <c r="UL13">
        <v>23.8</v>
      </c>
      <c r="UM13">
        <v>9.31</v>
      </c>
      <c r="UN13">
        <v>204.89</v>
      </c>
      <c r="UO13">
        <v>126.25</v>
      </c>
      <c r="UP13">
        <v>9.31</v>
      </c>
      <c r="UQ13">
        <v>21.73</v>
      </c>
      <c r="UR13">
        <v>16.559999999999999</v>
      </c>
      <c r="US13">
        <v>61.05</v>
      </c>
      <c r="UT13">
        <v>185.23</v>
      </c>
      <c r="UU13">
        <v>681.94</v>
      </c>
      <c r="UV13">
        <v>468.77</v>
      </c>
      <c r="UW13">
        <v>339.42</v>
      </c>
      <c r="UX13">
        <v>75.540000000000006</v>
      </c>
      <c r="UY13">
        <v>272.14999999999998</v>
      </c>
      <c r="UZ13">
        <v>195.58</v>
      </c>
      <c r="VA13">
        <v>8990.43</v>
      </c>
      <c r="VB13">
        <v>1832.65</v>
      </c>
      <c r="VC13">
        <v>39.32</v>
      </c>
      <c r="VD13">
        <v>639.51</v>
      </c>
      <c r="VE13">
        <v>54.84</v>
      </c>
      <c r="VF13">
        <v>577.41999999999996</v>
      </c>
      <c r="VG13">
        <v>47.6</v>
      </c>
      <c r="VH13">
        <v>37.25</v>
      </c>
      <c r="VI13">
        <v>40.36</v>
      </c>
      <c r="VJ13">
        <v>41.39</v>
      </c>
      <c r="VK13">
        <v>877.52</v>
      </c>
      <c r="VL13">
        <v>1042.05</v>
      </c>
      <c r="VM13">
        <v>1392.85</v>
      </c>
      <c r="VN13">
        <v>468.77</v>
      </c>
      <c r="VO13">
        <v>4.1399999999999997</v>
      </c>
      <c r="VP13">
        <v>3.53</v>
      </c>
      <c r="VQ13">
        <v>1037.9100000000001</v>
      </c>
      <c r="VR13">
        <v>375.64</v>
      </c>
      <c r="VS13">
        <v>433.59</v>
      </c>
      <c r="VT13">
        <v>22.77</v>
      </c>
      <c r="VU13">
        <v>112.79</v>
      </c>
      <c r="VV13">
        <v>3.53</v>
      </c>
      <c r="VW13">
        <v>330.1</v>
      </c>
      <c r="VX13">
        <v>64.16</v>
      </c>
      <c r="VY13">
        <v>15.52</v>
      </c>
      <c r="VZ13">
        <v>23352.55</v>
      </c>
      <c r="WA13">
        <v>17443.79</v>
      </c>
      <c r="WB13">
        <v>299.06</v>
      </c>
      <c r="WC13">
        <v>169.71</v>
      </c>
      <c r="WD13">
        <v>97.27</v>
      </c>
      <c r="WE13">
        <v>415.99</v>
      </c>
      <c r="WF13">
        <v>55.88</v>
      </c>
      <c r="WG13">
        <v>381.84</v>
      </c>
      <c r="WH13">
        <v>17675.580000000002</v>
      </c>
      <c r="WI13">
        <v>44339.53</v>
      </c>
      <c r="WJ13">
        <v>2419.39</v>
      </c>
      <c r="WK13">
        <v>154.19</v>
      </c>
      <c r="WL13">
        <v>558.79999999999995</v>
      </c>
      <c r="WM13">
        <v>24.84</v>
      </c>
      <c r="WN13">
        <v>38.29</v>
      </c>
      <c r="WO13">
        <v>4.1399999999999997</v>
      </c>
      <c r="WP13">
        <v>165.57</v>
      </c>
      <c r="WQ13">
        <v>3160.31</v>
      </c>
      <c r="WR13">
        <v>1132.08</v>
      </c>
      <c r="WS13">
        <v>32.08</v>
      </c>
      <c r="WT13">
        <v>3.53</v>
      </c>
      <c r="WU13">
        <v>563.97</v>
      </c>
      <c r="WV13">
        <v>2037.54</v>
      </c>
      <c r="WW13">
        <v>12.42</v>
      </c>
      <c r="WX13">
        <v>14.49</v>
      </c>
      <c r="WY13">
        <v>25.87</v>
      </c>
      <c r="WZ13">
        <v>36.22</v>
      </c>
      <c r="XA13">
        <v>15.52</v>
      </c>
      <c r="XB13">
        <v>379.78</v>
      </c>
      <c r="XC13">
        <v>30.01</v>
      </c>
      <c r="XD13">
        <v>749.2</v>
      </c>
      <c r="XE13">
        <v>203.86</v>
      </c>
      <c r="XF13">
        <v>823.71</v>
      </c>
      <c r="XG13">
        <v>1749.86</v>
      </c>
      <c r="XH13">
        <v>300.08999999999997</v>
      </c>
      <c r="XI13">
        <v>6010.17</v>
      </c>
      <c r="XJ13">
        <v>397.37</v>
      </c>
      <c r="XK13">
        <v>1176.58</v>
      </c>
      <c r="XL13">
        <v>188.34</v>
      </c>
      <c r="XM13">
        <v>172.81</v>
      </c>
      <c r="XN13">
        <v>332.17</v>
      </c>
      <c r="XO13">
        <v>16.559999999999999</v>
      </c>
      <c r="XP13">
        <v>24.84</v>
      </c>
      <c r="XQ13">
        <v>20.7</v>
      </c>
      <c r="XR13">
        <v>11.38</v>
      </c>
      <c r="XS13">
        <v>596.04999999999995</v>
      </c>
      <c r="XT13">
        <v>199.72</v>
      </c>
      <c r="XU13">
        <v>579.49</v>
      </c>
      <c r="XV13">
        <v>310.44</v>
      </c>
      <c r="XW13">
        <v>651.92999999999995</v>
      </c>
      <c r="XX13">
        <v>932.36</v>
      </c>
      <c r="XY13">
        <v>1893.7</v>
      </c>
      <c r="XZ13">
        <v>68.3</v>
      </c>
      <c r="YA13">
        <v>536.03</v>
      </c>
      <c r="YB13">
        <v>224.55</v>
      </c>
      <c r="YC13">
        <v>27.94</v>
      </c>
      <c r="YD13">
        <v>1057.58</v>
      </c>
      <c r="YE13">
        <v>566.04</v>
      </c>
      <c r="YF13">
        <v>616.75</v>
      </c>
      <c r="YG13">
        <v>93.13</v>
      </c>
      <c r="YH13">
        <v>28.97</v>
      </c>
      <c r="YI13">
        <v>36.22</v>
      </c>
      <c r="YJ13">
        <v>487.4</v>
      </c>
      <c r="YK13">
        <v>5.17</v>
      </c>
      <c r="YL13">
        <v>20.7</v>
      </c>
      <c r="YM13">
        <v>4628.7</v>
      </c>
      <c r="YN13">
        <v>926.15</v>
      </c>
      <c r="YO13">
        <v>173.85</v>
      </c>
      <c r="YP13">
        <v>2506.31</v>
      </c>
      <c r="YQ13">
        <v>172.81</v>
      </c>
      <c r="YR13">
        <v>309.41000000000003</v>
      </c>
      <c r="YS13">
        <v>8862.11</v>
      </c>
      <c r="YT13">
        <v>26.91</v>
      </c>
      <c r="YU13">
        <v>608.47</v>
      </c>
      <c r="YV13">
        <v>35.18</v>
      </c>
      <c r="YW13">
        <v>26.91</v>
      </c>
      <c r="YX13">
        <v>57.95</v>
      </c>
      <c r="YY13">
        <v>246.28</v>
      </c>
      <c r="YZ13">
        <v>42.43</v>
      </c>
      <c r="ZA13">
        <v>69.33</v>
      </c>
      <c r="ZB13">
        <v>37.25</v>
      </c>
      <c r="ZC13">
        <v>21.73</v>
      </c>
      <c r="ZD13">
        <v>64.16</v>
      </c>
      <c r="ZE13">
        <v>19.66</v>
      </c>
      <c r="ZF13">
        <v>134.53</v>
      </c>
      <c r="ZG13">
        <v>202.82</v>
      </c>
      <c r="ZH13">
        <v>228.69</v>
      </c>
      <c r="ZI13">
        <v>1156.92</v>
      </c>
      <c r="ZJ13">
        <v>379.78</v>
      </c>
      <c r="ZK13">
        <v>426.34</v>
      </c>
      <c r="ZL13">
        <v>23.8</v>
      </c>
      <c r="ZM13">
        <v>189.37</v>
      </c>
      <c r="ZN13">
        <v>30.01</v>
      </c>
      <c r="ZO13">
        <v>46.57</v>
      </c>
      <c r="ZP13">
        <v>174.88</v>
      </c>
      <c r="ZQ13">
        <v>4.1399999999999997</v>
      </c>
      <c r="ZR13">
        <v>6.21</v>
      </c>
      <c r="ZS13">
        <v>1036.8800000000001</v>
      </c>
      <c r="ZT13">
        <v>140.72999999999999</v>
      </c>
      <c r="ZU13">
        <v>167.64</v>
      </c>
      <c r="ZV13">
        <v>13.45</v>
      </c>
      <c r="ZW13">
        <v>37.25</v>
      </c>
      <c r="ZX13">
        <v>18.63</v>
      </c>
      <c r="ZY13">
        <v>223.52</v>
      </c>
      <c r="ZZ13">
        <v>154.19</v>
      </c>
      <c r="AAA13">
        <v>50.71</v>
      </c>
      <c r="AAB13">
        <v>74.510000000000005</v>
      </c>
      <c r="AAC13">
        <v>41.39</v>
      </c>
      <c r="AAD13">
        <v>34.15</v>
      </c>
      <c r="AAE13">
        <v>26.91</v>
      </c>
      <c r="AAF13">
        <v>26.91</v>
      </c>
      <c r="AAG13">
        <v>309.41000000000003</v>
      </c>
      <c r="AAH13">
        <v>147.97999999999999</v>
      </c>
      <c r="AAI13">
        <v>9469.5400000000009</v>
      </c>
      <c r="AAJ13">
        <v>3290.69</v>
      </c>
      <c r="AAK13">
        <v>38.29</v>
      </c>
      <c r="AAL13">
        <v>180.06</v>
      </c>
      <c r="AAM13">
        <v>16.559999999999999</v>
      </c>
      <c r="AAN13">
        <v>184.2</v>
      </c>
      <c r="AAO13">
        <v>16.559999999999999</v>
      </c>
      <c r="AAP13">
        <v>180.06</v>
      </c>
      <c r="AAQ13">
        <v>73.47</v>
      </c>
      <c r="AAR13">
        <v>116.93</v>
      </c>
      <c r="AAS13">
        <v>2242.4299999999998</v>
      </c>
      <c r="AAT13">
        <v>38.29</v>
      </c>
      <c r="AAU13">
        <v>4.1399999999999997</v>
      </c>
      <c r="AAV13">
        <v>816.46</v>
      </c>
      <c r="AAW13">
        <v>44.5</v>
      </c>
      <c r="AAX13">
        <v>16.559999999999999</v>
      </c>
      <c r="AAY13">
        <v>67.260000000000005</v>
      </c>
      <c r="AAZ13">
        <v>53.81</v>
      </c>
      <c r="ABA13">
        <v>315.62</v>
      </c>
      <c r="ABB13">
        <v>18.63</v>
      </c>
      <c r="ABC13">
        <v>365.29</v>
      </c>
      <c r="ABD13">
        <v>896.15</v>
      </c>
      <c r="ABE13">
        <v>626.05999999999995</v>
      </c>
      <c r="ABF13">
        <v>490.5</v>
      </c>
      <c r="ABG13">
        <v>64.16</v>
      </c>
      <c r="ABH13">
        <v>435.65</v>
      </c>
      <c r="ABI13">
        <v>25.87</v>
      </c>
      <c r="ABJ13">
        <v>58.98</v>
      </c>
      <c r="ABK13">
        <v>52.78</v>
      </c>
      <c r="ABL13">
        <v>37.25</v>
      </c>
      <c r="ABM13">
        <v>20.7</v>
      </c>
      <c r="ABN13">
        <v>114.86</v>
      </c>
      <c r="ABO13">
        <v>24.84</v>
      </c>
      <c r="ABP13">
        <v>30.01</v>
      </c>
      <c r="ABQ13">
        <v>464.63</v>
      </c>
      <c r="ABR13">
        <v>47.6</v>
      </c>
      <c r="ABS13">
        <v>1644.31</v>
      </c>
      <c r="ABT13">
        <v>21.73</v>
      </c>
      <c r="ABU13">
        <v>27.94</v>
      </c>
      <c r="ABV13">
        <v>188.34</v>
      </c>
      <c r="ABW13">
        <v>230.76</v>
      </c>
      <c r="ABX13">
        <v>307.33999999999997</v>
      </c>
      <c r="ABY13">
        <v>479.12</v>
      </c>
      <c r="ABZ13">
        <v>234.9</v>
      </c>
      <c r="ACA13">
        <v>779.21</v>
      </c>
      <c r="ACB13">
        <v>151.08000000000001</v>
      </c>
      <c r="ACC13">
        <v>142.80000000000001</v>
      </c>
      <c r="ACD13">
        <v>485.33</v>
      </c>
      <c r="ACE13">
        <v>212.14</v>
      </c>
      <c r="ACF13">
        <v>7289.2</v>
      </c>
      <c r="ACG13">
        <v>2128.6</v>
      </c>
      <c r="ACH13">
        <v>678.84</v>
      </c>
      <c r="ACI13">
        <v>270.08999999999997</v>
      </c>
      <c r="ACJ13">
        <v>728.51</v>
      </c>
      <c r="ACK13">
        <v>519.47</v>
      </c>
      <c r="ACL13">
        <v>52.78</v>
      </c>
      <c r="ACM13">
        <v>434.62</v>
      </c>
      <c r="ACN13">
        <v>418.06</v>
      </c>
      <c r="ACO13">
        <v>559.83000000000004</v>
      </c>
      <c r="ACP13">
        <v>636.41</v>
      </c>
      <c r="ACQ13">
        <v>395.3</v>
      </c>
      <c r="ACR13">
        <v>2751.56</v>
      </c>
    </row>
    <row r="14" spans="1:772" x14ac:dyDescent="0.3">
      <c r="A14" t="s">
        <v>9</v>
      </c>
      <c r="B14" t="s">
        <v>1</v>
      </c>
      <c r="C14">
        <v>744.66</v>
      </c>
      <c r="D14">
        <v>69.02</v>
      </c>
      <c r="E14">
        <v>555.09</v>
      </c>
      <c r="F14">
        <v>17.010000000000002</v>
      </c>
      <c r="G14">
        <v>1941.37</v>
      </c>
      <c r="H14">
        <v>56.87</v>
      </c>
      <c r="I14">
        <v>1081.51</v>
      </c>
      <c r="J14">
        <v>8116.41</v>
      </c>
      <c r="K14">
        <v>1175.32</v>
      </c>
      <c r="L14">
        <v>34.020000000000003</v>
      </c>
      <c r="M14">
        <v>178.39</v>
      </c>
      <c r="N14">
        <v>725.7</v>
      </c>
      <c r="O14">
        <v>117.63</v>
      </c>
      <c r="P14">
        <v>228.45</v>
      </c>
      <c r="Q14">
        <v>67.08</v>
      </c>
      <c r="R14">
        <v>660.08</v>
      </c>
      <c r="S14">
        <v>13.61</v>
      </c>
      <c r="T14">
        <v>539.54</v>
      </c>
      <c r="U14">
        <v>409.76</v>
      </c>
      <c r="V14">
        <v>193.46</v>
      </c>
      <c r="W14">
        <v>605.16</v>
      </c>
      <c r="X14">
        <v>31.11</v>
      </c>
      <c r="Y14">
        <v>224.56</v>
      </c>
      <c r="Z14">
        <v>376.71</v>
      </c>
      <c r="AA14">
        <v>73.88</v>
      </c>
      <c r="AB14">
        <v>673.69</v>
      </c>
      <c r="AC14">
        <v>456.42</v>
      </c>
      <c r="AD14">
        <v>89.92</v>
      </c>
      <c r="AE14">
        <v>301.85000000000002</v>
      </c>
      <c r="AF14">
        <v>17660.900000000001</v>
      </c>
      <c r="AG14">
        <v>110.82</v>
      </c>
      <c r="AH14">
        <v>293.58999999999997</v>
      </c>
      <c r="AI14">
        <v>36.94</v>
      </c>
      <c r="AJ14">
        <v>338.31</v>
      </c>
      <c r="AK14">
        <v>131.24</v>
      </c>
      <c r="AL14">
        <v>93.33</v>
      </c>
      <c r="AM14">
        <v>598.84</v>
      </c>
      <c r="AN14">
        <v>71.45</v>
      </c>
      <c r="AO14">
        <v>750.98</v>
      </c>
      <c r="AP14">
        <v>35.479999999999997</v>
      </c>
      <c r="AQ14">
        <v>105.48</v>
      </c>
      <c r="AR14">
        <v>25.76</v>
      </c>
      <c r="AS14">
        <v>67.08</v>
      </c>
      <c r="AT14">
        <v>9.99</v>
      </c>
      <c r="AU14">
        <v>52.5</v>
      </c>
      <c r="AV14">
        <v>312.54000000000002</v>
      </c>
      <c r="AW14">
        <v>224.56</v>
      </c>
      <c r="AX14">
        <v>2205.79</v>
      </c>
      <c r="AY14">
        <v>23.33</v>
      </c>
      <c r="AZ14">
        <v>93.81</v>
      </c>
      <c r="BA14">
        <v>341.22</v>
      </c>
      <c r="BB14">
        <v>383.02</v>
      </c>
      <c r="BC14">
        <v>53.95</v>
      </c>
      <c r="BD14">
        <v>20.41</v>
      </c>
      <c r="BE14">
        <v>175.96</v>
      </c>
      <c r="BF14">
        <v>248.87</v>
      </c>
      <c r="BG14">
        <v>41.8</v>
      </c>
      <c r="BH14">
        <v>35.97</v>
      </c>
      <c r="BI14">
        <v>12.15</v>
      </c>
      <c r="BJ14">
        <v>19.440000000000001</v>
      </c>
      <c r="BK14">
        <v>170.61</v>
      </c>
      <c r="BL14">
        <v>426.28</v>
      </c>
      <c r="BM14">
        <v>62.22</v>
      </c>
      <c r="BN14">
        <v>90.41</v>
      </c>
      <c r="BO14">
        <v>69.02</v>
      </c>
      <c r="BP14">
        <v>25.28</v>
      </c>
      <c r="BQ14">
        <v>17.010000000000002</v>
      </c>
      <c r="BR14">
        <v>170.12</v>
      </c>
      <c r="BS14">
        <v>25.76</v>
      </c>
      <c r="BT14">
        <v>400.52</v>
      </c>
      <c r="BU14">
        <v>132.21</v>
      </c>
      <c r="BV14">
        <v>34.51</v>
      </c>
      <c r="BW14">
        <v>202.21</v>
      </c>
      <c r="BX14">
        <v>179.85</v>
      </c>
      <c r="BY14">
        <v>135.61000000000001</v>
      </c>
      <c r="BZ14">
        <v>269.27999999999997</v>
      </c>
      <c r="CA14">
        <v>43.75</v>
      </c>
      <c r="CB14">
        <v>35</v>
      </c>
      <c r="CC14">
        <v>50.07</v>
      </c>
      <c r="CD14">
        <v>107.91</v>
      </c>
      <c r="CE14">
        <v>554.61</v>
      </c>
      <c r="CF14">
        <v>391.29</v>
      </c>
      <c r="CG14">
        <v>45.69</v>
      </c>
      <c r="CH14">
        <v>82.63</v>
      </c>
      <c r="CI14">
        <v>27.71</v>
      </c>
      <c r="CJ14">
        <v>41.32</v>
      </c>
      <c r="CK14">
        <v>56.87</v>
      </c>
      <c r="CL14">
        <v>66.11</v>
      </c>
      <c r="CM14">
        <v>324.20999999999998</v>
      </c>
      <c r="CN14">
        <v>60.76</v>
      </c>
      <c r="CO14">
        <v>65.13</v>
      </c>
      <c r="CP14">
        <v>9.99</v>
      </c>
      <c r="CQ14">
        <v>46.18</v>
      </c>
      <c r="CR14">
        <v>51.52</v>
      </c>
      <c r="CS14">
        <v>9.99</v>
      </c>
      <c r="CT14">
        <v>35</v>
      </c>
      <c r="CU14">
        <v>145.34</v>
      </c>
      <c r="CV14">
        <v>79.72</v>
      </c>
      <c r="CW14">
        <v>1224.4100000000001</v>
      </c>
      <c r="CX14">
        <v>60.27</v>
      </c>
      <c r="CY14">
        <v>285.32</v>
      </c>
      <c r="CZ14">
        <v>51.04</v>
      </c>
      <c r="DA14">
        <v>81.17</v>
      </c>
      <c r="DB14">
        <v>89.44</v>
      </c>
      <c r="DC14">
        <v>61.24</v>
      </c>
      <c r="DD14">
        <v>27.22</v>
      </c>
      <c r="DE14">
        <v>30.62</v>
      </c>
      <c r="DF14">
        <v>298.93</v>
      </c>
      <c r="DG14">
        <v>24.3</v>
      </c>
      <c r="DH14">
        <v>2718.11</v>
      </c>
      <c r="DI14">
        <v>35</v>
      </c>
      <c r="DJ14">
        <v>51.52</v>
      </c>
      <c r="DK14">
        <v>156.51</v>
      </c>
      <c r="DL14">
        <v>753.9</v>
      </c>
      <c r="DM14">
        <v>79.72</v>
      </c>
      <c r="DN14">
        <v>26.73</v>
      </c>
      <c r="DO14">
        <v>49.09</v>
      </c>
      <c r="DP14">
        <v>62.7</v>
      </c>
      <c r="DQ14">
        <v>1555.91</v>
      </c>
      <c r="DR14">
        <v>57.84</v>
      </c>
      <c r="DS14">
        <v>20.41</v>
      </c>
      <c r="DT14">
        <v>45.2</v>
      </c>
      <c r="DU14">
        <v>3682.96</v>
      </c>
      <c r="DV14">
        <v>150.68</v>
      </c>
      <c r="DW14">
        <v>21.39</v>
      </c>
      <c r="DX14">
        <v>55.9</v>
      </c>
      <c r="DY14">
        <v>135.13</v>
      </c>
      <c r="DZ14">
        <v>81.66</v>
      </c>
      <c r="EA14">
        <v>29.65</v>
      </c>
      <c r="EB14">
        <v>48.12</v>
      </c>
      <c r="EC14">
        <v>39.369999999999997</v>
      </c>
      <c r="ED14">
        <v>45.2</v>
      </c>
      <c r="EE14">
        <v>9.99</v>
      </c>
      <c r="EF14">
        <v>1687.15</v>
      </c>
      <c r="EG14">
        <v>1149.56</v>
      </c>
      <c r="EH14">
        <v>32.08</v>
      </c>
      <c r="EI14">
        <v>30.62</v>
      </c>
      <c r="EJ14">
        <v>318.86</v>
      </c>
      <c r="EK14">
        <v>254.7</v>
      </c>
      <c r="EL14">
        <v>1671.11</v>
      </c>
      <c r="EM14">
        <v>343.17</v>
      </c>
      <c r="EN14">
        <v>153.6</v>
      </c>
      <c r="EO14">
        <v>436.98</v>
      </c>
      <c r="EP14">
        <v>33.049999999999997</v>
      </c>
      <c r="EQ14">
        <v>2355.0100000000002</v>
      </c>
      <c r="ER14">
        <v>21.39</v>
      </c>
      <c r="ES14">
        <v>45.69</v>
      </c>
      <c r="ET14">
        <v>17.010000000000002</v>
      </c>
      <c r="EU14">
        <v>239.15</v>
      </c>
      <c r="EV14">
        <v>41.8</v>
      </c>
      <c r="EW14">
        <v>26.25</v>
      </c>
      <c r="EX14">
        <v>81.66</v>
      </c>
      <c r="EY14">
        <v>61.73</v>
      </c>
      <c r="EZ14">
        <v>37.43</v>
      </c>
      <c r="FA14">
        <v>79.72</v>
      </c>
      <c r="FB14">
        <v>9.99</v>
      </c>
      <c r="FC14">
        <v>167.69</v>
      </c>
      <c r="FD14">
        <v>17.98</v>
      </c>
      <c r="FE14">
        <v>1012.49</v>
      </c>
      <c r="FF14">
        <v>39.369999999999997</v>
      </c>
      <c r="FG14">
        <v>1343.99</v>
      </c>
      <c r="FH14">
        <v>2093.5100000000002</v>
      </c>
      <c r="FI14">
        <v>18.47</v>
      </c>
      <c r="FJ14">
        <v>108.39</v>
      </c>
      <c r="FK14">
        <v>664.95</v>
      </c>
      <c r="FL14">
        <v>62.22</v>
      </c>
      <c r="FM14">
        <v>174.01</v>
      </c>
      <c r="FN14">
        <v>77.290000000000006</v>
      </c>
      <c r="FO14">
        <v>19.93</v>
      </c>
      <c r="FP14">
        <v>13.12</v>
      </c>
      <c r="FQ14">
        <v>32.08</v>
      </c>
      <c r="FR14">
        <v>9.99</v>
      </c>
      <c r="FS14">
        <v>9.99</v>
      </c>
      <c r="FT14">
        <v>63.68</v>
      </c>
      <c r="FU14">
        <v>1677.43</v>
      </c>
      <c r="FV14">
        <v>2701.1</v>
      </c>
      <c r="FW14">
        <v>19.440000000000001</v>
      </c>
      <c r="FX14">
        <v>228.94</v>
      </c>
      <c r="FY14">
        <v>23.33</v>
      </c>
      <c r="FZ14">
        <v>611.96</v>
      </c>
      <c r="GA14">
        <v>316.92</v>
      </c>
      <c r="GB14">
        <v>41.8</v>
      </c>
      <c r="GC14">
        <v>17.010000000000002</v>
      </c>
      <c r="GD14">
        <v>119.57</v>
      </c>
      <c r="GE14">
        <v>1860.68</v>
      </c>
      <c r="GF14">
        <v>209.98</v>
      </c>
      <c r="GG14">
        <v>651.82000000000005</v>
      </c>
      <c r="GH14">
        <v>191.03</v>
      </c>
      <c r="GI14">
        <v>976.03</v>
      </c>
      <c r="GJ14">
        <v>99.16</v>
      </c>
      <c r="GK14">
        <v>5601.48</v>
      </c>
      <c r="GL14">
        <v>255.67</v>
      </c>
      <c r="GM14">
        <v>35.97</v>
      </c>
      <c r="GN14">
        <v>14.58</v>
      </c>
      <c r="GO14">
        <v>835.56</v>
      </c>
      <c r="GP14">
        <v>49.09</v>
      </c>
      <c r="GQ14">
        <v>30.62</v>
      </c>
      <c r="GR14">
        <v>216.3</v>
      </c>
      <c r="GS14">
        <v>321.77999999999997</v>
      </c>
      <c r="GT14">
        <v>348.51</v>
      </c>
      <c r="GU14">
        <v>29.65</v>
      </c>
      <c r="GV14">
        <v>56.38</v>
      </c>
      <c r="GW14">
        <v>48.61</v>
      </c>
      <c r="GX14">
        <v>309.14</v>
      </c>
      <c r="GY14">
        <v>33.049999999999997</v>
      </c>
      <c r="GZ14">
        <v>150.68</v>
      </c>
      <c r="HA14">
        <v>367.47</v>
      </c>
      <c r="HB14">
        <v>558.5</v>
      </c>
      <c r="HC14">
        <v>110.82</v>
      </c>
      <c r="HD14">
        <v>1059.1500000000001</v>
      </c>
      <c r="HE14">
        <v>49.58</v>
      </c>
      <c r="HF14">
        <v>1971.99</v>
      </c>
      <c r="HG14">
        <v>165.26</v>
      </c>
      <c r="HH14">
        <v>208.52</v>
      </c>
      <c r="HI14">
        <v>50.07</v>
      </c>
      <c r="HJ14">
        <v>496.76</v>
      </c>
      <c r="HK14">
        <v>4895.22</v>
      </c>
      <c r="HL14">
        <v>695.08</v>
      </c>
      <c r="HM14">
        <v>102.07</v>
      </c>
      <c r="HN14">
        <v>1107.27</v>
      </c>
      <c r="HO14">
        <v>53.95</v>
      </c>
      <c r="HP14">
        <v>41.8</v>
      </c>
      <c r="HQ14">
        <v>8249.6</v>
      </c>
      <c r="HR14">
        <v>121.03</v>
      </c>
      <c r="HS14">
        <v>13.12</v>
      </c>
      <c r="HT14">
        <v>749.04</v>
      </c>
      <c r="HU14">
        <v>256.64999999999998</v>
      </c>
      <c r="HV14">
        <v>125.41</v>
      </c>
      <c r="HW14">
        <v>4864.1099999999997</v>
      </c>
      <c r="HX14">
        <v>21.87</v>
      </c>
      <c r="HY14">
        <v>33.049999999999997</v>
      </c>
      <c r="HZ14">
        <v>155.06</v>
      </c>
      <c r="IA14">
        <v>230.88</v>
      </c>
      <c r="IB14">
        <v>114.71</v>
      </c>
      <c r="IC14">
        <v>43.26</v>
      </c>
      <c r="ID14">
        <v>79.23</v>
      </c>
      <c r="IE14">
        <v>17.010000000000002</v>
      </c>
      <c r="IF14">
        <v>361.15</v>
      </c>
      <c r="IG14">
        <v>35</v>
      </c>
      <c r="IH14">
        <v>9.99</v>
      </c>
      <c r="II14">
        <v>329.56</v>
      </c>
      <c r="IJ14">
        <v>48.61</v>
      </c>
      <c r="IK14">
        <v>12.15</v>
      </c>
      <c r="IL14">
        <v>744.17</v>
      </c>
      <c r="IM14">
        <v>381.08</v>
      </c>
      <c r="IN14">
        <v>97.21</v>
      </c>
      <c r="IO14">
        <v>302.33999999999997</v>
      </c>
      <c r="IP14">
        <v>26.25</v>
      </c>
      <c r="IQ14">
        <v>65.13</v>
      </c>
      <c r="IR14">
        <v>119.09</v>
      </c>
      <c r="IS14">
        <v>17.98</v>
      </c>
      <c r="IT14">
        <v>28.68</v>
      </c>
      <c r="IU14">
        <v>358.72</v>
      </c>
      <c r="IV14">
        <v>548.77</v>
      </c>
      <c r="IW14">
        <v>170.12</v>
      </c>
      <c r="IX14">
        <v>2909.13</v>
      </c>
      <c r="IY14">
        <v>47.63</v>
      </c>
      <c r="IZ14">
        <v>24.3</v>
      </c>
      <c r="JA14">
        <v>115.2</v>
      </c>
      <c r="JB14">
        <v>238.17</v>
      </c>
      <c r="JC14">
        <v>47.63</v>
      </c>
      <c r="JD14">
        <v>236.23</v>
      </c>
      <c r="JE14">
        <v>35</v>
      </c>
      <c r="JF14">
        <v>22.85</v>
      </c>
      <c r="JG14">
        <v>48.12</v>
      </c>
      <c r="JH14">
        <v>337.82</v>
      </c>
      <c r="JI14">
        <v>565.29999999999995</v>
      </c>
      <c r="JJ14">
        <v>288.73</v>
      </c>
      <c r="JK14">
        <v>46.66</v>
      </c>
      <c r="JL14">
        <v>99.64</v>
      </c>
      <c r="JM14">
        <v>17.010000000000002</v>
      </c>
      <c r="JN14">
        <v>45.2</v>
      </c>
      <c r="JO14">
        <v>165.75</v>
      </c>
      <c r="JP14">
        <v>741.74</v>
      </c>
      <c r="JQ14">
        <v>2683.11</v>
      </c>
      <c r="JR14">
        <v>11.67</v>
      </c>
      <c r="JS14">
        <v>15.07</v>
      </c>
      <c r="JT14">
        <v>122.98</v>
      </c>
      <c r="JU14">
        <v>181.3</v>
      </c>
      <c r="JV14">
        <v>342.19</v>
      </c>
      <c r="JW14">
        <v>157</v>
      </c>
      <c r="JX14">
        <v>80.69</v>
      </c>
      <c r="JY14">
        <v>172.07</v>
      </c>
      <c r="JZ14">
        <v>20.9</v>
      </c>
      <c r="KA14">
        <v>9.99</v>
      </c>
      <c r="KB14">
        <v>16.04</v>
      </c>
      <c r="KC14">
        <v>11.67</v>
      </c>
      <c r="KD14">
        <v>12.15</v>
      </c>
      <c r="KE14">
        <v>119.57</v>
      </c>
      <c r="KF14">
        <v>76.31</v>
      </c>
      <c r="KG14">
        <v>120.55</v>
      </c>
      <c r="KH14">
        <v>71.94</v>
      </c>
      <c r="KI14">
        <v>222.13</v>
      </c>
      <c r="KJ14">
        <v>183.25</v>
      </c>
      <c r="KK14">
        <v>132.21</v>
      </c>
      <c r="KL14">
        <v>48.12</v>
      </c>
      <c r="KM14">
        <v>68.540000000000006</v>
      </c>
      <c r="KN14">
        <v>143.38999999999999</v>
      </c>
      <c r="KO14">
        <v>395.18</v>
      </c>
      <c r="KP14">
        <v>227.48</v>
      </c>
      <c r="KQ14">
        <v>2199.96</v>
      </c>
      <c r="KR14">
        <v>548.77</v>
      </c>
      <c r="KS14">
        <v>1478.14</v>
      </c>
      <c r="KT14">
        <v>6576.54</v>
      </c>
      <c r="KU14">
        <v>23852.47</v>
      </c>
      <c r="KV14">
        <v>2587.36</v>
      </c>
      <c r="KW14">
        <v>202.21</v>
      </c>
      <c r="KX14">
        <v>101.1</v>
      </c>
      <c r="KY14">
        <v>36.94</v>
      </c>
      <c r="KZ14">
        <v>42.29</v>
      </c>
      <c r="LA14">
        <v>798.61</v>
      </c>
      <c r="LB14">
        <v>697.03</v>
      </c>
      <c r="LC14">
        <v>9.99</v>
      </c>
      <c r="LD14">
        <v>661.54</v>
      </c>
      <c r="LE14">
        <v>9.99</v>
      </c>
      <c r="LF14">
        <v>2580.5500000000002</v>
      </c>
      <c r="LG14">
        <v>687.79</v>
      </c>
      <c r="LH14">
        <v>9.99</v>
      </c>
      <c r="LI14">
        <v>4636.1499999999996</v>
      </c>
      <c r="LJ14">
        <v>387.4</v>
      </c>
      <c r="LK14">
        <v>785.98</v>
      </c>
      <c r="LL14">
        <v>137.07</v>
      </c>
      <c r="LM14">
        <v>10.210000000000001</v>
      </c>
      <c r="LN14">
        <v>118.12</v>
      </c>
      <c r="LO14">
        <v>74.849999999999994</v>
      </c>
      <c r="LP14">
        <v>1310.93</v>
      </c>
      <c r="LQ14">
        <v>67.08</v>
      </c>
      <c r="LR14">
        <v>172.07</v>
      </c>
      <c r="LS14">
        <v>59.79</v>
      </c>
      <c r="LT14">
        <v>31.11</v>
      </c>
      <c r="LU14">
        <v>129.78</v>
      </c>
      <c r="LV14">
        <v>183.25</v>
      </c>
      <c r="LW14">
        <v>486.56</v>
      </c>
      <c r="LX14">
        <v>1554.45</v>
      </c>
      <c r="LY14">
        <v>2152.81</v>
      </c>
      <c r="LZ14">
        <v>4418.87</v>
      </c>
      <c r="MA14">
        <v>184.22</v>
      </c>
      <c r="MB14">
        <v>1436.34</v>
      </c>
      <c r="MC14">
        <v>490.45</v>
      </c>
      <c r="MD14">
        <v>177.9</v>
      </c>
      <c r="ME14">
        <v>86.03</v>
      </c>
      <c r="MF14">
        <v>257.62</v>
      </c>
      <c r="MG14">
        <v>3031.62</v>
      </c>
      <c r="MH14">
        <v>1223.44</v>
      </c>
      <c r="MI14">
        <v>30.14</v>
      </c>
      <c r="MJ14">
        <v>442.81</v>
      </c>
      <c r="MK14">
        <v>9.99</v>
      </c>
      <c r="ML14">
        <v>1108.73</v>
      </c>
      <c r="MM14">
        <v>1073.73</v>
      </c>
      <c r="MN14">
        <v>313.52</v>
      </c>
      <c r="MO14">
        <v>10.69</v>
      </c>
      <c r="MP14">
        <v>99.16</v>
      </c>
      <c r="MQ14">
        <v>119.57</v>
      </c>
      <c r="MR14">
        <v>9.99</v>
      </c>
      <c r="MS14">
        <v>299.91000000000003</v>
      </c>
      <c r="MT14">
        <v>2078.9299999999998</v>
      </c>
      <c r="MU14">
        <v>30.62</v>
      </c>
      <c r="MV14">
        <v>103.53</v>
      </c>
      <c r="MW14">
        <v>83.12</v>
      </c>
      <c r="MX14">
        <v>119.09</v>
      </c>
      <c r="MY14">
        <v>20.9</v>
      </c>
      <c r="MZ14">
        <v>191.51</v>
      </c>
      <c r="NA14">
        <v>33.54</v>
      </c>
      <c r="NB14">
        <v>182.76</v>
      </c>
      <c r="NC14">
        <v>217.27</v>
      </c>
      <c r="ND14">
        <v>376.22</v>
      </c>
      <c r="NE14">
        <v>412.67</v>
      </c>
      <c r="NF14">
        <v>27.22</v>
      </c>
      <c r="NG14">
        <v>15.55</v>
      </c>
      <c r="NH14">
        <v>144.85</v>
      </c>
      <c r="NI14">
        <v>1058.6600000000001</v>
      </c>
      <c r="NJ14">
        <v>163.81</v>
      </c>
      <c r="NK14">
        <v>111.8</v>
      </c>
      <c r="NL14">
        <v>206.58</v>
      </c>
      <c r="NM14">
        <v>1162.68</v>
      </c>
      <c r="NN14">
        <v>140.47</v>
      </c>
      <c r="NO14">
        <v>19.93</v>
      </c>
      <c r="NP14">
        <v>9.99</v>
      </c>
      <c r="NQ14">
        <v>3762.19</v>
      </c>
      <c r="NR14">
        <v>194.91</v>
      </c>
      <c r="NS14">
        <v>374.27</v>
      </c>
      <c r="NT14">
        <v>312.54000000000002</v>
      </c>
      <c r="NU14">
        <v>979.43</v>
      </c>
      <c r="NV14">
        <v>354.83</v>
      </c>
      <c r="NW14">
        <v>165.26</v>
      </c>
      <c r="NX14">
        <v>229.43</v>
      </c>
      <c r="NY14">
        <v>57.84</v>
      </c>
      <c r="NZ14">
        <v>272.69</v>
      </c>
      <c r="OA14">
        <v>115.68</v>
      </c>
      <c r="OB14">
        <v>598.35</v>
      </c>
      <c r="OC14">
        <v>855.48</v>
      </c>
      <c r="OD14">
        <v>102.56</v>
      </c>
      <c r="OE14">
        <v>876.39</v>
      </c>
      <c r="OF14">
        <v>51.04</v>
      </c>
      <c r="OG14">
        <v>1610.84</v>
      </c>
      <c r="OH14">
        <v>138.53</v>
      </c>
      <c r="OI14">
        <v>82.63</v>
      </c>
      <c r="OJ14">
        <v>43.75</v>
      </c>
      <c r="OK14">
        <v>1735.27</v>
      </c>
      <c r="OL14">
        <v>246.92</v>
      </c>
      <c r="OM14">
        <v>494.33</v>
      </c>
      <c r="ON14">
        <v>166.24</v>
      </c>
      <c r="OO14">
        <v>1558.34</v>
      </c>
      <c r="OP14">
        <v>292.61</v>
      </c>
      <c r="OQ14">
        <v>818.54</v>
      </c>
      <c r="OR14">
        <v>34.020000000000003</v>
      </c>
      <c r="OS14">
        <v>432.6</v>
      </c>
      <c r="OT14">
        <v>255.67</v>
      </c>
      <c r="OU14">
        <v>98.67</v>
      </c>
      <c r="OV14">
        <v>301.85000000000002</v>
      </c>
      <c r="OW14">
        <v>24.3</v>
      </c>
      <c r="OX14">
        <v>52.5</v>
      </c>
      <c r="OY14">
        <v>86.52</v>
      </c>
      <c r="OZ14">
        <v>55.9</v>
      </c>
      <c r="PA14">
        <v>14.58</v>
      </c>
      <c r="PB14">
        <v>51.04</v>
      </c>
      <c r="PC14">
        <v>18.96</v>
      </c>
      <c r="PD14">
        <v>52.01</v>
      </c>
      <c r="PE14">
        <v>27.71</v>
      </c>
      <c r="PF14">
        <v>366.01</v>
      </c>
      <c r="PG14">
        <v>45.2</v>
      </c>
      <c r="PH14">
        <v>69.510000000000005</v>
      </c>
      <c r="PI14">
        <v>47.15</v>
      </c>
      <c r="PJ14">
        <v>2127.5300000000002</v>
      </c>
      <c r="PK14">
        <v>5496</v>
      </c>
      <c r="PL14">
        <v>61.24</v>
      </c>
      <c r="PM14">
        <v>11446.97</v>
      </c>
      <c r="PN14">
        <v>1049.9100000000001</v>
      </c>
      <c r="PO14">
        <v>55.41</v>
      </c>
      <c r="PP14">
        <v>1186.99</v>
      </c>
      <c r="PQ14">
        <v>35.479999999999997</v>
      </c>
      <c r="PR14">
        <v>10.69</v>
      </c>
      <c r="PS14">
        <v>22.36</v>
      </c>
      <c r="PT14">
        <v>20.9</v>
      </c>
      <c r="PU14">
        <v>257.13</v>
      </c>
      <c r="PV14">
        <v>140.96</v>
      </c>
      <c r="PW14">
        <v>123.46</v>
      </c>
      <c r="PX14">
        <v>16.53</v>
      </c>
      <c r="PY14">
        <v>469.06</v>
      </c>
      <c r="PZ14">
        <v>93.81</v>
      </c>
      <c r="QA14">
        <v>359.69</v>
      </c>
      <c r="QB14">
        <v>6442.38</v>
      </c>
      <c r="QC14">
        <v>58.81</v>
      </c>
      <c r="QD14">
        <v>54.44</v>
      </c>
      <c r="QE14">
        <v>367.47</v>
      </c>
      <c r="QF14">
        <v>54.93</v>
      </c>
      <c r="QG14">
        <v>20.41</v>
      </c>
      <c r="QH14">
        <v>23.33</v>
      </c>
      <c r="QI14">
        <v>34.020000000000003</v>
      </c>
      <c r="QJ14">
        <v>117.63</v>
      </c>
      <c r="QK14">
        <v>15.07</v>
      </c>
      <c r="QL14">
        <v>371.84</v>
      </c>
      <c r="QM14">
        <v>587.66</v>
      </c>
      <c r="QN14">
        <v>588.63</v>
      </c>
      <c r="QO14">
        <v>35</v>
      </c>
      <c r="QP14">
        <v>57.36</v>
      </c>
      <c r="QQ14">
        <v>227.48</v>
      </c>
      <c r="QR14">
        <v>48.61</v>
      </c>
      <c r="QS14">
        <v>928.88</v>
      </c>
      <c r="QT14">
        <v>643.07000000000005</v>
      </c>
      <c r="QU14">
        <v>39.86</v>
      </c>
      <c r="QV14">
        <v>109.85</v>
      </c>
      <c r="QW14">
        <v>62.22</v>
      </c>
      <c r="QX14">
        <v>86.52</v>
      </c>
      <c r="QY14">
        <v>68.05</v>
      </c>
      <c r="QZ14">
        <v>32.08</v>
      </c>
      <c r="RA14">
        <v>141.93</v>
      </c>
      <c r="RB14">
        <v>14589.42</v>
      </c>
      <c r="RC14">
        <v>345.11</v>
      </c>
      <c r="RD14">
        <v>2148.4299999999998</v>
      </c>
      <c r="RE14">
        <v>32.08</v>
      </c>
      <c r="RF14">
        <v>120.55</v>
      </c>
      <c r="RG14">
        <v>191.03</v>
      </c>
      <c r="RH14">
        <v>82.15</v>
      </c>
      <c r="RI14">
        <v>9.99</v>
      </c>
      <c r="RJ14">
        <v>122</v>
      </c>
      <c r="RK14">
        <v>50.07</v>
      </c>
      <c r="RL14">
        <v>209.5</v>
      </c>
      <c r="RM14">
        <v>158.46</v>
      </c>
      <c r="RN14">
        <v>141.93</v>
      </c>
      <c r="RO14">
        <v>441.84</v>
      </c>
      <c r="RP14">
        <v>168.18</v>
      </c>
      <c r="RQ14">
        <v>554.12</v>
      </c>
      <c r="RR14">
        <v>20.41</v>
      </c>
      <c r="RS14">
        <v>432.12</v>
      </c>
      <c r="RT14">
        <v>300.88</v>
      </c>
      <c r="RU14">
        <v>17.5</v>
      </c>
      <c r="RV14">
        <v>24.79</v>
      </c>
      <c r="RW14">
        <v>425.8</v>
      </c>
      <c r="RX14">
        <v>1275.94</v>
      </c>
      <c r="RY14">
        <v>877.84</v>
      </c>
      <c r="RZ14">
        <v>44.72</v>
      </c>
      <c r="SA14">
        <v>276.57</v>
      </c>
      <c r="SB14">
        <v>33.54</v>
      </c>
      <c r="SC14">
        <v>58.33</v>
      </c>
      <c r="SD14">
        <v>1444.6</v>
      </c>
      <c r="SE14">
        <v>463.71</v>
      </c>
      <c r="SF14">
        <v>407.81</v>
      </c>
      <c r="SG14">
        <v>5852.78</v>
      </c>
      <c r="SH14">
        <v>99.64</v>
      </c>
      <c r="SI14">
        <v>56.38</v>
      </c>
      <c r="SJ14">
        <v>195.4</v>
      </c>
      <c r="SK14">
        <v>80.2</v>
      </c>
      <c r="SL14">
        <v>79.23</v>
      </c>
      <c r="SM14">
        <v>22.36</v>
      </c>
      <c r="SN14">
        <v>188.11</v>
      </c>
      <c r="SO14">
        <v>9.99</v>
      </c>
      <c r="SP14">
        <v>76.31</v>
      </c>
      <c r="SQ14">
        <v>640.16</v>
      </c>
      <c r="SR14">
        <v>462.25</v>
      </c>
      <c r="SS14">
        <v>579.88</v>
      </c>
      <c r="ST14">
        <v>621.20000000000005</v>
      </c>
      <c r="SU14">
        <v>746.12</v>
      </c>
      <c r="SV14">
        <v>183.25</v>
      </c>
      <c r="SW14">
        <v>298.45</v>
      </c>
      <c r="SX14">
        <v>160.4</v>
      </c>
      <c r="SY14">
        <v>118.6</v>
      </c>
      <c r="SZ14">
        <v>9.99</v>
      </c>
      <c r="TA14">
        <v>24.3</v>
      </c>
      <c r="TB14">
        <v>1793.6</v>
      </c>
      <c r="TC14">
        <v>914.79</v>
      </c>
      <c r="TD14">
        <v>48.12</v>
      </c>
      <c r="TE14">
        <v>299.91000000000003</v>
      </c>
      <c r="TF14">
        <v>266.85000000000002</v>
      </c>
      <c r="TG14">
        <v>431.14</v>
      </c>
      <c r="TH14">
        <v>283.87</v>
      </c>
      <c r="TI14">
        <v>148.74</v>
      </c>
      <c r="TJ14">
        <v>13.61</v>
      </c>
      <c r="TK14">
        <v>71.45</v>
      </c>
      <c r="TL14">
        <v>67.56</v>
      </c>
      <c r="TM14">
        <v>92.35</v>
      </c>
      <c r="TN14">
        <v>619.25</v>
      </c>
      <c r="TO14">
        <v>934.71</v>
      </c>
      <c r="TP14">
        <v>414.62</v>
      </c>
      <c r="TQ14">
        <v>298.45</v>
      </c>
      <c r="TR14">
        <v>9.99</v>
      </c>
      <c r="TS14">
        <v>330.04</v>
      </c>
      <c r="TT14">
        <v>67.08</v>
      </c>
      <c r="TU14">
        <v>48.61</v>
      </c>
      <c r="TV14">
        <v>240.12</v>
      </c>
      <c r="TW14">
        <v>384.48</v>
      </c>
      <c r="TX14">
        <v>141.93</v>
      </c>
      <c r="TY14">
        <v>84.58</v>
      </c>
      <c r="TZ14">
        <v>104.99</v>
      </c>
      <c r="UA14">
        <v>137.07</v>
      </c>
      <c r="UB14">
        <v>105.96</v>
      </c>
      <c r="UC14">
        <v>9896.89</v>
      </c>
      <c r="UD14">
        <v>27.71</v>
      </c>
      <c r="UE14">
        <v>37.909999999999997</v>
      </c>
      <c r="UF14">
        <v>1565.63</v>
      </c>
      <c r="UG14">
        <v>100.62</v>
      </c>
      <c r="UH14">
        <v>11.18</v>
      </c>
      <c r="UI14">
        <v>31.11</v>
      </c>
      <c r="UJ14">
        <v>57.36</v>
      </c>
      <c r="UK14">
        <v>33.54</v>
      </c>
      <c r="UL14">
        <v>16.04</v>
      </c>
      <c r="UM14">
        <v>33.54</v>
      </c>
      <c r="UN14">
        <v>135.61000000000001</v>
      </c>
      <c r="UO14">
        <v>104.99</v>
      </c>
      <c r="UP14">
        <v>9.99</v>
      </c>
      <c r="UQ14">
        <v>33.049999999999997</v>
      </c>
      <c r="UR14">
        <v>131.24</v>
      </c>
      <c r="US14">
        <v>102.56</v>
      </c>
      <c r="UT14">
        <v>211.93</v>
      </c>
      <c r="UU14">
        <v>683.42</v>
      </c>
      <c r="UV14">
        <v>459.82</v>
      </c>
      <c r="UW14">
        <v>384</v>
      </c>
      <c r="UX14">
        <v>45.69</v>
      </c>
      <c r="UY14">
        <v>346.08</v>
      </c>
      <c r="UZ14">
        <v>93.81</v>
      </c>
      <c r="VA14">
        <v>1875.26</v>
      </c>
      <c r="VB14">
        <v>812.22</v>
      </c>
      <c r="VC14">
        <v>130.27000000000001</v>
      </c>
      <c r="VD14">
        <v>69.510000000000005</v>
      </c>
      <c r="VE14">
        <v>50.55</v>
      </c>
      <c r="VF14">
        <v>234.29</v>
      </c>
      <c r="VG14">
        <v>35</v>
      </c>
      <c r="VH14">
        <v>25.76</v>
      </c>
      <c r="VI14">
        <v>50.55</v>
      </c>
      <c r="VJ14">
        <v>33.54</v>
      </c>
      <c r="VK14">
        <v>420.45</v>
      </c>
      <c r="VL14">
        <v>495.79</v>
      </c>
      <c r="VM14">
        <v>627.52</v>
      </c>
      <c r="VN14">
        <v>289.20999999999998</v>
      </c>
      <c r="VO14">
        <v>9.99</v>
      </c>
      <c r="VP14">
        <v>9.99</v>
      </c>
      <c r="VQ14">
        <v>779.66</v>
      </c>
      <c r="VR14">
        <v>210.95</v>
      </c>
      <c r="VS14">
        <v>368.44</v>
      </c>
      <c r="VT14">
        <v>36.46</v>
      </c>
      <c r="VU14">
        <v>31.11</v>
      </c>
      <c r="VV14">
        <v>15.07</v>
      </c>
      <c r="VW14">
        <v>178.39</v>
      </c>
      <c r="VX14">
        <v>165.75</v>
      </c>
      <c r="VY14">
        <v>17.98</v>
      </c>
      <c r="VZ14">
        <v>9807.94</v>
      </c>
      <c r="WA14">
        <v>8811.49</v>
      </c>
      <c r="WB14">
        <v>237.2</v>
      </c>
      <c r="WC14">
        <v>93.81</v>
      </c>
      <c r="WD14">
        <v>163.81</v>
      </c>
      <c r="WE14">
        <v>1141.29</v>
      </c>
      <c r="WF14">
        <v>183.25</v>
      </c>
      <c r="WG14">
        <v>547.32000000000005</v>
      </c>
      <c r="WH14">
        <v>10943.89</v>
      </c>
      <c r="WI14">
        <v>21401.22</v>
      </c>
      <c r="WJ14">
        <v>857.43</v>
      </c>
      <c r="WK14">
        <v>218.25</v>
      </c>
      <c r="WL14">
        <v>366.01</v>
      </c>
      <c r="WM14">
        <v>50.55</v>
      </c>
      <c r="WN14">
        <v>42.77</v>
      </c>
      <c r="WO14">
        <v>9.99</v>
      </c>
      <c r="WP14">
        <v>162.35</v>
      </c>
      <c r="WQ14">
        <v>985.27</v>
      </c>
      <c r="WR14">
        <v>973.6</v>
      </c>
      <c r="WS14">
        <v>242.55</v>
      </c>
      <c r="WT14">
        <v>115.68</v>
      </c>
      <c r="WU14">
        <v>645.02</v>
      </c>
      <c r="WV14">
        <v>635.78</v>
      </c>
      <c r="WW14">
        <v>23.33</v>
      </c>
      <c r="WX14">
        <v>113.74</v>
      </c>
      <c r="WY14">
        <v>9.99</v>
      </c>
      <c r="WZ14">
        <v>29.65</v>
      </c>
      <c r="XA14">
        <v>13.61</v>
      </c>
      <c r="XB14">
        <v>401.49</v>
      </c>
      <c r="XC14">
        <v>26.25</v>
      </c>
      <c r="XD14">
        <v>187.62</v>
      </c>
      <c r="XE14">
        <v>274.14</v>
      </c>
      <c r="XF14">
        <v>944.92</v>
      </c>
      <c r="XG14">
        <v>1235.1099999999999</v>
      </c>
      <c r="XH14">
        <v>307.2</v>
      </c>
      <c r="XI14">
        <v>435.52</v>
      </c>
      <c r="XJ14">
        <v>264.91000000000003</v>
      </c>
      <c r="XK14">
        <v>590.58000000000004</v>
      </c>
      <c r="XL14">
        <v>98.19</v>
      </c>
      <c r="XM14">
        <v>142.41999999999999</v>
      </c>
      <c r="XN14">
        <v>154.08000000000001</v>
      </c>
      <c r="XO14">
        <v>43.75</v>
      </c>
      <c r="XP14">
        <v>94.78</v>
      </c>
      <c r="XQ14">
        <v>455.45</v>
      </c>
      <c r="XR14">
        <v>10.69</v>
      </c>
      <c r="XS14">
        <v>4290.0600000000004</v>
      </c>
      <c r="XT14">
        <v>133.18</v>
      </c>
      <c r="XU14">
        <v>403.44</v>
      </c>
      <c r="XV14">
        <v>535.16</v>
      </c>
      <c r="XW14">
        <v>1042.1400000000001</v>
      </c>
      <c r="XX14">
        <v>1192.82</v>
      </c>
      <c r="XY14">
        <v>1502.93</v>
      </c>
      <c r="XZ14">
        <v>66.11</v>
      </c>
      <c r="YA14">
        <v>700.91</v>
      </c>
      <c r="YB14">
        <v>164.78</v>
      </c>
      <c r="YC14">
        <v>35</v>
      </c>
      <c r="YD14">
        <v>951.24</v>
      </c>
      <c r="YE14">
        <v>279.98</v>
      </c>
      <c r="YF14">
        <v>509.89</v>
      </c>
      <c r="YG14">
        <v>93.81</v>
      </c>
      <c r="YH14">
        <v>22.85</v>
      </c>
      <c r="YI14">
        <v>72.42</v>
      </c>
      <c r="YJ14">
        <v>386.43</v>
      </c>
      <c r="YK14">
        <v>9.99</v>
      </c>
      <c r="YL14">
        <v>391.29</v>
      </c>
      <c r="YM14">
        <v>1751.8</v>
      </c>
      <c r="YN14">
        <v>215.82</v>
      </c>
      <c r="YO14">
        <v>188.6</v>
      </c>
      <c r="YP14">
        <v>945.41</v>
      </c>
      <c r="YQ14">
        <v>156.03</v>
      </c>
      <c r="YR14">
        <v>152.63</v>
      </c>
      <c r="YS14">
        <v>4760.58</v>
      </c>
      <c r="YT14">
        <v>129.78</v>
      </c>
      <c r="YU14">
        <v>159.91999999999999</v>
      </c>
      <c r="YV14">
        <v>38.4</v>
      </c>
      <c r="YW14">
        <v>53.95</v>
      </c>
      <c r="YX14">
        <v>54.93</v>
      </c>
      <c r="YY14">
        <v>334.42</v>
      </c>
      <c r="YZ14">
        <v>69.02</v>
      </c>
      <c r="ZA14">
        <v>130.27000000000001</v>
      </c>
      <c r="ZB14">
        <v>74.849999999999994</v>
      </c>
      <c r="ZC14">
        <v>14.1</v>
      </c>
      <c r="ZD14">
        <v>96.24</v>
      </c>
      <c r="ZE14">
        <v>54.44</v>
      </c>
      <c r="ZF14">
        <v>152.13999999999999</v>
      </c>
      <c r="ZG14">
        <v>394.69</v>
      </c>
      <c r="ZH14">
        <v>67.56</v>
      </c>
      <c r="ZI14">
        <v>203.18</v>
      </c>
      <c r="ZJ14">
        <v>387.4</v>
      </c>
      <c r="ZK14">
        <v>222.62</v>
      </c>
      <c r="ZL14">
        <v>27.22</v>
      </c>
      <c r="ZM14">
        <v>190.05</v>
      </c>
      <c r="ZN14">
        <v>71.94</v>
      </c>
      <c r="ZO14">
        <v>42.29</v>
      </c>
      <c r="ZP14">
        <v>247.9</v>
      </c>
      <c r="ZQ14">
        <v>83.6</v>
      </c>
      <c r="ZR14">
        <v>19.440000000000001</v>
      </c>
      <c r="ZS14">
        <v>626.54999999999995</v>
      </c>
      <c r="ZT14">
        <v>123.95</v>
      </c>
      <c r="ZU14">
        <v>140.47</v>
      </c>
      <c r="ZV14">
        <v>13.61</v>
      </c>
      <c r="ZW14">
        <v>14.58</v>
      </c>
      <c r="ZX14">
        <v>104.51</v>
      </c>
      <c r="ZY14">
        <v>995.96</v>
      </c>
      <c r="ZZ14">
        <v>102.56</v>
      </c>
      <c r="AAA14">
        <v>28.68</v>
      </c>
      <c r="AAB14">
        <v>76.8</v>
      </c>
      <c r="AAC14">
        <v>36.46</v>
      </c>
      <c r="AAD14">
        <v>46.66</v>
      </c>
      <c r="AAE14">
        <v>24.3</v>
      </c>
      <c r="AAF14">
        <v>9.99</v>
      </c>
      <c r="AAG14">
        <v>189.08</v>
      </c>
      <c r="AAH14">
        <v>295.05</v>
      </c>
      <c r="AAI14">
        <v>3609.08</v>
      </c>
      <c r="AAJ14">
        <v>306.22000000000003</v>
      </c>
      <c r="AAK14">
        <v>328.58</v>
      </c>
      <c r="AAL14">
        <v>115.68</v>
      </c>
      <c r="AAM14">
        <v>43.75</v>
      </c>
      <c r="AAN14">
        <v>380.59</v>
      </c>
      <c r="AAO14">
        <v>49.58</v>
      </c>
      <c r="AAP14">
        <v>158.94999999999999</v>
      </c>
      <c r="AAQ14">
        <v>29.65</v>
      </c>
      <c r="AAR14">
        <v>79.72</v>
      </c>
      <c r="AAS14">
        <v>950.27</v>
      </c>
      <c r="AAT14">
        <v>46.66</v>
      </c>
      <c r="AAU14">
        <v>9.99</v>
      </c>
      <c r="AAV14">
        <v>1005.19</v>
      </c>
      <c r="AAW14">
        <v>73.400000000000006</v>
      </c>
      <c r="AAX14">
        <v>56.87</v>
      </c>
      <c r="AAY14">
        <v>102.56</v>
      </c>
      <c r="AAZ14">
        <v>31.11</v>
      </c>
      <c r="ABA14">
        <v>402.95</v>
      </c>
      <c r="ABB14">
        <v>55.41</v>
      </c>
      <c r="ABC14">
        <v>1084.42</v>
      </c>
      <c r="ABD14">
        <v>959.02</v>
      </c>
      <c r="ABE14">
        <v>267.33999999999997</v>
      </c>
      <c r="ABF14">
        <v>261.02</v>
      </c>
      <c r="ABG14">
        <v>69.510000000000005</v>
      </c>
      <c r="ABH14">
        <v>108.39</v>
      </c>
      <c r="ABI14">
        <v>65.62</v>
      </c>
      <c r="ABJ14">
        <v>42.77</v>
      </c>
      <c r="ABK14">
        <v>53.47</v>
      </c>
      <c r="ABL14">
        <v>13.61</v>
      </c>
      <c r="ABM14">
        <v>106.94</v>
      </c>
      <c r="ABN14">
        <v>184.71</v>
      </c>
      <c r="ABO14">
        <v>15.55</v>
      </c>
      <c r="ABP14">
        <v>35.97</v>
      </c>
      <c r="ABQ14">
        <v>496.76</v>
      </c>
      <c r="ABR14">
        <v>26.73</v>
      </c>
      <c r="ABS14">
        <v>676.12</v>
      </c>
      <c r="ABT14">
        <v>35</v>
      </c>
      <c r="ABU14">
        <v>31.59</v>
      </c>
      <c r="ABV14">
        <v>101.59</v>
      </c>
      <c r="ABW14">
        <v>411.22</v>
      </c>
      <c r="ABX14">
        <v>647.92999999999995</v>
      </c>
      <c r="ABY14">
        <v>229.43</v>
      </c>
      <c r="ABZ14">
        <v>103.53</v>
      </c>
      <c r="ACA14">
        <v>533.22</v>
      </c>
      <c r="ACB14">
        <v>649.88</v>
      </c>
      <c r="ACC14">
        <v>154.08000000000001</v>
      </c>
      <c r="ACD14">
        <v>281.44</v>
      </c>
      <c r="ACE14">
        <v>139.5</v>
      </c>
      <c r="ACF14">
        <v>4164.17</v>
      </c>
      <c r="ACG14">
        <v>1457.73</v>
      </c>
      <c r="ACH14">
        <v>310.60000000000002</v>
      </c>
      <c r="ACI14">
        <v>354.35</v>
      </c>
      <c r="ACJ14">
        <v>408.79</v>
      </c>
      <c r="ACK14">
        <v>584.74</v>
      </c>
      <c r="ACL14">
        <v>45.69</v>
      </c>
      <c r="ACM14">
        <v>155.06</v>
      </c>
      <c r="ACN14">
        <v>296.99</v>
      </c>
      <c r="ACO14">
        <v>1103.3800000000001</v>
      </c>
      <c r="ACP14">
        <v>374.27</v>
      </c>
      <c r="ACQ14">
        <v>226.51</v>
      </c>
      <c r="ACR14">
        <v>4464.08</v>
      </c>
    </row>
    <row r="15" spans="1:772" x14ac:dyDescent="0.3">
      <c r="A15" t="s">
        <v>9</v>
      </c>
      <c r="B15" t="s">
        <v>2</v>
      </c>
      <c r="C15">
        <v>535.75</v>
      </c>
      <c r="D15">
        <v>57.75</v>
      </c>
      <c r="E15">
        <v>734.05</v>
      </c>
      <c r="F15">
        <v>29.22</v>
      </c>
      <c r="G15">
        <v>3002.3</v>
      </c>
      <c r="H15">
        <v>82.1</v>
      </c>
      <c r="I15">
        <v>1061.76</v>
      </c>
      <c r="J15">
        <v>7671.69</v>
      </c>
      <c r="K15">
        <v>993.58</v>
      </c>
      <c r="L15">
        <v>32.700000000000003</v>
      </c>
      <c r="M15">
        <v>185.08</v>
      </c>
      <c r="N15">
        <v>909.39</v>
      </c>
      <c r="O15">
        <v>77.23</v>
      </c>
      <c r="P15">
        <v>255.35</v>
      </c>
      <c r="Q15">
        <v>72.36</v>
      </c>
      <c r="R15">
        <v>680.47</v>
      </c>
      <c r="S15">
        <v>11.13</v>
      </c>
      <c r="T15">
        <v>473.83</v>
      </c>
      <c r="U15">
        <v>655.43</v>
      </c>
      <c r="V15">
        <v>162.12</v>
      </c>
      <c r="W15">
        <v>373.64</v>
      </c>
      <c r="X15">
        <v>41.05</v>
      </c>
      <c r="Y15">
        <v>237.26</v>
      </c>
      <c r="Z15">
        <v>359.72</v>
      </c>
      <c r="AA15">
        <v>87.67</v>
      </c>
      <c r="AB15">
        <v>869.03</v>
      </c>
      <c r="AC15">
        <v>586.54</v>
      </c>
      <c r="AD15">
        <v>100.89</v>
      </c>
      <c r="AE15">
        <v>435.56</v>
      </c>
      <c r="AF15">
        <v>23023.43</v>
      </c>
      <c r="AG15">
        <v>107.85</v>
      </c>
      <c r="AH15">
        <v>260.92</v>
      </c>
      <c r="AI15">
        <v>62.62</v>
      </c>
      <c r="AJ15">
        <v>362.5</v>
      </c>
      <c r="AK15">
        <v>182.29</v>
      </c>
      <c r="AL15">
        <v>70.97</v>
      </c>
      <c r="AM15">
        <v>654.73</v>
      </c>
      <c r="AN15">
        <v>64.709999999999994</v>
      </c>
      <c r="AO15">
        <v>615.07000000000005</v>
      </c>
      <c r="AP15">
        <v>33.4</v>
      </c>
      <c r="AQ15">
        <v>117.59</v>
      </c>
      <c r="AR15">
        <v>32.700000000000003</v>
      </c>
      <c r="AS15">
        <v>57.05</v>
      </c>
      <c r="AT15">
        <v>10.33</v>
      </c>
      <c r="AU15">
        <v>62.62</v>
      </c>
      <c r="AV15">
        <v>246.31</v>
      </c>
      <c r="AW15">
        <v>336.06</v>
      </c>
      <c r="AX15">
        <v>2740.69</v>
      </c>
      <c r="AY15">
        <v>22.96</v>
      </c>
      <c r="AZ15">
        <v>102.28</v>
      </c>
      <c r="BA15">
        <v>352.07</v>
      </c>
      <c r="BB15">
        <v>427.91</v>
      </c>
      <c r="BC15">
        <v>61.23</v>
      </c>
      <c r="BD15">
        <v>29.22</v>
      </c>
      <c r="BE15">
        <v>205.26</v>
      </c>
      <c r="BF15">
        <v>301.27</v>
      </c>
      <c r="BG15">
        <v>47.31</v>
      </c>
      <c r="BH15">
        <v>34.090000000000003</v>
      </c>
      <c r="BI15">
        <v>11.13</v>
      </c>
      <c r="BJ15">
        <v>22.96</v>
      </c>
      <c r="BK15">
        <v>138.46</v>
      </c>
      <c r="BL15">
        <v>477.31</v>
      </c>
      <c r="BM15">
        <v>59.14</v>
      </c>
      <c r="BN15">
        <v>74.45</v>
      </c>
      <c r="BO15">
        <v>75.84</v>
      </c>
      <c r="BP15">
        <v>22.27</v>
      </c>
      <c r="BQ15">
        <v>18.09</v>
      </c>
      <c r="BR15">
        <v>143.33000000000001</v>
      </c>
      <c r="BS15">
        <v>36.880000000000003</v>
      </c>
      <c r="BT15">
        <v>259.52999999999997</v>
      </c>
      <c r="BU15">
        <v>137.07</v>
      </c>
      <c r="BV15">
        <v>52.88</v>
      </c>
      <c r="BW15">
        <v>134.29</v>
      </c>
      <c r="BX15">
        <v>251.87</v>
      </c>
      <c r="BY15">
        <v>195.51</v>
      </c>
      <c r="BZ15">
        <v>471.04</v>
      </c>
      <c r="CA15">
        <v>28.53</v>
      </c>
      <c r="CB15">
        <v>37.57</v>
      </c>
      <c r="CC15">
        <v>50.1</v>
      </c>
      <c r="CD15">
        <v>82.8</v>
      </c>
      <c r="CE15">
        <v>472.44</v>
      </c>
      <c r="CF15">
        <v>396.6</v>
      </c>
      <c r="CG15">
        <v>31.31</v>
      </c>
      <c r="CH15">
        <v>91.84</v>
      </c>
      <c r="CI15">
        <v>36.880000000000003</v>
      </c>
      <c r="CJ15">
        <v>54.97</v>
      </c>
      <c r="CK15">
        <v>55.66</v>
      </c>
      <c r="CL15">
        <v>57.05</v>
      </c>
      <c r="CM15">
        <v>343.02</v>
      </c>
      <c r="CN15">
        <v>61.92</v>
      </c>
      <c r="CO15">
        <v>62.62</v>
      </c>
      <c r="CP15">
        <v>10.33</v>
      </c>
      <c r="CQ15">
        <v>55.66</v>
      </c>
      <c r="CR15">
        <v>52.88</v>
      </c>
      <c r="CS15">
        <v>10.33</v>
      </c>
      <c r="CT15">
        <v>37.57</v>
      </c>
      <c r="CU15">
        <v>126.63</v>
      </c>
      <c r="CV15">
        <v>137.07</v>
      </c>
      <c r="CW15">
        <v>1551.59</v>
      </c>
      <c r="CX15">
        <v>55.66</v>
      </c>
      <c r="CY15">
        <v>308.93</v>
      </c>
      <c r="CZ15">
        <v>41.75</v>
      </c>
      <c r="DA15">
        <v>90.45</v>
      </c>
      <c r="DB15">
        <v>84.89</v>
      </c>
      <c r="DC15">
        <v>86.97</v>
      </c>
      <c r="DD15">
        <v>20.87</v>
      </c>
      <c r="DE15">
        <v>29.92</v>
      </c>
      <c r="DF15">
        <v>322.83999999999997</v>
      </c>
      <c r="DG15">
        <v>20.18</v>
      </c>
      <c r="DH15">
        <v>3780.88</v>
      </c>
      <c r="DI15">
        <v>30.61</v>
      </c>
      <c r="DJ15">
        <v>59.14</v>
      </c>
      <c r="DK15">
        <v>173.25</v>
      </c>
      <c r="DL15">
        <v>735.44</v>
      </c>
      <c r="DM15">
        <v>92.54</v>
      </c>
      <c r="DN15">
        <v>32.700000000000003</v>
      </c>
      <c r="DO15">
        <v>57.75</v>
      </c>
      <c r="DP15">
        <v>70.97</v>
      </c>
      <c r="DQ15">
        <v>1584.99</v>
      </c>
      <c r="DR15">
        <v>86.28</v>
      </c>
      <c r="DS15">
        <v>34.79</v>
      </c>
      <c r="DT15">
        <v>56.36</v>
      </c>
      <c r="DU15">
        <v>4697.2299999999996</v>
      </c>
      <c r="DV15">
        <v>198.99</v>
      </c>
      <c r="DW15">
        <v>20.18</v>
      </c>
      <c r="DX15">
        <v>81.41</v>
      </c>
      <c r="DY15">
        <v>136.37</v>
      </c>
      <c r="DZ15">
        <v>90.45</v>
      </c>
      <c r="EA15">
        <v>27.83</v>
      </c>
      <c r="EB15">
        <v>50.79</v>
      </c>
      <c r="EC15">
        <v>49.4</v>
      </c>
      <c r="ED15">
        <v>43.14</v>
      </c>
      <c r="EE15">
        <v>10.33</v>
      </c>
      <c r="EF15">
        <v>1344.95</v>
      </c>
      <c r="EG15">
        <v>1387.39</v>
      </c>
      <c r="EH15">
        <v>48.7</v>
      </c>
      <c r="EI15">
        <v>33.4</v>
      </c>
      <c r="EJ15">
        <v>336.06</v>
      </c>
      <c r="EK15">
        <v>249.79</v>
      </c>
      <c r="EL15">
        <v>1948.89</v>
      </c>
      <c r="EM15">
        <v>395.9</v>
      </c>
      <c r="EN15">
        <v>169.08</v>
      </c>
      <c r="EO15">
        <v>471.04</v>
      </c>
      <c r="EP15">
        <v>38.96</v>
      </c>
      <c r="EQ15">
        <v>3035</v>
      </c>
      <c r="ER15">
        <v>20.18</v>
      </c>
      <c r="ES15">
        <v>54.97</v>
      </c>
      <c r="ET15">
        <v>18.09</v>
      </c>
      <c r="EU15">
        <v>215.69</v>
      </c>
      <c r="EV15">
        <v>27.83</v>
      </c>
      <c r="EW15">
        <v>37.57</v>
      </c>
      <c r="EX15">
        <v>73.06</v>
      </c>
      <c r="EY15">
        <v>68.19</v>
      </c>
      <c r="EZ15">
        <v>38.270000000000003</v>
      </c>
      <c r="FA15">
        <v>93.93</v>
      </c>
      <c r="FB15">
        <v>10.33</v>
      </c>
      <c r="FC15">
        <v>224.74</v>
      </c>
      <c r="FD15">
        <v>29.22</v>
      </c>
      <c r="FE15">
        <v>509.31</v>
      </c>
      <c r="FF15">
        <v>38.96</v>
      </c>
      <c r="FG15">
        <v>1483.41</v>
      </c>
      <c r="FH15">
        <v>2312.08</v>
      </c>
      <c r="FI15">
        <v>18.09</v>
      </c>
      <c r="FJ15">
        <v>82.1</v>
      </c>
      <c r="FK15">
        <v>629.67999999999995</v>
      </c>
      <c r="FL15">
        <v>67.489999999999995</v>
      </c>
      <c r="FM15">
        <v>186.47</v>
      </c>
      <c r="FN15">
        <v>139.85</v>
      </c>
      <c r="FO15">
        <v>29.92</v>
      </c>
      <c r="FP15">
        <v>11.13</v>
      </c>
      <c r="FQ15">
        <v>29.22</v>
      </c>
      <c r="FR15">
        <v>10.33</v>
      </c>
      <c r="FS15">
        <v>10.33</v>
      </c>
      <c r="FT15">
        <v>106.45</v>
      </c>
      <c r="FU15">
        <v>1692.14</v>
      </c>
      <c r="FV15">
        <v>3235.39</v>
      </c>
      <c r="FW15">
        <v>18.79</v>
      </c>
      <c r="FX15">
        <v>272.75</v>
      </c>
      <c r="FY15">
        <v>22.27</v>
      </c>
      <c r="FZ15">
        <v>414.69</v>
      </c>
      <c r="GA15">
        <v>995.66</v>
      </c>
      <c r="GB15">
        <v>111.33</v>
      </c>
      <c r="GC15">
        <v>24.35</v>
      </c>
      <c r="GD15">
        <v>164.2</v>
      </c>
      <c r="GE15">
        <v>1183.53</v>
      </c>
      <c r="GF15">
        <v>216.39</v>
      </c>
      <c r="GG15">
        <v>866.25</v>
      </c>
      <c r="GH15">
        <v>264.39999999999998</v>
      </c>
      <c r="GI15">
        <v>862.07</v>
      </c>
      <c r="GJ15">
        <v>57.05</v>
      </c>
      <c r="GK15">
        <v>7930.52</v>
      </c>
      <c r="GL15">
        <v>542.71</v>
      </c>
      <c r="GM15">
        <v>32.700000000000003</v>
      </c>
      <c r="GN15">
        <v>18.79</v>
      </c>
      <c r="GO15">
        <v>1317.12</v>
      </c>
      <c r="GP15">
        <v>67.489999999999995</v>
      </c>
      <c r="GQ15">
        <v>18.79</v>
      </c>
      <c r="GR15">
        <v>267.88</v>
      </c>
      <c r="GS15">
        <v>442.52</v>
      </c>
      <c r="GT15">
        <v>382.68</v>
      </c>
      <c r="GU15">
        <v>29.92</v>
      </c>
      <c r="GV15">
        <v>62.62</v>
      </c>
      <c r="GW15">
        <v>22.27</v>
      </c>
      <c r="GX15">
        <v>427.91</v>
      </c>
      <c r="GY15">
        <v>27.14</v>
      </c>
      <c r="GZ15">
        <v>168.38</v>
      </c>
      <c r="HA15">
        <v>626.9</v>
      </c>
      <c r="HB15">
        <v>530.19000000000005</v>
      </c>
      <c r="HC15">
        <v>82.8</v>
      </c>
      <c r="HD15">
        <v>1218.31</v>
      </c>
      <c r="HE15">
        <v>77.930000000000007</v>
      </c>
      <c r="HF15">
        <v>2167.36</v>
      </c>
      <c r="HG15">
        <v>154.46</v>
      </c>
      <c r="HH15">
        <v>156.55000000000001</v>
      </c>
      <c r="HI15">
        <v>61.23</v>
      </c>
      <c r="HJ15">
        <v>441.13</v>
      </c>
      <c r="HK15">
        <v>6945.3</v>
      </c>
      <c r="HL15">
        <v>773.01</v>
      </c>
      <c r="HM15">
        <v>121.07</v>
      </c>
      <c r="HN15">
        <v>1010.28</v>
      </c>
      <c r="HO15">
        <v>38.96</v>
      </c>
      <c r="HP15">
        <v>45.92</v>
      </c>
      <c r="HQ15">
        <v>8574.1200000000008</v>
      </c>
      <c r="HR15">
        <v>160.03</v>
      </c>
      <c r="HS15">
        <v>10.33</v>
      </c>
      <c r="HT15">
        <v>779.28</v>
      </c>
      <c r="HU15">
        <v>331.19</v>
      </c>
      <c r="HV15">
        <v>109.24</v>
      </c>
      <c r="HW15">
        <v>5290.03</v>
      </c>
      <c r="HX15">
        <v>23.66</v>
      </c>
      <c r="HY15">
        <v>41.05</v>
      </c>
      <c r="HZ15">
        <v>176.03</v>
      </c>
      <c r="IA15">
        <v>198.99</v>
      </c>
      <c r="IB15">
        <v>106.45</v>
      </c>
      <c r="IC15">
        <v>40.36</v>
      </c>
      <c r="ID15">
        <v>61.23</v>
      </c>
      <c r="IE15">
        <v>12.52</v>
      </c>
      <c r="IF15">
        <v>375.72</v>
      </c>
      <c r="IG15">
        <v>45.92</v>
      </c>
      <c r="IH15">
        <v>10.33</v>
      </c>
      <c r="II15">
        <v>280.39999999999998</v>
      </c>
      <c r="IJ15">
        <v>48.7</v>
      </c>
      <c r="IK15">
        <v>13.22</v>
      </c>
      <c r="IL15">
        <v>894.78</v>
      </c>
      <c r="IM15">
        <v>473.13</v>
      </c>
      <c r="IN15">
        <v>106.45</v>
      </c>
      <c r="IO15">
        <v>297.79000000000002</v>
      </c>
      <c r="IP15">
        <v>25.74</v>
      </c>
      <c r="IQ15">
        <v>59.14</v>
      </c>
      <c r="IR15">
        <v>93.93</v>
      </c>
      <c r="IS15">
        <v>23.66</v>
      </c>
      <c r="IT15">
        <v>18.09</v>
      </c>
      <c r="IU15">
        <v>537.14</v>
      </c>
      <c r="IV15">
        <v>443.91</v>
      </c>
      <c r="IW15">
        <v>177.42</v>
      </c>
      <c r="IX15">
        <v>3111.54</v>
      </c>
      <c r="IY15">
        <v>48.01</v>
      </c>
      <c r="IZ15">
        <v>21.57</v>
      </c>
      <c r="JA15">
        <v>109.24</v>
      </c>
      <c r="JB15">
        <v>240.04</v>
      </c>
      <c r="JC15">
        <v>65.400000000000006</v>
      </c>
      <c r="JD15">
        <v>248.39</v>
      </c>
      <c r="JE15">
        <v>44.53</v>
      </c>
      <c r="JF15">
        <v>23.66</v>
      </c>
      <c r="JG15">
        <v>72.36</v>
      </c>
      <c r="JH15">
        <v>738.92</v>
      </c>
      <c r="JI15">
        <v>982.44</v>
      </c>
      <c r="JJ15">
        <v>475.22</v>
      </c>
      <c r="JK15">
        <v>53.58</v>
      </c>
      <c r="JL15">
        <v>118.28</v>
      </c>
      <c r="JM15">
        <v>24.35</v>
      </c>
      <c r="JN15">
        <v>33.4</v>
      </c>
      <c r="JO15">
        <v>188.56</v>
      </c>
      <c r="JP15">
        <v>773.71</v>
      </c>
      <c r="JQ15">
        <v>2563.2600000000002</v>
      </c>
      <c r="JR15">
        <v>10.33</v>
      </c>
      <c r="JS15">
        <v>20.18</v>
      </c>
      <c r="JT15">
        <v>142.63999999999999</v>
      </c>
      <c r="JU15">
        <v>233.78</v>
      </c>
      <c r="JV15">
        <v>293.62</v>
      </c>
      <c r="JW15">
        <v>176.73</v>
      </c>
      <c r="JX15">
        <v>92.54</v>
      </c>
      <c r="JY15">
        <v>176.03</v>
      </c>
      <c r="JZ15">
        <v>10.33</v>
      </c>
      <c r="KA15">
        <v>12.52</v>
      </c>
      <c r="KB15">
        <v>18.09</v>
      </c>
      <c r="KC15">
        <v>16.7</v>
      </c>
      <c r="KD15">
        <v>18.09</v>
      </c>
      <c r="KE15">
        <v>163.51</v>
      </c>
      <c r="KF15">
        <v>73.06</v>
      </c>
      <c r="KG15">
        <v>132.19999999999999</v>
      </c>
      <c r="KH15">
        <v>65.400000000000006</v>
      </c>
      <c r="KI15">
        <v>219.17</v>
      </c>
      <c r="KJ15">
        <v>212.91</v>
      </c>
      <c r="KK15">
        <v>153.07</v>
      </c>
      <c r="KL15">
        <v>41.05</v>
      </c>
      <c r="KM15">
        <v>66.099999999999994</v>
      </c>
      <c r="KN15">
        <v>130.81</v>
      </c>
      <c r="KO15">
        <v>363.2</v>
      </c>
      <c r="KP15">
        <v>189.95</v>
      </c>
      <c r="KQ15">
        <v>2269.64</v>
      </c>
      <c r="KR15">
        <v>583.07000000000005</v>
      </c>
      <c r="KS15">
        <v>1970.46</v>
      </c>
      <c r="KT15">
        <v>8879.57</v>
      </c>
      <c r="KU15">
        <v>32492.33</v>
      </c>
      <c r="KV15">
        <v>3603.46</v>
      </c>
      <c r="KW15">
        <v>238.65</v>
      </c>
      <c r="KX15">
        <v>129.41999999999999</v>
      </c>
      <c r="KY15">
        <v>40.36</v>
      </c>
      <c r="KZ15">
        <v>25.74</v>
      </c>
      <c r="LA15">
        <v>1115.3399999999999</v>
      </c>
      <c r="LB15">
        <v>1008.19</v>
      </c>
      <c r="LC15">
        <v>10.33</v>
      </c>
      <c r="LD15">
        <v>878.08</v>
      </c>
      <c r="LE15">
        <v>10.33</v>
      </c>
      <c r="LF15">
        <v>3172.77</v>
      </c>
      <c r="LG15">
        <v>834.94</v>
      </c>
      <c r="LH15">
        <v>10.33</v>
      </c>
      <c r="LI15">
        <v>6849.98</v>
      </c>
      <c r="LJ15">
        <v>514.88</v>
      </c>
      <c r="LK15">
        <v>803.63</v>
      </c>
      <c r="LL15">
        <v>112.72</v>
      </c>
      <c r="LM15">
        <v>10.44</v>
      </c>
      <c r="LN15">
        <v>113.41</v>
      </c>
      <c r="LO15">
        <v>45.23</v>
      </c>
      <c r="LP15">
        <v>2383.75</v>
      </c>
      <c r="LQ15">
        <v>80.709999999999994</v>
      </c>
      <c r="LR15">
        <v>192.73</v>
      </c>
      <c r="LS15">
        <v>82.8</v>
      </c>
      <c r="LT15">
        <v>34.79</v>
      </c>
      <c r="LU15">
        <v>129.41999999999999</v>
      </c>
      <c r="LV15">
        <v>145.41999999999999</v>
      </c>
      <c r="LW15">
        <v>1375.56</v>
      </c>
      <c r="LX15">
        <v>2133.27</v>
      </c>
      <c r="LY15">
        <v>2374.6999999999998</v>
      </c>
      <c r="LZ15">
        <v>4567.1099999999997</v>
      </c>
      <c r="MA15">
        <v>187.17</v>
      </c>
      <c r="MB15">
        <v>1305.98</v>
      </c>
      <c r="MC15">
        <v>612.29</v>
      </c>
      <c r="MD15">
        <v>132.19999999999999</v>
      </c>
      <c r="ME15">
        <v>100.89</v>
      </c>
      <c r="MF15">
        <v>258.14</v>
      </c>
      <c r="MG15">
        <v>3631.29</v>
      </c>
      <c r="MH15">
        <v>1161.96</v>
      </c>
      <c r="MI15">
        <v>45.92</v>
      </c>
      <c r="MJ15">
        <v>441.13</v>
      </c>
      <c r="MK15">
        <v>14.61</v>
      </c>
      <c r="ML15">
        <v>1106.99</v>
      </c>
      <c r="MM15">
        <v>1216.23</v>
      </c>
      <c r="MN15">
        <v>338.85</v>
      </c>
      <c r="MO15">
        <v>11.83</v>
      </c>
      <c r="MP15">
        <v>95.32</v>
      </c>
      <c r="MQ15">
        <v>110.63</v>
      </c>
      <c r="MR15">
        <v>10.33</v>
      </c>
      <c r="MS15">
        <v>278.31</v>
      </c>
      <c r="MT15">
        <v>1098.6400000000001</v>
      </c>
      <c r="MU15">
        <v>23.66</v>
      </c>
      <c r="MV15">
        <v>125.94</v>
      </c>
      <c r="MW15">
        <v>116.2</v>
      </c>
      <c r="MX15">
        <v>116.89</v>
      </c>
      <c r="MY15">
        <v>27.14</v>
      </c>
      <c r="MZ15">
        <v>123.15</v>
      </c>
      <c r="NA15">
        <v>32.700000000000003</v>
      </c>
      <c r="NB15">
        <v>141.94</v>
      </c>
      <c r="NC15">
        <v>262.31</v>
      </c>
      <c r="ND15">
        <v>281.10000000000002</v>
      </c>
      <c r="NE15">
        <v>358.33</v>
      </c>
      <c r="NF15">
        <v>23.66</v>
      </c>
      <c r="NG15">
        <v>17.39</v>
      </c>
      <c r="NH15">
        <v>153.77000000000001</v>
      </c>
      <c r="NI15">
        <v>648.47</v>
      </c>
      <c r="NJ15">
        <v>229.61</v>
      </c>
      <c r="NK15">
        <v>119.67</v>
      </c>
      <c r="NL15">
        <v>239.35</v>
      </c>
      <c r="NM15">
        <v>1947.49</v>
      </c>
      <c r="NN15">
        <v>118.98</v>
      </c>
      <c r="NO15">
        <v>28.53</v>
      </c>
      <c r="NP15">
        <v>10.33</v>
      </c>
      <c r="NQ15">
        <v>5102.87</v>
      </c>
      <c r="NR15">
        <v>249.79</v>
      </c>
      <c r="NS15">
        <v>466.17</v>
      </c>
      <c r="NT15">
        <v>421.64</v>
      </c>
      <c r="NU15">
        <v>1690.75</v>
      </c>
      <c r="NV15">
        <v>446.69</v>
      </c>
      <c r="NW15">
        <v>175.34</v>
      </c>
      <c r="NX15">
        <v>293.62</v>
      </c>
      <c r="NY15">
        <v>68.19</v>
      </c>
      <c r="NZ15">
        <v>329.8</v>
      </c>
      <c r="OA15">
        <v>166.29</v>
      </c>
      <c r="OB15">
        <v>670.04</v>
      </c>
      <c r="OC15">
        <v>1058.28</v>
      </c>
      <c r="OD15">
        <v>128.02000000000001</v>
      </c>
      <c r="OE15">
        <v>697.87</v>
      </c>
      <c r="OF15">
        <v>52.18</v>
      </c>
      <c r="OG15">
        <v>1169.6099999999999</v>
      </c>
      <c r="OH15">
        <v>108.54</v>
      </c>
      <c r="OI15">
        <v>84.19</v>
      </c>
      <c r="OJ15">
        <v>39.659999999999997</v>
      </c>
      <c r="OK15">
        <v>1486.89</v>
      </c>
      <c r="OL15">
        <v>257.44</v>
      </c>
      <c r="OM15">
        <v>481.48</v>
      </c>
      <c r="ON15">
        <v>148.19999999999999</v>
      </c>
      <c r="OO15">
        <v>999.14</v>
      </c>
      <c r="OP15">
        <v>284.57</v>
      </c>
      <c r="OQ15">
        <v>630.38</v>
      </c>
      <c r="OR15">
        <v>32.01</v>
      </c>
      <c r="OS15">
        <v>551.05999999999995</v>
      </c>
      <c r="OT15">
        <v>361.11</v>
      </c>
      <c r="OU15">
        <v>124.55</v>
      </c>
      <c r="OV15">
        <v>317.27999999999997</v>
      </c>
      <c r="OW15">
        <v>14.61</v>
      </c>
      <c r="OX15">
        <v>56.36</v>
      </c>
      <c r="OY15">
        <v>88.36</v>
      </c>
      <c r="OZ15">
        <v>41.05</v>
      </c>
      <c r="PA15">
        <v>26.44</v>
      </c>
      <c r="PB15">
        <v>61.23</v>
      </c>
      <c r="PC15">
        <v>28.53</v>
      </c>
      <c r="PD15">
        <v>76.540000000000006</v>
      </c>
      <c r="PE15">
        <v>40.36</v>
      </c>
      <c r="PF15">
        <v>361.11</v>
      </c>
      <c r="PG15">
        <v>67.489999999999995</v>
      </c>
      <c r="PH15">
        <v>70.27</v>
      </c>
      <c r="PI15">
        <v>60.53</v>
      </c>
      <c r="PJ15">
        <v>1143.8699999999999</v>
      </c>
      <c r="PK15">
        <v>3750.96</v>
      </c>
      <c r="PL15">
        <v>59.84</v>
      </c>
      <c r="PM15">
        <v>11183.31</v>
      </c>
      <c r="PN15">
        <v>985.23</v>
      </c>
      <c r="PO15">
        <v>53.58</v>
      </c>
      <c r="PP15">
        <v>1515.41</v>
      </c>
      <c r="PQ15">
        <v>55.66</v>
      </c>
      <c r="PR15">
        <v>12.52</v>
      </c>
      <c r="PS15">
        <v>19.48</v>
      </c>
      <c r="PT15">
        <v>18.09</v>
      </c>
      <c r="PU15">
        <v>290.14</v>
      </c>
      <c r="PV15">
        <v>178.82</v>
      </c>
      <c r="PW15">
        <v>268.57</v>
      </c>
      <c r="PX15">
        <v>16</v>
      </c>
      <c r="PY15">
        <v>501.66</v>
      </c>
      <c r="PZ15">
        <v>112.02</v>
      </c>
      <c r="QA15">
        <v>393.81</v>
      </c>
      <c r="QB15">
        <v>11147.13</v>
      </c>
      <c r="QC15">
        <v>66.8</v>
      </c>
      <c r="QD15">
        <v>57.05</v>
      </c>
      <c r="QE15">
        <v>370.16</v>
      </c>
      <c r="QF15">
        <v>44.53</v>
      </c>
      <c r="QG15">
        <v>22.96</v>
      </c>
      <c r="QH15">
        <v>20.87</v>
      </c>
      <c r="QI15">
        <v>41.75</v>
      </c>
      <c r="QJ15">
        <v>125.94</v>
      </c>
      <c r="QK15">
        <v>22.96</v>
      </c>
      <c r="QL15">
        <v>370.85</v>
      </c>
      <c r="QM15">
        <v>624.80999999999995</v>
      </c>
      <c r="QN15">
        <v>681.17</v>
      </c>
      <c r="QO15">
        <v>34.79</v>
      </c>
      <c r="QP15">
        <v>58.45</v>
      </c>
      <c r="QQ15">
        <v>260.22000000000003</v>
      </c>
      <c r="QR15">
        <v>41.05</v>
      </c>
      <c r="QS15">
        <v>786.23</v>
      </c>
      <c r="QT15">
        <v>634.54999999999995</v>
      </c>
      <c r="QU15">
        <v>31.31</v>
      </c>
      <c r="QV15">
        <v>69.58</v>
      </c>
      <c r="QW15">
        <v>94.63</v>
      </c>
      <c r="QX15">
        <v>104.37</v>
      </c>
      <c r="QY15">
        <v>49.4</v>
      </c>
      <c r="QZ15">
        <v>36.18</v>
      </c>
      <c r="RA15">
        <v>194.12</v>
      </c>
      <c r="RB15">
        <v>12820.48</v>
      </c>
      <c r="RC15">
        <v>363.2</v>
      </c>
      <c r="RD15">
        <v>1952.36</v>
      </c>
      <c r="RE15">
        <v>38.270000000000003</v>
      </c>
      <c r="RF15">
        <v>116.89</v>
      </c>
      <c r="RG15">
        <v>220.56</v>
      </c>
      <c r="RH15">
        <v>114.8</v>
      </c>
      <c r="RI15">
        <v>11.83</v>
      </c>
      <c r="RJ15">
        <v>159.33000000000001</v>
      </c>
      <c r="RK15">
        <v>73.06</v>
      </c>
      <c r="RL15">
        <v>190.64</v>
      </c>
      <c r="RM15">
        <v>182.99</v>
      </c>
      <c r="RN15">
        <v>161.41999999999999</v>
      </c>
      <c r="RO15">
        <v>439.04</v>
      </c>
      <c r="RP15">
        <v>230.3</v>
      </c>
      <c r="RQ15">
        <v>601.16</v>
      </c>
      <c r="RR15">
        <v>18.09</v>
      </c>
      <c r="RS15">
        <v>356.94</v>
      </c>
      <c r="RT15">
        <v>371.55</v>
      </c>
      <c r="RU15">
        <v>17.39</v>
      </c>
      <c r="RV15">
        <v>29.22</v>
      </c>
      <c r="RW15">
        <v>400.07</v>
      </c>
      <c r="RX15">
        <v>986.62</v>
      </c>
      <c r="RY15">
        <v>871.82</v>
      </c>
      <c r="RZ15">
        <v>47.31</v>
      </c>
      <c r="SA15">
        <v>283.18</v>
      </c>
      <c r="SB15">
        <v>35.479999999999997</v>
      </c>
      <c r="SC15">
        <v>91.15</v>
      </c>
      <c r="SD15">
        <v>1729.71</v>
      </c>
      <c r="SE15">
        <v>613.67999999999995</v>
      </c>
      <c r="SF15">
        <v>480.79</v>
      </c>
      <c r="SG15">
        <v>7819.2</v>
      </c>
      <c r="SH15">
        <v>109.93</v>
      </c>
      <c r="SI15">
        <v>48.01</v>
      </c>
      <c r="SJ15">
        <v>259.52999999999997</v>
      </c>
      <c r="SK15">
        <v>73.06</v>
      </c>
      <c r="SL15">
        <v>106.45</v>
      </c>
      <c r="SM15">
        <v>22.96</v>
      </c>
      <c r="SN15">
        <v>276.23</v>
      </c>
      <c r="SO15">
        <v>13.92</v>
      </c>
      <c r="SP15">
        <v>73.75</v>
      </c>
      <c r="SQ15">
        <v>695.78</v>
      </c>
      <c r="SR15">
        <v>436.26</v>
      </c>
      <c r="SS15">
        <v>649.86</v>
      </c>
      <c r="ST15">
        <v>553.15</v>
      </c>
      <c r="SU15">
        <v>815.46</v>
      </c>
      <c r="SV15">
        <v>202.47</v>
      </c>
      <c r="SW15">
        <v>404.95</v>
      </c>
      <c r="SX15">
        <v>137.76</v>
      </c>
      <c r="SY15">
        <v>146.81</v>
      </c>
      <c r="SZ15">
        <v>10.33</v>
      </c>
      <c r="TA15">
        <v>21.57</v>
      </c>
      <c r="TB15">
        <v>2012.2</v>
      </c>
      <c r="TC15">
        <v>1397.83</v>
      </c>
      <c r="TD15">
        <v>45.92</v>
      </c>
      <c r="TE15">
        <v>366.68</v>
      </c>
      <c r="TF15">
        <v>231.7</v>
      </c>
      <c r="TG15">
        <v>484.26</v>
      </c>
      <c r="TH15">
        <v>254.66</v>
      </c>
      <c r="TI15">
        <v>135.68</v>
      </c>
      <c r="TJ15">
        <v>21.57</v>
      </c>
      <c r="TK15">
        <v>68.88</v>
      </c>
      <c r="TL15">
        <v>63.32</v>
      </c>
      <c r="TM15">
        <v>75.14</v>
      </c>
      <c r="TN15">
        <v>592.80999999999995</v>
      </c>
      <c r="TO15">
        <v>1122.3</v>
      </c>
      <c r="TP15">
        <v>462.7</v>
      </c>
      <c r="TQ15">
        <v>269.27</v>
      </c>
      <c r="TR15">
        <v>11.83</v>
      </c>
      <c r="TS15">
        <v>442.52</v>
      </c>
      <c r="TT15">
        <v>52.18</v>
      </c>
      <c r="TU15">
        <v>45.23</v>
      </c>
      <c r="TV15">
        <v>283.18</v>
      </c>
      <c r="TW15">
        <v>382.68</v>
      </c>
      <c r="TX15">
        <v>123.85</v>
      </c>
      <c r="TY15">
        <v>98.8</v>
      </c>
      <c r="TZ15">
        <v>119.67</v>
      </c>
      <c r="UA15">
        <v>153.07</v>
      </c>
      <c r="UB15">
        <v>155.16</v>
      </c>
      <c r="UC15">
        <v>9260.17</v>
      </c>
      <c r="UD15">
        <v>29.92</v>
      </c>
      <c r="UE15">
        <v>36.18</v>
      </c>
      <c r="UF15">
        <v>1903.66</v>
      </c>
      <c r="UG15">
        <v>98.11</v>
      </c>
      <c r="UH15">
        <v>11.13</v>
      </c>
      <c r="UI15">
        <v>34.090000000000003</v>
      </c>
      <c r="UJ15">
        <v>52.88</v>
      </c>
      <c r="UK15">
        <v>42.44</v>
      </c>
      <c r="UL15">
        <v>20.87</v>
      </c>
      <c r="UM15">
        <v>54.97</v>
      </c>
      <c r="UN15">
        <v>120.37</v>
      </c>
      <c r="UO15">
        <v>101.58</v>
      </c>
      <c r="UP15">
        <v>10.33</v>
      </c>
      <c r="UQ15">
        <v>27.83</v>
      </c>
      <c r="UR15">
        <v>119.67</v>
      </c>
      <c r="US15">
        <v>86.28</v>
      </c>
      <c r="UT15">
        <v>237.26</v>
      </c>
      <c r="UU15">
        <v>732.66</v>
      </c>
      <c r="UV15">
        <v>555.92999999999995</v>
      </c>
      <c r="UW15">
        <v>490.53</v>
      </c>
      <c r="UX15">
        <v>57.75</v>
      </c>
      <c r="UY15">
        <v>388.25</v>
      </c>
      <c r="UZ15">
        <v>97.41</v>
      </c>
      <c r="VA15">
        <v>2171.54</v>
      </c>
      <c r="VB15">
        <v>826.59</v>
      </c>
      <c r="VC15">
        <v>130.11000000000001</v>
      </c>
      <c r="VD15">
        <v>63.32</v>
      </c>
      <c r="VE15">
        <v>41.05</v>
      </c>
      <c r="VF15">
        <v>246.31</v>
      </c>
      <c r="VG15">
        <v>45.92</v>
      </c>
      <c r="VH15">
        <v>25.05</v>
      </c>
      <c r="VI15">
        <v>59.84</v>
      </c>
      <c r="VJ15">
        <v>34.090000000000003</v>
      </c>
      <c r="VK15">
        <v>379.2</v>
      </c>
      <c r="VL15">
        <v>438.34</v>
      </c>
      <c r="VM15">
        <v>873.9</v>
      </c>
      <c r="VN15">
        <v>418.86</v>
      </c>
      <c r="VO15">
        <v>11.13</v>
      </c>
      <c r="VP15">
        <v>10.33</v>
      </c>
      <c r="VQ15">
        <v>898.25</v>
      </c>
      <c r="VR15">
        <v>237.26</v>
      </c>
      <c r="VS15">
        <v>644.99</v>
      </c>
      <c r="VT15">
        <v>35.479999999999997</v>
      </c>
      <c r="VU15">
        <v>34.79</v>
      </c>
      <c r="VV15">
        <v>14.61</v>
      </c>
      <c r="VW15">
        <v>199.69</v>
      </c>
      <c r="VX15">
        <v>276.23</v>
      </c>
      <c r="VY15">
        <v>11.13</v>
      </c>
      <c r="VZ15">
        <v>11367.69</v>
      </c>
      <c r="WA15">
        <v>9754.8700000000008</v>
      </c>
      <c r="WB15">
        <v>257.44</v>
      </c>
      <c r="WC15">
        <v>96.02</v>
      </c>
      <c r="WD15">
        <v>130.81</v>
      </c>
      <c r="WE15">
        <v>2053.25</v>
      </c>
      <c r="WF15">
        <v>191.34</v>
      </c>
      <c r="WG15">
        <v>499.57</v>
      </c>
      <c r="WH15">
        <v>9189.2000000000007</v>
      </c>
      <c r="WI15">
        <v>15932.72</v>
      </c>
      <c r="WJ15">
        <v>744.49</v>
      </c>
      <c r="WK15">
        <v>234.48</v>
      </c>
      <c r="WL15">
        <v>361.11</v>
      </c>
      <c r="WM15">
        <v>57.75</v>
      </c>
      <c r="WN15">
        <v>52.18</v>
      </c>
      <c r="WO15">
        <v>10.33</v>
      </c>
      <c r="WP15">
        <v>189.95</v>
      </c>
      <c r="WQ15">
        <v>663.08</v>
      </c>
      <c r="WR15">
        <v>1321.29</v>
      </c>
      <c r="WS15">
        <v>107.15</v>
      </c>
      <c r="WT15">
        <v>391.03</v>
      </c>
      <c r="WU15">
        <v>774.41</v>
      </c>
      <c r="WV15">
        <v>708.31</v>
      </c>
      <c r="WW15">
        <v>37.57</v>
      </c>
      <c r="WX15">
        <v>125.94</v>
      </c>
      <c r="WY15">
        <v>10.33</v>
      </c>
      <c r="WZ15">
        <v>39.659999999999997</v>
      </c>
      <c r="XA15">
        <v>18.79</v>
      </c>
      <c r="XB15">
        <v>467.57</v>
      </c>
      <c r="XC15">
        <v>30.61</v>
      </c>
      <c r="XD15">
        <v>227.52</v>
      </c>
      <c r="XE15">
        <v>263.7</v>
      </c>
      <c r="XF15">
        <v>1220.4000000000001</v>
      </c>
      <c r="XG15">
        <v>1314.33</v>
      </c>
      <c r="XH15">
        <v>299.88</v>
      </c>
      <c r="XI15">
        <v>388.94</v>
      </c>
      <c r="XJ15">
        <v>290.14</v>
      </c>
      <c r="XK15">
        <v>661.69</v>
      </c>
      <c r="XL15">
        <v>120.37</v>
      </c>
      <c r="XM15">
        <v>133.59</v>
      </c>
      <c r="XN15">
        <v>170.47</v>
      </c>
      <c r="XO15">
        <v>31.31</v>
      </c>
      <c r="XP15">
        <v>145.41999999999999</v>
      </c>
      <c r="XQ15">
        <v>445.3</v>
      </c>
      <c r="XR15">
        <v>16.7</v>
      </c>
      <c r="XS15">
        <v>3442.03</v>
      </c>
      <c r="XT15">
        <v>127.33</v>
      </c>
      <c r="XU15">
        <v>436.26</v>
      </c>
      <c r="XV15">
        <v>694.39</v>
      </c>
      <c r="XW15">
        <v>1486.19</v>
      </c>
      <c r="XX15">
        <v>1492.45</v>
      </c>
      <c r="XY15">
        <v>1866.78</v>
      </c>
      <c r="XZ15">
        <v>77.930000000000007</v>
      </c>
      <c r="YA15">
        <v>666.56</v>
      </c>
      <c r="YB15">
        <v>151.68</v>
      </c>
      <c r="YC15">
        <v>42.44</v>
      </c>
      <c r="YD15">
        <v>1542.55</v>
      </c>
      <c r="YE15">
        <v>375.72</v>
      </c>
      <c r="YF15">
        <v>598.37</v>
      </c>
      <c r="YG15">
        <v>75.84</v>
      </c>
      <c r="YH15">
        <v>29.92</v>
      </c>
      <c r="YI15">
        <v>61.92</v>
      </c>
      <c r="YJ15">
        <v>391.03</v>
      </c>
      <c r="YK15">
        <v>10.33</v>
      </c>
      <c r="YL15">
        <v>299.19</v>
      </c>
      <c r="YM15">
        <v>2102.65</v>
      </c>
      <c r="YN15">
        <v>223.35</v>
      </c>
      <c r="YO15">
        <v>199.69</v>
      </c>
      <c r="YP15">
        <v>1074.98</v>
      </c>
      <c r="YQ15">
        <v>148.9</v>
      </c>
      <c r="YR15">
        <v>126.63</v>
      </c>
      <c r="YS15">
        <v>4121.12</v>
      </c>
      <c r="YT15">
        <v>193.43</v>
      </c>
      <c r="YU15">
        <v>153.77000000000001</v>
      </c>
      <c r="YV15">
        <v>26.44</v>
      </c>
      <c r="YW15">
        <v>57.75</v>
      </c>
      <c r="YX15">
        <v>64.709999999999994</v>
      </c>
      <c r="YY15">
        <v>391.03</v>
      </c>
      <c r="YZ15">
        <v>38.270000000000003</v>
      </c>
      <c r="ZA15">
        <v>141.24</v>
      </c>
      <c r="ZB15">
        <v>72.36</v>
      </c>
      <c r="ZC15">
        <v>24.35</v>
      </c>
      <c r="ZD15">
        <v>127.33</v>
      </c>
      <c r="ZE15">
        <v>57.75</v>
      </c>
      <c r="ZF15">
        <v>235.17</v>
      </c>
      <c r="ZG15">
        <v>272.05</v>
      </c>
      <c r="ZH15">
        <v>99.5</v>
      </c>
      <c r="ZI15">
        <v>327.71</v>
      </c>
      <c r="ZJ15">
        <v>700.65</v>
      </c>
      <c r="ZK15">
        <v>286.66000000000003</v>
      </c>
      <c r="ZL15">
        <v>32.700000000000003</v>
      </c>
      <c r="ZM15">
        <v>218.48</v>
      </c>
      <c r="ZN15">
        <v>84.89</v>
      </c>
      <c r="ZO15">
        <v>25.05</v>
      </c>
      <c r="ZP15">
        <v>297.79000000000002</v>
      </c>
      <c r="ZQ15">
        <v>57.05</v>
      </c>
      <c r="ZR15">
        <v>18.79</v>
      </c>
      <c r="ZS15">
        <v>629.67999999999995</v>
      </c>
      <c r="ZT15">
        <v>156.55000000000001</v>
      </c>
      <c r="ZU15">
        <v>132.19999999999999</v>
      </c>
      <c r="ZV15">
        <v>11.83</v>
      </c>
      <c r="ZW15">
        <v>25.74</v>
      </c>
      <c r="ZX15">
        <v>150.29</v>
      </c>
      <c r="ZY15">
        <v>953.92</v>
      </c>
      <c r="ZZ15">
        <v>94.63</v>
      </c>
      <c r="AAA15">
        <v>25.74</v>
      </c>
      <c r="AAB15">
        <v>75.14</v>
      </c>
      <c r="AAC15">
        <v>46.62</v>
      </c>
      <c r="AAD15">
        <v>46.62</v>
      </c>
      <c r="AAE15">
        <v>28.53</v>
      </c>
      <c r="AAF15">
        <v>16.7</v>
      </c>
      <c r="AAG15">
        <v>249.79</v>
      </c>
      <c r="AAH15">
        <v>244.22</v>
      </c>
      <c r="AAI15">
        <v>3395.42</v>
      </c>
      <c r="AAJ15">
        <v>232.39</v>
      </c>
      <c r="AAK15">
        <v>326.32</v>
      </c>
      <c r="AAL15">
        <v>151.68</v>
      </c>
      <c r="AAM15">
        <v>56.36</v>
      </c>
      <c r="AAN15">
        <v>315.19</v>
      </c>
      <c r="AAO15">
        <v>42.44</v>
      </c>
      <c r="AAP15">
        <v>165.6</v>
      </c>
      <c r="AAQ15">
        <v>29.22</v>
      </c>
      <c r="AAR15">
        <v>54.97</v>
      </c>
      <c r="AAS15">
        <v>1010.97</v>
      </c>
      <c r="AAT15">
        <v>84.89</v>
      </c>
      <c r="AAU15">
        <v>10.33</v>
      </c>
      <c r="AAV15">
        <v>1131.3399999999999</v>
      </c>
      <c r="AAW15">
        <v>70.97</v>
      </c>
      <c r="AAX15">
        <v>61.23</v>
      </c>
      <c r="AAY15">
        <v>79.319999999999993</v>
      </c>
      <c r="AAZ15">
        <v>26.44</v>
      </c>
      <c r="ABA15">
        <v>378.51</v>
      </c>
      <c r="ABB15">
        <v>152.38</v>
      </c>
      <c r="ABC15">
        <v>1301.81</v>
      </c>
      <c r="ABD15">
        <v>1138.3</v>
      </c>
      <c r="ABE15">
        <v>355.54</v>
      </c>
      <c r="ABF15">
        <v>334.67</v>
      </c>
      <c r="ABG15">
        <v>75.84</v>
      </c>
      <c r="ABH15">
        <v>85.58</v>
      </c>
      <c r="ABI15">
        <v>66.8</v>
      </c>
      <c r="ABJ15">
        <v>49.4</v>
      </c>
      <c r="ABK15">
        <v>32.01</v>
      </c>
      <c r="ABL15">
        <v>16.7</v>
      </c>
      <c r="ABM15">
        <v>171.86</v>
      </c>
      <c r="ABN15">
        <v>178.12</v>
      </c>
      <c r="ABO15">
        <v>11.83</v>
      </c>
      <c r="ABP15">
        <v>37.57</v>
      </c>
      <c r="ABQ15">
        <v>699.26</v>
      </c>
      <c r="ABR15">
        <v>27.14</v>
      </c>
      <c r="ABS15">
        <v>581.66999999999996</v>
      </c>
      <c r="ABT15">
        <v>35.479999999999997</v>
      </c>
      <c r="ABU15">
        <v>27.83</v>
      </c>
      <c r="ABV15">
        <v>121.76</v>
      </c>
      <c r="ABW15">
        <v>498.88</v>
      </c>
      <c r="ABX15">
        <v>890.6</v>
      </c>
      <c r="ABY15">
        <v>266.48</v>
      </c>
      <c r="ABZ15">
        <v>98.11</v>
      </c>
      <c r="ACA15">
        <v>523.23</v>
      </c>
      <c r="ACB15">
        <v>592.80999999999995</v>
      </c>
      <c r="ACC15">
        <v>130.11000000000001</v>
      </c>
      <c r="ACD15">
        <v>246.31</v>
      </c>
      <c r="ACE15">
        <v>140.55000000000001</v>
      </c>
      <c r="ACF15">
        <v>4537.8900000000003</v>
      </c>
      <c r="ACG15">
        <v>1762.42</v>
      </c>
      <c r="ACH15">
        <v>369.46</v>
      </c>
      <c r="ACI15">
        <v>352.76</v>
      </c>
      <c r="ACJ15">
        <v>451.56</v>
      </c>
      <c r="ACK15">
        <v>608.11</v>
      </c>
      <c r="ACL15">
        <v>53.58</v>
      </c>
      <c r="ACM15">
        <v>173.25</v>
      </c>
      <c r="ACN15">
        <v>288.05</v>
      </c>
      <c r="ACO15">
        <v>1276.76</v>
      </c>
      <c r="ACP15">
        <v>420.95</v>
      </c>
      <c r="ACQ15">
        <v>224.74</v>
      </c>
      <c r="ACR15">
        <v>4785.59</v>
      </c>
    </row>
    <row r="16" spans="1:772" x14ac:dyDescent="0.3">
      <c r="A16" t="s">
        <v>9</v>
      </c>
      <c r="B16" t="s">
        <v>3</v>
      </c>
      <c r="C16">
        <v>490.48</v>
      </c>
      <c r="D16">
        <v>69.97</v>
      </c>
      <c r="E16">
        <v>670.8</v>
      </c>
      <c r="F16">
        <v>15.87</v>
      </c>
      <c r="G16">
        <v>2462.4899999999998</v>
      </c>
      <c r="H16">
        <v>100.98</v>
      </c>
      <c r="I16">
        <v>910.99</v>
      </c>
      <c r="J16">
        <v>7212.2</v>
      </c>
      <c r="K16">
        <v>904.5</v>
      </c>
      <c r="L16">
        <v>47.61</v>
      </c>
      <c r="M16">
        <v>173.83</v>
      </c>
      <c r="N16">
        <v>802.8</v>
      </c>
      <c r="O16">
        <v>62.75</v>
      </c>
      <c r="P16">
        <v>209.9</v>
      </c>
      <c r="Q16">
        <v>70.69</v>
      </c>
      <c r="R16">
        <v>680.18</v>
      </c>
      <c r="S16">
        <v>19.47</v>
      </c>
      <c r="T16">
        <v>439.27</v>
      </c>
      <c r="U16">
        <v>610.92999999999995</v>
      </c>
      <c r="V16">
        <v>188.98</v>
      </c>
      <c r="W16">
        <v>313.76</v>
      </c>
      <c r="X16">
        <v>44</v>
      </c>
      <c r="Y16">
        <v>214.95</v>
      </c>
      <c r="Z16">
        <v>341.89</v>
      </c>
      <c r="AA16">
        <v>85.83</v>
      </c>
      <c r="AB16">
        <v>965.81</v>
      </c>
      <c r="AC16">
        <v>610.21</v>
      </c>
      <c r="AD16">
        <v>90.16</v>
      </c>
      <c r="AE16">
        <v>362.81</v>
      </c>
      <c r="AF16">
        <v>21364.68</v>
      </c>
      <c r="AG16">
        <v>96.65</v>
      </c>
      <c r="AH16">
        <v>229.37</v>
      </c>
      <c r="AI16">
        <v>44</v>
      </c>
      <c r="AJ16">
        <v>357.76</v>
      </c>
      <c r="AK16">
        <v>181.04</v>
      </c>
      <c r="AL16">
        <v>78.62</v>
      </c>
      <c r="AM16">
        <v>586.41</v>
      </c>
      <c r="AN16">
        <v>76.459999999999994</v>
      </c>
      <c r="AO16">
        <v>572.71</v>
      </c>
      <c r="AP16">
        <v>51.21</v>
      </c>
      <c r="AQ16">
        <v>126.95</v>
      </c>
      <c r="AR16">
        <v>41.11</v>
      </c>
      <c r="AS16">
        <v>44</v>
      </c>
      <c r="AT16">
        <v>13.11</v>
      </c>
      <c r="AU16">
        <v>67.8</v>
      </c>
      <c r="AV16">
        <v>284.91000000000003</v>
      </c>
      <c r="AW16">
        <v>296.45</v>
      </c>
      <c r="AX16">
        <v>2637.05</v>
      </c>
      <c r="AY16">
        <v>20.92</v>
      </c>
      <c r="AZ16">
        <v>100.98</v>
      </c>
      <c r="BA16">
        <v>275.52999999999997</v>
      </c>
      <c r="BB16">
        <v>427.01</v>
      </c>
      <c r="BC16">
        <v>66.36</v>
      </c>
      <c r="BD16">
        <v>26.69</v>
      </c>
      <c r="BE16">
        <v>178.16</v>
      </c>
      <c r="BF16">
        <v>276.25</v>
      </c>
      <c r="BG16">
        <v>58.42</v>
      </c>
      <c r="BH16">
        <v>45.44</v>
      </c>
      <c r="BI16">
        <v>13.11</v>
      </c>
      <c r="BJ16">
        <v>31.02</v>
      </c>
      <c r="BK16">
        <v>140.65</v>
      </c>
      <c r="BL16">
        <v>462.35</v>
      </c>
      <c r="BM16">
        <v>48.33</v>
      </c>
      <c r="BN16">
        <v>82.23</v>
      </c>
      <c r="BO16">
        <v>47.61</v>
      </c>
      <c r="BP16">
        <v>36.06</v>
      </c>
      <c r="BQ16">
        <v>18.75</v>
      </c>
      <c r="BR16">
        <v>181.04</v>
      </c>
      <c r="BS16">
        <v>31.02</v>
      </c>
      <c r="BT16">
        <v>195.47</v>
      </c>
      <c r="BU16">
        <v>163.72999999999999</v>
      </c>
      <c r="BV16">
        <v>65.64</v>
      </c>
      <c r="BW16">
        <v>185.37</v>
      </c>
      <c r="BX16">
        <v>247.4</v>
      </c>
      <c r="BY16">
        <v>215.67</v>
      </c>
      <c r="BZ16">
        <v>490.48</v>
      </c>
      <c r="CA16">
        <v>48.33</v>
      </c>
      <c r="CB16">
        <v>69.239999999999995</v>
      </c>
      <c r="CC16">
        <v>62.03</v>
      </c>
      <c r="CD16">
        <v>72.13</v>
      </c>
      <c r="CE16">
        <v>385.17</v>
      </c>
      <c r="CF16">
        <v>402.48</v>
      </c>
      <c r="CG16">
        <v>43.28</v>
      </c>
      <c r="CH16">
        <v>94.49</v>
      </c>
      <c r="CI16">
        <v>38.950000000000003</v>
      </c>
      <c r="CJ16">
        <v>43.28</v>
      </c>
      <c r="CK16">
        <v>93.05</v>
      </c>
      <c r="CL16">
        <v>87.28</v>
      </c>
      <c r="CM16">
        <v>261.83</v>
      </c>
      <c r="CN16">
        <v>54.82</v>
      </c>
      <c r="CO16">
        <v>82.95</v>
      </c>
      <c r="CP16">
        <v>13.11</v>
      </c>
      <c r="CQ16">
        <v>47.61</v>
      </c>
      <c r="CR16">
        <v>59.87</v>
      </c>
      <c r="CS16">
        <v>13.11</v>
      </c>
      <c r="CT16">
        <v>41.83</v>
      </c>
      <c r="CU16">
        <v>161.57</v>
      </c>
      <c r="CV16">
        <v>136.32</v>
      </c>
      <c r="CW16">
        <v>1376.23</v>
      </c>
      <c r="CX16">
        <v>63.47</v>
      </c>
      <c r="CY16">
        <v>328.19</v>
      </c>
      <c r="CZ16">
        <v>33.9</v>
      </c>
      <c r="DA16">
        <v>132</v>
      </c>
      <c r="DB16">
        <v>93.77</v>
      </c>
      <c r="DC16">
        <v>90.88</v>
      </c>
      <c r="DD16">
        <v>27.41</v>
      </c>
      <c r="DE16">
        <v>33.9</v>
      </c>
      <c r="DF16">
        <v>359.92</v>
      </c>
      <c r="DG16">
        <v>31.74</v>
      </c>
      <c r="DH16">
        <v>3332.37</v>
      </c>
      <c r="DI16">
        <v>63.47</v>
      </c>
      <c r="DJ16">
        <v>61.31</v>
      </c>
      <c r="DK16">
        <v>191.14</v>
      </c>
      <c r="DL16">
        <v>779</v>
      </c>
      <c r="DM16">
        <v>93.05</v>
      </c>
      <c r="DN16">
        <v>31.02</v>
      </c>
      <c r="DO16">
        <v>42.56</v>
      </c>
      <c r="DP16">
        <v>90.16</v>
      </c>
      <c r="DQ16">
        <v>1568.09</v>
      </c>
      <c r="DR16">
        <v>108.19</v>
      </c>
      <c r="DS16">
        <v>26.69</v>
      </c>
      <c r="DT16">
        <v>93.05</v>
      </c>
      <c r="DU16">
        <v>5227.93</v>
      </c>
      <c r="DV16">
        <v>305.83</v>
      </c>
      <c r="DW16">
        <v>30.29</v>
      </c>
      <c r="DX16">
        <v>81.510000000000005</v>
      </c>
      <c r="DY16">
        <v>118.29</v>
      </c>
      <c r="DZ16">
        <v>100.98</v>
      </c>
      <c r="EA16">
        <v>49.05</v>
      </c>
      <c r="EB16">
        <v>72.849999999999994</v>
      </c>
      <c r="EC16">
        <v>46.16</v>
      </c>
      <c r="ED16">
        <v>38.229999999999997</v>
      </c>
      <c r="EE16">
        <v>13.11</v>
      </c>
      <c r="EF16">
        <v>1089.1500000000001</v>
      </c>
      <c r="EG16">
        <v>1118.72</v>
      </c>
      <c r="EH16">
        <v>51.93</v>
      </c>
      <c r="EI16">
        <v>48.33</v>
      </c>
      <c r="EJ16">
        <v>309.43</v>
      </c>
      <c r="EK16">
        <v>211.34</v>
      </c>
      <c r="EL16">
        <v>1850.11</v>
      </c>
      <c r="EM16">
        <v>390.94</v>
      </c>
      <c r="EN16">
        <v>144.97999999999999</v>
      </c>
      <c r="EO16">
        <v>305.83</v>
      </c>
      <c r="EP16">
        <v>46.88</v>
      </c>
      <c r="EQ16">
        <v>2733.7</v>
      </c>
      <c r="ER16">
        <v>13.11</v>
      </c>
      <c r="ES16">
        <v>46.16</v>
      </c>
      <c r="ET16">
        <v>19.47</v>
      </c>
      <c r="EU16">
        <v>217.11</v>
      </c>
      <c r="EV16">
        <v>39.67</v>
      </c>
      <c r="EW16">
        <v>41.83</v>
      </c>
      <c r="EX16">
        <v>76.459999999999994</v>
      </c>
      <c r="EY16">
        <v>73.569999999999993</v>
      </c>
      <c r="EZ16">
        <v>54.1</v>
      </c>
      <c r="FA16">
        <v>68.52</v>
      </c>
      <c r="FB16">
        <v>15.87</v>
      </c>
      <c r="FC16">
        <v>196.19</v>
      </c>
      <c r="FD16">
        <v>25.97</v>
      </c>
      <c r="FE16">
        <v>351.99</v>
      </c>
      <c r="FF16">
        <v>43.28</v>
      </c>
      <c r="FG16">
        <v>1410.85</v>
      </c>
      <c r="FH16">
        <v>2246.1</v>
      </c>
      <c r="FI16">
        <v>20.92</v>
      </c>
      <c r="FJ16">
        <v>83.67</v>
      </c>
      <c r="FK16">
        <v>615.26</v>
      </c>
      <c r="FL16">
        <v>93.05</v>
      </c>
      <c r="FM16">
        <v>152.91</v>
      </c>
      <c r="FN16">
        <v>142.09</v>
      </c>
      <c r="FO16">
        <v>28.13</v>
      </c>
      <c r="FP16">
        <v>13.11</v>
      </c>
      <c r="FQ16">
        <v>42.56</v>
      </c>
      <c r="FR16">
        <v>13.11</v>
      </c>
      <c r="FS16">
        <v>13.11</v>
      </c>
      <c r="FT16">
        <v>103.87</v>
      </c>
      <c r="FU16">
        <v>1600.55</v>
      </c>
      <c r="FV16">
        <v>3052.51</v>
      </c>
      <c r="FW16">
        <v>23.8</v>
      </c>
      <c r="FX16">
        <v>234.42</v>
      </c>
      <c r="FY16">
        <v>38.229999999999997</v>
      </c>
      <c r="FZ16">
        <v>377.96</v>
      </c>
      <c r="GA16">
        <v>844.63</v>
      </c>
      <c r="GB16">
        <v>103.14</v>
      </c>
      <c r="GC16">
        <v>28.13</v>
      </c>
      <c r="GD16">
        <v>162.29</v>
      </c>
      <c r="GE16">
        <v>760.24</v>
      </c>
      <c r="GF16">
        <v>155.80000000000001</v>
      </c>
      <c r="GG16">
        <v>887.91</v>
      </c>
      <c r="GH16">
        <v>296.45</v>
      </c>
      <c r="GI16">
        <v>502.02</v>
      </c>
      <c r="GJ16">
        <v>69.97</v>
      </c>
      <c r="GK16">
        <v>9111.3700000000008</v>
      </c>
      <c r="GL16">
        <v>441.43</v>
      </c>
      <c r="GM16">
        <v>49.77</v>
      </c>
      <c r="GN16">
        <v>14.43</v>
      </c>
      <c r="GO16">
        <v>1627.96</v>
      </c>
      <c r="GP16">
        <v>51.93</v>
      </c>
      <c r="GQ16">
        <v>26.69</v>
      </c>
      <c r="GR16">
        <v>240.19</v>
      </c>
      <c r="GS16">
        <v>406.09</v>
      </c>
      <c r="GT16">
        <v>345.5</v>
      </c>
      <c r="GU16">
        <v>40.39</v>
      </c>
      <c r="GV16">
        <v>74.290000000000006</v>
      </c>
      <c r="GW16">
        <v>19.47</v>
      </c>
      <c r="GX16">
        <v>383.01</v>
      </c>
      <c r="GY16">
        <v>38.229999999999997</v>
      </c>
      <c r="GZ16">
        <v>141.37</v>
      </c>
      <c r="HA16">
        <v>542.41</v>
      </c>
      <c r="HB16">
        <v>484.71</v>
      </c>
      <c r="HC16">
        <v>129.11000000000001</v>
      </c>
      <c r="HD16">
        <v>1167.05</v>
      </c>
      <c r="HE16">
        <v>90.88</v>
      </c>
      <c r="HF16">
        <v>2264.14</v>
      </c>
      <c r="HG16">
        <v>163.72999999999999</v>
      </c>
      <c r="HH16">
        <v>139.21</v>
      </c>
      <c r="HI16">
        <v>63.47</v>
      </c>
      <c r="HJ16">
        <v>367.86</v>
      </c>
      <c r="HK16">
        <v>5998.27</v>
      </c>
      <c r="HL16">
        <v>614.54</v>
      </c>
      <c r="HM16">
        <v>125.5</v>
      </c>
      <c r="HN16">
        <v>866.27</v>
      </c>
      <c r="HO16">
        <v>53.38</v>
      </c>
      <c r="HP16">
        <v>49.05</v>
      </c>
      <c r="HQ16">
        <v>7503.61</v>
      </c>
      <c r="HR16">
        <v>167.34</v>
      </c>
      <c r="HS16">
        <v>13.11</v>
      </c>
      <c r="HT16">
        <v>427.01</v>
      </c>
      <c r="HU16">
        <v>383.73</v>
      </c>
      <c r="HV16">
        <v>80.78</v>
      </c>
      <c r="HW16">
        <v>4735.28</v>
      </c>
      <c r="HX16">
        <v>34.619999999999997</v>
      </c>
      <c r="HY16">
        <v>33.18</v>
      </c>
      <c r="HZ16">
        <v>175.27</v>
      </c>
      <c r="IA16">
        <v>150.03</v>
      </c>
      <c r="IB16">
        <v>84.39</v>
      </c>
      <c r="IC16">
        <v>45.44</v>
      </c>
      <c r="ID16">
        <v>77.180000000000007</v>
      </c>
      <c r="IE16">
        <v>18.03</v>
      </c>
      <c r="IF16">
        <v>336.84</v>
      </c>
      <c r="IG16">
        <v>39.67</v>
      </c>
      <c r="IH16">
        <v>13.11</v>
      </c>
      <c r="II16">
        <v>310.16000000000003</v>
      </c>
      <c r="IJ16">
        <v>51.21</v>
      </c>
      <c r="IK16">
        <v>15.87</v>
      </c>
      <c r="IL16">
        <v>780.44</v>
      </c>
      <c r="IM16">
        <v>419.79</v>
      </c>
      <c r="IN16">
        <v>132</v>
      </c>
      <c r="IO16">
        <v>269.76</v>
      </c>
      <c r="IP16">
        <v>30.29</v>
      </c>
      <c r="IQ16">
        <v>70.69</v>
      </c>
      <c r="IR16">
        <v>76.459999999999994</v>
      </c>
      <c r="IS16">
        <v>37.51</v>
      </c>
      <c r="IT16">
        <v>38.229999999999997</v>
      </c>
      <c r="IU16">
        <v>483.27</v>
      </c>
      <c r="IV16">
        <v>397.43</v>
      </c>
      <c r="IW16">
        <v>171.67</v>
      </c>
      <c r="IX16">
        <v>2790.68</v>
      </c>
      <c r="IY16">
        <v>44</v>
      </c>
      <c r="IZ16">
        <v>34.619999999999997</v>
      </c>
      <c r="JA16">
        <v>125.5</v>
      </c>
      <c r="JB16">
        <v>206.29</v>
      </c>
      <c r="JC16">
        <v>73.569999999999993</v>
      </c>
      <c r="JD16">
        <v>251.01</v>
      </c>
      <c r="JE16">
        <v>54.82</v>
      </c>
      <c r="JF16">
        <v>24.52</v>
      </c>
      <c r="JG16">
        <v>52.65</v>
      </c>
      <c r="JH16">
        <v>712.64</v>
      </c>
      <c r="JI16">
        <v>1045.8699999999999</v>
      </c>
      <c r="JJ16">
        <v>469.56</v>
      </c>
      <c r="JK16">
        <v>80.06</v>
      </c>
      <c r="JL16">
        <v>122.62</v>
      </c>
      <c r="JM16">
        <v>21.64</v>
      </c>
      <c r="JN16">
        <v>43.28</v>
      </c>
      <c r="JO16">
        <v>209.9</v>
      </c>
      <c r="JP16">
        <v>647</v>
      </c>
      <c r="JQ16">
        <v>2445.1799999999998</v>
      </c>
      <c r="JR16">
        <v>16.59</v>
      </c>
      <c r="JS16">
        <v>28.13</v>
      </c>
      <c r="JT16">
        <v>168.06</v>
      </c>
      <c r="JU16">
        <v>184.65</v>
      </c>
      <c r="JV16">
        <v>309.43</v>
      </c>
      <c r="JW16">
        <v>175.27</v>
      </c>
      <c r="JX16">
        <v>85.11</v>
      </c>
      <c r="JY16">
        <v>191.86</v>
      </c>
      <c r="JZ16">
        <v>13.11</v>
      </c>
      <c r="KA16">
        <v>13.11</v>
      </c>
      <c r="KB16">
        <v>34.619999999999997</v>
      </c>
      <c r="KC16">
        <v>13.11</v>
      </c>
      <c r="KD16">
        <v>13.11</v>
      </c>
      <c r="KE16">
        <v>143.54</v>
      </c>
      <c r="KF16">
        <v>81.510000000000005</v>
      </c>
      <c r="KG16">
        <v>126.23</v>
      </c>
      <c r="KH16">
        <v>72.849999999999994</v>
      </c>
      <c r="KI16">
        <v>215.67</v>
      </c>
      <c r="KJ16">
        <v>157.24</v>
      </c>
      <c r="KK16">
        <v>144.97999999999999</v>
      </c>
      <c r="KL16">
        <v>44</v>
      </c>
      <c r="KM16">
        <v>70.69</v>
      </c>
      <c r="KN16">
        <v>116.85</v>
      </c>
      <c r="KO16">
        <v>301.5</v>
      </c>
      <c r="KP16">
        <v>152.19</v>
      </c>
      <c r="KQ16">
        <v>1750.58</v>
      </c>
      <c r="KR16">
        <v>519.33000000000004</v>
      </c>
      <c r="KS16">
        <v>1546.45</v>
      </c>
      <c r="KT16">
        <v>8235.7199999999993</v>
      </c>
      <c r="KU16">
        <v>30415.46</v>
      </c>
      <c r="KV16">
        <v>3600.69</v>
      </c>
      <c r="KW16">
        <v>250.29</v>
      </c>
      <c r="KX16">
        <v>132</v>
      </c>
      <c r="KY16">
        <v>49.05</v>
      </c>
      <c r="KZ16">
        <v>36.06</v>
      </c>
      <c r="LA16">
        <v>1081.22</v>
      </c>
      <c r="LB16">
        <v>1001.15</v>
      </c>
      <c r="LC16">
        <v>13.11</v>
      </c>
      <c r="LD16">
        <v>849.68</v>
      </c>
      <c r="LE16">
        <v>13.11</v>
      </c>
      <c r="LF16">
        <v>3195.33</v>
      </c>
      <c r="LG16">
        <v>815.78</v>
      </c>
      <c r="LH16">
        <v>13.11</v>
      </c>
      <c r="LI16">
        <v>6402.91</v>
      </c>
      <c r="LJ16">
        <v>559</v>
      </c>
      <c r="LK16">
        <v>745.1</v>
      </c>
      <c r="LL16">
        <v>116.85</v>
      </c>
      <c r="LM16">
        <v>13.11</v>
      </c>
      <c r="LN16">
        <v>100.26</v>
      </c>
      <c r="LO16">
        <v>56.26</v>
      </c>
      <c r="LP16">
        <v>2258.37</v>
      </c>
      <c r="LQ16">
        <v>104.59</v>
      </c>
      <c r="LR16">
        <v>222.88</v>
      </c>
      <c r="LS16">
        <v>97.37</v>
      </c>
      <c r="LT16">
        <v>40.39</v>
      </c>
      <c r="LU16">
        <v>124.06</v>
      </c>
      <c r="LV16">
        <v>142.82</v>
      </c>
      <c r="LW16">
        <v>1187.25</v>
      </c>
      <c r="LX16">
        <v>2002.31</v>
      </c>
      <c r="LY16">
        <v>1794.58</v>
      </c>
      <c r="LZ16">
        <v>3165.03</v>
      </c>
      <c r="MA16">
        <v>175.27</v>
      </c>
      <c r="MB16">
        <v>1138.92</v>
      </c>
      <c r="MC16">
        <v>590.74</v>
      </c>
      <c r="MD16">
        <v>150.75</v>
      </c>
      <c r="ME16">
        <v>114.69</v>
      </c>
      <c r="MF16">
        <v>284.91000000000003</v>
      </c>
      <c r="MG16">
        <v>3136.9</v>
      </c>
      <c r="MH16">
        <v>1101.4100000000001</v>
      </c>
      <c r="MI16">
        <v>57.7</v>
      </c>
      <c r="MJ16">
        <v>419.79</v>
      </c>
      <c r="MK16">
        <v>18.03</v>
      </c>
      <c r="ML16">
        <v>936.24</v>
      </c>
      <c r="MM16">
        <v>1013.42</v>
      </c>
      <c r="MN16">
        <v>292.83999999999997</v>
      </c>
      <c r="MO16">
        <v>16.59</v>
      </c>
      <c r="MP16">
        <v>84.39</v>
      </c>
      <c r="MQ16">
        <v>111.08</v>
      </c>
      <c r="MR16">
        <v>13.11</v>
      </c>
      <c r="MS16">
        <v>330.35</v>
      </c>
      <c r="MT16">
        <v>1128.0999999999999</v>
      </c>
      <c r="MU16">
        <v>35.340000000000003</v>
      </c>
      <c r="MV16">
        <v>108.19</v>
      </c>
      <c r="MW16">
        <v>114.69</v>
      </c>
      <c r="MX16">
        <v>150.03</v>
      </c>
      <c r="MY16">
        <v>41.11</v>
      </c>
      <c r="MZ16">
        <v>131.28</v>
      </c>
      <c r="NA16">
        <v>26.69</v>
      </c>
      <c r="NB16">
        <v>146.41999999999999</v>
      </c>
      <c r="NC16">
        <v>234.42</v>
      </c>
      <c r="ND16">
        <v>241.63</v>
      </c>
      <c r="NE16">
        <v>389.5</v>
      </c>
      <c r="NF16">
        <v>45.44</v>
      </c>
      <c r="NG16">
        <v>21.64</v>
      </c>
      <c r="NH16">
        <v>116.13</v>
      </c>
      <c r="NI16">
        <v>700.37</v>
      </c>
      <c r="NJ16">
        <v>213.5</v>
      </c>
      <c r="NK16">
        <v>128.38999999999999</v>
      </c>
      <c r="NL16">
        <v>232.26</v>
      </c>
      <c r="NM16">
        <v>1659.69</v>
      </c>
      <c r="NN16">
        <v>134.16</v>
      </c>
      <c r="NO16">
        <v>23.8</v>
      </c>
      <c r="NP16">
        <v>13.11</v>
      </c>
      <c r="NQ16">
        <v>6156.23</v>
      </c>
      <c r="NR16">
        <v>227.21</v>
      </c>
      <c r="NS16">
        <v>422.68</v>
      </c>
      <c r="NT16">
        <v>360.65</v>
      </c>
      <c r="NU16">
        <v>1618.58</v>
      </c>
      <c r="NV16">
        <v>416.91</v>
      </c>
      <c r="NW16">
        <v>167.34</v>
      </c>
      <c r="NX16">
        <v>421.96</v>
      </c>
      <c r="NY16">
        <v>49.77</v>
      </c>
      <c r="NZ16">
        <v>323.86</v>
      </c>
      <c r="OA16">
        <v>155.80000000000001</v>
      </c>
      <c r="OB16">
        <v>538.08000000000004</v>
      </c>
      <c r="OC16">
        <v>1035.05</v>
      </c>
      <c r="OD16">
        <v>125.5</v>
      </c>
      <c r="OE16">
        <v>522.22</v>
      </c>
      <c r="OF16">
        <v>79.34</v>
      </c>
      <c r="OG16">
        <v>827.32</v>
      </c>
      <c r="OH16">
        <v>137.05000000000001</v>
      </c>
      <c r="OI16">
        <v>109.64</v>
      </c>
      <c r="OJ16">
        <v>44.72</v>
      </c>
      <c r="OK16">
        <v>1172.82</v>
      </c>
      <c r="OL16">
        <v>261.11</v>
      </c>
      <c r="OM16">
        <v>430.61</v>
      </c>
      <c r="ON16">
        <v>132.72</v>
      </c>
      <c r="OO16">
        <v>900.89</v>
      </c>
      <c r="OP16">
        <v>225.76</v>
      </c>
      <c r="OQ16">
        <v>450.09</v>
      </c>
      <c r="OR16">
        <v>30.29</v>
      </c>
      <c r="OS16">
        <v>527.99</v>
      </c>
      <c r="OT16">
        <v>270.48</v>
      </c>
      <c r="OU16">
        <v>115.41</v>
      </c>
      <c r="OV16">
        <v>332.52</v>
      </c>
      <c r="OW16">
        <v>13.11</v>
      </c>
      <c r="OX16">
        <v>51.21</v>
      </c>
      <c r="OY16">
        <v>144.97999999999999</v>
      </c>
      <c r="OZ16">
        <v>59.15</v>
      </c>
      <c r="PA16">
        <v>28.85</v>
      </c>
      <c r="PB16">
        <v>59.15</v>
      </c>
      <c r="PC16">
        <v>20.92</v>
      </c>
      <c r="PD16">
        <v>100.98</v>
      </c>
      <c r="PE16">
        <v>48.33</v>
      </c>
      <c r="PF16">
        <v>353.43</v>
      </c>
      <c r="PG16">
        <v>57.7</v>
      </c>
      <c r="PH16">
        <v>61.31</v>
      </c>
      <c r="PI16">
        <v>58.42</v>
      </c>
      <c r="PJ16">
        <v>1166.33</v>
      </c>
      <c r="PK16">
        <v>2786.35</v>
      </c>
      <c r="PL16">
        <v>71.41</v>
      </c>
      <c r="PM16">
        <v>10034.620000000001</v>
      </c>
      <c r="PN16">
        <v>849.68</v>
      </c>
      <c r="PO16">
        <v>44.72</v>
      </c>
      <c r="PP16">
        <v>1851.56</v>
      </c>
      <c r="PQ16">
        <v>61.31</v>
      </c>
      <c r="PR16">
        <v>13.11</v>
      </c>
      <c r="PS16">
        <v>25.25</v>
      </c>
      <c r="PT16">
        <v>26.69</v>
      </c>
      <c r="PU16">
        <v>273.37</v>
      </c>
      <c r="PV16">
        <v>124.78</v>
      </c>
      <c r="PW16">
        <v>211.34</v>
      </c>
      <c r="PX16">
        <v>14.43</v>
      </c>
      <c r="PY16">
        <v>412.58</v>
      </c>
      <c r="PZ16">
        <v>126.23</v>
      </c>
      <c r="QA16">
        <v>440.71</v>
      </c>
      <c r="QB16">
        <v>11015.58</v>
      </c>
      <c r="QC16">
        <v>56.26</v>
      </c>
      <c r="QD16">
        <v>58.42</v>
      </c>
      <c r="QE16">
        <v>303.66000000000003</v>
      </c>
      <c r="QF16">
        <v>46.16</v>
      </c>
      <c r="QG16">
        <v>25.25</v>
      </c>
      <c r="QH16">
        <v>36.79</v>
      </c>
      <c r="QI16">
        <v>39.67</v>
      </c>
      <c r="QJ16">
        <v>128.38999999999999</v>
      </c>
      <c r="QK16">
        <v>18.75</v>
      </c>
      <c r="QL16">
        <v>306.55</v>
      </c>
      <c r="QM16">
        <v>577.03</v>
      </c>
      <c r="QN16">
        <v>564.04999999999995</v>
      </c>
      <c r="QO16">
        <v>36.06</v>
      </c>
      <c r="QP16">
        <v>52.65</v>
      </c>
      <c r="QQ16">
        <v>230.81</v>
      </c>
      <c r="QR16">
        <v>28.13</v>
      </c>
      <c r="QS16">
        <v>685.95</v>
      </c>
      <c r="QT16">
        <v>572.71</v>
      </c>
      <c r="QU16">
        <v>46.16</v>
      </c>
      <c r="QV16">
        <v>82.23</v>
      </c>
      <c r="QW16">
        <v>99.54</v>
      </c>
      <c r="QX16">
        <v>115.41</v>
      </c>
      <c r="QY16">
        <v>53.38</v>
      </c>
      <c r="QZ16">
        <v>54.1</v>
      </c>
      <c r="RA16">
        <v>200.52</v>
      </c>
      <c r="RB16">
        <v>12049.91</v>
      </c>
      <c r="RC16">
        <v>460.91</v>
      </c>
      <c r="RD16">
        <v>1601.27</v>
      </c>
      <c r="RE16">
        <v>43.28</v>
      </c>
      <c r="RF16">
        <v>95.21</v>
      </c>
      <c r="RG16">
        <v>207.01</v>
      </c>
      <c r="RH16">
        <v>157.24</v>
      </c>
      <c r="RI16">
        <v>25.25</v>
      </c>
      <c r="RJ16">
        <v>188.98</v>
      </c>
      <c r="RK16">
        <v>86.56</v>
      </c>
      <c r="RL16">
        <v>152.91</v>
      </c>
      <c r="RM16">
        <v>147.86000000000001</v>
      </c>
      <c r="RN16">
        <v>148.59</v>
      </c>
      <c r="RO16">
        <v>372.19</v>
      </c>
      <c r="RP16">
        <v>204.85</v>
      </c>
      <c r="RQ16">
        <v>520.04999999999995</v>
      </c>
      <c r="RR16">
        <v>25.25</v>
      </c>
      <c r="RS16">
        <v>359.92</v>
      </c>
      <c r="RT16">
        <v>344.06</v>
      </c>
      <c r="RU16">
        <v>25.97</v>
      </c>
      <c r="RV16">
        <v>26.69</v>
      </c>
      <c r="RW16">
        <v>249.57</v>
      </c>
      <c r="RX16">
        <v>671.52</v>
      </c>
      <c r="RY16">
        <v>781.88</v>
      </c>
      <c r="RZ16">
        <v>42.56</v>
      </c>
      <c r="SA16">
        <v>232.26</v>
      </c>
      <c r="SB16">
        <v>48.33</v>
      </c>
      <c r="SC16">
        <v>90.88</v>
      </c>
      <c r="SD16">
        <v>1407.24</v>
      </c>
      <c r="SE16">
        <v>524.38</v>
      </c>
      <c r="SF16">
        <v>496.97</v>
      </c>
      <c r="SG16">
        <v>6822.7</v>
      </c>
      <c r="SH16">
        <v>101.7</v>
      </c>
      <c r="SI16">
        <v>51.21</v>
      </c>
      <c r="SJ16">
        <v>194.75</v>
      </c>
      <c r="SK16">
        <v>93.05</v>
      </c>
      <c r="SL16">
        <v>98.1</v>
      </c>
      <c r="SM16">
        <v>26.69</v>
      </c>
      <c r="SN16">
        <v>279.14</v>
      </c>
      <c r="SO16">
        <v>13.11</v>
      </c>
      <c r="SP16">
        <v>70.69</v>
      </c>
      <c r="SQ16">
        <v>632.57000000000005</v>
      </c>
      <c r="SR16">
        <v>432.05</v>
      </c>
      <c r="SS16">
        <v>496.25</v>
      </c>
      <c r="ST16">
        <v>578.48</v>
      </c>
      <c r="SU16">
        <v>708.31</v>
      </c>
      <c r="SV16">
        <v>150.75</v>
      </c>
      <c r="SW16">
        <v>375.79</v>
      </c>
      <c r="SX16">
        <v>140.65</v>
      </c>
      <c r="SY16">
        <v>132</v>
      </c>
      <c r="SZ16">
        <v>13.11</v>
      </c>
      <c r="TA16">
        <v>33.9</v>
      </c>
      <c r="TB16">
        <v>1982.83</v>
      </c>
      <c r="TC16">
        <v>1207.44</v>
      </c>
      <c r="TD16">
        <v>51.21</v>
      </c>
      <c r="TE16">
        <v>329.63</v>
      </c>
      <c r="TF16">
        <v>265.44</v>
      </c>
      <c r="TG16">
        <v>427.73</v>
      </c>
      <c r="TH16">
        <v>188.26</v>
      </c>
      <c r="TI16">
        <v>178.16</v>
      </c>
      <c r="TJ16">
        <v>28.13</v>
      </c>
      <c r="TK16">
        <v>78.62</v>
      </c>
      <c r="TL16">
        <v>71.41</v>
      </c>
      <c r="TM16">
        <v>68.52</v>
      </c>
      <c r="TN16">
        <v>491.92</v>
      </c>
      <c r="TO16">
        <v>1042.27</v>
      </c>
      <c r="TP16">
        <v>449.37</v>
      </c>
      <c r="TQ16">
        <v>260.39</v>
      </c>
      <c r="TR16">
        <v>16.59</v>
      </c>
      <c r="TS16">
        <v>337.56</v>
      </c>
      <c r="TT16">
        <v>63.47</v>
      </c>
      <c r="TU16">
        <v>54.1</v>
      </c>
      <c r="TV16">
        <v>271.20999999999998</v>
      </c>
      <c r="TW16">
        <v>358.48</v>
      </c>
      <c r="TX16">
        <v>123.34</v>
      </c>
      <c r="TY16">
        <v>116.85</v>
      </c>
      <c r="TZ16">
        <v>106.03</v>
      </c>
      <c r="UA16">
        <v>128.38999999999999</v>
      </c>
      <c r="UB16">
        <v>168.06</v>
      </c>
      <c r="UC16">
        <v>7062.17</v>
      </c>
      <c r="UD16">
        <v>36.06</v>
      </c>
      <c r="UE16">
        <v>44.72</v>
      </c>
      <c r="UF16">
        <v>1863.1</v>
      </c>
      <c r="UG16">
        <v>95.21</v>
      </c>
      <c r="UH16">
        <v>22.36</v>
      </c>
      <c r="UI16">
        <v>30.29</v>
      </c>
      <c r="UJ16">
        <v>50.49</v>
      </c>
      <c r="UK16">
        <v>34.619999999999997</v>
      </c>
      <c r="UL16">
        <v>18.03</v>
      </c>
      <c r="UM16">
        <v>47.61</v>
      </c>
      <c r="UN16">
        <v>119.01</v>
      </c>
      <c r="UO16">
        <v>90.88</v>
      </c>
      <c r="UP16">
        <v>13.11</v>
      </c>
      <c r="UQ16">
        <v>40.39</v>
      </c>
      <c r="UR16">
        <v>137.77000000000001</v>
      </c>
      <c r="US16">
        <v>88.72</v>
      </c>
      <c r="UT16">
        <v>214.22</v>
      </c>
      <c r="UU16">
        <v>590.02</v>
      </c>
      <c r="UV16">
        <v>488.31</v>
      </c>
      <c r="UW16">
        <v>380.84</v>
      </c>
      <c r="UX16">
        <v>54.82</v>
      </c>
      <c r="UY16">
        <v>363.53</v>
      </c>
      <c r="UZ16">
        <v>120.46</v>
      </c>
      <c r="VA16">
        <v>3388.63</v>
      </c>
      <c r="VB16">
        <v>740.77</v>
      </c>
      <c r="VC16">
        <v>173.83</v>
      </c>
      <c r="VD16">
        <v>72.13</v>
      </c>
      <c r="VE16">
        <v>55.54</v>
      </c>
      <c r="VF16">
        <v>232.98</v>
      </c>
      <c r="VG16">
        <v>37.51</v>
      </c>
      <c r="VH16">
        <v>31.02</v>
      </c>
      <c r="VI16">
        <v>48.33</v>
      </c>
      <c r="VJ16">
        <v>46.88</v>
      </c>
      <c r="VK16">
        <v>363.53</v>
      </c>
      <c r="VL16">
        <v>407.53</v>
      </c>
      <c r="VM16">
        <v>810.01</v>
      </c>
      <c r="VN16">
        <v>332.52</v>
      </c>
      <c r="VO16">
        <v>13.11</v>
      </c>
      <c r="VP16">
        <v>13.11</v>
      </c>
      <c r="VQ16">
        <v>828.04</v>
      </c>
      <c r="VR16">
        <v>225.04</v>
      </c>
      <c r="VS16">
        <v>584.25</v>
      </c>
      <c r="VT16">
        <v>23.8</v>
      </c>
      <c r="VU16">
        <v>33.18</v>
      </c>
      <c r="VV16">
        <v>17.309999999999999</v>
      </c>
      <c r="VW16">
        <v>198.36</v>
      </c>
      <c r="VX16">
        <v>233.7</v>
      </c>
      <c r="VY16">
        <v>20.92</v>
      </c>
      <c r="VZ16">
        <v>10021.64</v>
      </c>
      <c r="WA16">
        <v>8950.52</v>
      </c>
      <c r="WB16">
        <v>263.27</v>
      </c>
      <c r="WC16">
        <v>70.69</v>
      </c>
      <c r="WD16">
        <v>127.67</v>
      </c>
      <c r="WE16">
        <v>1618.58</v>
      </c>
      <c r="WF16">
        <v>199.8</v>
      </c>
      <c r="WG16">
        <v>284.91000000000003</v>
      </c>
      <c r="WH16">
        <v>7186.96</v>
      </c>
      <c r="WI16">
        <v>12703.4</v>
      </c>
      <c r="WJ16">
        <v>661.43</v>
      </c>
      <c r="WK16">
        <v>292.83999999999997</v>
      </c>
      <c r="WL16">
        <v>347.66</v>
      </c>
      <c r="WM16">
        <v>68.52</v>
      </c>
      <c r="WN16">
        <v>67.8</v>
      </c>
      <c r="WO16">
        <v>13.11</v>
      </c>
      <c r="WP16">
        <v>209.17</v>
      </c>
      <c r="WQ16">
        <v>519.33000000000004</v>
      </c>
      <c r="WR16">
        <v>1239.9000000000001</v>
      </c>
      <c r="WS16">
        <v>130.55000000000001</v>
      </c>
      <c r="WT16">
        <v>263.27</v>
      </c>
      <c r="WU16">
        <v>727.06</v>
      </c>
      <c r="WV16">
        <v>661.43</v>
      </c>
      <c r="WW16">
        <v>47.61</v>
      </c>
      <c r="WX16">
        <v>106.03</v>
      </c>
      <c r="WY16">
        <v>18.75</v>
      </c>
      <c r="WZ16">
        <v>41.83</v>
      </c>
      <c r="XA16">
        <v>17.309999999999999</v>
      </c>
      <c r="XB16">
        <v>366.42</v>
      </c>
      <c r="XC16">
        <v>36.79</v>
      </c>
      <c r="XD16">
        <v>226.49</v>
      </c>
      <c r="XE16">
        <v>250.29</v>
      </c>
      <c r="XF16">
        <v>936.96</v>
      </c>
      <c r="XG16">
        <v>1288.23</v>
      </c>
      <c r="XH16">
        <v>230.09</v>
      </c>
      <c r="XI16">
        <v>315.93</v>
      </c>
      <c r="XJ16">
        <v>289.95999999999998</v>
      </c>
      <c r="XK16">
        <v>570.54</v>
      </c>
      <c r="XL16">
        <v>172.39</v>
      </c>
      <c r="XM16">
        <v>88</v>
      </c>
      <c r="XN16">
        <v>153.63999999999999</v>
      </c>
      <c r="XO16">
        <v>46.16</v>
      </c>
      <c r="XP16">
        <v>129.83000000000001</v>
      </c>
      <c r="XQ16">
        <v>238.75</v>
      </c>
      <c r="XR16">
        <v>18.75</v>
      </c>
      <c r="XS16">
        <v>2952.97</v>
      </c>
      <c r="XT16">
        <v>114.69</v>
      </c>
      <c r="XU16">
        <v>346.22</v>
      </c>
      <c r="XV16">
        <v>640.51</v>
      </c>
      <c r="XW16">
        <v>1306.26</v>
      </c>
      <c r="XX16">
        <v>1291.1099999999999</v>
      </c>
      <c r="XY16">
        <v>1591.89</v>
      </c>
      <c r="XZ16">
        <v>85.83</v>
      </c>
      <c r="YA16">
        <v>575.59</v>
      </c>
      <c r="YB16">
        <v>132.72</v>
      </c>
      <c r="YC16">
        <v>66.36</v>
      </c>
      <c r="YD16">
        <v>1296.8800000000001</v>
      </c>
      <c r="YE16">
        <v>342.61</v>
      </c>
      <c r="YF16">
        <v>560.44000000000005</v>
      </c>
      <c r="YG16">
        <v>103.87</v>
      </c>
      <c r="YH16">
        <v>33.18</v>
      </c>
      <c r="YI16">
        <v>67.08</v>
      </c>
      <c r="YJ16">
        <v>333.96</v>
      </c>
      <c r="YK16">
        <v>13.11</v>
      </c>
      <c r="YL16">
        <v>293.57</v>
      </c>
      <c r="YM16">
        <v>1935.23</v>
      </c>
      <c r="YN16">
        <v>212.06</v>
      </c>
      <c r="YO16">
        <v>201.96</v>
      </c>
      <c r="YP16">
        <v>959.32</v>
      </c>
      <c r="YQ16">
        <v>143.54</v>
      </c>
      <c r="YR16">
        <v>117.57</v>
      </c>
      <c r="YS16">
        <v>3723.31</v>
      </c>
      <c r="YT16">
        <v>221.44</v>
      </c>
      <c r="YU16">
        <v>154.36000000000001</v>
      </c>
      <c r="YV16">
        <v>35.340000000000003</v>
      </c>
      <c r="YW16">
        <v>72.849999999999994</v>
      </c>
      <c r="YX16">
        <v>69.239999999999995</v>
      </c>
      <c r="YY16">
        <v>363.53</v>
      </c>
      <c r="YZ16">
        <v>38.229999999999997</v>
      </c>
      <c r="ZA16">
        <v>126.95</v>
      </c>
      <c r="ZB16">
        <v>61.31</v>
      </c>
      <c r="ZC16">
        <v>31.02</v>
      </c>
      <c r="ZD16">
        <v>127.67</v>
      </c>
      <c r="ZE16">
        <v>60.59</v>
      </c>
      <c r="ZF16">
        <v>277.7</v>
      </c>
      <c r="ZG16">
        <v>258.94</v>
      </c>
      <c r="ZH16">
        <v>115.41</v>
      </c>
      <c r="ZI16">
        <v>293.57</v>
      </c>
      <c r="ZJ16">
        <v>652.77</v>
      </c>
      <c r="ZK16">
        <v>289.95999999999998</v>
      </c>
      <c r="ZL16">
        <v>34.619999999999997</v>
      </c>
      <c r="ZM16">
        <v>225.76</v>
      </c>
      <c r="ZN16">
        <v>78.62</v>
      </c>
      <c r="ZO16">
        <v>38.950000000000003</v>
      </c>
      <c r="ZP16">
        <v>329.63</v>
      </c>
      <c r="ZQ16">
        <v>115.41</v>
      </c>
      <c r="ZR16">
        <v>24.52</v>
      </c>
      <c r="ZS16">
        <v>528.71</v>
      </c>
      <c r="ZT16">
        <v>152.19</v>
      </c>
      <c r="ZU16">
        <v>118.29</v>
      </c>
      <c r="ZV16">
        <v>16.59</v>
      </c>
      <c r="ZW16">
        <v>31.02</v>
      </c>
      <c r="ZX16">
        <v>130.55000000000001</v>
      </c>
      <c r="ZY16">
        <v>747.98</v>
      </c>
      <c r="ZZ16">
        <v>99.54</v>
      </c>
      <c r="AAA16">
        <v>35.340000000000003</v>
      </c>
      <c r="AAB16">
        <v>79.34</v>
      </c>
      <c r="AAC16">
        <v>52.65</v>
      </c>
      <c r="AAD16">
        <v>62.03</v>
      </c>
      <c r="AAE16">
        <v>40.39</v>
      </c>
      <c r="AAF16">
        <v>16.59</v>
      </c>
      <c r="AAG16">
        <v>220.72</v>
      </c>
      <c r="AAH16">
        <v>243.08</v>
      </c>
      <c r="AAI16">
        <v>2937.1</v>
      </c>
      <c r="AAJ16">
        <v>219.99</v>
      </c>
      <c r="AAK16">
        <v>343.34</v>
      </c>
      <c r="AAL16">
        <v>180.32</v>
      </c>
      <c r="AAM16">
        <v>63.47</v>
      </c>
      <c r="AAN16">
        <v>275.52999999999997</v>
      </c>
      <c r="AAO16">
        <v>47.61</v>
      </c>
      <c r="AAP16">
        <v>146.41999999999999</v>
      </c>
      <c r="AAQ16">
        <v>40.39</v>
      </c>
      <c r="AAR16">
        <v>72.849999999999994</v>
      </c>
      <c r="AAS16">
        <v>905.94</v>
      </c>
      <c r="AAT16">
        <v>51.21</v>
      </c>
      <c r="AAU16">
        <v>13.11</v>
      </c>
      <c r="AAV16">
        <v>974.47</v>
      </c>
      <c r="AAW16">
        <v>72.13</v>
      </c>
      <c r="AAX16">
        <v>71.41</v>
      </c>
      <c r="AAY16">
        <v>74.290000000000006</v>
      </c>
      <c r="AAZ16">
        <v>35.340000000000003</v>
      </c>
      <c r="ABA16">
        <v>327.47000000000003</v>
      </c>
      <c r="ABB16">
        <v>146.41999999999999</v>
      </c>
      <c r="ABC16">
        <v>1142.53</v>
      </c>
      <c r="ABD16">
        <v>962.2</v>
      </c>
      <c r="ABE16">
        <v>312.32</v>
      </c>
      <c r="ABF16">
        <v>299.33999999999997</v>
      </c>
      <c r="ABG16">
        <v>77.180000000000007</v>
      </c>
      <c r="ABH16">
        <v>84.39</v>
      </c>
      <c r="ABI16">
        <v>92.33</v>
      </c>
      <c r="ABJ16">
        <v>56.98</v>
      </c>
      <c r="ABK16">
        <v>44</v>
      </c>
      <c r="ABL16">
        <v>22.36</v>
      </c>
      <c r="ABM16">
        <v>150.03</v>
      </c>
      <c r="ABN16">
        <v>141.37</v>
      </c>
      <c r="ABO16">
        <v>15.15</v>
      </c>
      <c r="ABP16">
        <v>54.82</v>
      </c>
      <c r="ABQ16">
        <v>601.55999999999995</v>
      </c>
      <c r="ABR16">
        <v>41.83</v>
      </c>
      <c r="ABS16">
        <v>383.01</v>
      </c>
      <c r="ABT16">
        <v>28.85</v>
      </c>
      <c r="ABU16">
        <v>37.51</v>
      </c>
      <c r="ABV16">
        <v>118.29</v>
      </c>
      <c r="ABW16">
        <v>509.95</v>
      </c>
      <c r="ABX16">
        <v>830.93</v>
      </c>
      <c r="ABY16">
        <v>233.7</v>
      </c>
      <c r="ABZ16">
        <v>119.01</v>
      </c>
      <c r="ACA16">
        <v>468.12</v>
      </c>
      <c r="ACB16">
        <v>428.45</v>
      </c>
      <c r="ACC16">
        <v>136.32</v>
      </c>
      <c r="ACD16">
        <v>186.81</v>
      </c>
      <c r="ACE16">
        <v>142.09</v>
      </c>
      <c r="ACF16">
        <v>4099.83</v>
      </c>
      <c r="ACG16">
        <v>1763.56</v>
      </c>
      <c r="ACH16">
        <v>292.12</v>
      </c>
      <c r="ACI16">
        <v>348.38</v>
      </c>
      <c r="ACJ16">
        <v>484.71</v>
      </c>
      <c r="ACK16">
        <v>553.95000000000005</v>
      </c>
      <c r="ACL16">
        <v>50.49</v>
      </c>
      <c r="ACM16">
        <v>167.34</v>
      </c>
      <c r="ACN16">
        <v>275.52999999999997</v>
      </c>
      <c r="ACO16">
        <v>1025.68</v>
      </c>
      <c r="ACP16">
        <v>346.22</v>
      </c>
      <c r="ACQ16">
        <v>236.58</v>
      </c>
      <c r="ACR16">
        <v>4635.75</v>
      </c>
    </row>
    <row r="17" spans="1:772" x14ac:dyDescent="0.3">
      <c r="A17" t="s">
        <v>10</v>
      </c>
      <c r="B17" t="s">
        <v>1</v>
      </c>
      <c r="C17">
        <v>274.92</v>
      </c>
      <c r="D17">
        <v>72.77</v>
      </c>
      <c r="E17">
        <v>327.48</v>
      </c>
      <c r="F17">
        <v>36.39</v>
      </c>
      <c r="G17">
        <v>905.61</v>
      </c>
      <c r="H17">
        <v>101.07</v>
      </c>
      <c r="I17">
        <v>687.29</v>
      </c>
      <c r="J17">
        <v>11623.37</v>
      </c>
      <c r="K17">
        <v>367.9</v>
      </c>
      <c r="L17">
        <v>60.64</v>
      </c>
      <c r="M17">
        <v>198.1</v>
      </c>
      <c r="N17">
        <v>1095.6300000000001</v>
      </c>
      <c r="O17">
        <v>117.24</v>
      </c>
      <c r="P17">
        <v>278.95999999999998</v>
      </c>
      <c r="Q17">
        <v>137.46</v>
      </c>
      <c r="R17">
        <v>618.57000000000005</v>
      </c>
      <c r="S17">
        <v>68.73</v>
      </c>
      <c r="T17">
        <v>339.6</v>
      </c>
      <c r="U17">
        <v>177.89</v>
      </c>
      <c r="V17">
        <v>206.19</v>
      </c>
      <c r="W17">
        <v>658.99</v>
      </c>
      <c r="X17">
        <v>68.73</v>
      </c>
      <c r="Y17">
        <v>473.02</v>
      </c>
      <c r="Z17">
        <v>578.14</v>
      </c>
      <c r="AA17">
        <v>133.41999999999999</v>
      </c>
      <c r="AB17">
        <v>715.6</v>
      </c>
      <c r="AC17">
        <v>210.23</v>
      </c>
      <c r="AD17">
        <v>141.5</v>
      </c>
      <c r="AE17">
        <v>157.66999999999999</v>
      </c>
      <c r="AF17">
        <v>28154.83</v>
      </c>
      <c r="AG17">
        <v>105.12</v>
      </c>
      <c r="AH17">
        <v>226.4</v>
      </c>
      <c r="AI17">
        <v>68.73</v>
      </c>
      <c r="AJ17">
        <v>517.49</v>
      </c>
      <c r="AK17">
        <v>109.16</v>
      </c>
      <c r="AL17">
        <v>80.86</v>
      </c>
      <c r="AM17">
        <v>165.76</v>
      </c>
      <c r="AN17">
        <v>56.6</v>
      </c>
      <c r="AO17">
        <v>1342.25</v>
      </c>
      <c r="AP17">
        <v>60.64</v>
      </c>
      <c r="AQ17">
        <v>117.24</v>
      </c>
      <c r="AR17">
        <v>44.47</v>
      </c>
      <c r="AS17">
        <v>56.6</v>
      </c>
      <c r="AT17">
        <v>2.2799999999999998</v>
      </c>
      <c r="AU17">
        <v>48.51</v>
      </c>
      <c r="AV17">
        <v>1394.8</v>
      </c>
      <c r="AW17">
        <v>331.52</v>
      </c>
      <c r="AX17">
        <v>1884</v>
      </c>
      <c r="AY17">
        <v>28.3</v>
      </c>
      <c r="AZ17">
        <v>76.819999999999993</v>
      </c>
      <c r="BA17">
        <v>153.63</v>
      </c>
      <c r="BB17">
        <v>1034.98</v>
      </c>
      <c r="BC17">
        <v>60.64</v>
      </c>
      <c r="BD17">
        <v>2.2799999999999998</v>
      </c>
      <c r="BE17">
        <v>121.29</v>
      </c>
      <c r="BF17">
        <v>206.19</v>
      </c>
      <c r="BG17">
        <v>56.6</v>
      </c>
      <c r="BH17">
        <v>56.6</v>
      </c>
      <c r="BI17">
        <v>28.3</v>
      </c>
      <c r="BJ17">
        <v>56.6</v>
      </c>
      <c r="BK17">
        <v>68.73</v>
      </c>
      <c r="BL17">
        <v>359.82</v>
      </c>
      <c r="BM17">
        <v>28.3</v>
      </c>
      <c r="BN17">
        <v>76.819999999999993</v>
      </c>
      <c r="BO17">
        <v>56.6</v>
      </c>
      <c r="BP17">
        <v>20.21</v>
      </c>
      <c r="BQ17">
        <v>16.170000000000002</v>
      </c>
      <c r="BR17">
        <v>101.07</v>
      </c>
      <c r="BS17">
        <v>28.3</v>
      </c>
      <c r="BT17">
        <v>283</v>
      </c>
      <c r="BU17">
        <v>88.94</v>
      </c>
      <c r="BV17">
        <v>60.64</v>
      </c>
      <c r="BW17">
        <v>149.59</v>
      </c>
      <c r="BX17">
        <v>485.15</v>
      </c>
      <c r="BY17">
        <v>303.22000000000003</v>
      </c>
      <c r="BZ17">
        <v>711.55</v>
      </c>
      <c r="CA17">
        <v>72.77</v>
      </c>
      <c r="CB17">
        <v>64.69</v>
      </c>
      <c r="CC17">
        <v>125.33</v>
      </c>
      <c r="CD17">
        <v>76.819999999999993</v>
      </c>
      <c r="CE17">
        <v>206.19</v>
      </c>
      <c r="CF17">
        <v>347.69</v>
      </c>
      <c r="CG17">
        <v>64.69</v>
      </c>
      <c r="CH17">
        <v>436.63</v>
      </c>
      <c r="CI17">
        <v>36.39</v>
      </c>
      <c r="CJ17">
        <v>44.47</v>
      </c>
      <c r="CK17">
        <v>52.56</v>
      </c>
      <c r="CL17">
        <v>88.94</v>
      </c>
      <c r="CM17">
        <v>258.75</v>
      </c>
      <c r="CN17">
        <v>32.340000000000003</v>
      </c>
      <c r="CO17">
        <v>52.56</v>
      </c>
      <c r="CP17">
        <v>16.170000000000002</v>
      </c>
      <c r="CQ17">
        <v>32.340000000000003</v>
      </c>
      <c r="CR17">
        <v>44.47</v>
      </c>
      <c r="CS17">
        <v>12.13</v>
      </c>
      <c r="CT17">
        <v>24.26</v>
      </c>
      <c r="CU17">
        <v>60.64</v>
      </c>
      <c r="CV17">
        <v>133.41999999999999</v>
      </c>
      <c r="CW17">
        <v>1293.73</v>
      </c>
      <c r="CX17">
        <v>52.56</v>
      </c>
      <c r="CY17">
        <v>141.5</v>
      </c>
      <c r="CZ17">
        <v>48.51</v>
      </c>
      <c r="DA17">
        <v>16.170000000000002</v>
      </c>
      <c r="DB17">
        <v>56.6</v>
      </c>
      <c r="DC17">
        <v>44.47</v>
      </c>
      <c r="DD17">
        <v>32.340000000000003</v>
      </c>
      <c r="DE17">
        <v>48.51</v>
      </c>
      <c r="DF17">
        <v>157.66999999999999</v>
      </c>
      <c r="DG17">
        <v>20.21</v>
      </c>
      <c r="DH17">
        <v>2490.4299999999998</v>
      </c>
      <c r="DI17">
        <v>12.13</v>
      </c>
      <c r="DJ17">
        <v>16.170000000000002</v>
      </c>
      <c r="DK17">
        <v>72.77</v>
      </c>
      <c r="DL17">
        <v>711.55</v>
      </c>
      <c r="DM17">
        <v>28.3</v>
      </c>
      <c r="DN17">
        <v>20.21</v>
      </c>
      <c r="DO17">
        <v>76.819999999999993</v>
      </c>
      <c r="DP17">
        <v>68.73</v>
      </c>
      <c r="DQ17">
        <v>2183.17</v>
      </c>
      <c r="DR17">
        <v>56.6</v>
      </c>
      <c r="DS17">
        <v>12.13</v>
      </c>
      <c r="DT17">
        <v>64.69</v>
      </c>
      <c r="DU17">
        <v>2045.71</v>
      </c>
      <c r="DV17">
        <v>2.2799999999999998</v>
      </c>
      <c r="DW17">
        <v>36.39</v>
      </c>
      <c r="DX17">
        <v>92.99</v>
      </c>
      <c r="DY17">
        <v>40.43</v>
      </c>
      <c r="DZ17">
        <v>97.03</v>
      </c>
      <c r="EA17">
        <v>80.86</v>
      </c>
      <c r="EB17">
        <v>52.56</v>
      </c>
      <c r="EC17">
        <v>20.21</v>
      </c>
      <c r="ED17">
        <v>113.2</v>
      </c>
      <c r="EE17">
        <v>2.2799999999999998</v>
      </c>
      <c r="EF17">
        <v>7123.61</v>
      </c>
      <c r="EG17">
        <v>1030.94</v>
      </c>
      <c r="EH17">
        <v>72.77</v>
      </c>
      <c r="EI17">
        <v>60.64</v>
      </c>
      <c r="EJ17">
        <v>428.55</v>
      </c>
      <c r="EK17">
        <v>173.85</v>
      </c>
      <c r="EL17">
        <v>4305.7</v>
      </c>
      <c r="EM17">
        <v>287.05</v>
      </c>
      <c r="EN17">
        <v>218.32</v>
      </c>
      <c r="EO17">
        <v>1512.05</v>
      </c>
      <c r="EP17">
        <v>125.33</v>
      </c>
      <c r="EQ17">
        <v>2603.63</v>
      </c>
      <c r="ER17">
        <v>2.2799999999999998</v>
      </c>
      <c r="ES17">
        <v>32.340000000000003</v>
      </c>
      <c r="ET17">
        <v>24.26</v>
      </c>
      <c r="EU17">
        <v>327.48</v>
      </c>
      <c r="EV17">
        <v>60.64</v>
      </c>
      <c r="EW17">
        <v>40.43</v>
      </c>
      <c r="EX17">
        <v>72.77</v>
      </c>
      <c r="EY17">
        <v>101.07</v>
      </c>
      <c r="EZ17">
        <v>60.64</v>
      </c>
      <c r="FA17">
        <v>129.37</v>
      </c>
      <c r="FB17">
        <v>16.170000000000002</v>
      </c>
      <c r="FC17">
        <v>113.2</v>
      </c>
      <c r="FD17">
        <v>88.94</v>
      </c>
      <c r="FE17">
        <v>2805.78</v>
      </c>
      <c r="FF17">
        <v>60.64</v>
      </c>
      <c r="FG17">
        <v>1152.23</v>
      </c>
      <c r="FH17">
        <v>2316.59</v>
      </c>
      <c r="FI17">
        <v>24.26</v>
      </c>
      <c r="FJ17">
        <v>84.9</v>
      </c>
      <c r="FK17">
        <v>1447.36</v>
      </c>
      <c r="FL17">
        <v>56.6</v>
      </c>
      <c r="FM17">
        <v>206.19</v>
      </c>
      <c r="FN17">
        <v>113.2</v>
      </c>
      <c r="FO17">
        <v>36.39</v>
      </c>
      <c r="FP17">
        <v>16.170000000000002</v>
      </c>
      <c r="FQ17">
        <v>36.39</v>
      </c>
      <c r="FR17">
        <v>12.13</v>
      </c>
      <c r="FS17">
        <v>2.2799999999999998</v>
      </c>
      <c r="FT17">
        <v>72.77</v>
      </c>
      <c r="FU17">
        <v>2146.79</v>
      </c>
      <c r="FV17">
        <v>828.8</v>
      </c>
      <c r="FW17">
        <v>68.73</v>
      </c>
      <c r="FX17">
        <v>101.07</v>
      </c>
      <c r="FY17">
        <v>52.56</v>
      </c>
      <c r="FZ17">
        <v>436.63</v>
      </c>
      <c r="GA17">
        <v>137.46</v>
      </c>
      <c r="GB17">
        <v>36.39</v>
      </c>
      <c r="GC17">
        <v>2.2799999999999998</v>
      </c>
      <c r="GD17">
        <v>40.43</v>
      </c>
      <c r="GE17">
        <v>384.08</v>
      </c>
      <c r="GF17">
        <v>177.89</v>
      </c>
      <c r="GG17">
        <v>311.3</v>
      </c>
      <c r="GH17">
        <v>198.1</v>
      </c>
      <c r="GI17">
        <v>824.75</v>
      </c>
      <c r="GJ17">
        <v>60.64</v>
      </c>
      <c r="GK17">
        <v>2175.09</v>
      </c>
      <c r="GL17">
        <v>218.32</v>
      </c>
      <c r="GM17">
        <v>76.819999999999993</v>
      </c>
      <c r="GN17">
        <v>44.47</v>
      </c>
      <c r="GO17">
        <v>198.1</v>
      </c>
      <c r="GP17">
        <v>76.819999999999993</v>
      </c>
      <c r="GQ17">
        <v>60.64</v>
      </c>
      <c r="GR17">
        <v>287.05</v>
      </c>
      <c r="GS17">
        <v>230.45</v>
      </c>
      <c r="GT17">
        <v>408.33</v>
      </c>
      <c r="GU17">
        <v>44.47</v>
      </c>
      <c r="GV17">
        <v>121.29</v>
      </c>
      <c r="GW17">
        <v>137.46</v>
      </c>
      <c r="GX17">
        <v>226.4</v>
      </c>
      <c r="GY17">
        <v>101.07</v>
      </c>
      <c r="GZ17">
        <v>109.16</v>
      </c>
      <c r="HA17">
        <v>266.83</v>
      </c>
      <c r="HB17">
        <v>343.65</v>
      </c>
      <c r="HC17">
        <v>109.16</v>
      </c>
      <c r="HD17">
        <v>2724.92</v>
      </c>
      <c r="HE17">
        <v>24.26</v>
      </c>
      <c r="HF17">
        <v>4718.08</v>
      </c>
      <c r="HG17">
        <v>157.66999999999999</v>
      </c>
      <c r="HH17">
        <v>137.46</v>
      </c>
      <c r="HI17">
        <v>40.43</v>
      </c>
      <c r="HJ17">
        <v>250.66</v>
      </c>
      <c r="HK17">
        <v>1964.85</v>
      </c>
      <c r="HL17">
        <v>303.22000000000003</v>
      </c>
      <c r="HM17">
        <v>92.99</v>
      </c>
      <c r="HN17">
        <v>1875.91</v>
      </c>
      <c r="HO17">
        <v>121.29</v>
      </c>
      <c r="HP17">
        <v>68.73</v>
      </c>
      <c r="HQ17">
        <v>6040.11</v>
      </c>
      <c r="HR17">
        <v>125.33</v>
      </c>
      <c r="HS17">
        <v>20.21</v>
      </c>
      <c r="HT17">
        <v>194.06</v>
      </c>
      <c r="HU17">
        <v>157.66999999999999</v>
      </c>
      <c r="HV17">
        <v>64.69</v>
      </c>
      <c r="HW17">
        <v>8372.8700000000008</v>
      </c>
      <c r="HX17">
        <v>68.73</v>
      </c>
      <c r="HY17">
        <v>24.26</v>
      </c>
      <c r="HZ17">
        <v>202.15</v>
      </c>
      <c r="IA17">
        <v>760.07</v>
      </c>
      <c r="IB17">
        <v>84.9</v>
      </c>
      <c r="IC17">
        <v>72.77</v>
      </c>
      <c r="ID17">
        <v>56.6</v>
      </c>
      <c r="IE17">
        <v>2.2799999999999998</v>
      </c>
      <c r="IF17">
        <v>291.08999999999997</v>
      </c>
      <c r="IG17">
        <v>48.51</v>
      </c>
      <c r="IH17">
        <v>2.2799999999999998</v>
      </c>
      <c r="II17">
        <v>262.79000000000002</v>
      </c>
      <c r="IJ17">
        <v>121.29</v>
      </c>
      <c r="IK17">
        <v>12.13</v>
      </c>
      <c r="IL17">
        <v>529.62</v>
      </c>
      <c r="IM17">
        <v>145.54</v>
      </c>
      <c r="IN17">
        <v>117.24</v>
      </c>
      <c r="IO17">
        <v>177.89</v>
      </c>
      <c r="IP17">
        <v>84.9</v>
      </c>
      <c r="IQ17">
        <v>28.3</v>
      </c>
      <c r="IR17">
        <v>40.43</v>
      </c>
      <c r="IS17">
        <v>32.340000000000003</v>
      </c>
      <c r="IT17">
        <v>84.9</v>
      </c>
      <c r="IU17">
        <v>230.45</v>
      </c>
      <c r="IV17">
        <v>238.53</v>
      </c>
      <c r="IW17">
        <v>125.33</v>
      </c>
      <c r="IX17">
        <v>6416.1</v>
      </c>
      <c r="IY17">
        <v>48.51</v>
      </c>
      <c r="IZ17">
        <v>36.39</v>
      </c>
      <c r="JA17">
        <v>121.29</v>
      </c>
      <c r="JB17">
        <v>206.19</v>
      </c>
      <c r="JC17">
        <v>76.819999999999993</v>
      </c>
      <c r="JD17">
        <v>161.72</v>
      </c>
      <c r="JE17">
        <v>68.73</v>
      </c>
      <c r="JF17">
        <v>48.51</v>
      </c>
      <c r="JG17">
        <v>52.56</v>
      </c>
      <c r="JH17">
        <v>190.02</v>
      </c>
      <c r="JI17">
        <v>533.66</v>
      </c>
      <c r="JJ17">
        <v>64.69</v>
      </c>
      <c r="JK17">
        <v>64.69</v>
      </c>
      <c r="JL17">
        <v>80.86</v>
      </c>
      <c r="JM17">
        <v>28.3</v>
      </c>
      <c r="JN17">
        <v>48.51</v>
      </c>
      <c r="JO17">
        <v>695.38</v>
      </c>
      <c r="JP17">
        <v>359.82</v>
      </c>
      <c r="JQ17">
        <v>1055.2</v>
      </c>
      <c r="JR17">
        <v>24.26</v>
      </c>
      <c r="JS17">
        <v>48.51</v>
      </c>
      <c r="JT17">
        <v>141.5</v>
      </c>
      <c r="JU17">
        <v>76.819999999999993</v>
      </c>
      <c r="JV17">
        <v>347.69</v>
      </c>
      <c r="JW17">
        <v>129.37</v>
      </c>
      <c r="JX17">
        <v>72.77</v>
      </c>
      <c r="JY17">
        <v>80.86</v>
      </c>
      <c r="JZ17">
        <v>2.2799999999999998</v>
      </c>
      <c r="KA17">
        <v>2.2799999999999998</v>
      </c>
      <c r="KB17">
        <v>44.47</v>
      </c>
      <c r="KC17">
        <v>16.170000000000002</v>
      </c>
      <c r="KD17">
        <v>16.170000000000002</v>
      </c>
      <c r="KE17">
        <v>97.03</v>
      </c>
      <c r="KF17">
        <v>64.69</v>
      </c>
      <c r="KG17">
        <v>153.63</v>
      </c>
      <c r="KH17">
        <v>52.56</v>
      </c>
      <c r="KI17">
        <v>371.95</v>
      </c>
      <c r="KJ17">
        <v>60.64</v>
      </c>
      <c r="KK17">
        <v>141.5</v>
      </c>
      <c r="KL17">
        <v>101.07</v>
      </c>
      <c r="KM17">
        <v>52.56</v>
      </c>
      <c r="KN17">
        <v>64.69</v>
      </c>
      <c r="KO17">
        <v>1026.9000000000001</v>
      </c>
      <c r="KP17">
        <v>149.59</v>
      </c>
      <c r="KQ17">
        <v>4867.66</v>
      </c>
      <c r="KR17">
        <v>367.9</v>
      </c>
      <c r="KS17">
        <v>1928.47</v>
      </c>
      <c r="KT17">
        <v>18868.259999999998</v>
      </c>
      <c r="KU17">
        <v>39212.18</v>
      </c>
      <c r="KV17">
        <v>4685.7299999999996</v>
      </c>
      <c r="KW17">
        <v>80.86</v>
      </c>
      <c r="KX17">
        <v>181.93</v>
      </c>
      <c r="KY17">
        <v>76.819999999999993</v>
      </c>
      <c r="KZ17">
        <v>36.39</v>
      </c>
      <c r="LA17">
        <v>335.56</v>
      </c>
      <c r="LB17">
        <v>424.51</v>
      </c>
      <c r="LC17">
        <v>760.07</v>
      </c>
      <c r="LD17">
        <v>2.2799999999999998</v>
      </c>
      <c r="LE17">
        <v>392.16</v>
      </c>
      <c r="LF17">
        <v>1034.98</v>
      </c>
      <c r="LG17">
        <v>1374.59</v>
      </c>
      <c r="LH17">
        <v>375.99</v>
      </c>
      <c r="LI17">
        <v>10932.03</v>
      </c>
      <c r="LJ17">
        <v>784.32</v>
      </c>
      <c r="LK17">
        <v>780.28</v>
      </c>
      <c r="LL17">
        <v>121.29</v>
      </c>
      <c r="LM17">
        <v>44.47</v>
      </c>
      <c r="LN17">
        <v>177.89</v>
      </c>
      <c r="LO17">
        <v>32.340000000000003</v>
      </c>
      <c r="LP17">
        <v>707.51</v>
      </c>
      <c r="LQ17">
        <v>72.77</v>
      </c>
      <c r="LR17">
        <v>64.69</v>
      </c>
      <c r="LS17">
        <v>48.51</v>
      </c>
      <c r="LT17">
        <v>28.3</v>
      </c>
      <c r="LU17">
        <v>68.73</v>
      </c>
      <c r="LV17">
        <v>153.63</v>
      </c>
      <c r="LW17">
        <v>226.4</v>
      </c>
      <c r="LX17">
        <v>2450</v>
      </c>
      <c r="LY17">
        <v>509.41</v>
      </c>
      <c r="LZ17">
        <v>9622.1299999999992</v>
      </c>
      <c r="MA17">
        <v>76.819999999999993</v>
      </c>
      <c r="MB17">
        <v>1912.3</v>
      </c>
      <c r="MC17">
        <v>384.08</v>
      </c>
      <c r="MD17">
        <v>68.73</v>
      </c>
      <c r="ME17">
        <v>117.24</v>
      </c>
      <c r="MF17">
        <v>190.02</v>
      </c>
      <c r="MG17">
        <v>1588.86</v>
      </c>
      <c r="MH17">
        <v>618.57000000000005</v>
      </c>
      <c r="MI17">
        <v>97.03</v>
      </c>
      <c r="MJ17">
        <v>242.57</v>
      </c>
      <c r="MK17">
        <v>12.13</v>
      </c>
      <c r="ML17">
        <v>671.12</v>
      </c>
      <c r="MM17">
        <v>857.1</v>
      </c>
      <c r="MN17">
        <v>343.65</v>
      </c>
      <c r="MO17">
        <v>36.39</v>
      </c>
      <c r="MP17">
        <v>80.86</v>
      </c>
      <c r="MQ17">
        <v>161.72</v>
      </c>
      <c r="MR17">
        <v>20.21</v>
      </c>
      <c r="MS17">
        <v>226.4</v>
      </c>
      <c r="MT17">
        <v>840.93</v>
      </c>
      <c r="MU17">
        <v>72.77</v>
      </c>
      <c r="MV17">
        <v>72.77</v>
      </c>
      <c r="MW17">
        <v>48.51</v>
      </c>
      <c r="MX17">
        <v>40.43</v>
      </c>
      <c r="MY17">
        <v>64.69</v>
      </c>
      <c r="MZ17">
        <v>185.97</v>
      </c>
      <c r="NA17">
        <v>72.77</v>
      </c>
      <c r="NB17">
        <v>400.25</v>
      </c>
      <c r="NC17">
        <v>485.15</v>
      </c>
      <c r="ND17">
        <v>2757.26</v>
      </c>
      <c r="NE17">
        <v>1168.4000000000001</v>
      </c>
      <c r="NF17">
        <v>68.73</v>
      </c>
      <c r="NG17">
        <v>12.13</v>
      </c>
      <c r="NH17">
        <v>266.83</v>
      </c>
      <c r="NI17">
        <v>493.24</v>
      </c>
      <c r="NJ17">
        <v>177.89</v>
      </c>
      <c r="NK17">
        <v>97.03</v>
      </c>
      <c r="NL17">
        <v>149.59</v>
      </c>
      <c r="NM17">
        <v>1475.66</v>
      </c>
      <c r="NN17">
        <v>214.27</v>
      </c>
      <c r="NO17">
        <v>60.64</v>
      </c>
      <c r="NP17">
        <v>12.13</v>
      </c>
      <c r="NQ17">
        <v>270.87</v>
      </c>
      <c r="NR17">
        <v>630.69000000000005</v>
      </c>
      <c r="NS17">
        <v>254.7</v>
      </c>
      <c r="NT17">
        <v>371.95</v>
      </c>
      <c r="NU17">
        <v>420.46</v>
      </c>
      <c r="NV17">
        <v>246.62</v>
      </c>
      <c r="NW17">
        <v>117.24</v>
      </c>
      <c r="NX17">
        <v>105.12</v>
      </c>
      <c r="NY17">
        <v>56.6</v>
      </c>
      <c r="NZ17">
        <v>468.98</v>
      </c>
      <c r="OA17">
        <v>64.69</v>
      </c>
      <c r="OB17">
        <v>493.24</v>
      </c>
      <c r="OC17">
        <v>1245.22</v>
      </c>
      <c r="OD17">
        <v>68.73</v>
      </c>
      <c r="OE17">
        <v>2179.13</v>
      </c>
      <c r="OF17">
        <v>24.26</v>
      </c>
      <c r="OG17">
        <v>2195.3000000000002</v>
      </c>
      <c r="OH17">
        <v>101.07</v>
      </c>
      <c r="OI17">
        <v>80.86</v>
      </c>
      <c r="OJ17">
        <v>20.21</v>
      </c>
      <c r="OK17">
        <v>1225</v>
      </c>
      <c r="OL17">
        <v>258.75</v>
      </c>
      <c r="OM17">
        <v>287.05</v>
      </c>
      <c r="ON17">
        <v>121.29</v>
      </c>
      <c r="OO17">
        <v>291.08999999999997</v>
      </c>
      <c r="OP17">
        <v>169.8</v>
      </c>
      <c r="OQ17">
        <v>485.15</v>
      </c>
      <c r="OR17">
        <v>72.77</v>
      </c>
      <c r="OS17">
        <v>574.09</v>
      </c>
      <c r="OT17">
        <v>246.62</v>
      </c>
      <c r="OU17">
        <v>92.99</v>
      </c>
      <c r="OV17">
        <v>804.54</v>
      </c>
      <c r="OW17">
        <v>2.2799999999999998</v>
      </c>
      <c r="OX17">
        <v>32.340000000000003</v>
      </c>
      <c r="OY17">
        <v>234.49</v>
      </c>
      <c r="OZ17">
        <v>92.99</v>
      </c>
      <c r="PA17">
        <v>40.43</v>
      </c>
      <c r="PB17">
        <v>44.47</v>
      </c>
      <c r="PC17">
        <v>12.13</v>
      </c>
      <c r="PD17">
        <v>68.73</v>
      </c>
      <c r="PE17">
        <v>44.47</v>
      </c>
      <c r="PF17">
        <v>274.92</v>
      </c>
      <c r="PG17">
        <v>32.340000000000003</v>
      </c>
      <c r="PH17">
        <v>56.6</v>
      </c>
      <c r="PI17">
        <v>76.819999999999993</v>
      </c>
      <c r="PJ17">
        <v>9116.76</v>
      </c>
      <c r="PK17">
        <v>13507.36</v>
      </c>
      <c r="PL17">
        <v>101.07</v>
      </c>
      <c r="PM17">
        <v>9848.5300000000007</v>
      </c>
      <c r="PN17">
        <v>266.83</v>
      </c>
      <c r="PO17">
        <v>113.2</v>
      </c>
      <c r="PP17">
        <v>347.69</v>
      </c>
      <c r="PQ17">
        <v>133.41999999999999</v>
      </c>
      <c r="PR17">
        <v>80.86</v>
      </c>
      <c r="PS17">
        <v>88.94</v>
      </c>
      <c r="PT17">
        <v>44.47</v>
      </c>
      <c r="PU17">
        <v>84.9</v>
      </c>
      <c r="PV17">
        <v>101.07</v>
      </c>
      <c r="PW17">
        <v>169.8</v>
      </c>
      <c r="PX17">
        <v>12.13</v>
      </c>
      <c r="PY17">
        <v>190.02</v>
      </c>
      <c r="PZ17">
        <v>36.39</v>
      </c>
      <c r="QA17">
        <v>238.53</v>
      </c>
      <c r="QB17">
        <v>1653.55</v>
      </c>
      <c r="QC17">
        <v>36.39</v>
      </c>
      <c r="QD17">
        <v>32.340000000000003</v>
      </c>
      <c r="QE17">
        <v>48.51</v>
      </c>
      <c r="QF17">
        <v>20.21</v>
      </c>
      <c r="QG17">
        <v>16.170000000000002</v>
      </c>
      <c r="QH17">
        <v>44.47</v>
      </c>
      <c r="QI17">
        <v>24.26</v>
      </c>
      <c r="QJ17">
        <v>52.56</v>
      </c>
      <c r="QK17">
        <v>24.26</v>
      </c>
      <c r="QL17">
        <v>145.54</v>
      </c>
      <c r="QM17">
        <v>517.49</v>
      </c>
      <c r="QN17">
        <v>2506.6</v>
      </c>
      <c r="QO17">
        <v>24.26</v>
      </c>
      <c r="QP17">
        <v>105.12</v>
      </c>
      <c r="QQ17">
        <v>218.32</v>
      </c>
      <c r="QR17">
        <v>80.86</v>
      </c>
      <c r="QS17">
        <v>974.34</v>
      </c>
      <c r="QT17">
        <v>493.24</v>
      </c>
      <c r="QU17">
        <v>24.26</v>
      </c>
      <c r="QV17">
        <v>97.03</v>
      </c>
      <c r="QW17">
        <v>125.33</v>
      </c>
      <c r="QX17">
        <v>76.819999999999993</v>
      </c>
      <c r="QY17">
        <v>52.56</v>
      </c>
      <c r="QZ17">
        <v>92.99</v>
      </c>
      <c r="RA17">
        <v>153.63</v>
      </c>
      <c r="RB17">
        <v>14142.1</v>
      </c>
      <c r="RC17">
        <v>109.16</v>
      </c>
      <c r="RD17">
        <v>1884</v>
      </c>
      <c r="RE17">
        <v>141.5</v>
      </c>
      <c r="RF17">
        <v>76.819999999999993</v>
      </c>
      <c r="RG17">
        <v>121.29</v>
      </c>
      <c r="RH17">
        <v>129.37</v>
      </c>
      <c r="RI17">
        <v>20.21</v>
      </c>
      <c r="RJ17">
        <v>105.12</v>
      </c>
      <c r="RK17">
        <v>60.64</v>
      </c>
      <c r="RL17">
        <v>64.69</v>
      </c>
      <c r="RM17">
        <v>52.56</v>
      </c>
      <c r="RN17">
        <v>230.45</v>
      </c>
      <c r="RO17">
        <v>363.86</v>
      </c>
      <c r="RP17">
        <v>88.94</v>
      </c>
      <c r="RQ17">
        <v>169.8</v>
      </c>
      <c r="RR17">
        <v>24.26</v>
      </c>
      <c r="RS17">
        <v>614.52</v>
      </c>
      <c r="RT17">
        <v>121.29</v>
      </c>
      <c r="RU17">
        <v>105.12</v>
      </c>
      <c r="RV17">
        <v>84.9</v>
      </c>
      <c r="RW17">
        <v>994.56</v>
      </c>
      <c r="RX17">
        <v>1617.16</v>
      </c>
      <c r="RY17">
        <v>2433.83</v>
      </c>
      <c r="RZ17">
        <v>48.51</v>
      </c>
      <c r="SA17">
        <v>177.89</v>
      </c>
      <c r="SB17">
        <v>68.73</v>
      </c>
      <c r="SC17">
        <v>315.35000000000002</v>
      </c>
      <c r="SD17">
        <v>1216.92</v>
      </c>
      <c r="SE17">
        <v>481.11</v>
      </c>
      <c r="SF17">
        <v>392.16</v>
      </c>
      <c r="SG17">
        <v>6468.66</v>
      </c>
      <c r="SH17">
        <v>141.5</v>
      </c>
      <c r="SI17">
        <v>24.26</v>
      </c>
      <c r="SJ17">
        <v>121.29</v>
      </c>
      <c r="SK17">
        <v>105.12</v>
      </c>
      <c r="SL17">
        <v>80.86</v>
      </c>
      <c r="SM17">
        <v>44.47</v>
      </c>
      <c r="SN17">
        <v>173.85</v>
      </c>
      <c r="SO17">
        <v>16.170000000000002</v>
      </c>
      <c r="SP17">
        <v>198.1</v>
      </c>
      <c r="SQ17">
        <v>840.93</v>
      </c>
      <c r="SR17">
        <v>553.88</v>
      </c>
      <c r="SS17">
        <v>493.24</v>
      </c>
      <c r="ST17">
        <v>452.81</v>
      </c>
      <c r="SU17">
        <v>339.6</v>
      </c>
      <c r="SV17">
        <v>230.45</v>
      </c>
      <c r="SW17">
        <v>1985.07</v>
      </c>
      <c r="SX17">
        <v>133.41999999999999</v>
      </c>
      <c r="SY17">
        <v>97.03</v>
      </c>
      <c r="SZ17">
        <v>12.13</v>
      </c>
      <c r="TA17">
        <v>84.9</v>
      </c>
      <c r="TB17">
        <v>1782.92</v>
      </c>
      <c r="TC17">
        <v>836.88</v>
      </c>
      <c r="TD17">
        <v>97.03</v>
      </c>
      <c r="TE17">
        <v>477.06</v>
      </c>
      <c r="TF17">
        <v>149.59</v>
      </c>
      <c r="TG17">
        <v>270.87</v>
      </c>
      <c r="TH17">
        <v>258.75</v>
      </c>
      <c r="TI17">
        <v>177.89</v>
      </c>
      <c r="TJ17">
        <v>16.170000000000002</v>
      </c>
      <c r="TK17">
        <v>60.64</v>
      </c>
      <c r="TL17">
        <v>145.54</v>
      </c>
      <c r="TM17">
        <v>36.39</v>
      </c>
      <c r="TN17">
        <v>359.82</v>
      </c>
      <c r="TO17">
        <v>307.26</v>
      </c>
      <c r="TP17">
        <v>287.05</v>
      </c>
      <c r="TQ17">
        <v>177.89</v>
      </c>
      <c r="TR17">
        <v>36.39</v>
      </c>
      <c r="TS17">
        <v>525.58000000000004</v>
      </c>
      <c r="TT17">
        <v>72.77</v>
      </c>
      <c r="TU17">
        <v>80.86</v>
      </c>
      <c r="TV17">
        <v>214.27</v>
      </c>
      <c r="TW17">
        <v>440.68</v>
      </c>
      <c r="TX17">
        <v>145.54</v>
      </c>
      <c r="TY17">
        <v>68.73</v>
      </c>
      <c r="TZ17">
        <v>68.73</v>
      </c>
      <c r="UA17">
        <v>92.99</v>
      </c>
      <c r="UB17">
        <v>101.07</v>
      </c>
      <c r="UC17">
        <v>5886.48</v>
      </c>
      <c r="UD17">
        <v>28.3</v>
      </c>
      <c r="UE17">
        <v>36.39</v>
      </c>
      <c r="UF17">
        <v>610.48</v>
      </c>
      <c r="UG17">
        <v>56.6</v>
      </c>
      <c r="UH17">
        <v>40.43</v>
      </c>
      <c r="UI17">
        <v>48.51</v>
      </c>
      <c r="UJ17">
        <v>48.51</v>
      </c>
      <c r="UK17">
        <v>56.6</v>
      </c>
      <c r="UL17">
        <v>40.43</v>
      </c>
      <c r="UM17">
        <v>44.47</v>
      </c>
      <c r="UN17">
        <v>84.9</v>
      </c>
      <c r="UO17">
        <v>169.8</v>
      </c>
      <c r="UP17">
        <v>2.2799999999999998</v>
      </c>
      <c r="UQ17">
        <v>80.86</v>
      </c>
      <c r="UR17">
        <v>56.6</v>
      </c>
      <c r="US17">
        <v>60.64</v>
      </c>
      <c r="UT17">
        <v>157.66999999999999</v>
      </c>
      <c r="UU17">
        <v>481.11</v>
      </c>
      <c r="UV17">
        <v>424.51</v>
      </c>
      <c r="UW17">
        <v>194.06</v>
      </c>
      <c r="UX17">
        <v>64.69</v>
      </c>
      <c r="UY17">
        <v>339.6</v>
      </c>
      <c r="UZ17">
        <v>84.9</v>
      </c>
      <c r="VA17">
        <v>238.53</v>
      </c>
      <c r="VB17">
        <v>654.95000000000005</v>
      </c>
      <c r="VC17">
        <v>52.56</v>
      </c>
      <c r="VD17">
        <v>250.66</v>
      </c>
      <c r="VE17">
        <v>64.69</v>
      </c>
      <c r="VF17">
        <v>169.8</v>
      </c>
      <c r="VG17">
        <v>40.43</v>
      </c>
      <c r="VH17">
        <v>52.56</v>
      </c>
      <c r="VI17">
        <v>64.69</v>
      </c>
      <c r="VJ17">
        <v>52.56</v>
      </c>
      <c r="VK17">
        <v>489.19</v>
      </c>
      <c r="VL17">
        <v>557.91999999999996</v>
      </c>
      <c r="VM17">
        <v>776.24</v>
      </c>
      <c r="VN17">
        <v>177.89</v>
      </c>
      <c r="VO17">
        <v>20.21</v>
      </c>
      <c r="VP17">
        <v>12.13</v>
      </c>
      <c r="VQ17">
        <v>836.88</v>
      </c>
      <c r="VR17">
        <v>246.62</v>
      </c>
      <c r="VS17">
        <v>351.73</v>
      </c>
      <c r="VT17">
        <v>32.340000000000003</v>
      </c>
      <c r="VU17">
        <v>64.69</v>
      </c>
      <c r="VV17">
        <v>64.69</v>
      </c>
      <c r="VW17">
        <v>149.59</v>
      </c>
      <c r="VX17">
        <v>185.97</v>
      </c>
      <c r="VY17">
        <v>2.2799999999999998</v>
      </c>
      <c r="VZ17">
        <v>4984.91</v>
      </c>
      <c r="WA17">
        <v>5890.52</v>
      </c>
      <c r="WB17">
        <v>270.87</v>
      </c>
      <c r="WC17">
        <v>117.24</v>
      </c>
      <c r="WD17">
        <v>92.99</v>
      </c>
      <c r="WE17">
        <v>1795.05</v>
      </c>
      <c r="WF17">
        <v>141.5</v>
      </c>
      <c r="WG17">
        <v>254.7</v>
      </c>
      <c r="WH17">
        <v>6133.09</v>
      </c>
      <c r="WI17">
        <v>11271.63</v>
      </c>
      <c r="WJ17">
        <v>4491.67</v>
      </c>
      <c r="WK17">
        <v>121.29</v>
      </c>
      <c r="WL17">
        <v>246.62</v>
      </c>
      <c r="WM17">
        <v>72.77</v>
      </c>
      <c r="WN17">
        <v>76.819999999999993</v>
      </c>
      <c r="WO17">
        <v>2.2799999999999998</v>
      </c>
      <c r="WP17">
        <v>181.93</v>
      </c>
      <c r="WQ17">
        <v>6553.56</v>
      </c>
      <c r="WR17">
        <v>1043.07</v>
      </c>
      <c r="WS17">
        <v>141.5</v>
      </c>
      <c r="WT17">
        <v>32.340000000000003</v>
      </c>
      <c r="WU17">
        <v>355.78</v>
      </c>
      <c r="WV17">
        <v>2150.83</v>
      </c>
      <c r="WW17">
        <v>24.26</v>
      </c>
      <c r="WX17">
        <v>52.56</v>
      </c>
      <c r="WY17">
        <v>20.21</v>
      </c>
      <c r="WZ17">
        <v>36.39</v>
      </c>
      <c r="XA17">
        <v>40.43</v>
      </c>
      <c r="XB17">
        <v>396.21</v>
      </c>
      <c r="XC17">
        <v>68.73</v>
      </c>
      <c r="XD17">
        <v>622.61</v>
      </c>
      <c r="XE17">
        <v>121.29</v>
      </c>
      <c r="XF17">
        <v>1148.19</v>
      </c>
      <c r="XG17">
        <v>307.26</v>
      </c>
      <c r="XH17">
        <v>258.75</v>
      </c>
      <c r="XI17">
        <v>760.07</v>
      </c>
      <c r="XJ17">
        <v>165.76</v>
      </c>
      <c r="XK17">
        <v>517.49</v>
      </c>
      <c r="XL17">
        <v>371.95</v>
      </c>
      <c r="XM17">
        <v>48.51</v>
      </c>
      <c r="XN17">
        <v>355.78</v>
      </c>
      <c r="XO17">
        <v>76.819999999999993</v>
      </c>
      <c r="XP17">
        <v>72.77</v>
      </c>
      <c r="XQ17">
        <v>64.69</v>
      </c>
      <c r="XR17">
        <v>28.3</v>
      </c>
      <c r="XS17">
        <v>2102.31</v>
      </c>
      <c r="XT17">
        <v>242.57</v>
      </c>
      <c r="XU17">
        <v>347.69</v>
      </c>
      <c r="XV17">
        <v>505.36</v>
      </c>
      <c r="XW17">
        <v>331.52</v>
      </c>
      <c r="XX17">
        <v>986.47</v>
      </c>
      <c r="XY17">
        <v>1512.05</v>
      </c>
      <c r="XZ17">
        <v>84.9</v>
      </c>
      <c r="YA17">
        <v>234.49</v>
      </c>
      <c r="YB17">
        <v>92.99</v>
      </c>
      <c r="YC17">
        <v>72.77</v>
      </c>
      <c r="YD17">
        <v>731.77</v>
      </c>
      <c r="YE17">
        <v>218.32</v>
      </c>
      <c r="YF17">
        <v>428.55</v>
      </c>
      <c r="YG17">
        <v>80.86</v>
      </c>
      <c r="YH17">
        <v>64.69</v>
      </c>
      <c r="YI17">
        <v>32.340000000000003</v>
      </c>
      <c r="YJ17">
        <v>133.41999999999999</v>
      </c>
      <c r="YK17">
        <v>2.2799999999999998</v>
      </c>
      <c r="YL17">
        <v>153.63</v>
      </c>
      <c r="YM17">
        <v>3303.06</v>
      </c>
      <c r="YN17">
        <v>428.55</v>
      </c>
      <c r="YO17">
        <v>234.49</v>
      </c>
      <c r="YP17">
        <v>905.61</v>
      </c>
      <c r="YQ17">
        <v>88.94</v>
      </c>
      <c r="YR17">
        <v>60.64</v>
      </c>
      <c r="YS17">
        <v>2441.92</v>
      </c>
      <c r="YT17">
        <v>161.72</v>
      </c>
      <c r="YU17">
        <v>222.36</v>
      </c>
      <c r="YV17">
        <v>72.77</v>
      </c>
      <c r="YW17">
        <v>56.6</v>
      </c>
      <c r="YX17">
        <v>88.94</v>
      </c>
      <c r="YY17">
        <v>238.53</v>
      </c>
      <c r="YZ17">
        <v>2.2799999999999998</v>
      </c>
      <c r="ZA17">
        <v>109.16</v>
      </c>
      <c r="ZB17">
        <v>68.73</v>
      </c>
      <c r="ZC17">
        <v>56.6</v>
      </c>
      <c r="ZD17">
        <v>206.19</v>
      </c>
      <c r="ZE17">
        <v>76.819999999999993</v>
      </c>
      <c r="ZF17">
        <v>68.73</v>
      </c>
      <c r="ZG17">
        <v>121.29</v>
      </c>
      <c r="ZH17">
        <v>210.23</v>
      </c>
      <c r="ZI17">
        <v>929.87</v>
      </c>
      <c r="ZJ17">
        <v>238.53</v>
      </c>
      <c r="ZK17">
        <v>157.66999999999999</v>
      </c>
      <c r="ZL17">
        <v>60.64</v>
      </c>
      <c r="ZM17">
        <v>206.19</v>
      </c>
      <c r="ZN17">
        <v>64.69</v>
      </c>
      <c r="ZO17">
        <v>36.39</v>
      </c>
      <c r="ZP17">
        <v>234.49</v>
      </c>
      <c r="ZQ17">
        <v>12.13</v>
      </c>
      <c r="ZR17">
        <v>20.21</v>
      </c>
      <c r="ZS17">
        <v>626.65</v>
      </c>
      <c r="ZT17">
        <v>68.73</v>
      </c>
      <c r="ZU17">
        <v>258.75</v>
      </c>
      <c r="ZV17">
        <v>40.43</v>
      </c>
      <c r="ZW17">
        <v>40.43</v>
      </c>
      <c r="ZX17">
        <v>72.77</v>
      </c>
      <c r="ZY17">
        <v>444.72</v>
      </c>
      <c r="ZZ17">
        <v>117.24</v>
      </c>
      <c r="AAA17">
        <v>97.03</v>
      </c>
      <c r="AAB17">
        <v>56.6</v>
      </c>
      <c r="AAC17">
        <v>60.64</v>
      </c>
      <c r="AAD17">
        <v>72.77</v>
      </c>
      <c r="AAE17">
        <v>60.64</v>
      </c>
      <c r="AAF17">
        <v>12.13</v>
      </c>
      <c r="AAG17">
        <v>145.54</v>
      </c>
      <c r="AAH17">
        <v>113.2</v>
      </c>
      <c r="AAI17">
        <v>4455.29</v>
      </c>
      <c r="AAJ17">
        <v>307.26</v>
      </c>
      <c r="AAK17">
        <v>343.65</v>
      </c>
      <c r="AAL17">
        <v>125.33</v>
      </c>
      <c r="AAM17">
        <v>60.64</v>
      </c>
      <c r="AAN17">
        <v>76.819999999999993</v>
      </c>
      <c r="AAO17">
        <v>76.819999999999993</v>
      </c>
      <c r="AAP17">
        <v>88.94</v>
      </c>
      <c r="AAQ17">
        <v>24.26</v>
      </c>
      <c r="AAR17">
        <v>40.43</v>
      </c>
      <c r="AAS17">
        <v>1576.73</v>
      </c>
      <c r="AAT17">
        <v>20.21</v>
      </c>
      <c r="AAU17">
        <v>2.2799999999999998</v>
      </c>
      <c r="AAV17">
        <v>1415.02</v>
      </c>
      <c r="AAW17">
        <v>32.340000000000003</v>
      </c>
      <c r="AAX17">
        <v>40.43</v>
      </c>
      <c r="AAY17">
        <v>101.07</v>
      </c>
      <c r="AAZ17">
        <v>56.6</v>
      </c>
      <c r="ABA17">
        <v>731.77</v>
      </c>
      <c r="ABB17">
        <v>145.54</v>
      </c>
      <c r="ABC17">
        <v>873.27</v>
      </c>
      <c r="ABD17">
        <v>881.35</v>
      </c>
      <c r="ABE17">
        <v>303.22000000000003</v>
      </c>
      <c r="ABF17">
        <v>210.23</v>
      </c>
      <c r="ABG17">
        <v>32.340000000000003</v>
      </c>
      <c r="ABH17">
        <v>319.39</v>
      </c>
      <c r="ABI17">
        <v>40.43</v>
      </c>
      <c r="ABJ17">
        <v>84.9</v>
      </c>
      <c r="ABK17">
        <v>36.39</v>
      </c>
      <c r="ABL17">
        <v>52.56</v>
      </c>
      <c r="ABM17">
        <v>56.6</v>
      </c>
      <c r="ABN17">
        <v>169.8</v>
      </c>
      <c r="ABO17">
        <v>40.43</v>
      </c>
      <c r="ABP17">
        <v>56.6</v>
      </c>
      <c r="ABQ17">
        <v>194.06</v>
      </c>
      <c r="ABR17">
        <v>76.819999999999993</v>
      </c>
      <c r="ABS17">
        <v>521.54</v>
      </c>
      <c r="ABT17">
        <v>52.56</v>
      </c>
      <c r="ABU17">
        <v>16.170000000000002</v>
      </c>
      <c r="ABV17">
        <v>88.94</v>
      </c>
      <c r="ABW17">
        <v>278.95999999999998</v>
      </c>
      <c r="ABX17">
        <v>347.69</v>
      </c>
      <c r="ABY17">
        <v>230.45</v>
      </c>
      <c r="ABZ17">
        <v>181.93</v>
      </c>
      <c r="ACA17">
        <v>355.78</v>
      </c>
      <c r="ACB17">
        <v>185.97</v>
      </c>
      <c r="ACC17">
        <v>97.03</v>
      </c>
      <c r="ACD17">
        <v>137.46</v>
      </c>
      <c r="ACE17">
        <v>177.89</v>
      </c>
      <c r="ACF17">
        <v>3828.64</v>
      </c>
      <c r="ACG17">
        <v>2894.72</v>
      </c>
      <c r="ACH17">
        <v>343.65</v>
      </c>
      <c r="ACI17">
        <v>448.76</v>
      </c>
      <c r="ACJ17">
        <v>578.14</v>
      </c>
      <c r="ACK17">
        <v>351.73</v>
      </c>
      <c r="ACL17">
        <v>28.3</v>
      </c>
      <c r="ACM17">
        <v>359.82</v>
      </c>
      <c r="ACN17">
        <v>238.53</v>
      </c>
      <c r="ACO17">
        <v>489.19</v>
      </c>
      <c r="ACP17">
        <v>339.6</v>
      </c>
      <c r="ACQ17">
        <v>206.19</v>
      </c>
      <c r="ACR17">
        <v>7135.74</v>
      </c>
    </row>
    <row r="18" spans="1:772" x14ac:dyDescent="0.3">
      <c r="A18" t="s">
        <v>10</v>
      </c>
      <c r="B18" t="s">
        <v>2</v>
      </c>
      <c r="C18">
        <v>943.55</v>
      </c>
      <c r="D18">
        <v>93.07</v>
      </c>
      <c r="E18">
        <v>542.38</v>
      </c>
      <c r="F18">
        <v>38.51</v>
      </c>
      <c r="G18">
        <v>731.73</v>
      </c>
      <c r="H18">
        <v>73.81</v>
      </c>
      <c r="I18">
        <v>693.22</v>
      </c>
      <c r="J18">
        <v>9018.25</v>
      </c>
      <c r="K18">
        <v>301.68</v>
      </c>
      <c r="L18">
        <v>77.02</v>
      </c>
      <c r="M18">
        <v>276</v>
      </c>
      <c r="N18">
        <v>840.85</v>
      </c>
      <c r="O18">
        <v>115.54</v>
      </c>
      <c r="P18">
        <v>263.17</v>
      </c>
      <c r="Q18">
        <v>121.96</v>
      </c>
      <c r="R18">
        <v>580.89</v>
      </c>
      <c r="S18">
        <v>60.98</v>
      </c>
      <c r="T18">
        <v>577.67999999999995</v>
      </c>
      <c r="U18">
        <v>189.35</v>
      </c>
      <c r="V18">
        <v>205.4</v>
      </c>
      <c r="W18">
        <v>580.89</v>
      </c>
      <c r="X18">
        <v>48.14</v>
      </c>
      <c r="Y18">
        <v>369.07</v>
      </c>
      <c r="Z18">
        <v>516.70000000000005</v>
      </c>
      <c r="AA18">
        <v>131.58000000000001</v>
      </c>
      <c r="AB18">
        <v>571.26</v>
      </c>
      <c r="AC18">
        <v>179.72</v>
      </c>
      <c r="AD18">
        <v>105.91</v>
      </c>
      <c r="AE18">
        <v>263.17</v>
      </c>
      <c r="AF18">
        <v>30530.47</v>
      </c>
      <c r="AG18">
        <v>134.79</v>
      </c>
      <c r="AH18">
        <v>208.61</v>
      </c>
      <c r="AI18">
        <v>102.7</v>
      </c>
      <c r="AJ18">
        <v>513.49</v>
      </c>
      <c r="AK18">
        <v>54.56</v>
      </c>
      <c r="AL18">
        <v>44.93</v>
      </c>
      <c r="AM18">
        <v>211.82</v>
      </c>
      <c r="AN18">
        <v>99.49</v>
      </c>
      <c r="AO18">
        <v>901.83</v>
      </c>
      <c r="AP18">
        <v>141.21</v>
      </c>
      <c r="AQ18">
        <v>125.16</v>
      </c>
      <c r="AR18">
        <v>35.299999999999997</v>
      </c>
      <c r="AS18">
        <v>105.91</v>
      </c>
      <c r="AT18">
        <v>3.12</v>
      </c>
      <c r="AU18">
        <v>41.72</v>
      </c>
      <c r="AV18">
        <v>1347.92</v>
      </c>
      <c r="AW18">
        <v>295.26</v>
      </c>
      <c r="AX18">
        <v>1967.33</v>
      </c>
      <c r="AY18">
        <v>32.090000000000003</v>
      </c>
      <c r="AZ18">
        <v>64.19</v>
      </c>
      <c r="BA18">
        <v>173.3</v>
      </c>
      <c r="BB18">
        <v>937.13</v>
      </c>
      <c r="BC18">
        <v>99.49</v>
      </c>
      <c r="BD18">
        <v>19.260000000000002</v>
      </c>
      <c r="BE18">
        <v>237.49</v>
      </c>
      <c r="BF18">
        <v>410.8</v>
      </c>
      <c r="BG18">
        <v>57.77</v>
      </c>
      <c r="BH18">
        <v>60.98</v>
      </c>
      <c r="BI18">
        <v>35.299999999999997</v>
      </c>
      <c r="BJ18">
        <v>64.19</v>
      </c>
      <c r="BK18">
        <v>160.47</v>
      </c>
      <c r="BL18">
        <v>336.98</v>
      </c>
      <c r="BM18">
        <v>64.19</v>
      </c>
      <c r="BN18">
        <v>86.65</v>
      </c>
      <c r="BO18">
        <v>80.23</v>
      </c>
      <c r="BP18">
        <v>54.56</v>
      </c>
      <c r="BQ18">
        <v>77.02</v>
      </c>
      <c r="BR18">
        <v>83.44</v>
      </c>
      <c r="BS18">
        <v>80.23</v>
      </c>
      <c r="BT18">
        <v>1717</v>
      </c>
      <c r="BU18">
        <v>121.96</v>
      </c>
      <c r="BV18">
        <v>73.81</v>
      </c>
      <c r="BW18">
        <v>282.42</v>
      </c>
      <c r="BX18">
        <v>353.03</v>
      </c>
      <c r="BY18">
        <v>288.83999999999997</v>
      </c>
      <c r="BZ18">
        <v>738.15</v>
      </c>
      <c r="CA18">
        <v>112.33</v>
      </c>
      <c r="CB18">
        <v>189.35</v>
      </c>
      <c r="CC18">
        <v>134.79</v>
      </c>
      <c r="CD18">
        <v>80.23</v>
      </c>
      <c r="CE18">
        <v>349.82</v>
      </c>
      <c r="CF18">
        <v>372.28</v>
      </c>
      <c r="CG18">
        <v>64.19</v>
      </c>
      <c r="CH18">
        <v>397.96</v>
      </c>
      <c r="CI18">
        <v>35.299999999999997</v>
      </c>
      <c r="CJ18">
        <v>25.67</v>
      </c>
      <c r="CK18">
        <v>80.23</v>
      </c>
      <c r="CL18">
        <v>93.07</v>
      </c>
      <c r="CM18">
        <v>157.26</v>
      </c>
      <c r="CN18">
        <v>70.61</v>
      </c>
      <c r="CO18">
        <v>64.19</v>
      </c>
      <c r="CP18">
        <v>3.12</v>
      </c>
      <c r="CQ18">
        <v>25.67</v>
      </c>
      <c r="CR18">
        <v>67.400000000000006</v>
      </c>
      <c r="CS18">
        <v>19.260000000000002</v>
      </c>
      <c r="CT18">
        <v>25.67</v>
      </c>
      <c r="CU18">
        <v>80.23</v>
      </c>
      <c r="CV18">
        <v>131.58000000000001</v>
      </c>
      <c r="CW18">
        <v>1283.74</v>
      </c>
      <c r="CX18">
        <v>38.51</v>
      </c>
      <c r="CY18">
        <v>150.84</v>
      </c>
      <c r="CZ18">
        <v>147.63</v>
      </c>
      <c r="DA18">
        <v>12.84</v>
      </c>
      <c r="DB18">
        <v>93.07</v>
      </c>
      <c r="DC18">
        <v>70.61</v>
      </c>
      <c r="DD18">
        <v>44.93</v>
      </c>
      <c r="DE18">
        <v>35.299999999999997</v>
      </c>
      <c r="DF18">
        <v>259.95999999999998</v>
      </c>
      <c r="DG18">
        <v>32.090000000000003</v>
      </c>
      <c r="DH18">
        <v>2118.17</v>
      </c>
      <c r="DI18">
        <v>19.260000000000002</v>
      </c>
      <c r="DJ18">
        <v>28.88</v>
      </c>
      <c r="DK18">
        <v>141.21</v>
      </c>
      <c r="DL18">
        <v>802.34</v>
      </c>
      <c r="DM18">
        <v>73.81</v>
      </c>
      <c r="DN18">
        <v>41.72</v>
      </c>
      <c r="DO18">
        <v>44.93</v>
      </c>
      <c r="DP18">
        <v>64.19</v>
      </c>
      <c r="DQ18">
        <v>1964.12</v>
      </c>
      <c r="DR18">
        <v>67.400000000000006</v>
      </c>
      <c r="DS18">
        <v>3.12</v>
      </c>
      <c r="DT18">
        <v>64.19</v>
      </c>
      <c r="DU18">
        <v>4034.14</v>
      </c>
      <c r="DV18">
        <v>22.47</v>
      </c>
      <c r="DW18">
        <v>41.72</v>
      </c>
      <c r="DX18">
        <v>80.23</v>
      </c>
      <c r="DY18">
        <v>57.77</v>
      </c>
      <c r="DZ18">
        <v>70.61</v>
      </c>
      <c r="EA18">
        <v>77.02</v>
      </c>
      <c r="EB18">
        <v>70.61</v>
      </c>
      <c r="EC18">
        <v>44.93</v>
      </c>
      <c r="ED18">
        <v>80.23</v>
      </c>
      <c r="EE18">
        <v>3.12</v>
      </c>
      <c r="EF18">
        <v>5404.53</v>
      </c>
      <c r="EG18">
        <v>1299.78</v>
      </c>
      <c r="EH18">
        <v>70.61</v>
      </c>
      <c r="EI18">
        <v>115.54</v>
      </c>
      <c r="EJ18">
        <v>349.82</v>
      </c>
      <c r="EK18">
        <v>266.38</v>
      </c>
      <c r="EL18">
        <v>3462.88</v>
      </c>
      <c r="EM18">
        <v>211.82</v>
      </c>
      <c r="EN18">
        <v>176.51</v>
      </c>
      <c r="EO18">
        <v>1164.99</v>
      </c>
      <c r="EP18">
        <v>96.28</v>
      </c>
      <c r="EQ18">
        <v>2252.96</v>
      </c>
      <c r="ER18">
        <v>28.88</v>
      </c>
      <c r="ES18">
        <v>41.72</v>
      </c>
      <c r="ET18">
        <v>16.05</v>
      </c>
      <c r="EU18">
        <v>320.93</v>
      </c>
      <c r="EV18">
        <v>115.54</v>
      </c>
      <c r="EW18">
        <v>19.260000000000002</v>
      </c>
      <c r="EX18">
        <v>80.23</v>
      </c>
      <c r="EY18">
        <v>83.44</v>
      </c>
      <c r="EZ18">
        <v>64.19</v>
      </c>
      <c r="FA18">
        <v>96.28</v>
      </c>
      <c r="FB18">
        <v>19.260000000000002</v>
      </c>
      <c r="FC18">
        <v>99.49</v>
      </c>
      <c r="FD18">
        <v>48.14</v>
      </c>
      <c r="FE18">
        <v>3270.32</v>
      </c>
      <c r="FF18">
        <v>35.299999999999997</v>
      </c>
      <c r="FG18">
        <v>1283.74</v>
      </c>
      <c r="FH18">
        <v>3190.09</v>
      </c>
      <c r="FI18">
        <v>60.98</v>
      </c>
      <c r="FJ18">
        <v>227.86</v>
      </c>
      <c r="FK18">
        <v>1078.3399999999999</v>
      </c>
      <c r="FL18">
        <v>93.07</v>
      </c>
      <c r="FM18">
        <v>227.86</v>
      </c>
      <c r="FN18">
        <v>57.77</v>
      </c>
      <c r="FO18">
        <v>44.93</v>
      </c>
      <c r="FP18">
        <v>12.84</v>
      </c>
      <c r="FQ18">
        <v>48.14</v>
      </c>
      <c r="FR18">
        <v>3.12</v>
      </c>
      <c r="FS18">
        <v>3.12</v>
      </c>
      <c r="FT18">
        <v>93.07</v>
      </c>
      <c r="FU18">
        <v>2394.17</v>
      </c>
      <c r="FV18">
        <v>2009.05</v>
      </c>
      <c r="FW18">
        <v>73.81</v>
      </c>
      <c r="FX18">
        <v>186.14</v>
      </c>
      <c r="FY18">
        <v>38.51</v>
      </c>
      <c r="FZ18">
        <v>1258.06</v>
      </c>
      <c r="GA18">
        <v>1993</v>
      </c>
      <c r="GB18">
        <v>336.98</v>
      </c>
      <c r="GC18">
        <v>48.14</v>
      </c>
      <c r="GD18">
        <v>131.58000000000001</v>
      </c>
      <c r="GE18">
        <v>234.28</v>
      </c>
      <c r="GF18">
        <v>150.84</v>
      </c>
      <c r="GG18">
        <v>1123.27</v>
      </c>
      <c r="GH18">
        <v>282.42</v>
      </c>
      <c r="GI18">
        <v>783.08</v>
      </c>
      <c r="GJ18">
        <v>975.64</v>
      </c>
      <c r="GK18">
        <v>4688.8500000000004</v>
      </c>
      <c r="GL18">
        <v>1238.81</v>
      </c>
      <c r="GM18">
        <v>64.19</v>
      </c>
      <c r="GN18">
        <v>19.260000000000002</v>
      </c>
      <c r="GO18">
        <v>494.24</v>
      </c>
      <c r="GP18">
        <v>54.56</v>
      </c>
      <c r="GQ18">
        <v>141.21</v>
      </c>
      <c r="GR18">
        <v>744.57</v>
      </c>
      <c r="GS18">
        <v>240.7</v>
      </c>
      <c r="GT18">
        <v>301.68</v>
      </c>
      <c r="GU18">
        <v>38.51</v>
      </c>
      <c r="GV18">
        <v>70.61</v>
      </c>
      <c r="GW18">
        <v>163.68</v>
      </c>
      <c r="GX18">
        <v>102.7</v>
      </c>
      <c r="GY18">
        <v>147.63</v>
      </c>
      <c r="GZ18">
        <v>189.35</v>
      </c>
      <c r="HA18">
        <v>259.95999999999998</v>
      </c>
      <c r="HB18">
        <v>346.61</v>
      </c>
      <c r="HC18">
        <v>125.16</v>
      </c>
      <c r="HD18">
        <v>2779.29</v>
      </c>
      <c r="HE18">
        <v>25.67</v>
      </c>
      <c r="HF18">
        <v>5471.93</v>
      </c>
      <c r="HG18">
        <v>154.05000000000001</v>
      </c>
      <c r="HH18">
        <v>186.14</v>
      </c>
      <c r="HI18">
        <v>35.299999999999997</v>
      </c>
      <c r="HJ18">
        <v>256.75</v>
      </c>
      <c r="HK18">
        <v>930.71</v>
      </c>
      <c r="HL18">
        <v>301.68</v>
      </c>
      <c r="HM18">
        <v>86.65</v>
      </c>
      <c r="HN18">
        <v>1184.25</v>
      </c>
      <c r="HO18">
        <v>99.49</v>
      </c>
      <c r="HP18">
        <v>41.72</v>
      </c>
      <c r="HQ18">
        <v>6014.31</v>
      </c>
      <c r="HR18">
        <v>138</v>
      </c>
      <c r="HS18">
        <v>12.84</v>
      </c>
      <c r="HT18">
        <v>109.12</v>
      </c>
      <c r="HU18">
        <v>154.05000000000001</v>
      </c>
      <c r="HV18">
        <v>57.77</v>
      </c>
      <c r="HW18">
        <v>5645.23</v>
      </c>
      <c r="HX18">
        <v>32.090000000000003</v>
      </c>
      <c r="HY18">
        <v>54.56</v>
      </c>
      <c r="HZ18">
        <v>234.28</v>
      </c>
      <c r="IA18">
        <v>462.15</v>
      </c>
      <c r="IB18">
        <v>48.14</v>
      </c>
      <c r="IC18">
        <v>89.86</v>
      </c>
      <c r="ID18">
        <v>41.72</v>
      </c>
      <c r="IE18">
        <v>25.67</v>
      </c>
      <c r="IF18">
        <v>365.87</v>
      </c>
      <c r="IG18">
        <v>67.400000000000006</v>
      </c>
      <c r="IH18">
        <v>3.12</v>
      </c>
      <c r="II18">
        <v>503.87</v>
      </c>
      <c r="IJ18">
        <v>89.86</v>
      </c>
      <c r="IK18">
        <v>28.88</v>
      </c>
      <c r="IL18">
        <v>282.42</v>
      </c>
      <c r="IM18">
        <v>141.21</v>
      </c>
      <c r="IN18">
        <v>154.05000000000001</v>
      </c>
      <c r="IO18">
        <v>224.65</v>
      </c>
      <c r="IP18">
        <v>57.77</v>
      </c>
      <c r="IQ18">
        <v>38.51</v>
      </c>
      <c r="IR18">
        <v>73.81</v>
      </c>
      <c r="IS18">
        <v>48.14</v>
      </c>
      <c r="IT18">
        <v>64.19</v>
      </c>
      <c r="IU18">
        <v>369.07</v>
      </c>
      <c r="IV18">
        <v>314.52</v>
      </c>
      <c r="IW18">
        <v>959.59</v>
      </c>
      <c r="IX18">
        <v>5863.47</v>
      </c>
      <c r="IY18">
        <v>64.19</v>
      </c>
      <c r="IZ18">
        <v>48.14</v>
      </c>
      <c r="JA18">
        <v>154.05000000000001</v>
      </c>
      <c r="JB18">
        <v>176.51</v>
      </c>
      <c r="JC18">
        <v>60.98</v>
      </c>
      <c r="JD18">
        <v>234.28</v>
      </c>
      <c r="JE18">
        <v>51.35</v>
      </c>
      <c r="JF18">
        <v>22.47</v>
      </c>
      <c r="JG18">
        <v>54.56</v>
      </c>
      <c r="JH18">
        <v>715.68</v>
      </c>
      <c r="JI18">
        <v>837.64</v>
      </c>
      <c r="JJ18">
        <v>510.29</v>
      </c>
      <c r="JK18">
        <v>109.12</v>
      </c>
      <c r="JL18">
        <v>205.4</v>
      </c>
      <c r="JM18">
        <v>44.93</v>
      </c>
      <c r="JN18">
        <v>38.51</v>
      </c>
      <c r="JO18">
        <v>776.66</v>
      </c>
      <c r="JP18">
        <v>503.87</v>
      </c>
      <c r="JQ18">
        <v>1177.83</v>
      </c>
      <c r="JR18">
        <v>19.260000000000002</v>
      </c>
      <c r="JS18">
        <v>28.88</v>
      </c>
      <c r="JT18">
        <v>115.54</v>
      </c>
      <c r="JU18">
        <v>70.61</v>
      </c>
      <c r="JV18">
        <v>298.47000000000003</v>
      </c>
      <c r="JW18">
        <v>176.51</v>
      </c>
      <c r="JX18">
        <v>105.91</v>
      </c>
      <c r="JY18">
        <v>154.05000000000001</v>
      </c>
      <c r="JZ18">
        <v>16.05</v>
      </c>
      <c r="KA18">
        <v>3.12</v>
      </c>
      <c r="KB18">
        <v>38.51</v>
      </c>
      <c r="KC18">
        <v>19.260000000000002</v>
      </c>
      <c r="KD18">
        <v>22.47</v>
      </c>
      <c r="KE18">
        <v>70.61</v>
      </c>
      <c r="KF18">
        <v>93.07</v>
      </c>
      <c r="KG18">
        <v>202.19</v>
      </c>
      <c r="KH18">
        <v>44.93</v>
      </c>
      <c r="KI18">
        <v>301.68</v>
      </c>
      <c r="KJ18">
        <v>89.86</v>
      </c>
      <c r="KK18">
        <v>147.63</v>
      </c>
      <c r="KL18">
        <v>102.7</v>
      </c>
      <c r="KM18">
        <v>70.61</v>
      </c>
      <c r="KN18">
        <v>35.299999999999997</v>
      </c>
      <c r="KO18">
        <v>860.1</v>
      </c>
      <c r="KP18">
        <v>102.7</v>
      </c>
      <c r="KQ18">
        <v>4085.49</v>
      </c>
      <c r="KR18">
        <v>465.35</v>
      </c>
      <c r="KS18">
        <v>1851.79</v>
      </c>
      <c r="KT18">
        <v>17112.21</v>
      </c>
      <c r="KU18">
        <v>34888.76</v>
      </c>
      <c r="KV18">
        <v>4098.33</v>
      </c>
      <c r="KW18">
        <v>202.19</v>
      </c>
      <c r="KX18">
        <v>227.86</v>
      </c>
      <c r="KY18">
        <v>57.77</v>
      </c>
      <c r="KZ18">
        <v>19.260000000000002</v>
      </c>
      <c r="LA18">
        <v>577.67999999999995</v>
      </c>
      <c r="LB18">
        <v>507.08</v>
      </c>
      <c r="LC18">
        <v>1245.22</v>
      </c>
      <c r="LD18">
        <v>3.12</v>
      </c>
      <c r="LE18">
        <v>343.4</v>
      </c>
      <c r="LF18">
        <v>2201.61</v>
      </c>
      <c r="LG18">
        <v>1752.3</v>
      </c>
      <c r="LH18">
        <v>734.94</v>
      </c>
      <c r="LI18">
        <v>8479.08</v>
      </c>
      <c r="LJ18">
        <v>770.24</v>
      </c>
      <c r="LK18">
        <v>783.08</v>
      </c>
      <c r="LL18">
        <v>118.75</v>
      </c>
      <c r="LM18">
        <v>41.72</v>
      </c>
      <c r="LN18">
        <v>93.07</v>
      </c>
      <c r="LO18">
        <v>89.86</v>
      </c>
      <c r="LP18">
        <v>792.71</v>
      </c>
      <c r="LQ18">
        <v>128.37</v>
      </c>
      <c r="LR18">
        <v>99.49</v>
      </c>
      <c r="LS18">
        <v>32.090000000000003</v>
      </c>
      <c r="LT18">
        <v>35.299999999999997</v>
      </c>
      <c r="LU18">
        <v>86.65</v>
      </c>
      <c r="LV18">
        <v>141.21</v>
      </c>
      <c r="LW18">
        <v>786.29</v>
      </c>
      <c r="LX18">
        <v>1980.16</v>
      </c>
      <c r="LY18">
        <v>664.33</v>
      </c>
      <c r="LZ18">
        <v>7137.58</v>
      </c>
      <c r="MA18">
        <v>154.05000000000001</v>
      </c>
      <c r="MB18">
        <v>1007.73</v>
      </c>
      <c r="MC18">
        <v>327.35000000000002</v>
      </c>
      <c r="MD18">
        <v>99.49</v>
      </c>
      <c r="ME18">
        <v>141.21</v>
      </c>
      <c r="MF18">
        <v>324.14</v>
      </c>
      <c r="MG18">
        <v>2143.84</v>
      </c>
      <c r="MH18">
        <v>709.26</v>
      </c>
      <c r="MI18">
        <v>86.65</v>
      </c>
      <c r="MJ18">
        <v>186.14</v>
      </c>
      <c r="MK18">
        <v>44.93</v>
      </c>
      <c r="ML18">
        <v>600.15</v>
      </c>
      <c r="MM18">
        <v>683.59</v>
      </c>
      <c r="MN18">
        <v>320.93</v>
      </c>
      <c r="MO18">
        <v>3.12</v>
      </c>
      <c r="MP18">
        <v>73.81</v>
      </c>
      <c r="MQ18">
        <v>154.05000000000001</v>
      </c>
      <c r="MR18">
        <v>22.47</v>
      </c>
      <c r="MS18">
        <v>276</v>
      </c>
      <c r="MT18">
        <v>1813.28</v>
      </c>
      <c r="MU18">
        <v>67.400000000000006</v>
      </c>
      <c r="MV18">
        <v>80.23</v>
      </c>
      <c r="MW18">
        <v>51.35</v>
      </c>
      <c r="MX18">
        <v>80.23</v>
      </c>
      <c r="MY18">
        <v>54.56</v>
      </c>
      <c r="MZ18">
        <v>150.84</v>
      </c>
      <c r="NA18">
        <v>86.65</v>
      </c>
      <c r="NB18">
        <v>356.24</v>
      </c>
      <c r="NC18">
        <v>253.54</v>
      </c>
      <c r="ND18">
        <v>2429.4699999999998</v>
      </c>
      <c r="NE18">
        <v>1190.67</v>
      </c>
      <c r="NF18">
        <v>80.23</v>
      </c>
      <c r="NG18">
        <v>3.12</v>
      </c>
      <c r="NH18">
        <v>125.16</v>
      </c>
      <c r="NI18">
        <v>237.49</v>
      </c>
      <c r="NJ18">
        <v>160.47</v>
      </c>
      <c r="NK18">
        <v>166.89</v>
      </c>
      <c r="NL18">
        <v>134.79</v>
      </c>
      <c r="NM18">
        <v>2760.03</v>
      </c>
      <c r="NN18">
        <v>458.94</v>
      </c>
      <c r="NO18">
        <v>67.400000000000006</v>
      </c>
      <c r="NP18">
        <v>16.05</v>
      </c>
      <c r="NQ18">
        <v>2978.27</v>
      </c>
      <c r="NR18">
        <v>738.15</v>
      </c>
      <c r="NS18">
        <v>308.10000000000002</v>
      </c>
      <c r="NT18">
        <v>314.52</v>
      </c>
      <c r="NU18">
        <v>847.27</v>
      </c>
      <c r="NV18">
        <v>253.54</v>
      </c>
      <c r="NW18">
        <v>144.41999999999999</v>
      </c>
      <c r="NX18">
        <v>144.41999999999999</v>
      </c>
      <c r="NY18">
        <v>60.98</v>
      </c>
      <c r="NZ18">
        <v>474.98</v>
      </c>
      <c r="OA18">
        <v>109.12</v>
      </c>
      <c r="OB18">
        <v>491.03</v>
      </c>
      <c r="OC18">
        <v>606.57000000000005</v>
      </c>
      <c r="OD18">
        <v>141.21</v>
      </c>
      <c r="OE18">
        <v>1944.86</v>
      </c>
      <c r="OF18">
        <v>32.090000000000003</v>
      </c>
      <c r="OG18">
        <v>2073.2399999999998</v>
      </c>
      <c r="OH18">
        <v>144.41999999999999</v>
      </c>
      <c r="OI18">
        <v>141.21</v>
      </c>
      <c r="OJ18">
        <v>60.98</v>
      </c>
      <c r="OK18">
        <v>1550.11</v>
      </c>
      <c r="OL18">
        <v>433.26</v>
      </c>
      <c r="OM18">
        <v>706.06</v>
      </c>
      <c r="ON18">
        <v>198.98</v>
      </c>
      <c r="OO18">
        <v>378.7</v>
      </c>
      <c r="OP18">
        <v>147.63</v>
      </c>
      <c r="OQ18">
        <v>465.35</v>
      </c>
      <c r="OR18">
        <v>25.67</v>
      </c>
      <c r="OS18">
        <v>664.33</v>
      </c>
      <c r="OT18">
        <v>301.68</v>
      </c>
      <c r="OU18">
        <v>105.91</v>
      </c>
      <c r="OV18">
        <v>747.78</v>
      </c>
      <c r="OW18">
        <v>128.37</v>
      </c>
      <c r="OX18">
        <v>48.14</v>
      </c>
      <c r="OY18">
        <v>176.51</v>
      </c>
      <c r="OZ18">
        <v>96.28</v>
      </c>
      <c r="PA18">
        <v>35.299999999999997</v>
      </c>
      <c r="PB18">
        <v>131.58000000000001</v>
      </c>
      <c r="PC18">
        <v>3.12</v>
      </c>
      <c r="PD18">
        <v>41.72</v>
      </c>
      <c r="PE18">
        <v>48.14</v>
      </c>
      <c r="PF18">
        <v>292.05</v>
      </c>
      <c r="PG18">
        <v>51.35</v>
      </c>
      <c r="PH18">
        <v>54.56</v>
      </c>
      <c r="PI18">
        <v>80.23</v>
      </c>
      <c r="PJ18">
        <v>7185.72</v>
      </c>
      <c r="PK18">
        <v>11864.94</v>
      </c>
      <c r="PL18">
        <v>44.93</v>
      </c>
      <c r="PM18">
        <v>8655.6</v>
      </c>
      <c r="PN18">
        <v>619.4</v>
      </c>
      <c r="PO18">
        <v>105.91</v>
      </c>
      <c r="PP18">
        <v>1399.27</v>
      </c>
      <c r="PQ18">
        <v>105.91</v>
      </c>
      <c r="PR18">
        <v>118.75</v>
      </c>
      <c r="PS18">
        <v>51.35</v>
      </c>
      <c r="PT18">
        <v>77.02</v>
      </c>
      <c r="PU18">
        <v>134.79</v>
      </c>
      <c r="PV18">
        <v>83.44</v>
      </c>
      <c r="PW18">
        <v>157.26</v>
      </c>
      <c r="PX18">
        <v>38.51</v>
      </c>
      <c r="PY18">
        <v>369.07</v>
      </c>
      <c r="PZ18">
        <v>60.98</v>
      </c>
      <c r="QA18">
        <v>208.61</v>
      </c>
      <c r="QB18">
        <v>4454.57</v>
      </c>
      <c r="QC18">
        <v>51.35</v>
      </c>
      <c r="QD18">
        <v>25.67</v>
      </c>
      <c r="QE18">
        <v>64.19</v>
      </c>
      <c r="QF18">
        <v>25.67</v>
      </c>
      <c r="QG18">
        <v>22.47</v>
      </c>
      <c r="QH18">
        <v>22.47</v>
      </c>
      <c r="QI18">
        <v>19.260000000000002</v>
      </c>
      <c r="QJ18">
        <v>89.86</v>
      </c>
      <c r="QK18">
        <v>44.93</v>
      </c>
      <c r="QL18">
        <v>128.37</v>
      </c>
      <c r="QM18">
        <v>523.12</v>
      </c>
      <c r="QN18">
        <v>2166.31</v>
      </c>
      <c r="QO18">
        <v>44.93</v>
      </c>
      <c r="QP18">
        <v>157.26</v>
      </c>
      <c r="QQ18">
        <v>157.26</v>
      </c>
      <c r="QR18">
        <v>60.98</v>
      </c>
      <c r="QS18">
        <v>908.24</v>
      </c>
      <c r="QT18">
        <v>455.73</v>
      </c>
      <c r="QU18">
        <v>54.56</v>
      </c>
      <c r="QV18">
        <v>89.86</v>
      </c>
      <c r="QW18">
        <v>118.75</v>
      </c>
      <c r="QX18">
        <v>83.44</v>
      </c>
      <c r="QY18">
        <v>115.54</v>
      </c>
      <c r="QZ18">
        <v>80.23</v>
      </c>
      <c r="RA18">
        <v>160.47</v>
      </c>
      <c r="RB18">
        <v>27430.25</v>
      </c>
      <c r="RC18">
        <v>189.35</v>
      </c>
      <c r="RD18">
        <v>2326.77</v>
      </c>
      <c r="RE18">
        <v>202.19</v>
      </c>
      <c r="RF18">
        <v>192.56</v>
      </c>
      <c r="RG18">
        <v>160.47</v>
      </c>
      <c r="RH18">
        <v>105.91</v>
      </c>
      <c r="RI18">
        <v>19.260000000000002</v>
      </c>
      <c r="RJ18">
        <v>41.72</v>
      </c>
      <c r="RK18">
        <v>60.98</v>
      </c>
      <c r="RL18">
        <v>109.12</v>
      </c>
      <c r="RM18">
        <v>51.35</v>
      </c>
      <c r="RN18">
        <v>173.3</v>
      </c>
      <c r="RO18">
        <v>237.49</v>
      </c>
      <c r="RP18">
        <v>102.7</v>
      </c>
      <c r="RQ18">
        <v>208.61</v>
      </c>
      <c r="RR18">
        <v>54.56</v>
      </c>
      <c r="RS18">
        <v>641.87</v>
      </c>
      <c r="RT18">
        <v>250.33</v>
      </c>
      <c r="RU18">
        <v>64.19</v>
      </c>
      <c r="RV18">
        <v>70.61</v>
      </c>
      <c r="RW18">
        <v>1014.15</v>
      </c>
      <c r="RX18">
        <v>1534.07</v>
      </c>
      <c r="RY18">
        <v>1925.61</v>
      </c>
      <c r="RZ18">
        <v>54.56</v>
      </c>
      <c r="SA18">
        <v>221.44</v>
      </c>
      <c r="SB18">
        <v>64.19</v>
      </c>
      <c r="SC18">
        <v>202.19</v>
      </c>
      <c r="SD18">
        <v>1142.53</v>
      </c>
      <c r="SE18">
        <v>600.15</v>
      </c>
      <c r="SF18">
        <v>391.54</v>
      </c>
      <c r="SG18">
        <v>6068.87</v>
      </c>
      <c r="SH18">
        <v>54.56</v>
      </c>
      <c r="SI18">
        <v>41.72</v>
      </c>
      <c r="SJ18">
        <v>144.41999999999999</v>
      </c>
      <c r="SK18">
        <v>80.23</v>
      </c>
      <c r="SL18">
        <v>163.68</v>
      </c>
      <c r="SM18">
        <v>57.77</v>
      </c>
      <c r="SN18">
        <v>182.93</v>
      </c>
      <c r="SO18">
        <v>25.67</v>
      </c>
      <c r="SP18">
        <v>182.93</v>
      </c>
      <c r="SQ18">
        <v>815.17</v>
      </c>
      <c r="SR18">
        <v>587.30999999999995</v>
      </c>
      <c r="SS18">
        <v>622.61</v>
      </c>
      <c r="ST18">
        <v>282.42</v>
      </c>
      <c r="SU18">
        <v>320.93</v>
      </c>
      <c r="SV18">
        <v>189.35</v>
      </c>
      <c r="SW18">
        <v>1694.53</v>
      </c>
      <c r="SX18">
        <v>157.26</v>
      </c>
      <c r="SY18">
        <v>44.93</v>
      </c>
      <c r="SZ18">
        <v>3.12</v>
      </c>
      <c r="TA18">
        <v>67.400000000000006</v>
      </c>
      <c r="TB18">
        <v>1524.44</v>
      </c>
      <c r="TC18">
        <v>458.94</v>
      </c>
      <c r="TD18">
        <v>131.58000000000001</v>
      </c>
      <c r="TE18">
        <v>327.35000000000002</v>
      </c>
      <c r="TF18">
        <v>173.3</v>
      </c>
      <c r="TG18">
        <v>298.47000000000003</v>
      </c>
      <c r="TH18">
        <v>259.95999999999998</v>
      </c>
      <c r="TI18">
        <v>138</v>
      </c>
      <c r="TJ18">
        <v>44.93</v>
      </c>
      <c r="TK18">
        <v>96.28</v>
      </c>
      <c r="TL18">
        <v>70.61</v>
      </c>
      <c r="TM18">
        <v>77.02</v>
      </c>
      <c r="TN18">
        <v>661.12</v>
      </c>
      <c r="TO18">
        <v>343.4</v>
      </c>
      <c r="TP18">
        <v>166.89</v>
      </c>
      <c r="TQ18">
        <v>975.64</v>
      </c>
      <c r="TR18">
        <v>28.88</v>
      </c>
      <c r="TS18">
        <v>458.94</v>
      </c>
      <c r="TT18">
        <v>112.33</v>
      </c>
      <c r="TU18">
        <v>67.400000000000006</v>
      </c>
      <c r="TV18">
        <v>208.61</v>
      </c>
      <c r="TW18">
        <v>516.70000000000005</v>
      </c>
      <c r="TX18">
        <v>163.68</v>
      </c>
      <c r="TY18">
        <v>115.54</v>
      </c>
      <c r="TZ18">
        <v>80.23</v>
      </c>
      <c r="UA18">
        <v>77.02</v>
      </c>
      <c r="UB18">
        <v>115.54</v>
      </c>
      <c r="UC18">
        <v>5850.63</v>
      </c>
      <c r="UD18">
        <v>54.56</v>
      </c>
      <c r="UE18">
        <v>51.35</v>
      </c>
      <c r="UF18">
        <v>818.38</v>
      </c>
      <c r="UG18">
        <v>128.37</v>
      </c>
      <c r="UH18">
        <v>3.12</v>
      </c>
      <c r="UI18">
        <v>22.47</v>
      </c>
      <c r="UJ18">
        <v>73.81</v>
      </c>
      <c r="UK18">
        <v>51.35</v>
      </c>
      <c r="UL18">
        <v>22.47</v>
      </c>
      <c r="UM18">
        <v>16.05</v>
      </c>
      <c r="UN18">
        <v>99.49</v>
      </c>
      <c r="UO18">
        <v>186.14</v>
      </c>
      <c r="UP18">
        <v>12.84</v>
      </c>
      <c r="UQ18">
        <v>93.07</v>
      </c>
      <c r="UR18">
        <v>3.12</v>
      </c>
      <c r="US18">
        <v>64.19</v>
      </c>
      <c r="UT18">
        <v>221.44</v>
      </c>
      <c r="UU18">
        <v>446.1</v>
      </c>
      <c r="UV18">
        <v>362.66</v>
      </c>
      <c r="UW18">
        <v>292.05</v>
      </c>
      <c r="UX18">
        <v>35.299999999999997</v>
      </c>
      <c r="UY18">
        <v>282.42</v>
      </c>
      <c r="UZ18">
        <v>128.37</v>
      </c>
      <c r="VA18">
        <v>1213.1300000000001</v>
      </c>
      <c r="VB18">
        <v>696.43</v>
      </c>
      <c r="VC18">
        <v>89.86</v>
      </c>
      <c r="VD18">
        <v>231.07</v>
      </c>
      <c r="VE18">
        <v>105.91</v>
      </c>
      <c r="VF18">
        <v>202.19</v>
      </c>
      <c r="VG18">
        <v>51.35</v>
      </c>
      <c r="VH18">
        <v>44.93</v>
      </c>
      <c r="VI18">
        <v>77.02</v>
      </c>
      <c r="VJ18">
        <v>41.72</v>
      </c>
      <c r="VK18">
        <v>481.4</v>
      </c>
      <c r="VL18">
        <v>577.67999999999995</v>
      </c>
      <c r="VM18">
        <v>725.31</v>
      </c>
      <c r="VN18">
        <v>182.93</v>
      </c>
      <c r="VO18">
        <v>19.260000000000002</v>
      </c>
      <c r="VP18">
        <v>3.12</v>
      </c>
      <c r="VQ18">
        <v>690.01</v>
      </c>
      <c r="VR18">
        <v>250.33</v>
      </c>
      <c r="VS18">
        <v>433.26</v>
      </c>
      <c r="VT18">
        <v>57.77</v>
      </c>
      <c r="VU18">
        <v>57.77</v>
      </c>
      <c r="VV18">
        <v>70.61</v>
      </c>
      <c r="VW18">
        <v>144.41999999999999</v>
      </c>
      <c r="VX18">
        <v>134.79</v>
      </c>
      <c r="VY18">
        <v>35.299999999999997</v>
      </c>
      <c r="VZ18">
        <v>4858.9399999999996</v>
      </c>
      <c r="WA18">
        <v>4900.67</v>
      </c>
      <c r="WB18">
        <v>308.10000000000002</v>
      </c>
      <c r="WC18">
        <v>89.86</v>
      </c>
      <c r="WD18">
        <v>208.61</v>
      </c>
      <c r="WE18">
        <v>1258.06</v>
      </c>
      <c r="WF18">
        <v>93.07</v>
      </c>
      <c r="WG18">
        <v>186.14</v>
      </c>
      <c r="WH18">
        <v>3170.83</v>
      </c>
      <c r="WI18">
        <v>7005.99</v>
      </c>
      <c r="WJ18">
        <v>4088.7</v>
      </c>
      <c r="WK18">
        <v>138</v>
      </c>
      <c r="WL18">
        <v>240.7</v>
      </c>
      <c r="WM18">
        <v>60.98</v>
      </c>
      <c r="WN18">
        <v>93.07</v>
      </c>
      <c r="WO18">
        <v>12.84</v>
      </c>
      <c r="WP18">
        <v>215.03</v>
      </c>
      <c r="WQ18">
        <v>4682.43</v>
      </c>
      <c r="WR18">
        <v>953.17</v>
      </c>
      <c r="WS18">
        <v>243.91</v>
      </c>
      <c r="WT18">
        <v>25.67</v>
      </c>
      <c r="WU18">
        <v>237.49</v>
      </c>
      <c r="WV18">
        <v>2419.84</v>
      </c>
      <c r="WW18">
        <v>35.299999999999997</v>
      </c>
      <c r="WX18">
        <v>86.65</v>
      </c>
      <c r="WY18">
        <v>22.47</v>
      </c>
      <c r="WZ18">
        <v>77.02</v>
      </c>
      <c r="XA18">
        <v>12.84</v>
      </c>
      <c r="XB18">
        <v>449.31</v>
      </c>
      <c r="XC18">
        <v>60.98</v>
      </c>
      <c r="XD18">
        <v>706.06</v>
      </c>
      <c r="XE18">
        <v>138</v>
      </c>
      <c r="XF18">
        <v>799.13</v>
      </c>
      <c r="XG18">
        <v>369.07</v>
      </c>
      <c r="XH18">
        <v>166.89</v>
      </c>
      <c r="XI18">
        <v>702.85</v>
      </c>
      <c r="XJ18">
        <v>147.63</v>
      </c>
      <c r="XK18">
        <v>385.12</v>
      </c>
      <c r="XL18">
        <v>327.35000000000002</v>
      </c>
      <c r="XM18">
        <v>80.23</v>
      </c>
      <c r="XN18">
        <v>369.07</v>
      </c>
      <c r="XO18">
        <v>73.81</v>
      </c>
      <c r="XP18">
        <v>73.81</v>
      </c>
      <c r="XQ18">
        <v>67.400000000000006</v>
      </c>
      <c r="XR18">
        <v>22.47</v>
      </c>
      <c r="XS18">
        <v>4091.91</v>
      </c>
      <c r="XT18">
        <v>176.51</v>
      </c>
      <c r="XU18">
        <v>292.05</v>
      </c>
      <c r="XV18">
        <v>401.17</v>
      </c>
      <c r="XW18">
        <v>1152.1500000000001</v>
      </c>
      <c r="XX18">
        <v>1081.55</v>
      </c>
      <c r="XY18">
        <v>1312.62</v>
      </c>
      <c r="XZ18">
        <v>147.63</v>
      </c>
      <c r="YA18">
        <v>731.73</v>
      </c>
      <c r="YB18">
        <v>102.7</v>
      </c>
      <c r="YC18">
        <v>54.56</v>
      </c>
      <c r="YD18">
        <v>840.85</v>
      </c>
      <c r="YE18">
        <v>266.38</v>
      </c>
      <c r="YF18">
        <v>555.22</v>
      </c>
      <c r="YG18">
        <v>96.28</v>
      </c>
      <c r="YH18">
        <v>64.19</v>
      </c>
      <c r="YI18">
        <v>44.93</v>
      </c>
      <c r="YJ18">
        <v>198.98</v>
      </c>
      <c r="YK18">
        <v>3.12</v>
      </c>
      <c r="YL18">
        <v>112.33</v>
      </c>
      <c r="YM18">
        <v>2898.04</v>
      </c>
      <c r="YN18">
        <v>391.54</v>
      </c>
      <c r="YO18">
        <v>356.24</v>
      </c>
      <c r="YP18">
        <v>933.92</v>
      </c>
      <c r="YQ18">
        <v>189.35</v>
      </c>
      <c r="YR18">
        <v>80.23</v>
      </c>
      <c r="YS18">
        <v>4932.76</v>
      </c>
      <c r="YT18">
        <v>179.72</v>
      </c>
      <c r="YU18">
        <v>198.98</v>
      </c>
      <c r="YV18">
        <v>157.26</v>
      </c>
      <c r="YW18">
        <v>64.19</v>
      </c>
      <c r="YX18">
        <v>93.07</v>
      </c>
      <c r="YY18">
        <v>231.07</v>
      </c>
      <c r="YZ18">
        <v>16.05</v>
      </c>
      <c r="ZA18">
        <v>202.19</v>
      </c>
      <c r="ZB18">
        <v>38.51</v>
      </c>
      <c r="ZC18">
        <v>25.67</v>
      </c>
      <c r="ZD18">
        <v>118.75</v>
      </c>
      <c r="ZE18">
        <v>25.67</v>
      </c>
      <c r="ZF18">
        <v>96.28</v>
      </c>
      <c r="ZG18">
        <v>189.35</v>
      </c>
      <c r="ZH18">
        <v>134.79</v>
      </c>
      <c r="ZI18">
        <v>940.34</v>
      </c>
      <c r="ZJ18">
        <v>603.36</v>
      </c>
      <c r="ZK18">
        <v>134.79</v>
      </c>
      <c r="ZL18">
        <v>44.93</v>
      </c>
      <c r="ZM18">
        <v>160.47</v>
      </c>
      <c r="ZN18">
        <v>38.51</v>
      </c>
      <c r="ZO18">
        <v>77.02</v>
      </c>
      <c r="ZP18">
        <v>259.95999999999998</v>
      </c>
      <c r="ZQ18">
        <v>3.12</v>
      </c>
      <c r="ZR18">
        <v>16.05</v>
      </c>
      <c r="ZS18">
        <v>558.42999999999995</v>
      </c>
      <c r="ZT18">
        <v>118.75</v>
      </c>
      <c r="ZU18">
        <v>221.44</v>
      </c>
      <c r="ZV18">
        <v>22.47</v>
      </c>
      <c r="ZW18">
        <v>22.47</v>
      </c>
      <c r="ZX18">
        <v>51.35</v>
      </c>
      <c r="ZY18">
        <v>439.68</v>
      </c>
      <c r="ZZ18">
        <v>105.91</v>
      </c>
      <c r="AAA18">
        <v>99.49</v>
      </c>
      <c r="AAB18">
        <v>112.33</v>
      </c>
      <c r="AAC18">
        <v>57.77</v>
      </c>
      <c r="AAD18">
        <v>70.61</v>
      </c>
      <c r="AAE18">
        <v>48.14</v>
      </c>
      <c r="AAF18">
        <v>22.47</v>
      </c>
      <c r="AAG18">
        <v>154.05000000000001</v>
      </c>
      <c r="AAH18">
        <v>166.89</v>
      </c>
      <c r="AAI18">
        <v>3963.54</v>
      </c>
      <c r="AAJ18">
        <v>638.66</v>
      </c>
      <c r="AAK18">
        <v>869.73</v>
      </c>
      <c r="AAL18">
        <v>176.51</v>
      </c>
      <c r="AAM18">
        <v>44.93</v>
      </c>
      <c r="AAN18">
        <v>125.16</v>
      </c>
      <c r="AAO18">
        <v>102.7</v>
      </c>
      <c r="AAP18">
        <v>141.21</v>
      </c>
      <c r="AAQ18">
        <v>28.88</v>
      </c>
      <c r="AAR18">
        <v>54.56</v>
      </c>
      <c r="AAS18">
        <v>1184.25</v>
      </c>
      <c r="AAT18">
        <v>19.260000000000002</v>
      </c>
      <c r="AAU18">
        <v>12.84</v>
      </c>
      <c r="AAV18">
        <v>1360.76</v>
      </c>
      <c r="AAW18">
        <v>105.91</v>
      </c>
      <c r="AAX18">
        <v>54.56</v>
      </c>
      <c r="AAY18">
        <v>89.86</v>
      </c>
      <c r="AAZ18">
        <v>77.02</v>
      </c>
      <c r="ABA18">
        <v>561.63</v>
      </c>
      <c r="ABB18">
        <v>211.82</v>
      </c>
      <c r="ABC18">
        <v>924.29</v>
      </c>
      <c r="ABD18">
        <v>1039.83</v>
      </c>
      <c r="ABE18">
        <v>263.17</v>
      </c>
      <c r="ABF18">
        <v>250.33</v>
      </c>
      <c r="ABG18">
        <v>64.19</v>
      </c>
      <c r="ABH18">
        <v>231.07</v>
      </c>
      <c r="ABI18">
        <v>44.93</v>
      </c>
      <c r="ABJ18">
        <v>32.090000000000003</v>
      </c>
      <c r="ABK18">
        <v>32.090000000000003</v>
      </c>
      <c r="ABL18">
        <v>54.56</v>
      </c>
      <c r="ABM18">
        <v>51.35</v>
      </c>
      <c r="ABN18">
        <v>141.21</v>
      </c>
      <c r="ABO18">
        <v>12.84</v>
      </c>
      <c r="ABP18">
        <v>96.28</v>
      </c>
      <c r="ABQ18">
        <v>166.89</v>
      </c>
      <c r="ABR18">
        <v>99.49</v>
      </c>
      <c r="ABS18">
        <v>497.45</v>
      </c>
      <c r="ABT18">
        <v>25.67</v>
      </c>
      <c r="ABU18">
        <v>44.93</v>
      </c>
      <c r="ABV18">
        <v>109.12</v>
      </c>
      <c r="ABW18">
        <v>449.31</v>
      </c>
      <c r="ABX18">
        <v>603.36</v>
      </c>
      <c r="ABY18">
        <v>170.1</v>
      </c>
      <c r="ABZ18">
        <v>170.1</v>
      </c>
      <c r="ACA18">
        <v>276</v>
      </c>
      <c r="ACB18">
        <v>195.77</v>
      </c>
      <c r="ACC18">
        <v>83.44</v>
      </c>
      <c r="ACD18">
        <v>128.37</v>
      </c>
      <c r="ACE18">
        <v>176.51</v>
      </c>
      <c r="ACF18">
        <v>3164.41</v>
      </c>
      <c r="ACG18">
        <v>2467.98</v>
      </c>
      <c r="ACH18">
        <v>266.38</v>
      </c>
      <c r="ACI18">
        <v>343.4</v>
      </c>
      <c r="ACJ18">
        <v>577.67999999999995</v>
      </c>
      <c r="ACK18">
        <v>320.93</v>
      </c>
      <c r="ACL18">
        <v>35.299999999999997</v>
      </c>
      <c r="ACM18">
        <v>253.54</v>
      </c>
      <c r="ACN18">
        <v>237.49</v>
      </c>
      <c r="ACO18">
        <v>757.4</v>
      </c>
      <c r="ACP18">
        <v>404.38</v>
      </c>
      <c r="ACQ18">
        <v>276</v>
      </c>
      <c r="ACR18">
        <v>5776.82</v>
      </c>
    </row>
    <row r="19" spans="1:772" x14ac:dyDescent="0.3">
      <c r="A19" t="s">
        <v>10</v>
      </c>
      <c r="B19" t="s">
        <v>3</v>
      </c>
      <c r="C19">
        <v>799.37</v>
      </c>
      <c r="D19">
        <v>95.73</v>
      </c>
      <c r="E19">
        <v>540.89</v>
      </c>
      <c r="F19">
        <v>23.93</v>
      </c>
      <c r="G19">
        <v>507.39</v>
      </c>
      <c r="H19">
        <v>105.31</v>
      </c>
      <c r="I19">
        <v>627.04999999999995</v>
      </c>
      <c r="J19">
        <v>6404.55</v>
      </c>
      <c r="K19">
        <v>244.12</v>
      </c>
      <c r="L19">
        <v>110.09</v>
      </c>
      <c r="M19">
        <v>186.68</v>
      </c>
      <c r="N19">
        <v>617.48</v>
      </c>
      <c r="O19">
        <v>90.95</v>
      </c>
      <c r="P19">
        <v>215.4</v>
      </c>
      <c r="Q19">
        <v>124.45</v>
      </c>
      <c r="R19">
        <v>406.87</v>
      </c>
      <c r="S19">
        <v>67.010000000000005</v>
      </c>
      <c r="T19">
        <v>823.31</v>
      </c>
      <c r="U19">
        <v>244.12</v>
      </c>
      <c r="V19">
        <v>339.85</v>
      </c>
      <c r="W19">
        <v>540.89</v>
      </c>
      <c r="X19">
        <v>2.29</v>
      </c>
      <c r="Y19">
        <v>177.11</v>
      </c>
      <c r="Z19">
        <v>339.85</v>
      </c>
      <c r="AA19">
        <v>114.88</v>
      </c>
      <c r="AB19">
        <v>435.59</v>
      </c>
      <c r="AC19">
        <v>224.97</v>
      </c>
      <c r="AD19">
        <v>100.52</v>
      </c>
      <c r="AE19">
        <v>205.83</v>
      </c>
      <c r="AF19">
        <v>26901.02</v>
      </c>
      <c r="AG19">
        <v>134.03</v>
      </c>
      <c r="AH19">
        <v>134.03</v>
      </c>
      <c r="AI19">
        <v>86.16</v>
      </c>
      <c r="AJ19">
        <v>521.75</v>
      </c>
      <c r="AK19">
        <v>71.8</v>
      </c>
      <c r="AL19">
        <v>71.8</v>
      </c>
      <c r="AM19">
        <v>172.32</v>
      </c>
      <c r="AN19">
        <v>67.010000000000005</v>
      </c>
      <c r="AO19">
        <v>674.92</v>
      </c>
      <c r="AP19">
        <v>95.73</v>
      </c>
      <c r="AQ19">
        <v>114.88</v>
      </c>
      <c r="AR19">
        <v>57.44</v>
      </c>
      <c r="AS19">
        <v>86.16</v>
      </c>
      <c r="AT19">
        <v>14.36</v>
      </c>
      <c r="AU19">
        <v>71.8</v>
      </c>
      <c r="AV19">
        <v>627.04999999999995</v>
      </c>
      <c r="AW19">
        <v>229.76</v>
      </c>
      <c r="AX19">
        <v>1522.16</v>
      </c>
      <c r="AY19">
        <v>47.87</v>
      </c>
      <c r="AZ19">
        <v>62.23</v>
      </c>
      <c r="BA19">
        <v>196.25</v>
      </c>
      <c r="BB19">
        <v>593.54999999999995</v>
      </c>
      <c r="BC19">
        <v>71.8</v>
      </c>
      <c r="BD19">
        <v>23.93</v>
      </c>
      <c r="BE19">
        <v>287.2</v>
      </c>
      <c r="BF19">
        <v>469.09</v>
      </c>
      <c r="BG19">
        <v>76.59</v>
      </c>
      <c r="BH19">
        <v>38.29</v>
      </c>
      <c r="BI19">
        <v>28.72</v>
      </c>
      <c r="BJ19">
        <v>57.44</v>
      </c>
      <c r="BK19">
        <v>177.11</v>
      </c>
      <c r="BL19">
        <v>306.35000000000002</v>
      </c>
      <c r="BM19">
        <v>23.93</v>
      </c>
      <c r="BN19">
        <v>62.23</v>
      </c>
      <c r="BO19">
        <v>43.08</v>
      </c>
      <c r="BP19">
        <v>43.08</v>
      </c>
      <c r="BQ19">
        <v>28.72</v>
      </c>
      <c r="BR19">
        <v>138.81</v>
      </c>
      <c r="BS19">
        <v>100.52</v>
      </c>
      <c r="BT19">
        <v>1976.89</v>
      </c>
      <c r="BU19">
        <v>167.53</v>
      </c>
      <c r="BV19">
        <v>110.09</v>
      </c>
      <c r="BW19">
        <v>469.09</v>
      </c>
      <c r="BX19">
        <v>459.52</v>
      </c>
      <c r="BY19">
        <v>220.19</v>
      </c>
      <c r="BZ19">
        <v>880.75</v>
      </c>
      <c r="CA19">
        <v>119.67</v>
      </c>
      <c r="CB19">
        <v>291.99</v>
      </c>
      <c r="CC19">
        <v>81.37</v>
      </c>
      <c r="CD19">
        <v>124.45</v>
      </c>
      <c r="CE19">
        <v>339.85</v>
      </c>
      <c r="CF19">
        <v>440.37</v>
      </c>
      <c r="CG19">
        <v>38.29</v>
      </c>
      <c r="CH19">
        <v>253.69</v>
      </c>
      <c r="CI19">
        <v>47.87</v>
      </c>
      <c r="CJ19">
        <v>43.08</v>
      </c>
      <c r="CK19">
        <v>167.53</v>
      </c>
      <c r="CL19">
        <v>114.88</v>
      </c>
      <c r="CM19">
        <v>162.75</v>
      </c>
      <c r="CN19">
        <v>124.45</v>
      </c>
      <c r="CO19">
        <v>47.87</v>
      </c>
      <c r="CP19">
        <v>2.29</v>
      </c>
      <c r="CQ19">
        <v>76.59</v>
      </c>
      <c r="CR19">
        <v>57.44</v>
      </c>
      <c r="CS19">
        <v>14.36</v>
      </c>
      <c r="CT19">
        <v>28.72</v>
      </c>
      <c r="CU19">
        <v>86.16</v>
      </c>
      <c r="CV19">
        <v>148.38999999999999</v>
      </c>
      <c r="CW19">
        <v>952.55</v>
      </c>
      <c r="CX19">
        <v>57.44</v>
      </c>
      <c r="CY19">
        <v>196.25</v>
      </c>
      <c r="CZ19">
        <v>81.37</v>
      </c>
      <c r="DA19">
        <v>33.51</v>
      </c>
      <c r="DB19">
        <v>119.67</v>
      </c>
      <c r="DC19">
        <v>129.24</v>
      </c>
      <c r="DD19">
        <v>52.65</v>
      </c>
      <c r="DE19">
        <v>67.010000000000005</v>
      </c>
      <c r="DF19">
        <v>416.44</v>
      </c>
      <c r="DG19">
        <v>23.93</v>
      </c>
      <c r="DH19">
        <v>1952.96</v>
      </c>
      <c r="DI19">
        <v>14.36</v>
      </c>
      <c r="DJ19">
        <v>33.51</v>
      </c>
      <c r="DK19">
        <v>138.81</v>
      </c>
      <c r="DL19">
        <v>564.83000000000004</v>
      </c>
      <c r="DM19">
        <v>57.44</v>
      </c>
      <c r="DN19">
        <v>19.149999999999999</v>
      </c>
      <c r="DO19">
        <v>62.23</v>
      </c>
      <c r="DP19">
        <v>76.59</v>
      </c>
      <c r="DQ19">
        <v>1799.78</v>
      </c>
      <c r="DR19">
        <v>71.8</v>
      </c>
      <c r="DS19">
        <v>28.72</v>
      </c>
      <c r="DT19">
        <v>38.29</v>
      </c>
      <c r="DU19">
        <v>5236.6000000000004</v>
      </c>
      <c r="DV19">
        <v>23.93</v>
      </c>
      <c r="DW19">
        <v>19.149999999999999</v>
      </c>
      <c r="DX19">
        <v>105.31</v>
      </c>
      <c r="DY19">
        <v>71.8</v>
      </c>
      <c r="DZ19">
        <v>81.37</v>
      </c>
      <c r="EA19">
        <v>62.23</v>
      </c>
      <c r="EB19">
        <v>114.88</v>
      </c>
      <c r="EC19">
        <v>57.44</v>
      </c>
      <c r="ED19">
        <v>81.37</v>
      </c>
      <c r="EE19">
        <v>2.29</v>
      </c>
      <c r="EF19">
        <v>2737.97</v>
      </c>
      <c r="EG19">
        <v>909.47</v>
      </c>
      <c r="EH19">
        <v>62.23</v>
      </c>
      <c r="EI19">
        <v>67.010000000000005</v>
      </c>
      <c r="EJ19">
        <v>349.43</v>
      </c>
      <c r="EK19">
        <v>239.33</v>
      </c>
      <c r="EL19">
        <v>2350.25</v>
      </c>
      <c r="EM19">
        <v>148.38999999999999</v>
      </c>
      <c r="EN19">
        <v>210.61</v>
      </c>
      <c r="EO19">
        <v>622.27</v>
      </c>
      <c r="EP19">
        <v>90.95</v>
      </c>
      <c r="EQ19">
        <v>1976.89</v>
      </c>
      <c r="ER19">
        <v>23.93</v>
      </c>
      <c r="ES19">
        <v>52.65</v>
      </c>
      <c r="ET19">
        <v>14.36</v>
      </c>
      <c r="EU19">
        <v>224.97</v>
      </c>
      <c r="EV19">
        <v>119.67</v>
      </c>
      <c r="EW19">
        <v>47.87</v>
      </c>
      <c r="EX19">
        <v>124.45</v>
      </c>
      <c r="EY19">
        <v>62.23</v>
      </c>
      <c r="EZ19">
        <v>90.95</v>
      </c>
      <c r="FA19">
        <v>81.37</v>
      </c>
      <c r="FB19">
        <v>23.93</v>
      </c>
      <c r="FC19">
        <v>67.010000000000005</v>
      </c>
      <c r="FD19">
        <v>110.09</v>
      </c>
      <c r="FE19">
        <v>2431.62</v>
      </c>
      <c r="FF19">
        <v>47.87</v>
      </c>
      <c r="FG19">
        <v>1397.7</v>
      </c>
      <c r="FH19">
        <v>2522.5700000000002</v>
      </c>
      <c r="FI19">
        <v>81.37</v>
      </c>
      <c r="FJ19">
        <v>181.89</v>
      </c>
      <c r="FK19">
        <v>564.83000000000004</v>
      </c>
      <c r="FL19">
        <v>162.75</v>
      </c>
      <c r="FM19">
        <v>253.69</v>
      </c>
      <c r="FN19">
        <v>76.59</v>
      </c>
      <c r="FO19">
        <v>47.87</v>
      </c>
      <c r="FP19">
        <v>2.29</v>
      </c>
      <c r="FQ19">
        <v>33.51</v>
      </c>
      <c r="FR19">
        <v>2.29</v>
      </c>
      <c r="FS19">
        <v>2.29</v>
      </c>
      <c r="FT19">
        <v>76.59</v>
      </c>
      <c r="FU19">
        <v>1756.7</v>
      </c>
      <c r="FV19">
        <v>3101.76</v>
      </c>
      <c r="FW19">
        <v>43.08</v>
      </c>
      <c r="FX19">
        <v>287.2</v>
      </c>
      <c r="FY19">
        <v>57.44</v>
      </c>
      <c r="FZ19">
        <v>904.68</v>
      </c>
      <c r="GA19">
        <v>4834.53</v>
      </c>
      <c r="GB19">
        <v>818.52</v>
      </c>
      <c r="GC19">
        <v>23.93</v>
      </c>
      <c r="GD19">
        <v>224.97</v>
      </c>
      <c r="GE19">
        <v>210.61</v>
      </c>
      <c r="GF19">
        <v>157.96</v>
      </c>
      <c r="GG19">
        <v>995.63</v>
      </c>
      <c r="GH19">
        <v>296.77</v>
      </c>
      <c r="GI19">
        <v>1033.92</v>
      </c>
      <c r="GJ19">
        <v>440.37</v>
      </c>
      <c r="GK19">
        <v>4671.78</v>
      </c>
      <c r="GL19">
        <v>2666.17</v>
      </c>
      <c r="GM19">
        <v>47.87</v>
      </c>
      <c r="GN19">
        <v>43.08</v>
      </c>
      <c r="GO19">
        <v>526.53</v>
      </c>
      <c r="GP19">
        <v>71.8</v>
      </c>
      <c r="GQ19">
        <v>71.8</v>
      </c>
      <c r="GR19">
        <v>1201.45</v>
      </c>
      <c r="GS19">
        <v>234.55</v>
      </c>
      <c r="GT19">
        <v>359</v>
      </c>
      <c r="GU19">
        <v>47.87</v>
      </c>
      <c r="GV19">
        <v>62.23</v>
      </c>
      <c r="GW19">
        <v>234.55</v>
      </c>
      <c r="GX19">
        <v>114.88</v>
      </c>
      <c r="GY19">
        <v>153.16999999999999</v>
      </c>
      <c r="GZ19">
        <v>134.03</v>
      </c>
      <c r="HA19">
        <v>349.43</v>
      </c>
      <c r="HB19">
        <v>378.15</v>
      </c>
      <c r="HC19">
        <v>86.16</v>
      </c>
      <c r="HD19">
        <v>1546.09</v>
      </c>
      <c r="HE19">
        <v>57.44</v>
      </c>
      <c r="HF19">
        <v>2977.3</v>
      </c>
      <c r="HG19">
        <v>201.04</v>
      </c>
      <c r="HH19">
        <v>134.03</v>
      </c>
      <c r="HI19">
        <v>86.16</v>
      </c>
      <c r="HJ19">
        <v>220.19</v>
      </c>
      <c r="HK19">
        <v>703.64</v>
      </c>
      <c r="HL19">
        <v>301.56</v>
      </c>
      <c r="HM19">
        <v>76.59</v>
      </c>
      <c r="HN19">
        <v>928.61</v>
      </c>
      <c r="HO19">
        <v>95.73</v>
      </c>
      <c r="HP19">
        <v>38.29</v>
      </c>
      <c r="HQ19">
        <v>5452</v>
      </c>
      <c r="HR19">
        <v>201.04</v>
      </c>
      <c r="HS19">
        <v>2.29</v>
      </c>
      <c r="HT19">
        <v>81.37</v>
      </c>
      <c r="HU19">
        <v>143.6</v>
      </c>
      <c r="HV19">
        <v>43.08</v>
      </c>
      <c r="HW19">
        <v>4087.81</v>
      </c>
      <c r="HX19">
        <v>28.72</v>
      </c>
      <c r="HY19">
        <v>28.72</v>
      </c>
      <c r="HZ19">
        <v>177.11</v>
      </c>
      <c r="IA19">
        <v>239.33</v>
      </c>
      <c r="IB19">
        <v>47.87</v>
      </c>
      <c r="IC19">
        <v>134.03</v>
      </c>
      <c r="ID19">
        <v>47.87</v>
      </c>
      <c r="IE19">
        <v>19.149999999999999</v>
      </c>
      <c r="IF19">
        <v>473.88</v>
      </c>
      <c r="IG19">
        <v>62.23</v>
      </c>
      <c r="IH19">
        <v>2.29</v>
      </c>
      <c r="II19">
        <v>832.88</v>
      </c>
      <c r="IJ19">
        <v>62.23</v>
      </c>
      <c r="IK19">
        <v>57.44</v>
      </c>
      <c r="IL19">
        <v>291.99</v>
      </c>
      <c r="IM19">
        <v>186.68</v>
      </c>
      <c r="IN19">
        <v>191.47</v>
      </c>
      <c r="IO19">
        <v>224.97</v>
      </c>
      <c r="IP19">
        <v>110.09</v>
      </c>
      <c r="IQ19">
        <v>38.29</v>
      </c>
      <c r="IR19">
        <v>33.51</v>
      </c>
      <c r="IS19">
        <v>57.44</v>
      </c>
      <c r="IT19">
        <v>62.23</v>
      </c>
      <c r="IU19">
        <v>220.19</v>
      </c>
      <c r="IV19">
        <v>253.69</v>
      </c>
      <c r="IW19">
        <v>464.31</v>
      </c>
      <c r="IX19">
        <v>3393.74</v>
      </c>
      <c r="IY19">
        <v>71.8</v>
      </c>
      <c r="IZ19">
        <v>47.87</v>
      </c>
      <c r="JA19">
        <v>205.83</v>
      </c>
      <c r="JB19">
        <v>138.81</v>
      </c>
      <c r="JC19">
        <v>105.31</v>
      </c>
      <c r="JD19">
        <v>153.16999999999999</v>
      </c>
      <c r="JE19">
        <v>47.87</v>
      </c>
      <c r="JF19">
        <v>47.87</v>
      </c>
      <c r="JG19">
        <v>43.08</v>
      </c>
      <c r="JH19">
        <v>1144.01</v>
      </c>
      <c r="JI19">
        <v>1043.49</v>
      </c>
      <c r="JJ19">
        <v>756.29</v>
      </c>
      <c r="JK19">
        <v>90.95</v>
      </c>
      <c r="JL19">
        <v>191.47</v>
      </c>
      <c r="JM19">
        <v>33.51</v>
      </c>
      <c r="JN19">
        <v>43.08</v>
      </c>
      <c r="JO19">
        <v>574.4</v>
      </c>
      <c r="JP19">
        <v>339.85</v>
      </c>
      <c r="JQ19">
        <v>1182.3</v>
      </c>
      <c r="JR19">
        <v>14.36</v>
      </c>
      <c r="JS19">
        <v>28.72</v>
      </c>
      <c r="JT19">
        <v>157.96</v>
      </c>
      <c r="JU19">
        <v>47.87</v>
      </c>
      <c r="JV19">
        <v>291.99</v>
      </c>
      <c r="JW19">
        <v>167.53</v>
      </c>
      <c r="JX19">
        <v>105.31</v>
      </c>
      <c r="JY19">
        <v>124.45</v>
      </c>
      <c r="JZ19">
        <v>33.51</v>
      </c>
      <c r="KA19">
        <v>14.36</v>
      </c>
      <c r="KB19">
        <v>52.65</v>
      </c>
      <c r="KC19">
        <v>33.51</v>
      </c>
      <c r="KD19">
        <v>19.149999999999999</v>
      </c>
      <c r="KE19">
        <v>67.010000000000005</v>
      </c>
      <c r="KF19">
        <v>86.16</v>
      </c>
      <c r="KG19">
        <v>177.11</v>
      </c>
      <c r="KH19">
        <v>43.08</v>
      </c>
      <c r="KI19">
        <v>224.97</v>
      </c>
      <c r="KJ19">
        <v>67.010000000000005</v>
      </c>
      <c r="KK19">
        <v>134.03</v>
      </c>
      <c r="KL19">
        <v>71.8</v>
      </c>
      <c r="KM19">
        <v>47.87</v>
      </c>
      <c r="KN19">
        <v>71.8</v>
      </c>
      <c r="KO19">
        <v>540.89</v>
      </c>
      <c r="KP19">
        <v>71.8</v>
      </c>
      <c r="KQ19">
        <v>2977.3</v>
      </c>
      <c r="KR19">
        <v>291.99</v>
      </c>
      <c r="KS19">
        <v>976.48</v>
      </c>
      <c r="KT19">
        <v>11464.05</v>
      </c>
      <c r="KU19">
        <v>24857.119999999999</v>
      </c>
      <c r="KV19">
        <v>3163.98</v>
      </c>
      <c r="KW19">
        <v>277.63</v>
      </c>
      <c r="KX19">
        <v>239.33</v>
      </c>
      <c r="KY19">
        <v>67.010000000000005</v>
      </c>
      <c r="KZ19">
        <v>28.72</v>
      </c>
      <c r="LA19">
        <v>698.85</v>
      </c>
      <c r="LB19">
        <v>780.23</v>
      </c>
      <c r="LC19">
        <v>1546.09</v>
      </c>
      <c r="LD19">
        <v>19.149999999999999</v>
      </c>
      <c r="LE19">
        <v>320.70999999999998</v>
      </c>
      <c r="LF19">
        <v>2321.5300000000002</v>
      </c>
      <c r="LG19">
        <v>1838.08</v>
      </c>
      <c r="LH19">
        <v>780.23</v>
      </c>
      <c r="LI19">
        <v>5839.72</v>
      </c>
      <c r="LJ19">
        <v>464.31</v>
      </c>
      <c r="LK19">
        <v>670.13</v>
      </c>
      <c r="LL19">
        <v>105.31</v>
      </c>
      <c r="LM19">
        <v>2.29</v>
      </c>
      <c r="LN19">
        <v>143.6</v>
      </c>
      <c r="LO19">
        <v>114.88</v>
      </c>
      <c r="LP19">
        <v>1373.77</v>
      </c>
      <c r="LQ19">
        <v>153.16999999999999</v>
      </c>
      <c r="LR19">
        <v>114.88</v>
      </c>
      <c r="LS19">
        <v>19.149999999999999</v>
      </c>
      <c r="LT19">
        <v>38.29</v>
      </c>
      <c r="LU19">
        <v>110.09</v>
      </c>
      <c r="LV19">
        <v>110.09</v>
      </c>
      <c r="LW19">
        <v>1785.42</v>
      </c>
      <c r="LX19">
        <v>1325.9</v>
      </c>
      <c r="LY19">
        <v>545.67999999999995</v>
      </c>
      <c r="LZ19">
        <v>6155.64</v>
      </c>
      <c r="MA19">
        <v>162.75</v>
      </c>
      <c r="MB19">
        <v>1005.2</v>
      </c>
      <c r="MC19">
        <v>287.2</v>
      </c>
      <c r="MD19">
        <v>33.51</v>
      </c>
      <c r="ME19">
        <v>220.19</v>
      </c>
      <c r="MF19">
        <v>335.07</v>
      </c>
      <c r="MG19">
        <v>1742.34</v>
      </c>
      <c r="MH19">
        <v>646.20000000000005</v>
      </c>
      <c r="MI19">
        <v>95.73</v>
      </c>
      <c r="MJ19">
        <v>191.47</v>
      </c>
      <c r="MK19">
        <v>19.149999999999999</v>
      </c>
      <c r="ML19">
        <v>449.95</v>
      </c>
      <c r="MM19">
        <v>655.77</v>
      </c>
      <c r="MN19">
        <v>301.56</v>
      </c>
      <c r="MO19">
        <v>52.65</v>
      </c>
      <c r="MP19">
        <v>38.29</v>
      </c>
      <c r="MQ19">
        <v>114.88</v>
      </c>
      <c r="MR19">
        <v>38.29</v>
      </c>
      <c r="MS19">
        <v>234.55</v>
      </c>
      <c r="MT19">
        <v>1287.6099999999999</v>
      </c>
      <c r="MU19">
        <v>52.65</v>
      </c>
      <c r="MV19">
        <v>100.52</v>
      </c>
      <c r="MW19">
        <v>62.23</v>
      </c>
      <c r="MX19">
        <v>43.08</v>
      </c>
      <c r="MY19">
        <v>62.23</v>
      </c>
      <c r="MZ19">
        <v>105.31</v>
      </c>
      <c r="NA19">
        <v>52.65</v>
      </c>
      <c r="NB19">
        <v>306.35000000000002</v>
      </c>
      <c r="NC19">
        <v>224.97</v>
      </c>
      <c r="ND19">
        <v>1670.54</v>
      </c>
      <c r="NE19">
        <v>885.53</v>
      </c>
      <c r="NF19">
        <v>52.65</v>
      </c>
      <c r="NG19">
        <v>23.93</v>
      </c>
      <c r="NH19">
        <v>105.31</v>
      </c>
      <c r="NI19">
        <v>215.4</v>
      </c>
      <c r="NJ19">
        <v>148.38999999999999</v>
      </c>
      <c r="NK19">
        <v>148.38999999999999</v>
      </c>
      <c r="NL19">
        <v>186.68</v>
      </c>
      <c r="NM19">
        <v>2986.88</v>
      </c>
      <c r="NN19">
        <v>770.65</v>
      </c>
      <c r="NO19">
        <v>62.23</v>
      </c>
      <c r="NP19">
        <v>19.149999999999999</v>
      </c>
      <c r="NQ19">
        <v>2331.1</v>
      </c>
      <c r="NR19">
        <v>306.35000000000002</v>
      </c>
      <c r="NS19">
        <v>459.52</v>
      </c>
      <c r="NT19">
        <v>277.63</v>
      </c>
      <c r="NU19">
        <v>1134.44</v>
      </c>
      <c r="NV19">
        <v>205.83</v>
      </c>
      <c r="NW19">
        <v>86.16</v>
      </c>
      <c r="NX19">
        <v>124.45</v>
      </c>
      <c r="NY19">
        <v>81.37</v>
      </c>
      <c r="NZ19">
        <v>378.15</v>
      </c>
      <c r="OA19">
        <v>215.4</v>
      </c>
      <c r="OB19">
        <v>387.72</v>
      </c>
      <c r="OC19">
        <v>636.63</v>
      </c>
      <c r="OD19">
        <v>157.96</v>
      </c>
      <c r="OE19">
        <v>1407.28</v>
      </c>
      <c r="OF19">
        <v>23.93</v>
      </c>
      <c r="OG19">
        <v>1613.1</v>
      </c>
      <c r="OH19">
        <v>81.37</v>
      </c>
      <c r="OI19">
        <v>119.67</v>
      </c>
      <c r="OJ19">
        <v>119.67</v>
      </c>
      <c r="OK19">
        <v>1158.3699999999999</v>
      </c>
      <c r="OL19">
        <v>526.53</v>
      </c>
      <c r="OM19">
        <v>1120.08</v>
      </c>
      <c r="ON19">
        <v>148.38999999999999</v>
      </c>
      <c r="OO19">
        <v>244.12</v>
      </c>
      <c r="OP19">
        <v>129.24</v>
      </c>
      <c r="OQ19">
        <v>315.92</v>
      </c>
      <c r="OR19">
        <v>38.29</v>
      </c>
      <c r="OS19">
        <v>445.16</v>
      </c>
      <c r="OT19">
        <v>296.77</v>
      </c>
      <c r="OU19">
        <v>119.67</v>
      </c>
      <c r="OV19">
        <v>493.03</v>
      </c>
      <c r="OW19">
        <v>90.95</v>
      </c>
      <c r="OX19">
        <v>33.51</v>
      </c>
      <c r="OY19">
        <v>153.16999999999999</v>
      </c>
      <c r="OZ19">
        <v>86.16</v>
      </c>
      <c r="PA19">
        <v>57.44</v>
      </c>
      <c r="PB19">
        <v>100.52</v>
      </c>
      <c r="PC19">
        <v>19.149999999999999</v>
      </c>
      <c r="PD19">
        <v>47.87</v>
      </c>
      <c r="PE19">
        <v>62.23</v>
      </c>
      <c r="PF19">
        <v>301.56</v>
      </c>
      <c r="PG19">
        <v>62.23</v>
      </c>
      <c r="PH19">
        <v>47.87</v>
      </c>
      <c r="PI19">
        <v>52.65</v>
      </c>
      <c r="PJ19">
        <v>3580.42</v>
      </c>
      <c r="PK19">
        <v>7730.45</v>
      </c>
      <c r="PL19">
        <v>67.010000000000005</v>
      </c>
      <c r="PM19">
        <v>7582.07</v>
      </c>
      <c r="PN19">
        <v>564.83000000000004</v>
      </c>
      <c r="PO19">
        <v>172.32</v>
      </c>
      <c r="PP19">
        <v>813.73</v>
      </c>
      <c r="PQ19">
        <v>124.45</v>
      </c>
      <c r="PR19">
        <v>138.81</v>
      </c>
      <c r="PS19">
        <v>47.87</v>
      </c>
      <c r="PT19">
        <v>52.65</v>
      </c>
      <c r="PU19">
        <v>148.38999999999999</v>
      </c>
      <c r="PV19">
        <v>67.010000000000005</v>
      </c>
      <c r="PW19">
        <v>138.81</v>
      </c>
      <c r="PX19">
        <v>67.010000000000005</v>
      </c>
      <c r="PY19">
        <v>378.15</v>
      </c>
      <c r="PZ19">
        <v>33.51</v>
      </c>
      <c r="QA19">
        <v>186.68</v>
      </c>
      <c r="QB19">
        <v>7567.71</v>
      </c>
      <c r="QC19">
        <v>23.93</v>
      </c>
      <c r="QD19">
        <v>2.29</v>
      </c>
      <c r="QE19">
        <v>47.87</v>
      </c>
      <c r="QF19">
        <v>14.36</v>
      </c>
      <c r="QG19">
        <v>2.29</v>
      </c>
      <c r="QH19">
        <v>19.149999999999999</v>
      </c>
      <c r="QI19">
        <v>23.93</v>
      </c>
      <c r="QJ19">
        <v>110.09</v>
      </c>
      <c r="QK19">
        <v>33.51</v>
      </c>
      <c r="QL19">
        <v>191.47</v>
      </c>
      <c r="QM19">
        <v>368.57</v>
      </c>
      <c r="QN19">
        <v>1301.97</v>
      </c>
      <c r="QO19">
        <v>2.29</v>
      </c>
      <c r="QP19">
        <v>234.55</v>
      </c>
      <c r="QQ19">
        <v>134.03</v>
      </c>
      <c r="QR19">
        <v>71.8</v>
      </c>
      <c r="QS19">
        <v>483.45</v>
      </c>
      <c r="QT19">
        <v>344.64</v>
      </c>
      <c r="QU19">
        <v>76.59</v>
      </c>
      <c r="QV19">
        <v>71.8</v>
      </c>
      <c r="QW19">
        <v>105.31</v>
      </c>
      <c r="QX19">
        <v>110.09</v>
      </c>
      <c r="QY19">
        <v>153.16999999999999</v>
      </c>
      <c r="QZ19">
        <v>76.59</v>
      </c>
      <c r="RA19">
        <v>119.67</v>
      </c>
      <c r="RB19">
        <v>28772.61</v>
      </c>
      <c r="RC19">
        <v>306.35000000000002</v>
      </c>
      <c r="RD19">
        <v>1799.78</v>
      </c>
      <c r="RE19">
        <v>167.53</v>
      </c>
      <c r="RF19">
        <v>253.69</v>
      </c>
      <c r="RG19">
        <v>110.09</v>
      </c>
      <c r="RH19">
        <v>110.09</v>
      </c>
      <c r="RI19">
        <v>28.72</v>
      </c>
      <c r="RJ19">
        <v>134.03</v>
      </c>
      <c r="RK19">
        <v>33.51</v>
      </c>
      <c r="RL19">
        <v>90.95</v>
      </c>
      <c r="RM19">
        <v>67.010000000000005</v>
      </c>
      <c r="RN19">
        <v>100.52</v>
      </c>
      <c r="RO19">
        <v>148.38999999999999</v>
      </c>
      <c r="RP19">
        <v>105.31</v>
      </c>
      <c r="RQ19">
        <v>162.75</v>
      </c>
      <c r="RR19">
        <v>23.93</v>
      </c>
      <c r="RS19">
        <v>397.29</v>
      </c>
      <c r="RT19">
        <v>258.48</v>
      </c>
      <c r="RU19">
        <v>43.08</v>
      </c>
      <c r="RV19">
        <v>86.16</v>
      </c>
      <c r="RW19">
        <v>531.32000000000005</v>
      </c>
      <c r="RX19">
        <v>923.83</v>
      </c>
      <c r="RY19">
        <v>1033.92</v>
      </c>
      <c r="RZ19">
        <v>57.44</v>
      </c>
      <c r="SA19">
        <v>220.19</v>
      </c>
      <c r="SB19">
        <v>110.09</v>
      </c>
      <c r="SC19">
        <v>148.38999999999999</v>
      </c>
      <c r="SD19">
        <v>909.47</v>
      </c>
      <c r="SE19">
        <v>545.67999999999995</v>
      </c>
      <c r="SF19">
        <v>445.16</v>
      </c>
      <c r="SG19">
        <v>4801.0200000000004</v>
      </c>
      <c r="SH19">
        <v>81.37</v>
      </c>
      <c r="SI19">
        <v>28.72</v>
      </c>
      <c r="SJ19">
        <v>191.47</v>
      </c>
      <c r="SK19">
        <v>177.11</v>
      </c>
      <c r="SL19">
        <v>143.6</v>
      </c>
      <c r="SM19">
        <v>71.8</v>
      </c>
      <c r="SN19">
        <v>186.68</v>
      </c>
      <c r="SO19">
        <v>43.08</v>
      </c>
      <c r="SP19">
        <v>129.24</v>
      </c>
      <c r="SQ19">
        <v>660.56</v>
      </c>
      <c r="SR19">
        <v>359</v>
      </c>
      <c r="SS19">
        <v>512.16999999999996</v>
      </c>
      <c r="ST19">
        <v>282.41000000000003</v>
      </c>
      <c r="SU19">
        <v>339.85</v>
      </c>
      <c r="SV19">
        <v>186.68</v>
      </c>
      <c r="SW19">
        <v>919.04</v>
      </c>
      <c r="SX19">
        <v>148.38999999999999</v>
      </c>
      <c r="SY19">
        <v>81.37</v>
      </c>
      <c r="SZ19">
        <v>33.51</v>
      </c>
      <c r="TA19">
        <v>67.010000000000005</v>
      </c>
      <c r="TB19">
        <v>1014.77</v>
      </c>
      <c r="TC19">
        <v>382.93</v>
      </c>
      <c r="TD19">
        <v>81.37</v>
      </c>
      <c r="TE19">
        <v>282.41000000000003</v>
      </c>
      <c r="TF19">
        <v>196.25</v>
      </c>
      <c r="TG19">
        <v>311.13</v>
      </c>
      <c r="TH19">
        <v>124.45</v>
      </c>
      <c r="TI19">
        <v>119.67</v>
      </c>
      <c r="TJ19">
        <v>43.08</v>
      </c>
      <c r="TK19">
        <v>138.81</v>
      </c>
      <c r="TL19">
        <v>62.23</v>
      </c>
      <c r="TM19">
        <v>57.44</v>
      </c>
      <c r="TN19">
        <v>674.92</v>
      </c>
      <c r="TO19">
        <v>210.61</v>
      </c>
      <c r="TP19">
        <v>177.11</v>
      </c>
      <c r="TQ19">
        <v>516.96</v>
      </c>
      <c r="TR19">
        <v>33.51</v>
      </c>
      <c r="TS19">
        <v>373.36</v>
      </c>
      <c r="TT19">
        <v>81.37</v>
      </c>
      <c r="TU19">
        <v>47.87</v>
      </c>
      <c r="TV19">
        <v>119.67</v>
      </c>
      <c r="TW19">
        <v>196.25</v>
      </c>
      <c r="TX19">
        <v>153.16999999999999</v>
      </c>
      <c r="TY19">
        <v>114.88</v>
      </c>
      <c r="TZ19">
        <v>28.72</v>
      </c>
      <c r="UA19">
        <v>86.16</v>
      </c>
      <c r="UB19">
        <v>124.45</v>
      </c>
      <c r="UC19">
        <v>5102.58</v>
      </c>
      <c r="UD19">
        <v>62.23</v>
      </c>
      <c r="UE19">
        <v>62.23</v>
      </c>
      <c r="UF19">
        <v>933.4</v>
      </c>
      <c r="UG19">
        <v>76.59</v>
      </c>
      <c r="UH19">
        <v>23.93</v>
      </c>
      <c r="UI19">
        <v>47.87</v>
      </c>
      <c r="UJ19">
        <v>62.23</v>
      </c>
      <c r="UK19">
        <v>114.88</v>
      </c>
      <c r="UL19">
        <v>67.010000000000005</v>
      </c>
      <c r="UM19">
        <v>57.44</v>
      </c>
      <c r="UN19">
        <v>105.31</v>
      </c>
      <c r="UO19">
        <v>148.38999999999999</v>
      </c>
      <c r="UP19">
        <v>2.29</v>
      </c>
      <c r="UQ19">
        <v>57.44</v>
      </c>
      <c r="UR19">
        <v>23.93</v>
      </c>
      <c r="US19">
        <v>57.44</v>
      </c>
      <c r="UT19">
        <v>301.56</v>
      </c>
      <c r="UU19">
        <v>287.2</v>
      </c>
      <c r="UV19">
        <v>320.70999999999998</v>
      </c>
      <c r="UW19">
        <v>493.03</v>
      </c>
      <c r="UX19">
        <v>19.149999999999999</v>
      </c>
      <c r="UY19">
        <v>268.05</v>
      </c>
      <c r="UZ19">
        <v>119.67</v>
      </c>
      <c r="VA19">
        <v>1033.92</v>
      </c>
      <c r="VB19">
        <v>603.12</v>
      </c>
      <c r="VC19">
        <v>81.37</v>
      </c>
      <c r="VD19">
        <v>186.68</v>
      </c>
      <c r="VE19">
        <v>76.59</v>
      </c>
      <c r="VF19">
        <v>177.11</v>
      </c>
      <c r="VG19">
        <v>86.16</v>
      </c>
      <c r="VH19">
        <v>43.08</v>
      </c>
      <c r="VI19">
        <v>57.44</v>
      </c>
      <c r="VJ19">
        <v>33.51</v>
      </c>
      <c r="VK19">
        <v>378.15</v>
      </c>
      <c r="VL19">
        <v>416.44</v>
      </c>
      <c r="VM19">
        <v>531.32000000000005</v>
      </c>
      <c r="VN19">
        <v>201.04</v>
      </c>
      <c r="VO19">
        <v>14.36</v>
      </c>
      <c r="VP19">
        <v>2.29</v>
      </c>
      <c r="VQ19">
        <v>507.39</v>
      </c>
      <c r="VR19">
        <v>205.83</v>
      </c>
      <c r="VS19">
        <v>315.92</v>
      </c>
      <c r="VT19">
        <v>38.29</v>
      </c>
      <c r="VU19">
        <v>67.010000000000005</v>
      </c>
      <c r="VV19">
        <v>43.08</v>
      </c>
      <c r="VW19">
        <v>95.73</v>
      </c>
      <c r="VX19">
        <v>148.38999999999999</v>
      </c>
      <c r="VY19">
        <v>19.149999999999999</v>
      </c>
      <c r="VZ19">
        <v>3838.9</v>
      </c>
      <c r="WA19">
        <v>3862.83</v>
      </c>
      <c r="WB19">
        <v>258.48</v>
      </c>
      <c r="WC19">
        <v>105.31</v>
      </c>
      <c r="WD19">
        <v>177.11</v>
      </c>
      <c r="WE19">
        <v>756.29</v>
      </c>
      <c r="WF19">
        <v>110.09</v>
      </c>
      <c r="WG19">
        <v>177.11</v>
      </c>
      <c r="WH19">
        <v>3044.32</v>
      </c>
      <c r="WI19">
        <v>6672.6</v>
      </c>
      <c r="WJ19">
        <v>2680.53</v>
      </c>
      <c r="WK19">
        <v>186.68</v>
      </c>
      <c r="WL19">
        <v>215.4</v>
      </c>
      <c r="WM19">
        <v>110.09</v>
      </c>
      <c r="WN19">
        <v>76.59</v>
      </c>
      <c r="WO19">
        <v>2.29</v>
      </c>
      <c r="WP19">
        <v>272.83999999999997</v>
      </c>
      <c r="WQ19">
        <v>1804.57</v>
      </c>
      <c r="WR19">
        <v>703.64</v>
      </c>
      <c r="WS19">
        <v>201.04</v>
      </c>
      <c r="WT19">
        <v>47.87</v>
      </c>
      <c r="WU19">
        <v>291.99</v>
      </c>
      <c r="WV19">
        <v>2005.61</v>
      </c>
      <c r="WW19">
        <v>67.010000000000005</v>
      </c>
      <c r="WX19">
        <v>76.59</v>
      </c>
      <c r="WY19">
        <v>62.23</v>
      </c>
      <c r="WZ19">
        <v>47.87</v>
      </c>
      <c r="XA19">
        <v>28.72</v>
      </c>
      <c r="XB19">
        <v>478.67</v>
      </c>
      <c r="XC19">
        <v>23.93</v>
      </c>
      <c r="XD19">
        <v>311.13</v>
      </c>
      <c r="XE19">
        <v>220.19</v>
      </c>
      <c r="XF19">
        <v>478.67</v>
      </c>
      <c r="XG19">
        <v>387.72</v>
      </c>
      <c r="XH19">
        <v>110.09</v>
      </c>
      <c r="XI19">
        <v>588.76</v>
      </c>
      <c r="XJ19">
        <v>177.11</v>
      </c>
      <c r="XK19">
        <v>268.05</v>
      </c>
      <c r="XL19">
        <v>239.33</v>
      </c>
      <c r="XM19">
        <v>52.65</v>
      </c>
      <c r="XN19">
        <v>258.48</v>
      </c>
      <c r="XO19">
        <v>52.65</v>
      </c>
      <c r="XP19">
        <v>28.72</v>
      </c>
      <c r="XQ19">
        <v>76.59</v>
      </c>
      <c r="XR19">
        <v>47.87</v>
      </c>
      <c r="XS19">
        <v>5782.28</v>
      </c>
      <c r="XT19">
        <v>110.09</v>
      </c>
      <c r="XU19">
        <v>215.4</v>
      </c>
      <c r="XV19">
        <v>277.63</v>
      </c>
      <c r="XW19">
        <v>1359.41</v>
      </c>
      <c r="XX19">
        <v>923.83</v>
      </c>
      <c r="XY19">
        <v>1009.99</v>
      </c>
      <c r="XZ19">
        <v>148.38999999999999</v>
      </c>
      <c r="YA19">
        <v>583.97</v>
      </c>
      <c r="YB19">
        <v>153.16999999999999</v>
      </c>
      <c r="YC19">
        <v>33.51</v>
      </c>
      <c r="YD19">
        <v>914.25</v>
      </c>
      <c r="YE19">
        <v>287.2</v>
      </c>
      <c r="YF19">
        <v>636.63</v>
      </c>
      <c r="YG19">
        <v>105.31</v>
      </c>
      <c r="YH19">
        <v>28.72</v>
      </c>
      <c r="YI19">
        <v>57.44</v>
      </c>
      <c r="YJ19">
        <v>148.38999999999999</v>
      </c>
      <c r="YK19">
        <v>2.29</v>
      </c>
      <c r="YL19">
        <v>110.09</v>
      </c>
      <c r="YM19">
        <v>1727.98</v>
      </c>
      <c r="YN19">
        <v>282.41000000000003</v>
      </c>
      <c r="YO19">
        <v>258.48</v>
      </c>
      <c r="YP19">
        <v>885.53</v>
      </c>
      <c r="YQ19">
        <v>153.16999999999999</v>
      </c>
      <c r="YR19">
        <v>81.37</v>
      </c>
      <c r="YS19">
        <v>3446.39</v>
      </c>
      <c r="YT19">
        <v>224.97</v>
      </c>
      <c r="YU19">
        <v>100.52</v>
      </c>
      <c r="YV19">
        <v>119.67</v>
      </c>
      <c r="YW19">
        <v>47.87</v>
      </c>
      <c r="YX19">
        <v>57.44</v>
      </c>
      <c r="YY19">
        <v>244.12</v>
      </c>
      <c r="YZ19">
        <v>28.72</v>
      </c>
      <c r="ZA19">
        <v>177.11</v>
      </c>
      <c r="ZB19">
        <v>57.44</v>
      </c>
      <c r="ZC19">
        <v>23.93</v>
      </c>
      <c r="ZD19">
        <v>181.89</v>
      </c>
      <c r="ZE19">
        <v>43.08</v>
      </c>
      <c r="ZF19">
        <v>129.24</v>
      </c>
      <c r="ZG19">
        <v>234.55</v>
      </c>
      <c r="ZH19">
        <v>124.45</v>
      </c>
      <c r="ZI19">
        <v>641.41</v>
      </c>
      <c r="ZJ19">
        <v>986.05</v>
      </c>
      <c r="ZK19">
        <v>172.32</v>
      </c>
      <c r="ZL19">
        <v>52.65</v>
      </c>
      <c r="ZM19">
        <v>210.61</v>
      </c>
      <c r="ZN19">
        <v>57.44</v>
      </c>
      <c r="ZO19">
        <v>57.44</v>
      </c>
      <c r="ZP19">
        <v>306.35000000000002</v>
      </c>
      <c r="ZQ19">
        <v>2.29</v>
      </c>
      <c r="ZR19">
        <v>19.149999999999999</v>
      </c>
      <c r="ZS19">
        <v>473.88</v>
      </c>
      <c r="ZT19">
        <v>172.32</v>
      </c>
      <c r="ZU19">
        <v>138.81</v>
      </c>
      <c r="ZV19">
        <v>28.72</v>
      </c>
      <c r="ZW19">
        <v>33.51</v>
      </c>
      <c r="ZX19">
        <v>81.37</v>
      </c>
      <c r="ZY19">
        <v>411.65</v>
      </c>
      <c r="ZZ19">
        <v>110.09</v>
      </c>
      <c r="AAA19">
        <v>71.8</v>
      </c>
      <c r="AAB19">
        <v>86.16</v>
      </c>
      <c r="AAC19">
        <v>57.44</v>
      </c>
      <c r="AAD19">
        <v>67.010000000000005</v>
      </c>
      <c r="AAE19">
        <v>67.010000000000005</v>
      </c>
      <c r="AAF19">
        <v>2.29</v>
      </c>
      <c r="AAG19">
        <v>119.67</v>
      </c>
      <c r="AAH19">
        <v>148.38999999999999</v>
      </c>
      <c r="AAI19">
        <v>3101.76</v>
      </c>
      <c r="AAJ19">
        <v>598.33000000000004</v>
      </c>
      <c r="AAK19">
        <v>737.15</v>
      </c>
      <c r="AAL19">
        <v>186.68</v>
      </c>
      <c r="AAM19">
        <v>81.37</v>
      </c>
      <c r="AAN19">
        <v>157.96</v>
      </c>
      <c r="AAO19">
        <v>81.37</v>
      </c>
      <c r="AAP19">
        <v>119.67</v>
      </c>
      <c r="AAQ19">
        <v>43.08</v>
      </c>
      <c r="AAR19">
        <v>57.44</v>
      </c>
      <c r="AAS19">
        <v>818.52</v>
      </c>
      <c r="AAT19">
        <v>33.51</v>
      </c>
      <c r="AAU19">
        <v>2.29</v>
      </c>
      <c r="AAV19">
        <v>1234.96</v>
      </c>
      <c r="AAW19">
        <v>119.67</v>
      </c>
      <c r="AAX19">
        <v>100.52</v>
      </c>
      <c r="AAY19">
        <v>90.95</v>
      </c>
      <c r="AAZ19">
        <v>57.44</v>
      </c>
      <c r="ABA19">
        <v>392.51</v>
      </c>
      <c r="ABB19">
        <v>205.83</v>
      </c>
      <c r="ABC19">
        <v>885.53</v>
      </c>
      <c r="ABD19">
        <v>813.73</v>
      </c>
      <c r="ABE19">
        <v>201.04</v>
      </c>
      <c r="ABF19">
        <v>296.77</v>
      </c>
      <c r="ABG19">
        <v>71.8</v>
      </c>
      <c r="ABH19">
        <v>191.47</v>
      </c>
      <c r="ABI19">
        <v>71.8</v>
      </c>
      <c r="ABJ19">
        <v>67.010000000000005</v>
      </c>
      <c r="ABK19">
        <v>28.72</v>
      </c>
      <c r="ABL19">
        <v>57.44</v>
      </c>
      <c r="ABM19">
        <v>62.23</v>
      </c>
      <c r="ABN19">
        <v>110.09</v>
      </c>
      <c r="ABO19">
        <v>33.51</v>
      </c>
      <c r="ABP19">
        <v>47.87</v>
      </c>
      <c r="ABQ19">
        <v>186.68</v>
      </c>
      <c r="ABR19">
        <v>52.65</v>
      </c>
      <c r="ABS19">
        <v>483.45</v>
      </c>
      <c r="ABT19">
        <v>23.93</v>
      </c>
      <c r="ABU19">
        <v>52.65</v>
      </c>
      <c r="ABV19">
        <v>138.81</v>
      </c>
      <c r="ABW19">
        <v>339.85</v>
      </c>
      <c r="ABX19">
        <v>493.03</v>
      </c>
      <c r="ABY19">
        <v>244.12</v>
      </c>
      <c r="ABZ19">
        <v>167.53</v>
      </c>
      <c r="ACA19">
        <v>258.48</v>
      </c>
      <c r="ACB19">
        <v>191.47</v>
      </c>
      <c r="ACC19">
        <v>138.81</v>
      </c>
      <c r="ACD19">
        <v>100.52</v>
      </c>
      <c r="ACE19">
        <v>157.96</v>
      </c>
      <c r="ACF19">
        <v>2618.3000000000002</v>
      </c>
      <c r="ACG19">
        <v>1550.88</v>
      </c>
      <c r="ACH19">
        <v>205.83</v>
      </c>
      <c r="ACI19">
        <v>268.05</v>
      </c>
      <c r="ACJ19">
        <v>488.24</v>
      </c>
      <c r="ACK19">
        <v>244.12</v>
      </c>
      <c r="ACL19">
        <v>28.72</v>
      </c>
      <c r="ACM19">
        <v>186.68</v>
      </c>
      <c r="ACN19">
        <v>177.11</v>
      </c>
      <c r="ACO19">
        <v>780.23</v>
      </c>
      <c r="ACP19">
        <v>234.55</v>
      </c>
      <c r="ACQ19">
        <v>248.91</v>
      </c>
      <c r="ACR19">
        <v>3824.54</v>
      </c>
    </row>
    <row r="20" spans="1:772" x14ac:dyDescent="0.3">
      <c r="A20" t="s">
        <v>11</v>
      </c>
      <c r="B20" t="s">
        <v>1</v>
      </c>
      <c r="C20">
        <v>1242.33</v>
      </c>
      <c r="D20">
        <v>65.78</v>
      </c>
      <c r="E20">
        <v>642.74</v>
      </c>
      <c r="F20">
        <v>10.78</v>
      </c>
      <c r="G20">
        <v>7678.32</v>
      </c>
      <c r="H20">
        <v>56.08</v>
      </c>
      <c r="I20">
        <v>1421.35</v>
      </c>
      <c r="J20">
        <v>18954.23</v>
      </c>
      <c r="K20">
        <v>459.4</v>
      </c>
      <c r="L20">
        <v>14.02</v>
      </c>
      <c r="M20">
        <v>98.14</v>
      </c>
      <c r="N20">
        <v>1580.96</v>
      </c>
      <c r="O20">
        <v>87.35</v>
      </c>
      <c r="P20">
        <v>331.07</v>
      </c>
      <c r="Q20">
        <v>57.16</v>
      </c>
      <c r="R20">
        <v>1056.8499999999999</v>
      </c>
      <c r="S20">
        <v>23.73</v>
      </c>
      <c r="T20">
        <v>928.52</v>
      </c>
      <c r="U20">
        <v>228.62</v>
      </c>
      <c r="V20">
        <v>254.51</v>
      </c>
      <c r="W20">
        <v>1844.09</v>
      </c>
      <c r="X20">
        <v>6.97</v>
      </c>
      <c r="Y20">
        <v>422.74</v>
      </c>
      <c r="Z20">
        <v>479.89</v>
      </c>
      <c r="AA20">
        <v>83.04</v>
      </c>
      <c r="AB20">
        <v>1281.1600000000001</v>
      </c>
      <c r="AC20">
        <v>785.09</v>
      </c>
      <c r="AD20">
        <v>115.39</v>
      </c>
      <c r="AE20">
        <v>353.72</v>
      </c>
      <c r="AF20">
        <v>25385.89</v>
      </c>
      <c r="AG20">
        <v>280.39</v>
      </c>
      <c r="AH20">
        <v>321.37</v>
      </c>
      <c r="AI20">
        <v>60.39</v>
      </c>
      <c r="AJ20">
        <v>559.70000000000005</v>
      </c>
      <c r="AK20">
        <v>147.74</v>
      </c>
      <c r="AL20">
        <v>97.06</v>
      </c>
      <c r="AM20">
        <v>427.05</v>
      </c>
      <c r="AN20">
        <v>72.25</v>
      </c>
      <c r="AO20">
        <v>908.03</v>
      </c>
      <c r="AP20">
        <v>19.41</v>
      </c>
      <c r="AQ20">
        <v>149.9</v>
      </c>
      <c r="AR20">
        <v>17.25</v>
      </c>
      <c r="AS20">
        <v>23.73</v>
      </c>
      <c r="AT20">
        <v>7.55</v>
      </c>
      <c r="AU20">
        <v>9.7100000000000009</v>
      </c>
      <c r="AV20">
        <v>1483.9</v>
      </c>
      <c r="AW20">
        <v>648.13</v>
      </c>
      <c r="AX20">
        <v>8604.67</v>
      </c>
      <c r="AY20">
        <v>28.04</v>
      </c>
      <c r="AZ20">
        <v>55</v>
      </c>
      <c r="BA20">
        <v>342.94</v>
      </c>
      <c r="BB20">
        <v>565.09</v>
      </c>
      <c r="BC20">
        <v>17.25</v>
      </c>
      <c r="BD20">
        <v>8.6300000000000008</v>
      </c>
      <c r="BE20">
        <v>191.96</v>
      </c>
      <c r="BF20">
        <v>254.51</v>
      </c>
      <c r="BG20">
        <v>40.98</v>
      </c>
      <c r="BH20">
        <v>11.86</v>
      </c>
      <c r="BI20">
        <v>11.86</v>
      </c>
      <c r="BJ20">
        <v>7.55</v>
      </c>
      <c r="BK20">
        <v>511.17</v>
      </c>
      <c r="BL20">
        <v>496.07</v>
      </c>
      <c r="BM20">
        <v>73.33</v>
      </c>
      <c r="BN20">
        <v>71.180000000000007</v>
      </c>
      <c r="BO20">
        <v>143.43</v>
      </c>
      <c r="BP20">
        <v>9.7100000000000009</v>
      </c>
      <c r="BQ20">
        <v>23.73</v>
      </c>
      <c r="BR20">
        <v>50.69</v>
      </c>
      <c r="BS20">
        <v>8.6300000000000008</v>
      </c>
      <c r="BT20">
        <v>645.97</v>
      </c>
      <c r="BU20">
        <v>224.31</v>
      </c>
      <c r="BV20">
        <v>21.57</v>
      </c>
      <c r="BW20">
        <v>89.51</v>
      </c>
      <c r="BX20">
        <v>433.52</v>
      </c>
      <c r="BY20">
        <v>133.72</v>
      </c>
      <c r="BZ20">
        <v>322.45</v>
      </c>
      <c r="CA20">
        <v>57.16</v>
      </c>
      <c r="CB20">
        <v>21.57</v>
      </c>
      <c r="CC20">
        <v>11.86</v>
      </c>
      <c r="CD20">
        <v>49.61</v>
      </c>
      <c r="CE20">
        <v>298.72000000000003</v>
      </c>
      <c r="CF20">
        <v>638.41999999999996</v>
      </c>
      <c r="CG20">
        <v>39.9</v>
      </c>
      <c r="CH20">
        <v>251.27</v>
      </c>
      <c r="CI20">
        <v>6.97</v>
      </c>
      <c r="CJ20">
        <v>15.1</v>
      </c>
      <c r="CK20">
        <v>38.82</v>
      </c>
      <c r="CL20">
        <v>59.31</v>
      </c>
      <c r="CM20">
        <v>262.05</v>
      </c>
      <c r="CN20">
        <v>73.33</v>
      </c>
      <c r="CO20">
        <v>24.8</v>
      </c>
      <c r="CP20">
        <v>6.97</v>
      </c>
      <c r="CQ20">
        <v>23.73</v>
      </c>
      <c r="CR20">
        <v>42.06</v>
      </c>
      <c r="CS20">
        <v>6.97</v>
      </c>
      <c r="CT20">
        <v>15.1</v>
      </c>
      <c r="CU20">
        <v>25.88</v>
      </c>
      <c r="CV20">
        <v>62.55</v>
      </c>
      <c r="CW20">
        <v>1763.21</v>
      </c>
      <c r="CX20">
        <v>18.329999999999998</v>
      </c>
      <c r="CY20">
        <v>218.92</v>
      </c>
      <c r="CZ20">
        <v>98.14</v>
      </c>
      <c r="DA20">
        <v>6.97</v>
      </c>
      <c r="DB20">
        <v>57.16</v>
      </c>
      <c r="DC20">
        <v>59.31</v>
      </c>
      <c r="DD20">
        <v>11.86</v>
      </c>
      <c r="DE20">
        <v>39.9</v>
      </c>
      <c r="DF20">
        <v>218.92</v>
      </c>
      <c r="DG20">
        <v>7.55</v>
      </c>
      <c r="DH20">
        <v>5991.67</v>
      </c>
      <c r="DI20">
        <v>22.65</v>
      </c>
      <c r="DJ20">
        <v>24.8</v>
      </c>
      <c r="DK20">
        <v>125.1</v>
      </c>
      <c r="DL20">
        <v>2037.13</v>
      </c>
      <c r="DM20">
        <v>50.69</v>
      </c>
      <c r="DN20">
        <v>22.65</v>
      </c>
      <c r="DO20">
        <v>78.72</v>
      </c>
      <c r="DP20">
        <v>22.65</v>
      </c>
      <c r="DQ20">
        <v>1819.29</v>
      </c>
      <c r="DR20">
        <v>42.06</v>
      </c>
      <c r="DS20">
        <v>21.57</v>
      </c>
      <c r="DT20">
        <v>23.73</v>
      </c>
      <c r="DU20">
        <v>2209.67</v>
      </c>
      <c r="DV20">
        <v>11.86</v>
      </c>
      <c r="DW20">
        <v>15.1</v>
      </c>
      <c r="DX20">
        <v>48.53</v>
      </c>
      <c r="DY20">
        <v>93.82</v>
      </c>
      <c r="DZ20">
        <v>73.33</v>
      </c>
      <c r="EA20">
        <v>29.12</v>
      </c>
      <c r="EB20">
        <v>34.51</v>
      </c>
      <c r="EC20">
        <v>21.57</v>
      </c>
      <c r="ED20">
        <v>40.98</v>
      </c>
      <c r="EE20">
        <v>6.97</v>
      </c>
      <c r="EF20">
        <v>4544.4399999999996</v>
      </c>
      <c r="EG20">
        <v>2515.94</v>
      </c>
      <c r="EH20">
        <v>22.65</v>
      </c>
      <c r="EI20">
        <v>37.74</v>
      </c>
      <c r="EJ20">
        <v>525.19000000000005</v>
      </c>
      <c r="EK20">
        <v>552.15</v>
      </c>
      <c r="EL20">
        <v>4933.75</v>
      </c>
      <c r="EM20">
        <v>374.21</v>
      </c>
      <c r="EN20">
        <v>69.02</v>
      </c>
      <c r="EO20">
        <v>571.55999999999995</v>
      </c>
      <c r="EP20">
        <v>18.329999999999998</v>
      </c>
      <c r="EQ20">
        <v>3481.12</v>
      </c>
      <c r="ER20">
        <v>14.02</v>
      </c>
      <c r="ES20">
        <v>12.94</v>
      </c>
      <c r="ET20">
        <v>21.57</v>
      </c>
      <c r="EU20">
        <v>407.64</v>
      </c>
      <c r="EV20">
        <v>25.88</v>
      </c>
      <c r="EW20">
        <v>20.49</v>
      </c>
      <c r="EX20">
        <v>89.51</v>
      </c>
      <c r="EY20">
        <v>48.53</v>
      </c>
      <c r="EZ20">
        <v>6.97</v>
      </c>
      <c r="FA20">
        <v>59.31</v>
      </c>
      <c r="FB20">
        <v>9.7100000000000009</v>
      </c>
      <c r="FC20">
        <v>229.7</v>
      </c>
      <c r="FD20">
        <v>23.73</v>
      </c>
      <c r="FE20">
        <v>10631.02</v>
      </c>
      <c r="FF20">
        <v>36.67</v>
      </c>
      <c r="FG20">
        <v>2598.98</v>
      </c>
      <c r="FH20">
        <v>5293.94</v>
      </c>
      <c r="FI20">
        <v>37.74</v>
      </c>
      <c r="FJ20">
        <v>367.74</v>
      </c>
      <c r="FK20">
        <v>281.47000000000003</v>
      </c>
      <c r="FL20">
        <v>44.22</v>
      </c>
      <c r="FM20">
        <v>194.11</v>
      </c>
      <c r="FN20">
        <v>37.74</v>
      </c>
      <c r="FO20">
        <v>35.590000000000003</v>
      </c>
      <c r="FP20">
        <v>6.97</v>
      </c>
      <c r="FQ20">
        <v>31.27</v>
      </c>
      <c r="FR20">
        <v>14.02</v>
      </c>
      <c r="FS20">
        <v>6.97</v>
      </c>
      <c r="FT20">
        <v>31.27</v>
      </c>
      <c r="FU20">
        <v>3274.07</v>
      </c>
      <c r="FV20">
        <v>745.18</v>
      </c>
      <c r="FW20">
        <v>16.18</v>
      </c>
      <c r="FX20">
        <v>50.69</v>
      </c>
      <c r="FY20">
        <v>19.41</v>
      </c>
      <c r="FZ20">
        <v>934.99</v>
      </c>
      <c r="GA20">
        <v>48.53</v>
      </c>
      <c r="GB20">
        <v>12.94</v>
      </c>
      <c r="GC20">
        <v>29.12</v>
      </c>
      <c r="GD20">
        <v>503.62</v>
      </c>
      <c r="GE20">
        <v>881.07</v>
      </c>
      <c r="GF20">
        <v>269.60000000000002</v>
      </c>
      <c r="GG20">
        <v>671.85</v>
      </c>
      <c r="GH20">
        <v>231.86</v>
      </c>
      <c r="GI20">
        <v>1545.37</v>
      </c>
      <c r="GJ20">
        <v>23.73</v>
      </c>
      <c r="GK20">
        <v>3262.21</v>
      </c>
      <c r="GL20">
        <v>59.31</v>
      </c>
      <c r="GM20">
        <v>9.7100000000000009</v>
      </c>
      <c r="GN20">
        <v>15.1</v>
      </c>
      <c r="GO20">
        <v>345.09</v>
      </c>
      <c r="GP20">
        <v>30.2</v>
      </c>
      <c r="GQ20">
        <v>38.82</v>
      </c>
      <c r="GR20">
        <v>173.62</v>
      </c>
      <c r="GS20">
        <v>380.68</v>
      </c>
      <c r="GT20">
        <v>1054.69</v>
      </c>
      <c r="GU20">
        <v>11.86</v>
      </c>
      <c r="GV20">
        <v>8.6300000000000008</v>
      </c>
      <c r="GW20">
        <v>76.569999999999993</v>
      </c>
      <c r="GX20">
        <v>350.48</v>
      </c>
      <c r="GY20">
        <v>34.51</v>
      </c>
      <c r="GZ20">
        <v>128.33000000000001</v>
      </c>
      <c r="HA20">
        <v>339.7</v>
      </c>
      <c r="HB20">
        <v>430.29</v>
      </c>
      <c r="HC20">
        <v>194.11</v>
      </c>
      <c r="HD20">
        <v>2061.9299999999998</v>
      </c>
      <c r="HE20">
        <v>17.25</v>
      </c>
      <c r="HF20">
        <v>2372.5100000000002</v>
      </c>
      <c r="HG20">
        <v>136.96</v>
      </c>
      <c r="HH20">
        <v>378.52</v>
      </c>
      <c r="HI20">
        <v>6.97</v>
      </c>
      <c r="HJ20">
        <v>686.95</v>
      </c>
      <c r="HK20">
        <v>8951.92</v>
      </c>
      <c r="HL20">
        <v>445.39</v>
      </c>
      <c r="HM20">
        <v>150.97999999999999</v>
      </c>
      <c r="HN20">
        <v>3322.6</v>
      </c>
      <c r="HO20">
        <v>6.97</v>
      </c>
      <c r="HP20">
        <v>87.35</v>
      </c>
      <c r="HQ20">
        <v>9625.93</v>
      </c>
      <c r="HR20">
        <v>62.55</v>
      </c>
      <c r="HS20">
        <v>17.25</v>
      </c>
      <c r="HT20">
        <v>97.06</v>
      </c>
      <c r="HU20">
        <v>246.96</v>
      </c>
      <c r="HV20">
        <v>115.39</v>
      </c>
      <c r="HW20">
        <v>9271.1299999999992</v>
      </c>
      <c r="HX20">
        <v>17.25</v>
      </c>
      <c r="HY20">
        <v>12.94</v>
      </c>
      <c r="HZ20">
        <v>146.66</v>
      </c>
      <c r="IA20">
        <v>308.43</v>
      </c>
      <c r="IB20">
        <v>98.14</v>
      </c>
      <c r="IC20">
        <v>20.49</v>
      </c>
      <c r="ID20">
        <v>37.74</v>
      </c>
      <c r="IE20">
        <v>20.49</v>
      </c>
      <c r="IF20">
        <v>1117.24</v>
      </c>
      <c r="IG20">
        <v>42.06</v>
      </c>
      <c r="IH20">
        <v>6.97</v>
      </c>
      <c r="II20">
        <v>176.86</v>
      </c>
      <c r="IJ20">
        <v>47.45</v>
      </c>
      <c r="IK20">
        <v>11.86</v>
      </c>
      <c r="IL20">
        <v>764.6</v>
      </c>
      <c r="IM20">
        <v>148.82</v>
      </c>
      <c r="IN20">
        <v>132.65</v>
      </c>
      <c r="IO20">
        <v>407.64</v>
      </c>
      <c r="IP20">
        <v>17.25</v>
      </c>
      <c r="IQ20">
        <v>8.6300000000000008</v>
      </c>
      <c r="IR20">
        <v>7.55</v>
      </c>
      <c r="IS20">
        <v>14.02</v>
      </c>
      <c r="IT20">
        <v>6.97</v>
      </c>
      <c r="IU20">
        <v>511.17</v>
      </c>
      <c r="IV20">
        <v>2328.3000000000002</v>
      </c>
      <c r="IW20">
        <v>106.76</v>
      </c>
      <c r="IX20">
        <v>6226.77</v>
      </c>
      <c r="IY20">
        <v>35.590000000000003</v>
      </c>
      <c r="IZ20">
        <v>21.57</v>
      </c>
      <c r="JA20">
        <v>131.57</v>
      </c>
      <c r="JB20">
        <v>1234.79</v>
      </c>
      <c r="JC20">
        <v>79.8</v>
      </c>
      <c r="JD20">
        <v>507.93</v>
      </c>
      <c r="JE20">
        <v>50.69</v>
      </c>
      <c r="JF20">
        <v>18.329999999999998</v>
      </c>
      <c r="JG20">
        <v>154.21</v>
      </c>
      <c r="JH20">
        <v>104.61</v>
      </c>
      <c r="JI20">
        <v>345.09</v>
      </c>
      <c r="JJ20">
        <v>62.55</v>
      </c>
      <c r="JK20">
        <v>97.06</v>
      </c>
      <c r="JL20">
        <v>60.39</v>
      </c>
      <c r="JM20">
        <v>6.97</v>
      </c>
      <c r="JN20">
        <v>6.97</v>
      </c>
      <c r="JO20">
        <v>394.7</v>
      </c>
      <c r="JP20">
        <v>1340.47</v>
      </c>
      <c r="JQ20">
        <v>2258.1999999999998</v>
      </c>
      <c r="JR20">
        <v>30.2</v>
      </c>
      <c r="JS20">
        <v>29.12</v>
      </c>
      <c r="JT20">
        <v>52.84</v>
      </c>
      <c r="JU20">
        <v>55</v>
      </c>
      <c r="JV20">
        <v>232.94</v>
      </c>
      <c r="JW20">
        <v>104.61</v>
      </c>
      <c r="JX20">
        <v>53.92</v>
      </c>
      <c r="JY20">
        <v>211.37</v>
      </c>
      <c r="JZ20">
        <v>7.55</v>
      </c>
      <c r="KA20">
        <v>28.04</v>
      </c>
      <c r="KB20">
        <v>10.78</v>
      </c>
      <c r="KC20">
        <v>10.78</v>
      </c>
      <c r="KD20">
        <v>15.1</v>
      </c>
      <c r="KE20">
        <v>144.51</v>
      </c>
      <c r="KF20">
        <v>69.02</v>
      </c>
      <c r="KG20">
        <v>95.98</v>
      </c>
      <c r="KH20">
        <v>154.21</v>
      </c>
      <c r="KI20">
        <v>617.92999999999995</v>
      </c>
      <c r="KJ20">
        <v>303.02999999999997</v>
      </c>
      <c r="KK20">
        <v>226.47</v>
      </c>
      <c r="KL20">
        <v>46.37</v>
      </c>
      <c r="KM20">
        <v>43.14</v>
      </c>
      <c r="KN20">
        <v>53.92</v>
      </c>
      <c r="KO20">
        <v>475.58</v>
      </c>
      <c r="KP20">
        <v>273.92</v>
      </c>
      <c r="KQ20">
        <v>3415.34</v>
      </c>
      <c r="KR20">
        <v>816.36</v>
      </c>
      <c r="KS20">
        <v>2951.62</v>
      </c>
      <c r="KT20">
        <v>5330.61</v>
      </c>
      <c r="KU20">
        <v>51036</v>
      </c>
      <c r="KV20">
        <v>5740.4</v>
      </c>
      <c r="KW20">
        <v>129.41</v>
      </c>
      <c r="KX20">
        <v>94.9</v>
      </c>
      <c r="KY20">
        <v>24.8</v>
      </c>
      <c r="KZ20">
        <v>11.86</v>
      </c>
      <c r="LA20">
        <v>489.6</v>
      </c>
      <c r="LB20">
        <v>491.76</v>
      </c>
      <c r="LC20">
        <v>307.35000000000002</v>
      </c>
      <c r="LD20">
        <v>6.97</v>
      </c>
      <c r="LE20">
        <v>228.62</v>
      </c>
      <c r="LF20">
        <v>1161.45</v>
      </c>
      <c r="LG20">
        <v>1035.28</v>
      </c>
      <c r="LH20">
        <v>403.33</v>
      </c>
      <c r="LI20">
        <v>9851.32</v>
      </c>
      <c r="LJ20">
        <v>457.25</v>
      </c>
      <c r="LK20">
        <v>1133.4100000000001</v>
      </c>
      <c r="LL20">
        <v>204.9</v>
      </c>
      <c r="LM20">
        <v>6.97</v>
      </c>
      <c r="LN20">
        <v>649.21</v>
      </c>
      <c r="LO20">
        <v>30.2</v>
      </c>
      <c r="LP20">
        <v>752.73</v>
      </c>
      <c r="LQ20">
        <v>40.98</v>
      </c>
      <c r="LR20">
        <v>74.41</v>
      </c>
      <c r="LS20">
        <v>105.68</v>
      </c>
      <c r="LT20">
        <v>21.57</v>
      </c>
      <c r="LU20">
        <v>143.43</v>
      </c>
      <c r="LV20">
        <v>344.01</v>
      </c>
      <c r="LW20">
        <v>170.39</v>
      </c>
      <c r="LX20">
        <v>3785.24</v>
      </c>
      <c r="LY20">
        <v>1615.47</v>
      </c>
      <c r="LZ20">
        <v>1483.9</v>
      </c>
      <c r="MA20">
        <v>85.19</v>
      </c>
      <c r="MB20">
        <v>407.64</v>
      </c>
      <c r="MC20">
        <v>512.25</v>
      </c>
      <c r="MD20">
        <v>40.98</v>
      </c>
      <c r="ME20">
        <v>32.35</v>
      </c>
      <c r="MF20">
        <v>112.16</v>
      </c>
      <c r="MG20">
        <v>3926.51</v>
      </c>
      <c r="MH20">
        <v>1957.32</v>
      </c>
      <c r="MI20">
        <v>16.18</v>
      </c>
      <c r="MJ20">
        <v>558.62</v>
      </c>
      <c r="MK20">
        <v>9.7100000000000009</v>
      </c>
      <c r="ML20">
        <v>1144.2</v>
      </c>
      <c r="MM20">
        <v>1421.35</v>
      </c>
      <c r="MN20">
        <v>505.78</v>
      </c>
      <c r="MO20">
        <v>8.6300000000000008</v>
      </c>
      <c r="MP20">
        <v>159.61000000000001</v>
      </c>
      <c r="MQ20">
        <v>156.37</v>
      </c>
      <c r="MR20">
        <v>6.97</v>
      </c>
      <c r="MS20">
        <v>142.35</v>
      </c>
      <c r="MT20">
        <v>754.89</v>
      </c>
      <c r="MU20">
        <v>50.69</v>
      </c>
      <c r="MV20">
        <v>20.49</v>
      </c>
      <c r="MW20">
        <v>31.27</v>
      </c>
      <c r="MX20">
        <v>81.96</v>
      </c>
      <c r="MY20">
        <v>28.04</v>
      </c>
      <c r="MZ20">
        <v>1453.7</v>
      </c>
      <c r="NA20">
        <v>106.76</v>
      </c>
      <c r="NB20">
        <v>939.3</v>
      </c>
      <c r="NC20">
        <v>682.64</v>
      </c>
      <c r="ND20">
        <v>4920.8100000000004</v>
      </c>
      <c r="NE20">
        <v>896.16</v>
      </c>
      <c r="NF20">
        <v>7.55</v>
      </c>
      <c r="NG20">
        <v>14.02</v>
      </c>
      <c r="NH20">
        <v>144.51</v>
      </c>
      <c r="NI20">
        <v>2766.13</v>
      </c>
      <c r="NJ20">
        <v>92.74</v>
      </c>
      <c r="NK20">
        <v>100.29</v>
      </c>
      <c r="NL20">
        <v>90.59</v>
      </c>
      <c r="NM20">
        <v>627.64</v>
      </c>
      <c r="NN20">
        <v>47.45</v>
      </c>
      <c r="NO20">
        <v>20.49</v>
      </c>
      <c r="NP20">
        <v>6.97</v>
      </c>
      <c r="NQ20">
        <v>814.2</v>
      </c>
      <c r="NR20">
        <v>369.9</v>
      </c>
      <c r="NS20">
        <v>359.11</v>
      </c>
      <c r="NT20">
        <v>1200.28</v>
      </c>
      <c r="NU20">
        <v>628.72</v>
      </c>
      <c r="NV20">
        <v>447.54</v>
      </c>
      <c r="NW20">
        <v>221.08</v>
      </c>
      <c r="NX20">
        <v>63.63</v>
      </c>
      <c r="NY20">
        <v>48.53</v>
      </c>
      <c r="NZ20">
        <v>530.58000000000004</v>
      </c>
      <c r="OA20">
        <v>140.19</v>
      </c>
      <c r="OB20">
        <v>402.25</v>
      </c>
      <c r="OC20">
        <v>498.23</v>
      </c>
      <c r="OD20">
        <v>175.78</v>
      </c>
      <c r="OE20">
        <v>1513.02</v>
      </c>
      <c r="OF20">
        <v>40.98</v>
      </c>
      <c r="OG20">
        <v>7800.18</v>
      </c>
      <c r="OH20">
        <v>130.49</v>
      </c>
      <c r="OI20">
        <v>40.98</v>
      </c>
      <c r="OJ20">
        <v>38.82</v>
      </c>
      <c r="OK20">
        <v>2340.16</v>
      </c>
      <c r="OL20">
        <v>319.20999999999998</v>
      </c>
      <c r="OM20">
        <v>432.44</v>
      </c>
      <c r="ON20">
        <v>282.54000000000002</v>
      </c>
      <c r="OO20">
        <v>250.19</v>
      </c>
      <c r="OP20">
        <v>227.55</v>
      </c>
      <c r="OQ20">
        <v>1066.55</v>
      </c>
      <c r="OR20">
        <v>25.88</v>
      </c>
      <c r="OS20">
        <v>574.79999999999995</v>
      </c>
      <c r="OT20">
        <v>466.95</v>
      </c>
      <c r="OU20">
        <v>166.08</v>
      </c>
      <c r="OV20">
        <v>950.08</v>
      </c>
      <c r="OW20">
        <v>25.88</v>
      </c>
      <c r="OX20">
        <v>24.8</v>
      </c>
      <c r="OY20">
        <v>9.7100000000000009</v>
      </c>
      <c r="OZ20">
        <v>6.97</v>
      </c>
      <c r="PA20">
        <v>6.97</v>
      </c>
      <c r="PB20">
        <v>134.80000000000001</v>
      </c>
      <c r="PC20">
        <v>15.1</v>
      </c>
      <c r="PD20">
        <v>67.94</v>
      </c>
      <c r="PE20">
        <v>15.1</v>
      </c>
      <c r="PF20">
        <v>493.91</v>
      </c>
      <c r="PG20">
        <v>28.04</v>
      </c>
      <c r="PH20">
        <v>100.29</v>
      </c>
      <c r="PI20">
        <v>50.69</v>
      </c>
      <c r="PJ20">
        <v>16305.64</v>
      </c>
      <c r="PK20">
        <v>19642.25</v>
      </c>
      <c r="PL20">
        <v>45.29</v>
      </c>
      <c r="PM20">
        <v>51378.93</v>
      </c>
      <c r="PN20">
        <v>815.28</v>
      </c>
      <c r="PO20">
        <v>62.55</v>
      </c>
      <c r="PP20">
        <v>1247.73</v>
      </c>
      <c r="PQ20">
        <v>29.12</v>
      </c>
      <c r="PR20">
        <v>72.25</v>
      </c>
      <c r="PS20">
        <v>22.65</v>
      </c>
      <c r="PT20">
        <v>30.2</v>
      </c>
      <c r="PU20">
        <v>112.16</v>
      </c>
      <c r="PV20">
        <v>298.72000000000003</v>
      </c>
      <c r="PW20">
        <v>125.1</v>
      </c>
      <c r="PX20">
        <v>29.12</v>
      </c>
      <c r="PY20">
        <v>777.54</v>
      </c>
      <c r="PZ20">
        <v>26.96</v>
      </c>
      <c r="QA20">
        <v>304.11</v>
      </c>
      <c r="QB20">
        <v>3112.31</v>
      </c>
      <c r="QC20">
        <v>16.18</v>
      </c>
      <c r="QD20">
        <v>9.7100000000000009</v>
      </c>
      <c r="QE20">
        <v>18.329999999999998</v>
      </c>
      <c r="QF20">
        <v>6.97</v>
      </c>
      <c r="QG20">
        <v>15.1</v>
      </c>
      <c r="QH20">
        <v>6.97</v>
      </c>
      <c r="QI20">
        <v>16.18</v>
      </c>
      <c r="QJ20">
        <v>191.96</v>
      </c>
      <c r="QK20">
        <v>35.590000000000003</v>
      </c>
      <c r="QL20">
        <v>222.15</v>
      </c>
      <c r="QM20">
        <v>575.87</v>
      </c>
      <c r="QN20">
        <v>879.99</v>
      </c>
      <c r="QO20">
        <v>14.02</v>
      </c>
      <c r="QP20">
        <v>35.590000000000003</v>
      </c>
      <c r="QQ20">
        <v>271.76</v>
      </c>
      <c r="QR20">
        <v>22.65</v>
      </c>
      <c r="QS20">
        <v>1309.2</v>
      </c>
      <c r="QT20">
        <v>622.25</v>
      </c>
      <c r="QU20">
        <v>49.61</v>
      </c>
      <c r="QV20">
        <v>77.650000000000006</v>
      </c>
      <c r="QW20">
        <v>136.96</v>
      </c>
      <c r="QX20">
        <v>105.68</v>
      </c>
      <c r="QY20">
        <v>19.41</v>
      </c>
      <c r="QZ20">
        <v>15.1</v>
      </c>
      <c r="RA20">
        <v>165</v>
      </c>
      <c r="RB20">
        <v>36708.17</v>
      </c>
      <c r="RC20">
        <v>26.96</v>
      </c>
      <c r="RD20">
        <v>4646.8900000000003</v>
      </c>
      <c r="RE20">
        <v>127.25</v>
      </c>
      <c r="RF20">
        <v>95.98</v>
      </c>
      <c r="RG20">
        <v>270.68</v>
      </c>
      <c r="RH20">
        <v>36.67</v>
      </c>
      <c r="RI20">
        <v>14.02</v>
      </c>
      <c r="RJ20">
        <v>108.92</v>
      </c>
      <c r="RK20">
        <v>7.55</v>
      </c>
      <c r="RL20">
        <v>128.33000000000001</v>
      </c>
      <c r="RM20">
        <v>120.78</v>
      </c>
      <c r="RN20">
        <v>146.66</v>
      </c>
      <c r="RO20">
        <v>166.08</v>
      </c>
      <c r="RP20">
        <v>337.54</v>
      </c>
      <c r="RQ20">
        <v>474.5</v>
      </c>
      <c r="RR20">
        <v>10.78</v>
      </c>
      <c r="RS20">
        <v>1271.45</v>
      </c>
      <c r="RT20">
        <v>255.58</v>
      </c>
      <c r="RU20">
        <v>44.22</v>
      </c>
      <c r="RV20">
        <v>11.86</v>
      </c>
      <c r="RW20">
        <v>113.23</v>
      </c>
      <c r="RX20">
        <v>5306.88</v>
      </c>
      <c r="RY20">
        <v>1043.9100000000001</v>
      </c>
      <c r="RZ20">
        <v>39.9</v>
      </c>
      <c r="SA20">
        <v>438.91</v>
      </c>
      <c r="SB20">
        <v>20.49</v>
      </c>
      <c r="SC20">
        <v>58.23</v>
      </c>
      <c r="SD20">
        <v>1621.94</v>
      </c>
      <c r="SE20">
        <v>584.5</v>
      </c>
      <c r="SF20">
        <v>643.80999999999995</v>
      </c>
      <c r="SG20">
        <v>5697.27</v>
      </c>
      <c r="SH20">
        <v>90.59</v>
      </c>
      <c r="SI20">
        <v>6.97</v>
      </c>
      <c r="SJ20">
        <v>395.78</v>
      </c>
      <c r="SK20">
        <v>65.78</v>
      </c>
      <c r="SL20">
        <v>159.61000000000001</v>
      </c>
      <c r="SM20">
        <v>22.65</v>
      </c>
      <c r="SN20">
        <v>107.84</v>
      </c>
      <c r="SO20">
        <v>6.97</v>
      </c>
      <c r="SP20">
        <v>216.76</v>
      </c>
      <c r="SQ20">
        <v>1353.41</v>
      </c>
      <c r="SR20">
        <v>1134.49</v>
      </c>
      <c r="SS20">
        <v>1720.07</v>
      </c>
      <c r="ST20">
        <v>144.51</v>
      </c>
      <c r="SU20">
        <v>245.88</v>
      </c>
      <c r="SV20">
        <v>127.25</v>
      </c>
      <c r="SW20">
        <v>362.35</v>
      </c>
      <c r="SX20">
        <v>683.72</v>
      </c>
      <c r="SY20">
        <v>83.04</v>
      </c>
      <c r="SZ20">
        <v>6.97</v>
      </c>
      <c r="TA20">
        <v>6.97</v>
      </c>
      <c r="TB20">
        <v>2677.7</v>
      </c>
      <c r="TC20">
        <v>1404.1</v>
      </c>
      <c r="TD20">
        <v>30.2</v>
      </c>
      <c r="TE20">
        <v>361.27</v>
      </c>
      <c r="TF20">
        <v>289.02</v>
      </c>
      <c r="TG20">
        <v>275</v>
      </c>
      <c r="TH20">
        <v>210.29</v>
      </c>
      <c r="TI20">
        <v>56.08</v>
      </c>
      <c r="TJ20">
        <v>6.97</v>
      </c>
      <c r="TK20">
        <v>153.13</v>
      </c>
      <c r="TL20">
        <v>139.12</v>
      </c>
      <c r="TM20">
        <v>87.35</v>
      </c>
      <c r="TN20">
        <v>1992.91</v>
      </c>
      <c r="TO20">
        <v>1453.7</v>
      </c>
      <c r="TP20">
        <v>464.8</v>
      </c>
      <c r="TQ20">
        <v>323.52</v>
      </c>
      <c r="TR20">
        <v>15.1</v>
      </c>
      <c r="TS20">
        <v>974.89</v>
      </c>
      <c r="TT20">
        <v>60.39</v>
      </c>
      <c r="TU20">
        <v>58.23</v>
      </c>
      <c r="TV20">
        <v>305.19</v>
      </c>
      <c r="TW20">
        <v>425.97</v>
      </c>
      <c r="TX20">
        <v>258.82</v>
      </c>
      <c r="TY20">
        <v>22.65</v>
      </c>
      <c r="TZ20">
        <v>99.21</v>
      </c>
      <c r="UA20">
        <v>198.43</v>
      </c>
      <c r="UB20">
        <v>94.9</v>
      </c>
      <c r="UC20">
        <v>12247.56</v>
      </c>
      <c r="UD20">
        <v>11.86</v>
      </c>
      <c r="UE20">
        <v>19.41</v>
      </c>
      <c r="UF20">
        <v>1808.5</v>
      </c>
      <c r="UG20">
        <v>81.96</v>
      </c>
      <c r="UH20">
        <v>16.18</v>
      </c>
      <c r="UI20">
        <v>51.76</v>
      </c>
      <c r="UJ20">
        <v>48.53</v>
      </c>
      <c r="UK20">
        <v>18.329999999999998</v>
      </c>
      <c r="UL20">
        <v>12.94</v>
      </c>
      <c r="UM20">
        <v>15.1</v>
      </c>
      <c r="UN20">
        <v>132.65</v>
      </c>
      <c r="UO20">
        <v>142.35</v>
      </c>
      <c r="UP20">
        <v>6.97</v>
      </c>
      <c r="UQ20">
        <v>6.97</v>
      </c>
      <c r="UR20">
        <v>9.7100000000000009</v>
      </c>
      <c r="US20">
        <v>141.27000000000001</v>
      </c>
      <c r="UT20">
        <v>152.06</v>
      </c>
      <c r="UU20">
        <v>588.80999999999995</v>
      </c>
      <c r="UV20">
        <v>502.54</v>
      </c>
      <c r="UW20">
        <v>252.35</v>
      </c>
      <c r="UX20">
        <v>34.51</v>
      </c>
      <c r="UY20">
        <v>640.58000000000004</v>
      </c>
      <c r="UZ20">
        <v>91.67</v>
      </c>
      <c r="VA20">
        <v>1786.93</v>
      </c>
      <c r="VB20">
        <v>1000.77</v>
      </c>
      <c r="VC20">
        <v>76.569999999999993</v>
      </c>
      <c r="VD20">
        <v>179.02</v>
      </c>
      <c r="VE20">
        <v>36.67</v>
      </c>
      <c r="VF20">
        <v>395.78</v>
      </c>
      <c r="VG20">
        <v>20.49</v>
      </c>
      <c r="VH20">
        <v>22.65</v>
      </c>
      <c r="VI20">
        <v>67.94</v>
      </c>
      <c r="VJ20">
        <v>19.41</v>
      </c>
      <c r="VK20">
        <v>559.70000000000005</v>
      </c>
      <c r="VL20">
        <v>1079.49</v>
      </c>
      <c r="VM20">
        <v>1634.88</v>
      </c>
      <c r="VN20">
        <v>370.97</v>
      </c>
      <c r="VO20">
        <v>11.86</v>
      </c>
      <c r="VP20">
        <v>6.97</v>
      </c>
      <c r="VQ20">
        <v>919.89</v>
      </c>
      <c r="VR20">
        <v>305.19</v>
      </c>
      <c r="VS20">
        <v>386.07</v>
      </c>
      <c r="VT20">
        <v>18.329999999999998</v>
      </c>
      <c r="VU20">
        <v>19.41</v>
      </c>
      <c r="VV20">
        <v>33.43</v>
      </c>
      <c r="VW20">
        <v>257.74</v>
      </c>
      <c r="VX20">
        <v>167.15</v>
      </c>
      <c r="VY20">
        <v>6.97</v>
      </c>
      <c r="VZ20">
        <v>14564</v>
      </c>
      <c r="WA20">
        <v>10607.29</v>
      </c>
      <c r="WB20">
        <v>331.07</v>
      </c>
      <c r="WC20">
        <v>207.06</v>
      </c>
      <c r="WD20">
        <v>39.9</v>
      </c>
      <c r="WE20">
        <v>310.58</v>
      </c>
      <c r="WF20">
        <v>292.25</v>
      </c>
      <c r="WG20">
        <v>920.97</v>
      </c>
      <c r="WH20">
        <v>26351.07</v>
      </c>
      <c r="WI20">
        <v>44660.41</v>
      </c>
      <c r="WJ20">
        <v>751.66</v>
      </c>
      <c r="WK20">
        <v>153.13</v>
      </c>
      <c r="WL20">
        <v>864.89</v>
      </c>
      <c r="WM20">
        <v>7.55</v>
      </c>
      <c r="WN20">
        <v>38.82</v>
      </c>
      <c r="WO20">
        <v>6.97</v>
      </c>
      <c r="WP20">
        <v>89.51</v>
      </c>
      <c r="WQ20">
        <v>3994.45</v>
      </c>
      <c r="WR20">
        <v>1809.58</v>
      </c>
      <c r="WS20">
        <v>24.8</v>
      </c>
      <c r="WT20">
        <v>581.27</v>
      </c>
      <c r="WU20">
        <v>663.23</v>
      </c>
      <c r="WV20">
        <v>989.99</v>
      </c>
      <c r="WW20">
        <v>22.65</v>
      </c>
      <c r="WX20">
        <v>142.35</v>
      </c>
      <c r="WY20">
        <v>10.78</v>
      </c>
      <c r="WZ20">
        <v>21.57</v>
      </c>
      <c r="XA20">
        <v>6.97</v>
      </c>
      <c r="XB20">
        <v>571.55999999999995</v>
      </c>
      <c r="XC20">
        <v>22.65</v>
      </c>
      <c r="XD20">
        <v>615.78</v>
      </c>
      <c r="XE20">
        <v>362.35</v>
      </c>
      <c r="XF20">
        <v>1323.22</v>
      </c>
      <c r="XG20">
        <v>638.41999999999996</v>
      </c>
      <c r="XH20">
        <v>374.21</v>
      </c>
      <c r="XI20">
        <v>454.01</v>
      </c>
      <c r="XJ20">
        <v>635.19000000000005</v>
      </c>
      <c r="XK20">
        <v>754.89</v>
      </c>
      <c r="XL20">
        <v>149.9</v>
      </c>
      <c r="XM20">
        <v>14.02</v>
      </c>
      <c r="XN20">
        <v>424.9</v>
      </c>
      <c r="XO20">
        <v>10.78</v>
      </c>
      <c r="XP20">
        <v>24.8</v>
      </c>
      <c r="XQ20">
        <v>23.73</v>
      </c>
      <c r="XR20">
        <v>8.6300000000000008</v>
      </c>
      <c r="XS20">
        <v>946.85</v>
      </c>
      <c r="XT20">
        <v>270.68</v>
      </c>
      <c r="XU20">
        <v>415.19</v>
      </c>
      <c r="XV20">
        <v>435.68</v>
      </c>
      <c r="XW20">
        <v>612.54</v>
      </c>
      <c r="XX20">
        <v>1201.3499999999999</v>
      </c>
      <c r="XY20">
        <v>2679.86</v>
      </c>
      <c r="XZ20">
        <v>158.53</v>
      </c>
      <c r="YA20">
        <v>642.74</v>
      </c>
      <c r="YB20">
        <v>116.47</v>
      </c>
      <c r="YC20">
        <v>28.04</v>
      </c>
      <c r="YD20">
        <v>1039.5899999999999</v>
      </c>
      <c r="YE20">
        <v>256.66000000000003</v>
      </c>
      <c r="YF20">
        <v>506.86</v>
      </c>
      <c r="YG20">
        <v>25.88</v>
      </c>
      <c r="YH20">
        <v>9.7100000000000009</v>
      </c>
      <c r="YI20">
        <v>63.63</v>
      </c>
      <c r="YJ20">
        <v>408.72</v>
      </c>
      <c r="YK20">
        <v>6.97</v>
      </c>
      <c r="YL20">
        <v>32.35</v>
      </c>
      <c r="YM20">
        <v>7555.38</v>
      </c>
      <c r="YN20">
        <v>438.91</v>
      </c>
      <c r="YO20">
        <v>1901.25</v>
      </c>
      <c r="YP20">
        <v>2838.39</v>
      </c>
      <c r="YQ20">
        <v>348.33</v>
      </c>
      <c r="YR20">
        <v>106.76</v>
      </c>
      <c r="YS20">
        <v>2867.51</v>
      </c>
      <c r="YT20">
        <v>237.25</v>
      </c>
      <c r="YU20">
        <v>486.37</v>
      </c>
      <c r="YV20">
        <v>17.25</v>
      </c>
      <c r="YW20">
        <v>51.76</v>
      </c>
      <c r="YX20">
        <v>23.73</v>
      </c>
      <c r="YY20">
        <v>193.04</v>
      </c>
      <c r="YZ20">
        <v>22.65</v>
      </c>
      <c r="ZA20">
        <v>177.94</v>
      </c>
      <c r="ZB20">
        <v>12.94</v>
      </c>
      <c r="ZC20">
        <v>14.02</v>
      </c>
      <c r="ZD20">
        <v>44.22</v>
      </c>
      <c r="ZE20">
        <v>46.37</v>
      </c>
      <c r="ZF20">
        <v>92.74</v>
      </c>
      <c r="ZG20">
        <v>612.54</v>
      </c>
      <c r="ZH20">
        <v>49.61</v>
      </c>
      <c r="ZI20">
        <v>711.75</v>
      </c>
      <c r="ZJ20">
        <v>663.23</v>
      </c>
      <c r="ZK20">
        <v>507.93</v>
      </c>
      <c r="ZL20">
        <v>9.7100000000000009</v>
      </c>
      <c r="ZM20">
        <v>374.21</v>
      </c>
      <c r="ZN20">
        <v>65.78</v>
      </c>
      <c r="ZO20">
        <v>16.18</v>
      </c>
      <c r="ZP20">
        <v>181.17</v>
      </c>
      <c r="ZQ20">
        <v>6.97</v>
      </c>
      <c r="ZR20">
        <v>11.86</v>
      </c>
      <c r="ZS20">
        <v>1090.28</v>
      </c>
      <c r="ZT20">
        <v>184.41</v>
      </c>
      <c r="ZU20">
        <v>256.66000000000003</v>
      </c>
      <c r="ZV20">
        <v>15.1</v>
      </c>
      <c r="ZW20">
        <v>18.329999999999998</v>
      </c>
      <c r="ZX20">
        <v>37.74</v>
      </c>
      <c r="ZY20">
        <v>558.62</v>
      </c>
      <c r="ZZ20">
        <v>161.76</v>
      </c>
      <c r="AAA20">
        <v>50.69</v>
      </c>
      <c r="AAB20">
        <v>40.98</v>
      </c>
      <c r="AAC20">
        <v>11.86</v>
      </c>
      <c r="AAD20">
        <v>25.88</v>
      </c>
      <c r="AAE20">
        <v>19.41</v>
      </c>
      <c r="AAF20">
        <v>17.25</v>
      </c>
      <c r="AAG20">
        <v>276.07</v>
      </c>
      <c r="AAH20">
        <v>199.51</v>
      </c>
      <c r="AAI20">
        <v>4036.51</v>
      </c>
      <c r="AAJ20">
        <v>574.79999999999995</v>
      </c>
      <c r="AAK20">
        <v>818.52</v>
      </c>
      <c r="AAL20">
        <v>103.53</v>
      </c>
      <c r="AAM20">
        <v>11.86</v>
      </c>
      <c r="AAN20">
        <v>241.57</v>
      </c>
      <c r="AAO20">
        <v>56.08</v>
      </c>
      <c r="AAP20">
        <v>169.31</v>
      </c>
      <c r="AAQ20">
        <v>6.97</v>
      </c>
      <c r="AAR20">
        <v>25.88</v>
      </c>
      <c r="AAS20">
        <v>1528.11</v>
      </c>
      <c r="AAT20">
        <v>135.88</v>
      </c>
      <c r="AAU20">
        <v>6.97</v>
      </c>
      <c r="AAV20">
        <v>1316.74</v>
      </c>
      <c r="AAW20">
        <v>49.61</v>
      </c>
      <c r="AAX20">
        <v>52.84</v>
      </c>
      <c r="AAY20">
        <v>21.57</v>
      </c>
      <c r="AAZ20">
        <v>16.18</v>
      </c>
      <c r="ABA20">
        <v>185.49</v>
      </c>
      <c r="ABB20">
        <v>57.16</v>
      </c>
      <c r="ABC20">
        <v>1823.6</v>
      </c>
      <c r="ABD20">
        <v>2458.79</v>
      </c>
      <c r="ABE20">
        <v>547.83000000000004</v>
      </c>
      <c r="ABF20">
        <v>723.62</v>
      </c>
      <c r="ABG20">
        <v>81.96</v>
      </c>
      <c r="ABH20">
        <v>110</v>
      </c>
      <c r="ABI20">
        <v>12.94</v>
      </c>
      <c r="ABJ20">
        <v>31.27</v>
      </c>
      <c r="ABK20">
        <v>83.04</v>
      </c>
      <c r="ABL20">
        <v>18.329999999999998</v>
      </c>
      <c r="ABM20">
        <v>51.76</v>
      </c>
      <c r="ABN20">
        <v>83.04</v>
      </c>
      <c r="ABO20">
        <v>7.55</v>
      </c>
      <c r="ABP20">
        <v>17.25</v>
      </c>
      <c r="ABQ20">
        <v>579.11</v>
      </c>
      <c r="ABR20">
        <v>51.76</v>
      </c>
      <c r="ABS20">
        <v>977.04</v>
      </c>
      <c r="ABT20">
        <v>6.97</v>
      </c>
      <c r="ABU20">
        <v>35.590000000000003</v>
      </c>
      <c r="ABV20">
        <v>179.02</v>
      </c>
      <c r="ABW20">
        <v>457.25</v>
      </c>
      <c r="ABX20">
        <v>1266.06</v>
      </c>
      <c r="ABY20">
        <v>258.82</v>
      </c>
      <c r="ABZ20">
        <v>152.06</v>
      </c>
      <c r="ACA20">
        <v>678.32</v>
      </c>
      <c r="ACB20">
        <v>224.31</v>
      </c>
      <c r="ACC20">
        <v>147.74</v>
      </c>
      <c r="ACD20">
        <v>257.74</v>
      </c>
      <c r="ACE20">
        <v>117.55</v>
      </c>
      <c r="ACF20">
        <v>5357.57</v>
      </c>
      <c r="ACG20">
        <v>2484.67</v>
      </c>
      <c r="ACH20">
        <v>277.14999999999998</v>
      </c>
      <c r="ACI20">
        <v>457.25</v>
      </c>
      <c r="ACJ20">
        <v>835.77</v>
      </c>
      <c r="ACK20">
        <v>520.87</v>
      </c>
      <c r="ACL20">
        <v>66.86</v>
      </c>
      <c r="ACM20">
        <v>397.94</v>
      </c>
      <c r="ACN20">
        <v>314.89999999999998</v>
      </c>
      <c r="ACO20">
        <v>759.2</v>
      </c>
      <c r="ACP20">
        <v>390.39</v>
      </c>
      <c r="ACQ20">
        <v>340.78</v>
      </c>
      <c r="ACR20">
        <v>5467.56</v>
      </c>
    </row>
    <row r="21" spans="1:772" x14ac:dyDescent="0.3">
      <c r="A21" t="s">
        <v>11</v>
      </c>
      <c r="B21" t="s">
        <v>2</v>
      </c>
      <c r="C21">
        <v>1098.24</v>
      </c>
      <c r="D21">
        <v>36.39</v>
      </c>
      <c r="E21">
        <v>742.63</v>
      </c>
      <c r="F21">
        <v>7.28</v>
      </c>
      <c r="G21">
        <v>5219.12</v>
      </c>
      <c r="H21">
        <v>88.49</v>
      </c>
      <c r="I21">
        <v>1436.48</v>
      </c>
      <c r="J21">
        <v>11775.48</v>
      </c>
      <c r="K21">
        <v>452.36</v>
      </c>
      <c r="L21">
        <v>34.729999999999997</v>
      </c>
      <c r="M21">
        <v>129.01</v>
      </c>
      <c r="N21">
        <v>1037.04</v>
      </c>
      <c r="O21">
        <v>42.18</v>
      </c>
      <c r="P21">
        <v>305.16000000000003</v>
      </c>
      <c r="Q21">
        <v>52.93</v>
      </c>
      <c r="R21">
        <v>1035.3900000000001</v>
      </c>
      <c r="S21">
        <v>28.12</v>
      </c>
      <c r="T21">
        <v>1053.58</v>
      </c>
      <c r="U21">
        <v>263.81</v>
      </c>
      <c r="V21">
        <v>480.48</v>
      </c>
      <c r="W21">
        <v>1060.2</v>
      </c>
      <c r="X21">
        <v>7.28</v>
      </c>
      <c r="Y21">
        <v>229.08</v>
      </c>
      <c r="Z21">
        <v>420.11</v>
      </c>
      <c r="AA21">
        <v>77.739999999999995</v>
      </c>
      <c r="AB21">
        <v>1016.37</v>
      </c>
      <c r="AC21">
        <v>817.89</v>
      </c>
      <c r="AD21">
        <v>87.66</v>
      </c>
      <c r="AE21">
        <v>471.38</v>
      </c>
      <c r="AF21">
        <v>22277.39</v>
      </c>
      <c r="AG21">
        <v>218.32</v>
      </c>
      <c r="AH21">
        <v>227.42</v>
      </c>
      <c r="AI21">
        <v>52.1</v>
      </c>
      <c r="AJ21">
        <v>564.01</v>
      </c>
      <c r="AK21">
        <v>128.18</v>
      </c>
      <c r="AL21">
        <v>90.14</v>
      </c>
      <c r="AM21">
        <v>410.19</v>
      </c>
      <c r="AN21">
        <v>86.83</v>
      </c>
      <c r="AO21">
        <v>834.43</v>
      </c>
      <c r="AP21">
        <v>21.5</v>
      </c>
      <c r="AQ21">
        <v>178.63</v>
      </c>
      <c r="AR21">
        <v>15.71</v>
      </c>
      <c r="AS21">
        <v>26.46</v>
      </c>
      <c r="AT21">
        <v>9.1</v>
      </c>
      <c r="AU21">
        <v>14.89</v>
      </c>
      <c r="AV21">
        <v>1144.55</v>
      </c>
      <c r="AW21">
        <v>421.76</v>
      </c>
      <c r="AX21">
        <v>6333.9</v>
      </c>
      <c r="AY21">
        <v>38.04</v>
      </c>
      <c r="AZ21">
        <v>66.989999999999995</v>
      </c>
      <c r="BA21">
        <v>349.82</v>
      </c>
      <c r="BB21">
        <v>556.55999999999995</v>
      </c>
      <c r="BC21">
        <v>9.92</v>
      </c>
      <c r="BD21">
        <v>22.33</v>
      </c>
      <c r="BE21">
        <v>285.31</v>
      </c>
      <c r="BF21">
        <v>361.39</v>
      </c>
      <c r="BG21">
        <v>36.39</v>
      </c>
      <c r="BH21">
        <v>16.54</v>
      </c>
      <c r="BI21">
        <v>19.02</v>
      </c>
      <c r="BJ21">
        <v>7.28</v>
      </c>
      <c r="BK21">
        <v>360.57</v>
      </c>
      <c r="BL21">
        <v>471.38</v>
      </c>
      <c r="BM21">
        <v>93.45</v>
      </c>
      <c r="BN21">
        <v>72.77</v>
      </c>
      <c r="BO21">
        <v>90.14</v>
      </c>
      <c r="BP21">
        <v>36.39</v>
      </c>
      <c r="BQ21">
        <v>44.66</v>
      </c>
      <c r="BR21">
        <v>63.68</v>
      </c>
      <c r="BS21">
        <v>14.06</v>
      </c>
      <c r="BT21">
        <v>3063.99</v>
      </c>
      <c r="BU21">
        <v>743.46</v>
      </c>
      <c r="BV21">
        <v>30.6</v>
      </c>
      <c r="BW21">
        <v>229.08</v>
      </c>
      <c r="BX21">
        <v>807.97</v>
      </c>
      <c r="BY21">
        <v>210.88</v>
      </c>
      <c r="BZ21">
        <v>387.03</v>
      </c>
      <c r="CA21">
        <v>248.92</v>
      </c>
      <c r="CB21">
        <v>99.24</v>
      </c>
      <c r="CC21">
        <v>14.06</v>
      </c>
      <c r="CD21">
        <v>44.66</v>
      </c>
      <c r="CE21">
        <v>326.66000000000003</v>
      </c>
      <c r="CF21">
        <v>626.03</v>
      </c>
      <c r="CG21">
        <v>27.29</v>
      </c>
      <c r="CH21">
        <v>190.21</v>
      </c>
      <c r="CI21">
        <v>7.28</v>
      </c>
      <c r="CJ21">
        <v>20.67</v>
      </c>
      <c r="CK21">
        <v>50.45</v>
      </c>
      <c r="CL21">
        <v>75.260000000000005</v>
      </c>
      <c r="CM21">
        <v>426.73</v>
      </c>
      <c r="CN21">
        <v>160.44</v>
      </c>
      <c r="CO21">
        <v>62.02</v>
      </c>
      <c r="CP21">
        <v>9.1</v>
      </c>
      <c r="CQ21">
        <v>56.24</v>
      </c>
      <c r="CR21">
        <v>66.989999999999995</v>
      </c>
      <c r="CS21">
        <v>7.28</v>
      </c>
      <c r="CT21">
        <v>23.16</v>
      </c>
      <c r="CU21">
        <v>63.68</v>
      </c>
      <c r="CV21">
        <v>72.77</v>
      </c>
      <c r="CW21">
        <v>2055.06</v>
      </c>
      <c r="CX21">
        <v>52.93</v>
      </c>
      <c r="CY21">
        <v>243.13</v>
      </c>
      <c r="CZ21">
        <v>76.08</v>
      </c>
      <c r="DA21">
        <v>28.94</v>
      </c>
      <c r="DB21">
        <v>154.65</v>
      </c>
      <c r="DC21">
        <v>104.2</v>
      </c>
      <c r="DD21">
        <v>26.46</v>
      </c>
      <c r="DE21">
        <v>32.25</v>
      </c>
      <c r="DF21">
        <v>272.08</v>
      </c>
      <c r="DG21">
        <v>7.28</v>
      </c>
      <c r="DH21">
        <v>4359.05</v>
      </c>
      <c r="DI21">
        <v>34.729999999999997</v>
      </c>
      <c r="DJ21">
        <v>60.37</v>
      </c>
      <c r="DK21">
        <v>250.58</v>
      </c>
      <c r="DL21">
        <v>1413.32</v>
      </c>
      <c r="DM21">
        <v>96.76</v>
      </c>
      <c r="DN21">
        <v>55.41</v>
      </c>
      <c r="DO21">
        <v>49.62</v>
      </c>
      <c r="DP21">
        <v>38.04</v>
      </c>
      <c r="DQ21">
        <v>2180.77</v>
      </c>
      <c r="DR21">
        <v>54.58</v>
      </c>
      <c r="DS21">
        <v>35.56</v>
      </c>
      <c r="DT21">
        <v>19.850000000000001</v>
      </c>
      <c r="DU21">
        <v>3859.55</v>
      </c>
      <c r="DV21">
        <v>37.21</v>
      </c>
      <c r="DW21">
        <v>24.81</v>
      </c>
      <c r="DX21">
        <v>57.06</v>
      </c>
      <c r="DY21">
        <v>132.32</v>
      </c>
      <c r="DZ21">
        <v>102.55</v>
      </c>
      <c r="EA21">
        <v>62.02</v>
      </c>
      <c r="EB21">
        <v>32.25</v>
      </c>
      <c r="EC21">
        <v>53.75</v>
      </c>
      <c r="ED21">
        <v>20.67</v>
      </c>
      <c r="EE21">
        <v>7.28</v>
      </c>
      <c r="EF21">
        <v>2574.41</v>
      </c>
      <c r="EG21">
        <v>2456.15</v>
      </c>
      <c r="EH21">
        <v>28.12</v>
      </c>
      <c r="EI21">
        <v>58.72</v>
      </c>
      <c r="EJ21">
        <v>465.59</v>
      </c>
      <c r="EK21">
        <v>425.9</v>
      </c>
      <c r="EL21">
        <v>3308.78</v>
      </c>
      <c r="EM21">
        <v>396.95</v>
      </c>
      <c r="EN21">
        <v>44.66</v>
      </c>
      <c r="EO21">
        <v>341.55</v>
      </c>
      <c r="EP21">
        <v>14.89</v>
      </c>
      <c r="EQ21">
        <v>3359.22</v>
      </c>
      <c r="ER21">
        <v>11.58</v>
      </c>
      <c r="ES21">
        <v>20.67</v>
      </c>
      <c r="ET21">
        <v>9.1</v>
      </c>
      <c r="EU21">
        <v>441.61</v>
      </c>
      <c r="EV21">
        <v>40.520000000000003</v>
      </c>
      <c r="EW21">
        <v>14.89</v>
      </c>
      <c r="EX21">
        <v>172.01</v>
      </c>
      <c r="EY21">
        <v>46.31</v>
      </c>
      <c r="EZ21">
        <v>22.33</v>
      </c>
      <c r="FA21">
        <v>93.45</v>
      </c>
      <c r="FB21">
        <v>7.28</v>
      </c>
      <c r="FC21">
        <v>201.78</v>
      </c>
      <c r="FD21">
        <v>18.190000000000001</v>
      </c>
      <c r="FE21">
        <v>6160.23</v>
      </c>
      <c r="FF21">
        <v>21.5</v>
      </c>
      <c r="FG21">
        <v>2237.83</v>
      </c>
      <c r="FH21">
        <v>3680.09</v>
      </c>
      <c r="FI21">
        <v>14.06</v>
      </c>
      <c r="FJ21">
        <v>384.55</v>
      </c>
      <c r="FK21">
        <v>198.48</v>
      </c>
      <c r="FL21">
        <v>57.06</v>
      </c>
      <c r="FM21">
        <v>221.63</v>
      </c>
      <c r="FN21">
        <v>71.12</v>
      </c>
      <c r="FO21">
        <v>48.79</v>
      </c>
      <c r="FP21">
        <v>9.1</v>
      </c>
      <c r="FQ21">
        <v>32.25</v>
      </c>
      <c r="FR21">
        <v>11.58</v>
      </c>
      <c r="FS21">
        <v>7.28</v>
      </c>
      <c r="FT21">
        <v>48.79</v>
      </c>
      <c r="FU21">
        <v>3171.5</v>
      </c>
      <c r="FV21">
        <v>1336.41</v>
      </c>
      <c r="FW21">
        <v>17.37</v>
      </c>
      <c r="FX21">
        <v>55.41</v>
      </c>
      <c r="FY21">
        <v>9.1</v>
      </c>
      <c r="FZ21">
        <v>2280</v>
      </c>
      <c r="GA21">
        <v>582.20000000000005</v>
      </c>
      <c r="GB21">
        <v>32.25</v>
      </c>
      <c r="GC21">
        <v>34.729999999999997</v>
      </c>
      <c r="GD21">
        <v>2409.0100000000002</v>
      </c>
      <c r="GE21">
        <v>824.51</v>
      </c>
      <c r="GF21">
        <v>390.34</v>
      </c>
      <c r="GG21">
        <v>1488.58</v>
      </c>
      <c r="GH21">
        <v>538.37</v>
      </c>
      <c r="GI21">
        <v>3118.57</v>
      </c>
      <c r="GJ21">
        <v>214.19</v>
      </c>
      <c r="GK21">
        <v>10668.97</v>
      </c>
      <c r="GL21">
        <v>157.94999999999999</v>
      </c>
      <c r="GM21">
        <v>8.27</v>
      </c>
      <c r="GN21">
        <v>14.89</v>
      </c>
      <c r="GO21">
        <v>521.83000000000004</v>
      </c>
      <c r="GP21">
        <v>44.66</v>
      </c>
      <c r="GQ21">
        <v>61.2</v>
      </c>
      <c r="GR21">
        <v>409.36</v>
      </c>
      <c r="GS21">
        <v>462.29</v>
      </c>
      <c r="GT21">
        <v>615.28</v>
      </c>
      <c r="GU21">
        <v>9.92</v>
      </c>
      <c r="GV21">
        <v>16.54</v>
      </c>
      <c r="GW21">
        <v>50.45</v>
      </c>
      <c r="GX21">
        <v>345.68</v>
      </c>
      <c r="GY21">
        <v>49.62</v>
      </c>
      <c r="GZ21">
        <v>169.53</v>
      </c>
      <c r="HA21">
        <v>251.4</v>
      </c>
      <c r="HB21">
        <v>475.52</v>
      </c>
      <c r="HC21">
        <v>147.19999999999999</v>
      </c>
      <c r="HD21">
        <v>1387.69</v>
      </c>
      <c r="HE21">
        <v>16.54</v>
      </c>
      <c r="HF21">
        <v>2163.4</v>
      </c>
      <c r="HG21">
        <v>164.57</v>
      </c>
      <c r="HH21">
        <v>245.62</v>
      </c>
      <c r="HI21">
        <v>7.28</v>
      </c>
      <c r="HJ21">
        <v>470.56</v>
      </c>
      <c r="HK21">
        <v>4588.13</v>
      </c>
      <c r="HL21">
        <v>467.25</v>
      </c>
      <c r="HM21">
        <v>109.16</v>
      </c>
      <c r="HN21">
        <v>1923.57</v>
      </c>
      <c r="HO21">
        <v>7.28</v>
      </c>
      <c r="HP21">
        <v>68.64</v>
      </c>
      <c r="HQ21">
        <v>7225.39</v>
      </c>
      <c r="HR21">
        <v>133.15</v>
      </c>
      <c r="HS21">
        <v>18.190000000000001</v>
      </c>
      <c r="HT21">
        <v>40.520000000000003</v>
      </c>
      <c r="HU21">
        <v>320.87</v>
      </c>
      <c r="HV21">
        <v>62.02</v>
      </c>
      <c r="HW21">
        <v>5301.82</v>
      </c>
      <c r="HX21">
        <v>15.71</v>
      </c>
      <c r="HY21">
        <v>12.4</v>
      </c>
      <c r="HZ21">
        <v>154.65</v>
      </c>
      <c r="IA21">
        <v>220.81</v>
      </c>
      <c r="IB21">
        <v>81.040000000000006</v>
      </c>
      <c r="IC21">
        <v>19.02</v>
      </c>
      <c r="ID21">
        <v>24.81</v>
      </c>
      <c r="IE21">
        <v>18.190000000000001</v>
      </c>
      <c r="IF21">
        <v>1481.13</v>
      </c>
      <c r="IG21">
        <v>44.66</v>
      </c>
      <c r="IH21">
        <v>7.28</v>
      </c>
      <c r="II21">
        <v>209.23</v>
      </c>
      <c r="IJ21">
        <v>90.14</v>
      </c>
      <c r="IK21">
        <v>21.5</v>
      </c>
      <c r="IL21">
        <v>1072.5999999999999</v>
      </c>
      <c r="IM21">
        <v>162.91999999999999</v>
      </c>
      <c r="IN21">
        <v>144.72</v>
      </c>
      <c r="IO21">
        <v>592.12</v>
      </c>
      <c r="IP21">
        <v>28.12</v>
      </c>
      <c r="IQ21">
        <v>17.37</v>
      </c>
      <c r="IR21">
        <v>8.27</v>
      </c>
      <c r="IS21">
        <v>14.89</v>
      </c>
      <c r="IT21">
        <v>7.28</v>
      </c>
      <c r="IU21">
        <v>446.57</v>
      </c>
      <c r="IV21">
        <v>1545.64</v>
      </c>
      <c r="IW21">
        <v>175.32</v>
      </c>
      <c r="IX21">
        <v>4396.2700000000004</v>
      </c>
      <c r="IY21">
        <v>66.989999999999995</v>
      </c>
      <c r="IZ21">
        <v>32.25</v>
      </c>
      <c r="JA21">
        <v>152.16999999999999</v>
      </c>
      <c r="JB21">
        <v>810.45</v>
      </c>
      <c r="JC21">
        <v>82.7</v>
      </c>
      <c r="JD21">
        <v>659.11</v>
      </c>
      <c r="JE21">
        <v>25.64</v>
      </c>
      <c r="JF21">
        <v>23.98</v>
      </c>
      <c r="JG21">
        <v>135.63</v>
      </c>
      <c r="JH21">
        <v>391.17</v>
      </c>
      <c r="JI21">
        <v>549.95000000000005</v>
      </c>
      <c r="JJ21">
        <v>162.91999999999999</v>
      </c>
      <c r="JK21">
        <v>94.28</v>
      </c>
      <c r="JL21">
        <v>93.45</v>
      </c>
      <c r="JM21">
        <v>28.94</v>
      </c>
      <c r="JN21">
        <v>7.44</v>
      </c>
      <c r="JO21">
        <v>286.14</v>
      </c>
      <c r="JP21">
        <v>1056.8900000000001</v>
      </c>
      <c r="JQ21">
        <v>2540.5100000000002</v>
      </c>
      <c r="JR21">
        <v>10.75</v>
      </c>
      <c r="JS21">
        <v>33.909999999999997</v>
      </c>
      <c r="JT21">
        <v>130.66</v>
      </c>
      <c r="JU21">
        <v>69.47</v>
      </c>
      <c r="JV21">
        <v>207.57</v>
      </c>
      <c r="JW21">
        <v>72.77</v>
      </c>
      <c r="JX21">
        <v>59.54</v>
      </c>
      <c r="JY21">
        <v>268.77</v>
      </c>
      <c r="JZ21">
        <v>19.02</v>
      </c>
      <c r="KA21">
        <v>17.37</v>
      </c>
      <c r="KB21">
        <v>19.02</v>
      </c>
      <c r="KC21">
        <v>14.89</v>
      </c>
      <c r="KD21">
        <v>17.37</v>
      </c>
      <c r="KE21">
        <v>129.84</v>
      </c>
      <c r="KF21">
        <v>116.61</v>
      </c>
      <c r="KG21">
        <v>164.57</v>
      </c>
      <c r="KH21">
        <v>133.97</v>
      </c>
      <c r="KI21">
        <v>498.67</v>
      </c>
      <c r="KJ21">
        <v>282.83</v>
      </c>
      <c r="KK21">
        <v>206.75</v>
      </c>
      <c r="KL21">
        <v>47.97</v>
      </c>
      <c r="KM21">
        <v>35.56</v>
      </c>
      <c r="KN21">
        <v>71.12</v>
      </c>
      <c r="KO21">
        <v>378.76</v>
      </c>
      <c r="KP21">
        <v>167.88</v>
      </c>
      <c r="KQ21">
        <v>3680.09</v>
      </c>
      <c r="KR21">
        <v>654.97</v>
      </c>
      <c r="KS21">
        <v>1332.28</v>
      </c>
      <c r="KT21">
        <v>4026.6</v>
      </c>
      <c r="KU21">
        <v>44888.06</v>
      </c>
      <c r="KV21">
        <v>4767.58</v>
      </c>
      <c r="KW21">
        <v>172.84</v>
      </c>
      <c r="KX21">
        <v>158.78</v>
      </c>
      <c r="KY21">
        <v>43.83</v>
      </c>
      <c r="KZ21">
        <v>29.77</v>
      </c>
      <c r="LA21">
        <v>858.41</v>
      </c>
      <c r="LB21">
        <v>835.26</v>
      </c>
      <c r="LC21">
        <v>535.05999999999995</v>
      </c>
      <c r="LD21">
        <v>7.28</v>
      </c>
      <c r="LE21">
        <v>238.17</v>
      </c>
      <c r="LF21">
        <v>1942.59</v>
      </c>
      <c r="LG21">
        <v>1694.5</v>
      </c>
      <c r="LH21">
        <v>788.12</v>
      </c>
      <c r="LI21">
        <v>7936.6</v>
      </c>
      <c r="LJ21">
        <v>417.63</v>
      </c>
      <c r="LK21">
        <v>977.5</v>
      </c>
      <c r="LL21">
        <v>200.96</v>
      </c>
      <c r="LM21">
        <v>7.28</v>
      </c>
      <c r="LN21">
        <v>389.51</v>
      </c>
      <c r="LO21">
        <v>90.14</v>
      </c>
      <c r="LP21">
        <v>1072.5999999999999</v>
      </c>
      <c r="LQ21">
        <v>82.7</v>
      </c>
      <c r="LR21">
        <v>103.37</v>
      </c>
      <c r="LS21">
        <v>50.45</v>
      </c>
      <c r="LT21">
        <v>39.700000000000003</v>
      </c>
      <c r="LU21">
        <v>167.05</v>
      </c>
      <c r="LV21">
        <v>481.31</v>
      </c>
      <c r="LW21">
        <v>487.1</v>
      </c>
      <c r="LX21">
        <v>2899.42</v>
      </c>
      <c r="LY21">
        <v>1677.13</v>
      </c>
      <c r="LZ21">
        <v>1461.29</v>
      </c>
      <c r="MA21">
        <v>133.97</v>
      </c>
      <c r="MB21">
        <v>422.59</v>
      </c>
      <c r="MC21">
        <v>550.77</v>
      </c>
      <c r="MD21">
        <v>32.25</v>
      </c>
      <c r="ME21">
        <v>33.909999999999997</v>
      </c>
      <c r="MF21">
        <v>175.32</v>
      </c>
      <c r="MG21">
        <v>3492.37</v>
      </c>
      <c r="MH21">
        <v>2055.06</v>
      </c>
      <c r="MI21">
        <v>7.28</v>
      </c>
      <c r="MJ21">
        <v>612.79999999999995</v>
      </c>
      <c r="MK21">
        <v>15.71</v>
      </c>
      <c r="ML21">
        <v>1175.98</v>
      </c>
      <c r="MM21">
        <v>1247.0999999999999</v>
      </c>
      <c r="MN21">
        <v>506.12</v>
      </c>
      <c r="MO21">
        <v>8.27</v>
      </c>
      <c r="MP21">
        <v>140.59</v>
      </c>
      <c r="MQ21">
        <v>148.86000000000001</v>
      </c>
      <c r="MR21">
        <v>20.67</v>
      </c>
      <c r="MS21">
        <v>263.81</v>
      </c>
      <c r="MT21">
        <v>1889.67</v>
      </c>
      <c r="MU21">
        <v>38.869999999999997</v>
      </c>
      <c r="MV21">
        <v>46.31</v>
      </c>
      <c r="MW21">
        <v>41.35</v>
      </c>
      <c r="MX21">
        <v>102.55</v>
      </c>
      <c r="MY21">
        <v>9.92</v>
      </c>
      <c r="MZ21">
        <v>793.08</v>
      </c>
      <c r="NA21">
        <v>82.7</v>
      </c>
      <c r="NB21">
        <v>607.01</v>
      </c>
      <c r="NC21">
        <v>1387.69</v>
      </c>
      <c r="ND21">
        <v>3243.45</v>
      </c>
      <c r="NE21">
        <v>758.35</v>
      </c>
      <c r="NF21">
        <v>7.28</v>
      </c>
      <c r="NG21">
        <v>23.16</v>
      </c>
      <c r="NH21">
        <v>87.66</v>
      </c>
      <c r="NI21">
        <v>5426.69</v>
      </c>
      <c r="NJ21">
        <v>171.19</v>
      </c>
      <c r="NK21">
        <v>191.86</v>
      </c>
      <c r="NL21">
        <v>135.63</v>
      </c>
      <c r="NM21">
        <v>962.61</v>
      </c>
      <c r="NN21">
        <v>221.63</v>
      </c>
      <c r="NO21">
        <v>21.5</v>
      </c>
      <c r="NP21">
        <v>7.28</v>
      </c>
      <c r="NQ21">
        <v>3460.94</v>
      </c>
      <c r="NR21">
        <v>268.77</v>
      </c>
      <c r="NS21">
        <v>551.6</v>
      </c>
      <c r="NT21">
        <v>959.31</v>
      </c>
      <c r="NU21">
        <v>809.62</v>
      </c>
      <c r="NV21">
        <v>450.71</v>
      </c>
      <c r="NW21">
        <v>191.86</v>
      </c>
      <c r="NX21">
        <v>71.95</v>
      </c>
      <c r="NY21">
        <v>49.62</v>
      </c>
      <c r="NZ21">
        <v>439.13</v>
      </c>
      <c r="OA21">
        <v>167.88</v>
      </c>
      <c r="OB21">
        <v>380.41</v>
      </c>
      <c r="OC21">
        <v>456.5</v>
      </c>
      <c r="OD21">
        <v>287.79000000000002</v>
      </c>
      <c r="OE21">
        <v>993.21</v>
      </c>
      <c r="OF21">
        <v>63.68</v>
      </c>
      <c r="OG21">
        <v>4910.6499999999996</v>
      </c>
      <c r="OH21">
        <v>145.55000000000001</v>
      </c>
      <c r="OI21">
        <v>76.08</v>
      </c>
      <c r="OJ21">
        <v>38.869999999999997</v>
      </c>
      <c r="OK21">
        <v>1927.71</v>
      </c>
      <c r="OL21">
        <v>382.07</v>
      </c>
      <c r="OM21">
        <v>568.14</v>
      </c>
      <c r="ON21">
        <v>307.64</v>
      </c>
      <c r="OO21">
        <v>415.15</v>
      </c>
      <c r="OP21">
        <v>233.21</v>
      </c>
      <c r="OQ21">
        <v>634.29999999999995</v>
      </c>
      <c r="OR21">
        <v>16.54</v>
      </c>
      <c r="OS21">
        <v>653.32000000000005</v>
      </c>
      <c r="OT21">
        <v>545.80999999999995</v>
      </c>
      <c r="OU21">
        <v>172.01</v>
      </c>
      <c r="OV21">
        <v>681.44</v>
      </c>
      <c r="OW21">
        <v>43</v>
      </c>
      <c r="OX21">
        <v>20.67</v>
      </c>
      <c r="OY21">
        <v>7.28</v>
      </c>
      <c r="OZ21">
        <v>7.28</v>
      </c>
      <c r="PA21">
        <v>7.28</v>
      </c>
      <c r="PB21">
        <v>109.16</v>
      </c>
      <c r="PC21">
        <v>18.190000000000001</v>
      </c>
      <c r="PD21">
        <v>61.2</v>
      </c>
      <c r="PE21">
        <v>26.46</v>
      </c>
      <c r="PF21">
        <v>464.77</v>
      </c>
      <c r="PG21">
        <v>40.520000000000003</v>
      </c>
      <c r="PH21">
        <v>129.01</v>
      </c>
      <c r="PI21">
        <v>59.54</v>
      </c>
      <c r="PJ21">
        <v>8670.14</v>
      </c>
      <c r="PK21">
        <v>11153.58</v>
      </c>
      <c r="PL21">
        <v>81.040000000000006</v>
      </c>
      <c r="PM21">
        <v>29159.58</v>
      </c>
      <c r="PN21">
        <v>898.94</v>
      </c>
      <c r="PO21">
        <v>68.64</v>
      </c>
      <c r="PP21">
        <v>2760.48</v>
      </c>
      <c r="PQ21">
        <v>19.02</v>
      </c>
      <c r="PR21">
        <v>133.15</v>
      </c>
      <c r="PS21">
        <v>28.12</v>
      </c>
      <c r="PT21">
        <v>48.79</v>
      </c>
      <c r="PU21">
        <v>191.03</v>
      </c>
      <c r="PV21">
        <v>253.89</v>
      </c>
      <c r="PW21">
        <v>161.26</v>
      </c>
      <c r="PX21">
        <v>24.81</v>
      </c>
      <c r="PY21">
        <v>997.35</v>
      </c>
      <c r="PZ21">
        <v>28.12</v>
      </c>
      <c r="QA21">
        <v>345.68</v>
      </c>
      <c r="QB21">
        <v>4396.2700000000004</v>
      </c>
      <c r="QC21">
        <v>17.37</v>
      </c>
      <c r="QD21">
        <v>7.28</v>
      </c>
      <c r="QE21">
        <v>23.16</v>
      </c>
      <c r="QF21">
        <v>7.28</v>
      </c>
      <c r="QG21">
        <v>9.92</v>
      </c>
      <c r="QH21">
        <v>7.44</v>
      </c>
      <c r="QI21">
        <v>9.1</v>
      </c>
      <c r="QJ21">
        <v>205.92</v>
      </c>
      <c r="QK21">
        <v>45.48</v>
      </c>
      <c r="QL21">
        <v>373.8</v>
      </c>
      <c r="QM21">
        <v>576.41</v>
      </c>
      <c r="QN21">
        <v>879.09</v>
      </c>
      <c r="QO21">
        <v>7.44</v>
      </c>
      <c r="QP21">
        <v>38.04</v>
      </c>
      <c r="QQ21">
        <v>183.59</v>
      </c>
      <c r="QR21">
        <v>22.33</v>
      </c>
      <c r="QS21">
        <v>865.03</v>
      </c>
      <c r="QT21">
        <v>614.45000000000005</v>
      </c>
      <c r="QU21">
        <v>44.66</v>
      </c>
      <c r="QV21">
        <v>109.99</v>
      </c>
      <c r="QW21">
        <v>106.68</v>
      </c>
      <c r="QX21">
        <v>125.7</v>
      </c>
      <c r="QY21">
        <v>21.5</v>
      </c>
      <c r="QZ21">
        <v>14.06</v>
      </c>
      <c r="RA21">
        <v>163.74</v>
      </c>
      <c r="RB21">
        <v>24835.27</v>
      </c>
      <c r="RC21">
        <v>33.08</v>
      </c>
      <c r="RD21">
        <v>5229.04</v>
      </c>
      <c r="RE21">
        <v>74.430000000000007</v>
      </c>
      <c r="RF21">
        <v>128.18</v>
      </c>
      <c r="RG21">
        <v>275.39</v>
      </c>
      <c r="RH21">
        <v>66.16</v>
      </c>
      <c r="RI21">
        <v>10.75</v>
      </c>
      <c r="RJ21">
        <v>157.94999999999999</v>
      </c>
      <c r="RK21">
        <v>9.1</v>
      </c>
      <c r="RL21">
        <v>112.47</v>
      </c>
      <c r="RM21">
        <v>86.01</v>
      </c>
      <c r="RN21">
        <v>165.4</v>
      </c>
      <c r="RO21">
        <v>163.74</v>
      </c>
      <c r="RP21">
        <v>266.29000000000002</v>
      </c>
      <c r="RQ21">
        <v>329.97</v>
      </c>
      <c r="RR21">
        <v>27.29</v>
      </c>
      <c r="RS21">
        <v>928.71</v>
      </c>
      <c r="RT21">
        <v>367.18</v>
      </c>
      <c r="RU21">
        <v>38.869999999999997</v>
      </c>
      <c r="RV21">
        <v>22.33</v>
      </c>
      <c r="RW21">
        <v>148.03</v>
      </c>
      <c r="RX21">
        <v>2966.4</v>
      </c>
      <c r="RY21">
        <v>1039.52</v>
      </c>
      <c r="RZ21">
        <v>33.909999999999997</v>
      </c>
      <c r="SA21">
        <v>338.24</v>
      </c>
      <c r="SB21">
        <v>20.67</v>
      </c>
      <c r="SC21">
        <v>90.97</v>
      </c>
      <c r="SD21">
        <v>1788.77</v>
      </c>
      <c r="SE21">
        <v>739.33</v>
      </c>
      <c r="SF21">
        <v>650.84</v>
      </c>
      <c r="SG21">
        <v>7788.57</v>
      </c>
      <c r="SH21">
        <v>109.99</v>
      </c>
      <c r="SI21">
        <v>21.5</v>
      </c>
      <c r="SJ21">
        <v>332.45</v>
      </c>
      <c r="SK21">
        <v>148.86000000000001</v>
      </c>
      <c r="SL21">
        <v>205.09</v>
      </c>
      <c r="SM21">
        <v>24.81</v>
      </c>
      <c r="SN21">
        <v>127.36</v>
      </c>
      <c r="SO21">
        <v>7.28</v>
      </c>
      <c r="SP21">
        <v>138.93</v>
      </c>
      <c r="SQ21">
        <v>1377.76</v>
      </c>
      <c r="SR21">
        <v>934.5</v>
      </c>
      <c r="SS21">
        <v>1713.52</v>
      </c>
      <c r="ST21">
        <v>134.80000000000001</v>
      </c>
      <c r="SU21">
        <v>306.81</v>
      </c>
      <c r="SV21">
        <v>97.58</v>
      </c>
      <c r="SW21">
        <v>251.4</v>
      </c>
      <c r="SX21">
        <v>578.89</v>
      </c>
      <c r="SY21">
        <v>72.77</v>
      </c>
      <c r="SZ21">
        <v>7.28</v>
      </c>
      <c r="TA21">
        <v>7.28</v>
      </c>
      <c r="TB21">
        <v>1811.1</v>
      </c>
      <c r="TC21">
        <v>798.04</v>
      </c>
      <c r="TD21">
        <v>28.94</v>
      </c>
      <c r="TE21">
        <v>321.7</v>
      </c>
      <c r="TF21">
        <v>311.77</v>
      </c>
      <c r="TG21">
        <v>310.95</v>
      </c>
      <c r="TH21">
        <v>193.52</v>
      </c>
      <c r="TI21">
        <v>52.1</v>
      </c>
      <c r="TJ21">
        <v>15.71</v>
      </c>
      <c r="TK21">
        <v>178.63</v>
      </c>
      <c r="TL21">
        <v>137.28</v>
      </c>
      <c r="TM21">
        <v>50.45</v>
      </c>
      <c r="TN21">
        <v>1839.22</v>
      </c>
      <c r="TO21">
        <v>1003.96</v>
      </c>
      <c r="TP21">
        <v>368.01</v>
      </c>
      <c r="TQ21">
        <v>533.41</v>
      </c>
      <c r="TR21">
        <v>7.28</v>
      </c>
      <c r="TS21">
        <v>682.26</v>
      </c>
      <c r="TT21">
        <v>66.989999999999995</v>
      </c>
      <c r="TU21">
        <v>88.49</v>
      </c>
      <c r="TV21">
        <v>277.87</v>
      </c>
      <c r="TW21">
        <v>364.7</v>
      </c>
      <c r="TX21">
        <v>243.96</v>
      </c>
      <c r="TY21">
        <v>48.79</v>
      </c>
      <c r="TZ21">
        <v>121.57</v>
      </c>
      <c r="UA21">
        <v>192.69</v>
      </c>
      <c r="UB21">
        <v>148.86000000000001</v>
      </c>
      <c r="UC21">
        <v>8473.31</v>
      </c>
      <c r="UD21">
        <v>11.58</v>
      </c>
      <c r="UE21">
        <v>11.58</v>
      </c>
      <c r="UF21">
        <v>1809.45</v>
      </c>
      <c r="UG21">
        <v>82.7</v>
      </c>
      <c r="UH21">
        <v>7.28</v>
      </c>
      <c r="UI21">
        <v>35.56</v>
      </c>
      <c r="UJ21">
        <v>51.27</v>
      </c>
      <c r="UK21">
        <v>19.02</v>
      </c>
      <c r="UL21">
        <v>13.23</v>
      </c>
      <c r="UM21">
        <v>9.1</v>
      </c>
      <c r="UN21">
        <v>156.30000000000001</v>
      </c>
      <c r="UO21">
        <v>136.44999999999999</v>
      </c>
      <c r="UP21">
        <v>7.28</v>
      </c>
      <c r="UQ21">
        <v>7.28</v>
      </c>
      <c r="UR21">
        <v>7.28</v>
      </c>
      <c r="US21">
        <v>128.18</v>
      </c>
      <c r="UT21">
        <v>186.07</v>
      </c>
      <c r="UU21">
        <v>609.49</v>
      </c>
      <c r="UV21">
        <v>512.73</v>
      </c>
      <c r="UW21">
        <v>344.03</v>
      </c>
      <c r="UX21">
        <v>42.18</v>
      </c>
      <c r="UY21">
        <v>709.56</v>
      </c>
      <c r="UZ21">
        <v>91.8</v>
      </c>
      <c r="VA21">
        <v>2409.84</v>
      </c>
      <c r="VB21">
        <v>1060.2</v>
      </c>
      <c r="VC21">
        <v>133.97</v>
      </c>
      <c r="VD21">
        <v>161.26</v>
      </c>
      <c r="VE21">
        <v>27.29</v>
      </c>
      <c r="VF21">
        <v>344.03</v>
      </c>
      <c r="VG21">
        <v>15.71</v>
      </c>
      <c r="VH21">
        <v>20.67</v>
      </c>
      <c r="VI21">
        <v>39.700000000000003</v>
      </c>
      <c r="VJ21">
        <v>14.89</v>
      </c>
      <c r="VK21">
        <v>460.63</v>
      </c>
      <c r="VL21">
        <v>855.11</v>
      </c>
      <c r="VM21">
        <v>1152.82</v>
      </c>
      <c r="VN21">
        <v>422.59</v>
      </c>
      <c r="VO21">
        <v>7.28</v>
      </c>
      <c r="VP21">
        <v>7.28</v>
      </c>
      <c r="VQ21">
        <v>799.7</v>
      </c>
      <c r="VR21">
        <v>293.58</v>
      </c>
      <c r="VS21">
        <v>427.55</v>
      </c>
      <c r="VT21">
        <v>30.6</v>
      </c>
      <c r="VU21">
        <v>33.909999999999997</v>
      </c>
      <c r="VV21">
        <v>35.56</v>
      </c>
      <c r="VW21">
        <v>259.67</v>
      </c>
      <c r="VX21">
        <v>267.12</v>
      </c>
      <c r="VY21">
        <v>7.28</v>
      </c>
      <c r="VZ21">
        <v>14440.86</v>
      </c>
      <c r="WA21">
        <v>9284.59</v>
      </c>
      <c r="WB21">
        <v>305.99</v>
      </c>
      <c r="WC21">
        <v>176.98</v>
      </c>
      <c r="WD21">
        <v>41.35</v>
      </c>
      <c r="WE21">
        <v>274.56</v>
      </c>
      <c r="WF21">
        <v>267.94</v>
      </c>
      <c r="WG21">
        <v>845.18</v>
      </c>
      <c r="WH21">
        <v>19573.14</v>
      </c>
      <c r="WI21">
        <v>33714.629999999997</v>
      </c>
      <c r="WJ21">
        <v>604.53</v>
      </c>
      <c r="WK21">
        <v>311.77</v>
      </c>
      <c r="WL21">
        <v>686.4</v>
      </c>
      <c r="WM21">
        <v>7.44</v>
      </c>
      <c r="WN21">
        <v>81.040000000000006</v>
      </c>
      <c r="WO21">
        <v>7.28</v>
      </c>
      <c r="WP21">
        <v>172.84</v>
      </c>
      <c r="WQ21">
        <v>2068.3000000000002</v>
      </c>
      <c r="WR21">
        <v>1772.23</v>
      </c>
      <c r="WS21">
        <v>68.64</v>
      </c>
      <c r="WT21">
        <v>1448.06</v>
      </c>
      <c r="WU21">
        <v>600.39</v>
      </c>
      <c r="WV21">
        <v>842.7</v>
      </c>
      <c r="WW21">
        <v>52.1</v>
      </c>
      <c r="WX21">
        <v>144.72</v>
      </c>
      <c r="WY21">
        <v>17.37</v>
      </c>
      <c r="WZ21">
        <v>15.71</v>
      </c>
      <c r="XA21">
        <v>10.75</v>
      </c>
      <c r="XB21">
        <v>949.38</v>
      </c>
      <c r="XC21">
        <v>13.23</v>
      </c>
      <c r="XD21">
        <v>382.9</v>
      </c>
      <c r="XE21">
        <v>462.29</v>
      </c>
      <c r="XF21">
        <v>632.65</v>
      </c>
      <c r="XG21">
        <v>569.79</v>
      </c>
      <c r="XH21">
        <v>174.49</v>
      </c>
      <c r="XI21">
        <v>521</v>
      </c>
      <c r="XJ21">
        <v>601.22</v>
      </c>
      <c r="XK21">
        <v>525.14</v>
      </c>
      <c r="XL21">
        <v>92.62</v>
      </c>
      <c r="XM21">
        <v>21.5</v>
      </c>
      <c r="XN21">
        <v>375.45</v>
      </c>
      <c r="XO21">
        <v>24.81</v>
      </c>
      <c r="XP21">
        <v>34.729999999999997</v>
      </c>
      <c r="XQ21">
        <v>7.44</v>
      </c>
      <c r="XR21">
        <v>21.5</v>
      </c>
      <c r="XS21">
        <v>888.18</v>
      </c>
      <c r="XT21">
        <v>186.07</v>
      </c>
      <c r="XU21">
        <v>394.47</v>
      </c>
      <c r="XV21">
        <v>406.88</v>
      </c>
      <c r="XW21">
        <v>1147.8599999999999</v>
      </c>
      <c r="XX21">
        <v>1453.84</v>
      </c>
      <c r="XY21">
        <v>2600.0500000000002</v>
      </c>
      <c r="XZ21">
        <v>272.91000000000003</v>
      </c>
      <c r="YA21">
        <v>1295.8900000000001</v>
      </c>
      <c r="YB21">
        <v>138.11000000000001</v>
      </c>
      <c r="YC21">
        <v>29.77</v>
      </c>
      <c r="YD21">
        <v>930.36</v>
      </c>
      <c r="YE21">
        <v>292.75</v>
      </c>
      <c r="YF21">
        <v>506.12</v>
      </c>
      <c r="YG21">
        <v>43</v>
      </c>
      <c r="YH21">
        <v>7.28</v>
      </c>
      <c r="YI21">
        <v>64.510000000000005</v>
      </c>
      <c r="YJ21">
        <v>371.32</v>
      </c>
      <c r="YK21">
        <v>10.75</v>
      </c>
      <c r="YL21">
        <v>66.16</v>
      </c>
      <c r="YM21">
        <v>4936.29</v>
      </c>
      <c r="YN21">
        <v>301.85000000000002</v>
      </c>
      <c r="YO21">
        <v>1179.28</v>
      </c>
      <c r="YP21">
        <v>2386.69</v>
      </c>
      <c r="YQ21">
        <v>339.89</v>
      </c>
      <c r="YR21">
        <v>87.66</v>
      </c>
      <c r="YS21">
        <v>4511.22</v>
      </c>
      <c r="YT21">
        <v>213.36</v>
      </c>
      <c r="YU21">
        <v>380.41</v>
      </c>
      <c r="YV21">
        <v>23.98</v>
      </c>
      <c r="YW21">
        <v>102.55</v>
      </c>
      <c r="YX21">
        <v>48.79</v>
      </c>
      <c r="YY21">
        <v>305.16000000000003</v>
      </c>
      <c r="YZ21">
        <v>33.909999999999997</v>
      </c>
      <c r="ZA21">
        <v>192.69</v>
      </c>
      <c r="ZB21">
        <v>16.54</v>
      </c>
      <c r="ZC21">
        <v>9.92</v>
      </c>
      <c r="ZD21">
        <v>57.89</v>
      </c>
      <c r="ZE21">
        <v>31.43</v>
      </c>
      <c r="ZF21">
        <v>109.99</v>
      </c>
      <c r="ZG21">
        <v>509.42</v>
      </c>
      <c r="ZH21">
        <v>100.07</v>
      </c>
      <c r="ZI21">
        <v>626.03</v>
      </c>
      <c r="ZJ21">
        <v>1775.54</v>
      </c>
      <c r="ZK21">
        <v>363.87</v>
      </c>
      <c r="ZL21">
        <v>10.75</v>
      </c>
      <c r="ZM21">
        <v>306.81</v>
      </c>
      <c r="ZN21">
        <v>47.97</v>
      </c>
      <c r="ZO21">
        <v>19.850000000000001</v>
      </c>
      <c r="ZP21">
        <v>242.31</v>
      </c>
      <c r="ZQ21">
        <v>10.75</v>
      </c>
      <c r="ZR21">
        <v>20.67</v>
      </c>
      <c r="ZS21">
        <v>919.61</v>
      </c>
      <c r="ZT21">
        <v>310.12</v>
      </c>
      <c r="ZU21">
        <v>167.88</v>
      </c>
      <c r="ZV21">
        <v>16.54</v>
      </c>
      <c r="ZW21">
        <v>16.54</v>
      </c>
      <c r="ZX21">
        <v>54.58</v>
      </c>
      <c r="ZY21">
        <v>382.9</v>
      </c>
      <c r="ZZ21">
        <v>202.61</v>
      </c>
      <c r="AAA21">
        <v>43.83</v>
      </c>
      <c r="AAB21">
        <v>32.25</v>
      </c>
      <c r="AAC21">
        <v>9.92</v>
      </c>
      <c r="AAD21">
        <v>45.48</v>
      </c>
      <c r="AAE21">
        <v>13.23</v>
      </c>
      <c r="AAF21">
        <v>14.06</v>
      </c>
      <c r="AAG21">
        <v>301.85000000000002</v>
      </c>
      <c r="AAH21">
        <v>200.13</v>
      </c>
      <c r="AAI21">
        <v>3857.9</v>
      </c>
      <c r="AAJ21">
        <v>469.73</v>
      </c>
      <c r="AAK21">
        <v>812.1</v>
      </c>
      <c r="AAL21">
        <v>176.15</v>
      </c>
      <c r="AAM21">
        <v>23.98</v>
      </c>
      <c r="AAN21">
        <v>382.07</v>
      </c>
      <c r="AAO21">
        <v>86.83</v>
      </c>
      <c r="AAP21">
        <v>143.07</v>
      </c>
      <c r="AAQ21">
        <v>7.28</v>
      </c>
      <c r="AAR21">
        <v>51.27</v>
      </c>
      <c r="AAS21">
        <v>1347.16</v>
      </c>
      <c r="AAT21">
        <v>158.78</v>
      </c>
      <c r="AAU21">
        <v>7.28</v>
      </c>
      <c r="AAV21">
        <v>1104.8599999999999</v>
      </c>
      <c r="AAW21">
        <v>43.83</v>
      </c>
      <c r="AAX21">
        <v>83.53</v>
      </c>
      <c r="AAY21">
        <v>35.56</v>
      </c>
      <c r="AAZ21">
        <v>15.71</v>
      </c>
      <c r="ABA21">
        <v>105.85</v>
      </c>
      <c r="ABB21">
        <v>112.47</v>
      </c>
      <c r="ABC21">
        <v>1580.37</v>
      </c>
      <c r="ABD21">
        <v>2413.15</v>
      </c>
      <c r="ABE21">
        <v>455.67</v>
      </c>
      <c r="ABF21">
        <v>658.28</v>
      </c>
      <c r="ABG21">
        <v>105.85</v>
      </c>
      <c r="ABH21">
        <v>118.26</v>
      </c>
      <c r="ABI21">
        <v>9.92</v>
      </c>
      <c r="ABJ21">
        <v>26.46</v>
      </c>
      <c r="ABK21">
        <v>33.909999999999997</v>
      </c>
      <c r="ABL21">
        <v>7.28</v>
      </c>
      <c r="ABM21">
        <v>105.03</v>
      </c>
      <c r="ABN21">
        <v>49.62</v>
      </c>
      <c r="ABO21">
        <v>7.28</v>
      </c>
      <c r="ABP21">
        <v>9.1</v>
      </c>
      <c r="ABQ21">
        <v>1051.93</v>
      </c>
      <c r="ABR21">
        <v>23.98</v>
      </c>
      <c r="ABS21">
        <v>1363.7</v>
      </c>
      <c r="ABT21">
        <v>7.28</v>
      </c>
      <c r="ABU21">
        <v>38.869999999999997</v>
      </c>
      <c r="ABV21">
        <v>207.57</v>
      </c>
      <c r="ABW21">
        <v>600.39</v>
      </c>
      <c r="ABX21">
        <v>1689.54</v>
      </c>
      <c r="ABY21">
        <v>258.02</v>
      </c>
      <c r="ABZ21">
        <v>138.11000000000001</v>
      </c>
      <c r="ACA21">
        <v>577.24</v>
      </c>
      <c r="ACB21">
        <v>201.78</v>
      </c>
      <c r="ACC21">
        <v>134.80000000000001</v>
      </c>
      <c r="ACD21">
        <v>248.1</v>
      </c>
      <c r="ACE21">
        <v>127.36</v>
      </c>
      <c r="ACF21">
        <v>4991.7</v>
      </c>
      <c r="ACG21">
        <v>2069.9499999999998</v>
      </c>
      <c r="ACH21">
        <v>332.45</v>
      </c>
      <c r="ACI21">
        <v>431.69</v>
      </c>
      <c r="ACJ21">
        <v>740.15</v>
      </c>
      <c r="ACK21">
        <v>426.73</v>
      </c>
      <c r="ACL21">
        <v>46.31</v>
      </c>
      <c r="ACM21">
        <v>358.91</v>
      </c>
      <c r="ACN21">
        <v>253.06</v>
      </c>
      <c r="ACO21">
        <v>836.91</v>
      </c>
      <c r="ACP21">
        <v>381.24</v>
      </c>
      <c r="ACQ21">
        <v>292.75</v>
      </c>
      <c r="ACR21">
        <v>5524.28</v>
      </c>
    </row>
    <row r="22" spans="1:772" x14ac:dyDescent="0.3">
      <c r="A22" t="s">
        <v>11</v>
      </c>
      <c r="B22" t="s">
        <v>3</v>
      </c>
      <c r="C22">
        <v>1277.3499999999999</v>
      </c>
      <c r="D22">
        <v>61.24</v>
      </c>
      <c r="E22">
        <v>699.92</v>
      </c>
      <c r="F22">
        <v>7.53</v>
      </c>
      <c r="G22">
        <v>4790.67</v>
      </c>
      <c r="H22">
        <v>88.74</v>
      </c>
      <c r="I22">
        <v>1342.34</v>
      </c>
      <c r="J22">
        <v>12623.48</v>
      </c>
      <c r="K22">
        <v>488.69</v>
      </c>
      <c r="L22">
        <v>25</v>
      </c>
      <c r="M22">
        <v>132.47999999999999</v>
      </c>
      <c r="N22">
        <v>1564.81</v>
      </c>
      <c r="O22">
        <v>20</v>
      </c>
      <c r="P22">
        <v>286.22000000000003</v>
      </c>
      <c r="Q22">
        <v>43.74</v>
      </c>
      <c r="R22">
        <v>861.15</v>
      </c>
      <c r="S22">
        <v>13.75</v>
      </c>
      <c r="T22">
        <v>1174.8599999999999</v>
      </c>
      <c r="U22">
        <v>369.96</v>
      </c>
      <c r="V22">
        <v>442.45</v>
      </c>
      <c r="W22">
        <v>1014.88</v>
      </c>
      <c r="X22">
        <v>7.53</v>
      </c>
      <c r="Y22">
        <v>231.22</v>
      </c>
      <c r="Z22">
        <v>457.44</v>
      </c>
      <c r="AA22">
        <v>79.989999999999995</v>
      </c>
      <c r="AB22">
        <v>1012.38</v>
      </c>
      <c r="AC22">
        <v>749.91</v>
      </c>
      <c r="AD22">
        <v>71.239999999999995</v>
      </c>
      <c r="AE22">
        <v>536.19000000000005</v>
      </c>
      <c r="AF22">
        <v>23602.15</v>
      </c>
      <c r="AG22">
        <v>142.47999999999999</v>
      </c>
      <c r="AH22">
        <v>283.72000000000003</v>
      </c>
      <c r="AI22">
        <v>48.74</v>
      </c>
      <c r="AJ22">
        <v>519.94000000000005</v>
      </c>
      <c r="AK22">
        <v>134.97999999999999</v>
      </c>
      <c r="AL22">
        <v>107.49</v>
      </c>
      <c r="AM22">
        <v>453.7</v>
      </c>
      <c r="AN22">
        <v>88.74</v>
      </c>
      <c r="AO22">
        <v>1067.3699999999999</v>
      </c>
      <c r="AP22">
        <v>23.75</v>
      </c>
      <c r="AQ22">
        <v>163.72999999999999</v>
      </c>
      <c r="AR22">
        <v>25</v>
      </c>
      <c r="AS22">
        <v>12.5</v>
      </c>
      <c r="AT22">
        <v>20</v>
      </c>
      <c r="AU22">
        <v>23.75</v>
      </c>
      <c r="AV22">
        <v>1794.78</v>
      </c>
      <c r="AW22">
        <v>419.95</v>
      </c>
      <c r="AX22">
        <v>7059.15</v>
      </c>
      <c r="AY22">
        <v>28.75</v>
      </c>
      <c r="AZ22">
        <v>53.74</v>
      </c>
      <c r="BA22">
        <v>323.70999999999998</v>
      </c>
      <c r="BB22">
        <v>601.17999999999995</v>
      </c>
      <c r="BC22">
        <v>23.75</v>
      </c>
      <c r="BD22">
        <v>11.25</v>
      </c>
      <c r="BE22">
        <v>352.46</v>
      </c>
      <c r="BF22">
        <v>452.45</v>
      </c>
      <c r="BG22">
        <v>67.489999999999995</v>
      </c>
      <c r="BH22">
        <v>13.75</v>
      </c>
      <c r="BI22">
        <v>12.5</v>
      </c>
      <c r="BJ22">
        <v>7.53</v>
      </c>
      <c r="BK22">
        <v>452.45</v>
      </c>
      <c r="BL22">
        <v>511.19</v>
      </c>
      <c r="BM22">
        <v>118.74</v>
      </c>
      <c r="BN22">
        <v>88.74</v>
      </c>
      <c r="BO22">
        <v>99.99</v>
      </c>
      <c r="BP22">
        <v>40</v>
      </c>
      <c r="BQ22">
        <v>44.99</v>
      </c>
      <c r="BR22">
        <v>54.99</v>
      </c>
      <c r="BS22">
        <v>23.75</v>
      </c>
      <c r="BT22">
        <v>2529.69</v>
      </c>
      <c r="BU22">
        <v>901.14</v>
      </c>
      <c r="BV22">
        <v>30</v>
      </c>
      <c r="BW22">
        <v>236.22</v>
      </c>
      <c r="BX22">
        <v>749.91</v>
      </c>
      <c r="BY22">
        <v>172.48</v>
      </c>
      <c r="BZ22">
        <v>409.95</v>
      </c>
      <c r="CA22">
        <v>177.48</v>
      </c>
      <c r="CB22">
        <v>118.74</v>
      </c>
      <c r="CC22">
        <v>13.75</v>
      </c>
      <c r="CD22">
        <v>33.75</v>
      </c>
      <c r="CE22">
        <v>323.70999999999998</v>
      </c>
      <c r="CF22">
        <v>553.67999999999995</v>
      </c>
      <c r="CG22">
        <v>40</v>
      </c>
      <c r="CH22">
        <v>204.98</v>
      </c>
      <c r="CI22">
        <v>7.53</v>
      </c>
      <c r="CJ22">
        <v>22.5</v>
      </c>
      <c r="CK22">
        <v>68.739999999999995</v>
      </c>
      <c r="CL22">
        <v>88.74</v>
      </c>
      <c r="CM22">
        <v>408.7</v>
      </c>
      <c r="CN22">
        <v>102.49</v>
      </c>
      <c r="CO22">
        <v>101.24</v>
      </c>
      <c r="CP22">
        <v>7.53</v>
      </c>
      <c r="CQ22">
        <v>71.239999999999995</v>
      </c>
      <c r="CR22">
        <v>68.739999999999995</v>
      </c>
      <c r="CS22">
        <v>7.53</v>
      </c>
      <c r="CT22">
        <v>38.75</v>
      </c>
      <c r="CU22">
        <v>78.739999999999995</v>
      </c>
      <c r="CV22">
        <v>76.239999999999995</v>
      </c>
      <c r="CW22">
        <v>1913.52</v>
      </c>
      <c r="CX22">
        <v>71.239999999999995</v>
      </c>
      <c r="CY22">
        <v>276.22000000000003</v>
      </c>
      <c r="CZ22">
        <v>86.24</v>
      </c>
      <c r="DA22">
        <v>31.25</v>
      </c>
      <c r="DB22">
        <v>217.47</v>
      </c>
      <c r="DC22">
        <v>191.23</v>
      </c>
      <c r="DD22">
        <v>38.75</v>
      </c>
      <c r="DE22">
        <v>37.5</v>
      </c>
      <c r="DF22">
        <v>341.21</v>
      </c>
      <c r="DG22">
        <v>7.53</v>
      </c>
      <c r="DH22">
        <v>4239.49</v>
      </c>
      <c r="DI22">
        <v>51.24</v>
      </c>
      <c r="DJ22">
        <v>74.989999999999995</v>
      </c>
      <c r="DK22">
        <v>317.45999999999998</v>
      </c>
      <c r="DL22">
        <v>1658.55</v>
      </c>
      <c r="DM22">
        <v>146.22999999999999</v>
      </c>
      <c r="DN22">
        <v>66.239999999999995</v>
      </c>
      <c r="DO22">
        <v>53.74</v>
      </c>
      <c r="DP22">
        <v>53.74</v>
      </c>
      <c r="DQ22">
        <v>2390.96</v>
      </c>
      <c r="DR22">
        <v>102.49</v>
      </c>
      <c r="DS22">
        <v>40</v>
      </c>
      <c r="DT22">
        <v>23.75</v>
      </c>
      <c r="DU22">
        <v>4671.9399999999996</v>
      </c>
      <c r="DV22">
        <v>30</v>
      </c>
      <c r="DW22">
        <v>22.5</v>
      </c>
      <c r="DX22">
        <v>57.49</v>
      </c>
      <c r="DY22">
        <v>141.22999999999999</v>
      </c>
      <c r="DZ22">
        <v>97.49</v>
      </c>
      <c r="EA22">
        <v>86.24</v>
      </c>
      <c r="EB22">
        <v>53.74</v>
      </c>
      <c r="EC22">
        <v>96.24</v>
      </c>
      <c r="ED22">
        <v>15</v>
      </c>
      <c r="EE22">
        <v>7.53</v>
      </c>
      <c r="EF22">
        <v>2309.7199999999998</v>
      </c>
      <c r="EG22">
        <v>2537.19</v>
      </c>
      <c r="EH22">
        <v>12.5</v>
      </c>
      <c r="EI22">
        <v>56.24</v>
      </c>
      <c r="EJ22">
        <v>507.44</v>
      </c>
      <c r="EK22">
        <v>374.95</v>
      </c>
      <c r="EL22">
        <v>3737.05</v>
      </c>
      <c r="EM22">
        <v>364.96</v>
      </c>
      <c r="EN22">
        <v>64.989999999999995</v>
      </c>
      <c r="EO22">
        <v>221.22</v>
      </c>
      <c r="EP22">
        <v>23.75</v>
      </c>
      <c r="EQ22">
        <v>3612.06</v>
      </c>
      <c r="ER22">
        <v>16.25</v>
      </c>
      <c r="ES22">
        <v>12.5</v>
      </c>
      <c r="ET22">
        <v>10</v>
      </c>
      <c r="EU22">
        <v>388.7</v>
      </c>
      <c r="EV22">
        <v>51.24</v>
      </c>
      <c r="EW22">
        <v>12.5</v>
      </c>
      <c r="EX22">
        <v>176.23</v>
      </c>
      <c r="EY22">
        <v>57.49</v>
      </c>
      <c r="EZ22">
        <v>35</v>
      </c>
      <c r="FA22">
        <v>83.74</v>
      </c>
      <c r="FB22">
        <v>7.53</v>
      </c>
      <c r="FC22">
        <v>151.22999999999999</v>
      </c>
      <c r="FD22">
        <v>26.25</v>
      </c>
      <c r="FE22">
        <v>5045.6400000000003</v>
      </c>
      <c r="FF22">
        <v>10</v>
      </c>
      <c r="FG22">
        <v>2328.4699999999998</v>
      </c>
      <c r="FH22">
        <v>4064.51</v>
      </c>
      <c r="FI22">
        <v>25</v>
      </c>
      <c r="FJ22">
        <v>623.66999999999996</v>
      </c>
      <c r="FK22">
        <v>212.47</v>
      </c>
      <c r="FL22">
        <v>72.489999999999995</v>
      </c>
      <c r="FM22">
        <v>286.22000000000003</v>
      </c>
      <c r="FN22">
        <v>58.74</v>
      </c>
      <c r="FO22">
        <v>46.24</v>
      </c>
      <c r="FP22">
        <v>7.53</v>
      </c>
      <c r="FQ22">
        <v>26.25</v>
      </c>
      <c r="FR22">
        <v>7.53</v>
      </c>
      <c r="FS22">
        <v>7.53</v>
      </c>
      <c r="FT22">
        <v>68.739999999999995</v>
      </c>
      <c r="FU22">
        <v>3535.82</v>
      </c>
      <c r="FV22">
        <v>1629.8</v>
      </c>
      <c r="FW22">
        <v>21.25</v>
      </c>
      <c r="FX22">
        <v>82.49</v>
      </c>
      <c r="FY22">
        <v>7.53</v>
      </c>
      <c r="FZ22">
        <v>1419.83</v>
      </c>
      <c r="GA22">
        <v>548.67999999999995</v>
      </c>
      <c r="GB22">
        <v>67.489999999999995</v>
      </c>
      <c r="GC22">
        <v>31.25</v>
      </c>
      <c r="GD22">
        <v>952.39</v>
      </c>
      <c r="GE22">
        <v>512.44000000000005</v>
      </c>
      <c r="GF22">
        <v>401.2</v>
      </c>
      <c r="GG22">
        <v>1029.8800000000001</v>
      </c>
      <c r="GH22">
        <v>456.2</v>
      </c>
      <c r="GI22">
        <v>2307.2199999999998</v>
      </c>
      <c r="GJ22">
        <v>56.24</v>
      </c>
      <c r="GK22">
        <v>7919.05</v>
      </c>
      <c r="GL22">
        <v>268.72000000000003</v>
      </c>
      <c r="GM22">
        <v>7.53</v>
      </c>
      <c r="GN22">
        <v>17.5</v>
      </c>
      <c r="GO22">
        <v>832.4</v>
      </c>
      <c r="GP22">
        <v>58.74</v>
      </c>
      <c r="GQ22">
        <v>58.74</v>
      </c>
      <c r="GR22">
        <v>487.44</v>
      </c>
      <c r="GS22">
        <v>481.19</v>
      </c>
      <c r="GT22">
        <v>523.69000000000005</v>
      </c>
      <c r="GU22">
        <v>17.5</v>
      </c>
      <c r="GV22">
        <v>7.53</v>
      </c>
      <c r="GW22">
        <v>121.24</v>
      </c>
      <c r="GX22">
        <v>309.95999999999998</v>
      </c>
      <c r="GY22">
        <v>81.239999999999995</v>
      </c>
      <c r="GZ22">
        <v>181.23</v>
      </c>
      <c r="HA22">
        <v>482.44</v>
      </c>
      <c r="HB22">
        <v>523.69000000000005</v>
      </c>
      <c r="HC22">
        <v>154.97999999999999</v>
      </c>
      <c r="HD22">
        <v>1593.56</v>
      </c>
      <c r="HE22">
        <v>20</v>
      </c>
      <c r="HF22">
        <v>3424.59</v>
      </c>
      <c r="HG22">
        <v>157.47999999999999</v>
      </c>
      <c r="HH22">
        <v>421.2</v>
      </c>
      <c r="HI22">
        <v>7.53</v>
      </c>
      <c r="HJ22">
        <v>408.7</v>
      </c>
      <c r="HK22">
        <v>6350.48</v>
      </c>
      <c r="HL22">
        <v>523.69000000000005</v>
      </c>
      <c r="HM22">
        <v>132.47999999999999</v>
      </c>
      <c r="HN22">
        <v>1446.08</v>
      </c>
      <c r="HO22">
        <v>7.53</v>
      </c>
      <c r="HP22">
        <v>68.739999999999995</v>
      </c>
      <c r="HQ22">
        <v>6327.99</v>
      </c>
      <c r="HR22">
        <v>171.23</v>
      </c>
      <c r="HS22">
        <v>26.25</v>
      </c>
      <c r="HT22">
        <v>33.75</v>
      </c>
      <c r="HU22">
        <v>338.71</v>
      </c>
      <c r="HV22">
        <v>78.739999999999995</v>
      </c>
      <c r="HW22">
        <v>5289.36</v>
      </c>
      <c r="HX22">
        <v>10</v>
      </c>
      <c r="HY22">
        <v>7.53</v>
      </c>
      <c r="HZ22">
        <v>169.98</v>
      </c>
      <c r="IA22">
        <v>207.47</v>
      </c>
      <c r="IB22">
        <v>69.989999999999995</v>
      </c>
      <c r="IC22">
        <v>23.75</v>
      </c>
      <c r="ID22">
        <v>36.25</v>
      </c>
      <c r="IE22">
        <v>26.25</v>
      </c>
      <c r="IF22">
        <v>1159.8599999999999</v>
      </c>
      <c r="IG22">
        <v>54.99</v>
      </c>
      <c r="IH22">
        <v>12.5</v>
      </c>
      <c r="II22">
        <v>421.2</v>
      </c>
      <c r="IJ22">
        <v>73.739999999999995</v>
      </c>
      <c r="IK22">
        <v>15</v>
      </c>
      <c r="IL22">
        <v>993.63</v>
      </c>
      <c r="IM22">
        <v>144.97999999999999</v>
      </c>
      <c r="IN22">
        <v>137.47999999999999</v>
      </c>
      <c r="IO22">
        <v>497.44</v>
      </c>
      <c r="IP22">
        <v>41.25</v>
      </c>
      <c r="IQ22">
        <v>28.75</v>
      </c>
      <c r="IR22">
        <v>7.53</v>
      </c>
      <c r="IS22">
        <v>16.25</v>
      </c>
      <c r="IT22">
        <v>7.53</v>
      </c>
      <c r="IU22">
        <v>432.45</v>
      </c>
      <c r="IV22">
        <v>1689.8</v>
      </c>
      <c r="IW22">
        <v>156.22999999999999</v>
      </c>
      <c r="IX22">
        <v>5393.1</v>
      </c>
      <c r="IY22">
        <v>73.739999999999995</v>
      </c>
      <c r="IZ22">
        <v>32.5</v>
      </c>
      <c r="JA22">
        <v>166.23</v>
      </c>
      <c r="JB22">
        <v>674.92</v>
      </c>
      <c r="JC22">
        <v>89.99</v>
      </c>
      <c r="JD22">
        <v>788.65</v>
      </c>
      <c r="JE22">
        <v>25</v>
      </c>
      <c r="JF22">
        <v>16.25</v>
      </c>
      <c r="JG22">
        <v>89.99</v>
      </c>
      <c r="JH22">
        <v>408.7</v>
      </c>
      <c r="JI22">
        <v>754.91</v>
      </c>
      <c r="JJ22">
        <v>233.72</v>
      </c>
      <c r="JK22">
        <v>87.49</v>
      </c>
      <c r="JL22">
        <v>166.23</v>
      </c>
      <c r="JM22">
        <v>32.5</v>
      </c>
      <c r="JN22">
        <v>7.53</v>
      </c>
      <c r="JO22">
        <v>374.95</v>
      </c>
      <c r="JP22">
        <v>1156.1099999999999</v>
      </c>
      <c r="JQ22">
        <v>2648.43</v>
      </c>
      <c r="JR22">
        <v>21.25</v>
      </c>
      <c r="JS22">
        <v>31.25</v>
      </c>
      <c r="JT22">
        <v>208.72</v>
      </c>
      <c r="JU22">
        <v>57.49</v>
      </c>
      <c r="JV22">
        <v>203.73</v>
      </c>
      <c r="JW22">
        <v>88.74</v>
      </c>
      <c r="JX22">
        <v>51.24</v>
      </c>
      <c r="JY22">
        <v>306.20999999999998</v>
      </c>
      <c r="JZ22">
        <v>33.75</v>
      </c>
      <c r="KA22">
        <v>22.5</v>
      </c>
      <c r="KB22">
        <v>20</v>
      </c>
      <c r="KC22">
        <v>33.75</v>
      </c>
      <c r="KD22">
        <v>11.25</v>
      </c>
      <c r="KE22">
        <v>149.97999999999999</v>
      </c>
      <c r="KF22">
        <v>97.49</v>
      </c>
      <c r="KG22">
        <v>183.73</v>
      </c>
      <c r="KH22">
        <v>91.24</v>
      </c>
      <c r="KI22">
        <v>509.94</v>
      </c>
      <c r="KJ22">
        <v>299.95999999999998</v>
      </c>
      <c r="KK22">
        <v>206.23</v>
      </c>
      <c r="KL22">
        <v>54.99</v>
      </c>
      <c r="KM22">
        <v>28.75</v>
      </c>
      <c r="KN22">
        <v>61.24</v>
      </c>
      <c r="KO22">
        <v>298.70999999999998</v>
      </c>
      <c r="KP22">
        <v>191.23</v>
      </c>
      <c r="KQ22">
        <v>3822.04</v>
      </c>
      <c r="KR22">
        <v>674.92</v>
      </c>
      <c r="KS22">
        <v>1659.8</v>
      </c>
      <c r="KT22">
        <v>4354.4799999999996</v>
      </c>
      <c r="KU22">
        <v>47924.22</v>
      </c>
      <c r="KV22">
        <v>5321.86</v>
      </c>
      <c r="KW22">
        <v>227.47</v>
      </c>
      <c r="KX22">
        <v>177.48</v>
      </c>
      <c r="KY22">
        <v>36.25</v>
      </c>
      <c r="KZ22">
        <v>20</v>
      </c>
      <c r="LA22">
        <v>1029.8800000000001</v>
      </c>
      <c r="LB22">
        <v>1031.1300000000001</v>
      </c>
      <c r="LC22">
        <v>598.67999999999995</v>
      </c>
      <c r="LD22">
        <v>7.53</v>
      </c>
      <c r="LE22">
        <v>283.72000000000003</v>
      </c>
      <c r="LF22">
        <v>2282.2199999999998</v>
      </c>
      <c r="LG22">
        <v>1702.29</v>
      </c>
      <c r="LH22">
        <v>968.63</v>
      </c>
      <c r="LI22">
        <v>8371.49</v>
      </c>
      <c r="LJ22">
        <v>488.69</v>
      </c>
      <c r="LK22">
        <v>1333.59</v>
      </c>
      <c r="LL22">
        <v>232.47</v>
      </c>
      <c r="LM22">
        <v>7.53</v>
      </c>
      <c r="LN22">
        <v>306.20999999999998</v>
      </c>
      <c r="LO22">
        <v>96.24</v>
      </c>
      <c r="LP22">
        <v>1293.5899999999999</v>
      </c>
      <c r="LQ22">
        <v>98.74</v>
      </c>
      <c r="LR22">
        <v>114.99</v>
      </c>
      <c r="LS22">
        <v>58.74</v>
      </c>
      <c r="LT22">
        <v>49.99</v>
      </c>
      <c r="LU22">
        <v>161.22999999999999</v>
      </c>
      <c r="LV22">
        <v>809.9</v>
      </c>
      <c r="LW22">
        <v>651.16999999999996</v>
      </c>
      <c r="LX22">
        <v>3553.32</v>
      </c>
      <c r="LY22">
        <v>1563.56</v>
      </c>
      <c r="LZ22">
        <v>2498.4499999999998</v>
      </c>
      <c r="MA22">
        <v>164.98</v>
      </c>
      <c r="MB22">
        <v>436.2</v>
      </c>
      <c r="MC22">
        <v>624.91999999999996</v>
      </c>
      <c r="MD22">
        <v>42.49</v>
      </c>
      <c r="ME22">
        <v>51.24</v>
      </c>
      <c r="MF22">
        <v>173.73</v>
      </c>
      <c r="MG22">
        <v>3268.36</v>
      </c>
      <c r="MH22">
        <v>2087.25</v>
      </c>
      <c r="MI22">
        <v>7.53</v>
      </c>
      <c r="MJ22">
        <v>607.42999999999995</v>
      </c>
      <c r="MK22">
        <v>15</v>
      </c>
      <c r="ML22">
        <v>1142.3599999999999</v>
      </c>
      <c r="MM22">
        <v>1041.1199999999999</v>
      </c>
      <c r="MN22">
        <v>481.19</v>
      </c>
      <c r="MO22">
        <v>7.53</v>
      </c>
      <c r="MP22">
        <v>161.22999999999999</v>
      </c>
      <c r="MQ22">
        <v>141.22999999999999</v>
      </c>
      <c r="MR22">
        <v>11.25</v>
      </c>
      <c r="MS22">
        <v>304.95999999999998</v>
      </c>
      <c r="MT22">
        <v>1931.02</v>
      </c>
      <c r="MU22">
        <v>37.5</v>
      </c>
      <c r="MV22">
        <v>56.24</v>
      </c>
      <c r="MW22">
        <v>71.239999999999995</v>
      </c>
      <c r="MX22">
        <v>128.72999999999999</v>
      </c>
      <c r="MY22">
        <v>16.25</v>
      </c>
      <c r="MZ22">
        <v>1157.3599999999999</v>
      </c>
      <c r="NA22">
        <v>139.97999999999999</v>
      </c>
      <c r="NB22">
        <v>849.9</v>
      </c>
      <c r="NC22">
        <v>1166.1099999999999</v>
      </c>
      <c r="ND22">
        <v>6016.77</v>
      </c>
      <c r="NE22">
        <v>842.4</v>
      </c>
      <c r="NF22">
        <v>7.53</v>
      </c>
      <c r="NG22">
        <v>21.25</v>
      </c>
      <c r="NH22">
        <v>44.99</v>
      </c>
      <c r="NI22">
        <v>5281.86</v>
      </c>
      <c r="NJ22">
        <v>239.97</v>
      </c>
      <c r="NK22">
        <v>302.45999999999998</v>
      </c>
      <c r="NL22">
        <v>177.48</v>
      </c>
      <c r="NM22">
        <v>1288.5899999999999</v>
      </c>
      <c r="NN22">
        <v>66.239999999999995</v>
      </c>
      <c r="NO22">
        <v>25</v>
      </c>
      <c r="NP22">
        <v>7.53</v>
      </c>
      <c r="NQ22">
        <v>3530.82</v>
      </c>
      <c r="NR22">
        <v>289.97000000000003</v>
      </c>
      <c r="NS22">
        <v>644.91999999999996</v>
      </c>
      <c r="NT22">
        <v>1172.3599999999999</v>
      </c>
      <c r="NU22">
        <v>1093.6199999999999</v>
      </c>
      <c r="NV22">
        <v>489.94</v>
      </c>
      <c r="NW22">
        <v>243.72</v>
      </c>
      <c r="NX22">
        <v>84.99</v>
      </c>
      <c r="NY22">
        <v>72.489999999999995</v>
      </c>
      <c r="NZ22">
        <v>624.91999999999996</v>
      </c>
      <c r="OA22">
        <v>213.72</v>
      </c>
      <c r="OB22">
        <v>419.95</v>
      </c>
      <c r="OC22">
        <v>612.42999999999995</v>
      </c>
      <c r="OD22">
        <v>297.45999999999998</v>
      </c>
      <c r="OE22">
        <v>1608.56</v>
      </c>
      <c r="OF22">
        <v>77.489999999999995</v>
      </c>
      <c r="OG22">
        <v>4286.9799999999996</v>
      </c>
      <c r="OH22">
        <v>168.73</v>
      </c>
      <c r="OI22">
        <v>134.97999999999999</v>
      </c>
      <c r="OJ22">
        <v>46.24</v>
      </c>
      <c r="OK22">
        <v>1848.53</v>
      </c>
      <c r="OL22">
        <v>523.69000000000005</v>
      </c>
      <c r="OM22">
        <v>637.41999999999996</v>
      </c>
      <c r="ON22">
        <v>392.45</v>
      </c>
      <c r="OO22">
        <v>364.96</v>
      </c>
      <c r="OP22">
        <v>238.72</v>
      </c>
      <c r="OQ22">
        <v>524.94000000000005</v>
      </c>
      <c r="OR22">
        <v>10</v>
      </c>
      <c r="OS22">
        <v>653.66999999999996</v>
      </c>
      <c r="OT22">
        <v>552.42999999999995</v>
      </c>
      <c r="OU22">
        <v>231.22</v>
      </c>
      <c r="OV22">
        <v>912.39</v>
      </c>
      <c r="OW22">
        <v>33.75</v>
      </c>
      <c r="OX22">
        <v>52.49</v>
      </c>
      <c r="OY22">
        <v>7.53</v>
      </c>
      <c r="OZ22">
        <v>11.25</v>
      </c>
      <c r="PA22">
        <v>7.53</v>
      </c>
      <c r="PB22">
        <v>207.47</v>
      </c>
      <c r="PC22">
        <v>25</v>
      </c>
      <c r="PD22">
        <v>86.24</v>
      </c>
      <c r="PE22">
        <v>52.49</v>
      </c>
      <c r="PF22">
        <v>508.69</v>
      </c>
      <c r="PG22">
        <v>47.49</v>
      </c>
      <c r="PH22">
        <v>137.47999999999999</v>
      </c>
      <c r="PI22">
        <v>40</v>
      </c>
      <c r="PJ22">
        <v>9202.64</v>
      </c>
      <c r="PK22">
        <v>13628.36</v>
      </c>
      <c r="PL22">
        <v>108.74</v>
      </c>
      <c r="PM22">
        <v>24563.29</v>
      </c>
      <c r="PN22">
        <v>883.64</v>
      </c>
      <c r="PO22">
        <v>77.489999999999995</v>
      </c>
      <c r="PP22">
        <v>5329.36</v>
      </c>
      <c r="PQ22">
        <v>33.75</v>
      </c>
      <c r="PR22">
        <v>103.74</v>
      </c>
      <c r="PS22">
        <v>33.75</v>
      </c>
      <c r="PT22">
        <v>38.75</v>
      </c>
      <c r="PU22">
        <v>201.23</v>
      </c>
      <c r="PV22">
        <v>183.73</v>
      </c>
      <c r="PW22">
        <v>156.22999999999999</v>
      </c>
      <c r="PX22">
        <v>37.5</v>
      </c>
      <c r="PY22">
        <v>996.13</v>
      </c>
      <c r="PZ22">
        <v>42.49</v>
      </c>
      <c r="QA22">
        <v>334.96</v>
      </c>
      <c r="QB22">
        <v>6697.94</v>
      </c>
      <c r="QC22">
        <v>7.53</v>
      </c>
      <c r="QD22">
        <v>7.53</v>
      </c>
      <c r="QE22">
        <v>21.25</v>
      </c>
      <c r="QF22">
        <v>7.53</v>
      </c>
      <c r="QG22">
        <v>7.53</v>
      </c>
      <c r="QH22">
        <v>7.53</v>
      </c>
      <c r="QI22">
        <v>7.53</v>
      </c>
      <c r="QJ22">
        <v>244.97</v>
      </c>
      <c r="QK22">
        <v>49.99</v>
      </c>
      <c r="QL22">
        <v>378.7</v>
      </c>
      <c r="QM22">
        <v>568.67999999999995</v>
      </c>
      <c r="QN22">
        <v>1119.8599999999999</v>
      </c>
      <c r="QO22">
        <v>13.75</v>
      </c>
      <c r="QP22">
        <v>44.99</v>
      </c>
      <c r="QQ22">
        <v>242.47</v>
      </c>
      <c r="QR22">
        <v>20</v>
      </c>
      <c r="QS22">
        <v>966.13</v>
      </c>
      <c r="QT22">
        <v>583.67999999999995</v>
      </c>
      <c r="QU22">
        <v>62.49</v>
      </c>
      <c r="QV22">
        <v>81.239999999999995</v>
      </c>
      <c r="QW22">
        <v>127.48</v>
      </c>
      <c r="QX22">
        <v>101.24</v>
      </c>
      <c r="QY22">
        <v>13.75</v>
      </c>
      <c r="QZ22">
        <v>11.25</v>
      </c>
      <c r="RA22">
        <v>181.23</v>
      </c>
      <c r="RB22">
        <v>22713.51</v>
      </c>
      <c r="RC22">
        <v>182.48</v>
      </c>
      <c r="RD22">
        <v>4650.6899999999996</v>
      </c>
      <c r="RE22">
        <v>92.49</v>
      </c>
      <c r="RF22">
        <v>196.23</v>
      </c>
      <c r="RG22">
        <v>276.22000000000003</v>
      </c>
      <c r="RH22">
        <v>99.99</v>
      </c>
      <c r="RI22">
        <v>16.25</v>
      </c>
      <c r="RJ22">
        <v>126.23</v>
      </c>
      <c r="RK22">
        <v>7.53</v>
      </c>
      <c r="RL22">
        <v>144.97999999999999</v>
      </c>
      <c r="RM22">
        <v>108.74</v>
      </c>
      <c r="RN22">
        <v>156.22999999999999</v>
      </c>
      <c r="RO22">
        <v>211.22</v>
      </c>
      <c r="RP22">
        <v>178.73</v>
      </c>
      <c r="RQ22">
        <v>336.21</v>
      </c>
      <c r="RR22">
        <v>21.25</v>
      </c>
      <c r="RS22">
        <v>856.15</v>
      </c>
      <c r="RT22">
        <v>391.2</v>
      </c>
      <c r="RU22">
        <v>59.99</v>
      </c>
      <c r="RV22">
        <v>30</v>
      </c>
      <c r="RW22">
        <v>149.97999999999999</v>
      </c>
      <c r="RX22">
        <v>2242.23</v>
      </c>
      <c r="RY22">
        <v>1313.59</v>
      </c>
      <c r="RZ22">
        <v>48.74</v>
      </c>
      <c r="SA22">
        <v>384.95</v>
      </c>
      <c r="SB22">
        <v>23.75</v>
      </c>
      <c r="SC22">
        <v>98.74</v>
      </c>
      <c r="SD22">
        <v>1783.54</v>
      </c>
      <c r="SE22">
        <v>773.66</v>
      </c>
      <c r="SF22">
        <v>674.92</v>
      </c>
      <c r="SG22">
        <v>7226.63</v>
      </c>
      <c r="SH22">
        <v>104.99</v>
      </c>
      <c r="SI22">
        <v>7.53</v>
      </c>
      <c r="SJ22">
        <v>391.2</v>
      </c>
      <c r="SK22">
        <v>217.47</v>
      </c>
      <c r="SL22">
        <v>313.70999999999998</v>
      </c>
      <c r="SM22">
        <v>22.5</v>
      </c>
      <c r="SN22">
        <v>136.22999999999999</v>
      </c>
      <c r="SO22">
        <v>7.53</v>
      </c>
      <c r="SP22">
        <v>188.73</v>
      </c>
      <c r="SQ22">
        <v>1436.08</v>
      </c>
      <c r="SR22">
        <v>983.63</v>
      </c>
      <c r="SS22">
        <v>2543.44</v>
      </c>
      <c r="ST22">
        <v>172.48</v>
      </c>
      <c r="SU22">
        <v>321.20999999999998</v>
      </c>
      <c r="SV22">
        <v>131.22999999999999</v>
      </c>
      <c r="SW22">
        <v>467.44</v>
      </c>
      <c r="SX22">
        <v>508.69</v>
      </c>
      <c r="SY22">
        <v>123.74</v>
      </c>
      <c r="SZ22">
        <v>7.53</v>
      </c>
      <c r="TA22">
        <v>7.53</v>
      </c>
      <c r="TB22">
        <v>1833.53</v>
      </c>
      <c r="TC22">
        <v>696.17</v>
      </c>
      <c r="TD22">
        <v>32.5</v>
      </c>
      <c r="TE22">
        <v>373.7</v>
      </c>
      <c r="TF22">
        <v>329.96</v>
      </c>
      <c r="TG22">
        <v>381.2</v>
      </c>
      <c r="TH22">
        <v>211.22</v>
      </c>
      <c r="TI22">
        <v>63.74</v>
      </c>
      <c r="TJ22">
        <v>10</v>
      </c>
      <c r="TK22">
        <v>196.23</v>
      </c>
      <c r="TL22">
        <v>123.74</v>
      </c>
      <c r="TM22">
        <v>82.49</v>
      </c>
      <c r="TN22">
        <v>1927.27</v>
      </c>
      <c r="TO22">
        <v>951.14</v>
      </c>
      <c r="TP22">
        <v>318.70999999999998</v>
      </c>
      <c r="TQ22">
        <v>613.67999999999995</v>
      </c>
      <c r="TR22">
        <v>7.53</v>
      </c>
      <c r="TS22">
        <v>854.9</v>
      </c>
      <c r="TT22">
        <v>57.49</v>
      </c>
      <c r="TU22">
        <v>73.739999999999995</v>
      </c>
      <c r="TV22">
        <v>267.47000000000003</v>
      </c>
      <c r="TW22">
        <v>421.2</v>
      </c>
      <c r="TX22">
        <v>261.22000000000003</v>
      </c>
      <c r="TY22">
        <v>52.49</v>
      </c>
      <c r="TZ22">
        <v>156.22999999999999</v>
      </c>
      <c r="UA22">
        <v>154.97999999999999</v>
      </c>
      <c r="UB22">
        <v>151.22999999999999</v>
      </c>
      <c r="UC22">
        <v>7639.08</v>
      </c>
      <c r="UD22">
        <v>10</v>
      </c>
      <c r="UE22">
        <v>7.53</v>
      </c>
      <c r="UF22">
        <v>2008.51</v>
      </c>
      <c r="UG22">
        <v>83.74</v>
      </c>
      <c r="UH22">
        <v>7.53</v>
      </c>
      <c r="UI22">
        <v>27.5</v>
      </c>
      <c r="UJ22">
        <v>58.74</v>
      </c>
      <c r="UK22">
        <v>16.25</v>
      </c>
      <c r="UL22">
        <v>30</v>
      </c>
      <c r="UM22">
        <v>10</v>
      </c>
      <c r="UN22">
        <v>151.22999999999999</v>
      </c>
      <c r="UO22">
        <v>133.72999999999999</v>
      </c>
      <c r="UP22">
        <v>7.53</v>
      </c>
      <c r="UQ22">
        <v>7.53</v>
      </c>
      <c r="UR22">
        <v>7.53</v>
      </c>
      <c r="US22">
        <v>98.74</v>
      </c>
      <c r="UT22">
        <v>201.23</v>
      </c>
      <c r="UU22">
        <v>543.67999999999995</v>
      </c>
      <c r="UV22">
        <v>479.94</v>
      </c>
      <c r="UW22">
        <v>378.7</v>
      </c>
      <c r="UX22">
        <v>31.25</v>
      </c>
      <c r="UY22">
        <v>664.92</v>
      </c>
      <c r="UZ22">
        <v>92.49</v>
      </c>
      <c r="VA22">
        <v>3910.78</v>
      </c>
      <c r="VB22">
        <v>1198.6099999999999</v>
      </c>
      <c r="VC22">
        <v>198.73</v>
      </c>
      <c r="VD22">
        <v>167.48</v>
      </c>
      <c r="VE22">
        <v>41.25</v>
      </c>
      <c r="VF22">
        <v>361.21</v>
      </c>
      <c r="VG22">
        <v>12.5</v>
      </c>
      <c r="VH22">
        <v>23.75</v>
      </c>
      <c r="VI22">
        <v>42.49</v>
      </c>
      <c r="VJ22">
        <v>15</v>
      </c>
      <c r="VK22">
        <v>491.19</v>
      </c>
      <c r="VL22">
        <v>799.9</v>
      </c>
      <c r="VM22">
        <v>1106.1199999999999</v>
      </c>
      <c r="VN22">
        <v>423.7</v>
      </c>
      <c r="VO22">
        <v>7.53</v>
      </c>
      <c r="VP22">
        <v>7.53</v>
      </c>
      <c r="VQ22">
        <v>842.4</v>
      </c>
      <c r="VR22">
        <v>268.72000000000003</v>
      </c>
      <c r="VS22">
        <v>567.42999999999995</v>
      </c>
      <c r="VT22">
        <v>36.25</v>
      </c>
      <c r="VU22">
        <v>35</v>
      </c>
      <c r="VV22">
        <v>44.99</v>
      </c>
      <c r="VW22">
        <v>296.20999999999998</v>
      </c>
      <c r="VX22">
        <v>191.23</v>
      </c>
      <c r="VY22">
        <v>10</v>
      </c>
      <c r="VZ22">
        <v>12572.23</v>
      </c>
      <c r="WA22">
        <v>8536.4699999999993</v>
      </c>
      <c r="WB22">
        <v>351.21</v>
      </c>
      <c r="WC22">
        <v>132.47999999999999</v>
      </c>
      <c r="WD22">
        <v>28.75</v>
      </c>
      <c r="WE22">
        <v>328.71</v>
      </c>
      <c r="WF22">
        <v>314.95999999999998</v>
      </c>
      <c r="WG22">
        <v>403.7</v>
      </c>
      <c r="WH22">
        <v>20090.080000000002</v>
      </c>
      <c r="WI22">
        <v>42678.6</v>
      </c>
      <c r="WJ22">
        <v>797.4</v>
      </c>
      <c r="WK22">
        <v>323.70999999999998</v>
      </c>
      <c r="WL22">
        <v>691.17</v>
      </c>
      <c r="WM22">
        <v>22.5</v>
      </c>
      <c r="WN22">
        <v>113.74</v>
      </c>
      <c r="WO22">
        <v>7.53</v>
      </c>
      <c r="WP22">
        <v>168.73</v>
      </c>
      <c r="WQ22">
        <v>1392.33</v>
      </c>
      <c r="WR22">
        <v>1503.57</v>
      </c>
      <c r="WS22">
        <v>77.489999999999995</v>
      </c>
      <c r="WT22">
        <v>806.15</v>
      </c>
      <c r="WU22">
        <v>574.92999999999995</v>
      </c>
      <c r="WV22">
        <v>978.63</v>
      </c>
      <c r="WW22">
        <v>68.739999999999995</v>
      </c>
      <c r="WX22">
        <v>187.48</v>
      </c>
      <c r="WY22">
        <v>21.25</v>
      </c>
      <c r="WZ22">
        <v>13.75</v>
      </c>
      <c r="XA22">
        <v>11.25</v>
      </c>
      <c r="XB22">
        <v>872.39</v>
      </c>
      <c r="XC22">
        <v>7.53</v>
      </c>
      <c r="XD22">
        <v>594.92999999999995</v>
      </c>
      <c r="XE22">
        <v>448.7</v>
      </c>
      <c r="XF22">
        <v>581.17999999999995</v>
      </c>
      <c r="XG22">
        <v>411.2</v>
      </c>
      <c r="XH22">
        <v>128.72999999999999</v>
      </c>
      <c r="XI22">
        <v>586.17999999999995</v>
      </c>
      <c r="XJ22">
        <v>516.19000000000005</v>
      </c>
      <c r="XK22">
        <v>556.17999999999995</v>
      </c>
      <c r="XL22">
        <v>171.23</v>
      </c>
      <c r="XM22">
        <v>11.25</v>
      </c>
      <c r="XN22">
        <v>362.46</v>
      </c>
      <c r="XO22">
        <v>7.53</v>
      </c>
      <c r="XP22">
        <v>26.25</v>
      </c>
      <c r="XQ22">
        <v>7.53</v>
      </c>
      <c r="XR22">
        <v>22.5</v>
      </c>
      <c r="XS22">
        <v>1079.8699999999999</v>
      </c>
      <c r="XT22">
        <v>238.72</v>
      </c>
      <c r="XU22">
        <v>346.21</v>
      </c>
      <c r="XV22">
        <v>341.21</v>
      </c>
      <c r="XW22">
        <v>1432.33</v>
      </c>
      <c r="XX22">
        <v>1606.06</v>
      </c>
      <c r="XY22">
        <v>2675.93</v>
      </c>
      <c r="XZ22">
        <v>328.71</v>
      </c>
      <c r="YA22">
        <v>1386.08</v>
      </c>
      <c r="YB22">
        <v>154.97999999999999</v>
      </c>
      <c r="YC22">
        <v>20</v>
      </c>
      <c r="YD22">
        <v>1097.3699999999999</v>
      </c>
      <c r="YE22">
        <v>369.96</v>
      </c>
      <c r="YF22">
        <v>574.92999999999995</v>
      </c>
      <c r="YG22">
        <v>40</v>
      </c>
      <c r="YH22">
        <v>12.5</v>
      </c>
      <c r="YI22">
        <v>87.49</v>
      </c>
      <c r="YJ22">
        <v>373.7</v>
      </c>
      <c r="YK22">
        <v>15</v>
      </c>
      <c r="YL22">
        <v>56.24</v>
      </c>
      <c r="YM22">
        <v>4496.96</v>
      </c>
      <c r="YN22">
        <v>316.20999999999998</v>
      </c>
      <c r="YO22">
        <v>1469.82</v>
      </c>
      <c r="YP22">
        <v>2383.46</v>
      </c>
      <c r="YQ22">
        <v>372.46</v>
      </c>
      <c r="YR22">
        <v>77.489999999999995</v>
      </c>
      <c r="YS22">
        <v>4346.9799999999996</v>
      </c>
      <c r="YT22">
        <v>153.72999999999999</v>
      </c>
      <c r="YU22">
        <v>444.95</v>
      </c>
      <c r="YV22">
        <v>31.25</v>
      </c>
      <c r="YW22">
        <v>139.97999999999999</v>
      </c>
      <c r="YX22">
        <v>49.99</v>
      </c>
      <c r="YY22">
        <v>256.22000000000003</v>
      </c>
      <c r="YZ22">
        <v>20</v>
      </c>
      <c r="ZA22">
        <v>217.47</v>
      </c>
      <c r="ZB22">
        <v>10</v>
      </c>
      <c r="ZC22">
        <v>7.53</v>
      </c>
      <c r="ZD22">
        <v>44.99</v>
      </c>
      <c r="ZE22">
        <v>46.24</v>
      </c>
      <c r="ZF22">
        <v>123.74</v>
      </c>
      <c r="ZG22">
        <v>534.94000000000005</v>
      </c>
      <c r="ZH22">
        <v>78.739999999999995</v>
      </c>
      <c r="ZI22">
        <v>899.89</v>
      </c>
      <c r="ZJ22">
        <v>2051</v>
      </c>
      <c r="ZK22">
        <v>374.95</v>
      </c>
      <c r="ZL22">
        <v>15</v>
      </c>
      <c r="ZM22">
        <v>252.47</v>
      </c>
      <c r="ZN22">
        <v>35</v>
      </c>
      <c r="ZO22">
        <v>26.25</v>
      </c>
      <c r="ZP22">
        <v>257.47000000000003</v>
      </c>
      <c r="ZQ22">
        <v>15</v>
      </c>
      <c r="ZR22">
        <v>16.25</v>
      </c>
      <c r="ZS22">
        <v>1018.63</v>
      </c>
      <c r="ZT22">
        <v>292.45999999999998</v>
      </c>
      <c r="ZU22">
        <v>193.73</v>
      </c>
      <c r="ZV22">
        <v>15</v>
      </c>
      <c r="ZW22">
        <v>12.5</v>
      </c>
      <c r="ZX22">
        <v>99.99</v>
      </c>
      <c r="ZY22">
        <v>348.71</v>
      </c>
      <c r="ZZ22">
        <v>182.48</v>
      </c>
      <c r="AAA22">
        <v>38.75</v>
      </c>
      <c r="AAB22">
        <v>48.74</v>
      </c>
      <c r="AAC22">
        <v>7.53</v>
      </c>
      <c r="AAD22">
        <v>47.49</v>
      </c>
      <c r="AAE22">
        <v>17.5</v>
      </c>
      <c r="AAF22">
        <v>18.75</v>
      </c>
      <c r="AAG22">
        <v>292.45999999999998</v>
      </c>
      <c r="AAH22">
        <v>209.97</v>
      </c>
      <c r="AAI22">
        <v>3569.57</v>
      </c>
      <c r="AAJ22">
        <v>497.44</v>
      </c>
      <c r="AAK22">
        <v>1147.3599999999999</v>
      </c>
      <c r="AAL22">
        <v>166.23</v>
      </c>
      <c r="AAM22">
        <v>44.99</v>
      </c>
      <c r="AAN22">
        <v>321.20999999999998</v>
      </c>
      <c r="AAO22">
        <v>91.24</v>
      </c>
      <c r="AAP22">
        <v>162.47999999999999</v>
      </c>
      <c r="AAQ22">
        <v>7.53</v>
      </c>
      <c r="AAR22">
        <v>48.74</v>
      </c>
      <c r="AAS22">
        <v>1184.8599999999999</v>
      </c>
      <c r="AAT22">
        <v>127.48</v>
      </c>
      <c r="AAU22">
        <v>7.53</v>
      </c>
      <c r="AAV22">
        <v>1287.3399999999999</v>
      </c>
      <c r="AAW22">
        <v>25</v>
      </c>
      <c r="AAX22">
        <v>101.24</v>
      </c>
      <c r="AAY22">
        <v>16.25</v>
      </c>
      <c r="AAZ22">
        <v>16.25</v>
      </c>
      <c r="ABA22">
        <v>97.49</v>
      </c>
      <c r="ABB22">
        <v>86.24</v>
      </c>
      <c r="ABC22">
        <v>1834.78</v>
      </c>
      <c r="ABD22">
        <v>3048.38</v>
      </c>
      <c r="ABE22">
        <v>383.7</v>
      </c>
      <c r="ABF22">
        <v>616.17999999999995</v>
      </c>
      <c r="ABG22">
        <v>74.989999999999995</v>
      </c>
      <c r="ABH22">
        <v>161.22999999999999</v>
      </c>
      <c r="ABI22">
        <v>20</v>
      </c>
      <c r="ABJ22">
        <v>30</v>
      </c>
      <c r="ABK22">
        <v>44.99</v>
      </c>
      <c r="ABL22">
        <v>12.5</v>
      </c>
      <c r="ABM22">
        <v>56.24</v>
      </c>
      <c r="ABN22">
        <v>83.74</v>
      </c>
      <c r="ABO22">
        <v>7.53</v>
      </c>
      <c r="ABP22">
        <v>7.53</v>
      </c>
      <c r="ABQ22">
        <v>997.38</v>
      </c>
      <c r="ABR22">
        <v>38.75</v>
      </c>
      <c r="ABS22">
        <v>1214.8499999999999</v>
      </c>
      <c r="ABT22">
        <v>12.5</v>
      </c>
      <c r="ABU22">
        <v>81.239999999999995</v>
      </c>
      <c r="ABV22">
        <v>212.47</v>
      </c>
      <c r="ABW22">
        <v>667.42</v>
      </c>
      <c r="ABX22">
        <v>1841.03</v>
      </c>
      <c r="ABY22">
        <v>269.97000000000003</v>
      </c>
      <c r="ABZ22">
        <v>132.47999999999999</v>
      </c>
      <c r="ACA22">
        <v>579.92999999999995</v>
      </c>
      <c r="ACB22">
        <v>221.22</v>
      </c>
      <c r="ACC22">
        <v>132.47999999999999</v>
      </c>
      <c r="ACD22">
        <v>217.47</v>
      </c>
      <c r="ACE22">
        <v>141.22999999999999</v>
      </c>
      <c r="ACF22">
        <v>4801.92</v>
      </c>
      <c r="ACG22">
        <v>1989.76</v>
      </c>
      <c r="ACH22">
        <v>287.47000000000003</v>
      </c>
      <c r="ACI22">
        <v>367.46</v>
      </c>
      <c r="ACJ22">
        <v>848.65</v>
      </c>
      <c r="ACK22">
        <v>373.7</v>
      </c>
      <c r="ACL22">
        <v>58.74</v>
      </c>
      <c r="ACM22">
        <v>379.95</v>
      </c>
      <c r="ACN22">
        <v>246.22</v>
      </c>
      <c r="ACO22">
        <v>953.64</v>
      </c>
      <c r="ACP22">
        <v>421.2</v>
      </c>
      <c r="ACQ22">
        <v>271.22000000000003</v>
      </c>
      <c r="ACR22">
        <v>4636.9399999999996</v>
      </c>
    </row>
    <row r="23" spans="1:772" x14ac:dyDescent="0.3">
      <c r="A23" t="s">
        <v>12</v>
      </c>
      <c r="B23" t="s">
        <v>1</v>
      </c>
      <c r="C23">
        <v>185.5</v>
      </c>
      <c r="D23">
        <v>72.55</v>
      </c>
      <c r="E23">
        <v>368.24</v>
      </c>
      <c r="F23">
        <v>15.49</v>
      </c>
      <c r="G23">
        <v>4588.83</v>
      </c>
      <c r="H23">
        <v>63.36</v>
      </c>
      <c r="I23">
        <v>1425.23</v>
      </c>
      <c r="J23">
        <v>12925.3</v>
      </c>
      <c r="K23">
        <v>740.16</v>
      </c>
      <c r="L23">
        <v>28.47</v>
      </c>
      <c r="M23">
        <v>47.75</v>
      </c>
      <c r="N23">
        <v>2518.02</v>
      </c>
      <c r="O23">
        <v>67.959999999999994</v>
      </c>
      <c r="P23">
        <v>457.32</v>
      </c>
      <c r="Q23">
        <v>191.93</v>
      </c>
      <c r="R23">
        <v>1077.19</v>
      </c>
      <c r="S23">
        <v>17.45</v>
      </c>
      <c r="T23">
        <v>184.58</v>
      </c>
      <c r="U23">
        <v>699.76</v>
      </c>
      <c r="V23">
        <v>180.91</v>
      </c>
      <c r="W23">
        <v>620.78</v>
      </c>
      <c r="X23">
        <v>15.49</v>
      </c>
      <c r="Y23">
        <v>348.04</v>
      </c>
      <c r="Z23">
        <v>564.76</v>
      </c>
      <c r="AA23">
        <v>30.3</v>
      </c>
      <c r="AB23">
        <v>1453.69</v>
      </c>
      <c r="AC23">
        <v>590.48</v>
      </c>
      <c r="AD23">
        <v>89.08</v>
      </c>
      <c r="AE23">
        <v>594.15</v>
      </c>
      <c r="AF23">
        <v>45104.94</v>
      </c>
      <c r="AG23">
        <v>158.87</v>
      </c>
      <c r="AH23">
        <v>356.31</v>
      </c>
      <c r="AI23">
        <v>78.06</v>
      </c>
      <c r="AJ23">
        <v>807.2</v>
      </c>
      <c r="AK23">
        <v>145.09</v>
      </c>
      <c r="AL23">
        <v>112.95</v>
      </c>
      <c r="AM23">
        <v>223.15</v>
      </c>
      <c r="AN23">
        <v>50.51</v>
      </c>
      <c r="AO23">
        <v>2480.37</v>
      </c>
      <c r="AP23">
        <v>22.04</v>
      </c>
      <c r="AQ23">
        <v>159.79</v>
      </c>
      <c r="AR23">
        <v>31.22</v>
      </c>
      <c r="AS23">
        <v>27.55</v>
      </c>
      <c r="AT23">
        <v>15.49</v>
      </c>
      <c r="AU23">
        <v>20.2</v>
      </c>
      <c r="AV23">
        <v>3698.98</v>
      </c>
      <c r="AW23">
        <v>251.62</v>
      </c>
      <c r="AX23">
        <v>3290.33</v>
      </c>
      <c r="AY23">
        <v>27.55</v>
      </c>
      <c r="AZ23">
        <v>90.91</v>
      </c>
      <c r="BA23">
        <v>312.23</v>
      </c>
      <c r="BB23">
        <v>447.22</v>
      </c>
      <c r="BC23">
        <v>75.3</v>
      </c>
      <c r="BD23">
        <v>15.49</v>
      </c>
      <c r="BE23">
        <v>38.57</v>
      </c>
      <c r="BF23">
        <v>70.709999999999994</v>
      </c>
      <c r="BG23">
        <v>52.34</v>
      </c>
      <c r="BH23">
        <v>22.04</v>
      </c>
      <c r="BI23">
        <v>15.49</v>
      </c>
      <c r="BJ23">
        <v>15.49</v>
      </c>
      <c r="BK23">
        <v>1612.56</v>
      </c>
      <c r="BL23">
        <v>804.45</v>
      </c>
      <c r="BM23">
        <v>201.11</v>
      </c>
      <c r="BN23">
        <v>112.03</v>
      </c>
      <c r="BO23">
        <v>27.55</v>
      </c>
      <c r="BP23">
        <v>27.55</v>
      </c>
      <c r="BQ23">
        <v>15.49</v>
      </c>
      <c r="BR23">
        <v>57.85</v>
      </c>
      <c r="BS23">
        <v>20.2</v>
      </c>
      <c r="BT23">
        <v>1349.93</v>
      </c>
      <c r="BU23">
        <v>2700.77</v>
      </c>
      <c r="BV23">
        <v>36.729999999999997</v>
      </c>
      <c r="BW23">
        <v>34.9</v>
      </c>
      <c r="BX23">
        <v>621.70000000000005</v>
      </c>
      <c r="BY23">
        <v>160.71</v>
      </c>
      <c r="BZ23">
        <v>996.37</v>
      </c>
      <c r="CA23">
        <v>164.38</v>
      </c>
      <c r="CB23">
        <v>240.6</v>
      </c>
      <c r="CC23">
        <v>53.26</v>
      </c>
      <c r="CD23">
        <v>77.14</v>
      </c>
      <c r="CE23">
        <v>1353.6</v>
      </c>
      <c r="CF23">
        <v>851.28</v>
      </c>
      <c r="CG23">
        <v>57.85</v>
      </c>
      <c r="CH23">
        <v>172.64</v>
      </c>
      <c r="CI23">
        <v>17.45</v>
      </c>
      <c r="CJ23">
        <v>26.63</v>
      </c>
      <c r="CK23">
        <v>37.65</v>
      </c>
      <c r="CL23">
        <v>49.59</v>
      </c>
      <c r="CM23">
        <v>289.27</v>
      </c>
      <c r="CN23">
        <v>44.08</v>
      </c>
      <c r="CO23">
        <v>17.45</v>
      </c>
      <c r="CP23">
        <v>15.49</v>
      </c>
      <c r="CQ23">
        <v>77.14</v>
      </c>
      <c r="CR23">
        <v>43.16</v>
      </c>
      <c r="CS23">
        <v>15.49</v>
      </c>
      <c r="CT23">
        <v>28.47</v>
      </c>
      <c r="CU23">
        <v>38.57</v>
      </c>
      <c r="CV23">
        <v>355.39</v>
      </c>
      <c r="CW23">
        <v>1251.67</v>
      </c>
      <c r="CX23">
        <v>19.28</v>
      </c>
      <c r="CY23">
        <v>82.65</v>
      </c>
      <c r="CZ23">
        <v>25.71</v>
      </c>
      <c r="DA23">
        <v>48.67</v>
      </c>
      <c r="DB23">
        <v>120.3</v>
      </c>
      <c r="DC23">
        <v>50.51</v>
      </c>
      <c r="DD23">
        <v>33.06</v>
      </c>
      <c r="DE23">
        <v>22.04</v>
      </c>
      <c r="DF23">
        <v>450.89</v>
      </c>
      <c r="DG23">
        <v>15.49</v>
      </c>
      <c r="DH23">
        <v>3360.12</v>
      </c>
      <c r="DI23">
        <v>22.96</v>
      </c>
      <c r="DJ23">
        <v>29.39</v>
      </c>
      <c r="DK23">
        <v>118.46</v>
      </c>
      <c r="DL23">
        <v>3049.73</v>
      </c>
      <c r="DM23">
        <v>41.32</v>
      </c>
      <c r="DN23">
        <v>37.65</v>
      </c>
      <c r="DO23">
        <v>78.06</v>
      </c>
      <c r="DP23">
        <v>29.39</v>
      </c>
      <c r="DQ23">
        <v>1807.25</v>
      </c>
      <c r="DR23">
        <v>67.959999999999994</v>
      </c>
      <c r="DS23">
        <v>45.92</v>
      </c>
      <c r="DT23">
        <v>101.01</v>
      </c>
      <c r="DU23">
        <v>2126.8200000000002</v>
      </c>
      <c r="DV23">
        <v>15.49</v>
      </c>
      <c r="DW23">
        <v>17.45</v>
      </c>
      <c r="DX23">
        <v>32.14</v>
      </c>
      <c r="DY23">
        <v>33.979999999999997</v>
      </c>
      <c r="DZ23">
        <v>45.92</v>
      </c>
      <c r="EA23">
        <v>74.38</v>
      </c>
      <c r="EB23">
        <v>39.49</v>
      </c>
      <c r="EC23">
        <v>66.12</v>
      </c>
      <c r="ED23">
        <v>15.49</v>
      </c>
      <c r="EE23">
        <v>15.49</v>
      </c>
      <c r="EF23">
        <v>2466.6</v>
      </c>
      <c r="EG23">
        <v>1741.13</v>
      </c>
      <c r="EH23">
        <v>749.35</v>
      </c>
      <c r="EI23">
        <v>29.39</v>
      </c>
      <c r="EJ23">
        <v>633.64</v>
      </c>
      <c r="EK23">
        <v>512.41999999999996</v>
      </c>
      <c r="EL23">
        <v>4044.27</v>
      </c>
      <c r="EM23">
        <v>174.48</v>
      </c>
      <c r="EN23">
        <v>131.32</v>
      </c>
      <c r="EO23">
        <v>638.23</v>
      </c>
      <c r="EP23">
        <v>36.729999999999997</v>
      </c>
      <c r="EQ23">
        <v>2532.7199999999998</v>
      </c>
      <c r="ER23">
        <v>24.79</v>
      </c>
      <c r="ES23">
        <v>30.3</v>
      </c>
      <c r="ET23">
        <v>15.49</v>
      </c>
      <c r="EU23">
        <v>268.14999999999998</v>
      </c>
      <c r="EV23">
        <v>15.49</v>
      </c>
      <c r="EW23">
        <v>21.12</v>
      </c>
      <c r="EX23">
        <v>63.36</v>
      </c>
      <c r="EY23">
        <v>21.12</v>
      </c>
      <c r="EZ23">
        <v>15.49</v>
      </c>
      <c r="FA23">
        <v>71.63</v>
      </c>
      <c r="FB23">
        <v>15.49</v>
      </c>
      <c r="FC23">
        <v>35.81</v>
      </c>
      <c r="FD23">
        <v>16.53</v>
      </c>
      <c r="FE23">
        <v>3078.2</v>
      </c>
      <c r="FF23">
        <v>89.08</v>
      </c>
      <c r="FG23">
        <v>1934.89</v>
      </c>
      <c r="FH23">
        <v>1202.99</v>
      </c>
      <c r="FI23">
        <v>23.88</v>
      </c>
      <c r="FJ23">
        <v>120.3</v>
      </c>
      <c r="FK23">
        <v>293.86</v>
      </c>
      <c r="FL23">
        <v>82.65</v>
      </c>
      <c r="FM23">
        <v>94.59</v>
      </c>
      <c r="FN23">
        <v>701.59</v>
      </c>
      <c r="FO23">
        <v>22.96</v>
      </c>
      <c r="FP23">
        <v>25.71</v>
      </c>
      <c r="FQ23">
        <v>37.65</v>
      </c>
      <c r="FR23">
        <v>15.49</v>
      </c>
      <c r="FS23">
        <v>15.49</v>
      </c>
      <c r="FT23">
        <v>38.57</v>
      </c>
      <c r="FU23">
        <v>4189.3599999999997</v>
      </c>
      <c r="FV23">
        <v>4225.17</v>
      </c>
      <c r="FW23">
        <v>28.47</v>
      </c>
      <c r="FX23">
        <v>65.2</v>
      </c>
      <c r="FY23">
        <v>29.39</v>
      </c>
      <c r="FZ23">
        <v>5665.09</v>
      </c>
      <c r="GA23">
        <v>3873.46</v>
      </c>
      <c r="GB23">
        <v>65.2</v>
      </c>
      <c r="GC23">
        <v>17.45</v>
      </c>
      <c r="GD23">
        <v>161.62</v>
      </c>
      <c r="GE23">
        <v>117.54</v>
      </c>
      <c r="GF23">
        <v>214.89</v>
      </c>
      <c r="GG23">
        <v>4795.45</v>
      </c>
      <c r="GH23">
        <v>1175.44</v>
      </c>
      <c r="GI23">
        <v>1537.26</v>
      </c>
      <c r="GJ23">
        <v>53.26</v>
      </c>
      <c r="GK23">
        <v>26222.52</v>
      </c>
      <c r="GL23">
        <v>403.14</v>
      </c>
      <c r="GM23">
        <v>15.49</v>
      </c>
      <c r="GN23">
        <v>22.96</v>
      </c>
      <c r="GO23">
        <v>200.19</v>
      </c>
      <c r="GP23">
        <v>15.49</v>
      </c>
      <c r="GQ23">
        <v>22.04</v>
      </c>
      <c r="GR23">
        <v>157.94999999999999</v>
      </c>
      <c r="GS23">
        <v>526.20000000000005</v>
      </c>
      <c r="GT23">
        <v>891.69</v>
      </c>
      <c r="GU23">
        <v>15.49</v>
      </c>
      <c r="GV23">
        <v>23.88</v>
      </c>
      <c r="GW23">
        <v>509.67</v>
      </c>
      <c r="GX23">
        <v>101.01</v>
      </c>
      <c r="GY23">
        <v>114.79</v>
      </c>
      <c r="GZ23">
        <v>167.13</v>
      </c>
      <c r="HA23">
        <v>112.95</v>
      </c>
      <c r="HB23">
        <v>1311.36</v>
      </c>
      <c r="HC23">
        <v>121.22</v>
      </c>
      <c r="HD23">
        <v>1454.61</v>
      </c>
      <c r="HE23">
        <v>19.28</v>
      </c>
      <c r="HF23">
        <v>4980.95</v>
      </c>
      <c r="HG23">
        <v>210.29</v>
      </c>
      <c r="HH23">
        <v>174.48</v>
      </c>
      <c r="HI23">
        <v>15.49</v>
      </c>
      <c r="HJ23">
        <v>1088.2</v>
      </c>
      <c r="HK23">
        <v>2492.31</v>
      </c>
      <c r="HL23">
        <v>2376.6</v>
      </c>
      <c r="HM23">
        <v>101.93</v>
      </c>
      <c r="HN23">
        <v>845.77</v>
      </c>
      <c r="HO23">
        <v>15.49</v>
      </c>
      <c r="HP23">
        <v>52.34</v>
      </c>
      <c r="HQ23">
        <v>7280.41</v>
      </c>
      <c r="HR23">
        <v>107.44</v>
      </c>
      <c r="HS23">
        <v>320.49</v>
      </c>
      <c r="HT23">
        <v>158.87</v>
      </c>
      <c r="HU23">
        <v>284.68</v>
      </c>
      <c r="HV23">
        <v>124.89</v>
      </c>
      <c r="HW23">
        <v>7347.45</v>
      </c>
      <c r="HX23">
        <v>15.49</v>
      </c>
      <c r="HY23">
        <v>17.45</v>
      </c>
      <c r="HZ23">
        <v>175.4</v>
      </c>
      <c r="IA23">
        <v>493.14</v>
      </c>
      <c r="IB23">
        <v>159.79</v>
      </c>
      <c r="IC23">
        <v>44.08</v>
      </c>
      <c r="ID23">
        <v>15.49</v>
      </c>
      <c r="IE23">
        <v>36.729999999999997</v>
      </c>
      <c r="IF23">
        <v>1107.49</v>
      </c>
      <c r="IG23">
        <v>45.92</v>
      </c>
      <c r="IH23">
        <v>16.53</v>
      </c>
      <c r="II23">
        <v>62.45</v>
      </c>
      <c r="IJ23">
        <v>51.43</v>
      </c>
      <c r="IK23">
        <v>22.04</v>
      </c>
      <c r="IL23">
        <v>477.52</v>
      </c>
      <c r="IM23">
        <v>101.01</v>
      </c>
      <c r="IN23">
        <v>78.06</v>
      </c>
      <c r="IO23">
        <v>16.53</v>
      </c>
      <c r="IP23">
        <v>15.49</v>
      </c>
      <c r="IQ23">
        <v>15.49</v>
      </c>
      <c r="IR23">
        <v>33.979999999999997</v>
      </c>
      <c r="IS23">
        <v>37.65</v>
      </c>
      <c r="IT23">
        <v>15.49</v>
      </c>
      <c r="IU23">
        <v>113.87</v>
      </c>
      <c r="IV23">
        <v>2782.5</v>
      </c>
      <c r="IW23">
        <v>141.41999999999999</v>
      </c>
      <c r="IX23">
        <v>6713.81</v>
      </c>
      <c r="IY23">
        <v>33.979999999999997</v>
      </c>
      <c r="IZ23">
        <v>40.409999999999997</v>
      </c>
      <c r="JA23">
        <v>60.61</v>
      </c>
      <c r="JB23">
        <v>997.29</v>
      </c>
      <c r="JC23">
        <v>85.4</v>
      </c>
      <c r="JD23">
        <v>258.97000000000003</v>
      </c>
      <c r="JE23">
        <v>81.73</v>
      </c>
      <c r="JF23">
        <v>17.45</v>
      </c>
      <c r="JG23">
        <v>27.55</v>
      </c>
      <c r="JH23">
        <v>1711.74</v>
      </c>
      <c r="JI23">
        <v>888.01</v>
      </c>
      <c r="JJ23">
        <v>1062.49</v>
      </c>
      <c r="JK23">
        <v>22.96</v>
      </c>
      <c r="JL23">
        <v>67.040000000000006</v>
      </c>
      <c r="JM23">
        <v>16.53</v>
      </c>
      <c r="JN23">
        <v>19.28</v>
      </c>
      <c r="JO23">
        <v>183.66</v>
      </c>
      <c r="JP23">
        <v>888.93</v>
      </c>
      <c r="JQ23">
        <v>1372.88</v>
      </c>
      <c r="JR23">
        <v>33.979999999999997</v>
      </c>
      <c r="JS23">
        <v>29.39</v>
      </c>
      <c r="JT23">
        <v>247.95</v>
      </c>
      <c r="JU23">
        <v>251.62</v>
      </c>
      <c r="JV23">
        <v>449.98</v>
      </c>
      <c r="JW23">
        <v>75.3</v>
      </c>
      <c r="JX23">
        <v>33.06</v>
      </c>
      <c r="JY23">
        <v>197.44</v>
      </c>
      <c r="JZ23">
        <v>87.24</v>
      </c>
      <c r="KA23">
        <v>67.040000000000006</v>
      </c>
      <c r="KB23">
        <v>57.85</v>
      </c>
      <c r="KC23">
        <v>25.71</v>
      </c>
      <c r="KD23">
        <v>26.63</v>
      </c>
      <c r="KE23">
        <v>161.62</v>
      </c>
      <c r="KF23">
        <v>58.77</v>
      </c>
      <c r="KG23">
        <v>101.93</v>
      </c>
      <c r="KH23">
        <v>96.42</v>
      </c>
      <c r="KI23">
        <v>258.97000000000003</v>
      </c>
      <c r="KJ23">
        <v>148.77000000000001</v>
      </c>
      <c r="KK23">
        <v>171.73</v>
      </c>
      <c r="KL23">
        <v>62.45</v>
      </c>
      <c r="KM23">
        <v>45</v>
      </c>
      <c r="KN23">
        <v>655.68</v>
      </c>
      <c r="KO23">
        <v>233.25</v>
      </c>
      <c r="KP23">
        <v>55.1</v>
      </c>
      <c r="KQ23">
        <v>2637.4</v>
      </c>
      <c r="KR23">
        <v>698.84</v>
      </c>
      <c r="KS23">
        <v>1605.22</v>
      </c>
      <c r="KT23">
        <v>26327.21</v>
      </c>
      <c r="KU23">
        <v>10663.49</v>
      </c>
      <c r="KV23">
        <v>3146.15</v>
      </c>
      <c r="KW23">
        <v>97.34</v>
      </c>
      <c r="KX23">
        <v>77.14</v>
      </c>
      <c r="KY23">
        <v>22.04</v>
      </c>
      <c r="KZ23">
        <v>15.49</v>
      </c>
      <c r="LA23">
        <v>511.5</v>
      </c>
      <c r="LB23">
        <v>291.11</v>
      </c>
      <c r="LC23">
        <v>785.16</v>
      </c>
      <c r="LD23">
        <v>15.61</v>
      </c>
      <c r="LE23">
        <v>392.12</v>
      </c>
      <c r="LF23">
        <v>1059.74</v>
      </c>
      <c r="LG23">
        <v>934.85</v>
      </c>
      <c r="LH23">
        <v>885.26</v>
      </c>
      <c r="LI23">
        <v>5913.04</v>
      </c>
      <c r="LJ23">
        <v>675.88</v>
      </c>
      <c r="LK23">
        <v>2294.87</v>
      </c>
      <c r="LL23">
        <v>137.75</v>
      </c>
      <c r="LM23">
        <v>15.49</v>
      </c>
      <c r="LN23">
        <v>222.23</v>
      </c>
      <c r="LO23">
        <v>258.05</v>
      </c>
      <c r="LP23">
        <v>2018.46</v>
      </c>
      <c r="LQ23">
        <v>38.57</v>
      </c>
      <c r="LR23">
        <v>77.14</v>
      </c>
      <c r="LS23">
        <v>150.6</v>
      </c>
      <c r="LT23">
        <v>27.55</v>
      </c>
      <c r="LU23">
        <v>58.77</v>
      </c>
      <c r="LV23">
        <v>127.65</v>
      </c>
      <c r="LW23">
        <v>8508.2000000000007</v>
      </c>
      <c r="LX23">
        <v>2398.64</v>
      </c>
      <c r="LY23">
        <v>3106.66</v>
      </c>
      <c r="LZ23">
        <v>16799.68</v>
      </c>
      <c r="MA23">
        <v>785.16</v>
      </c>
      <c r="MB23">
        <v>8036.19</v>
      </c>
      <c r="MC23">
        <v>1439.92</v>
      </c>
      <c r="MD23">
        <v>1426.15</v>
      </c>
      <c r="ME23">
        <v>104.69</v>
      </c>
      <c r="MF23">
        <v>3468.48</v>
      </c>
      <c r="MG23">
        <v>5960.79</v>
      </c>
      <c r="MH23">
        <v>665.78</v>
      </c>
      <c r="MI23">
        <v>15.49</v>
      </c>
      <c r="MJ23">
        <v>705.27</v>
      </c>
      <c r="MK23">
        <v>50.51</v>
      </c>
      <c r="ML23">
        <v>765.88</v>
      </c>
      <c r="MM23">
        <v>2568.5300000000002</v>
      </c>
      <c r="MN23">
        <v>343.45</v>
      </c>
      <c r="MO23">
        <v>20.2</v>
      </c>
      <c r="MP23">
        <v>185.5</v>
      </c>
      <c r="MQ23">
        <v>108.36</v>
      </c>
      <c r="MR23">
        <v>20.2</v>
      </c>
      <c r="MS23">
        <v>211.21</v>
      </c>
      <c r="MT23">
        <v>1400.43</v>
      </c>
      <c r="MU23">
        <v>33.06</v>
      </c>
      <c r="MV23">
        <v>63.36</v>
      </c>
      <c r="MW23">
        <v>353.55</v>
      </c>
      <c r="MX23">
        <v>44.08</v>
      </c>
      <c r="MY23">
        <v>22.04</v>
      </c>
      <c r="MZ23">
        <v>1197.48</v>
      </c>
      <c r="NA23">
        <v>75.3</v>
      </c>
      <c r="NB23">
        <v>3957.94</v>
      </c>
      <c r="NC23">
        <v>2776.07</v>
      </c>
      <c r="ND23">
        <v>1171.77</v>
      </c>
      <c r="NE23">
        <v>262.64</v>
      </c>
      <c r="NF23">
        <v>25.71</v>
      </c>
      <c r="NG23">
        <v>20.2</v>
      </c>
      <c r="NH23">
        <v>150.6</v>
      </c>
      <c r="NI23">
        <v>4606.2700000000004</v>
      </c>
      <c r="NJ23">
        <v>88.16</v>
      </c>
      <c r="NK23">
        <v>78.06</v>
      </c>
      <c r="NL23">
        <v>140.5</v>
      </c>
      <c r="NM23">
        <v>3342.67</v>
      </c>
      <c r="NN23">
        <v>893.52</v>
      </c>
      <c r="NO23">
        <v>15.49</v>
      </c>
      <c r="NP23">
        <v>15.49</v>
      </c>
      <c r="NQ23">
        <v>6088.44</v>
      </c>
      <c r="NR23">
        <v>339.78</v>
      </c>
      <c r="NS23">
        <v>260.8</v>
      </c>
      <c r="NT23">
        <v>1437.17</v>
      </c>
      <c r="NU23">
        <v>2189.27</v>
      </c>
      <c r="NV23">
        <v>499.56</v>
      </c>
      <c r="NW23">
        <v>314.98</v>
      </c>
      <c r="NX23">
        <v>97.34</v>
      </c>
      <c r="NY23">
        <v>43.16</v>
      </c>
      <c r="NZ23">
        <v>1453.69</v>
      </c>
      <c r="OA23">
        <v>56.02</v>
      </c>
      <c r="OB23">
        <v>795.26</v>
      </c>
      <c r="OC23">
        <v>6701.87</v>
      </c>
      <c r="OD23">
        <v>382.02</v>
      </c>
      <c r="OE23">
        <v>7677.12</v>
      </c>
      <c r="OF23">
        <v>33.979999999999997</v>
      </c>
      <c r="OG23">
        <v>1641.03</v>
      </c>
      <c r="OH23">
        <v>159.79</v>
      </c>
      <c r="OI23">
        <v>41.32</v>
      </c>
      <c r="OJ23">
        <v>18.37</v>
      </c>
      <c r="OK23">
        <v>1242.48</v>
      </c>
      <c r="OL23">
        <v>53.26</v>
      </c>
      <c r="OM23">
        <v>128.56</v>
      </c>
      <c r="ON23">
        <v>377.43</v>
      </c>
      <c r="OO23">
        <v>1174.53</v>
      </c>
      <c r="OP23">
        <v>216.72</v>
      </c>
      <c r="OQ23">
        <v>1023</v>
      </c>
      <c r="OR23">
        <v>20.2</v>
      </c>
      <c r="OS23">
        <v>776.9</v>
      </c>
      <c r="OT23">
        <v>715.37</v>
      </c>
      <c r="OU23">
        <v>72.55</v>
      </c>
      <c r="OV23">
        <v>378.35</v>
      </c>
      <c r="OW23">
        <v>15.49</v>
      </c>
      <c r="OX23">
        <v>53.26</v>
      </c>
      <c r="OY23">
        <v>33.979999999999997</v>
      </c>
      <c r="OZ23">
        <v>15.49</v>
      </c>
      <c r="PA23">
        <v>15.49</v>
      </c>
      <c r="PB23">
        <v>24.79</v>
      </c>
      <c r="PC23">
        <v>19.28</v>
      </c>
      <c r="PD23">
        <v>73.47</v>
      </c>
      <c r="PE23">
        <v>33.06</v>
      </c>
      <c r="PF23">
        <v>433.45</v>
      </c>
      <c r="PG23">
        <v>59.69</v>
      </c>
      <c r="PH23">
        <v>32.14</v>
      </c>
      <c r="PI23">
        <v>69.790000000000006</v>
      </c>
      <c r="PJ23">
        <v>46328.14</v>
      </c>
      <c r="PK23">
        <v>135872.25</v>
      </c>
      <c r="PL23">
        <v>45</v>
      </c>
      <c r="PM23">
        <v>28213.43</v>
      </c>
      <c r="PN23">
        <v>1511.55</v>
      </c>
      <c r="PO23">
        <v>46.83</v>
      </c>
      <c r="PP23">
        <v>1087.29</v>
      </c>
      <c r="PQ23">
        <v>27.55</v>
      </c>
      <c r="PR23">
        <v>18.37</v>
      </c>
      <c r="PS23">
        <v>15.49</v>
      </c>
      <c r="PT23">
        <v>18.37</v>
      </c>
      <c r="PU23">
        <v>84.49</v>
      </c>
      <c r="PV23">
        <v>392.12</v>
      </c>
      <c r="PW23">
        <v>37.65</v>
      </c>
      <c r="PX23">
        <v>19.28</v>
      </c>
      <c r="PY23">
        <v>1283.81</v>
      </c>
      <c r="PZ23">
        <v>15.49</v>
      </c>
      <c r="QA23">
        <v>426.1</v>
      </c>
      <c r="QB23">
        <v>1516.14</v>
      </c>
      <c r="QC23">
        <v>56.94</v>
      </c>
      <c r="QD23">
        <v>15.49</v>
      </c>
      <c r="QE23">
        <v>694.25</v>
      </c>
      <c r="QF23">
        <v>15.49</v>
      </c>
      <c r="QG23">
        <v>40.409999999999997</v>
      </c>
      <c r="QH23">
        <v>15.49</v>
      </c>
      <c r="QI23">
        <v>21.12</v>
      </c>
      <c r="QJ23">
        <v>270.89999999999998</v>
      </c>
      <c r="QK23">
        <v>21.12</v>
      </c>
      <c r="QL23">
        <v>326</v>
      </c>
      <c r="QM23">
        <v>740.16</v>
      </c>
      <c r="QN23">
        <v>684.15</v>
      </c>
      <c r="QO23">
        <v>20.2</v>
      </c>
      <c r="QP23">
        <v>25.71</v>
      </c>
      <c r="QQ23">
        <v>570.27</v>
      </c>
      <c r="QR23">
        <v>71.63</v>
      </c>
      <c r="QS23">
        <v>1810.92</v>
      </c>
      <c r="QT23">
        <v>1460.12</v>
      </c>
      <c r="QU23">
        <v>31.22</v>
      </c>
      <c r="QV23">
        <v>163.46</v>
      </c>
      <c r="QW23">
        <v>116.63</v>
      </c>
      <c r="QX23">
        <v>243.35</v>
      </c>
      <c r="QY23">
        <v>30.3</v>
      </c>
      <c r="QZ23">
        <v>30.3</v>
      </c>
      <c r="RA23">
        <v>126.73</v>
      </c>
      <c r="RB23">
        <v>64377.64</v>
      </c>
      <c r="RC23">
        <v>19.28</v>
      </c>
      <c r="RD23">
        <v>2417.9299999999998</v>
      </c>
      <c r="RE23">
        <v>56.02</v>
      </c>
      <c r="RF23">
        <v>46.83</v>
      </c>
      <c r="RG23">
        <v>247.95</v>
      </c>
      <c r="RH23">
        <v>25.71</v>
      </c>
      <c r="RI23">
        <v>16.53</v>
      </c>
      <c r="RJ23">
        <v>59.69</v>
      </c>
      <c r="RK23">
        <v>15.49</v>
      </c>
      <c r="RL23">
        <v>220.4</v>
      </c>
      <c r="RM23">
        <v>150.6</v>
      </c>
      <c r="RN23">
        <v>186.42</v>
      </c>
      <c r="RO23">
        <v>1832.04</v>
      </c>
      <c r="RP23">
        <v>101.01</v>
      </c>
      <c r="RQ23">
        <v>254.37</v>
      </c>
      <c r="RR23">
        <v>25.71</v>
      </c>
      <c r="RS23">
        <v>946.78</v>
      </c>
      <c r="RT23">
        <v>672.21</v>
      </c>
      <c r="RU23">
        <v>439.87</v>
      </c>
      <c r="RV23">
        <v>20.2</v>
      </c>
      <c r="RW23">
        <v>62.45</v>
      </c>
      <c r="RX23">
        <v>1917.44</v>
      </c>
      <c r="RY23">
        <v>1067.08</v>
      </c>
      <c r="RZ23">
        <v>38.57</v>
      </c>
      <c r="SA23">
        <v>387.53</v>
      </c>
      <c r="SB23">
        <v>15.61</v>
      </c>
      <c r="SC23">
        <v>99.18</v>
      </c>
      <c r="SD23">
        <v>941.27</v>
      </c>
      <c r="SE23">
        <v>873.32</v>
      </c>
      <c r="SF23">
        <v>707.1</v>
      </c>
      <c r="SG23">
        <v>6466.78</v>
      </c>
      <c r="SH23">
        <v>107.44</v>
      </c>
      <c r="SI23">
        <v>22.96</v>
      </c>
      <c r="SJ23">
        <v>144.18</v>
      </c>
      <c r="SK23">
        <v>156.11000000000001</v>
      </c>
      <c r="SL23">
        <v>242.44</v>
      </c>
      <c r="SM23">
        <v>125.81</v>
      </c>
      <c r="SN23">
        <v>89.99</v>
      </c>
      <c r="SO23">
        <v>15.49</v>
      </c>
      <c r="SP23">
        <v>215.8</v>
      </c>
      <c r="SQ23">
        <v>1288.4000000000001</v>
      </c>
      <c r="SR23">
        <v>1193.81</v>
      </c>
      <c r="SS23">
        <v>6186.7</v>
      </c>
      <c r="ST23">
        <v>2221.41</v>
      </c>
      <c r="SU23">
        <v>3219.62</v>
      </c>
      <c r="SV23">
        <v>1291.1500000000001</v>
      </c>
      <c r="SW23">
        <v>1292.07</v>
      </c>
      <c r="SX23">
        <v>122.14</v>
      </c>
      <c r="SY23">
        <v>29.39</v>
      </c>
      <c r="SZ23">
        <v>15.49</v>
      </c>
      <c r="TA23">
        <v>15.49</v>
      </c>
      <c r="TB23">
        <v>2292.12</v>
      </c>
      <c r="TC23">
        <v>3717.34</v>
      </c>
      <c r="TD23">
        <v>31.22</v>
      </c>
      <c r="TE23">
        <v>819.14</v>
      </c>
      <c r="TF23">
        <v>712.61</v>
      </c>
      <c r="TG23">
        <v>1053.31</v>
      </c>
      <c r="TH23">
        <v>209.38</v>
      </c>
      <c r="TI23">
        <v>87.24</v>
      </c>
      <c r="TJ23">
        <v>25.71</v>
      </c>
      <c r="TK23">
        <v>465.59</v>
      </c>
      <c r="TL23">
        <v>83.57</v>
      </c>
      <c r="TM23">
        <v>159.79</v>
      </c>
      <c r="TN23">
        <v>370.08</v>
      </c>
      <c r="TO23">
        <v>589.55999999999995</v>
      </c>
      <c r="TP23">
        <v>348.04</v>
      </c>
      <c r="TQ23">
        <v>83.57</v>
      </c>
      <c r="TR23">
        <v>37.65</v>
      </c>
      <c r="TS23">
        <v>425.18</v>
      </c>
      <c r="TT23">
        <v>67.040000000000006</v>
      </c>
      <c r="TU23">
        <v>41.32</v>
      </c>
      <c r="TV23">
        <v>290.19</v>
      </c>
      <c r="TW23">
        <v>479.36</v>
      </c>
      <c r="TX23">
        <v>230.5</v>
      </c>
      <c r="TY23">
        <v>22.96</v>
      </c>
      <c r="TZ23">
        <v>106.52</v>
      </c>
      <c r="UA23">
        <v>143.26</v>
      </c>
      <c r="UB23">
        <v>46.83</v>
      </c>
      <c r="UC23">
        <v>16449.8</v>
      </c>
      <c r="UD23">
        <v>15.49</v>
      </c>
      <c r="UE23">
        <v>24.79</v>
      </c>
      <c r="UF23">
        <v>3128.7</v>
      </c>
      <c r="UG23">
        <v>90.91</v>
      </c>
      <c r="UH23">
        <v>15.49</v>
      </c>
      <c r="UI23">
        <v>33.06</v>
      </c>
      <c r="UJ23">
        <v>22.04</v>
      </c>
      <c r="UK23">
        <v>22.96</v>
      </c>
      <c r="UL23">
        <v>16.53</v>
      </c>
      <c r="UM23">
        <v>20.2</v>
      </c>
      <c r="UN23">
        <v>206.62</v>
      </c>
      <c r="UO23">
        <v>394.88</v>
      </c>
      <c r="UP23">
        <v>15.49</v>
      </c>
      <c r="UQ23">
        <v>20.2</v>
      </c>
      <c r="UR23">
        <v>21.12</v>
      </c>
      <c r="US23">
        <v>42.24</v>
      </c>
      <c r="UT23">
        <v>336.1</v>
      </c>
      <c r="UU23">
        <v>729.14</v>
      </c>
      <c r="UV23">
        <v>898.11</v>
      </c>
      <c r="UW23">
        <v>1008.31</v>
      </c>
      <c r="UX23">
        <v>71.63</v>
      </c>
      <c r="UY23">
        <v>434.36</v>
      </c>
      <c r="UZ23">
        <v>60.61</v>
      </c>
      <c r="VA23">
        <v>1429.82</v>
      </c>
      <c r="VB23">
        <v>1129.53</v>
      </c>
      <c r="VC23">
        <v>51.43</v>
      </c>
      <c r="VD23">
        <v>275.49</v>
      </c>
      <c r="VE23">
        <v>34.9</v>
      </c>
      <c r="VF23">
        <v>594.15</v>
      </c>
      <c r="VG23">
        <v>26.63</v>
      </c>
      <c r="VH23">
        <v>33.06</v>
      </c>
      <c r="VI23">
        <v>22.04</v>
      </c>
      <c r="VJ23">
        <v>39.49</v>
      </c>
      <c r="VK23">
        <v>669.45</v>
      </c>
      <c r="VL23">
        <v>717.21</v>
      </c>
      <c r="VM23">
        <v>973.42</v>
      </c>
      <c r="VN23">
        <v>563.85</v>
      </c>
      <c r="VO23">
        <v>15.49</v>
      </c>
      <c r="VP23">
        <v>15.49</v>
      </c>
      <c r="VQ23">
        <v>1900.91</v>
      </c>
      <c r="VR23">
        <v>397.63</v>
      </c>
      <c r="VS23">
        <v>961.48</v>
      </c>
      <c r="VT23">
        <v>66.12</v>
      </c>
      <c r="VU23">
        <v>43.16</v>
      </c>
      <c r="VV23">
        <v>37.65</v>
      </c>
      <c r="VW23">
        <v>289.27</v>
      </c>
      <c r="VX23">
        <v>82.65</v>
      </c>
      <c r="VY23">
        <v>15.49</v>
      </c>
      <c r="VZ23">
        <v>9825.07</v>
      </c>
      <c r="WA23">
        <v>7491.62</v>
      </c>
      <c r="WB23">
        <v>278.25</v>
      </c>
      <c r="WC23">
        <v>131.32</v>
      </c>
      <c r="WD23">
        <v>86.32</v>
      </c>
      <c r="WE23">
        <v>6966.35</v>
      </c>
      <c r="WF23">
        <v>320.49</v>
      </c>
      <c r="WG23">
        <v>364.57</v>
      </c>
      <c r="WH23">
        <v>7019.61</v>
      </c>
      <c r="WI23">
        <v>22146.12</v>
      </c>
      <c r="WJ23">
        <v>3886.31</v>
      </c>
      <c r="WK23">
        <v>192.85</v>
      </c>
      <c r="WL23">
        <v>840.26</v>
      </c>
      <c r="WM23">
        <v>23.88</v>
      </c>
      <c r="WN23">
        <v>31.22</v>
      </c>
      <c r="WO23">
        <v>15.49</v>
      </c>
      <c r="WP23">
        <v>309.47000000000003</v>
      </c>
      <c r="WQ23">
        <v>1167.18</v>
      </c>
      <c r="WR23">
        <v>326</v>
      </c>
      <c r="WS23">
        <v>22.04</v>
      </c>
      <c r="WT23">
        <v>16.53</v>
      </c>
      <c r="WU23">
        <v>993.62</v>
      </c>
      <c r="WV23">
        <v>380.18</v>
      </c>
      <c r="WW23">
        <v>22.96</v>
      </c>
      <c r="WX23">
        <v>46.83</v>
      </c>
      <c r="WY23">
        <v>22.04</v>
      </c>
      <c r="WZ23">
        <v>33.979999999999997</v>
      </c>
      <c r="XA23">
        <v>15.49</v>
      </c>
      <c r="XB23">
        <v>529.87</v>
      </c>
      <c r="XC23">
        <v>33.979999999999997</v>
      </c>
      <c r="XD23">
        <v>1362.78</v>
      </c>
      <c r="XE23">
        <v>56.02</v>
      </c>
      <c r="XF23">
        <v>1265.44</v>
      </c>
      <c r="XG23">
        <v>476.61</v>
      </c>
      <c r="XH23">
        <v>222.23</v>
      </c>
      <c r="XI23">
        <v>321.41000000000003</v>
      </c>
      <c r="XJ23">
        <v>458.24</v>
      </c>
      <c r="XK23">
        <v>519.77</v>
      </c>
      <c r="XL23">
        <v>56.94</v>
      </c>
      <c r="XM23">
        <v>100.1</v>
      </c>
      <c r="XN23">
        <v>240.6</v>
      </c>
      <c r="XO23">
        <v>15.49</v>
      </c>
      <c r="XP23">
        <v>22.96</v>
      </c>
      <c r="XQ23">
        <v>31.22</v>
      </c>
      <c r="XR23">
        <v>15.49</v>
      </c>
      <c r="XS23">
        <v>284.68</v>
      </c>
      <c r="XT23">
        <v>549.15</v>
      </c>
      <c r="XU23">
        <v>286.51</v>
      </c>
      <c r="XV23">
        <v>603.33000000000004</v>
      </c>
      <c r="XW23">
        <v>2464.7600000000002</v>
      </c>
      <c r="XX23">
        <v>2177.33</v>
      </c>
      <c r="XY23">
        <v>1541.85</v>
      </c>
      <c r="XZ23">
        <v>83.57</v>
      </c>
      <c r="YA23">
        <v>1747.56</v>
      </c>
      <c r="YB23">
        <v>79.89</v>
      </c>
      <c r="YC23">
        <v>33.06</v>
      </c>
      <c r="YD23">
        <v>2207.63</v>
      </c>
      <c r="YE23">
        <v>506.91</v>
      </c>
      <c r="YF23">
        <v>584.97</v>
      </c>
      <c r="YG23">
        <v>111.12</v>
      </c>
      <c r="YH23">
        <v>24.79</v>
      </c>
      <c r="YI23">
        <v>29.39</v>
      </c>
      <c r="YJ23">
        <v>32.14</v>
      </c>
      <c r="YK23">
        <v>15.49</v>
      </c>
      <c r="YL23">
        <v>63.36</v>
      </c>
      <c r="YM23">
        <v>3843.15</v>
      </c>
      <c r="YN23">
        <v>383.86</v>
      </c>
      <c r="YO23">
        <v>221.31</v>
      </c>
      <c r="YP23">
        <v>1370.13</v>
      </c>
      <c r="YQ23">
        <v>859.54</v>
      </c>
      <c r="YR23">
        <v>96.42</v>
      </c>
      <c r="YS23">
        <v>2713.62</v>
      </c>
      <c r="YT23">
        <v>94.59</v>
      </c>
      <c r="YU23">
        <v>312.23</v>
      </c>
      <c r="YV23">
        <v>25.71</v>
      </c>
      <c r="YW23">
        <v>60.61</v>
      </c>
      <c r="YX23">
        <v>36.729999999999997</v>
      </c>
      <c r="YY23">
        <v>661.19</v>
      </c>
      <c r="YZ23">
        <v>243.35</v>
      </c>
      <c r="ZA23">
        <v>42.24</v>
      </c>
      <c r="ZB23">
        <v>22.04</v>
      </c>
      <c r="ZC23">
        <v>17.45</v>
      </c>
      <c r="ZD23">
        <v>43.16</v>
      </c>
      <c r="ZE23">
        <v>20.2</v>
      </c>
      <c r="ZF23">
        <v>236.93</v>
      </c>
      <c r="ZG23">
        <v>748.43</v>
      </c>
      <c r="ZH23">
        <v>112.95</v>
      </c>
      <c r="ZI23">
        <v>597.82000000000005</v>
      </c>
      <c r="ZJ23">
        <v>983.52</v>
      </c>
      <c r="ZK23">
        <v>491.3</v>
      </c>
      <c r="ZL23">
        <v>15.49</v>
      </c>
      <c r="ZM23">
        <v>303.95999999999998</v>
      </c>
      <c r="ZN23">
        <v>88.16</v>
      </c>
      <c r="ZO23">
        <v>15.49</v>
      </c>
      <c r="ZP23">
        <v>185.5</v>
      </c>
      <c r="ZQ23">
        <v>22.96</v>
      </c>
      <c r="ZR23">
        <v>32.14</v>
      </c>
      <c r="ZS23">
        <v>1121.26</v>
      </c>
      <c r="ZT23">
        <v>166.22</v>
      </c>
      <c r="ZU23">
        <v>281</v>
      </c>
      <c r="ZV23">
        <v>17.45</v>
      </c>
      <c r="ZW23">
        <v>15.61</v>
      </c>
      <c r="ZX23">
        <v>92.75</v>
      </c>
      <c r="ZY23">
        <v>2905.55</v>
      </c>
      <c r="ZZ23">
        <v>104.69</v>
      </c>
      <c r="AAA23">
        <v>32.14</v>
      </c>
      <c r="AAB23">
        <v>65.2</v>
      </c>
      <c r="AAC23">
        <v>20.2</v>
      </c>
      <c r="AAD23">
        <v>40.409999999999997</v>
      </c>
      <c r="AAE23">
        <v>22.96</v>
      </c>
      <c r="AAF23">
        <v>35.81</v>
      </c>
      <c r="AAG23">
        <v>349.88</v>
      </c>
      <c r="AAH23">
        <v>139.58000000000001</v>
      </c>
      <c r="AAI23">
        <v>6362.1</v>
      </c>
      <c r="AAJ23">
        <v>2398.64</v>
      </c>
      <c r="AAK23">
        <v>408.65</v>
      </c>
      <c r="AAL23">
        <v>182.74</v>
      </c>
      <c r="AAM23">
        <v>22.04</v>
      </c>
      <c r="AAN23">
        <v>313.14999999999998</v>
      </c>
      <c r="AAO23">
        <v>47.75</v>
      </c>
      <c r="AAP23">
        <v>485.79</v>
      </c>
      <c r="AAQ23">
        <v>123.05</v>
      </c>
      <c r="AAR23">
        <v>56.94</v>
      </c>
      <c r="AAS23">
        <v>1518.9</v>
      </c>
      <c r="AAT23">
        <v>28.47</v>
      </c>
      <c r="AAU23">
        <v>15.49</v>
      </c>
      <c r="AAV23">
        <v>3840.4</v>
      </c>
      <c r="AAW23">
        <v>99.18</v>
      </c>
      <c r="AAX23">
        <v>186.42</v>
      </c>
      <c r="AAY23">
        <v>53.26</v>
      </c>
      <c r="AAZ23">
        <v>26.63</v>
      </c>
      <c r="ABA23">
        <v>207.54</v>
      </c>
      <c r="ABB23">
        <v>34.9</v>
      </c>
      <c r="ABC23">
        <v>423.34</v>
      </c>
      <c r="ABD23">
        <v>1240.6500000000001</v>
      </c>
      <c r="ABE23">
        <v>424.26</v>
      </c>
      <c r="ABF23">
        <v>3874.38</v>
      </c>
      <c r="ABG23">
        <v>102.85</v>
      </c>
      <c r="ABH23">
        <v>71.63</v>
      </c>
      <c r="ABI23">
        <v>28.47</v>
      </c>
      <c r="ABJ23">
        <v>40.409999999999997</v>
      </c>
      <c r="ABK23">
        <v>25.71</v>
      </c>
      <c r="ABL23">
        <v>15.49</v>
      </c>
      <c r="ABM23">
        <v>79.89</v>
      </c>
      <c r="ABN23">
        <v>81.73</v>
      </c>
      <c r="ABO23">
        <v>15.49</v>
      </c>
      <c r="ABP23">
        <v>25.71</v>
      </c>
      <c r="ABQ23">
        <v>1524.41</v>
      </c>
      <c r="ABR23">
        <v>99.18</v>
      </c>
      <c r="ABS23">
        <v>1141.47</v>
      </c>
      <c r="ABT23">
        <v>52.34</v>
      </c>
      <c r="ABU23">
        <v>22.04</v>
      </c>
      <c r="ABV23">
        <v>130.4</v>
      </c>
      <c r="ABW23">
        <v>477.52</v>
      </c>
      <c r="ABX23">
        <v>730.98</v>
      </c>
      <c r="ABY23">
        <v>297.52999999999997</v>
      </c>
      <c r="ABZ23">
        <v>145.09</v>
      </c>
      <c r="ACA23">
        <v>591.4</v>
      </c>
      <c r="ACB23">
        <v>159.79</v>
      </c>
      <c r="ACC23">
        <v>176.32</v>
      </c>
      <c r="ACD23">
        <v>334.27</v>
      </c>
      <c r="ACE23">
        <v>157.03</v>
      </c>
      <c r="ACF23">
        <v>5063.6000000000004</v>
      </c>
      <c r="ACG23">
        <v>1912.85</v>
      </c>
      <c r="ACH23">
        <v>291.11</v>
      </c>
      <c r="ACI23">
        <v>506.91</v>
      </c>
      <c r="ACJ23">
        <v>1277.3800000000001</v>
      </c>
      <c r="ACK23">
        <v>411.41</v>
      </c>
      <c r="ACL23">
        <v>45</v>
      </c>
      <c r="ACM23">
        <v>140.5</v>
      </c>
      <c r="ACN23">
        <v>309.47000000000003</v>
      </c>
      <c r="ACO23">
        <v>439.87</v>
      </c>
      <c r="ACP23">
        <v>505.99</v>
      </c>
      <c r="ACQ23">
        <v>282.83999999999997</v>
      </c>
      <c r="ACR23">
        <v>6203.23</v>
      </c>
    </row>
    <row r="24" spans="1:772" x14ac:dyDescent="0.3">
      <c r="A24" t="s">
        <v>12</v>
      </c>
      <c r="B24" t="s">
        <v>2</v>
      </c>
      <c r="C24">
        <v>176.61</v>
      </c>
      <c r="D24">
        <v>85.94</v>
      </c>
      <c r="E24">
        <v>387.21</v>
      </c>
      <c r="F24">
        <v>13.22</v>
      </c>
      <c r="G24">
        <v>4696.59</v>
      </c>
      <c r="H24">
        <v>57.61</v>
      </c>
      <c r="I24">
        <v>1352.41</v>
      </c>
      <c r="J24">
        <v>12398.32</v>
      </c>
      <c r="K24">
        <v>737.59</v>
      </c>
      <c r="L24">
        <v>17</v>
      </c>
      <c r="M24">
        <v>54.78</v>
      </c>
      <c r="N24">
        <v>2447.9299999999998</v>
      </c>
      <c r="O24">
        <v>52.89</v>
      </c>
      <c r="P24">
        <v>417.43</v>
      </c>
      <c r="Q24">
        <v>234.22</v>
      </c>
      <c r="R24">
        <v>1028.47</v>
      </c>
      <c r="S24">
        <v>12.67</v>
      </c>
      <c r="T24">
        <v>235.16</v>
      </c>
      <c r="U24">
        <v>763.09</v>
      </c>
      <c r="V24">
        <v>185.11</v>
      </c>
      <c r="W24">
        <v>621.42999999999995</v>
      </c>
      <c r="X24">
        <v>14.17</v>
      </c>
      <c r="Y24">
        <v>328.66</v>
      </c>
      <c r="Z24">
        <v>529.82000000000005</v>
      </c>
      <c r="AA24">
        <v>38.72</v>
      </c>
      <c r="AB24">
        <v>1434.57</v>
      </c>
      <c r="AC24">
        <v>588.37</v>
      </c>
      <c r="AD24">
        <v>90.66</v>
      </c>
      <c r="AE24">
        <v>554.37</v>
      </c>
      <c r="AF24">
        <v>45438.77</v>
      </c>
      <c r="AG24">
        <v>142.61000000000001</v>
      </c>
      <c r="AH24">
        <v>339.05</v>
      </c>
      <c r="AI24">
        <v>69.89</v>
      </c>
      <c r="AJ24">
        <v>837.7</v>
      </c>
      <c r="AK24">
        <v>127.5</v>
      </c>
      <c r="AL24">
        <v>109.55</v>
      </c>
      <c r="AM24">
        <v>230.44</v>
      </c>
      <c r="AN24">
        <v>47.22</v>
      </c>
      <c r="AO24">
        <v>2396.9299999999998</v>
      </c>
      <c r="AP24">
        <v>19.829999999999998</v>
      </c>
      <c r="AQ24">
        <v>156.77000000000001</v>
      </c>
      <c r="AR24">
        <v>22.67</v>
      </c>
      <c r="AS24">
        <v>40.61</v>
      </c>
      <c r="AT24">
        <v>17</v>
      </c>
      <c r="AU24">
        <v>26.44</v>
      </c>
      <c r="AV24">
        <v>3557.62</v>
      </c>
      <c r="AW24">
        <v>224.77</v>
      </c>
      <c r="AX24">
        <v>3289.41</v>
      </c>
      <c r="AY24">
        <v>34</v>
      </c>
      <c r="AZ24">
        <v>104.83</v>
      </c>
      <c r="BA24">
        <v>312.60000000000002</v>
      </c>
      <c r="BB24">
        <v>421.21</v>
      </c>
      <c r="BC24">
        <v>85.94</v>
      </c>
      <c r="BD24">
        <v>12.67</v>
      </c>
      <c r="BE24">
        <v>34</v>
      </c>
      <c r="BF24">
        <v>100.11</v>
      </c>
      <c r="BG24">
        <v>40.61</v>
      </c>
      <c r="BH24">
        <v>20.78</v>
      </c>
      <c r="BI24">
        <v>23.61</v>
      </c>
      <c r="BJ24">
        <v>15.11</v>
      </c>
      <c r="BK24">
        <v>1436.46</v>
      </c>
      <c r="BL24">
        <v>790.48</v>
      </c>
      <c r="BM24">
        <v>229.49</v>
      </c>
      <c r="BN24">
        <v>104.83</v>
      </c>
      <c r="BO24">
        <v>30.22</v>
      </c>
      <c r="BP24">
        <v>14.17</v>
      </c>
      <c r="BQ24">
        <v>12.67</v>
      </c>
      <c r="BR24">
        <v>48.17</v>
      </c>
      <c r="BS24">
        <v>23.61</v>
      </c>
      <c r="BT24">
        <v>1701.84</v>
      </c>
      <c r="BU24">
        <v>2703.87</v>
      </c>
      <c r="BV24">
        <v>34.94</v>
      </c>
      <c r="BW24">
        <v>49.11</v>
      </c>
      <c r="BX24">
        <v>726.26</v>
      </c>
      <c r="BY24">
        <v>171.88</v>
      </c>
      <c r="BZ24">
        <v>1037.92</v>
      </c>
      <c r="CA24">
        <v>206.83</v>
      </c>
      <c r="CB24">
        <v>288.05</v>
      </c>
      <c r="CC24">
        <v>42.5</v>
      </c>
      <c r="CD24">
        <v>82.16</v>
      </c>
      <c r="CE24">
        <v>1271.19</v>
      </c>
      <c r="CF24">
        <v>858.48</v>
      </c>
      <c r="CG24">
        <v>47.22</v>
      </c>
      <c r="CH24">
        <v>183.22</v>
      </c>
      <c r="CI24">
        <v>30.22</v>
      </c>
      <c r="CJ24">
        <v>21.72</v>
      </c>
      <c r="CK24">
        <v>35.89</v>
      </c>
      <c r="CL24">
        <v>57.61</v>
      </c>
      <c r="CM24">
        <v>278.60000000000002</v>
      </c>
      <c r="CN24">
        <v>33.049999999999997</v>
      </c>
      <c r="CO24">
        <v>19.829999999999998</v>
      </c>
      <c r="CP24">
        <v>12.67</v>
      </c>
      <c r="CQ24">
        <v>69.89</v>
      </c>
      <c r="CR24">
        <v>48.17</v>
      </c>
      <c r="CS24">
        <v>12.67</v>
      </c>
      <c r="CT24">
        <v>26.44</v>
      </c>
      <c r="CU24">
        <v>33.049999999999997</v>
      </c>
      <c r="CV24">
        <v>399.49</v>
      </c>
      <c r="CW24">
        <v>1310.85</v>
      </c>
      <c r="CX24">
        <v>22.67</v>
      </c>
      <c r="CY24">
        <v>103.89</v>
      </c>
      <c r="CZ24">
        <v>20.78</v>
      </c>
      <c r="DA24">
        <v>39.67</v>
      </c>
      <c r="DB24">
        <v>140.72</v>
      </c>
      <c r="DC24">
        <v>61.39</v>
      </c>
      <c r="DD24">
        <v>30.22</v>
      </c>
      <c r="DE24">
        <v>17.940000000000001</v>
      </c>
      <c r="DF24">
        <v>512.82000000000005</v>
      </c>
      <c r="DG24">
        <v>17.940000000000001</v>
      </c>
      <c r="DH24">
        <v>3374.4</v>
      </c>
      <c r="DI24">
        <v>23.61</v>
      </c>
      <c r="DJ24">
        <v>34</v>
      </c>
      <c r="DK24">
        <v>121.83</v>
      </c>
      <c r="DL24">
        <v>2943.75</v>
      </c>
      <c r="DM24">
        <v>56.67</v>
      </c>
      <c r="DN24">
        <v>35.89</v>
      </c>
      <c r="DO24">
        <v>72.72</v>
      </c>
      <c r="DP24">
        <v>31.17</v>
      </c>
      <c r="DQ24">
        <v>1812.34</v>
      </c>
      <c r="DR24">
        <v>66.11</v>
      </c>
      <c r="DS24">
        <v>35.89</v>
      </c>
      <c r="DT24">
        <v>99.16</v>
      </c>
      <c r="DU24">
        <v>2307.21</v>
      </c>
      <c r="DV24">
        <v>12.67</v>
      </c>
      <c r="DW24">
        <v>13.22</v>
      </c>
      <c r="DX24">
        <v>36.83</v>
      </c>
      <c r="DY24">
        <v>29.28</v>
      </c>
      <c r="DZ24">
        <v>44.39</v>
      </c>
      <c r="EA24">
        <v>80.28</v>
      </c>
      <c r="EB24">
        <v>34.94</v>
      </c>
      <c r="EC24">
        <v>60.44</v>
      </c>
      <c r="ED24">
        <v>20.78</v>
      </c>
      <c r="EE24">
        <v>12.67</v>
      </c>
      <c r="EF24">
        <v>2280.77</v>
      </c>
      <c r="EG24">
        <v>1681.06</v>
      </c>
      <c r="EH24">
        <v>738.53</v>
      </c>
      <c r="EI24">
        <v>27.39</v>
      </c>
      <c r="EJ24">
        <v>546.82000000000005</v>
      </c>
      <c r="EK24">
        <v>441.99</v>
      </c>
      <c r="EL24">
        <v>3940.11</v>
      </c>
      <c r="EM24">
        <v>190.77</v>
      </c>
      <c r="EN24">
        <v>145.44</v>
      </c>
      <c r="EO24">
        <v>655.43</v>
      </c>
      <c r="EP24">
        <v>31.17</v>
      </c>
      <c r="EQ24">
        <v>2584.87</v>
      </c>
      <c r="ER24">
        <v>24.55</v>
      </c>
      <c r="ES24">
        <v>31.17</v>
      </c>
      <c r="ET24">
        <v>23.61</v>
      </c>
      <c r="EU24">
        <v>247.44</v>
      </c>
      <c r="EV24">
        <v>15.11</v>
      </c>
      <c r="EW24">
        <v>17.940000000000001</v>
      </c>
      <c r="EX24">
        <v>79.33</v>
      </c>
      <c r="EY24">
        <v>22.67</v>
      </c>
      <c r="EZ24">
        <v>22.67</v>
      </c>
      <c r="FA24">
        <v>53.83</v>
      </c>
      <c r="FB24">
        <v>12.67</v>
      </c>
      <c r="FC24">
        <v>43.44</v>
      </c>
      <c r="FD24">
        <v>18.89</v>
      </c>
      <c r="FE24">
        <v>2772.81</v>
      </c>
      <c r="FF24">
        <v>85</v>
      </c>
      <c r="FG24">
        <v>1949.28</v>
      </c>
      <c r="FH24">
        <v>1317.46</v>
      </c>
      <c r="FI24">
        <v>26.44</v>
      </c>
      <c r="FJ24">
        <v>124.66</v>
      </c>
      <c r="FK24">
        <v>242.72</v>
      </c>
      <c r="FL24">
        <v>85.94</v>
      </c>
      <c r="FM24">
        <v>132.22</v>
      </c>
      <c r="FN24">
        <v>673.37</v>
      </c>
      <c r="FO24">
        <v>17.940000000000001</v>
      </c>
      <c r="FP24">
        <v>40.61</v>
      </c>
      <c r="FQ24">
        <v>31.17</v>
      </c>
      <c r="FR24">
        <v>13.22</v>
      </c>
      <c r="FS24">
        <v>12.67</v>
      </c>
      <c r="FT24">
        <v>66.11</v>
      </c>
      <c r="FU24">
        <v>3824.89</v>
      </c>
      <c r="FV24">
        <v>4561.54</v>
      </c>
      <c r="FW24">
        <v>34</v>
      </c>
      <c r="FX24">
        <v>59.5</v>
      </c>
      <c r="FY24">
        <v>27.39</v>
      </c>
      <c r="FZ24">
        <v>5950.78</v>
      </c>
      <c r="GA24">
        <v>5069.63</v>
      </c>
      <c r="GB24">
        <v>54.78</v>
      </c>
      <c r="GC24">
        <v>12.67</v>
      </c>
      <c r="GD24">
        <v>208.72</v>
      </c>
      <c r="GE24">
        <v>97.28</v>
      </c>
      <c r="GF24">
        <v>203.05</v>
      </c>
      <c r="GG24">
        <v>5097.97</v>
      </c>
      <c r="GH24">
        <v>1299.52</v>
      </c>
      <c r="GI24">
        <v>1770.78</v>
      </c>
      <c r="GJ24">
        <v>92.55</v>
      </c>
      <c r="GK24">
        <v>28725.41</v>
      </c>
      <c r="GL24">
        <v>511.87</v>
      </c>
      <c r="GM24">
        <v>18.89</v>
      </c>
      <c r="GN24">
        <v>22.67</v>
      </c>
      <c r="GO24">
        <v>229.49</v>
      </c>
      <c r="GP24">
        <v>25.5</v>
      </c>
      <c r="GQ24">
        <v>16.059999999999999</v>
      </c>
      <c r="GR24">
        <v>172.83</v>
      </c>
      <c r="GS24">
        <v>492.99</v>
      </c>
      <c r="GT24">
        <v>878.31</v>
      </c>
      <c r="GU24">
        <v>12.67</v>
      </c>
      <c r="GV24">
        <v>12.67</v>
      </c>
      <c r="GW24">
        <v>511.87</v>
      </c>
      <c r="GX24">
        <v>121.83</v>
      </c>
      <c r="GY24">
        <v>109.55</v>
      </c>
      <c r="GZ24">
        <v>153</v>
      </c>
      <c r="HA24">
        <v>123.72</v>
      </c>
      <c r="HB24">
        <v>1373.18</v>
      </c>
      <c r="HC24">
        <v>95.39</v>
      </c>
      <c r="HD24">
        <v>1414.74</v>
      </c>
      <c r="HE24">
        <v>12.67</v>
      </c>
      <c r="HF24">
        <v>4592.7</v>
      </c>
      <c r="HG24">
        <v>192.66</v>
      </c>
      <c r="HH24">
        <v>152.05000000000001</v>
      </c>
      <c r="HI24">
        <v>14.17</v>
      </c>
      <c r="HJ24">
        <v>1036.03</v>
      </c>
      <c r="HK24">
        <v>2401.65</v>
      </c>
      <c r="HL24">
        <v>2310.0500000000002</v>
      </c>
      <c r="HM24">
        <v>106.72</v>
      </c>
      <c r="HN24">
        <v>778.2</v>
      </c>
      <c r="HO24">
        <v>12.67</v>
      </c>
      <c r="HP24">
        <v>56.67</v>
      </c>
      <c r="HQ24">
        <v>7029.3</v>
      </c>
      <c r="HR24">
        <v>98.22</v>
      </c>
      <c r="HS24">
        <v>290.88</v>
      </c>
      <c r="HT24">
        <v>139.77000000000001</v>
      </c>
      <c r="HU24">
        <v>292.77</v>
      </c>
      <c r="HV24">
        <v>126.55</v>
      </c>
      <c r="HW24">
        <v>6915.97</v>
      </c>
      <c r="HX24">
        <v>16.059999999999999</v>
      </c>
      <c r="HY24">
        <v>20.78</v>
      </c>
      <c r="HZ24">
        <v>162.44</v>
      </c>
      <c r="IA24">
        <v>450.49</v>
      </c>
      <c r="IB24">
        <v>158.66</v>
      </c>
      <c r="IC24">
        <v>31.17</v>
      </c>
      <c r="ID24">
        <v>17.940000000000001</v>
      </c>
      <c r="IE24">
        <v>12.67</v>
      </c>
      <c r="IF24">
        <v>1066.25</v>
      </c>
      <c r="IG24">
        <v>48.17</v>
      </c>
      <c r="IH24">
        <v>27.39</v>
      </c>
      <c r="II24">
        <v>67.05</v>
      </c>
      <c r="IJ24">
        <v>71.78</v>
      </c>
      <c r="IK24">
        <v>26.44</v>
      </c>
      <c r="IL24">
        <v>479.76</v>
      </c>
      <c r="IM24">
        <v>109.55</v>
      </c>
      <c r="IN24">
        <v>82.16</v>
      </c>
      <c r="IO24">
        <v>14.17</v>
      </c>
      <c r="IP24">
        <v>35.89</v>
      </c>
      <c r="IQ24">
        <v>12.67</v>
      </c>
      <c r="IR24">
        <v>44.39</v>
      </c>
      <c r="IS24">
        <v>29.28</v>
      </c>
      <c r="IT24">
        <v>12.67</v>
      </c>
      <c r="IU24">
        <v>115.22</v>
      </c>
      <c r="IV24">
        <v>2717.09</v>
      </c>
      <c r="IW24">
        <v>131.27000000000001</v>
      </c>
      <c r="IX24">
        <v>6705.37</v>
      </c>
      <c r="IY24">
        <v>40.61</v>
      </c>
      <c r="IZ24">
        <v>25.5</v>
      </c>
      <c r="JA24">
        <v>61.39</v>
      </c>
      <c r="JB24">
        <v>1011.47</v>
      </c>
      <c r="JC24">
        <v>73.66</v>
      </c>
      <c r="JD24">
        <v>242.72</v>
      </c>
      <c r="JE24">
        <v>97.28</v>
      </c>
      <c r="JF24">
        <v>14.17</v>
      </c>
      <c r="JG24">
        <v>26.44</v>
      </c>
      <c r="JH24">
        <v>1991.78</v>
      </c>
      <c r="JI24">
        <v>976.53</v>
      </c>
      <c r="JJ24">
        <v>1232.47</v>
      </c>
      <c r="JK24">
        <v>27.39</v>
      </c>
      <c r="JL24">
        <v>73.66</v>
      </c>
      <c r="JM24">
        <v>18.89</v>
      </c>
      <c r="JN24">
        <v>23.61</v>
      </c>
      <c r="JO24">
        <v>174.72</v>
      </c>
      <c r="JP24">
        <v>922.7</v>
      </c>
      <c r="JQ24">
        <v>1368.46</v>
      </c>
      <c r="JR24">
        <v>29.28</v>
      </c>
      <c r="JS24">
        <v>23.61</v>
      </c>
      <c r="JT24">
        <v>249.33</v>
      </c>
      <c r="JU24">
        <v>213.44</v>
      </c>
      <c r="JV24">
        <v>410.82</v>
      </c>
      <c r="JW24">
        <v>87.83</v>
      </c>
      <c r="JX24">
        <v>51.94</v>
      </c>
      <c r="JY24">
        <v>204.94</v>
      </c>
      <c r="JZ24">
        <v>82.16</v>
      </c>
      <c r="KA24">
        <v>70.83</v>
      </c>
      <c r="KB24">
        <v>69.89</v>
      </c>
      <c r="KC24">
        <v>34.94</v>
      </c>
      <c r="KD24">
        <v>17</v>
      </c>
      <c r="KE24">
        <v>161.5</v>
      </c>
      <c r="KF24">
        <v>76.5</v>
      </c>
      <c r="KG24">
        <v>119.94</v>
      </c>
      <c r="KH24">
        <v>85.94</v>
      </c>
      <c r="KI24">
        <v>256.88</v>
      </c>
      <c r="KJ24">
        <v>154.88</v>
      </c>
      <c r="KK24">
        <v>160.55000000000001</v>
      </c>
      <c r="KL24">
        <v>55.72</v>
      </c>
      <c r="KM24">
        <v>49.11</v>
      </c>
      <c r="KN24">
        <v>656.37</v>
      </c>
      <c r="KO24">
        <v>214.38</v>
      </c>
      <c r="KP24">
        <v>72.72</v>
      </c>
      <c r="KQ24">
        <v>2684.98</v>
      </c>
      <c r="KR24">
        <v>705.48</v>
      </c>
      <c r="KS24">
        <v>1453.46</v>
      </c>
      <c r="KT24">
        <v>26262.37</v>
      </c>
      <c r="KU24">
        <v>11256.52</v>
      </c>
      <c r="KV24">
        <v>3175.13</v>
      </c>
      <c r="KW24">
        <v>98.22</v>
      </c>
      <c r="KX24">
        <v>82.16</v>
      </c>
      <c r="KY24">
        <v>27.39</v>
      </c>
      <c r="KZ24">
        <v>23.61</v>
      </c>
      <c r="LA24">
        <v>503.37</v>
      </c>
      <c r="LB24">
        <v>349.43</v>
      </c>
      <c r="LC24">
        <v>960.47</v>
      </c>
      <c r="LD24">
        <v>28.33</v>
      </c>
      <c r="LE24">
        <v>417.43</v>
      </c>
      <c r="LF24">
        <v>1259.8499999999999</v>
      </c>
      <c r="LG24">
        <v>983.14</v>
      </c>
      <c r="LH24">
        <v>983.14</v>
      </c>
      <c r="LI24">
        <v>6035.77</v>
      </c>
      <c r="LJ24">
        <v>637.48</v>
      </c>
      <c r="LK24">
        <v>2412.9899999999998</v>
      </c>
      <c r="LL24">
        <v>114.27</v>
      </c>
      <c r="LM24">
        <v>14.17</v>
      </c>
      <c r="LN24">
        <v>212.49</v>
      </c>
      <c r="LO24">
        <v>247.44</v>
      </c>
      <c r="LP24">
        <v>2094.7199999999998</v>
      </c>
      <c r="LQ24">
        <v>36.83</v>
      </c>
      <c r="LR24">
        <v>89.72</v>
      </c>
      <c r="LS24">
        <v>140.72</v>
      </c>
      <c r="LT24">
        <v>39.67</v>
      </c>
      <c r="LU24">
        <v>65.16</v>
      </c>
      <c r="LV24">
        <v>157.72</v>
      </c>
      <c r="LW24">
        <v>10119.44</v>
      </c>
      <c r="LX24">
        <v>2505.54</v>
      </c>
      <c r="LY24">
        <v>3067.47</v>
      </c>
      <c r="LZ24">
        <v>16836.13</v>
      </c>
      <c r="MA24">
        <v>781.03</v>
      </c>
      <c r="MB24">
        <v>8292.93</v>
      </c>
      <c r="MC24">
        <v>1648.01</v>
      </c>
      <c r="MD24">
        <v>1521.46</v>
      </c>
      <c r="ME24">
        <v>110.5</v>
      </c>
      <c r="MF24">
        <v>3745.56</v>
      </c>
      <c r="MG24">
        <v>6229.38</v>
      </c>
      <c r="MH24">
        <v>764.03</v>
      </c>
      <c r="MI24">
        <v>18.89</v>
      </c>
      <c r="MJ24">
        <v>754.59</v>
      </c>
      <c r="MK24">
        <v>48.17</v>
      </c>
      <c r="ML24">
        <v>795.2</v>
      </c>
      <c r="MM24">
        <v>2386.54</v>
      </c>
      <c r="MN24">
        <v>338.1</v>
      </c>
      <c r="MO24">
        <v>22.67</v>
      </c>
      <c r="MP24">
        <v>163.38</v>
      </c>
      <c r="MQ24">
        <v>78.39</v>
      </c>
      <c r="MR24">
        <v>33.049999999999997</v>
      </c>
      <c r="MS24">
        <v>233.27</v>
      </c>
      <c r="MT24">
        <v>1625.34</v>
      </c>
      <c r="MU24">
        <v>39.67</v>
      </c>
      <c r="MV24">
        <v>64.22</v>
      </c>
      <c r="MW24">
        <v>385.32</v>
      </c>
      <c r="MX24">
        <v>40.61</v>
      </c>
      <c r="MY24">
        <v>19.829999999999998</v>
      </c>
      <c r="MZ24">
        <v>1069.08</v>
      </c>
      <c r="NA24">
        <v>77.44</v>
      </c>
      <c r="NB24">
        <v>3646.4</v>
      </c>
      <c r="NC24">
        <v>2819.09</v>
      </c>
      <c r="ND24">
        <v>1169.19</v>
      </c>
      <c r="NE24">
        <v>255.94</v>
      </c>
      <c r="NF24">
        <v>17.940000000000001</v>
      </c>
      <c r="NG24">
        <v>16.059999999999999</v>
      </c>
      <c r="NH24">
        <v>151.11000000000001</v>
      </c>
      <c r="NI24">
        <v>5354.85</v>
      </c>
      <c r="NJ24">
        <v>89.72</v>
      </c>
      <c r="NK24">
        <v>91.61</v>
      </c>
      <c r="NL24">
        <v>168.11</v>
      </c>
      <c r="NM24">
        <v>3610.51</v>
      </c>
      <c r="NN24">
        <v>943.47</v>
      </c>
      <c r="NO24">
        <v>21.72</v>
      </c>
      <c r="NP24">
        <v>12.67</v>
      </c>
      <c r="NQ24">
        <v>6791.31</v>
      </c>
      <c r="NR24">
        <v>336.21</v>
      </c>
      <c r="NS24">
        <v>308.82</v>
      </c>
      <c r="NT24">
        <v>1401.52</v>
      </c>
      <c r="NU24">
        <v>2420.54</v>
      </c>
      <c r="NV24">
        <v>609.15</v>
      </c>
      <c r="NW24">
        <v>336.21</v>
      </c>
      <c r="NX24">
        <v>98.22</v>
      </c>
      <c r="NY24">
        <v>35.89</v>
      </c>
      <c r="NZ24">
        <v>1543.18</v>
      </c>
      <c r="OA24">
        <v>65.16</v>
      </c>
      <c r="OB24">
        <v>748.92</v>
      </c>
      <c r="OC24">
        <v>7000.02</v>
      </c>
      <c r="OD24">
        <v>384.38</v>
      </c>
      <c r="OE24">
        <v>7351.35</v>
      </c>
      <c r="OF24">
        <v>34</v>
      </c>
      <c r="OG24">
        <v>1548.85</v>
      </c>
      <c r="OH24">
        <v>131.27000000000001</v>
      </c>
      <c r="OI24">
        <v>48.17</v>
      </c>
      <c r="OJ24">
        <v>25.5</v>
      </c>
      <c r="OK24">
        <v>1208.8499999999999</v>
      </c>
      <c r="OL24">
        <v>67.05</v>
      </c>
      <c r="OM24">
        <v>136.94</v>
      </c>
      <c r="ON24">
        <v>377.77</v>
      </c>
      <c r="OO24">
        <v>1099.3</v>
      </c>
      <c r="OP24">
        <v>197.38</v>
      </c>
      <c r="OQ24">
        <v>988.81</v>
      </c>
      <c r="OR24">
        <v>20.78</v>
      </c>
      <c r="OS24">
        <v>766.87</v>
      </c>
      <c r="OT24">
        <v>689.42</v>
      </c>
      <c r="OU24">
        <v>86.89</v>
      </c>
      <c r="OV24">
        <v>381.54</v>
      </c>
      <c r="OW24">
        <v>12.67</v>
      </c>
      <c r="OX24">
        <v>55.72</v>
      </c>
      <c r="OY24">
        <v>42.5</v>
      </c>
      <c r="OZ24">
        <v>25.5</v>
      </c>
      <c r="PA24">
        <v>14.17</v>
      </c>
      <c r="PB24">
        <v>37.78</v>
      </c>
      <c r="PC24">
        <v>22.67</v>
      </c>
      <c r="PD24">
        <v>51</v>
      </c>
      <c r="PE24">
        <v>32.11</v>
      </c>
      <c r="PF24">
        <v>428.77</v>
      </c>
      <c r="PG24">
        <v>70.83</v>
      </c>
      <c r="PH24">
        <v>34.94</v>
      </c>
      <c r="PI24">
        <v>87.83</v>
      </c>
      <c r="PJ24">
        <v>44826.79</v>
      </c>
      <c r="PK24">
        <v>123658.29</v>
      </c>
      <c r="PL24">
        <v>45.33</v>
      </c>
      <c r="PM24">
        <v>27690.33</v>
      </c>
      <c r="PN24">
        <v>1597.95</v>
      </c>
      <c r="PO24">
        <v>47.22</v>
      </c>
      <c r="PP24">
        <v>1351.46</v>
      </c>
      <c r="PQ24">
        <v>31.17</v>
      </c>
      <c r="PR24">
        <v>14.17</v>
      </c>
      <c r="PS24">
        <v>28.33</v>
      </c>
      <c r="PT24">
        <v>24.55</v>
      </c>
      <c r="PU24">
        <v>92.55</v>
      </c>
      <c r="PV24">
        <v>412.71</v>
      </c>
      <c r="PW24">
        <v>64.22</v>
      </c>
      <c r="PX24">
        <v>22.67</v>
      </c>
      <c r="PY24">
        <v>1215.47</v>
      </c>
      <c r="PZ24">
        <v>12.67</v>
      </c>
      <c r="QA24">
        <v>409.88</v>
      </c>
      <c r="QB24">
        <v>1845.39</v>
      </c>
      <c r="QC24">
        <v>77.44</v>
      </c>
      <c r="QD24">
        <v>12.67</v>
      </c>
      <c r="QE24">
        <v>652.59</v>
      </c>
      <c r="QF24">
        <v>12.67</v>
      </c>
      <c r="QG24">
        <v>36.83</v>
      </c>
      <c r="QH24">
        <v>12.67</v>
      </c>
      <c r="QI24">
        <v>21.72</v>
      </c>
      <c r="QJ24">
        <v>269.16000000000003</v>
      </c>
      <c r="QK24">
        <v>24.55</v>
      </c>
      <c r="QL24">
        <v>302.20999999999998</v>
      </c>
      <c r="QM24">
        <v>675.26</v>
      </c>
      <c r="QN24">
        <v>640.32000000000005</v>
      </c>
      <c r="QO24">
        <v>31.17</v>
      </c>
      <c r="QP24">
        <v>25.5</v>
      </c>
      <c r="QQ24">
        <v>532.65</v>
      </c>
      <c r="QR24">
        <v>87.83</v>
      </c>
      <c r="QS24">
        <v>1797.23</v>
      </c>
      <c r="QT24">
        <v>1414.74</v>
      </c>
      <c r="QU24">
        <v>33.049999999999997</v>
      </c>
      <c r="QV24">
        <v>159.61000000000001</v>
      </c>
      <c r="QW24">
        <v>120.89</v>
      </c>
      <c r="QX24">
        <v>254.05</v>
      </c>
      <c r="QY24">
        <v>51</v>
      </c>
      <c r="QZ24">
        <v>32.11</v>
      </c>
      <c r="RA24">
        <v>150.16</v>
      </c>
      <c r="RB24">
        <v>65929.8</v>
      </c>
      <c r="RC24">
        <v>19.829999999999998</v>
      </c>
      <c r="RD24">
        <v>2543.3200000000002</v>
      </c>
      <c r="RE24">
        <v>50.05</v>
      </c>
      <c r="RF24">
        <v>49.11</v>
      </c>
      <c r="RG24">
        <v>261.60000000000002</v>
      </c>
      <c r="RH24">
        <v>47.22</v>
      </c>
      <c r="RI24">
        <v>15.11</v>
      </c>
      <c r="RJ24">
        <v>60.44</v>
      </c>
      <c r="RK24">
        <v>15.11</v>
      </c>
      <c r="RL24">
        <v>197.38</v>
      </c>
      <c r="RM24">
        <v>161.5</v>
      </c>
      <c r="RN24">
        <v>185.11</v>
      </c>
      <c r="RO24">
        <v>1858.61</v>
      </c>
      <c r="RP24">
        <v>98.22</v>
      </c>
      <c r="RQ24">
        <v>234.22</v>
      </c>
      <c r="RR24">
        <v>22.67</v>
      </c>
      <c r="RS24">
        <v>920.81</v>
      </c>
      <c r="RT24">
        <v>624.26</v>
      </c>
      <c r="RU24">
        <v>428.77</v>
      </c>
      <c r="RV24">
        <v>20.78</v>
      </c>
      <c r="RW24">
        <v>52.89</v>
      </c>
      <c r="RX24">
        <v>1908.67</v>
      </c>
      <c r="RY24">
        <v>1103.08</v>
      </c>
      <c r="RZ24">
        <v>35.89</v>
      </c>
      <c r="SA24">
        <v>358.88</v>
      </c>
      <c r="SB24">
        <v>18.89</v>
      </c>
      <c r="SC24">
        <v>106.72</v>
      </c>
      <c r="SD24">
        <v>893.42</v>
      </c>
      <c r="SE24">
        <v>871.7</v>
      </c>
      <c r="SF24">
        <v>638.42999999999995</v>
      </c>
      <c r="SG24">
        <v>6507.04</v>
      </c>
      <c r="SH24">
        <v>111.44</v>
      </c>
      <c r="SI24">
        <v>24.55</v>
      </c>
      <c r="SJ24">
        <v>162.44</v>
      </c>
      <c r="SK24">
        <v>177.55</v>
      </c>
      <c r="SL24">
        <v>242.72</v>
      </c>
      <c r="SM24">
        <v>138.83000000000001</v>
      </c>
      <c r="SN24">
        <v>87.83</v>
      </c>
      <c r="SO24">
        <v>12.67</v>
      </c>
      <c r="SP24">
        <v>165.27</v>
      </c>
      <c r="SQ24">
        <v>1161.6300000000001</v>
      </c>
      <c r="SR24">
        <v>1069.08</v>
      </c>
      <c r="SS24">
        <v>5988.55</v>
      </c>
      <c r="ST24">
        <v>2236.38</v>
      </c>
      <c r="SU24">
        <v>3127.91</v>
      </c>
      <c r="SV24">
        <v>1287.24</v>
      </c>
      <c r="SW24">
        <v>1353.35</v>
      </c>
      <c r="SX24">
        <v>103.89</v>
      </c>
      <c r="SY24">
        <v>35.89</v>
      </c>
      <c r="SZ24">
        <v>14.17</v>
      </c>
      <c r="TA24">
        <v>17.940000000000001</v>
      </c>
      <c r="TB24">
        <v>2243.94</v>
      </c>
      <c r="TC24">
        <v>3644.51</v>
      </c>
      <c r="TD24">
        <v>44.39</v>
      </c>
      <c r="TE24">
        <v>829.2</v>
      </c>
      <c r="TF24">
        <v>736.65</v>
      </c>
      <c r="TG24">
        <v>1120.08</v>
      </c>
      <c r="TH24">
        <v>232.33</v>
      </c>
      <c r="TI24">
        <v>102.94</v>
      </c>
      <c r="TJ24">
        <v>23.61</v>
      </c>
      <c r="TK24">
        <v>513.76</v>
      </c>
      <c r="TL24">
        <v>92.55</v>
      </c>
      <c r="TM24">
        <v>145.44</v>
      </c>
      <c r="TN24">
        <v>400.43</v>
      </c>
      <c r="TO24">
        <v>571.37</v>
      </c>
      <c r="TP24">
        <v>319.20999999999998</v>
      </c>
      <c r="TQ24">
        <v>85</v>
      </c>
      <c r="TR24">
        <v>23.61</v>
      </c>
      <c r="TS24">
        <v>418.38</v>
      </c>
      <c r="TT24">
        <v>80.28</v>
      </c>
      <c r="TU24">
        <v>34.94</v>
      </c>
      <c r="TV24">
        <v>278.60000000000002</v>
      </c>
      <c r="TW24">
        <v>509.99</v>
      </c>
      <c r="TX24">
        <v>220.99</v>
      </c>
      <c r="TY24">
        <v>24.55</v>
      </c>
      <c r="TZ24">
        <v>116.16</v>
      </c>
      <c r="UA24">
        <v>159.61000000000001</v>
      </c>
      <c r="UB24">
        <v>57.61</v>
      </c>
      <c r="UC24">
        <v>15615</v>
      </c>
      <c r="UD24">
        <v>12.67</v>
      </c>
      <c r="UE24">
        <v>25.5</v>
      </c>
      <c r="UF24">
        <v>3022.14</v>
      </c>
      <c r="UG24">
        <v>82.16</v>
      </c>
      <c r="UH24">
        <v>12.67</v>
      </c>
      <c r="UI24">
        <v>32.11</v>
      </c>
      <c r="UJ24">
        <v>15.11</v>
      </c>
      <c r="UK24">
        <v>27.39</v>
      </c>
      <c r="UL24">
        <v>21.72</v>
      </c>
      <c r="UM24">
        <v>16.059999999999999</v>
      </c>
      <c r="UN24">
        <v>203.99</v>
      </c>
      <c r="UO24">
        <v>394.77</v>
      </c>
      <c r="UP24">
        <v>12.67</v>
      </c>
      <c r="UQ24">
        <v>12.67</v>
      </c>
      <c r="UR24">
        <v>21.72</v>
      </c>
      <c r="US24">
        <v>51</v>
      </c>
      <c r="UT24">
        <v>376.82</v>
      </c>
      <c r="UU24">
        <v>696.98</v>
      </c>
      <c r="UV24">
        <v>830.14</v>
      </c>
      <c r="UW24">
        <v>1066.25</v>
      </c>
      <c r="UX24">
        <v>81.22</v>
      </c>
      <c r="UY24">
        <v>475.99</v>
      </c>
      <c r="UZ24">
        <v>54.78</v>
      </c>
      <c r="VA24">
        <v>1605.51</v>
      </c>
      <c r="VB24">
        <v>1120.08</v>
      </c>
      <c r="VC24">
        <v>69.89</v>
      </c>
      <c r="VD24">
        <v>280.49</v>
      </c>
      <c r="VE24">
        <v>40.61</v>
      </c>
      <c r="VF24">
        <v>595.92999999999995</v>
      </c>
      <c r="VG24">
        <v>22.67</v>
      </c>
      <c r="VH24">
        <v>25.5</v>
      </c>
      <c r="VI24">
        <v>23.61</v>
      </c>
      <c r="VJ24">
        <v>43.44</v>
      </c>
      <c r="VK24">
        <v>630.87</v>
      </c>
      <c r="VL24">
        <v>698.87</v>
      </c>
      <c r="VM24">
        <v>921.75</v>
      </c>
      <c r="VN24">
        <v>545.87</v>
      </c>
      <c r="VO24">
        <v>12.67</v>
      </c>
      <c r="VP24">
        <v>12.67</v>
      </c>
      <c r="VQ24">
        <v>1861.45</v>
      </c>
      <c r="VR24">
        <v>387.21</v>
      </c>
      <c r="VS24">
        <v>985.03</v>
      </c>
      <c r="VT24">
        <v>74.61</v>
      </c>
      <c r="VU24">
        <v>39.67</v>
      </c>
      <c r="VV24">
        <v>33.049999999999997</v>
      </c>
      <c r="VW24">
        <v>262.55</v>
      </c>
      <c r="VX24">
        <v>71.78</v>
      </c>
      <c r="VY24">
        <v>12.67</v>
      </c>
      <c r="VZ24">
        <v>9823.83</v>
      </c>
      <c r="WA24">
        <v>7690.39</v>
      </c>
      <c r="WB24">
        <v>273.88</v>
      </c>
      <c r="WC24">
        <v>150.16</v>
      </c>
      <c r="WD24">
        <v>99.16</v>
      </c>
      <c r="WE24">
        <v>7445.79</v>
      </c>
      <c r="WF24">
        <v>335.27</v>
      </c>
      <c r="WG24">
        <v>316.38</v>
      </c>
      <c r="WH24">
        <v>6568.43</v>
      </c>
      <c r="WI24">
        <v>20536.36</v>
      </c>
      <c r="WJ24">
        <v>3906.11</v>
      </c>
      <c r="WK24">
        <v>227.6</v>
      </c>
      <c r="WL24">
        <v>842.42</v>
      </c>
      <c r="WM24">
        <v>31.17</v>
      </c>
      <c r="WN24">
        <v>39.67</v>
      </c>
      <c r="WO24">
        <v>12.67</v>
      </c>
      <c r="WP24">
        <v>281.44</v>
      </c>
      <c r="WQ24">
        <v>1052.08</v>
      </c>
      <c r="WR24">
        <v>356.99</v>
      </c>
      <c r="WS24">
        <v>20.78</v>
      </c>
      <c r="WT24">
        <v>14.17</v>
      </c>
      <c r="WU24">
        <v>923.64</v>
      </c>
      <c r="WV24">
        <v>419.32</v>
      </c>
      <c r="WW24">
        <v>35.89</v>
      </c>
      <c r="WX24">
        <v>53.83</v>
      </c>
      <c r="WY24">
        <v>37.78</v>
      </c>
      <c r="WZ24">
        <v>29.28</v>
      </c>
      <c r="XA24">
        <v>14.17</v>
      </c>
      <c r="XB24">
        <v>486.38</v>
      </c>
      <c r="XC24">
        <v>50.05</v>
      </c>
      <c r="XD24">
        <v>1256.08</v>
      </c>
      <c r="XE24">
        <v>78.39</v>
      </c>
      <c r="XF24">
        <v>1237.19</v>
      </c>
      <c r="XG24">
        <v>507.15</v>
      </c>
      <c r="XH24">
        <v>218.16</v>
      </c>
      <c r="XI24">
        <v>346.6</v>
      </c>
      <c r="XJ24">
        <v>415.54</v>
      </c>
      <c r="XK24">
        <v>492.04</v>
      </c>
      <c r="XL24">
        <v>91.61</v>
      </c>
      <c r="XM24">
        <v>95.39</v>
      </c>
      <c r="XN24">
        <v>274.83</v>
      </c>
      <c r="XO24">
        <v>12.67</v>
      </c>
      <c r="XP24">
        <v>22.67</v>
      </c>
      <c r="XQ24">
        <v>20.78</v>
      </c>
      <c r="XR24">
        <v>12.67</v>
      </c>
      <c r="XS24">
        <v>351.32</v>
      </c>
      <c r="XT24">
        <v>492.99</v>
      </c>
      <c r="XU24">
        <v>280.49</v>
      </c>
      <c r="XV24">
        <v>583.65</v>
      </c>
      <c r="XW24">
        <v>2570.71</v>
      </c>
      <c r="XX24">
        <v>2291.16</v>
      </c>
      <c r="XY24">
        <v>1570.57</v>
      </c>
      <c r="XZ24">
        <v>121.83</v>
      </c>
      <c r="YA24">
        <v>1787.78</v>
      </c>
      <c r="YB24">
        <v>63.28</v>
      </c>
      <c r="YC24">
        <v>34</v>
      </c>
      <c r="YD24">
        <v>2313.8200000000002</v>
      </c>
      <c r="YE24">
        <v>485.43</v>
      </c>
      <c r="YF24">
        <v>644.09</v>
      </c>
      <c r="YG24">
        <v>103.89</v>
      </c>
      <c r="YH24">
        <v>17.940000000000001</v>
      </c>
      <c r="YI24">
        <v>30.22</v>
      </c>
      <c r="YJ24">
        <v>35.89</v>
      </c>
      <c r="YK24">
        <v>12.67</v>
      </c>
      <c r="YL24">
        <v>76.5</v>
      </c>
      <c r="YM24">
        <v>3707.78</v>
      </c>
      <c r="YN24">
        <v>375.88</v>
      </c>
      <c r="YO24">
        <v>263.49</v>
      </c>
      <c r="YP24">
        <v>1397.74</v>
      </c>
      <c r="YQ24">
        <v>837.7</v>
      </c>
      <c r="YR24">
        <v>95.39</v>
      </c>
      <c r="YS24">
        <v>2649.09</v>
      </c>
      <c r="YT24">
        <v>87.83</v>
      </c>
      <c r="YU24">
        <v>313.55</v>
      </c>
      <c r="YV24">
        <v>18.89</v>
      </c>
      <c r="YW24">
        <v>53.83</v>
      </c>
      <c r="YX24">
        <v>40.61</v>
      </c>
      <c r="YY24">
        <v>626.15</v>
      </c>
      <c r="YZ24">
        <v>254.99</v>
      </c>
      <c r="ZA24">
        <v>51.94</v>
      </c>
      <c r="ZB24">
        <v>22.67</v>
      </c>
      <c r="ZC24">
        <v>18.89</v>
      </c>
      <c r="ZD24">
        <v>50.05</v>
      </c>
      <c r="ZE24">
        <v>24.55</v>
      </c>
      <c r="ZF24">
        <v>233.27</v>
      </c>
      <c r="ZG24">
        <v>825.42</v>
      </c>
      <c r="ZH24">
        <v>102</v>
      </c>
      <c r="ZI24">
        <v>536.42999999999995</v>
      </c>
      <c r="ZJ24">
        <v>1172.02</v>
      </c>
      <c r="ZK24">
        <v>424.99</v>
      </c>
      <c r="ZL24">
        <v>15.11</v>
      </c>
      <c r="ZM24">
        <v>326.77</v>
      </c>
      <c r="ZN24">
        <v>76.5</v>
      </c>
      <c r="ZO24">
        <v>19.829999999999998</v>
      </c>
      <c r="ZP24">
        <v>204.94</v>
      </c>
      <c r="ZQ24">
        <v>15.11</v>
      </c>
      <c r="ZR24">
        <v>14.17</v>
      </c>
      <c r="ZS24">
        <v>1092.69</v>
      </c>
      <c r="ZT24">
        <v>167.16</v>
      </c>
      <c r="ZU24">
        <v>249.33</v>
      </c>
      <c r="ZV24">
        <v>21.72</v>
      </c>
      <c r="ZW24">
        <v>16.059999999999999</v>
      </c>
      <c r="ZX24">
        <v>107.66</v>
      </c>
      <c r="ZY24">
        <v>2976.8</v>
      </c>
      <c r="ZZ24">
        <v>108.61</v>
      </c>
      <c r="AAA24">
        <v>29.28</v>
      </c>
      <c r="AAB24">
        <v>83.11</v>
      </c>
      <c r="AAC24">
        <v>17.940000000000001</v>
      </c>
      <c r="AAD24">
        <v>51.94</v>
      </c>
      <c r="AAE24">
        <v>18.89</v>
      </c>
      <c r="AAF24">
        <v>33.049999999999997</v>
      </c>
      <c r="AAG24">
        <v>331.49</v>
      </c>
      <c r="AAH24">
        <v>148.27000000000001</v>
      </c>
      <c r="AAI24">
        <v>6067.88</v>
      </c>
      <c r="AAJ24">
        <v>2222.2199999999998</v>
      </c>
      <c r="AAK24">
        <v>472.21</v>
      </c>
      <c r="AAL24">
        <v>183.22</v>
      </c>
      <c r="AAM24">
        <v>29.28</v>
      </c>
      <c r="AAN24">
        <v>363.6</v>
      </c>
      <c r="AAO24">
        <v>34</v>
      </c>
      <c r="AAP24">
        <v>534.54</v>
      </c>
      <c r="AAQ24">
        <v>102.94</v>
      </c>
      <c r="AAR24">
        <v>56.67</v>
      </c>
      <c r="AAS24">
        <v>1499.74</v>
      </c>
      <c r="AAT24">
        <v>16.059999999999999</v>
      </c>
      <c r="AAU24">
        <v>12.67</v>
      </c>
      <c r="AAV24">
        <v>3868.34</v>
      </c>
      <c r="AAW24">
        <v>118.05</v>
      </c>
      <c r="AAX24">
        <v>182.27</v>
      </c>
      <c r="AAY24">
        <v>68.94</v>
      </c>
      <c r="AAZ24">
        <v>36.83</v>
      </c>
      <c r="ABA24">
        <v>171.88</v>
      </c>
      <c r="ABB24">
        <v>56.67</v>
      </c>
      <c r="ABC24">
        <v>473.15</v>
      </c>
      <c r="ABD24">
        <v>1345.8</v>
      </c>
      <c r="ABE24">
        <v>449.54</v>
      </c>
      <c r="ABF24">
        <v>3882.5</v>
      </c>
      <c r="ABG24">
        <v>107.66</v>
      </c>
      <c r="ABH24">
        <v>83.11</v>
      </c>
      <c r="ABI24">
        <v>37.78</v>
      </c>
      <c r="ABJ24">
        <v>30.22</v>
      </c>
      <c r="ABK24">
        <v>19.829999999999998</v>
      </c>
      <c r="ABL24">
        <v>14.17</v>
      </c>
      <c r="ABM24">
        <v>104.83</v>
      </c>
      <c r="ABN24">
        <v>71.78</v>
      </c>
      <c r="ABO24">
        <v>12.67</v>
      </c>
      <c r="ABP24">
        <v>22.67</v>
      </c>
      <c r="ABQ24">
        <v>1568.68</v>
      </c>
      <c r="ABR24">
        <v>95.39</v>
      </c>
      <c r="ABS24">
        <v>1222.08</v>
      </c>
      <c r="ABT24">
        <v>58.55</v>
      </c>
      <c r="ABU24">
        <v>29.28</v>
      </c>
      <c r="ABV24">
        <v>128.44</v>
      </c>
      <c r="ABW24">
        <v>468.43</v>
      </c>
      <c r="ABX24">
        <v>765.92</v>
      </c>
      <c r="ABY24">
        <v>268.20999999999998</v>
      </c>
      <c r="ABZ24">
        <v>136.94</v>
      </c>
      <c r="ACA24">
        <v>631.82000000000005</v>
      </c>
      <c r="ACB24">
        <v>170.94</v>
      </c>
      <c r="ACC24">
        <v>207.77</v>
      </c>
      <c r="ACD24">
        <v>325.82</v>
      </c>
      <c r="ACE24">
        <v>135.05000000000001</v>
      </c>
      <c r="ACF24">
        <v>5037.5200000000004</v>
      </c>
      <c r="ACG24">
        <v>1733.01</v>
      </c>
      <c r="ACH24">
        <v>274.83</v>
      </c>
      <c r="ACI24">
        <v>466.54</v>
      </c>
      <c r="ACJ24">
        <v>1177.69</v>
      </c>
      <c r="ACK24">
        <v>386.27</v>
      </c>
      <c r="ACL24">
        <v>69.89</v>
      </c>
      <c r="ACM24">
        <v>147.33000000000001</v>
      </c>
      <c r="ACN24">
        <v>308.82</v>
      </c>
      <c r="ACO24">
        <v>463.71</v>
      </c>
      <c r="ACP24">
        <v>503.37</v>
      </c>
      <c r="ACQ24">
        <v>282.38</v>
      </c>
      <c r="ACR24">
        <v>6151.94</v>
      </c>
    </row>
    <row r="25" spans="1:772" x14ac:dyDescent="0.3">
      <c r="A25" t="s">
        <v>12</v>
      </c>
      <c r="B25" t="s">
        <v>3</v>
      </c>
      <c r="C25">
        <v>170.44</v>
      </c>
      <c r="D25">
        <v>89.54</v>
      </c>
      <c r="E25">
        <v>312.83999999999997</v>
      </c>
      <c r="F25">
        <v>13.28</v>
      </c>
      <c r="G25">
        <v>5138.07</v>
      </c>
      <c r="H25">
        <v>47.46</v>
      </c>
      <c r="I25">
        <v>1159.6500000000001</v>
      </c>
      <c r="J25">
        <v>12562.01</v>
      </c>
      <c r="K25">
        <v>674.22</v>
      </c>
      <c r="L25">
        <v>18.34</v>
      </c>
      <c r="M25">
        <v>115.43</v>
      </c>
      <c r="N25">
        <v>2289.1</v>
      </c>
      <c r="O25">
        <v>69.040000000000006</v>
      </c>
      <c r="P25">
        <v>374.33</v>
      </c>
      <c r="Q25">
        <v>230.85</v>
      </c>
      <c r="R25">
        <v>975.19</v>
      </c>
      <c r="S25">
        <v>13.28</v>
      </c>
      <c r="T25">
        <v>310.68</v>
      </c>
      <c r="U25">
        <v>1237.32</v>
      </c>
      <c r="V25">
        <v>137</v>
      </c>
      <c r="W25">
        <v>623.52</v>
      </c>
      <c r="X25">
        <v>18.34</v>
      </c>
      <c r="Y25">
        <v>271.83999999999997</v>
      </c>
      <c r="Z25">
        <v>496.22</v>
      </c>
      <c r="AA25">
        <v>22.65</v>
      </c>
      <c r="AB25">
        <v>1586.84</v>
      </c>
      <c r="AC25">
        <v>526.42999999999995</v>
      </c>
      <c r="AD25">
        <v>113.27</v>
      </c>
      <c r="AE25">
        <v>329.02</v>
      </c>
      <c r="AF25">
        <v>57790.63</v>
      </c>
      <c r="AG25">
        <v>131.61000000000001</v>
      </c>
      <c r="AH25">
        <v>377.56</v>
      </c>
      <c r="AI25">
        <v>63.65</v>
      </c>
      <c r="AJ25">
        <v>919.09</v>
      </c>
      <c r="AK25">
        <v>167.21</v>
      </c>
      <c r="AL25">
        <v>94.93</v>
      </c>
      <c r="AM25">
        <v>208.2</v>
      </c>
      <c r="AN25">
        <v>48.54</v>
      </c>
      <c r="AO25">
        <v>2755.12</v>
      </c>
      <c r="AP25">
        <v>19.420000000000002</v>
      </c>
      <c r="AQ25">
        <v>119.74</v>
      </c>
      <c r="AR25">
        <v>19.420000000000002</v>
      </c>
      <c r="AS25">
        <v>43.15</v>
      </c>
      <c r="AT25">
        <v>22.65</v>
      </c>
      <c r="AU25">
        <v>29.13</v>
      </c>
      <c r="AV25">
        <v>2309.6</v>
      </c>
      <c r="AW25">
        <v>235.17</v>
      </c>
      <c r="AX25">
        <v>3047.46</v>
      </c>
      <c r="AY25">
        <v>46.39</v>
      </c>
      <c r="AZ25">
        <v>137</v>
      </c>
      <c r="BA25">
        <v>249.19</v>
      </c>
      <c r="BB25">
        <v>387.27</v>
      </c>
      <c r="BC25">
        <v>92.77</v>
      </c>
      <c r="BD25">
        <v>19.420000000000002</v>
      </c>
      <c r="BE25">
        <v>33.44</v>
      </c>
      <c r="BF25">
        <v>131.61000000000001</v>
      </c>
      <c r="BG25">
        <v>53.94</v>
      </c>
      <c r="BH25">
        <v>17.260000000000002</v>
      </c>
      <c r="BI25">
        <v>20.5</v>
      </c>
      <c r="BJ25">
        <v>13.28</v>
      </c>
      <c r="BK25">
        <v>2039.91</v>
      </c>
      <c r="BL25">
        <v>799.35</v>
      </c>
      <c r="BM25">
        <v>231.93</v>
      </c>
      <c r="BN25">
        <v>96.01</v>
      </c>
      <c r="BO25">
        <v>47.46</v>
      </c>
      <c r="BP25">
        <v>26.97</v>
      </c>
      <c r="BQ25">
        <v>20.5</v>
      </c>
      <c r="BR25">
        <v>61.49</v>
      </c>
      <c r="BS25">
        <v>35.6</v>
      </c>
      <c r="BT25">
        <v>2642.93</v>
      </c>
      <c r="BU25">
        <v>812.3</v>
      </c>
      <c r="BV25">
        <v>40.99</v>
      </c>
      <c r="BW25">
        <v>44.23</v>
      </c>
      <c r="BX25">
        <v>583.6</v>
      </c>
      <c r="BY25">
        <v>159.65</v>
      </c>
      <c r="BZ25">
        <v>1352.75</v>
      </c>
      <c r="CA25">
        <v>440.13</v>
      </c>
      <c r="CB25">
        <v>637.54</v>
      </c>
      <c r="CC25">
        <v>67.959999999999994</v>
      </c>
      <c r="CD25">
        <v>98.17</v>
      </c>
      <c r="CE25">
        <v>1256.74</v>
      </c>
      <c r="CF25">
        <v>919.09</v>
      </c>
      <c r="CG25">
        <v>55.02</v>
      </c>
      <c r="CH25">
        <v>197.41</v>
      </c>
      <c r="CI25">
        <v>30.2</v>
      </c>
      <c r="CJ25">
        <v>16.18</v>
      </c>
      <c r="CK25">
        <v>45.31</v>
      </c>
      <c r="CL25">
        <v>98.17</v>
      </c>
      <c r="CM25">
        <v>373.25</v>
      </c>
      <c r="CN25">
        <v>57.17</v>
      </c>
      <c r="CO25">
        <v>42.07</v>
      </c>
      <c r="CP25">
        <v>17.260000000000002</v>
      </c>
      <c r="CQ25">
        <v>97.09</v>
      </c>
      <c r="CR25">
        <v>50.7</v>
      </c>
      <c r="CS25">
        <v>13.28</v>
      </c>
      <c r="CT25">
        <v>40.99</v>
      </c>
      <c r="CU25">
        <v>47.46</v>
      </c>
      <c r="CV25">
        <v>560.95000000000005</v>
      </c>
      <c r="CW25">
        <v>1212.51</v>
      </c>
      <c r="CX25">
        <v>34.520000000000003</v>
      </c>
      <c r="CY25">
        <v>129.44999999999999</v>
      </c>
      <c r="CZ25">
        <v>23.73</v>
      </c>
      <c r="DA25">
        <v>60.41</v>
      </c>
      <c r="DB25">
        <v>201.73</v>
      </c>
      <c r="DC25">
        <v>70.12</v>
      </c>
      <c r="DD25">
        <v>47.46</v>
      </c>
      <c r="DE25">
        <v>30.2</v>
      </c>
      <c r="DF25">
        <v>569.58000000000004</v>
      </c>
      <c r="DG25">
        <v>20.5</v>
      </c>
      <c r="DH25">
        <v>2374.3200000000002</v>
      </c>
      <c r="DI25">
        <v>26.97</v>
      </c>
      <c r="DJ25">
        <v>33.44</v>
      </c>
      <c r="DK25">
        <v>201.73</v>
      </c>
      <c r="DL25">
        <v>3284.78</v>
      </c>
      <c r="DM25">
        <v>81.98</v>
      </c>
      <c r="DN25">
        <v>70.12</v>
      </c>
      <c r="DO25">
        <v>78.75</v>
      </c>
      <c r="DP25">
        <v>40.99</v>
      </c>
      <c r="DQ25">
        <v>1841.42</v>
      </c>
      <c r="DR25">
        <v>73.349999999999994</v>
      </c>
      <c r="DS25">
        <v>49.62</v>
      </c>
      <c r="DT25">
        <v>119.74</v>
      </c>
      <c r="DU25">
        <v>3946.06</v>
      </c>
      <c r="DV25">
        <v>18.34</v>
      </c>
      <c r="DW25">
        <v>13.28</v>
      </c>
      <c r="DX25">
        <v>59.33</v>
      </c>
      <c r="DY25">
        <v>58.25</v>
      </c>
      <c r="DZ25">
        <v>71.2</v>
      </c>
      <c r="EA25">
        <v>93.85</v>
      </c>
      <c r="EB25">
        <v>62.57</v>
      </c>
      <c r="EC25">
        <v>104.64</v>
      </c>
      <c r="ED25">
        <v>25.89</v>
      </c>
      <c r="EE25">
        <v>13.28</v>
      </c>
      <c r="EF25">
        <v>2415.31</v>
      </c>
      <c r="EG25">
        <v>1443.36</v>
      </c>
      <c r="EH25">
        <v>533.98</v>
      </c>
      <c r="EI25">
        <v>33.44</v>
      </c>
      <c r="EJ25">
        <v>565.26</v>
      </c>
      <c r="EK25">
        <v>366.77</v>
      </c>
      <c r="EL25">
        <v>3974.1</v>
      </c>
      <c r="EM25">
        <v>196.33</v>
      </c>
      <c r="EN25">
        <v>185.54</v>
      </c>
      <c r="EO25">
        <v>710.89</v>
      </c>
      <c r="EP25">
        <v>33.44</v>
      </c>
      <c r="EQ25">
        <v>2681.76</v>
      </c>
      <c r="ER25">
        <v>38.83</v>
      </c>
      <c r="ES25">
        <v>39.909999999999997</v>
      </c>
      <c r="ET25">
        <v>15.1</v>
      </c>
      <c r="EU25">
        <v>283.70999999999998</v>
      </c>
      <c r="EV25">
        <v>15.1</v>
      </c>
      <c r="EW25">
        <v>22.65</v>
      </c>
      <c r="EX25">
        <v>73.349999999999994</v>
      </c>
      <c r="EY25">
        <v>38.83</v>
      </c>
      <c r="EZ25">
        <v>19.420000000000002</v>
      </c>
      <c r="FA25">
        <v>55.02</v>
      </c>
      <c r="FB25">
        <v>13.28</v>
      </c>
      <c r="FC25">
        <v>30.2</v>
      </c>
      <c r="FD25">
        <v>23.73</v>
      </c>
      <c r="FE25">
        <v>3067.96</v>
      </c>
      <c r="FF25">
        <v>50.7</v>
      </c>
      <c r="FG25">
        <v>1327.94</v>
      </c>
      <c r="FH25">
        <v>1058.25</v>
      </c>
      <c r="FI25">
        <v>31.28</v>
      </c>
      <c r="FJ25">
        <v>113.27</v>
      </c>
      <c r="FK25">
        <v>255.66</v>
      </c>
      <c r="FL25">
        <v>112.19</v>
      </c>
      <c r="FM25">
        <v>197.41</v>
      </c>
      <c r="FN25">
        <v>605.17999999999995</v>
      </c>
      <c r="FO25">
        <v>33.44</v>
      </c>
      <c r="FP25">
        <v>23.73</v>
      </c>
      <c r="FQ25">
        <v>28.05</v>
      </c>
      <c r="FR25">
        <v>21.57</v>
      </c>
      <c r="FS25">
        <v>13.28</v>
      </c>
      <c r="FT25">
        <v>43.15</v>
      </c>
      <c r="FU25">
        <v>3816.61</v>
      </c>
      <c r="FV25">
        <v>5573.89</v>
      </c>
      <c r="FW25">
        <v>35.6</v>
      </c>
      <c r="FX25">
        <v>94.93</v>
      </c>
      <c r="FY25">
        <v>19.420000000000002</v>
      </c>
      <c r="FZ25">
        <v>1629.99</v>
      </c>
      <c r="GA25">
        <v>11033.42</v>
      </c>
      <c r="GB25">
        <v>86.3</v>
      </c>
      <c r="GC25">
        <v>13.28</v>
      </c>
      <c r="GD25">
        <v>352.75</v>
      </c>
      <c r="GE25">
        <v>97.09</v>
      </c>
      <c r="GF25">
        <v>270.77</v>
      </c>
      <c r="GG25">
        <v>1588.99</v>
      </c>
      <c r="GH25">
        <v>523.19000000000005</v>
      </c>
      <c r="GI25">
        <v>1402.37</v>
      </c>
      <c r="GJ25">
        <v>24.81</v>
      </c>
      <c r="GK25">
        <v>15874.84</v>
      </c>
      <c r="GL25">
        <v>1105.72</v>
      </c>
      <c r="GM25">
        <v>34.520000000000003</v>
      </c>
      <c r="GN25">
        <v>19.420000000000002</v>
      </c>
      <c r="GO25">
        <v>257.82</v>
      </c>
      <c r="GP25">
        <v>36.68</v>
      </c>
      <c r="GQ25">
        <v>18.34</v>
      </c>
      <c r="GR25">
        <v>333.33</v>
      </c>
      <c r="GS25">
        <v>478.96</v>
      </c>
      <c r="GT25">
        <v>898.6</v>
      </c>
      <c r="GU25">
        <v>13.28</v>
      </c>
      <c r="GV25">
        <v>22.65</v>
      </c>
      <c r="GW25">
        <v>541.53</v>
      </c>
      <c r="GX25">
        <v>84.14</v>
      </c>
      <c r="GY25">
        <v>98.17</v>
      </c>
      <c r="GZ25">
        <v>148.87</v>
      </c>
      <c r="HA25">
        <v>161.81</v>
      </c>
      <c r="HB25">
        <v>1618.12</v>
      </c>
      <c r="HC25">
        <v>111.11</v>
      </c>
      <c r="HD25">
        <v>1481.12</v>
      </c>
      <c r="HE25">
        <v>16.18</v>
      </c>
      <c r="HF25">
        <v>4612.72</v>
      </c>
      <c r="HG25">
        <v>165.05</v>
      </c>
      <c r="HH25">
        <v>135.91999999999999</v>
      </c>
      <c r="HI25">
        <v>17.260000000000002</v>
      </c>
      <c r="HJ25">
        <v>834.95</v>
      </c>
      <c r="HK25">
        <v>2800.43</v>
      </c>
      <c r="HL25">
        <v>2893.2</v>
      </c>
      <c r="HM25">
        <v>116.5</v>
      </c>
      <c r="HN25">
        <v>1025.8900000000001</v>
      </c>
      <c r="HO25">
        <v>18.34</v>
      </c>
      <c r="HP25">
        <v>45.31</v>
      </c>
      <c r="HQ25">
        <v>6934.19</v>
      </c>
      <c r="HR25">
        <v>98.17</v>
      </c>
      <c r="HS25">
        <v>293.42</v>
      </c>
      <c r="HT25">
        <v>161.81</v>
      </c>
      <c r="HU25">
        <v>241.64</v>
      </c>
      <c r="HV25">
        <v>115.43</v>
      </c>
      <c r="HW25">
        <v>7100.31</v>
      </c>
      <c r="HX25">
        <v>20.5</v>
      </c>
      <c r="HY25">
        <v>29.13</v>
      </c>
      <c r="HZ25">
        <v>165.05</v>
      </c>
      <c r="IA25">
        <v>427.18</v>
      </c>
      <c r="IB25">
        <v>155.34</v>
      </c>
      <c r="IC25">
        <v>50.7</v>
      </c>
      <c r="ID25">
        <v>20.5</v>
      </c>
      <c r="IE25">
        <v>28.05</v>
      </c>
      <c r="IF25">
        <v>726</v>
      </c>
      <c r="IG25">
        <v>48.54</v>
      </c>
      <c r="IH25">
        <v>39.909999999999997</v>
      </c>
      <c r="II25">
        <v>113.27</v>
      </c>
      <c r="IJ25">
        <v>66.88</v>
      </c>
      <c r="IK25">
        <v>28.05</v>
      </c>
      <c r="IL25">
        <v>629.99</v>
      </c>
      <c r="IM25">
        <v>153.18</v>
      </c>
      <c r="IN25">
        <v>76.59</v>
      </c>
      <c r="IO25">
        <v>22.65</v>
      </c>
      <c r="IP25">
        <v>32.36</v>
      </c>
      <c r="IQ25">
        <v>13.28</v>
      </c>
      <c r="IR25">
        <v>31.28</v>
      </c>
      <c r="IS25">
        <v>26.97</v>
      </c>
      <c r="IT25">
        <v>13.28</v>
      </c>
      <c r="IU25">
        <v>75.510000000000005</v>
      </c>
      <c r="IV25">
        <v>2365.69</v>
      </c>
      <c r="IW25">
        <v>157.5</v>
      </c>
      <c r="IX25">
        <v>7040.98</v>
      </c>
      <c r="IY25">
        <v>43.15</v>
      </c>
      <c r="IZ25">
        <v>35.6</v>
      </c>
      <c r="JA25">
        <v>146.71</v>
      </c>
      <c r="JB25">
        <v>646.16999999999996</v>
      </c>
      <c r="JC25">
        <v>49.62</v>
      </c>
      <c r="JD25">
        <v>154.26</v>
      </c>
      <c r="JE25">
        <v>75.510000000000005</v>
      </c>
      <c r="JF25">
        <v>15.1</v>
      </c>
      <c r="JG25">
        <v>34.520000000000003</v>
      </c>
      <c r="JH25">
        <v>3457.38</v>
      </c>
      <c r="JI25">
        <v>1427.18</v>
      </c>
      <c r="JJ25">
        <v>2291.2600000000002</v>
      </c>
      <c r="JK25">
        <v>23.73</v>
      </c>
      <c r="JL25">
        <v>124.06</v>
      </c>
      <c r="JM25">
        <v>23.73</v>
      </c>
      <c r="JN25">
        <v>30.2</v>
      </c>
      <c r="JO25">
        <v>166.13</v>
      </c>
      <c r="JP25">
        <v>775.62</v>
      </c>
      <c r="JQ25">
        <v>1458.47</v>
      </c>
      <c r="JR25">
        <v>40.99</v>
      </c>
      <c r="JS25">
        <v>23.73</v>
      </c>
      <c r="JT25">
        <v>375.4</v>
      </c>
      <c r="JU25">
        <v>266.45</v>
      </c>
      <c r="JV25">
        <v>450.92</v>
      </c>
      <c r="JW25">
        <v>100.32</v>
      </c>
      <c r="JX25">
        <v>43.15</v>
      </c>
      <c r="JY25">
        <v>198.49</v>
      </c>
      <c r="JZ25">
        <v>177.99</v>
      </c>
      <c r="KA25">
        <v>83.06</v>
      </c>
      <c r="KB25">
        <v>98.17</v>
      </c>
      <c r="KC25">
        <v>40.99</v>
      </c>
      <c r="KD25">
        <v>13.28</v>
      </c>
      <c r="KE25">
        <v>143.47</v>
      </c>
      <c r="KF25">
        <v>98.17</v>
      </c>
      <c r="KG25">
        <v>84.14</v>
      </c>
      <c r="KH25">
        <v>76.59</v>
      </c>
      <c r="KI25">
        <v>268.61</v>
      </c>
      <c r="KJ25">
        <v>161.81</v>
      </c>
      <c r="KK25">
        <v>155.34</v>
      </c>
      <c r="KL25">
        <v>49.62</v>
      </c>
      <c r="KM25">
        <v>45.31</v>
      </c>
      <c r="KN25">
        <v>910.46</v>
      </c>
      <c r="KO25">
        <v>234.09</v>
      </c>
      <c r="KP25">
        <v>67.959999999999994</v>
      </c>
      <c r="KQ25">
        <v>2293.42</v>
      </c>
      <c r="KR25">
        <v>658.04</v>
      </c>
      <c r="KS25">
        <v>1477.88</v>
      </c>
      <c r="KT25">
        <v>32608.36</v>
      </c>
      <c r="KU25">
        <v>11494.05</v>
      </c>
      <c r="KV25">
        <v>2886.73</v>
      </c>
      <c r="KW25">
        <v>176.91</v>
      </c>
      <c r="KX25">
        <v>155.34</v>
      </c>
      <c r="KY25">
        <v>50.7</v>
      </c>
      <c r="KZ25">
        <v>29.13</v>
      </c>
      <c r="LA25">
        <v>689.32</v>
      </c>
      <c r="LB25">
        <v>492.99</v>
      </c>
      <c r="LC25">
        <v>1569.58</v>
      </c>
      <c r="LD25">
        <v>26.97</v>
      </c>
      <c r="LE25">
        <v>486.51</v>
      </c>
      <c r="LF25">
        <v>2185.54</v>
      </c>
      <c r="LG25">
        <v>1154.26</v>
      </c>
      <c r="LH25">
        <v>1588.99</v>
      </c>
      <c r="LI25">
        <v>6960.08</v>
      </c>
      <c r="LJ25">
        <v>900.75</v>
      </c>
      <c r="LK25">
        <v>2632.14</v>
      </c>
      <c r="LL25">
        <v>118.66</v>
      </c>
      <c r="LM25">
        <v>15.1</v>
      </c>
      <c r="LN25">
        <v>266.45</v>
      </c>
      <c r="LO25">
        <v>217.91</v>
      </c>
      <c r="LP25">
        <v>2598.6999999999998</v>
      </c>
      <c r="LQ25">
        <v>33.44</v>
      </c>
      <c r="LR25">
        <v>117.58</v>
      </c>
      <c r="LS25">
        <v>107.87</v>
      </c>
      <c r="LT25">
        <v>47.46</v>
      </c>
      <c r="LU25">
        <v>62.57</v>
      </c>
      <c r="LV25">
        <v>78.75</v>
      </c>
      <c r="LW25">
        <v>20156.39</v>
      </c>
      <c r="LX25">
        <v>2267.5300000000002</v>
      </c>
      <c r="LY25">
        <v>4108.95</v>
      </c>
      <c r="LZ25">
        <v>23815.5</v>
      </c>
      <c r="MA25">
        <v>1312.83</v>
      </c>
      <c r="MB25">
        <v>16093.82</v>
      </c>
      <c r="MC25">
        <v>2642.93</v>
      </c>
      <c r="MD25">
        <v>2432.5700000000002</v>
      </c>
      <c r="ME25">
        <v>259.98</v>
      </c>
      <c r="MF25">
        <v>6941.74</v>
      </c>
      <c r="MG25">
        <v>8658.02</v>
      </c>
      <c r="MH25">
        <v>694.71</v>
      </c>
      <c r="MI25">
        <v>13.28</v>
      </c>
      <c r="MJ25">
        <v>661.27</v>
      </c>
      <c r="MK25">
        <v>74.430000000000007</v>
      </c>
      <c r="ML25">
        <v>804.75</v>
      </c>
      <c r="MM25">
        <v>2012.94</v>
      </c>
      <c r="MN25">
        <v>289.10000000000002</v>
      </c>
      <c r="MO25">
        <v>24.81</v>
      </c>
      <c r="MP25">
        <v>159.65</v>
      </c>
      <c r="MQ25">
        <v>75.510000000000005</v>
      </c>
      <c r="MR25">
        <v>24.81</v>
      </c>
      <c r="MS25">
        <v>244.88</v>
      </c>
      <c r="MT25">
        <v>913.7</v>
      </c>
      <c r="MU25">
        <v>33.44</v>
      </c>
      <c r="MV25">
        <v>85.22</v>
      </c>
      <c r="MW25">
        <v>475.73</v>
      </c>
      <c r="MX25">
        <v>42.07</v>
      </c>
      <c r="MY25">
        <v>26.97</v>
      </c>
      <c r="MZ25">
        <v>1166.1300000000001</v>
      </c>
      <c r="NA25">
        <v>72.28</v>
      </c>
      <c r="NB25">
        <v>2878.1</v>
      </c>
      <c r="NC25">
        <v>1727.07</v>
      </c>
      <c r="ND25">
        <v>1128.3699999999999</v>
      </c>
      <c r="NE25">
        <v>253.51</v>
      </c>
      <c r="NF25">
        <v>32.36</v>
      </c>
      <c r="NG25">
        <v>19.420000000000002</v>
      </c>
      <c r="NH25">
        <v>203.88</v>
      </c>
      <c r="NI25">
        <v>2853.29</v>
      </c>
      <c r="NJ25">
        <v>131.61000000000001</v>
      </c>
      <c r="NK25">
        <v>119.74</v>
      </c>
      <c r="NL25">
        <v>180.15</v>
      </c>
      <c r="NM25">
        <v>4715.2</v>
      </c>
      <c r="NN25">
        <v>322.55</v>
      </c>
      <c r="NO25">
        <v>19.420000000000002</v>
      </c>
      <c r="NP25">
        <v>13.28</v>
      </c>
      <c r="NQ25">
        <v>3695.79</v>
      </c>
      <c r="NR25">
        <v>340.88</v>
      </c>
      <c r="NS25">
        <v>248.11</v>
      </c>
      <c r="NT25">
        <v>1112.19</v>
      </c>
      <c r="NU25">
        <v>3795.03</v>
      </c>
      <c r="NV25">
        <v>682.85</v>
      </c>
      <c r="NW25">
        <v>298.81</v>
      </c>
      <c r="NX25">
        <v>85.22</v>
      </c>
      <c r="NY25">
        <v>52.86</v>
      </c>
      <c r="NZ25">
        <v>1911.54</v>
      </c>
      <c r="OA25">
        <v>87.38</v>
      </c>
      <c r="OB25">
        <v>771.3</v>
      </c>
      <c r="OC25">
        <v>13374.3</v>
      </c>
      <c r="OD25">
        <v>351.67</v>
      </c>
      <c r="OE25">
        <v>6956.84</v>
      </c>
      <c r="OF25">
        <v>47.46</v>
      </c>
      <c r="OG25">
        <v>1786.4</v>
      </c>
      <c r="OH25">
        <v>161.81</v>
      </c>
      <c r="OI25">
        <v>59.33</v>
      </c>
      <c r="OJ25">
        <v>36.68</v>
      </c>
      <c r="OK25">
        <v>1083.06</v>
      </c>
      <c r="OL25">
        <v>66.88</v>
      </c>
      <c r="OM25">
        <v>212.51</v>
      </c>
      <c r="ON25">
        <v>247.03</v>
      </c>
      <c r="OO25">
        <v>1118.6600000000001</v>
      </c>
      <c r="OP25">
        <v>238.4</v>
      </c>
      <c r="OQ25">
        <v>1005.39</v>
      </c>
      <c r="OR25">
        <v>13.28</v>
      </c>
      <c r="OS25">
        <v>726</v>
      </c>
      <c r="OT25">
        <v>855.45</v>
      </c>
      <c r="OU25">
        <v>88.46</v>
      </c>
      <c r="OV25">
        <v>442.29</v>
      </c>
      <c r="OW25">
        <v>13.28</v>
      </c>
      <c r="OX25">
        <v>57.17</v>
      </c>
      <c r="OY25">
        <v>31.28</v>
      </c>
      <c r="OZ25">
        <v>20.5</v>
      </c>
      <c r="PA25">
        <v>13.28</v>
      </c>
      <c r="PB25">
        <v>29.13</v>
      </c>
      <c r="PC25">
        <v>18.34</v>
      </c>
      <c r="PD25">
        <v>60.41</v>
      </c>
      <c r="PE25">
        <v>39.909999999999997</v>
      </c>
      <c r="PF25">
        <v>401.29</v>
      </c>
      <c r="PG25">
        <v>106.8</v>
      </c>
      <c r="PH25">
        <v>51.78</v>
      </c>
      <c r="PI25">
        <v>85.22</v>
      </c>
      <c r="PJ25">
        <v>46800.36</v>
      </c>
      <c r="PK25">
        <v>84749.59</v>
      </c>
      <c r="PL25">
        <v>58.25</v>
      </c>
      <c r="PM25">
        <v>24697.91</v>
      </c>
      <c r="PN25">
        <v>1310.68</v>
      </c>
      <c r="PO25">
        <v>60.41</v>
      </c>
      <c r="PP25">
        <v>619.20000000000005</v>
      </c>
      <c r="PQ25">
        <v>34.520000000000003</v>
      </c>
      <c r="PR25">
        <v>18.34</v>
      </c>
      <c r="PS25">
        <v>31.28</v>
      </c>
      <c r="PT25">
        <v>35.6</v>
      </c>
      <c r="PU25">
        <v>107.87</v>
      </c>
      <c r="PV25">
        <v>317.14999999999998</v>
      </c>
      <c r="PW25">
        <v>57.17</v>
      </c>
      <c r="PX25">
        <v>31.28</v>
      </c>
      <c r="PY25">
        <v>612.73</v>
      </c>
      <c r="PZ25">
        <v>13.28</v>
      </c>
      <c r="QA25">
        <v>421.79</v>
      </c>
      <c r="QB25">
        <v>3265.37</v>
      </c>
      <c r="QC25">
        <v>44.23</v>
      </c>
      <c r="QD25">
        <v>21.57</v>
      </c>
      <c r="QE25">
        <v>676.37</v>
      </c>
      <c r="QF25">
        <v>15.1</v>
      </c>
      <c r="QG25">
        <v>44.23</v>
      </c>
      <c r="QH25">
        <v>19.420000000000002</v>
      </c>
      <c r="QI25">
        <v>18.34</v>
      </c>
      <c r="QJ25">
        <v>194.17</v>
      </c>
      <c r="QK25">
        <v>23.73</v>
      </c>
      <c r="QL25">
        <v>257.82</v>
      </c>
      <c r="QM25">
        <v>652.64</v>
      </c>
      <c r="QN25">
        <v>659.11</v>
      </c>
      <c r="QO25">
        <v>20.5</v>
      </c>
      <c r="QP25">
        <v>13.28</v>
      </c>
      <c r="QQ25">
        <v>681.77</v>
      </c>
      <c r="QR25">
        <v>108.95</v>
      </c>
      <c r="QS25">
        <v>2116.5</v>
      </c>
      <c r="QT25">
        <v>1239.48</v>
      </c>
      <c r="QU25">
        <v>52.86</v>
      </c>
      <c r="QV25">
        <v>130.53</v>
      </c>
      <c r="QW25">
        <v>106.8</v>
      </c>
      <c r="QX25">
        <v>441.21</v>
      </c>
      <c r="QY25">
        <v>56.09</v>
      </c>
      <c r="QZ25">
        <v>25.89</v>
      </c>
      <c r="RA25">
        <v>149.94999999999999</v>
      </c>
      <c r="RB25">
        <v>29857.56</v>
      </c>
      <c r="RC25">
        <v>32.36</v>
      </c>
      <c r="RD25">
        <v>3590.07</v>
      </c>
      <c r="RE25">
        <v>53.94</v>
      </c>
      <c r="RF25">
        <v>66.88</v>
      </c>
      <c r="RG25">
        <v>245.95</v>
      </c>
      <c r="RH25">
        <v>50.7</v>
      </c>
      <c r="RI25">
        <v>13.28</v>
      </c>
      <c r="RJ25">
        <v>57.17</v>
      </c>
      <c r="RK25">
        <v>20.5</v>
      </c>
      <c r="RL25">
        <v>184.47</v>
      </c>
      <c r="RM25">
        <v>132.69</v>
      </c>
      <c r="RN25">
        <v>160.72999999999999</v>
      </c>
      <c r="RO25">
        <v>3062.56</v>
      </c>
      <c r="RP25">
        <v>106.8</v>
      </c>
      <c r="RQ25">
        <v>258.89999999999998</v>
      </c>
      <c r="RR25">
        <v>16.18</v>
      </c>
      <c r="RS25">
        <v>1207.1199999999999</v>
      </c>
      <c r="RT25">
        <v>699.03</v>
      </c>
      <c r="RU25">
        <v>319.31</v>
      </c>
      <c r="RV25">
        <v>33.44</v>
      </c>
      <c r="RW25">
        <v>72.28</v>
      </c>
      <c r="RX25">
        <v>2187.6999999999998</v>
      </c>
      <c r="RY25">
        <v>1033.44</v>
      </c>
      <c r="RZ25">
        <v>44.23</v>
      </c>
      <c r="SA25">
        <v>335.49</v>
      </c>
      <c r="SB25">
        <v>20.5</v>
      </c>
      <c r="SC25">
        <v>69.040000000000006</v>
      </c>
      <c r="SD25">
        <v>878.1</v>
      </c>
      <c r="SE25">
        <v>815.53</v>
      </c>
      <c r="SF25">
        <v>502.7</v>
      </c>
      <c r="SG25">
        <v>6267.52</v>
      </c>
      <c r="SH25">
        <v>133.76</v>
      </c>
      <c r="SI25">
        <v>22.65</v>
      </c>
      <c r="SJ25">
        <v>87.38</v>
      </c>
      <c r="SK25">
        <v>263.20999999999998</v>
      </c>
      <c r="SL25">
        <v>284.79000000000002</v>
      </c>
      <c r="SM25">
        <v>135.91999999999999</v>
      </c>
      <c r="SN25">
        <v>127.29</v>
      </c>
      <c r="SO25">
        <v>13.28</v>
      </c>
      <c r="SP25">
        <v>188.78</v>
      </c>
      <c r="SQ25">
        <v>1048.54</v>
      </c>
      <c r="SR25">
        <v>1046.3800000000001</v>
      </c>
      <c r="SS25">
        <v>5924.48</v>
      </c>
      <c r="ST25">
        <v>4085.21</v>
      </c>
      <c r="SU25">
        <v>5077.66</v>
      </c>
      <c r="SV25">
        <v>1857.6</v>
      </c>
      <c r="SW25">
        <v>2337.64</v>
      </c>
      <c r="SX25">
        <v>104.64</v>
      </c>
      <c r="SY25">
        <v>32.36</v>
      </c>
      <c r="SZ25">
        <v>19.420000000000002</v>
      </c>
      <c r="TA25">
        <v>18.34</v>
      </c>
      <c r="TB25">
        <v>1962.24</v>
      </c>
      <c r="TC25">
        <v>3348.43</v>
      </c>
      <c r="TD25">
        <v>34.520000000000003</v>
      </c>
      <c r="TE25">
        <v>1079.83</v>
      </c>
      <c r="TF25">
        <v>759.44</v>
      </c>
      <c r="TG25">
        <v>1512.4</v>
      </c>
      <c r="TH25">
        <v>189.86</v>
      </c>
      <c r="TI25">
        <v>97.09</v>
      </c>
      <c r="TJ25">
        <v>19.420000000000002</v>
      </c>
      <c r="TK25">
        <v>573.89</v>
      </c>
      <c r="TL25">
        <v>113.27</v>
      </c>
      <c r="TM25">
        <v>141.32</v>
      </c>
      <c r="TN25">
        <v>268.61</v>
      </c>
      <c r="TO25">
        <v>584.67999999999995</v>
      </c>
      <c r="TP25">
        <v>361.38</v>
      </c>
      <c r="TQ25">
        <v>100.32</v>
      </c>
      <c r="TR25">
        <v>15.1</v>
      </c>
      <c r="TS25">
        <v>346.28</v>
      </c>
      <c r="TT25">
        <v>59.33</v>
      </c>
      <c r="TU25">
        <v>35.6</v>
      </c>
      <c r="TV25">
        <v>263.20999999999998</v>
      </c>
      <c r="TW25">
        <v>439.05</v>
      </c>
      <c r="TX25">
        <v>185.54</v>
      </c>
      <c r="TY25">
        <v>26.97</v>
      </c>
      <c r="TZ25">
        <v>89.54</v>
      </c>
      <c r="UA25">
        <v>96.01</v>
      </c>
      <c r="UB25">
        <v>76.59</v>
      </c>
      <c r="UC25">
        <v>14046.36</v>
      </c>
      <c r="UD25">
        <v>13.28</v>
      </c>
      <c r="UE25">
        <v>20.5</v>
      </c>
      <c r="UF25">
        <v>2353.83</v>
      </c>
      <c r="UG25">
        <v>91.69</v>
      </c>
      <c r="UH25">
        <v>13.28</v>
      </c>
      <c r="UI25">
        <v>35.6</v>
      </c>
      <c r="UJ25">
        <v>13.28</v>
      </c>
      <c r="UK25">
        <v>34.520000000000003</v>
      </c>
      <c r="UL25">
        <v>35.6</v>
      </c>
      <c r="UM25">
        <v>20.5</v>
      </c>
      <c r="UN25">
        <v>193.1</v>
      </c>
      <c r="UO25">
        <v>334.41</v>
      </c>
      <c r="UP25">
        <v>13.28</v>
      </c>
      <c r="UQ25">
        <v>15.1</v>
      </c>
      <c r="UR25">
        <v>17.260000000000002</v>
      </c>
      <c r="US25">
        <v>43.15</v>
      </c>
      <c r="UT25">
        <v>515.64</v>
      </c>
      <c r="UU25">
        <v>623.52</v>
      </c>
      <c r="UV25">
        <v>1361.38</v>
      </c>
      <c r="UW25">
        <v>1567.42</v>
      </c>
      <c r="UX25">
        <v>69.040000000000006</v>
      </c>
      <c r="UY25">
        <v>426.11</v>
      </c>
      <c r="UZ25">
        <v>61.49</v>
      </c>
      <c r="VA25">
        <v>758.36</v>
      </c>
      <c r="VB25">
        <v>952.53</v>
      </c>
      <c r="VC25">
        <v>72.28</v>
      </c>
      <c r="VD25">
        <v>262.14</v>
      </c>
      <c r="VE25">
        <v>34.520000000000003</v>
      </c>
      <c r="VF25">
        <v>494.07</v>
      </c>
      <c r="VG25">
        <v>44.23</v>
      </c>
      <c r="VH25">
        <v>34.520000000000003</v>
      </c>
      <c r="VI25">
        <v>31.28</v>
      </c>
      <c r="VJ25">
        <v>67.959999999999994</v>
      </c>
      <c r="VK25">
        <v>618.12</v>
      </c>
      <c r="VL25">
        <v>637.54</v>
      </c>
      <c r="VM25">
        <v>878.1</v>
      </c>
      <c r="VN25">
        <v>481.12</v>
      </c>
      <c r="VO25">
        <v>17.260000000000002</v>
      </c>
      <c r="VP25">
        <v>13.28</v>
      </c>
      <c r="VQ25">
        <v>2097.08</v>
      </c>
      <c r="VR25">
        <v>407.77</v>
      </c>
      <c r="VS25">
        <v>1172.5999999999999</v>
      </c>
      <c r="VT25">
        <v>81.98</v>
      </c>
      <c r="VU25">
        <v>34.520000000000003</v>
      </c>
      <c r="VV25">
        <v>35.6</v>
      </c>
      <c r="VW25">
        <v>275.08</v>
      </c>
      <c r="VX25">
        <v>120.82</v>
      </c>
      <c r="VY25">
        <v>13.28</v>
      </c>
      <c r="VZ25">
        <v>8896.43</v>
      </c>
      <c r="WA25">
        <v>6481.11</v>
      </c>
      <c r="WB25">
        <v>299.89</v>
      </c>
      <c r="WC25">
        <v>126.21</v>
      </c>
      <c r="WD25">
        <v>115.43</v>
      </c>
      <c r="WE25">
        <v>13857.58</v>
      </c>
      <c r="WF25">
        <v>295.58</v>
      </c>
      <c r="WG25">
        <v>404.53</v>
      </c>
      <c r="WH25">
        <v>8788.5499999999993</v>
      </c>
      <c r="WI25">
        <v>27013.98</v>
      </c>
      <c r="WJ25">
        <v>4853.28</v>
      </c>
      <c r="WK25">
        <v>256.74</v>
      </c>
      <c r="WL25">
        <v>793.96</v>
      </c>
      <c r="WM25">
        <v>39.909999999999997</v>
      </c>
      <c r="WN25">
        <v>24.81</v>
      </c>
      <c r="WO25">
        <v>18.34</v>
      </c>
      <c r="WP25">
        <v>235.17</v>
      </c>
      <c r="WQ25">
        <v>1081.98</v>
      </c>
      <c r="WR25">
        <v>290.18</v>
      </c>
      <c r="WS25">
        <v>20.5</v>
      </c>
      <c r="WT25">
        <v>13.28</v>
      </c>
      <c r="WU25">
        <v>858.68</v>
      </c>
      <c r="WV25">
        <v>426.11</v>
      </c>
      <c r="WW25">
        <v>35.6</v>
      </c>
      <c r="WX25">
        <v>43.15</v>
      </c>
      <c r="WY25">
        <v>50.7</v>
      </c>
      <c r="WZ25">
        <v>26.97</v>
      </c>
      <c r="XA25">
        <v>13.28</v>
      </c>
      <c r="XB25">
        <v>502.7</v>
      </c>
      <c r="XC25">
        <v>30.2</v>
      </c>
      <c r="XD25">
        <v>1541.53</v>
      </c>
      <c r="XE25">
        <v>72.28</v>
      </c>
      <c r="XF25">
        <v>1106.79</v>
      </c>
      <c r="XG25">
        <v>435.81</v>
      </c>
      <c r="XH25">
        <v>241.64</v>
      </c>
      <c r="XI25">
        <v>408.85</v>
      </c>
      <c r="XJ25">
        <v>390.51</v>
      </c>
      <c r="XK25">
        <v>521.03</v>
      </c>
      <c r="XL25">
        <v>111.11</v>
      </c>
      <c r="XM25">
        <v>62.57</v>
      </c>
      <c r="XN25">
        <v>308.52</v>
      </c>
      <c r="XO25">
        <v>13.28</v>
      </c>
      <c r="XP25">
        <v>36.68</v>
      </c>
      <c r="XQ25">
        <v>23.73</v>
      </c>
      <c r="XR25">
        <v>18.34</v>
      </c>
      <c r="XS25">
        <v>543.69000000000005</v>
      </c>
      <c r="XT25">
        <v>378.64</v>
      </c>
      <c r="XU25">
        <v>266.45</v>
      </c>
      <c r="XV25">
        <v>606.26</v>
      </c>
      <c r="XW25">
        <v>3416.39</v>
      </c>
      <c r="XX25">
        <v>2829.55</v>
      </c>
      <c r="XY25">
        <v>1673.14</v>
      </c>
      <c r="XZ25">
        <v>105.72</v>
      </c>
      <c r="YA25">
        <v>1089.53</v>
      </c>
      <c r="YB25">
        <v>81.98</v>
      </c>
      <c r="YC25">
        <v>29.13</v>
      </c>
      <c r="YD25">
        <v>3716.28</v>
      </c>
      <c r="YE25">
        <v>692.56</v>
      </c>
      <c r="YF25">
        <v>541.53</v>
      </c>
      <c r="YG25">
        <v>134.84</v>
      </c>
      <c r="YH25">
        <v>22.65</v>
      </c>
      <c r="YI25">
        <v>56.09</v>
      </c>
      <c r="YJ25">
        <v>36.68</v>
      </c>
      <c r="YK25">
        <v>15.1</v>
      </c>
      <c r="YL25">
        <v>110.03</v>
      </c>
      <c r="YM25">
        <v>3239.48</v>
      </c>
      <c r="YN25">
        <v>314.99</v>
      </c>
      <c r="YO25">
        <v>177.99</v>
      </c>
      <c r="YP25">
        <v>1186.6199999999999</v>
      </c>
      <c r="YQ25">
        <v>652.64</v>
      </c>
      <c r="YR25">
        <v>110.03</v>
      </c>
      <c r="YS25">
        <v>1959</v>
      </c>
      <c r="YT25">
        <v>64.72</v>
      </c>
      <c r="YU25">
        <v>367.85</v>
      </c>
      <c r="YV25">
        <v>23.73</v>
      </c>
      <c r="YW25">
        <v>98.17</v>
      </c>
      <c r="YX25">
        <v>47.46</v>
      </c>
      <c r="YY25">
        <v>535.05999999999995</v>
      </c>
      <c r="YZ25">
        <v>511.33</v>
      </c>
      <c r="ZA25">
        <v>57.17</v>
      </c>
      <c r="ZB25">
        <v>32.36</v>
      </c>
      <c r="ZC25">
        <v>22.65</v>
      </c>
      <c r="ZD25">
        <v>59.33</v>
      </c>
      <c r="ZE25">
        <v>28.05</v>
      </c>
      <c r="ZF25">
        <v>399.14</v>
      </c>
      <c r="ZG25">
        <v>676.37</v>
      </c>
      <c r="ZH25">
        <v>143.47</v>
      </c>
      <c r="ZI25">
        <v>542.61</v>
      </c>
      <c r="ZJ25">
        <v>480.04</v>
      </c>
      <c r="ZK25">
        <v>395.9</v>
      </c>
      <c r="ZL25">
        <v>13.28</v>
      </c>
      <c r="ZM25">
        <v>242.72</v>
      </c>
      <c r="ZN25">
        <v>70.12</v>
      </c>
      <c r="ZO25">
        <v>33.44</v>
      </c>
      <c r="ZP25">
        <v>228.69</v>
      </c>
      <c r="ZQ25">
        <v>20.5</v>
      </c>
      <c r="ZR25">
        <v>30.2</v>
      </c>
      <c r="ZS25">
        <v>1045.31</v>
      </c>
      <c r="ZT25">
        <v>206.04</v>
      </c>
      <c r="ZU25">
        <v>194.17</v>
      </c>
      <c r="ZV25">
        <v>22.65</v>
      </c>
      <c r="ZW25">
        <v>16.18</v>
      </c>
      <c r="ZX25">
        <v>134.84</v>
      </c>
      <c r="ZY25">
        <v>5421.78</v>
      </c>
      <c r="ZZ25">
        <v>92.77</v>
      </c>
      <c r="AAA25">
        <v>39.909999999999997</v>
      </c>
      <c r="AAB25">
        <v>77.67</v>
      </c>
      <c r="AAC25">
        <v>17.260000000000002</v>
      </c>
      <c r="AAD25">
        <v>52.86</v>
      </c>
      <c r="AAE25">
        <v>15.1</v>
      </c>
      <c r="AAF25">
        <v>40.99</v>
      </c>
      <c r="AAG25">
        <v>290.18</v>
      </c>
      <c r="AAH25">
        <v>159.65</v>
      </c>
      <c r="AAI25">
        <v>5761.59</v>
      </c>
      <c r="AAJ25">
        <v>1243.8</v>
      </c>
      <c r="AAK25">
        <v>571.74</v>
      </c>
      <c r="AAL25">
        <v>189.86</v>
      </c>
      <c r="AAM25">
        <v>26.97</v>
      </c>
      <c r="AAN25">
        <v>292.33999999999997</v>
      </c>
      <c r="AAO25">
        <v>42.07</v>
      </c>
      <c r="AAP25">
        <v>744.34</v>
      </c>
      <c r="AAQ25">
        <v>65.8</v>
      </c>
      <c r="AAR25">
        <v>40.99</v>
      </c>
      <c r="AAS25">
        <v>1366.77</v>
      </c>
      <c r="AAT25">
        <v>21.57</v>
      </c>
      <c r="AAU25">
        <v>17.260000000000002</v>
      </c>
      <c r="AAV25">
        <v>5614.88</v>
      </c>
      <c r="AAW25">
        <v>131.61000000000001</v>
      </c>
      <c r="AAX25">
        <v>243.8</v>
      </c>
      <c r="AAY25">
        <v>67.959999999999994</v>
      </c>
      <c r="AAZ25">
        <v>28.05</v>
      </c>
      <c r="ABA25">
        <v>206.04</v>
      </c>
      <c r="ABB25">
        <v>64.72</v>
      </c>
      <c r="ABC25">
        <v>350.59</v>
      </c>
      <c r="ABD25">
        <v>988.13</v>
      </c>
      <c r="ABE25">
        <v>406.69</v>
      </c>
      <c r="ABF25">
        <v>3185.54</v>
      </c>
      <c r="ABG25">
        <v>87.38</v>
      </c>
      <c r="ABH25">
        <v>81.98</v>
      </c>
      <c r="ABI25">
        <v>63.65</v>
      </c>
      <c r="ABJ25">
        <v>31.28</v>
      </c>
      <c r="ABK25">
        <v>34.520000000000003</v>
      </c>
      <c r="ABL25">
        <v>17.260000000000002</v>
      </c>
      <c r="ABM25">
        <v>50.7</v>
      </c>
      <c r="ABN25">
        <v>58.25</v>
      </c>
      <c r="ABO25">
        <v>19.420000000000002</v>
      </c>
      <c r="ABP25">
        <v>19.420000000000002</v>
      </c>
      <c r="ABQ25">
        <v>956.85</v>
      </c>
      <c r="ABR25">
        <v>84.14</v>
      </c>
      <c r="ABS25">
        <v>1048.54</v>
      </c>
      <c r="ABT25">
        <v>66.88</v>
      </c>
      <c r="ABU25">
        <v>26.97</v>
      </c>
      <c r="ABV25">
        <v>93.85</v>
      </c>
      <c r="ABW25">
        <v>384.03</v>
      </c>
      <c r="ABX25">
        <v>474.65</v>
      </c>
      <c r="ABY25">
        <v>252.43</v>
      </c>
      <c r="ABZ25">
        <v>172.6</v>
      </c>
      <c r="ACA25">
        <v>624.59</v>
      </c>
      <c r="ACB25">
        <v>173.68</v>
      </c>
      <c r="ACC25">
        <v>179.07</v>
      </c>
      <c r="ACD25">
        <v>274</v>
      </c>
      <c r="ACE25">
        <v>157.5</v>
      </c>
      <c r="ACF25">
        <v>5355.98</v>
      </c>
      <c r="ACG25">
        <v>1618.12</v>
      </c>
      <c r="ACH25">
        <v>286.95</v>
      </c>
      <c r="ACI25">
        <v>436.89</v>
      </c>
      <c r="ACJ25">
        <v>1236.24</v>
      </c>
      <c r="ACK25">
        <v>443.36</v>
      </c>
      <c r="ACL25">
        <v>61.49</v>
      </c>
      <c r="ACM25">
        <v>131.61000000000001</v>
      </c>
      <c r="ACN25">
        <v>267.52999999999997</v>
      </c>
      <c r="ACO25">
        <v>403.45</v>
      </c>
      <c r="ACP25">
        <v>573.89</v>
      </c>
      <c r="ACQ25">
        <v>276.16000000000003</v>
      </c>
      <c r="ACR25">
        <v>5581.44</v>
      </c>
    </row>
    <row r="26" spans="1:772" x14ac:dyDescent="0.3">
      <c r="A26" t="s">
        <v>13</v>
      </c>
      <c r="B26" t="s">
        <v>1</v>
      </c>
      <c r="C26">
        <v>295.35000000000002</v>
      </c>
      <c r="D26">
        <v>55.5</v>
      </c>
      <c r="E26">
        <v>334.99</v>
      </c>
      <c r="F26">
        <v>15.86</v>
      </c>
      <c r="G26">
        <v>719.53</v>
      </c>
      <c r="H26">
        <v>43.61</v>
      </c>
      <c r="I26">
        <v>895.95</v>
      </c>
      <c r="J26">
        <v>7651.22</v>
      </c>
      <c r="K26">
        <v>114.97</v>
      </c>
      <c r="L26">
        <v>55.5</v>
      </c>
      <c r="M26">
        <v>45.59</v>
      </c>
      <c r="N26">
        <v>543.12</v>
      </c>
      <c r="O26">
        <v>321.11</v>
      </c>
      <c r="P26">
        <v>180.38</v>
      </c>
      <c r="Q26">
        <v>59.47</v>
      </c>
      <c r="R26">
        <v>721.51</v>
      </c>
      <c r="S26">
        <v>21.8</v>
      </c>
      <c r="T26">
        <v>1213.0999999999999</v>
      </c>
      <c r="U26">
        <v>281.47000000000003</v>
      </c>
      <c r="V26">
        <v>218.04</v>
      </c>
      <c r="W26">
        <v>1389.51</v>
      </c>
      <c r="X26">
        <v>31.71</v>
      </c>
      <c r="Y26">
        <v>99.11</v>
      </c>
      <c r="Z26">
        <v>418.24</v>
      </c>
      <c r="AA26">
        <v>55.5</v>
      </c>
      <c r="AB26">
        <v>370.67</v>
      </c>
      <c r="AC26">
        <v>204.16</v>
      </c>
      <c r="AD26">
        <v>103.07</v>
      </c>
      <c r="AE26">
        <v>214.08</v>
      </c>
      <c r="AF26">
        <v>12783.1</v>
      </c>
      <c r="AG26">
        <v>75.319999999999993</v>
      </c>
      <c r="AH26">
        <v>160.56</v>
      </c>
      <c r="AI26">
        <v>37.659999999999997</v>
      </c>
      <c r="AJ26">
        <v>442.03</v>
      </c>
      <c r="AK26">
        <v>105.06</v>
      </c>
      <c r="AL26">
        <v>53.52</v>
      </c>
      <c r="AM26">
        <v>150.65</v>
      </c>
      <c r="AN26">
        <v>49.55</v>
      </c>
      <c r="AO26">
        <v>1106.06</v>
      </c>
      <c r="AP26">
        <v>33.700000000000003</v>
      </c>
      <c r="AQ26">
        <v>146.68</v>
      </c>
      <c r="AR26">
        <v>37.659999999999997</v>
      </c>
      <c r="AS26">
        <v>223.99</v>
      </c>
      <c r="AT26">
        <v>7.93</v>
      </c>
      <c r="AU26">
        <v>77.31</v>
      </c>
      <c r="AV26">
        <v>227.95</v>
      </c>
      <c r="AW26">
        <v>124.88</v>
      </c>
      <c r="AX26">
        <v>654.12</v>
      </c>
      <c r="AY26">
        <v>71.36</v>
      </c>
      <c r="AZ26">
        <v>97.13</v>
      </c>
      <c r="BA26">
        <v>229.93</v>
      </c>
      <c r="BB26">
        <v>259.67</v>
      </c>
      <c r="BC26">
        <v>130.82</v>
      </c>
      <c r="BD26">
        <v>9.91</v>
      </c>
      <c r="BE26">
        <v>305.26</v>
      </c>
      <c r="BF26">
        <v>709.62</v>
      </c>
      <c r="BG26">
        <v>55.5</v>
      </c>
      <c r="BH26">
        <v>39.64</v>
      </c>
      <c r="BI26">
        <v>17.84</v>
      </c>
      <c r="BJ26">
        <v>25.77</v>
      </c>
      <c r="BK26">
        <v>259.67</v>
      </c>
      <c r="BL26">
        <v>323.10000000000002</v>
      </c>
      <c r="BM26">
        <v>37.659999999999997</v>
      </c>
      <c r="BN26">
        <v>59.47</v>
      </c>
      <c r="BO26">
        <v>91.18</v>
      </c>
      <c r="BP26">
        <v>63.43</v>
      </c>
      <c r="BQ26">
        <v>7.93</v>
      </c>
      <c r="BR26">
        <v>59.47</v>
      </c>
      <c r="BS26">
        <v>23.79</v>
      </c>
      <c r="BT26">
        <v>2763.16</v>
      </c>
      <c r="BU26">
        <v>208.13</v>
      </c>
      <c r="BV26">
        <v>27.75</v>
      </c>
      <c r="BW26">
        <v>111</v>
      </c>
      <c r="BX26">
        <v>358.78</v>
      </c>
      <c r="BY26">
        <v>174.43</v>
      </c>
      <c r="BZ26">
        <v>247.77</v>
      </c>
      <c r="CA26">
        <v>128.84</v>
      </c>
      <c r="CB26">
        <v>214.08</v>
      </c>
      <c r="CC26">
        <v>101.09</v>
      </c>
      <c r="CD26">
        <v>374.63</v>
      </c>
      <c r="CE26">
        <v>445.99</v>
      </c>
      <c r="CF26">
        <v>344.9</v>
      </c>
      <c r="CG26">
        <v>63.43</v>
      </c>
      <c r="CH26">
        <v>63.43</v>
      </c>
      <c r="CI26">
        <v>35.68</v>
      </c>
      <c r="CJ26">
        <v>29.73</v>
      </c>
      <c r="CK26">
        <v>27.75</v>
      </c>
      <c r="CL26">
        <v>79.290000000000006</v>
      </c>
      <c r="CM26">
        <v>374.63</v>
      </c>
      <c r="CN26">
        <v>160.56</v>
      </c>
      <c r="CO26">
        <v>21.8</v>
      </c>
      <c r="CP26">
        <v>2.37</v>
      </c>
      <c r="CQ26">
        <v>21.8</v>
      </c>
      <c r="CR26">
        <v>73.34</v>
      </c>
      <c r="CS26">
        <v>2.37</v>
      </c>
      <c r="CT26">
        <v>9.91</v>
      </c>
      <c r="CU26">
        <v>79.290000000000006</v>
      </c>
      <c r="CV26">
        <v>116.95</v>
      </c>
      <c r="CW26">
        <v>981.18</v>
      </c>
      <c r="CX26">
        <v>15.86</v>
      </c>
      <c r="CY26">
        <v>188.31</v>
      </c>
      <c r="CZ26">
        <v>83.25</v>
      </c>
      <c r="DA26">
        <v>39.64</v>
      </c>
      <c r="DB26">
        <v>41.63</v>
      </c>
      <c r="DC26">
        <v>33.700000000000003</v>
      </c>
      <c r="DD26">
        <v>23.79</v>
      </c>
      <c r="DE26">
        <v>21.8</v>
      </c>
      <c r="DF26">
        <v>231.92</v>
      </c>
      <c r="DG26">
        <v>31.71</v>
      </c>
      <c r="DH26">
        <v>1593.67</v>
      </c>
      <c r="DI26">
        <v>15.86</v>
      </c>
      <c r="DJ26">
        <v>25.77</v>
      </c>
      <c r="DK26">
        <v>158.57</v>
      </c>
      <c r="DL26">
        <v>777.02</v>
      </c>
      <c r="DM26">
        <v>71.36</v>
      </c>
      <c r="DN26">
        <v>11.89</v>
      </c>
      <c r="DO26">
        <v>27.75</v>
      </c>
      <c r="DP26">
        <v>15.86</v>
      </c>
      <c r="DQ26">
        <v>2176.44</v>
      </c>
      <c r="DR26">
        <v>19.82</v>
      </c>
      <c r="DS26">
        <v>2.37</v>
      </c>
      <c r="DT26">
        <v>35.68</v>
      </c>
      <c r="DU26">
        <v>2533.23</v>
      </c>
      <c r="DV26">
        <v>57.48</v>
      </c>
      <c r="DW26">
        <v>9.91</v>
      </c>
      <c r="DX26">
        <v>85.23</v>
      </c>
      <c r="DY26">
        <v>75.319999999999993</v>
      </c>
      <c r="DZ26">
        <v>69.38</v>
      </c>
      <c r="EA26">
        <v>43.61</v>
      </c>
      <c r="EB26">
        <v>61.45</v>
      </c>
      <c r="EC26">
        <v>25.77</v>
      </c>
      <c r="ED26">
        <v>95.14</v>
      </c>
      <c r="EE26">
        <v>2.37</v>
      </c>
      <c r="EF26">
        <v>1421.22</v>
      </c>
      <c r="EG26">
        <v>307.24</v>
      </c>
      <c r="EH26">
        <v>105.06</v>
      </c>
      <c r="EI26">
        <v>27.75</v>
      </c>
      <c r="EJ26">
        <v>241.83</v>
      </c>
      <c r="EK26">
        <v>440.04</v>
      </c>
      <c r="EL26">
        <v>2065.4299999999998</v>
      </c>
      <c r="EM26">
        <v>93.16</v>
      </c>
      <c r="EN26">
        <v>59.47</v>
      </c>
      <c r="EO26">
        <v>11.89</v>
      </c>
      <c r="EP26">
        <v>67.39</v>
      </c>
      <c r="EQ26">
        <v>1791.89</v>
      </c>
      <c r="ER26">
        <v>73.34</v>
      </c>
      <c r="ES26">
        <v>122.9</v>
      </c>
      <c r="ET26">
        <v>13.88</v>
      </c>
      <c r="EU26">
        <v>231.92</v>
      </c>
      <c r="EV26">
        <v>27.75</v>
      </c>
      <c r="EW26">
        <v>41.63</v>
      </c>
      <c r="EX26">
        <v>99.11</v>
      </c>
      <c r="EY26">
        <v>77.31</v>
      </c>
      <c r="EZ26">
        <v>33.700000000000003</v>
      </c>
      <c r="FA26">
        <v>91.18</v>
      </c>
      <c r="FB26">
        <v>13.88</v>
      </c>
      <c r="FC26">
        <v>51.54</v>
      </c>
      <c r="FD26">
        <v>29.73</v>
      </c>
      <c r="FE26">
        <v>2340.96</v>
      </c>
      <c r="FF26">
        <v>67.39</v>
      </c>
      <c r="FG26">
        <v>668</v>
      </c>
      <c r="FH26">
        <v>1064.43</v>
      </c>
      <c r="FI26">
        <v>33.700000000000003</v>
      </c>
      <c r="FJ26">
        <v>120.91</v>
      </c>
      <c r="FK26">
        <v>1082.27</v>
      </c>
      <c r="FL26">
        <v>49.55</v>
      </c>
      <c r="FM26">
        <v>313.18</v>
      </c>
      <c r="FN26">
        <v>130.82</v>
      </c>
      <c r="FO26">
        <v>23.79</v>
      </c>
      <c r="FP26">
        <v>2.37</v>
      </c>
      <c r="FQ26">
        <v>23.79</v>
      </c>
      <c r="FR26">
        <v>2.37</v>
      </c>
      <c r="FS26">
        <v>2.37</v>
      </c>
      <c r="FT26">
        <v>55.5</v>
      </c>
      <c r="FU26">
        <v>1839.47</v>
      </c>
      <c r="FV26">
        <v>1736.39</v>
      </c>
      <c r="FW26">
        <v>37.659999999999997</v>
      </c>
      <c r="FX26">
        <v>79.290000000000006</v>
      </c>
      <c r="FY26">
        <v>33.700000000000003</v>
      </c>
      <c r="FZ26">
        <v>818.64</v>
      </c>
      <c r="GA26">
        <v>253.72</v>
      </c>
      <c r="GB26">
        <v>271.56</v>
      </c>
      <c r="GC26">
        <v>23.79</v>
      </c>
      <c r="GD26">
        <v>39.64</v>
      </c>
      <c r="GE26">
        <v>71.36</v>
      </c>
      <c r="GF26">
        <v>180.38</v>
      </c>
      <c r="GG26">
        <v>707.64</v>
      </c>
      <c r="GH26">
        <v>166.5</v>
      </c>
      <c r="GI26">
        <v>305.26</v>
      </c>
      <c r="GJ26">
        <v>158.57</v>
      </c>
      <c r="GK26">
        <v>3092.2</v>
      </c>
      <c r="GL26">
        <v>67.39</v>
      </c>
      <c r="GM26">
        <v>33.700000000000003</v>
      </c>
      <c r="GN26">
        <v>9.91</v>
      </c>
      <c r="GO26">
        <v>188.31</v>
      </c>
      <c r="GP26">
        <v>45.59</v>
      </c>
      <c r="GQ26">
        <v>31.71</v>
      </c>
      <c r="GR26">
        <v>499.51</v>
      </c>
      <c r="GS26">
        <v>160.56</v>
      </c>
      <c r="GT26">
        <v>166.5</v>
      </c>
      <c r="GU26">
        <v>29.73</v>
      </c>
      <c r="GV26">
        <v>55.5</v>
      </c>
      <c r="GW26">
        <v>61.45</v>
      </c>
      <c r="GX26">
        <v>263.63</v>
      </c>
      <c r="GY26">
        <v>51.54</v>
      </c>
      <c r="GZ26">
        <v>225.97</v>
      </c>
      <c r="HA26">
        <v>160.56</v>
      </c>
      <c r="HB26">
        <v>570.87</v>
      </c>
      <c r="HC26">
        <v>114.97</v>
      </c>
      <c r="HD26">
        <v>981.18</v>
      </c>
      <c r="HE26">
        <v>43.61</v>
      </c>
      <c r="HF26">
        <v>2566.9299999999998</v>
      </c>
      <c r="HG26">
        <v>243.81</v>
      </c>
      <c r="HH26">
        <v>55.5</v>
      </c>
      <c r="HI26">
        <v>45.59</v>
      </c>
      <c r="HJ26">
        <v>677.91</v>
      </c>
      <c r="HK26">
        <v>2537.19</v>
      </c>
      <c r="HL26">
        <v>848.37</v>
      </c>
      <c r="HM26">
        <v>81.27</v>
      </c>
      <c r="HN26">
        <v>679.89</v>
      </c>
      <c r="HO26">
        <v>41.63</v>
      </c>
      <c r="HP26">
        <v>45.59</v>
      </c>
      <c r="HQ26">
        <v>7883.14</v>
      </c>
      <c r="HR26">
        <v>63.43</v>
      </c>
      <c r="HS26">
        <v>11.89</v>
      </c>
      <c r="HT26">
        <v>182.36</v>
      </c>
      <c r="HU26">
        <v>152.63</v>
      </c>
      <c r="HV26">
        <v>120.91</v>
      </c>
      <c r="HW26">
        <v>1361.76</v>
      </c>
      <c r="HX26">
        <v>25.77</v>
      </c>
      <c r="HY26">
        <v>47.57</v>
      </c>
      <c r="HZ26">
        <v>107.04</v>
      </c>
      <c r="IA26">
        <v>235.88</v>
      </c>
      <c r="IB26">
        <v>67.39</v>
      </c>
      <c r="IC26">
        <v>51.54</v>
      </c>
      <c r="ID26">
        <v>81.27</v>
      </c>
      <c r="IE26">
        <v>39.64</v>
      </c>
      <c r="IF26">
        <v>354.81</v>
      </c>
      <c r="IG26">
        <v>29.73</v>
      </c>
      <c r="IH26">
        <v>5.95</v>
      </c>
      <c r="II26">
        <v>309.22000000000003</v>
      </c>
      <c r="IJ26">
        <v>49.55</v>
      </c>
      <c r="IK26">
        <v>55.5</v>
      </c>
      <c r="IL26">
        <v>346.88</v>
      </c>
      <c r="IM26">
        <v>77.31</v>
      </c>
      <c r="IN26">
        <v>190.29</v>
      </c>
      <c r="IO26">
        <v>172.45</v>
      </c>
      <c r="IP26">
        <v>27.75</v>
      </c>
      <c r="IQ26">
        <v>65.41</v>
      </c>
      <c r="IR26">
        <v>41.63</v>
      </c>
      <c r="IS26">
        <v>9.91</v>
      </c>
      <c r="IT26">
        <v>37.659999999999997</v>
      </c>
      <c r="IU26">
        <v>105.06</v>
      </c>
      <c r="IV26">
        <v>491.58</v>
      </c>
      <c r="IW26">
        <v>79.290000000000006</v>
      </c>
      <c r="IX26">
        <v>2400.42</v>
      </c>
      <c r="IY26">
        <v>47.57</v>
      </c>
      <c r="IZ26">
        <v>55.5</v>
      </c>
      <c r="JA26">
        <v>259.67</v>
      </c>
      <c r="JB26">
        <v>210.11</v>
      </c>
      <c r="JC26">
        <v>35.68</v>
      </c>
      <c r="JD26">
        <v>109.02</v>
      </c>
      <c r="JE26">
        <v>11.89</v>
      </c>
      <c r="JF26">
        <v>27.75</v>
      </c>
      <c r="JG26">
        <v>9.91</v>
      </c>
      <c r="JH26">
        <v>346.88</v>
      </c>
      <c r="JI26">
        <v>303.27</v>
      </c>
      <c r="JJ26">
        <v>198.22</v>
      </c>
      <c r="JK26">
        <v>45.59</v>
      </c>
      <c r="JL26">
        <v>99.11</v>
      </c>
      <c r="JM26">
        <v>23.79</v>
      </c>
      <c r="JN26">
        <v>29.73</v>
      </c>
      <c r="JO26">
        <v>156.59</v>
      </c>
      <c r="JP26">
        <v>560.96</v>
      </c>
      <c r="JQ26">
        <v>2019.84</v>
      </c>
      <c r="JR26">
        <v>23.79</v>
      </c>
      <c r="JS26">
        <v>25.77</v>
      </c>
      <c r="JT26">
        <v>85.23</v>
      </c>
      <c r="JU26">
        <v>222</v>
      </c>
      <c r="JV26">
        <v>455.9</v>
      </c>
      <c r="JW26">
        <v>75.319999999999993</v>
      </c>
      <c r="JX26">
        <v>49.55</v>
      </c>
      <c r="JY26">
        <v>126.86</v>
      </c>
      <c r="JZ26">
        <v>2.37</v>
      </c>
      <c r="KA26">
        <v>17.84</v>
      </c>
      <c r="KB26">
        <v>19.82</v>
      </c>
      <c r="KC26">
        <v>7.93</v>
      </c>
      <c r="KD26">
        <v>9.91</v>
      </c>
      <c r="KE26">
        <v>124.88</v>
      </c>
      <c r="KF26">
        <v>116.95</v>
      </c>
      <c r="KG26">
        <v>166.5</v>
      </c>
      <c r="KH26">
        <v>67.39</v>
      </c>
      <c r="KI26">
        <v>194.25</v>
      </c>
      <c r="KJ26">
        <v>87.22</v>
      </c>
      <c r="KK26">
        <v>107.04</v>
      </c>
      <c r="KL26">
        <v>61.45</v>
      </c>
      <c r="KM26">
        <v>79.290000000000006</v>
      </c>
      <c r="KN26">
        <v>112.98</v>
      </c>
      <c r="KO26">
        <v>991.09</v>
      </c>
      <c r="KP26">
        <v>126.86</v>
      </c>
      <c r="KQ26">
        <v>3480.71</v>
      </c>
      <c r="KR26">
        <v>428.15</v>
      </c>
      <c r="KS26">
        <v>354.81</v>
      </c>
      <c r="KT26">
        <v>2860.29</v>
      </c>
      <c r="KU26">
        <v>15683.03</v>
      </c>
      <c r="KV26">
        <v>2109.04</v>
      </c>
      <c r="KW26">
        <v>202.18</v>
      </c>
      <c r="KX26">
        <v>194.25</v>
      </c>
      <c r="KY26">
        <v>35.68</v>
      </c>
      <c r="KZ26">
        <v>25.77</v>
      </c>
      <c r="LA26">
        <v>555.01</v>
      </c>
      <c r="LB26">
        <v>493.56</v>
      </c>
      <c r="LC26">
        <v>2.37</v>
      </c>
      <c r="LD26">
        <v>2.37</v>
      </c>
      <c r="LE26">
        <v>2.37</v>
      </c>
      <c r="LF26">
        <v>1688.82</v>
      </c>
      <c r="LG26">
        <v>321.11</v>
      </c>
      <c r="LH26">
        <v>2.37</v>
      </c>
      <c r="LI26">
        <v>3742.36</v>
      </c>
      <c r="LJ26">
        <v>239.84</v>
      </c>
      <c r="LK26">
        <v>1823.61</v>
      </c>
      <c r="LL26">
        <v>97.13</v>
      </c>
      <c r="LM26">
        <v>17.84</v>
      </c>
      <c r="LN26">
        <v>192.27</v>
      </c>
      <c r="LO26">
        <v>35.68</v>
      </c>
      <c r="LP26">
        <v>489.6</v>
      </c>
      <c r="LQ26">
        <v>49.55</v>
      </c>
      <c r="LR26">
        <v>112.98</v>
      </c>
      <c r="LS26">
        <v>19.82</v>
      </c>
      <c r="LT26">
        <v>9.91</v>
      </c>
      <c r="LU26">
        <v>73.34</v>
      </c>
      <c r="LV26">
        <v>41.63</v>
      </c>
      <c r="LW26">
        <v>107.04</v>
      </c>
      <c r="LX26">
        <v>983.16</v>
      </c>
      <c r="LY26">
        <v>1125.8800000000001</v>
      </c>
      <c r="LZ26">
        <v>6741.4</v>
      </c>
      <c r="MA26">
        <v>253.72</v>
      </c>
      <c r="MB26">
        <v>2969.31</v>
      </c>
      <c r="MC26">
        <v>798.82</v>
      </c>
      <c r="MD26">
        <v>350.85</v>
      </c>
      <c r="ME26">
        <v>136.77000000000001</v>
      </c>
      <c r="MF26">
        <v>840.45</v>
      </c>
      <c r="MG26">
        <v>1809.73</v>
      </c>
      <c r="MH26">
        <v>334.99</v>
      </c>
      <c r="MI26">
        <v>37.659999999999997</v>
      </c>
      <c r="MJ26">
        <v>208.13</v>
      </c>
      <c r="MK26">
        <v>2.37</v>
      </c>
      <c r="ML26">
        <v>971.27</v>
      </c>
      <c r="MM26">
        <v>1004.97</v>
      </c>
      <c r="MN26">
        <v>307.24</v>
      </c>
      <c r="MO26">
        <v>25.77</v>
      </c>
      <c r="MP26">
        <v>67.39</v>
      </c>
      <c r="MQ26">
        <v>140.72999999999999</v>
      </c>
      <c r="MR26">
        <v>11.89</v>
      </c>
      <c r="MS26">
        <v>172.45</v>
      </c>
      <c r="MT26">
        <v>687.82</v>
      </c>
      <c r="MU26">
        <v>51.54</v>
      </c>
      <c r="MV26">
        <v>69.38</v>
      </c>
      <c r="MW26">
        <v>75.319999999999993</v>
      </c>
      <c r="MX26">
        <v>35.68</v>
      </c>
      <c r="MY26">
        <v>47.57</v>
      </c>
      <c r="MZ26">
        <v>1044.6099999999999</v>
      </c>
      <c r="NA26">
        <v>31.71</v>
      </c>
      <c r="NB26">
        <v>1389.51</v>
      </c>
      <c r="NC26">
        <v>1159.58</v>
      </c>
      <c r="ND26">
        <v>101.09</v>
      </c>
      <c r="NE26">
        <v>370.67</v>
      </c>
      <c r="NF26">
        <v>39.64</v>
      </c>
      <c r="NG26">
        <v>2.37</v>
      </c>
      <c r="NH26">
        <v>81.27</v>
      </c>
      <c r="NI26">
        <v>733.41</v>
      </c>
      <c r="NJ26">
        <v>126.86</v>
      </c>
      <c r="NK26">
        <v>59.47</v>
      </c>
      <c r="NL26">
        <v>126.86</v>
      </c>
      <c r="NM26">
        <v>782.96</v>
      </c>
      <c r="NN26">
        <v>162.54</v>
      </c>
      <c r="NO26">
        <v>47.57</v>
      </c>
      <c r="NP26">
        <v>5.95</v>
      </c>
      <c r="NQ26">
        <v>981.18</v>
      </c>
      <c r="NR26">
        <v>279.49</v>
      </c>
      <c r="NS26">
        <v>473.74</v>
      </c>
      <c r="NT26">
        <v>220.02</v>
      </c>
      <c r="NU26">
        <v>630.33000000000004</v>
      </c>
      <c r="NV26">
        <v>283.45</v>
      </c>
      <c r="NW26">
        <v>166.5</v>
      </c>
      <c r="NX26">
        <v>101.09</v>
      </c>
      <c r="NY26">
        <v>51.54</v>
      </c>
      <c r="NZ26">
        <v>426.17</v>
      </c>
      <c r="OA26">
        <v>83.25</v>
      </c>
      <c r="OB26">
        <v>493.56</v>
      </c>
      <c r="OC26">
        <v>2113.0100000000002</v>
      </c>
      <c r="OD26">
        <v>116.95</v>
      </c>
      <c r="OE26">
        <v>1435.1</v>
      </c>
      <c r="OF26">
        <v>23.79</v>
      </c>
      <c r="OG26">
        <v>2505.48</v>
      </c>
      <c r="OH26">
        <v>180.38</v>
      </c>
      <c r="OI26">
        <v>49.55</v>
      </c>
      <c r="OJ26">
        <v>27.75</v>
      </c>
      <c r="OK26">
        <v>987.13</v>
      </c>
      <c r="OL26">
        <v>289.39999999999998</v>
      </c>
      <c r="OM26">
        <v>422.2</v>
      </c>
      <c r="ON26">
        <v>85.23</v>
      </c>
      <c r="OO26">
        <v>412.29</v>
      </c>
      <c r="OP26">
        <v>229.93</v>
      </c>
      <c r="OQ26">
        <v>769.09</v>
      </c>
      <c r="OR26">
        <v>39.64</v>
      </c>
      <c r="OS26">
        <v>327.06</v>
      </c>
      <c r="OT26">
        <v>214.08</v>
      </c>
      <c r="OU26">
        <v>31.71</v>
      </c>
      <c r="OV26">
        <v>255.7</v>
      </c>
      <c r="OW26">
        <v>5.95</v>
      </c>
      <c r="OX26">
        <v>132.81</v>
      </c>
      <c r="OY26">
        <v>154.61000000000001</v>
      </c>
      <c r="OZ26">
        <v>61.45</v>
      </c>
      <c r="PA26">
        <v>25.77</v>
      </c>
      <c r="PB26">
        <v>21.8</v>
      </c>
      <c r="PC26">
        <v>9.91</v>
      </c>
      <c r="PD26">
        <v>21.8</v>
      </c>
      <c r="PE26">
        <v>21.8</v>
      </c>
      <c r="PF26">
        <v>295.35000000000002</v>
      </c>
      <c r="PG26">
        <v>29.73</v>
      </c>
      <c r="PH26">
        <v>83.25</v>
      </c>
      <c r="PI26">
        <v>71.36</v>
      </c>
      <c r="PJ26">
        <v>5645.26</v>
      </c>
      <c r="PK26">
        <v>6743.39</v>
      </c>
      <c r="PL26">
        <v>37.659999999999997</v>
      </c>
      <c r="PM26">
        <v>6796.9</v>
      </c>
      <c r="PN26">
        <v>1619.44</v>
      </c>
      <c r="PO26">
        <v>71.36</v>
      </c>
      <c r="PP26">
        <v>331.02</v>
      </c>
      <c r="PQ26">
        <v>91.18</v>
      </c>
      <c r="PR26">
        <v>45.59</v>
      </c>
      <c r="PS26">
        <v>59.47</v>
      </c>
      <c r="PT26">
        <v>69.38</v>
      </c>
      <c r="PU26">
        <v>225.97</v>
      </c>
      <c r="PV26">
        <v>29.73</v>
      </c>
      <c r="PW26">
        <v>63.43</v>
      </c>
      <c r="PX26">
        <v>11.89</v>
      </c>
      <c r="PY26">
        <v>158.57</v>
      </c>
      <c r="PZ26">
        <v>45.59</v>
      </c>
      <c r="QA26">
        <v>251.74</v>
      </c>
      <c r="QB26">
        <v>1496.55</v>
      </c>
      <c r="QC26">
        <v>67.39</v>
      </c>
      <c r="QD26">
        <v>23.79</v>
      </c>
      <c r="QE26">
        <v>79.290000000000006</v>
      </c>
      <c r="QF26">
        <v>23.79</v>
      </c>
      <c r="QG26">
        <v>9.91</v>
      </c>
      <c r="QH26">
        <v>35.68</v>
      </c>
      <c r="QI26">
        <v>33.700000000000003</v>
      </c>
      <c r="QJ26">
        <v>79.290000000000006</v>
      </c>
      <c r="QK26">
        <v>17.84</v>
      </c>
      <c r="QL26">
        <v>281.47000000000003</v>
      </c>
      <c r="QM26">
        <v>521.30999999999995</v>
      </c>
      <c r="QN26">
        <v>798.82</v>
      </c>
      <c r="QO26">
        <v>33.700000000000003</v>
      </c>
      <c r="QP26">
        <v>134.79</v>
      </c>
      <c r="QQ26">
        <v>380.58</v>
      </c>
      <c r="QR26">
        <v>182.36</v>
      </c>
      <c r="QS26">
        <v>1383.56</v>
      </c>
      <c r="QT26">
        <v>497.53</v>
      </c>
      <c r="QU26">
        <v>51.54</v>
      </c>
      <c r="QV26">
        <v>81.27</v>
      </c>
      <c r="QW26">
        <v>71.36</v>
      </c>
      <c r="QX26">
        <v>63.43</v>
      </c>
      <c r="QY26">
        <v>336.97</v>
      </c>
      <c r="QZ26">
        <v>63.43</v>
      </c>
      <c r="RA26">
        <v>178.4</v>
      </c>
      <c r="RB26">
        <v>8321.2000000000007</v>
      </c>
      <c r="RC26">
        <v>229.93</v>
      </c>
      <c r="RD26">
        <v>759.18</v>
      </c>
      <c r="RE26">
        <v>87.22</v>
      </c>
      <c r="RF26">
        <v>174.43</v>
      </c>
      <c r="RG26">
        <v>192.27</v>
      </c>
      <c r="RH26">
        <v>61.45</v>
      </c>
      <c r="RI26">
        <v>11.89</v>
      </c>
      <c r="RJ26">
        <v>140.72999999999999</v>
      </c>
      <c r="RK26">
        <v>39.64</v>
      </c>
      <c r="RL26">
        <v>180.38</v>
      </c>
      <c r="RM26">
        <v>124.88</v>
      </c>
      <c r="RN26">
        <v>245.79</v>
      </c>
      <c r="RO26">
        <v>836.48</v>
      </c>
      <c r="RP26">
        <v>89.2</v>
      </c>
      <c r="RQ26">
        <v>642.23</v>
      </c>
      <c r="RR26">
        <v>2.37</v>
      </c>
      <c r="RS26">
        <v>340.94</v>
      </c>
      <c r="RT26">
        <v>362.74</v>
      </c>
      <c r="RU26">
        <v>13.88</v>
      </c>
      <c r="RV26">
        <v>25.77</v>
      </c>
      <c r="RW26">
        <v>53.52</v>
      </c>
      <c r="RX26">
        <v>2003.99</v>
      </c>
      <c r="RY26">
        <v>842.43</v>
      </c>
      <c r="RZ26">
        <v>35.68</v>
      </c>
      <c r="SA26">
        <v>198.22</v>
      </c>
      <c r="SB26">
        <v>51.54</v>
      </c>
      <c r="SC26">
        <v>71.36</v>
      </c>
      <c r="SD26">
        <v>596.64</v>
      </c>
      <c r="SE26">
        <v>553.03</v>
      </c>
      <c r="SF26">
        <v>247.77</v>
      </c>
      <c r="SG26">
        <v>2233.92</v>
      </c>
      <c r="SH26">
        <v>91.18</v>
      </c>
      <c r="SI26">
        <v>134.79</v>
      </c>
      <c r="SJ26">
        <v>47.57</v>
      </c>
      <c r="SK26">
        <v>69.38</v>
      </c>
      <c r="SL26">
        <v>120.91</v>
      </c>
      <c r="SM26">
        <v>45.59</v>
      </c>
      <c r="SN26">
        <v>91.18</v>
      </c>
      <c r="SO26">
        <v>11.89</v>
      </c>
      <c r="SP26">
        <v>101.09</v>
      </c>
      <c r="SQ26">
        <v>717.55</v>
      </c>
      <c r="SR26">
        <v>689.8</v>
      </c>
      <c r="SS26">
        <v>608.53</v>
      </c>
      <c r="ST26">
        <v>1112</v>
      </c>
      <c r="SU26">
        <v>1002.98</v>
      </c>
      <c r="SV26">
        <v>467.8</v>
      </c>
      <c r="SW26">
        <v>440.04</v>
      </c>
      <c r="SX26">
        <v>120.91</v>
      </c>
      <c r="SY26">
        <v>485.63</v>
      </c>
      <c r="SZ26">
        <v>5.95</v>
      </c>
      <c r="TA26">
        <v>29.73</v>
      </c>
      <c r="TB26">
        <v>479.69</v>
      </c>
      <c r="TC26">
        <v>364.72</v>
      </c>
      <c r="TD26">
        <v>67.39</v>
      </c>
      <c r="TE26">
        <v>497.53</v>
      </c>
      <c r="TF26">
        <v>251.74</v>
      </c>
      <c r="TG26">
        <v>531.22</v>
      </c>
      <c r="TH26">
        <v>128.84</v>
      </c>
      <c r="TI26">
        <v>138.75</v>
      </c>
      <c r="TJ26">
        <v>13.88</v>
      </c>
      <c r="TK26">
        <v>122.9</v>
      </c>
      <c r="TL26">
        <v>101.09</v>
      </c>
      <c r="TM26">
        <v>37.659999999999997</v>
      </c>
      <c r="TN26">
        <v>281.47000000000003</v>
      </c>
      <c r="TO26">
        <v>430.13</v>
      </c>
      <c r="TP26">
        <v>594.65</v>
      </c>
      <c r="TQ26">
        <v>309.22000000000003</v>
      </c>
      <c r="TR26">
        <v>23.79</v>
      </c>
      <c r="TS26">
        <v>150.65</v>
      </c>
      <c r="TT26">
        <v>111</v>
      </c>
      <c r="TU26">
        <v>35.68</v>
      </c>
      <c r="TV26">
        <v>178.4</v>
      </c>
      <c r="TW26">
        <v>305.26</v>
      </c>
      <c r="TX26">
        <v>85.23</v>
      </c>
      <c r="TY26">
        <v>89.2</v>
      </c>
      <c r="TZ26">
        <v>43.61</v>
      </c>
      <c r="UA26">
        <v>140.72999999999999</v>
      </c>
      <c r="UB26">
        <v>144.69999999999999</v>
      </c>
      <c r="UC26">
        <v>6097.19</v>
      </c>
      <c r="UD26">
        <v>23.79</v>
      </c>
      <c r="UE26">
        <v>33.700000000000003</v>
      </c>
      <c r="UF26">
        <v>368.69</v>
      </c>
      <c r="UG26">
        <v>152.63</v>
      </c>
      <c r="UH26">
        <v>9.91</v>
      </c>
      <c r="UI26">
        <v>41.63</v>
      </c>
      <c r="UJ26">
        <v>51.54</v>
      </c>
      <c r="UK26">
        <v>53.52</v>
      </c>
      <c r="UL26">
        <v>19.82</v>
      </c>
      <c r="UM26">
        <v>25.77</v>
      </c>
      <c r="UN26">
        <v>89.2</v>
      </c>
      <c r="UO26">
        <v>114.97</v>
      </c>
      <c r="UP26">
        <v>2.37</v>
      </c>
      <c r="UQ26">
        <v>33.700000000000003</v>
      </c>
      <c r="UR26">
        <v>31.71</v>
      </c>
      <c r="US26">
        <v>57.48</v>
      </c>
      <c r="UT26">
        <v>212.09</v>
      </c>
      <c r="UU26">
        <v>638.26</v>
      </c>
      <c r="UV26">
        <v>566.9</v>
      </c>
      <c r="UW26">
        <v>360.76</v>
      </c>
      <c r="UX26">
        <v>63.43</v>
      </c>
      <c r="UY26">
        <v>271.56</v>
      </c>
      <c r="UZ26">
        <v>63.43</v>
      </c>
      <c r="VA26">
        <v>223.99</v>
      </c>
      <c r="VB26">
        <v>777.02</v>
      </c>
      <c r="VC26">
        <v>83.25</v>
      </c>
      <c r="VD26">
        <v>237.86</v>
      </c>
      <c r="VE26">
        <v>45.59</v>
      </c>
      <c r="VF26">
        <v>511.4</v>
      </c>
      <c r="VG26">
        <v>85.23</v>
      </c>
      <c r="VH26">
        <v>25.77</v>
      </c>
      <c r="VI26">
        <v>49.55</v>
      </c>
      <c r="VJ26">
        <v>69.38</v>
      </c>
      <c r="VK26">
        <v>374.63</v>
      </c>
      <c r="VL26">
        <v>447.97</v>
      </c>
      <c r="VM26">
        <v>390.49</v>
      </c>
      <c r="VN26">
        <v>180.38</v>
      </c>
      <c r="VO26">
        <v>5.95</v>
      </c>
      <c r="VP26">
        <v>7.93</v>
      </c>
      <c r="VQ26">
        <v>614.48</v>
      </c>
      <c r="VR26">
        <v>140.72999999999999</v>
      </c>
      <c r="VS26">
        <v>388.51</v>
      </c>
      <c r="VT26">
        <v>25.77</v>
      </c>
      <c r="VU26">
        <v>61.45</v>
      </c>
      <c r="VV26">
        <v>19.82</v>
      </c>
      <c r="VW26">
        <v>122.9</v>
      </c>
      <c r="VX26">
        <v>71.36</v>
      </c>
      <c r="VY26">
        <v>31.71</v>
      </c>
      <c r="VZ26">
        <v>9827.66</v>
      </c>
      <c r="WA26">
        <v>10341.049999999999</v>
      </c>
      <c r="WB26">
        <v>243.81</v>
      </c>
      <c r="WC26">
        <v>93.16</v>
      </c>
      <c r="WD26">
        <v>430.13</v>
      </c>
      <c r="WE26">
        <v>1117.95</v>
      </c>
      <c r="WF26">
        <v>124.88</v>
      </c>
      <c r="WG26">
        <v>317.14999999999998</v>
      </c>
      <c r="WH26">
        <v>12662.18</v>
      </c>
      <c r="WI26">
        <v>24694.03</v>
      </c>
      <c r="WJ26">
        <v>1516.37</v>
      </c>
      <c r="WK26">
        <v>180.38</v>
      </c>
      <c r="WL26">
        <v>216.06</v>
      </c>
      <c r="WM26">
        <v>47.57</v>
      </c>
      <c r="WN26">
        <v>39.64</v>
      </c>
      <c r="WO26">
        <v>2.37</v>
      </c>
      <c r="WP26">
        <v>164.52</v>
      </c>
      <c r="WQ26">
        <v>1502.49</v>
      </c>
      <c r="WR26">
        <v>650.16</v>
      </c>
      <c r="WS26">
        <v>27.75</v>
      </c>
      <c r="WT26">
        <v>15.86</v>
      </c>
      <c r="WU26">
        <v>434.1</v>
      </c>
      <c r="WV26">
        <v>515.37</v>
      </c>
      <c r="WW26">
        <v>23.79</v>
      </c>
      <c r="WX26">
        <v>35.68</v>
      </c>
      <c r="WY26">
        <v>95.14</v>
      </c>
      <c r="WZ26">
        <v>53.52</v>
      </c>
      <c r="XA26">
        <v>13.88</v>
      </c>
      <c r="XB26">
        <v>323.10000000000002</v>
      </c>
      <c r="XC26">
        <v>51.54</v>
      </c>
      <c r="XD26">
        <v>154.61000000000001</v>
      </c>
      <c r="XE26">
        <v>194.25</v>
      </c>
      <c r="XF26">
        <v>646.19000000000005</v>
      </c>
      <c r="XG26">
        <v>1052.54</v>
      </c>
      <c r="XH26">
        <v>87.22</v>
      </c>
      <c r="XI26">
        <v>1127.8599999999999</v>
      </c>
      <c r="XJ26">
        <v>233.9</v>
      </c>
      <c r="XK26">
        <v>394.45</v>
      </c>
      <c r="XL26">
        <v>85.23</v>
      </c>
      <c r="XM26">
        <v>101.09</v>
      </c>
      <c r="XN26">
        <v>105.06</v>
      </c>
      <c r="XO26">
        <v>19.82</v>
      </c>
      <c r="XP26">
        <v>25.77</v>
      </c>
      <c r="XQ26">
        <v>21.8</v>
      </c>
      <c r="XR26">
        <v>19.82</v>
      </c>
      <c r="XS26">
        <v>2150.67</v>
      </c>
      <c r="XT26">
        <v>91.18</v>
      </c>
      <c r="XU26">
        <v>390.49</v>
      </c>
      <c r="XV26">
        <v>350.85</v>
      </c>
      <c r="XW26">
        <v>1042.6300000000001</v>
      </c>
      <c r="XX26">
        <v>1052.54</v>
      </c>
      <c r="XY26">
        <v>868.2</v>
      </c>
      <c r="XZ26">
        <v>79.290000000000006</v>
      </c>
      <c r="YA26">
        <v>112.98</v>
      </c>
      <c r="YB26">
        <v>174.43</v>
      </c>
      <c r="YC26">
        <v>55.5</v>
      </c>
      <c r="YD26">
        <v>614.48</v>
      </c>
      <c r="YE26">
        <v>293.36</v>
      </c>
      <c r="YF26">
        <v>560.96</v>
      </c>
      <c r="YG26">
        <v>93.16</v>
      </c>
      <c r="YH26">
        <v>29.73</v>
      </c>
      <c r="YI26">
        <v>61.45</v>
      </c>
      <c r="YJ26">
        <v>180.38</v>
      </c>
      <c r="YK26">
        <v>5.95</v>
      </c>
      <c r="YL26">
        <v>455.9</v>
      </c>
      <c r="YM26">
        <v>1845.41</v>
      </c>
      <c r="YN26">
        <v>180.38</v>
      </c>
      <c r="YO26">
        <v>35.68</v>
      </c>
      <c r="YP26">
        <v>685.84</v>
      </c>
      <c r="YQ26">
        <v>87.22</v>
      </c>
      <c r="YR26">
        <v>251.74</v>
      </c>
      <c r="YS26">
        <v>3401.43</v>
      </c>
      <c r="YT26">
        <v>109.02</v>
      </c>
      <c r="YU26">
        <v>198.22</v>
      </c>
      <c r="YV26">
        <v>29.73</v>
      </c>
      <c r="YW26">
        <v>31.71</v>
      </c>
      <c r="YX26">
        <v>41.63</v>
      </c>
      <c r="YY26">
        <v>150.65</v>
      </c>
      <c r="YZ26">
        <v>59.47</v>
      </c>
      <c r="ZA26">
        <v>114.97</v>
      </c>
      <c r="ZB26">
        <v>47.57</v>
      </c>
      <c r="ZC26">
        <v>33.700000000000003</v>
      </c>
      <c r="ZD26">
        <v>168.49</v>
      </c>
      <c r="ZE26">
        <v>23.79</v>
      </c>
      <c r="ZF26">
        <v>132.81</v>
      </c>
      <c r="ZG26">
        <v>142.72</v>
      </c>
      <c r="ZH26">
        <v>65.41</v>
      </c>
      <c r="ZI26">
        <v>398.42</v>
      </c>
      <c r="ZJ26">
        <v>301.29000000000002</v>
      </c>
      <c r="ZK26">
        <v>126.86</v>
      </c>
      <c r="ZL26">
        <v>19.82</v>
      </c>
      <c r="ZM26">
        <v>53.52</v>
      </c>
      <c r="ZN26">
        <v>39.64</v>
      </c>
      <c r="ZO26">
        <v>43.61</v>
      </c>
      <c r="ZP26">
        <v>152.63</v>
      </c>
      <c r="ZQ26">
        <v>23.79</v>
      </c>
      <c r="ZR26">
        <v>2.37</v>
      </c>
      <c r="ZS26">
        <v>664.03</v>
      </c>
      <c r="ZT26">
        <v>57.48</v>
      </c>
      <c r="ZU26">
        <v>160.56</v>
      </c>
      <c r="ZV26">
        <v>9.91</v>
      </c>
      <c r="ZW26">
        <v>31.71</v>
      </c>
      <c r="ZX26">
        <v>23.79</v>
      </c>
      <c r="ZY26">
        <v>1799.82</v>
      </c>
      <c r="ZZ26">
        <v>71.36</v>
      </c>
      <c r="AAA26">
        <v>45.59</v>
      </c>
      <c r="AAB26">
        <v>67.39</v>
      </c>
      <c r="AAC26">
        <v>33.700000000000003</v>
      </c>
      <c r="AAD26">
        <v>39.64</v>
      </c>
      <c r="AAE26">
        <v>43.61</v>
      </c>
      <c r="AAF26">
        <v>2.37</v>
      </c>
      <c r="AAG26">
        <v>138.75</v>
      </c>
      <c r="AAH26">
        <v>154.61000000000001</v>
      </c>
      <c r="AAI26">
        <v>2222.0300000000002</v>
      </c>
      <c r="AAJ26">
        <v>709.62</v>
      </c>
      <c r="AAK26">
        <v>223.99</v>
      </c>
      <c r="AAL26">
        <v>57.48</v>
      </c>
      <c r="AAM26">
        <v>51.54</v>
      </c>
      <c r="AAN26">
        <v>71.36</v>
      </c>
      <c r="AAO26">
        <v>164.52</v>
      </c>
      <c r="AAP26">
        <v>138.75</v>
      </c>
      <c r="AAQ26">
        <v>43.61</v>
      </c>
      <c r="AAR26">
        <v>59.47</v>
      </c>
      <c r="AAS26">
        <v>792.87</v>
      </c>
      <c r="AAT26">
        <v>17.84</v>
      </c>
      <c r="AAU26">
        <v>2.37</v>
      </c>
      <c r="AAV26">
        <v>1191.29</v>
      </c>
      <c r="AAW26">
        <v>134.79</v>
      </c>
      <c r="AAX26">
        <v>51.54</v>
      </c>
      <c r="AAY26">
        <v>283.45</v>
      </c>
      <c r="AAZ26">
        <v>47.57</v>
      </c>
      <c r="ABA26">
        <v>283.45</v>
      </c>
      <c r="ABB26">
        <v>61.45</v>
      </c>
      <c r="ABC26">
        <v>773.05</v>
      </c>
      <c r="ABD26">
        <v>436.08</v>
      </c>
      <c r="ABE26">
        <v>160.56</v>
      </c>
      <c r="ABF26">
        <v>374.63</v>
      </c>
      <c r="ABG26">
        <v>35.68</v>
      </c>
      <c r="ABH26">
        <v>170.47</v>
      </c>
      <c r="ABI26">
        <v>73.34</v>
      </c>
      <c r="ABJ26">
        <v>65.41</v>
      </c>
      <c r="ABK26">
        <v>103.07</v>
      </c>
      <c r="ABL26">
        <v>19.82</v>
      </c>
      <c r="ABM26">
        <v>47.57</v>
      </c>
      <c r="ABN26">
        <v>118.93</v>
      </c>
      <c r="ABO26">
        <v>23.79</v>
      </c>
      <c r="ABP26">
        <v>43.61</v>
      </c>
      <c r="ABQ26">
        <v>384.54</v>
      </c>
      <c r="ABR26">
        <v>47.57</v>
      </c>
      <c r="ABS26">
        <v>329.04</v>
      </c>
      <c r="ABT26">
        <v>17.84</v>
      </c>
      <c r="ABU26">
        <v>15.86</v>
      </c>
      <c r="ABV26">
        <v>91.18</v>
      </c>
      <c r="ABW26">
        <v>200.2</v>
      </c>
      <c r="ABX26">
        <v>323.10000000000002</v>
      </c>
      <c r="ABY26">
        <v>241.83</v>
      </c>
      <c r="ABZ26">
        <v>112.98</v>
      </c>
      <c r="ACA26">
        <v>424.19</v>
      </c>
      <c r="ACB26">
        <v>311.2</v>
      </c>
      <c r="ACC26">
        <v>142.72</v>
      </c>
      <c r="ACD26">
        <v>277.51</v>
      </c>
      <c r="ACE26">
        <v>132.81</v>
      </c>
      <c r="ACF26">
        <v>3508.46</v>
      </c>
      <c r="ACG26">
        <v>1462.85</v>
      </c>
      <c r="ACH26">
        <v>325.08</v>
      </c>
      <c r="ACI26">
        <v>340.94</v>
      </c>
      <c r="ACJ26">
        <v>455.9</v>
      </c>
      <c r="ACK26">
        <v>241.83</v>
      </c>
      <c r="ACL26">
        <v>47.57</v>
      </c>
      <c r="ACM26">
        <v>160.56</v>
      </c>
      <c r="ACN26">
        <v>255.7</v>
      </c>
      <c r="ACO26">
        <v>1264.6300000000001</v>
      </c>
      <c r="ACP26">
        <v>295.35000000000002</v>
      </c>
      <c r="ACQ26">
        <v>182.36</v>
      </c>
      <c r="ACR26">
        <v>4047.62</v>
      </c>
    </row>
    <row r="27" spans="1:772" x14ac:dyDescent="0.3">
      <c r="A27" t="s">
        <v>13</v>
      </c>
      <c r="B27" t="s">
        <v>2</v>
      </c>
      <c r="C27">
        <v>354.43</v>
      </c>
      <c r="D27">
        <v>61.53</v>
      </c>
      <c r="E27">
        <v>465.19</v>
      </c>
      <c r="F27">
        <v>14.77</v>
      </c>
      <c r="G27">
        <v>711.33</v>
      </c>
      <c r="H27">
        <v>36.92</v>
      </c>
      <c r="I27">
        <v>866.39</v>
      </c>
      <c r="J27">
        <v>6968.07</v>
      </c>
      <c r="K27">
        <v>108.3</v>
      </c>
      <c r="L27">
        <v>56.61</v>
      </c>
      <c r="M27">
        <v>63.99</v>
      </c>
      <c r="N27">
        <v>612.88</v>
      </c>
      <c r="O27">
        <v>231.37</v>
      </c>
      <c r="P27">
        <v>184.6</v>
      </c>
      <c r="Q27">
        <v>59.07</v>
      </c>
      <c r="R27">
        <v>617.79999999999995</v>
      </c>
      <c r="S27">
        <v>29.54</v>
      </c>
      <c r="T27">
        <v>1366.05</v>
      </c>
      <c r="U27">
        <v>418.43</v>
      </c>
      <c r="V27">
        <v>270.75</v>
      </c>
      <c r="W27">
        <v>1341.43</v>
      </c>
      <c r="X27">
        <v>34.46</v>
      </c>
      <c r="Y27">
        <v>68.92</v>
      </c>
      <c r="Z27">
        <v>349.51</v>
      </c>
      <c r="AA27">
        <v>78.760000000000005</v>
      </c>
      <c r="AB27">
        <v>423.35</v>
      </c>
      <c r="AC27">
        <v>243.67</v>
      </c>
      <c r="AD27">
        <v>93.53</v>
      </c>
      <c r="AE27">
        <v>199.37</v>
      </c>
      <c r="AF27">
        <v>13682.62</v>
      </c>
      <c r="AG27">
        <v>81.22</v>
      </c>
      <c r="AH27">
        <v>91.07</v>
      </c>
      <c r="AI27">
        <v>59.07</v>
      </c>
      <c r="AJ27">
        <v>487.35</v>
      </c>
      <c r="AK27">
        <v>115.68</v>
      </c>
      <c r="AL27">
        <v>54.15</v>
      </c>
      <c r="AM27">
        <v>233.83</v>
      </c>
      <c r="AN27">
        <v>49.23</v>
      </c>
      <c r="AO27">
        <v>999.31</v>
      </c>
      <c r="AP27">
        <v>9.85</v>
      </c>
      <c r="AQ27">
        <v>95.99</v>
      </c>
      <c r="AR27">
        <v>29.54</v>
      </c>
      <c r="AS27">
        <v>174.76</v>
      </c>
      <c r="AT27">
        <v>1.49</v>
      </c>
      <c r="AU27">
        <v>68.92</v>
      </c>
      <c r="AV27">
        <v>241.21</v>
      </c>
      <c r="AW27">
        <v>130.44999999999999</v>
      </c>
      <c r="AX27">
        <v>738.4</v>
      </c>
      <c r="AY27">
        <v>49.23</v>
      </c>
      <c r="AZ27">
        <v>118.14</v>
      </c>
      <c r="BA27">
        <v>228.91</v>
      </c>
      <c r="BB27">
        <v>194.45</v>
      </c>
      <c r="BC27">
        <v>118.14</v>
      </c>
      <c r="BD27">
        <v>22.15</v>
      </c>
      <c r="BE27">
        <v>411.04</v>
      </c>
      <c r="BF27">
        <v>743.33</v>
      </c>
      <c r="BG27">
        <v>81.22</v>
      </c>
      <c r="BH27">
        <v>24.61</v>
      </c>
      <c r="BI27">
        <v>27.07</v>
      </c>
      <c r="BJ27">
        <v>29.54</v>
      </c>
      <c r="BK27">
        <v>280.58999999999997</v>
      </c>
      <c r="BL27">
        <v>324.89999999999998</v>
      </c>
      <c r="BM27">
        <v>71.38</v>
      </c>
      <c r="BN27">
        <v>49.23</v>
      </c>
      <c r="BO27">
        <v>66.459999999999994</v>
      </c>
      <c r="BP27">
        <v>41.84</v>
      </c>
      <c r="BQ27">
        <v>7.38</v>
      </c>
      <c r="BR27">
        <v>49.23</v>
      </c>
      <c r="BS27">
        <v>1.49</v>
      </c>
      <c r="BT27">
        <v>3029.92</v>
      </c>
      <c r="BU27">
        <v>172.29</v>
      </c>
      <c r="BV27">
        <v>36.92</v>
      </c>
      <c r="BW27">
        <v>86.15</v>
      </c>
      <c r="BX27">
        <v>450.43</v>
      </c>
      <c r="BY27">
        <v>199.37</v>
      </c>
      <c r="BZ27">
        <v>342.13</v>
      </c>
      <c r="CA27">
        <v>199.37</v>
      </c>
      <c r="CB27">
        <v>150.13999999999999</v>
      </c>
      <c r="CC27">
        <v>81.22</v>
      </c>
      <c r="CD27">
        <v>270.75</v>
      </c>
      <c r="CE27">
        <v>529.19000000000005</v>
      </c>
      <c r="CF27">
        <v>315.05</v>
      </c>
      <c r="CG27">
        <v>61.53</v>
      </c>
      <c r="CH27">
        <v>66.459999999999994</v>
      </c>
      <c r="CI27">
        <v>29.54</v>
      </c>
      <c r="CJ27">
        <v>24.61</v>
      </c>
      <c r="CK27">
        <v>49.23</v>
      </c>
      <c r="CL27">
        <v>83.69</v>
      </c>
      <c r="CM27">
        <v>290.44</v>
      </c>
      <c r="CN27">
        <v>147.68</v>
      </c>
      <c r="CO27">
        <v>54.15</v>
      </c>
      <c r="CP27">
        <v>1.49</v>
      </c>
      <c r="CQ27">
        <v>36.92</v>
      </c>
      <c r="CR27">
        <v>66.459999999999994</v>
      </c>
      <c r="CS27">
        <v>1.49</v>
      </c>
      <c r="CT27">
        <v>14.77</v>
      </c>
      <c r="CU27">
        <v>73.84</v>
      </c>
      <c r="CV27">
        <v>135.37</v>
      </c>
      <c r="CW27">
        <v>1156.83</v>
      </c>
      <c r="CX27">
        <v>12.31</v>
      </c>
      <c r="CY27">
        <v>219.06</v>
      </c>
      <c r="CZ27">
        <v>83.69</v>
      </c>
      <c r="DA27">
        <v>51.69</v>
      </c>
      <c r="DB27">
        <v>29.54</v>
      </c>
      <c r="DC27">
        <v>46.77</v>
      </c>
      <c r="DD27">
        <v>22.15</v>
      </c>
      <c r="DE27">
        <v>39.380000000000003</v>
      </c>
      <c r="DF27">
        <v>300.27999999999997</v>
      </c>
      <c r="DG27">
        <v>29.54</v>
      </c>
      <c r="DH27">
        <v>1708.17</v>
      </c>
      <c r="DI27">
        <v>1.49</v>
      </c>
      <c r="DJ27">
        <v>34.46</v>
      </c>
      <c r="DK27">
        <v>147.68</v>
      </c>
      <c r="DL27">
        <v>868.86</v>
      </c>
      <c r="DM27">
        <v>51.69</v>
      </c>
      <c r="DN27">
        <v>4.92</v>
      </c>
      <c r="DO27">
        <v>39.380000000000003</v>
      </c>
      <c r="DP27">
        <v>46.77</v>
      </c>
      <c r="DQ27">
        <v>2202.9</v>
      </c>
      <c r="DR27">
        <v>24.61</v>
      </c>
      <c r="DS27">
        <v>14.77</v>
      </c>
      <c r="DT27">
        <v>54.15</v>
      </c>
      <c r="DU27">
        <v>3308.05</v>
      </c>
      <c r="DV27">
        <v>32</v>
      </c>
      <c r="DW27">
        <v>22.15</v>
      </c>
      <c r="DX27">
        <v>98.45</v>
      </c>
      <c r="DY27">
        <v>132.91</v>
      </c>
      <c r="DZ27">
        <v>66.459999999999994</v>
      </c>
      <c r="EA27">
        <v>34.46</v>
      </c>
      <c r="EB27">
        <v>73.84</v>
      </c>
      <c r="EC27">
        <v>17.23</v>
      </c>
      <c r="ED27">
        <v>88.61</v>
      </c>
      <c r="EE27">
        <v>7.38</v>
      </c>
      <c r="EF27">
        <v>1078.07</v>
      </c>
      <c r="EG27">
        <v>447.96</v>
      </c>
      <c r="EH27">
        <v>86.15</v>
      </c>
      <c r="EI27">
        <v>34.46</v>
      </c>
      <c r="EJ27">
        <v>241.21</v>
      </c>
      <c r="EK27">
        <v>300.27999999999997</v>
      </c>
      <c r="EL27">
        <v>1506.34</v>
      </c>
      <c r="EM27">
        <v>157.53</v>
      </c>
      <c r="EN27">
        <v>63.99</v>
      </c>
      <c r="EO27">
        <v>39.380000000000003</v>
      </c>
      <c r="EP27">
        <v>63.99</v>
      </c>
      <c r="EQ27">
        <v>1720.48</v>
      </c>
      <c r="ER27">
        <v>61.53</v>
      </c>
      <c r="ES27">
        <v>81.22</v>
      </c>
      <c r="ET27">
        <v>19.690000000000001</v>
      </c>
      <c r="EU27">
        <v>214.14</v>
      </c>
      <c r="EV27">
        <v>32</v>
      </c>
      <c r="EW27">
        <v>34.46</v>
      </c>
      <c r="EX27">
        <v>127.99</v>
      </c>
      <c r="EY27">
        <v>93.53</v>
      </c>
      <c r="EZ27">
        <v>49.23</v>
      </c>
      <c r="FA27">
        <v>123.07</v>
      </c>
      <c r="FB27">
        <v>22.15</v>
      </c>
      <c r="FC27">
        <v>66.459999999999994</v>
      </c>
      <c r="FD27">
        <v>34.46</v>
      </c>
      <c r="FE27">
        <v>2503.19</v>
      </c>
      <c r="FF27">
        <v>54.15</v>
      </c>
      <c r="FG27">
        <v>925.47</v>
      </c>
      <c r="FH27">
        <v>1459.58</v>
      </c>
      <c r="FI27">
        <v>32</v>
      </c>
      <c r="FJ27">
        <v>140.30000000000001</v>
      </c>
      <c r="FK27">
        <v>588.26</v>
      </c>
      <c r="FL27">
        <v>61.53</v>
      </c>
      <c r="FM27">
        <v>312.58999999999997</v>
      </c>
      <c r="FN27">
        <v>105.84</v>
      </c>
      <c r="FO27">
        <v>51.69</v>
      </c>
      <c r="FP27">
        <v>9.85</v>
      </c>
      <c r="FQ27">
        <v>32</v>
      </c>
      <c r="FR27">
        <v>1.49</v>
      </c>
      <c r="FS27">
        <v>1.49</v>
      </c>
      <c r="FT27">
        <v>61.53</v>
      </c>
      <c r="FU27">
        <v>1590.03</v>
      </c>
      <c r="FV27">
        <v>2257.0500000000002</v>
      </c>
      <c r="FW27">
        <v>39.380000000000003</v>
      </c>
      <c r="FX27">
        <v>100.92</v>
      </c>
      <c r="FY27">
        <v>34.46</v>
      </c>
      <c r="FZ27">
        <v>625.17999999999995</v>
      </c>
      <c r="GA27">
        <v>1023.92</v>
      </c>
      <c r="GB27">
        <v>721.17</v>
      </c>
      <c r="GC27">
        <v>24.61</v>
      </c>
      <c r="GD27">
        <v>44.3</v>
      </c>
      <c r="GE27">
        <v>91.07</v>
      </c>
      <c r="GF27">
        <v>221.52</v>
      </c>
      <c r="GG27">
        <v>598.11</v>
      </c>
      <c r="GH27">
        <v>182.14</v>
      </c>
      <c r="GI27">
        <v>273.20999999999998</v>
      </c>
      <c r="GJ27">
        <v>113.22</v>
      </c>
      <c r="GK27">
        <v>3357.28</v>
      </c>
      <c r="GL27">
        <v>236.29</v>
      </c>
      <c r="GM27">
        <v>56.61</v>
      </c>
      <c r="GN27">
        <v>24.61</v>
      </c>
      <c r="GO27">
        <v>204.29</v>
      </c>
      <c r="GP27">
        <v>36.92</v>
      </c>
      <c r="GQ27">
        <v>22.15</v>
      </c>
      <c r="GR27">
        <v>644.87</v>
      </c>
      <c r="GS27">
        <v>206.75</v>
      </c>
      <c r="GT27">
        <v>191.98</v>
      </c>
      <c r="GU27">
        <v>29.54</v>
      </c>
      <c r="GV27">
        <v>59.07</v>
      </c>
      <c r="GW27">
        <v>39.380000000000003</v>
      </c>
      <c r="GX27">
        <v>349.51</v>
      </c>
      <c r="GY27">
        <v>61.53</v>
      </c>
      <c r="GZ27">
        <v>206.75</v>
      </c>
      <c r="HA27">
        <v>189.52</v>
      </c>
      <c r="HB27">
        <v>600.57000000000005</v>
      </c>
      <c r="HC27">
        <v>93.53</v>
      </c>
      <c r="HD27">
        <v>935.31</v>
      </c>
      <c r="HE27">
        <v>19.690000000000001</v>
      </c>
      <c r="HF27">
        <v>2338.2800000000002</v>
      </c>
      <c r="HG27">
        <v>177.22</v>
      </c>
      <c r="HH27">
        <v>76.3</v>
      </c>
      <c r="HI27">
        <v>29.54</v>
      </c>
      <c r="HJ27">
        <v>689.18</v>
      </c>
      <c r="HK27">
        <v>2239.8200000000002</v>
      </c>
      <c r="HL27">
        <v>846.7</v>
      </c>
      <c r="HM27">
        <v>88.61</v>
      </c>
      <c r="HN27">
        <v>595.65</v>
      </c>
      <c r="HO27">
        <v>78.760000000000005</v>
      </c>
      <c r="HP27">
        <v>46.77</v>
      </c>
      <c r="HQ27">
        <v>7583.41</v>
      </c>
      <c r="HR27">
        <v>71.38</v>
      </c>
      <c r="HS27">
        <v>12.31</v>
      </c>
      <c r="HT27">
        <v>142.76</v>
      </c>
      <c r="HU27">
        <v>130.44999999999999</v>
      </c>
      <c r="HV27">
        <v>103.38</v>
      </c>
      <c r="HW27">
        <v>1745.09</v>
      </c>
      <c r="HX27">
        <v>34.46</v>
      </c>
      <c r="HY27">
        <v>27.07</v>
      </c>
      <c r="HZ27">
        <v>76.3</v>
      </c>
      <c r="IA27">
        <v>255.98</v>
      </c>
      <c r="IB27">
        <v>76.3</v>
      </c>
      <c r="IC27">
        <v>51.69</v>
      </c>
      <c r="ID27">
        <v>56.61</v>
      </c>
      <c r="IE27">
        <v>49.23</v>
      </c>
      <c r="IF27">
        <v>578.41999999999996</v>
      </c>
      <c r="IG27">
        <v>49.23</v>
      </c>
      <c r="IH27">
        <v>1.49</v>
      </c>
      <c r="II27">
        <v>337.2</v>
      </c>
      <c r="IJ27">
        <v>78.760000000000005</v>
      </c>
      <c r="IK27">
        <v>49.23</v>
      </c>
      <c r="IL27">
        <v>504.58</v>
      </c>
      <c r="IM27">
        <v>100.92</v>
      </c>
      <c r="IN27">
        <v>226.44</v>
      </c>
      <c r="IO27">
        <v>174.76</v>
      </c>
      <c r="IP27">
        <v>44.3</v>
      </c>
      <c r="IQ27">
        <v>46.77</v>
      </c>
      <c r="IR27">
        <v>29.54</v>
      </c>
      <c r="IS27">
        <v>22.15</v>
      </c>
      <c r="IT27">
        <v>41.84</v>
      </c>
      <c r="IU27">
        <v>98.45</v>
      </c>
      <c r="IV27">
        <v>499.65</v>
      </c>
      <c r="IW27">
        <v>93.53</v>
      </c>
      <c r="IX27">
        <v>2018.3</v>
      </c>
      <c r="IY27">
        <v>56.61</v>
      </c>
      <c r="IZ27">
        <v>54.15</v>
      </c>
      <c r="JA27">
        <v>243.67</v>
      </c>
      <c r="JB27">
        <v>243.67</v>
      </c>
      <c r="JC27">
        <v>51.69</v>
      </c>
      <c r="JD27">
        <v>152.6</v>
      </c>
      <c r="JE27">
        <v>17.23</v>
      </c>
      <c r="JF27">
        <v>17.23</v>
      </c>
      <c r="JG27">
        <v>29.54</v>
      </c>
      <c r="JH27">
        <v>814.71</v>
      </c>
      <c r="JI27">
        <v>452.89</v>
      </c>
      <c r="JJ27">
        <v>470.12</v>
      </c>
      <c r="JK27">
        <v>68.92</v>
      </c>
      <c r="JL27">
        <v>123.07</v>
      </c>
      <c r="JM27">
        <v>24.61</v>
      </c>
      <c r="JN27">
        <v>34.46</v>
      </c>
      <c r="JO27">
        <v>105.84</v>
      </c>
      <c r="JP27">
        <v>612.88</v>
      </c>
      <c r="JQ27">
        <v>2195.52</v>
      </c>
      <c r="JR27">
        <v>12.31</v>
      </c>
      <c r="JS27">
        <v>34.46</v>
      </c>
      <c r="JT27">
        <v>66.459999999999994</v>
      </c>
      <c r="JU27">
        <v>194.45</v>
      </c>
      <c r="JV27">
        <v>497.19</v>
      </c>
      <c r="JW27">
        <v>63.99</v>
      </c>
      <c r="JX27">
        <v>46.77</v>
      </c>
      <c r="JY27">
        <v>142.76</v>
      </c>
      <c r="JZ27">
        <v>7.38</v>
      </c>
      <c r="KA27">
        <v>24.61</v>
      </c>
      <c r="KB27">
        <v>17.23</v>
      </c>
      <c r="KC27">
        <v>4.92</v>
      </c>
      <c r="KD27">
        <v>7.38</v>
      </c>
      <c r="KE27">
        <v>145.22</v>
      </c>
      <c r="KF27">
        <v>120.61</v>
      </c>
      <c r="KG27">
        <v>159.99</v>
      </c>
      <c r="KH27">
        <v>66.459999999999994</v>
      </c>
      <c r="KI27">
        <v>157.53</v>
      </c>
      <c r="KJ27">
        <v>81.22</v>
      </c>
      <c r="KK27">
        <v>71.38</v>
      </c>
      <c r="KL27">
        <v>76.3</v>
      </c>
      <c r="KM27">
        <v>83.69</v>
      </c>
      <c r="KN27">
        <v>174.76</v>
      </c>
      <c r="KO27">
        <v>701.48</v>
      </c>
      <c r="KP27">
        <v>108.3</v>
      </c>
      <c r="KQ27">
        <v>3150.52</v>
      </c>
      <c r="KR27">
        <v>356.9</v>
      </c>
      <c r="KS27">
        <v>396.28</v>
      </c>
      <c r="KT27">
        <v>3194.83</v>
      </c>
      <c r="KU27">
        <v>17290.96</v>
      </c>
      <c r="KV27">
        <v>2126.6</v>
      </c>
      <c r="KW27">
        <v>228.91</v>
      </c>
      <c r="KX27">
        <v>214.14</v>
      </c>
      <c r="KY27">
        <v>44.3</v>
      </c>
      <c r="KZ27">
        <v>27.07</v>
      </c>
      <c r="LA27">
        <v>571.03</v>
      </c>
      <c r="LB27">
        <v>595.65</v>
      </c>
      <c r="LC27">
        <v>1.49</v>
      </c>
      <c r="LD27">
        <v>7.38</v>
      </c>
      <c r="LE27">
        <v>1.49</v>
      </c>
      <c r="LF27">
        <v>1998.61</v>
      </c>
      <c r="LG27">
        <v>347.05</v>
      </c>
      <c r="LH27">
        <v>1.49</v>
      </c>
      <c r="LI27">
        <v>4103.0600000000004</v>
      </c>
      <c r="LJ27">
        <v>275.67</v>
      </c>
      <c r="LK27">
        <v>1767.25</v>
      </c>
      <c r="LL27">
        <v>118.14</v>
      </c>
      <c r="LM27">
        <v>14.77</v>
      </c>
      <c r="LN27">
        <v>211.68</v>
      </c>
      <c r="LO27">
        <v>46.77</v>
      </c>
      <c r="LP27">
        <v>1041.1500000000001</v>
      </c>
      <c r="LQ27">
        <v>44.3</v>
      </c>
      <c r="LR27">
        <v>145.22</v>
      </c>
      <c r="LS27">
        <v>34.46</v>
      </c>
      <c r="LT27">
        <v>19.690000000000001</v>
      </c>
      <c r="LU27">
        <v>105.84</v>
      </c>
      <c r="LV27">
        <v>34.46</v>
      </c>
      <c r="LW27">
        <v>580.88</v>
      </c>
      <c r="LX27">
        <v>937.77</v>
      </c>
      <c r="LY27">
        <v>1252.82</v>
      </c>
      <c r="LZ27">
        <v>5786.62</v>
      </c>
      <c r="MA27">
        <v>255.98</v>
      </c>
      <c r="MB27">
        <v>2956.08</v>
      </c>
      <c r="MC27">
        <v>908.24</v>
      </c>
      <c r="MD27">
        <v>347.05</v>
      </c>
      <c r="ME27">
        <v>152.6</v>
      </c>
      <c r="MF27">
        <v>1159.29</v>
      </c>
      <c r="MG27">
        <v>2276.7399999999998</v>
      </c>
      <c r="MH27">
        <v>425.81</v>
      </c>
      <c r="MI27">
        <v>54.15</v>
      </c>
      <c r="MJ27">
        <v>258.44</v>
      </c>
      <c r="MK27">
        <v>4.92</v>
      </c>
      <c r="ML27">
        <v>822.09</v>
      </c>
      <c r="MM27">
        <v>1006.69</v>
      </c>
      <c r="MN27">
        <v>295.36</v>
      </c>
      <c r="MO27">
        <v>12.31</v>
      </c>
      <c r="MP27">
        <v>63.99</v>
      </c>
      <c r="MQ27">
        <v>103.38</v>
      </c>
      <c r="MR27">
        <v>14.77</v>
      </c>
      <c r="MS27">
        <v>179.68</v>
      </c>
      <c r="MT27">
        <v>790.09</v>
      </c>
      <c r="MU27">
        <v>51.69</v>
      </c>
      <c r="MV27">
        <v>86.15</v>
      </c>
      <c r="MW27">
        <v>93.53</v>
      </c>
      <c r="MX27">
        <v>41.84</v>
      </c>
      <c r="MY27">
        <v>29.54</v>
      </c>
      <c r="MZ27">
        <v>706.41</v>
      </c>
      <c r="NA27">
        <v>27.07</v>
      </c>
      <c r="NB27">
        <v>1235.5999999999999</v>
      </c>
      <c r="NC27">
        <v>1215.9000000000001</v>
      </c>
      <c r="ND27">
        <v>100.92</v>
      </c>
      <c r="NE27">
        <v>351.97</v>
      </c>
      <c r="NF27">
        <v>24.61</v>
      </c>
      <c r="NG27">
        <v>4.92</v>
      </c>
      <c r="NH27">
        <v>54.15</v>
      </c>
      <c r="NI27">
        <v>662.1</v>
      </c>
      <c r="NJ27">
        <v>105.84</v>
      </c>
      <c r="NK27">
        <v>78.760000000000005</v>
      </c>
      <c r="NL27">
        <v>113.22</v>
      </c>
      <c r="NM27">
        <v>1577.72</v>
      </c>
      <c r="NN27">
        <v>221.52</v>
      </c>
      <c r="NO27">
        <v>34.46</v>
      </c>
      <c r="NP27">
        <v>9.85</v>
      </c>
      <c r="NQ27">
        <v>1090.3800000000001</v>
      </c>
      <c r="NR27">
        <v>287.98</v>
      </c>
      <c r="NS27">
        <v>536.57000000000005</v>
      </c>
      <c r="NT27">
        <v>231.37</v>
      </c>
      <c r="NU27">
        <v>871.32</v>
      </c>
      <c r="NV27">
        <v>285.52</v>
      </c>
      <c r="NW27">
        <v>174.76</v>
      </c>
      <c r="NX27">
        <v>95.99</v>
      </c>
      <c r="NY27">
        <v>61.53</v>
      </c>
      <c r="NZ27">
        <v>396.28</v>
      </c>
      <c r="OA27">
        <v>115.68</v>
      </c>
      <c r="OB27">
        <v>627.64</v>
      </c>
      <c r="OC27">
        <v>2229.98</v>
      </c>
      <c r="OD27">
        <v>100.92</v>
      </c>
      <c r="OE27">
        <v>1329.13</v>
      </c>
      <c r="OF27">
        <v>19.690000000000001</v>
      </c>
      <c r="OG27">
        <v>1885.39</v>
      </c>
      <c r="OH27">
        <v>152.6</v>
      </c>
      <c r="OI27">
        <v>71.38</v>
      </c>
      <c r="OJ27">
        <v>46.77</v>
      </c>
      <c r="OK27">
        <v>945.16</v>
      </c>
      <c r="OL27">
        <v>369.2</v>
      </c>
      <c r="OM27">
        <v>551.34</v>
      </c>
      <c r="ON27">
        <v>88.61</v>
      </c>
      <c r="OO27">
        <v>383.97</v>
      </c>
      <c r="OP27">
        <v>221.52</v>
      </c>
      <c r="OQ27">
        <v>504.58</v>
      </c>
      <c r="OR27">
        <v>54.15</v>
      </c>
      <c r="OS27">
        <v>339.67</v>
      </c>
      <c r="OT27">
        <v>255.98</v>
      </c>
      <c r="OU27">
        <v>46.77</v>
      </c>
      <c r="OV27">
        <v>216.6</v>
      </c>
      <c r="OW27">
        <v>4.92</v>
      </c>
      <c r="OX27">
        <v>100.92</v>
      </c>
      <c r="OY27">
        <v>140.30000000000001</v>
      </c>
      <c r="OZ27">
        <v>59.07</v>
      </c>
      <c r="PA27">
        <v>29.54</v>
      </c>
      <c r="PB27">
        <v>39.380000000000003</v>
      </c>
      <c r="PC27">
        <v>7.38</v>
      </c>
      <c r="PD27">
        <v>22.15</v>
      </c>
      <c r="PE27">
        <v>27.07</v>
      </c>
      <c r="PF27">
        <v>233.83</v>
      </c>
      <c r="PG27">
        <v>22.15</v>
      </c>
      <c r="PH27">
        <v>120.61</v>
      </c>
      <c r="PI27">
        <v>59.07</v>
      </c>
      <c r="PJ27">
        <v>4967</v>
      </c>
      <c r="PK27">
        <v>5725.09</v>
      </c>
      <c r="PL27">
        <v>51.69</v>
      </c>
      <c r="PM27">
        <v>6576.72</v>
      </c>
      <c r="PN27">
        <v>1331.59</v>
      </c>
      <c r="PO27">
        <v>150.13999999999999</v>
      </c>
      <c r="PP27">
        <v>275.67</v>
      </c>
      <c r="PQ27">
        <v>110.76</v>
      </c>
      <c r="PR27">
        <v>46.77</v>
      </c>
      <c r="PS27">
        <v>49.23</v>
      </c>
      <c r="PT27">
        <v>103.38</v>
      </c>
      <c r="PU27">
        <v>270.75</v>
      </c>
      <c r="PV27">
        <v>63.99</v>
      </c>
      <c r="PW27">
        <v>73.84</v>
      </c>
      <c r="PX27">
        <v>17.23</v>
      </c>
      <c r="PY27">
        <v>194.45</v>
      </c>
      <c r="PZ27">
        <v>24.61</v>
      </c>
      <c r="QA27">
        <v>283.05</v>
      </c>
      <c r="QB27">
        <v>1634.33</v>
      </c>
      <c r="QC27">
        <v>71.38</v>
      </c>
      <c r="QD27">
        <v>19.690000000000001</v>
      </c>
      <c r="QE27">
        <v>100.92</v>
      </c>
      <c r="QF27">
        <v>41.84</v>
      </c>
      <c r="QG27">
        <v>19.690000000000001</v>
      </c>
      <c r="QH27">
        <v>32</v>
      </c>
      <c r="QI27">
        <v>27.07</v>
      </c>
      <c r="QJ27">
        <v>73.84</v>
      </c>
      <c r="QK27">
        <v>17.23</v>
      </c>
      <c r="QL27">
        <v>221.52</v>
      </c>
      <c r="QM27">
        <v>494.73</v>
      </c>
      <c r="QN27">
        <v>590.72</v>
      </c>
      <c r="QO27">
        <v>17.23</v>
      </c>
      <c r="QP27">
        <v>140.30000000000001</v>
      </c>
      <c r="QQ27">
        <v>440.58</v>
      </c>
      <c r="QR27">
        <v>157.53</v>
      </c>
      <c r="QS27">
        <v>1245.44</v>
      </c>
      <c r="QT27">
        <v>477.5</v>
      </c>
      <c r="QU27">
        <v>44.3</v>
      </c>
      <c r="QV27">
        <v>78.760000000000005</v>
      </c>
      <c r="QW27">
        <v>78.760000000000005</v>
      </c>
      <c r="QX27">
        <v>51.69</v>
      </c>
      <c r="QY27">
        <v>211.68</v>
      </c>
      <c r="QZ27">
        <v>41.84</v>
      </c>
      <c r="RA27">
        <v>209.21</v>
      </c>
      <c r="RB27">
        <v>8976.5300000000007</v>
      </c>
      <c r="RC27">
        <v>120.61</v>
      </c>
      <c r="RD27">
        <v>1410.35</v>
      </c>
      <c r="RE27">
        <v>59.07</v>
      </c>
      <c r="RF27">
        <v>191.98</v>
      </c>
      <c r="RG27">
        <v>191.98</v>
      </c>
      <c r="RH27">
        <v>51.69</v>
      </c>
      <c r="RI27">
        <v>9.85</v>
      </c>
      <c r="RJ27">
        <v>155.06</v>
      </c>
      <c r="RK27">
        <v>44.3</v>
      </c>
      <c r="RL27">
        <v>137.84</v>
      </c>
      <c r="RM27">
        <v>118.14</v>
      </c>
      <c r="RN27">
        <v>241.21</v>
      </c>
      <c r="RO27">
        <v>962.39</v>
      </c>
      <c r="RP27">
        <v>71.38</v>
      </c>
      <c r="RQ27">
        <v>457.81</v>
      </c>
      <c r="RR27">
        <v>1.49</v>
      </c>
      <c r="RS27">
        <v>381.51</v>
      </c>
      <c r="RT27">
        <v>344.59</v>
      </c>
      <c r="RU27">
        <v>24.61</v>
      </c>
      <c r="RV27">
        <v>36.92</v>
      </c>
      <c r="RW27">
        <v>29.54</v>
      </c>
      <c r="RX27">
        <v>1811.55</v>
      </c>
      <c r="RY27">
        <v>827.01</v>
      </c>
      <c r="RZ27">
        <v>34.46</v>
      </c>
      <c r="SA27">
        <v>159.99</v>
      </c>
      <c r="SB27">
        <v>46.77</v>
      </c>
      <c r="SC27">
        <v>61.53</v>
      </c>
      <c r="SD27">
        <v>617.79999999999995</v>
      </c>
      <c r="SE27">
        <v>509.5</v>
      </c>
      <c r="SF27">
        <v>278.13</v>
      </c>
      <c r="SG27">
        <v>2229.98</v>
      </c>
      <c r="SH27">
        <v>59.07</v>
      </c>
      <c r="SI27">
        <v>98.45</v>
      </c>
      <c r="SJ27">
        <v>95.99</v>
      </c>
      <c r="SK27">
        <v>66.459999999999994</v>
      </c>
      <c r="SL27">
        <v>155.06</v>
      </c>
      <c r="SM27">
        <v>44.3</v>
      </c>
      <c r="SN27">
        <v>118.14</v>
      </c>
      <c r="SO27">
        <v>19.690000000000001</v>
      </c>
      <c r="SP27">
        <v>71.38</v>
      </c>
      <c r="SQ27">
        <v>639.95000000000005</v>
      </c>
      <c r="SR27">
        <v>620.26</v>
      </c>
      <c r="SS27">
        <v>706.41</v>
      </c>
      <c r="ST27">
        <v>1154.3699999999999</v>
      </c>
      <c r="SU27">
        <v>1208.52</v>
      </c>
      <c r="SV27">
        <v>519.34</v>
      </c>
      <c r="SW27">
        <v>470.12</v>
      </c>
      <c r="SX27">
        <v>130.44999999999999</v>
      </c>
      <c r="SY27">
        <v>475.04</v>
      </c>
      <c r="SZ27">
        <v>7.38</v>
      </c>
      <c r="TA27">
        <v>34.46</v>
      </c>
      <c r="TB27">
        <v>529.19000000000005</v>
      </c>
      <c r="TC27">
        <v>428.27</v>
      </c>
      <c r="TD27">
        <v>46.77</v>
      </c>
      <c r="TE27">
        <v>492.27</v>
      </c>
      <c r="TF27">
        <v>292.89999999999998</v>
      </c>
      <c r="TG27">
        <v>605.49</v>
      </c>
      <c r="TH27">
        <v>93.53</v>
      </c>
      <c r="TI27">
        <v>196.91</v>
      </c>
      <c r="TJ27">
        <v>19.690000000000001</v>
      </c>
      <c r="TK27">
        <v>118.14</v>
      </c>
      <c r="TL27">
        <v>93.53</v>
      </c>
      <c r="TM27">
        <v>32</v>
      </c>
      <c r="TN27">
        <v>342.13</v>
      </c>
      <c r="TO27">
        <v>329.82</v>
      </c>
      <c r="TP27">
        <v>457.81</v>
      </c>
      <c r="TQ27">
        <v>226.44</v>
      </c>
      <c r="TR27">
        <v>12.31</v>
      </c>
      <c r="TS27">
        <v>167.37</v>
      </c>
      <c r="TT27">
        <v>137.84</v>
      </c>
      <c r="TU27">
        <v>44.3</v>
      </c>
      <c r="TV27">
        <v>127.99</v>
      </c>
      <c r="TW27">
        <v>280.58999999999997</v>
      </c>
      <c r="TX27">
        <v>98.45</v>
      </c>
      <c r="TY27">
        <v>76.3</v>
      </c>
      <c r="TZ27">
        <v>36.92</v>
      </c>
      <c r="UA27">
        <v>98.45</v>
      </c>
      <c r="UB27">
        <v>132.91</v>
      </c>
      <c r="UC27">
        <v>5538.03</v>
      </c>
      <c r="UD27">
        <v>49.23</v>
      </c>
      <c r="UE27">
        <v>46.77</v>
      </c>
      <c r="UF27">
        <v>529.19000000000005</v>
      </c>
      <c r="UG27">
        <v>162.44999999999999</v>
      </c>
      <c r="UH27">
        <v>19.690000000000001</v>
      </c>
      <c r="UI27">
        <v>32</v>
      </c>
      <c r="UJ27">
        <v>36.92</v>
      </c>
      <c r="UK27">
        <v>36.92</v>
      </c>
      <c r="UL27">
        <v>17.23</v>
      </c>
      <c r="UM27">
        <v>4.92</v>
      </c>
      <c r="UN27">
        <v>123.07</v>
      </c>
      <c r="UO27">
        <v>81.22</v>
      </c>
      <c r="UP27">
        <v>9.85</v>
      </c>
      <c r="UQ27">
        <v>24.61</v>
      </c>
      <c r="UR27">
        <v>44.3</v>
      </c>
      <c r="US27">
        <v>41.84</v>
      </c>
      <c r="UT27">
        <v>315.05</v>
      </c>
      <c r="UU27">
        <v>571.03</v>
      </c>
      <c r="UV27">
        <v>504.58</v>
      </c>
      <c r="UW27">
        <v>499.65</v>
      </c>
      <c r="UX27">
        <v>83.69</v>
      </c>
      <c r="UY27">
        <v>319.97000000000003</v>
      </c>
      <c r="UZ27">
        <v>61.53</v>
      </c>
      <c r="VA27">
        <v>305.20999999999998</v>
      </c>
      <c r="VB27">
        <v>733.48</v>
      </c>
      <c r="VC27">
        <v>73.84</v>
      </c>
      <c r="VD27">
        <v>191.98</v>
      </c>
      <c r="VE27">
        <v>66.459999999999994</v>
      </c>
      <c r="VF27">
        <v>418.43</v>
      </c>
      <c r="VG27">
        <v>71.38</v>
      </c>
      <c r="VH27">
        <v>22.15</v>
      </c>
      <c r="VI27">
        <v>36.92</v>
      </c>
      <c r="VJ27">
        <v>73.84</v>
      </c>
      <c r="VK27">
        <v>312.58999999999997</v>
      </c>
      <c r="VL27">
        <v>450.43</v>
      </c>
      <c r="VM27">
        <v>428.27</v>
      </c>
      <c r="VN27">
        <v>187.06</v>
      </c>
      <c r="VO27">
        <v>4.92</v>
      </c>
      <c r="VP27">
        <v>7.38</v>
      </c>
      <c r="VQ27">
        <v>610.41</v>
      </c>
      <c r="VR27">
        <v>199.37</v>
      </c>
      <c r="VS27">
        <v>334.74</v>
      </c>
      <c r="VT27">
        <v>27.07</v>
      </c>
      <c r="VU27">
        <v>41.84</v>
      </c>
      <c r="VV27">
        <v>12.31</v>
      </c>
      <c r="VW27">
        <v>113.22</v>
      </c>
      <c r="VX27">
        <v>88.61</v>
      </c>
      <c r="VY27">
        <v>9.85</v>
      </c>
      <c r="VZ27">
        <v>8297.2000000000007</v>
      </c>
      <c r="WA27">
        <v>9089.75</v>
      </c>
      <c r="WB27">
        <v>187.06</v>
      </c>
      <c r="WC27">
        <v>108.3</v>
      </c>
      <c r="WD27">
        <v>383.97</v>
      </c>
      <c r="WE27">
        <v>1432.5</v>
      </c>
      <c r="WF27">
        <v>103.38</v>
      </c>
      <c r="WG27">
        <v>204.29</v>
      </c>
      <c r="WH27">
        <v>6416.73</v>
      </c>
      <c r="WI27">
        <v>15280.03</v>
      </c>
      <c r="WJ27">
        <v>1459.58</v>
      </c>
      <c r="WK27">
        <v>172.29</v>
      </c>
      <c r="WL27">
        <v>211.68</v>
      </c>
      <c r="WM27">
        <v>32</v>
      </c>
      <c r="WN27">
        <v>56.61</v>
      </c>
      <c r="WO27">
        <v>4.92</v>
      </c>
      <c r="WP27">
        <v>125.53</v>
      </c>
      <c r="WQ27">
        <v>1048.53</v>
      </c>
      <c r="WR27">
        <v>797.48</v>
      </c>
      <c r="WS27">
        <v>24.61</v>
      </c>
      <c r="WT27">
        <v>9.85</v>
      </c>
      <c r="WU27">
        <v>344.59</v>
      </c>
      <c r="WV27">
        <v>472.58</v>
      </c>
      <c r="WW27">
        <v>34.46</v>
      </c>
      <c r="WX27">
        <v>14.77</v>
      </c>
      <c r="WY27">
        <v>66.459999999999994</v>
      </c>
      <c r="WZ27">
        <v>66.459999999999994</v>
      </c>
      <c r="XA27">
        <v>19.690000000000001</v>
      </c>
      <c r="XB27">
        <v>411.04</v>
      </c>
      <c r="XC27">
        <v>49.23</v>
      </c>
      <c r="XD27">
        <v>150.13999999999999</v>
      </c>
      <c r="XE27">
        <v>191.98</v>
      </c>
      <c r="XF27">
        <v>612.88</v>
      </c>
      <c r="XG27">
        <v>1023.92</v>
      </c>
      <c r="XH27">
        <v>81.22</v>
      </c>
      <c r="XI27">
        <v>962.39</v>
      </c>
      <c r="XJ27">
        <v>177.22</v>
      </c>
      <c r="XK27">
        <v>327.36</v>
      </c>
      <c r="XL27">
        <v>66.459999999999994</v>
      </c>
      <c r="XM27">
        <v>71.38</v>
      </c>
      <c r="XN27">
        <v>162.44999999999999</v>
      </c>
      <c r="XO27">
        <v>27.07</v>
      </c>
      <c r="XP27">
        <v>32</v>
      </c>
      <c r="XQ27">
        <v>12.31</v>
      </c>
      <c r="XR27">
        <v>7.38</v>
      </c>
      <c r="XS27">
        <v>3928.31</v>
      </c>
      <c r="XT27">
        <v>93.53</v>
      </c>
      <c r="XU27">
        <v>322.44</v>
      </c>
      <c r="XV27">
        <v>329.82</v>
      </c>
      <c r="XW27">
        <v>1439.89</v>
      </c>
      <c r="XX27">
        <v>1496.5</v>
      </c>
      <c r="XY27">
        <v>807.32</v>
      </c>
      <c r="XZ27">
        <v>83.69</v>
      </c>
      <c r="YA27">
        <v>238.75</v>
      </c>
      <c r="YB27">
        <v>169.83</v>
      </c>
      <c r="YC27">
        <v>41.84</v>
      </c>
      <c r="YD27">
        <v>967.31</v>
      </c>
      <c r="YE27">
        <v>315.05</v>
      </c>
      <c r="YF27">
        <v>551.34</v>
      </c>
      <c r="YG27">
        <v>127.99</v>
      </c>
      <c r="YH27">
        <v>34.46</v>
      </c>
      <c r="YI27">
        <v>95.99</v>
      </c>
      <c r="YJ27">
        <v>231.37</v>
      </c>
      <c r="YK27">
        <v>1.49</v>
      </c>
      <c r="YL27">
        <v>273.20999999999998</v>
      </c>
      <c r="YM27">
        <v>1823.86</v>
      </c>
      <c r="YN27">
        <v>132.91</v>
      </c>
      <c r="YO27">
        <v>66.459999999999994</v>
      </c>
      <c r="YP27">
        <v>662.1</v>
      </c>
      <c r="YQ27">
        <v>95.99</v>
      </c>
      <c r="YR27">
        <v>219.06</v>
      </c>
      <c r="YS27">
        <v>3224.36</v>
      </c>
      <c r="YT27">
        <v>150.13999999999999</v>
      </c>
      <c r="YU27">
        <v>174.76</v>
      </c>
      <c r="YV27">
        <v>44.3</v>
      </c>
      <c r="YW27">
        <v>29.54</v>
      </c>
      <c r="YX27">
        <v>71.38</v>
      </c>
      <c r="YY27">
        <v>189.52</v>
      </c>
      <c r="YZ27">
        <v>66.459999999999994</v>
      </c>
      <c r="ZA27">
        <v>150.13999999999999</v>
      </c>
      <c r="ZB27">
        <v>29.54</v>
      </c>
      <c r="ZC27">
        <v>24.61</v>
      </c>
      <c r="ZD27">
        <v>135.37</v>
      </c>
      <c r="ZE27">
        <v>41.84</v>
      </c>
      <c r="ZF27">
        <v>191.98</v>
      </c>
      <c r="ZG27">
        <v>147.68</v>
      </c>
      <c r="ZH27">
        <v>68.92</v>
      </c>
      <c r="ZI27">
        <v>324.89999999999998</v>
      </c>
      <c r="ZJ27">
        <v>465.19</v>
      </c>
      <c r="ZK27">
        <v>162.44999999999999</v>
      </c>
      <c r="ZL27">
        <v>17.23</v>
      </c>
      <c r="ZM27">
        <v>61.53</v>
      </c>
      <c r="ZN27">
        <v>32</v>
      </c>
      <c r="ZO27">
        <v>54.15</v>
      </c>
      <c r="ZP27">
        <v>174.76</v>
      </c>
      <c r="ZQ27">
        <v>36.92</v>
      </c>
      <c r="ZR27">
        <v>7.38</v>
      </c>
      <c r="ZS27">
        <v>580.88</v>
      </c>
      <c r="ZT27">
        <v>76.3</v>
      </c>
      <c r="ZU27">
        <v>130.44999999999999</v>
      </c>
      <c r="ZV27">
        <v>14.77</v>
      </c>
      <c r="ZW27">
        <v>24.61</v>
      </c>
      <c r="ZX27">
        <v>54.15</v>
      </c>
      <c r="ZY27">
        <v>1978.92</v>
      </c>
      <c r="ZZ27">
        <v>76.3</v>
      </c>
      <c r="AAA27">
        <v>98.45</v>
      </c>
      <c r="AAB27">
        <v>59.07</v>
      </c>
      <c r="AAC27">
        <v>24.61</v>
      </c>
      <c r="AAD27">
        <v>51.69</v>
      </c>
      <c r="AAE27">
        <v>34.46</v>
      </c>
      <c r="AAF27">
        <v>9.85</v>
      </c>
      <c r="AAG27">
        <v>103.38</v>
      </c>
      <c r="AAH27">
        <v>162.44999999999999</v>
      </c>
      <c r="AAI27">
        <v>2353.0500000000002</v>
      </c>
      <c r="AAJ27">
        <v>706.41</v>
      </c>
      <c r="AAK27">
        <v>302.75</v>
      </c>
      <c r="AAL27">
        <v>71.38</v>
      </c>
      <c r="AAM27">
        <v>36.92</v>
      </c>
      <c r="AAN27">
        <v>88.61</v>
      </c>
      <c r="AAO27">
        <v>132.91</v>
      </c>
      <c r="AAP27">
        <v>201.83</v>
      </c>
      <c r="AAQ27">
        <v>32</v>
      </c>
      <c r="AAR27">
        <v>61.53</v>
      </c>
      <c r="AAS27">
        <v>767.94</v>
      </c>
      <c r="AAT27">
        <v>7.38</v>
      </c>
      <c r="AAU27">
        <v>1.49</v>
      </c>
      <c r="AAV27">
        <v>1270.05</v>
      </c>
      <c r="AAW27">
        <v>100.92</v>
      </c>
      <c r="AAX27">
        <v>68.92</v>
      </c>
      <c r="AAY27">
        <v>251.06</v>
      </c>
      <c r="AAZ27">
        <v>32</v>
      </c>
      <c r="ABA27">
        <v>285.52</v>
      </c>
      <c r="ABB27">
        <v>71.38</v>
      </c>
      <c r="ABC27">
        <v>1073.1500000000001</v>
      </c>
      <c r="ABD27">
        <v>516.88</v>
      </c>
      <c r="ABE27">
        <v>211.68</v>
      </c>
      <c r="ABF27">
        <v>487.35</v>
      </c>
      <c r="ABG27">
        <v>54.15</v>
      </c>
      <c r="ABH27">
        <v>123.07</v>
      </c>
      <c r="ABI27">
        <v>54.15</v>
      </c>
      <c r="ABJ27">
        <v>73.84</v>
      </c>
      <c r="ABK27">
        <v>95.99</v>
      </c>
      <c r="ABL27">
        <v>12.31</v>
      </c>
      <c r="ABM27">
        <v>49.23</v>
      </c>
      <c r="ABN27">
        <v>91.07</v>
      </c>
      <c r="ABO27">
        <v>17.23</v>
      </c>
      <c r="ABP27">
        <v>27.07</v>
      </c>
      <c r="ABQ27">
        <v>462.73</v>
      </c>
      <c r="ABR27">
        <v>66.459999999999994</v>
      </c>
      <c r="ABS27">
        <v>312.58999999999997</v>
      </c>
      <c r="ABT27">
        <v>24.61</v>
      </c>
      <c r="ABU27">
        <v>19.690000000000001</v>
      </c>
      <c r="ABV27">
        <v>76.3</v>
      </c>
      <c r="ABW27">
        <v>248.6</v>
      </c>
      <c r="ABX27">
        <v>413.51</v>
      </c>
      <c r="ABY27">
        <v>278.13</v>
      </c>
      <c r="ABZ27">
        <v>147.68</v>
      </c>
      <c r="ACA27">
        <v>371.66</v>
      </c>
      <c r="ACB27">
        <v>354.43</v>
      </c>
      <c r="ACC27">
        <v>152.6</v>
      </c>
      <c r="ACD27">
        <v>253.52</v>
      </c>
      <c r="ACE27">
        <v>135.37</v>
      </c>
      <c r="ACF27">
        <v>3216.98</v>
      </c>
      <c r="ACG27">
        <v>1112.53</v>
      </c>
      <c r="ACH27">
        <v>315.05</v>
      </c>
      <c r="ACI27">
        <v>265.83</v>
      </c>
      <c r="ACJ27">
        <v>403.66</v>
      </c>
      <c r="ACK27">
        <v>238.75</v>
      </c>
      <c r="ACL27">
        <v>51.69</v>
      </c>
      <c r="ACM27">
        <v>132.91</v>
      </c>
      <c r="ACN27">
        <v>265.83</v>
      </c>
      <c r="ACO27">
        <v>1011.61</v>
      </c>
      <c r="ACP27">
        <v>273.20999999999998</v>
      </c>
      <c r="ACQ27">
        <v>157.53</v>
      </c>
      <c r="ACR27">
        <v>3551.72</v>
      </c>
    </row>
    <row r="28" spans="1:772" x14ac:dyDescent="0.3">
      <c r="A28" t="s">
        <v>13</v>
      </c>
      <c r="B28" t="s">
        <v>3</v>
      </c>
      <c r="C28">
        <v>377.48</v>
      </c>
      <c r="D28">
        <v>60.5</v>
      </c>
      <c r="E28">
        <v>501.11</v>
      </c>
      <c r="F28">
        <v>19.73</v>
      </c>
      <c r="G28">
        <v>545.83000000000004</v>
      </c>
      <c r="H28">
        <v>46.03</v>
      </c>
      <c r="I28">
        <v>935.14</v>
      </c>
      <c r="J28">
        <v>7495.58</v>
      </c>
      <c r="K28">
        <v>109.17</v>
      </c>
      <c r="L28">
        <v>52.61</v>
      </c>
      <c r="M28">
        <v>94.7</v>
      </c>
      <c r="N28">
        <v>461.65</v>
      </c>
      <c r="O28">
        <v>451.13</v>
      </c>
      <c r="P28">
        <v>177.56</v>
      </c>
      <c r="Q28">
        <v>61.82</v>
      </c>
      <c r="R28">
        <v>765.47</v>
      </c>
      <c r="S28">
        <v>11.84</v>
      </c>
      <c r="T28">
        <v>1528.31</v>
      </c>
      <c r="U28">
        <v>310.39999999999998</v>
      </c>
      <c r="V28">
        <v>253.84</v>
      </c>
      <c r="W28">
        <v>1171.8800000000001</v>
      </c>
      <c r="X28">
        <v>28.94</v>
      </c>
      <c r="Y28">
        <v>69.709999999999994</v>
      </c>
      <c r="Z28">
        <v>414.3</v>
      </c>
      <c r="AA28">
        <v>53.93</v>
      </c>
      <c r="AB28">
        <v>314.33999999999997</v>
      </c>
      <c r="AC28">
        <v>236.74</v>
      </c>
      <c r="AD28">
        <v>80.23</v>
      </c>
      <c r="AE28">
        <v>297.25</v>
      </c>
      <c r="AF28">
        <v>12880.19</v>
      </c>
      <c r="AG28">
        <v>77.599999999999994</v>
      </c>
      <c r="AH28">
        <v>131.52000000000001</v>
      </c>
      <c r="AI28">
        <v>52.61</v>
      </c>
      <c r="AJ28">
        <v>493.22</v>
      </c>
      <c r="AK28">
        <v>92.07</v>
      </c>
      <c r="AL28">
        <v>72.34</v>
      </c>
      <c r="AM28">
        <v>223.59</v>
      </c>
      <c r="AN28">
        <v>47.35</v>
      </c>
      <c r="AO28">
        <v>870.69</v>
      </c>
      <c r="AP28">
        <v>23.67</v>
      </c>
      <c r="AQ28">
        <v>149.94</v>
      </c>
      <c r="AR28">
        <v>35.51</v>
      </c>
      <c r="AS28">
        <v>298.56</v>
      </c>
      <c r="AT28">
        <v>9.2100000000000009</v>
      </c>
      <c r="AU28">
        <v>74.97</v>
      </c>
      <c r="AV28">
        <v>231.48</v>
      </c>
      <c r="AW28">
        <v>130.21</v>
      </c>
      <c r="AX28">
        <v>653.67999999999995</v>
      </c>
      <c r="AY28">
        <v>73.650000000000006</v>
      </c>
      <c r="AZ28">
        <v>113.11</v>
      </c>
      <c r="BA28">
        <v>210.44</v>
      </c>
      <c r="BB28">
        <v>260.42</v>
      </c>
      <c r="BC28">
        <v>122.32</v>
      </c>
      <c r="BD28">
        <v>21.04</v>
      </c>
      <c r="BE28">
        <v>386.68</v>
      </c>
      <c r="BF28">
        <v>740.48</v>
      </c>
      <c r="BG28">
        <v>71.02</v>
      </c>
      <c r="BH28">
        <v>30.25</v>
      </c>
      <c r="BI28">
        <v>22.36</v>
      </c>
      <c r="BJ28">
        <v>30.25</v>
      </c>
      <c r="BK28">
        <v>310.39999999999998</v>
      </c>
      <c r="BL28">
        <v>330.13</v>
      </c>
      <c r="BM28">
        <v>56.56</v>
      </c>
      <c r="BN28">
        <v>74.97</v>
      </c>
      <c r="BO28">
        <v>86.81</v>
      </c>
      <c r="BP28">
        <v>56.56</v>
      </c>
      <c r="BQ28">
        <v>10.52</v>
      </c>
      <c r="BR28">
        <v>63.13</v>
      </c>
      <c r="BS28">
        <v>19.73</v>
      </c>
      <c r="BT28">
        <v>3607.72</v>
      </c>
      <c r="BU28">
        <v>234.11</v>
      </c>
      <c r="BV28">
        <v>24.99</v>
      </c>
      <c r="BW28">
        <v>88.12</v>
      </c>
      <c r="BX28">
        <v>395.89</v>
      </c>
      <c r="BY28">
        <v>153.88</v>
      </c>
      <c r="BZ28">
        <v>306.45</v>
      </c>
      <c r="CA28">
        <v>201.23</v>
      </c>
      <c r="CB28">
        <v>257.79000000000002</v>
      </c>
      <c r="CC28">
        <v>117.06</v>
      </c>
      <c r="CD28">
        <v>505.05</v>
      </c>
      <c r="CE28">
        <v>484.01</v>
      </c>
      <c r="CF28">
        <v>311.70999999999998</v>
      </c>
      <c r="CG28">
        <v>67.08</v>
      </c>
      <c r="CH28">
        <v>94.7</v>
      </c>
      <c r="CI28">
        <v>15.78</v>
      </c>
      <c r="CJ28">
        <v>31.57</v>
      </c>
      <c r="CK28">
        <v>48.66</v>
      </c>
      <c r="CL28">
        <v>107.85</v>
      </c>
      <c r="CM28">
        <v>520.84</v>
      </c>
      <c r="CN28">
        <v>176.24</v>
      </c>
      <c r="CO28">
        <v>30.25</v>
      </c>
      <c r="CP28">
        <v>11.84</v>
      </c>
      <c r="CQ28">
        <v>35.51</v>
      </c>
      <c r="CR28">
        <v>59.19</v>
      </c>
      <c r="CS28">
        <v>4.4800000000000004</v>
      </c>
      <c r="CT28">
        <v>10.52</v>
      </c>
      <c r="CU28">
        <v>121</v>
      </c>
      <c r="CV28">
        <v>115.74</v>
      </c>
      <c r="CW28">
        <v>1225.81</v>
      </c>
      <c r="CX28">
        <v>31.57</v>
      </c>
      <c r="CY28">
        <v>255.16</v>
      </c>
      <c r="CZ28">
        <v>205.18</v>
      </c>
      <c r="DA28">
        <v>65.760000000000005</v>
      </c>
      <c r="DB28">
        <v>30.25</v>
      </c>
      <c r="DC28">
        <v>61.82</v>
      </c>
      <c r="DD28">
        <v>28.94</v>
      </c>
      <c r="DE28">
        <v>34.200000000000003</v>
      </c>
      <c r="DF28">
        <v>299.88</v>
      </c>
      <c r="DG28">
        <v>38.14</v>
      </c>
      <c r="DH28">
        <v>1968.92</v>
      </c>
      <c r="DI28">
        <v>15.78</v>
      </c>
      <c r="DJ28">
        <v>35.51</v>
      </c>
      <c r="DK28">
        <v>152.57</v>
      </c>
      <c r="DL28">
        <v>981.17</v>
      </c>
      <c r="DM28">
        <v>90.75</v>
      </c>
      <c r="DN28">
        <v>14.47</v>
      </c>
      <c r="DO28">
        <v>51.29</v>
      </c>
      <c r="DP28">
        <v>24.99</v>
      </c>
      <c r="DQ28">
        <v>2072.83</v>
      </c>
      <c r="DR28">
        <v>21.04</v>
      </c>
      <c r="DS28">
        <v>6.58</v>
      </c>
      <c r="DT28">
        <v>63.13</v>
      </c>
      <c r="DU28">
        <v>3015.86</v>
      </c>
      <c r="DV28">
        <v>56.56</v>
      </c>
      <c r="DW28">
        <v>21.04</v>
      </c>
      <c r="DX28">
        <v>71.02</v>
      </c>
      <c r="DY28">
        <v>151.25</v>
      </c>
      <c r="DZ28">
        <v>63.13</v>
      </c>
      <c r="EA28">
        <v>34.200000000000003</v>
      </c>
      <c r="EB28">
        <v>65.760000000000005</v>
      </c>
      <c r="EC28">
        <v>31.57</v>
      </c>
      <c r="ED28">
        <v>155.19999999999999</v>
      </c>
      <c r="EE28">
        <v>23.67</v>
      </c>
      <c r="EF28">
        <v>1246.8499999999999</v>
      </c>
      <c r="EG28">
        <v>397.2</v>
      </c>
      <c r="EH28">
        <v>90.75</v>
      </c>
      <c r="EI28">
        <v>47.35</v>
      </c>
      <c r="EJ28">
        <v>261.73</v>
      </c>
      <c r="EK28">
        <v>448.5</v>
      </c>
      <c r="EL28">
        <v>1561.2</v>
      </c>
      <c r="EM28">
        <v>89.44</v>
      </c>
      <c r="EN28">
        <v>52.61</v>
      </c>
      <c r="EO28">
        <v>27.62</v>
      </c>
      <c r="EP28">
        <v>59.19</v>
      </c>
      <c r="EQ28">
        <v>1841.34</v>
      </c>
      <c r="ER28">
        <v>101.27</v>
      </c>
      <c r="ES28">
        <v>190.71</v>
      </c>
      <c r="ET28">
        <v>13.15</v>
      </c>
      <c r="EU28">
        <v>226.22</v>
      </c>
      <c r="EV28">
        <v>31.57</v>
      </c>
      <c r="EW28">
        <v>23.67</v>
      </c>
      <c r="EX28">
        <v>82.86</v>
      </c>
      <c r="EY28">
        <v>68.39</v>
      </c>
      <c r="EZ28">
        <v>30.25</v>
      </c>
      <c r="FA28">
        <v>159.13999999999999</v>
      </c>
      <c r="FB28">
        <v>11.84</v>
      </c>
      <c r="FC28">
        <v>93.38</v>
      </c>
      <c r="FD28">
        <v>32.880000000000003</v>
      </c>
      <c r="FE28">
        <v>2321.41</v>
      </c>
      <c r="FF28">
        <v>71.02</v>
      </c>
      <c r="FG28">
        <v>1023.26</v>
      </c>
      <c r="FH28">
        <v>2041.26</v>
      </c>
      <c r="FI28">
        <v>4.4800000000000004</v>
      </c>
      <c r="FJ28">
        <v>185.45</v>
      </c>
      <c r="FK28">
        <v>1207.3900000000001</v>
      </c>
      <c r="FL28">
        <v>67.08</v>
      </c>
      <c r="FM28">
        <v>328.81</v>
      </c>
      <c r="FN28">
        <v>119.69</v>
      </c>
      <c r="FO28">
        <v>39.46</v>
      </c>
      <c r="FP28">
        <v>11.84</v>
      </c>
      <c r="FQ28">
        <v>40.770000000000003</v>
      </c>
      <c r="FR28">
        <v>7.89</v>
      </c>
      <c r="FS28">
        <v>4.4800000000000004</v>
      </c>
      <c r="FT28">
        <v>44.72</v>
      </c>
      <c r="FU28">
        <v>1939.99</v>
      </c>
      <c r="FV28">
        <v>2212.2399999999998</v>
      </c>
      <c r="FW28">
        <v>39.46</v>
      </c>
      <c r="FX28">
        <v>84.18</v>
      </c>
      <c r="FY28">
        <v>31.57</v>
      </c>
      <c r="FZ28">
        <v>890.42</v>
      </c>
      <c r="GA28">
        <v>647.1</v>
      </c>
      <c r="GB28">
        <v>486.64</v>
      </c>
      <c r="GC28">
        <v>21.04</v>
      </c>
      <c r="GD28">
        <v>23.67</v>
      </c>
      <c r="GE28">
        <v>86.81</v>
      </c>
      <c r="GF28">
        <v>276.2</v>
      </c>
      <c r="GG28">
        <v>823.34</v>
      </c>
      <c r="GH28">
        <v>149.94</v>
      </c>
      <c r="GI28">
        <v>264.36</v>
      </c>
      <c r="GJ28">
        <v>122.32</v>
      </c>
      <c r="GK28">
        <v>3497.24</v>
      </c>
      <c r="GL28">
        <v>197.29</v>
      </c>
      <c r="GM28">
        <v>53.93</v>
      </c>
      <c r="GN28">
        <v>6.58</v>
      </c>
      <c r="GO28">
        <v>203.86</v>
      </c>
      <c r="GP28">
        <v>32.880000000000003</v>
      </c>
      <c r="GQ28">
        <v>27.62</v>
      </c>
      <c r="GR28">
        <v>649.73</v>
      </c>
      <c r="GS28">
        <v>249.9</v>
      </c>
      <c r="GT28">
        <v>202.55</v>
      </c>
      <c r="GU28">
        <v>28.94</v>
      </c>
      <c r="GV28">
        <v>64.45</v>
      </c>
      <c r="GW28">
        <v>71.02</v>
      </c>
      <c r="GX28">
        <v>273.57</v>
      </c>
      <c r="GY28">
        <v>32.880000000000003</v>
      </c>
      <c r="GZ28">
        <v>280.14999999999998</v>
      </c>
      <c r="HA28">
        <v>235.43</v>
      </c>
      <c r="HB28">
        <v>540.57000000000005</v>
      </c>
      <c r="HC28">
        <v>113.11</v>
      </c>
      <c r="HD28">
        <v>836.5</v>
      </c>
      <c r="HE28">
        <v>26.3</v>
      </c>
      <c r="HF28">
        <v>1624.33</v>
      </c>
      <c r="HG28">
        <v>259.10000000000002</v>
      </c>
      <c r="HH28">
        <v>59.19</v>
      </c>
      <c r="HI28">
        <v>36.83</v>
      </c>
      <c r="HJ28">
        <v>697.08</v>
      </c>
      <c r="HK28">
        <v>1713.76</v>
      </c>
      <c r="HL28">
        <v>798.35</v>
      </c>
      <c r="HM28">
        <v>85.49</v>
      </c>
      <c r="HN28">
        <v>666.83</v>
      </c>
      <c r="HO28">
        <v>53.93</v>
      </c>
      <c r="HP28">
        <v>61.82</v>
      </c>
      <c r="HQ28">
        <v>9252.75</v>
      </c>
      <c r="HR28">
        <v>77.599999999999994</v>
      </c>
      <c r="HS28">
        <v>9.2100000000000009</v>
      </c>
      <c r="HT28">
        <v>136.79</v>
      </c>
      <c r="HU28">
        <v>165.72</v>
      </c>
      <c r="HV28">
        <v>98.64</v>
      </c>
      <c r="HW28">
        <v>1609.86</v>
      </c>
      <c r="HX28">
        <v>36.83</v>
      </c>
      <c r="HY28">
        <v>51.29</v>
      </c>
      <c r="HZ28">
        <v>97.33</v>
      </c>
      <c r="IA28">
        <v>294.61</v>
      </c>
      <c r="IB28">
        <v>89.44</v>
      </c>
      <c r="IC28">
        <v>61.82</v>
      </c>
      <c r="ID28">
        <v>126.26</v>
      </c>
      <c r="IE28">
        <v>53.93</v>
      </c>
      <c r="IF28">
        <v>576.08000000000004</v>
      </c>
      <c r="IG28">
        <v>32.880000000000003</v>
      </c>
      <c r="IH28">
        <v>4.4800000000000004</v>
      </c>
      <c r="II28">
        <v>291.98</v>
      </c>
      <c r="IJ28">
        <v>42.09</v>
      </c>
      <c r="IK28">
        <v>42.09</v>
      </c>
      <c r="IL28">
        <v>386.68</v>
      </c>
      <c r="IM28">
        <v>122.32</v>
      </c>
      <c r="IN28">
        <v>144.68</v>
      </c>
      <c r="IO28">
        <v>211.75</v>
      </c>
      <c r="IP28">
        <v>22.36</v>
      </c>
      <c r="IQ28">
        <v>77.599999999999994</v>
      </c>
      <c r="IR28">
        <v>44.72</v>
      </c>
      <c r="IS28">
        <v>13.15</v>
      </c>
      <c r="IT28">
        <v>28.94</v>
      </c>
      <c r="IU28">
        <v>142.05000000000001</v>
      </c>
      <c r="IV28">
        <v>514.26</v>
      </c>
      <c r="IW28">
        <v>93.38</v>
      </c>
      <c r="IX28">
        <v>1949.19</v>
      </c>
      <c r="IY28">
        <v>49.98</v>
      </c>
      <c r="IZ28">
        <v>43.4</v>
      </c>
      <c r="JA28">
        <v>307.77</v>
      </c>
      <c r="JB28">
        <v>168.35</v>
      </c>
      <c r="JC28">
        <v>42.09</v>
      </c>
      <c r="JD28">
        <v>145.99</v>
      </c>
      <c r="JE28">
        <v>15.78</v>
      </c>
      <c r="JF28">
        <v>21.04</v>
      </c>
      <c r="JG28">
        <v>27.62</v>
      </c>
      <c r="JH28">
        <v>509</v>
      </c>
      <c r="JI28">
        <v>335.39</v>
      </c>
      <c r="JJ28">
        <v>290.67</v>
      </c>
      <c r="JK28">
        <v>53.93</v>
      </c>
      <c r="JL28">
        <v>106.53</v>
      </c>
      <c r="JM28">
        <v>34.200000000000003</v>
      </c>
      <c r="JN28">
        <v>21.04</v>
      </c>
      <c r="JO28">
        <v>88.12</v>
      </c>
      <c r="JP28">
        <v>633.95000000000005</v>
      </c>
      <c r="JQ28">
        <v>2239.86</v>
      </c>
      <c r="JR28">
        <v>14.47</v>
      </c>
      <c r="JS28">
        <v>38.14</v>
      </c>
      <c r="JT28">
        <v>46.03</v>
      </c>
      <c r="JU28">
        <v>256.47000000000003</v>
      </c>
      <c r="JV28">
        <v>570.82000000000005</v>
      </c>
      <c r="JW28">
        <v>47.35</v>
      </c>
      <c r="JX28">
        <v>43.4</v>
      </c>
      <c r="JY28">
        <v>138.1</v>
      </c>
      <c r="JZ28">
        <v>9.2100000000000009</v>
      </c>
      <c r="KA28">
        <v>61.82</v>
      </c>
      <c r="KB28">
        <v>21.04</v>
      </c>
      <c r="KC28">
        <v>9.2100000000000009</v>
      </c>
      <c r="KD28">
        <v>15.78</v>
      </c>
      <c r="KE28">
        <v>126.26</v>
      </c>
      <c r="KF28">
        <v>157.83000000000001</v>
      </c>
      <c r="KG28">
        <v>145.99</v>
      </c>
      <c r="KH28">
        <v>47.35</v>
      </c>
      <c r="KI28">
        <v>185.45</v>
      </c>
      <c r="KJ28">
        <v>68.39</v>
      </c>
      <c r="KK28">
        <v>103.9</v>
      </c>
      <c r="KL28">
        <v>65.760000000000005</v>
      </c>
      <c r="KM28">
        <v>109.17</v>
      </c>
      <c r="KN28">
        <v>136.79</v>
      </c>
      <c r="KO28">
        <v>735.22</v>
      </c>
      <c r="KP28">
        <v>90.75</v>
      </c>
      <c r="KQ28">
        <v>4068.05</v>
      </c>
      <c r="KR28">
        <v>470.86</v>
      </c>
      <c r="KS28">
        <v>302.51</v>
      </c>
      <c r="KT28">
        <v>3085.56</v>
      </c>
      <c r="KU28">
        <v>17862.34</v>
      </c>
      <c r="KV28">
        <v>2101.7600000000002</v>
      </c>
      <c r="KW28">
        <v>245.95</v>
      </c>
      <c r="KX28">
        <v>214.38</v>
      </c>
      <c r="KY28">
        <v>38.14</v>
      </c>
      <c r="KZ28">
        <v>46.03</v>
      </c>
      <c r="LA28">
        <v>574.76</v>
      </c>
      <c r="LB28">
        <v>562.91999999999996</v>
      </c>
      <c r="LC28">
        <v>4.4800000000000004</v>
      </c>
      <c r="LD28">
        <v>6.58</v>
      </c>
      <c r="LE28">
        <v>4.4800000000000004</v>
      </c>
      <c r="LF28">
        <v>1821.61</v>
      </c>
      <c r="LG28">
        <v>334.07</v>
      </c>
      <c r="LH28">
        <v>4.4800000000000004</v>
      </c>
      <c r="LI28">
        <v>3460.41</v>
      </c>
      <c r="LJ28">
        <v>261.73</v>
      </c>
      <c r="LK28">
        <v>1834.77</v>
      </c>
      <c r="LL28">
        <v>97.33</v>
      </c>
      <c r="LM28">
        <v>19.73</v>
      </c>
      <c r="LN28">
        <v>277.52</v>
      </c>
      <c r="LO28">
        <v>49.98</v>
      </c>
      <c r="LP28">
        <v>866.75</v>
      </c>
      <c r="LQ28">
        <v>73.650000000000006</v>
      </c>
      <c r="LR28">
        <v>143.36000000000001</v>
      </c>
      <c r="LS28">
        <v>21.04</v>
      </c>
      <c r="LT28">
        <v>13.15</v>
      </c>
      <c r="LU28">
        <v>84.18</v>
      </c>
      <c r="LV28">
        <v>34.200000000000003</v>
      </c>
      <c r="LW28">
        <v>224.91</v>
      </c>
      <c r="LX28">
        <v>1075.8699999999999</v>
      </c>
      <c r="LY28">
        <v>1337.6</v>
      </c>
      <c r="LZ28">
        <v>5684.49</v>
      </c>
      <c r="MA28">
        <v>302.51</v>
      </c>
      <c r="MB28">
        <v>3363.08</v>
      </c>
      <c r="MC28">
        <v>845.7</v>
      </c>
      <c r="MD28">
        <v>414.3</v>
      </c>
      <c r="ME28">
        <v>159.13999999999999</v>
      </c>
      <c r="MF28">
        <v>975.91</v>
      </c>
      <c r="MG28">
        <v>1908.42</v>
      </c>
      <c r="MH28">
        <v>445.87</v>
      </c>
      <c r="MI28">
        <v>52.61</v>
      </c>
      <c r="MJ28">
        <v>249.9</v>
      </c>
      <c r="MK28">
        <v>4.4800000000000004</v>
      </c>
      <c r="ML28">
        <v>1117.96</v>
      </c>
      <c r="MM28">
        <v>1100.8599999999999</v>
      </c>
      <c r="MN28">
        <v>343.28</v>
      </c>
      <c r="MO28">
        <v>17.100000000000001</v>
      </c>
      <c r="MP28">
        <v>49.98</v>
      </c>
      <c r="MQ28">
        <v>135.47</v>
      </c>
      <c r="MR28">
        <v>10.52</v>
      </c>
      <c r="MS28">
        <v>198.6</v>
      </c>
      <c r="MT28">
        <v>657.62</v>
      </c>
      <c r="MU28">
        <v>51.29</v>
      </c>
      <c r="MV28">
        <v>64.45</v>
      </c>
      <c r="MW28">
        <v>84.18</v>
      </c>
      <c r="MX28">
        <v>99.96</v>
      </c>
      <c r="MY28">
        <v>32.880000000000003</v>
      </c>
      <c r="MZ28">
        <v>635.26</v>
      </c>
      <c r="NA28">
        <v>31.57</v>
      </c>
      <c r="NB28">
        <v>1392.84</v>
      </c>
      <c r="NC28">
        <v>1396.79</v>
      </c>
      <c r="ND28">
        <v>64.45</v>
      </c>
      <c r="NE28">
        <v>232.8</v>
      </c>
      <c r="NF28">
        <v>39.46</v>
      </c>
      <c r="NG28">
        <v>11.84</v>
      </c>
      <c r="NH28">
        <v>73.650000000000006</v>
      </c>
      <c r="NI28">
        <v>793.09</v>
      </c>
      <c r="NJ28">
        <v>93.38</v>
      </c>
      <c r="NK28">
        <v>56.56</v>
      </c>
      <c r="NL28">
        <v>139.41999999999999</v>
      </c>
      <c r="NM28">
        <v>1090.3399999999999</v>
      </c>
      <c r="NN28">
        <v>214.38</v>
      </c>
      <c r="NO28">
        <v>46.03</v>
      </c>
      <c r="NP28">
        <v>9.2100000000000009</v>
      </c>
      <c r="NQ28">
        <v>1163.99</v>
      </c>
      <c r="NR28">
        <v>248.58</v>
      </c>
      <c r="NS28">
        <v>515.58000000000004</v>
      </c>
      <c r="NT28">
        <v>295.93</v>
      </c>
      <c r="NU28">
        <v>558.98</v>
      </c>
      <c r="NV28">
        <v>322.23</v>
      </c>
      <c r="NW28">
        <v>194.66</v>
      </c>
      <c r="NX28">
        <v>148.62</v>
      </c>
      <c r="NY28">
        <v>72.34</v>
      </c>
      <c r="NZ28">
        <v>332.76</v>
      </c>
      <c r="OA28">
        <v>98.64</v>
      </c>
      <c r="OB28">
        <v>468.23</v>
      </c>
      <c r="OC28">
        <v>1943.93</v>
      </c>
      <c r="OD28">
        <v>99.96</v>
      </c>
      <c r="OE28">
        <v>1150.8399999999999</v>
      </c>
      <c r="OF28">
        <v>28.94</v>
      </c>
      <c r="OG28">
        <v>2228.02</v>
      </c>
      <c r="OH28">
        <v>172.3</v>
      </c>
      <c r="OI28">
        <v>80.23</v>
      </c>
      <c r="OJ28">
        <v>49.98</v>
      </c>
      <c r="OK28">
        <v>1224.49</v>
      </c>
      <c r="OL28">
        <v>378.79</v>
      </c>
      <c r="OM28">
        <v>526.1</v>
      </c>
      <c r="ON28">
        <v>127.58</v>
      </c>
      <c r="OO28">
        <v>315.66000000000003</v>
      </c>
      <c r="OP28">
        <v>264.36</v>
      </c>
      <c r="OQ28">
        <v>701.03</v>
      </c>
      <c r="OR28">
        <v>34.200000000000003</v>
      </c>
      <c r="OS28">
        <v>364.32</v>
      </c>
      <c r="OT28">
        <v>215.7</v>
      </c>
      <c r="OU28">
        <v>35.51</v>
      </c>
      <c r="OV28">
        <v>247.27</v>
      </c>
      <c r="OW28">
        <v>13.15</v>
      </c>
      <c r="OX28">
        <v>173.61</v>
      </c>
      <c r="OY28">
        <v>151.25</v>
      </c>
      <c r="OZ28">
        <v>77.599999999999994</v>
      </c>
      <c r="PA28">
        <v>30.25</v>
      </c>
      <c r="PB28">
        <v>90.75</v>
      </c>
      <c r="PC28">
        <v>9.2100000000000009</v>
      </c>
      <c r="PD28">
        <v>24.99</v>
      </c>
      <c r="PE28">
        <v>31.57</v>
      </c>
      <c r="PF28">
        <v>286.72000000000003</v>
      </c>
      <c r="PG28">
        <v>44.72</v>
      </c>
      <c r="PH28">
        <v>82.86</v>
      </c>
      <c r="PI28">
        <v>86.81</v>
      </c>
      <c r="PJ28">
        <v>4600.7299999999996</v>
      </c>
      <c r="PK28">
        <v>4408.7</v>
      </c>
      <c r="PL28">
        <v>61.82</v>
      </c>
      <c r="PM28">
        <v>8036.15</v>
      </c>
      <c r="PN28">
        <v>1917.63</v>
      </c>
      <c r="PO28">
        <v>86.81</v>
      </c>
      <c r="PP28">
        <v>310.39999999999998</v>
      </c>
      <c r="PQ28">
        <v>117.06</v>
      </c>
      <c r="PR28">
        <v>48.66</v>
      </c>
      <c r="PS28">
        <v>48.66</v>
      </c>
      <c r="PT28">
        <v>93.38</v>
      </c>
      <c r="PU28">
        <v>280.14999999999998</v>
      </c>
      <c r="PV28">
        <v>48.66</v>
      </c>
      <c r="PW28">
        <v>86.81</v>
      </c>
      <c r="PX28">
        <v>22.36</v>
      </c>
      <c r="PY28">
        <v>185.45</v>
      </c>
      <c r="PZ28">
        <v>44.72</v>
      </c>
      <c r="QA28">
        <v>352.49</v>
      </c>
      <c r="QB28">
        <v>1559.88</v>
      </c>
      <c r="QC28">
        <v>65.760000000000005</v>
      </c>
      <c r="QD28">
        <v>27.62</v>
      </c>
      <c r="QE28">
        <v>80.23</v>
      </c>
      <c r="QF28">
        <v>42.09</v>
      </c>
      <c r="QG28">
        <v>22.36</v>
      </c>
      <c r="QH28">
        <v>35.51</v>
      </c>
      <c r="QI28">
        <v>30.25</v>
      </c>
      <c r="QJ28">
        <v>76.28</v>
      </c>
      <c r="QK28">
        <v>14.47</v>
      </c>
      <c r="QL28">
        <v>214.38</v>
      </c>
      <c r="QM28">
        <v>526.1</v>
      </c>
      <c r="QN28">
        <v>503.74</v>
      </c>
      <c r="QO28">
        <v>19.73</v>
      </c>
      <c r="QP28">
        <v>131.52000000000001</v>
      </c>
      <c r="QQ28">
        <v>411.67</v>
      </c>
      <c r="QR28">
        <v>247.27</v>
      </c>
      <c r="QS28">
        <v>1291.57</v>
      </c>
      <c r="QT28">
        <v>523.47</v>
      </c>
      <c r="QU28">
        <v>59.19</v>
      </c>
      <c r="QV28">
        <v>114.43</v>
      </c>
      <c r="QW28">
        <v>69.709999999999994</v>
      </c>
      <c r="QX28">
        <v>88.12</v>
      </c>
      <c r="QY28">
        <v>357.75</v>
      </c>
      <c r="QZ28">
        <v>49.98</v>
      </c>
      <c r="RA28">
        <v>185.45</v>
      </c>
      <c r="RB28">
        <v>9751.2199999999993</v>
      </c>
      <c r="RC28">
        <v>177.56</v>
      </c>
      <c r="RD28">
        <v>1015.37</v>
      </c>
      <c r="RE28">
        <v>72.34</v>
      </c>
      <c r="RF28">
        <v>195.97</v>
      </c>
      <c r="RG28">
        <v>199.92</v>
      </c>
      <c r="RH28">
        <v>47.35</v>
      </c>
      <c r="RI28">
        <v>6.58</v>
      </c>
      <c r="RJ28">
        <v>186.76</v>
      </c>
      <c r="RK28">
        <v>47.35</v>
      </c>
      <c r="RL28">
        <v>176.24</v>
      </c>
      <c r="RM28">
        <v>121</v>
      </c>
      <c r="RN28">
        <v>252.53</v>
      </c>
      <c r="RO28">
        <v>893.05</v>
      </c>
      <c r="RP28">
        <v>82.86</v>
      </c>
      <c r="RQ28">
        <v>536.62</v>
      </c>
      <c r="RR28">
        <v>17.100000000000001</v>
      </c>
      <c r="RS28">
        <v>334.07</v>
      </c>
      <c r="RT28">
        <v>398.52</v>
      </c>
      <c r="RU28">
        <v>15.78</v>
      </c>
      <c r="RV28">
        <v>30.25</v>
      </c>
      <c r="RW28">
        <v>30.25</v>
      </c>
      <c r="RX28">
        <v>1820.3</v>
      </c>
      <c r="RY28">
        <v>819.4</v>
      </c>
      <c r="RZ28">
        <v>34.200000000000003</v>
      </c>
      <c r="SA28">
        <v>185.45</v>
      </c>
      <c r="SB28">
        <v>44.72</v>
      </c>
      <c r="SC28">
        <v>67.08</v>
      </c>
      <c r="SD28">
        <v>535.29999999999995</v>
      </c>
      <c r="SE28">
        <v>593.17999999999995</v>
      </c>
      <c r="SF28">
        <v>232.8</v>
      </c>
      <c r="SG28">
        <v>2272.7399999999998</v>
      </c>
      <c r="SH28">
        <v>74.97</v>
      </c>
      <c r="SI28">
        <v>136.79</v>
      </c>
      <c r="SJ28">
        <v>97.33</v>
      </c>
      <c r="SK28">
        <v>65.760000000000005</v>
      </c>
      <c r="SL28">
        <v>142.05000000000001</v>
      </c>
      <c r="SM28">
        <v>30.25</v>
      </c>
      <c r="SN28">
        <v>106.53</v>
      </c>
      <c r="SO28">
        <v>6.58</v>
      </c>
      <c r="SP28">
        <v>102.59</v>
      </c>
      <c r="SQ28">
        <v>643.15</v>
      </c>
      <c r="SR28">
        <v>676.04</v>
      </c>
      <c r="SS28">
        <v>515.58000000000004</v>
      </c>
      <c r="ST28">
        <v>1018</v>
      </c>
      <c r="SU28">
        <v>1160.05</v>
      </c>
      <c r="SV28">
        <v>594.49</v>
      </c>
      <c r="SW28">
        <v>340.65</v>
      </c>
      <c r="SX28">
        <v>156.51</v>
      </c>
      <c r="SY28">
        <v>712.86</v>
      </c>
      <c r="SZ28">
        <v>4.4800000000000004</v>
      </c>
      <c r="TA28">
        <v>36.83</v>
      </c>
      <c r="TB28">
        <v>523.47</v>
      </c>
      <c r="TC28">
        <v>415.62</v>
      </c>
      <c r="TD28">
        <v>48.66</v>
      </c>
      <c r="TE28">
        <v>501.11</v>
      </c>
      <c r="TF28">
        <v>263.05</v>
      </c>
      <c r="TG28">
        <v>574.76</v>
      </c>
      <c r="TH28">
        <v>126.26</v>
      </c>
      <c r="TI28">
        <v>153.88</v>
      </c>
      <c r="TJ28">
        <v>17.100000000000001</v>
      </c>
      <c r="TK28">
        <v>127.58</v>
      </c>
      <c r="TL28">
        <v>121</v>
      </c>
      <c r="TM28">
        <v>53.93</v>
      </c>
      <c r="TN28">
        <v>416.93</v>
      </c>
      <c r="TO28">
        <v>545.83000000000004</v>
      </c>
      <c r="TP28">
        <v>569.5</v>
      </c>
      <c r="TQ28">
        <v>363.01</v>
      </c>
      <c r="TR28">
        <v>17.100000000000001</v>
      </c>
      <c r="TS28">
        <v>140.72999999999999</v>
      </c>
      <c r="TT28">
        <v>105.22</v>
      </c>
      <c r="TU28">
        <v>35.51</v>
      </c>
      <c r="TV28">
        <v>181.5</v>
      </c>
      <c r="TW28">
        <v>280.14999999999998</v>
      </c>
      <c r="TX28">
        <v>71.02</v>
      </c>
      <c r="TY28">
        <v>96.01</v>
      </c>
      <c r="TZ28">
        <v>48.66</v>
      </c>
      <c r="UA28">
        <v>114.43</v>
      </c>
      <c r="UB28">
        <v>149.94</v>
      </c>
      <c r="UC28">
        <v>7307.5</v>
      </c>
      <c r="UD28">
        <v>31.57</v>
      </c>
      <c r="UE28">
        <v>24.99</v>
      </c>
      <c r="UF28">
        <v>457.71</v>
      </c>
      <c r="UG28">
        <v>172.3</v>
      </c>
      <c r="UH28">
        <v>10.52</v>
      </c>
      <c r="UI28">
        <v>34.200000000000003</v>
      </c>
      <c r="UJ28">
        <v>38.14</v>
      </c>
      <c r="UK28">
        <v>44.72</v>
      </c>
      <c r="UL28">
        <v>19.73</v>
      </c>
      <c r="UM28">
        <v>13.15</v>
      </c>
      <c r="UN28">
        <v>131.52000000000001</v>
      </c>
      <c r="UO28">
        <v>114.43</v>
      </c>
      <c r="UP28">
        <v>6.58</v>
      </c>
      <c r="UQ28">
        <v>42.09</v>
      </c>
      <c r="UR28">
        <v>30.25</v>
      </c>
      <c r="US28">
        <v>47.35</v>
      </c>
      <c r="UT28">
        <v>290.67</v>
      </c>
      <c r="UU28">
        <v>685.24</v>
      </c>
      <c r="UV28">
        <v>585.28</v>
      </c>
      <c r="UW28">
        <v>426.14</v>
      </c>
      <c r="UX28">
        <v>92.07</v>
      </c>
      <c r="UY28">
        <v>322.23</v>
      </c>
      <c r="UZ28">
        <v>60.5</v>
      </c>
      <c r="VA28">
        <v>206.49</v>
      </c>
      <c r="VB28">
        <v>840.44</v>
      </c>
      <c r="VC28">
        <v>85.49</v>
      </c>
      <c r="VD28">
        <v>199.92</v>
      </c>
      <c r="VE28">
        <v>59.19</v>
      </c>
      <c r="VF28">
        <v>484.01</v>
      </c>
      <c r="VG28">
        <v>106.53</v>
      </c>
      <c r="VH28">
        <v>36.83</v>
      </c>
      <c r="VI28">
        <v>53.93</v>
      </c>
      <c r="VJ28">
        <v>42.09</v>
      </c>
      <c r="VK28">
        <v>409.04</v>
      </c>
      <c r="VL28">
        <v>457.71</v>
      </c>
      <c r="VM28">
        <v>364.32</v>
      </c>
      <c r="VN28">
        <v>186.76</v>
      </c>
      <c r="VO28">
        <v>4.4800000000000004</v>
      </c>
      <c r="VP28">
        <v>7.89</v>
      </c>
      <c r="VQ28">
        <v>536.62</v>
      </c>
      <c r="VR28">
        <v>195.97</v>
      </c>
      <c r="VS28">
        <v>328.81</v>
      </c>
      <c r="VT28">
        <v>14.47</v>
      </c>
      <c r="VU28">
        <v>57.87</v>
      </c>
      <c r="VV28">
        <v>18.41</v>
      </c>
      <c r="VW28">
        <v>138.1</v>
      </c>
      <c r="VX28">
        <v>65.760000000000005</v>
      </c>
      <c r="VY28">
        <v>17.100000000000001</v>
      </c>
      <c r="VZ28">
        <v>9748.59</v>
      </c>
      <c r="WA28">
        <v>10308.89</v>
      </c>
      <c r="WB28">
        <v>228.85</v>
      </c>
      <c r="WC28">
        <v>99.96</v>
      </c>
      <c r="WD28">
        <v>630</v>
      </c>
      <c r="WE28">
        <v>960.13</v>
      </c>
      <c r="WF28">
        <v>103.9</v>
      </c>
      <c r="WG28">
        <v>289.35000000000002</v>
      </c>
      <c r="WH28">
        <v>12686.85</v>
      </c>
      <c r="WI28">
        <v>22944.44</v>
      </c>
      <c r="WJ28">
        <v>1223.18</v>
      </c>
      <c r="WK28">
        <v>180.19</v>
      </c>
      <c r="WL28">
        <v>218.33</v>
      </c>
      <c r="WM28">
        <v>40.770000000000003</v>
      </c>
      <c r="WN28">
        <v>47.35</v>
      </c>
      <c r="WO28">
        <v>4.4800000000000004</v>
      </c>
      <c r="WP28">
        <v>128.88999999999999</v>
      </c>
      <c r="WQ28">
        <v>1271.8399999999999</v>
      </c>
      <c r="WR28">
        <v>879.9</v>
      </c>
      <c r="WS28">
        <v>24.99</v>
      </c>
      <c r="WT28">
        <v>34.200000000000003</v>
      </c>
      <c r="WU28">
        <v>515.58000000000004</v>
      </c>
      <c r="WV28">
        <v>490.59</v>
      </c>
      <c r="WW28">
        <v>28.94</v>
      </c>
      <c r="WX28">
        <v>42.09</v>
      </c>
      <c r="WY28">
        <v>121</v>
      </c>
      <c r="WZ28">
        <v>48.66</v>
      </c>
      <c r="XA28">
        <v>18.41</v>
      </c>
      <c r="XB28">
        <v>394.57</v>
      </c>
      <c r="XC28">
        <v>38.14</v>
      </c>
      <c r="XD28">
        <v>103.9</v>
      </c>
      <c r="XE28">
        <v>173.61</v>
      </c>
      <c r="XF28">
        <v>673.41</v>
      </c>
      <c r="XG28">
        <v>1002.22</v>
      </c>
      <c r="XH28">
        <v>76.28</v>
      </c>
      <c r="XI28">
        <v>1211.3399999999999</v>
      </c>
      <c r="XJ28">
        <v>219.65</v>
      </c>
      <c r="XK28">
        <v>365.64</v>
      </c>
      <c r="XL28">
        <v>76.28</v>
      </c>
      <c r="XM28">
        <v>82.86</v>
      </c>
      <c r="XN28">
        <v>105.22</v>
      </c>
      <c r="XO28">
        <v>27.62</v>
      </c>
      <c r="XP28">
        <v>31.57</v>
      </c>
      <c r="XQ28">
        <v>11.84</v>
      </c>
      <c r="XR28">
        <v>24.99</v>
      </c>
      <c r="XS28">
        <v>3107.92</v>
      </c>
      <c r="XT28">
        <v>63.13</v>
      </c>
      <c r="XU28">
        <v>310.39999999999998</v>
      </c>
      <c r="XV28">
        <v>315.66000000000003</v>
      </c>
      <c r="XW28">
        <v>1224.49</v>
      </c>
      <c r="XX28">
        <v>1240.28</v>
      </c>
      <c r="XY28">
        <v>937.77</v>
      </c>
      <c r="XZ28">
        <v>93.38</v>
      </c>
      <c r="YA28">
        <v>135.47</v>
      </c>
      <c r="YB28">
        <v>161.78</v>
      </c>
      <c r="YC28">
        <v>39.46</v>
      </c>
      <c r="YD28">
        <v>702.34</v>
      </c>
      <c r="YE28">
        <v>330.13</v>
      </c>
      <c r="YF28">
        <v>654.99</v>
      </c>
      <c r="YG28">
        <v>93.38</v>
      </c>
      <c r="YH28">
        <v>23.67</v>
      </c>
      <c r="YI28">
        <v>97.33</v>
      </c>
      <c r="YJ28">
        <v>230.17</v>
      </c>
      <c r="YK28">
        <v>4.4800000000000004</v>
      </c>
      <c r="YL28">
        <v>452.44</v>
      </c>
      <c r="YM28">
        <v>1429.67</v>
      </c>
      <c r="YN28">
        <v>164.41</v>
      </c>
      <c r="YO28">
        <v>63.13</v>
      </c>
      <c r="YP28">
        <v>800.98</v>
      </c>
      <c r="YQ28">
        <v>140.72999999999999</v>
      </c>
      <c r="YR28">
        <v>218.33</v>
      </c>
      <c r="YS28">
        <v>4056.21</v>
      </c>
      <c r="YT28">
        <v>178.87</v>
      </c>
      <c r="YU28">
        <v>143.36000000000001</v>
      </c>
      <c r="YV28">
        <v>43.4</v>
      </c>
      <c r="YW28">
        <v>23.67</v>
      </c>
      <c r="YX28">
        <v>69.709999999999994</v>
      </c>
      <c r="YY28">
        <v>127.58</v>
      </c>
      <c r="YZ28">
        <v>69.709999999999994</v>
      </c>
      <c r="ZA28">
        <v>124.95</v>
      </c>
      <c r="ZB28">
        <v>46.03</v>
      </c>
      <c r="ZC28">
        <v>26.3</v>
      </c>
      <c r="ZD28">
        <v>148.62</v>
      </c>
      <c r="ZE28">
        <v>38.14</v>
      </c>
      <c r="ZF28">
        <v>149.94</v>
      </c>
      <c r="ZG28">
        <v>170.98</v>
      </c>
      <c r="ZH28">
        <v>65.760000000000005</v>
      </c>
      <c r="ZI28">
        <v>390.63</v>
      </c>
      <c r="ZJ28">
        <v>351.17</v>
      </c>
      <c r="ZK28">
        <v>151.25</v>
      </c>
      <c r="ZL28">
        <v>22.36</v>
      </c>
      <c r="ZM28">
        <v>59.19</v>
      </c>
      <c r="ZN28">
        <v>22.36</v>
      </c>
      <c r="ZO28">
        <v>27.62</v>
      </c>
      <c r="ZP28">
        <v>189.4</v>
      </c>
      <c r="ZQ28">
        <v>68.39</v>
      </c>
      <c r="ZR28">
        <v>4.4800000000000004</v>
      </c>
      <c r="ZS28">
        <v>603.70000000000005</v>
      </c>
      <c r="ZT28">
        <v>68.39</v>
      </c>
      <c r="ZU28">
        <v>126.26</v>
      </c>
      <c r="ZV28">
        <v>10.52</v>
      </c>
      <c r="ZW28">
        <v>28.94</v>
      </c>
      <c r="ZX28">
        <v>43.4</v>
      </c>
      <c r="ZY28">
        <v>1843.97</v>
      </c>
      <c r="ZZ28">
        <v>102.59</v>
      </c>
      <c r="AAA28">
        <v>60.5</v>
      </c>
      <c r="AAB28">
        <v>65.760000000000005</v>
      </c>
      <c r="AAC28">
        <v>40.770000000000003</v>
      </c>
      <c r="AAD28">
        <v>49.98</v>
      </c>
      <c r="AAE28">
        <v>30.25</v>
      </c>
      <c r="AAF28">
        <v>6.58</v>
      </c>
      <c r="AAG28">
        <v>147.31</v>
      </c>
      <c r="AAH28">
        <v>185.45</v>
      </c>
      <c r="AAI28">
        <v>2547.63</v>
      </c>
      <c r="AAJ28">
        <v>908.83</v>
      </c>
      <c r="AAK28">
        <v>393.26</v>
      </c>
      <c r="AAL28">
        <v>76.28</v>
      </c>
      <c r="AAM28">
        <v>46.03</v>
      </c>
      <c r="AAN28">
        <v>43.4</v>
      </c>
      <c r="AAO28">
        <v>124.95</v>
      </c>
      <c r="AAP28">
        <v>188.08</v>
      </c>
      <c r="AAQ28">
        <v>22.36</v>
      </c>
      <c r="AAR28">
        <v>53.93</v>
      </c>
      <c r="AAS28">
        <v>764.16</v>
      </c>
      <c r="AAT28">
        <v>18.41</v>
      </c>
      <c r="AAU28">
        <v>4.4800000000000004</v>
      </c>
      <c r="AAV28">
        <v>1362.59</v>
      </c>
      <c r="AAW28">
        <v>165.72</v>
      </c>
      <c r="AAX28">
        <v>65.760000000000005</v>
      </c>
      <c r="AAY28">
        <v>345.91</v>
      </c>
      <c r="AAZ28">
        <v>61.82</v>
      </c>
      <c r="ABA28">
        <v>230.17</v>
      </c>
      <c r="ABB28">
        <v>68.39</v>
      </c>
      <c r="ABC28">
        <v>1219.23</v>
      </c>
      <c r="ABD28">
        <v>489.27</v>
      </c>
      <c r="ABE28">
        <v>201.23</v>
      </c>
      <c r="ABF28">
        <v>457.71</v>
      </c>
      <c r="ABG28">
        <v>48.66</v>
      </c>
      <c r="ABH28">
        <v>117.06</v>
      </c>
      <c r="ABI28">
        <v>55.24</v>
      </c>
      <c r="ABJ28">
        <v>71.02</v>
      </c>
      <c r="ABK28">
        <v>111.8</v>
      </c>
      <c r="ABL28">
        <v>19.73</v>
      </c>
      <c r="ABM28">
        <v>40.770000000000003</v>
      </c>
      <c r="ABN28">
        <v>67.08</v>
      </c>
      <c r="ABO28">
        <v>19.73</v>
      </c>
      <c r="ABP28">
        <v>59.19</v>
      </c>
      <c r="ABQ28">
        <v>510.31</v>
      </c>
      <c r="ABR28">
        <v>46.03</v>
      </c>
      <c r="ABS28">
        <v>284.08999999999997</v>
      </c>
      <c r="ABT28">
        <v>35.51</v>
      </c>
      <c r="ABU28">
        <v>17.100000000000001</v>
      </c>
      <c r="ABV28">
        <v>113.11</v>
      </c>
      <c r="ABW28">
        <v>249.9</v>
      </c>
      <c r="ABX28">
        <v>388</v>
      </c>
      <c r="ABY28">
        <v>311.70999999999998</v>
      </c>
      <c r="ABZ28">
        <v>155.19999999999999</v>
      </c>
      <c r="ACA28">
        <v>416.93</v>
      </c>
      <c r="ACB28">
        <v>472.17</v>
      </c>
      <c r="ACC28">
        <v>113.11</v>
      </c>
      <c r="ACD28">
        <v>265.68</v>
      </c>
      <c r="ACE28">
        <v>110.48</v>
      </c>
      <c r="ACF28">
        <v>3904.96</v>
      </c>
      <c r="ACG28">
        <v>1187.67</v>
      </c>
      <c r="ACH28">
        <v>376.16</v>
      </c>
      <c r="ACI28">
        <v>295.93</v>
      </c>
      <c r="ACJ28">
        <v>369.58</v>
      </c>
      <c r="ACK28">
        <v>288.04000000000002</v>
      </c>
      <c r="ACL28">
        <v>46.03</v>
      </c>
      <c r="ACM28">
        <v>127.58</v>
      </c>
      <c r="ACN28">
        <v>272.26</v>
      </c>
      <c r="ACO28">
        <v>1252.1099999999999</v>
      </c>
      <c r="ACP28">
        <v>293.3</v>
      </c>
      <c r="ACQ28">
        <v>188.08</v>
      </c>
      <c r="ACR28">
        <v>4513.92</v>
      </c>
    </row>
    <row r="29" spans="1:772" x14ac:dyDescent="0.3">
      <c r="A29" t="s">
        <v>14</v>
      </c>
      <c r="B29" t="s">
        <v>1</v>
      </c>
      <c r="C29">
        <v>410.06</v>
      </c>
      <c r="D29">
        <v>135.5</v>
      </c>
      <c r="E29">
        <v>891.44</v>
      </c>
      <c r="F29">
        <v>4.7</v>
      </c>
      <c r="G29">
        <v>7759.1</v>
      </c>
      <c r="H29">
        <v>89.14</v>
      </c>
      <c r="I29">
        <v>2321.31</v>
      </c>
      <c r="J29">
        <v>32398.51</v>
      </c>
      <c r="K29">
        <v>474.25</v>
      </c>
      <c r="L29">
        <v>14.26</v>
      </c>
      <c r="M29">
        <v>151.54</v>
      </c>
      <c r="N29">
        <v>2815.17</v>
      </c>
      <c r="O29">
        <v>276.35000000000002</v>
      </c>
      <c r="P29">
        <v>483.16</v>
      </c>
      <c r="Q29">
        <v>37.44</v>
      </c>
      <c r="R29">
        <v>912.84</v>
      </c>
      <c r="S29">
        <v>4.7</v>
      </c>
      <c r="T29">
        <v>812.99</v>
      </c>
      <c r="U29">
        <v>349.44</v>
      </c>
      <c r="V29">
        <v>188.99</v>
      </c>
      <c r="W29">
        <v>1790.01</v>
      </c>
      <c r="X29">
        <v>4.7</v>
      </c>
      <c r="Y29">
        <v>229.99</v>
      </c>
      <c r="Z29">
        <v>643.62</v>
      </c>
      <c r="AA29">
        <v>24.96</v>
      </c>
      <c r="AB29">
        <v>1526.15</v>
      </c>
      <c r="AC29">
        <v>880.74</v>
      </c>
      <c r="AD29">
        <v>363.71</v>
      </c>
      <c r="AE29">
        <v>490.29</v>
      </c>
      <c r="AF29">
        <v>40692.47</v>
      </c>
      <c r="AG29">
        <v>276.35000000000002</v>
      </c>
      <c r="AH29">
        <v>691.76</v>
      </c>
      <c r="AI29">
        <v>33.869999999999997</v>
      </c>
      <c r="AJ29">
        <v>1009.11</v>
      </c>
      <c r="AK29">
        <v>410.06</v>
      </c>
      <c r="AL29">
        <v>89.14</v>
      </c>
      <c r="AM29">
        <v>336.96</v>
      </c>
      <c r="AN29">
        <v>73.099999999999994</v>
      </c>
      <c r="AO29">
        <v>1841.72</v>
      </c>
      <c r="AP29">
        <v>28.53</v>
      </c>
      <c r="AQ29">
        <v>65.97</v>
      </c>
      <c r="AR29">
        <v>8.91</v>
      </c>
      <c r="AS29">
        <v>32.090000000000003</v>
      </c>
      <c r="AT29">
        <v>17.829999999999998</v>
      </c>
      <c r="AU29">
        <v>16.05</v>
      </c>
      <c r="AV29">
        <v>1563.59</v>
      </c>
      <c r="AW29">
        <v>657.88</v>
      </c>
      <c r="AX29">
        <v>6616.27</v>
      </c>
      <c r="AY29">
        <v>35.659999999999997</v>
      </c>
      <c r="AZ29">
        <v>55.27</v>
      </c>
      <c r="BA29">
        <v>889.66</v>
      </c>
      <c r="BB29">
        <v>893.22</v>
      </c>
      <c r="BC29">
        <v>35.659999999999997</v>
      </c>
      <c r="BD29">
        <v>21.39</v>
      </c>
      <c r="BE29">
        <v>153.33000000000001</v>
      </c>
      <c r="BF29">
        <v>176.51</v>
      </c>
      <c r="BG29">
        <v>57.05</v>
      </c>
      <c r="BH29">
        <v>4.7</v>
      </c>
      <c r="BI29">
        <v>21.39</v>
      </c>
      <c r="BJ29">
        <v>4.7</v>
      </c>
      <c r="BK29">
        <v>324.48</v>
      </c>
      <c r="BL29">
        <v>677.49</v>
      </c>
      <c r="BM29">
        <v>60.62</v>
      </c>
      <c r="BN29">
        <v>114.1</v>
      </c>
      <c r="BO29">
        <v>55.27</v>
      </c>
      <c r="BP29">
        <v>17.829999999999998</v>
      </c>
      <c r="BQ29">
        <v>4.7</v>
      </c>
      <c r="BR29">
        <v>167.59</v>
      </c>
      <c r="BS29">
        <v>19.61</v>
      </c>
      <c r="BT29">
        <v>647.19000000000005</v>
      </c>
      <c r="BU29">
        <v>39.22</v>
      </c>
      <c r="BV29">
        <v>16.05</v>
      </c>
      <c r="BW29">
        <v>105.19</v>
      </c>
      <c r="BX29">
        <v>415.41</v>
      </c>
      <c r="BY29">
        <v>178.29</v>
      </c>
      <c r="BZ29">
        <v>714.94</v>
      </c>
      <c r="CA29">
        <v>33.869999999999997</v>
      </c>
      <c r="CB29">
        <v>28.53</v>
      </c>
      <c r="CC29">
        <v>16.05</v>
      </c>
      <c r="CD29">
        <v>58.84</v>
      </c>
      <c r="CE29">
        <v>586.57000000000005</v>
      </c>
      <c r="CF29">
        <v>2239.3000000000002</v>
      </c>
      <c r="CG29">
        <v>41.01</v>
      </c>
      <c r="CH29">
        <v>128.37</v>
      </c>
      <c r="CI29">
        <v>26.74</v>
      </c>
      <c r="CJ29">
        <v>4.7</v>
      </c>
      <c r="CK29">
        <v>37.44</v>
      </c>
      <c r="CL29">
        <v>60.62</v>
      </c>
      <c r="CM29">
        <v>531.29999999999995</v>
      </c>
      <c r="CN29">
        <v>53.49</v>
      </c>
      <c r="CO29">
        <v>26.74</v>
      </c>
      <c r="CP29">
        <v>4.7</v>
      </c>
      <c r="CQ29">
        <v>30.31</v>
      </c>
      <c r="CR29">
        <v>83.8</v>
      </c>
      <c r="CS29">
        <v>4.7</v>
      </c>
      <c r="CT29">
        <v>37.44</v>
      </c>
      <c r="CU29">
        <v>37.44</v>
      </c>
      <c r="CV29">
        <v>85.58</v>
      </c>
      <c r="CW29">
        <v>3410.65</v>
      </c>
      <c r="CX29">
        <v>35.659999999999997</v>
      </c>
      <c r="CY29">
        <v>210.38</v>
      </c>
      <c r="CZ29">
        <v>35.659999999999997</v>
      </c>
      <c r="DA29">
        <v>4.7</v>
      </c>
      <c r="DB29">
        <v>144.41</v>
      </c>
      <c r="DC29">
        <v>96.28</v>
      </c>
      <c r="DD29">
        <v>21.39</v>
      </c>
      <c r="DE29">
        <v>37.44</v>
      </c>
      <c r="DF29">
        <v>340.53</v>
      </c>
      <c r="DG29">
        <v>4.7</v>
      </c>
      <c r="DH29">
        <v>5106.17</v>
      </c>
      <c r="DI29">
        <v>37.44</v>
      </c>
      <c r="DJ29">
        <v>60.62</v>
      </c>
      <c r="DK29">
        <v>131.93</v>
      </c>
      <c r="DL29">
        <v>1818.54</v>
      </c>
      <c r="DM29">
        <v>156.88999999999999</v>
      </c>
      <c r="DN29">
        <v>28.53</v>
      </c>
      <c r="DO29">
        <v>112.32</v>
      </c>
      <c r="DP29">
        <v>21.39</v>
      </c>
      <c r="DQ29">
        <v>2267.8200000000002</v>
      </c>
      <c r="DR29">
        <v>65.97</v>
      </c>
      <c r="DS29">
        <v>24.96</v>
      </c>
      <c r="DT29">
        <v>21.39</v>
      </c>
      <c r="DU29">
        <v>3752.96</v>
      </c>
      <c r="DV29">
        <v>16.05</v>
      </c>
      <c r="DW29">
        <v>8.91</v>
      </c>
      <c r="DX29">
        <v>96.28</v>
      </c>
      <c r="DY29">
        <v>83.8</v>
      </c>
      <c r="DZ29">
        <v>83.8</v>
      </c>
      <c r="EA29">
        <v>39.22</v>
      </c>
      <c r="EB29">
        <v>21.39</v>
      </c>
      <c r="EC29">
        <v>49.92</v>
      </c>
      <c r="ED29">
        <v>21.39</v>
      </c>
      <c r="EE29">
        <v>4.7</v>
      </c>
      <c r="EF29">
        <v>2524.56</v>
      </c>
      <c r="EG29">
        <v>2114.5</v>
      </c>
      <c r="EH29">
        <v>19.61</v>
      </c>
      <c r="EI29">
        <v>17.829999999999998</v>
      </c>
      <c r="EJ29">
        <v>499.21</v>
      </c>
      <c r="EK29">
        <v>581.22</v>
      </c>
      <c r="EL29">
        <v>8192.34</v>
      </c>
      <c r="EM29">
        <v>426.11</v>
      </c>
      <c r="EN29">
        <v>53.49</v>
      </c>
      <c r="EO29">
        <v>750.59</v>
      </c>
      <c r="EP29">
        <v>17.829999999999998</v>
      </c>
      <c r="EQ29">
        <v>4585.57</v>
      </c>
      <c r="ER29">
        <v>16.05</v>
      </c>
      <c r="ES29">
        <v>12.48</v>
      </c>
      <c r="ET29">
        <v>4.7</v>
      </c>
      <c r="EU29">
        <v>684.63</v>
      </c>
      <c r="EV29">
        <v>8.91</v>
      </c>
      <c r="EW29">
        <v>16.05</v>
      </c>
      <c r="EX29">
        <v>133.72</v>
      </c>
      <c r="EY29">
        <v>46.35</v>
      </c>
      <c r="EZ29">
        <v>16.05</v>
      </c>
      <c r="FA29">
        <v>62.4</v>
      </c>
      <c r="FB29">
        <v>12.48</v>
      </c>
      <c r="FC29">
        <v>358.36</v>
      </c>
      <c r="FD29">
        <v>16.05</v>
      </c>
      <c r="FE29">
        <v>6511.08</v>
      </c>
      <c r="FF29">
        <v>73.099999999999994</v>
      </c>
      <c r="FG29">
        <v>4114.8900000000003</v>
      </c>
      <c r="FH29">
        <v>3471.27</v>
      </c>
      <c r="FI29">
        <v>4.7</v>
      </c>
      <c r="FJ29">
        <v>256.73</v>
      </c>
      <c r="FK29">
        <v>686.41</v>
      </c>
      <c r="FL29">
        <v>76.66</v>
      </c>
      <c r="FM29">
        <v>181.85</v>
      </c>
      <c r="FN29">
        <v>57.05</v>
      </c>
      <c r="FO29">
        <v>62.4</v>
      </c>
      <c r="FP29">
        <v>4.7</v>
      </c>
      <c r="FQ29">
        <v>21.39</v>
      </c>
      <c r="FR29">
        <v>4.7</v>
      </c>
      <c r="FS29">
        <v>4.7</v>
      </c>
      <c r="FT29">
        <v>55.27</v>
      </c>
      <c r="FU29">
        <v>3421.35</v>
      </c>
      <c r="FV29">
        <v>1130.3499999999999</v>
      </c>
      <c r="FW29">
        <v>10.7</v>
      </c>
      <c r="FX29">
        <v>30.31</v>
      </c>
      <c r="FY29">
        <v>19.61</v>
      </c>
      <c r="FZ29">
        <v>722.07</v>
      </c>
      <c r="GA29">
        <v>124.8</v>
      </c>
      <c r="GB29">
        <v>35.659999999999997</v>
      </c>
      <c r="GC29">
        <v>8.91</v>
      </c>
      <c r="GD29">
        <v>87.36</v>
      </c>
      <c r="GE29">
        <v>1383.52</v>
      </c>
      <c r="GF29">
        <v>297.74</v>
      </c>
      <c r="GG29">
        <v>916.4</v>
      </c>
      <c r="GH29">
        <v>440.37</v>
      </c>
      <c r="GI29">
        <v>4070.32</v>
      </c>
      <c r="GJ29">
        <v>23.18</v>
      </c>
      <c r="GK29">
        <v>5485.92</v>
      </c>
      <c r="GL29">
        <v>240.69</v>
      </c>
      <c r="GM29">
        <v>4.7</v>
      </c>
      <c r="GN29">
        <v>4.7</v>
      </c>
      <c r="GO29">
        <v>559.82000000000005</v>
      </c>
      <c r="GP29">
        <v>39.22</v>
      </c>
      <c r="GQ29">
        <v>4.7</v>
      </c>
      <c r="GR29">
        <v>294.18</v>
      </c>
      <c r="GS29">
        <v>288.83</v>
      </c>
      <c r="GT29">
        <v>1256.93</v>
      </c>
      <c r="GU29">
        <v>10.7</v>
      </c>
      <c r="GV29">
        <v>10.7</v>
      </c>
      <c r="GW29">
        <v>4.7</v>
      </c>
      <c r="GX29">
        <v>472.46</v>
      </c>
      <c r="GY29">
        <v>8.91</v>
      </c>
      <c r="GZ29">
        <v>185.42</v>
      </c>
      <c r="HA29">
        <v>488.51</v>
      </c>
      <c r="HB29">
        <v>484.94</v>
      </c>
      <c r="HC29">
        <v>108.76</v>
      </c>
      <c r="HD29">
        <v>2057.44</v>
      </c>
      <c r="HE29">
        <v>10.7</v>
      </c>
      <c r="HF29">
        <v>3697.69</v>
      </c>
      <c r="HG29">
        <v>253.17</v>
      </c>
      <c r="HH29">
        <v>131.93</v>
      </c>
      <c r="HI29">
        <v>4.7</v>
      </c>
      <c r="HJ29">
        <v>1073.29</v>
      </c>
      <c r="HK29">
        <v>7637.86</v>
      </c>
      <c r="HL29">
        <v>452.85</v>
      </c>
      <c r="HM29">
        <v>155.11000000000001</v>
      </c>
      <c r="HN29">
        <v>1492.27</v>
      </c>
      <c r="HO29">
        <v>4.7</v>
      </c>
      <c r="HP29">
        <v>206.81</v>
      </c>
      <c r="HQ29">
        <v>9039.2099999999991</v>
      </c>
      <c r="HR29">
        <v>64.180000000000007</v>
      </c>
      <c r="HS29">
        <v>19.61</v>
      </c>
      <c r="HT29">
        <v>32.090000000000003</v>
      </c>
      <c r="HU29">
        <v>442.15</v>
      </c>
      <c r="HV29">
        <v>149.76</v>
      </c>
      <c r="HW29">
        <v>11180.45</v>
      </c>
      <c r="HX29">
        <v>8.91</v>
      </c>
      <c r="HY29">
        <v>4.7</v>
      </c>
      <c r="HZ29">
        <v>155.11000000000001</v>
      </c>
      <c r="IA29">
        <v>1100.04</v>
      </c>
      <c r="IB29">
        <v>114.1</v>
      </c>
      <c r="IC29">
        <v>23.18</v>
      </c>
      <c r="ID29">
        <v>16.05</v>
      </c>
      <c r="IE29">
        <v>23.18</v>
      </c>
      <c r="IF29">
        <v>755.94</v>
      </c>
      <c r="IG29">
        <v>46.35</v>
      </c>
      <c r="IH29">
        <v>4.7</v>
      </c>
      <c r="II29">
        <v>110.54</v>
      </c>
      <c r="IJ29">
        <v>94.49</v>
      </c>
      <c r="IK29">
        <v>10.7</v>
      </c>
      <c r="IL29">
        <v>1151.74</v>
      </c>
      <c r="IM29">
        <v>513.47</v>
      </c>
      <c r="IN29">
        <v>108.76</v>
      </c>
      <c r="IO29">
        <v>574.09</v>
      </c>
      <c r="IP29">
        <v>28.53</v>
      </c>
      <c r="IQ29">
        <v>4.7</v>
      </c>
      <c r="IR29">
        <v>4.7</v>
      </c>
      <c r="IS29">
        <v>46.35</v>
      </c>
      <c r="IT29">
        <v>4.7</v>
      </c>
      <c r="IU29">
        <v>294.18</v>
      </c>
      <c r="IV29">
        <v>5247.02</v>
      </c>
      <c r="IW29">
        <v>155.11000000000001</v>
      </c>
      <c r="IX29">
        <v>5141.83</v>
      </c>
      <c r="IY29">
        <v>64.180000000000007</v>
      </c>
      <c r="IZ29">
        <v>24.96</v>
      </c>
      <c r="JA29">
        <v>188.99</v>
      </c>
      <c r="JB29">
        <v>1299.72</v>
      </c>
      <c r="JC29">
        <v>69.53</v>
      </c>
      <c r="JD29">
        <v>295.95999999999998</v>
      </c>
      <c r="JE29">
        <v>32.090000000000003</v>
      </c>
      <c r="JF29">
        <v>28.53</v>
      </c>
      <c r="JG29">
        <v>69.53</v>
      </c>
      <c r="JH29">
        <v>101.62</v>
      </c>
      <c r="JI29">
        <v>420.76</v>
      </c>
      <c r="JJ29">
        <v>90.93</v>
      </c>
      <c r="JK29">
        <v>37.44</v>
      </c>
      <c r="JL29">
        <v>51.7</v>
      </c>
      <c r="JM29">
        <v>23.18</v>
      </c>
      <c r="JN29">
        <v>4.7</v>
      </c>
      <c r="JO29">
        <v>454.63</v>
      </c>
      <c r="JP29">
        <v>1672.34</v>
      </c>
      <c r="JQ29">
        <v>2028.92</v>
      </c>
      <c r="JR29">
        <v>35.659999999999997</v>
      </c>
      <c r="JS29">
        <v>4.7</v>
      </c>
      <c r="JT29">
        <v>146.19999999999999</v>
      </c>
      <c r="JU29">
        <v>126.58</v>
      </c>
      <c r="JV29">
        <v>347.66</v>
      </c>
      <c r="JW29">
        <v>83.8</v>
      </c>
      <c r="JX29">
        <v>42.79</v>
      </c>
      <c r="JY29">
        <v>238.91</v>
      </c>
      <c r="JZ29">
        <v>8.91</v>
      </c>
      <c r="KA29">
        <v>55.27</v>
      </c>
      <c r="KB29">
        <v>4.7</v>
      </c>
      <c r="KC29">
        <v>23.18</v>
      </c>
      <c r="KD29">
        <v>46.35</v>
      </c>
      <c r="KE29">
        <v>187.2</v>
      </c>
      <c r="KF29">
        <v>71.319999999999993</v>
      </c>
      <c r="KG29">
        <v>180.07</v>
      </c>
      <c r="KH29">
        <v>258.52</v>
      </c>
      <c r="KI29">
        <v>709.59</v>
      </c>
      <c r="KJ29">
        <v>354.79</v>
      </c>
      <c r="KK29">
        <v>353.01</v>
      </c>
      <c r="KL29">
        <v>51.7</v>
      </c>
      <c r="KM29">
        <v>21.39</v>
      </c>
      <c r="KN29">
        <v>60.62</v>
      </c>
      <c r="KO29">
        <v>395.8</v>
      </c>
      <c r="KP29">
        <v>89.14</v>
      </c>
      <c r="KQ29">
        <v>2544.17</v>
      </c>
      <c r="KR29">
        <v>969.89</v>
      </c>
      <c r="KS29">
        <v>566.96</v>
      </c>
      <c r="KT29">
        <v>8363.49</v>
      </c>
      <c r="KU29">
        <v>61693.03</v>
      </c>
      <c r="KV29">
        <v>7149.35</v>
      </c>
      <c r="KW29">
        <v>171.16</v>
      </c>
      <c r="KX29">
        <v>119.45</v>
      </c>
      <c r="KY29">
        <v>30.31</v>
      </c>
      <c r="KZ29">
        <v>10.7</v>
      </c>
      <c r="LA29">
        <v>789.82</v>
      </c>
      <c r="LB29">
        <v>625.79</v>
      </c>
      <c r="LC29">
        <v>657.88</v>
      </c>
      <c r="LD29">
        <v>4.7</v>
      </c>
      <c r="LE29">
        <v>137.28</v>
      </c>
      <c r="LF29">
        <v>1606.38</v>
      </c>
      <c r="LG29">
        <v>3328.64</v>
      </c>
      <c r="LH29">
        <v>672.15</v>
      </c>
      <c r="LI29">
        <v>13680.04</v>
      </c>
      <c r="LJ29">
        <v>634.71</v>
      </c>
      <c r="LK29">
        <v>2337.36</v>
      </c>
      <c r="LL29">
        <v>340.53</v>
      </c>
      <c r="LM29">
        <v>4.7</v>
      </c>
      <c r="LN29">
        <v>789.82</v>
      </c>
      <c r="LO29">
        <v>44.57</v>
      </c>
      <c r="LP29">
        <v>1788.23</v>
      </c>
      <c r="LQ29">
        <v>32.090000000000003</v>
      </c>
      <c r="LR29">
        <v>106.97</v>
      </c>
      <c r="LS29">
        <v>151.54</v>
      </c>
      <c r="LT29">
        <v>62.4</v>
      </c>
      <c r="LU29">
        <v>240.69</v>
      </c>
      <c r="LV29">
        <v>98.06</v>
      </c>
      <c r="LW29">
        <v>180.07</v>
      </c>
      <c r="LX29">
        <v>2182.25</v>
      </c>
      <c r="LY29">
        <v>1658.08</v>
      </c>
      <c r="LZ29">
        <v>4095.28</v>
      </c>
      <c r="MA29">
        <v>58.84</v>
      </c>
      <c r="MB29">
        <v>328.05</v>
      </c>
      <c r="MC29">
        <v>698.89</v>
      </c>
      <c r="MD29">
        <v>48.14</v>
      </c>
      <c r="ME29">
        <v>105.19</v>
      </c>
      <c r="MF29">
        <v>85.58</v>
      </c>
      <c r="MG29">
        <v>2624.4</v>
      </c>
      <c r="MH29">
        <v>1417.39</v>
      </c>
      <c r="MI29">
        <v>4.7</v>
      </c>
      <c r="MJ29">
        <v>640.04999999999995</v>
      </c>
      <c r="MK29">
        <v>8.91</v>
      </c>
      <c r="ML29">
        <v>1155.31</v>
      </c>
      <c r="MM29">
        <v>2490.6799999999998</v>
      </c>
      <c r="MN29">
        <v>761.29</v>
      </c>
      <c r="MO29">
        <v>4.7</v>
      </c>
      <c r="MP29">
        <v>110.54</v>
      </c>
      <c r="MQ29">
        <v>358.36</v>
      </c>
      <c r="MR29">
        <v>14.26</v>
      </c>
      <c r="MS29">
        <v>238.91</v>
      </c>
      <c r="MT29">
        <v>2758.12</v>
      </c>
      <c r="MU29">
        <v>42.79</v>
      </c>
      <c r="MV29">
        <v>55.27</v>
      </c>
      <c r="MW29">
        <v>73.099999999999994</v>
      </c>
      <c r="MX29">
        <v>96.28</v>
      </c>
      <c r="MY29">
        <v>4.7</v>
      </c>
      <c r="MZ29">
        <v>771.99</v>
      </c>
      <c r="NA29">
        <v>42.79</v>
      </c>
      <c r="NB29">
        <v>1640.25</v>
      </c>
      <c r="NC29">
        <v>670.36</v>
      </c>
      <c r="ND29">
        <v>1030.51</v>
      </c>
      <c r="NE29">
        <v>579.44000000000005</v>
      </c>
      <c r="NF29">
        <v>4.7</v>
      </c>
      <c r="NG29">
        <v>16.05</v>
      </c>
      <c r="NH29">
        <v>124.8</v>
      </c>
      <c r="NI29">
        <v>2167.98</v>
      </c>
      <c r="NJ29">
        <v>215.73</v>
      </c>
      <c r="NK29">
        <v>140.85</v>
      </c>
      <c r="NL29">
        <v>94.49</v>
      </c>
      <c r="NM29">
        <v>2119.85</v>
      </c>
      <c r="NN29">
        <v>153.33000000000001</v>
      </c>
      <c r="NO29">
        <v>16.05</v>
      </c>
      <c r="NP29">
        <v>4.7</v>
      </c>
      <c r="NQ29">
        <v>1256.93</v>
      </c>
      <c r="NR29">
        <v>509.9</v>
      </c>
      <c r="NS29">
        <v>547.34</v>
      </c>
      <c r="NT29">
        <v>1271.19</v>
      </c>
      <c r="NU29">
        <v>517.04</v>
      </c>
      <c r="NV29">
        <v>679.28</v>
      </c>
      <c r="NW29">
        <v>265.64999999999998</v>
      </c>
      <c r="NX29">
        <v>65.97</v>
      </c>
      <c r="NY29">
        <v>57.05</v>
      </c>
      <c r="NZ29">
        <v>627.57000000000005</v>
      </c>
      <c r="OA29">
        <v>98.06</v>
      </c>
      <c r="OB29">
        <v>525.95000000000005</v>
      </c>
      <c r="OC29">
        <v>877.18</v>
      </c>
      <c r="OD29">
        <v>158.68</v>
      </c>
      <c r="OE29">
        <v>1825.67</v>
      </c>
      <c r="OF29">
        <v>33.869999999999997</v>
      </c>
      <c r="OG29">
        <v>6122.41</v>
      </c>
      <c r="OH29">
        <v>178.29</v>
      </c>
      <c r="OI29">
        <v>85.58</v>
      </c>
      <c r="OJ29">
        <v>33.869999999999997</v>
      </c>
      <c r="OK29">
        <v>1843.5</v>
      </c>
      <c r="OL29">
        <v>340.53</v>
      </c>
      <c r="OM29">
        <v>440.37</v>
      </c>
      <c r="ON29">
        <v>338.75</v>
      </c>
      <c r="OO29">
        <v>773.77</v>
      </c>
      <c r="OP29">
        <v>442.15</v>
      </c>
      <c r="OQ29">
        <v>729.2</v>
      </c>
      <c r="OR29">
        <v>46.35</v>
      </c>
      <c r="OS29">
        <v>602.61</v>
      </c>
      <c r="OT29">
        <v>365.49</v>
      </c>
      <c r="OU29">
        <v>146.19999999999999</v>
      </c>
      <c r="OV29">
        <v>998.41</v>
      </c>
      <c r="OW29">
        <v>8.91</v>
      </c>
      <c r="OX29">
        <v>19.61</v>
      </c>
      <c r="OY29">
        <v>4.7</v>
      </c>
      <c r="OZ29">
        <v>10.7</v>
      </c>
      <c r="PA29">
        <v>4.7</v>
      </c>
      <c r="PB29">
        <v>83.8</v>
      </c>
      <c r="PC29">
        <v>19.61</v>
      </c>
      <c r="PD29">
        <v>57.05</v>
      </c>
      <c r="PE29">
        <v>33.869999999999997</v>
      </c>
      <c r="PF29">
        <v>784.47</v>
      </c>
      <c r="PG29">
        <v>26.74</v>
      </c>
      <c r="PH29">
        <v>112.32</v>
      </c>
      <c r="PI29">
        <v>94.49</v>
      </c>
      <c r="PJ29">
        <v>8987.5</v>
      </c>
      <c r="PK29">
        <v>9468.8799999999992</v>
      </c>
      <c r="PL29">
        <v>67.75</v>
      </c>
      <c r="PM29">
        <v>50384.21</v>
      </c>
      <c r="PN29">
        <v>757.72</v>
      </c>
      <c r="PO29">
        <v>39.22</v>
      </c>
      <c r="PP29">
        <v>661.45</v>
      </c>
      <c r="PQ29">
        <v>19.61</v>
      </c>
      <c r="PR29">
        <v>128.37</v>
      </c>
      <c r="PS29">
        <v>4.7</v>
      </c>
      <c r="PT29">
        <v>23.18</v>
      </c>
      <c r="PU29">
        <v>279.91000000000003</v>
      </c>
      <c r="PV29">
        <v>254.95</v>
      </c>
      <c r="PW29">
        <v>287.04000000000002</v>
      </c>
      <c r="PX29">
        <v>14.26</v>
      </c>
      <c r="PY29">
        <v>383.32</v>
      </c>
      <c r="PZ29">
        <v>51.7</v>
      </c>
      <c r="QA29">
        <v>288.83</v>
      </c>
      <c r="QB29">
        <v>4959.97</v>
      </c>
      <c r="QC29">
        <v>8.91</v>
      </c>
      <c r="QD29">
        <v>4.7</v>
      </c>
      <c r="QE29">
        <v>4.7</v>
      </c>
      <c r="QF29">
        <v>4.7</v>
      </c>
      <c r="QG29">
        <v>4.7</v>
      </c>
      <c r="QH29">
        <v>4.7</v>
      </c>
      <c r="QI29">
        <v>8.91</v>
      </c>
      <c r="QJ29">
        <v>172.94</v>
      </c>
      <c r="QK29">
        <v>35.659999999999997</v>
      </c>
      <c r="QL29">
        <v>156.88999999999999</v>
      </c>
      <c r="QM29">
        <v>898.57</v>
      </c>
      <c r="QN29">
        <v>1055.47</v>
      </c>
      <c r="QO29">
        <v>19.61</v>
      </c>
      <c r="QP29">
        <v>51.7</v>
      </c>
      <c r="QQ29">
        <v>265.64999999999998</v>
      </c>
      <c r="QR29">
        <v>64.180000000000007</v>
      </c>
      <c r="QS29">
        <v>1353.21</v>
      </c>
      <c r="QT29">
        <v>1018.03</v>
      </c>
      <c r="QU29">
        <v>180.07</v>
      </c>
      <c r="QV29">
        <v>82.01</v>
      </c>
      <c r="QW29">
        <v>212.16</v>
      </c>
      <c r="QX29">
        <v>237.12</v>
      </c>
      <c r="QY29">
        <v>26.74</v>
      </c>
      <c r="QZ29">
        <v>12.48</v>
      </c>
      <c r="RA29">
        <v>197.9</v>
      </c>
      <c r="RB29">
        <v>17604.169999999998</v>
      </c>
      <c r="RC29">
        <v>4.7</v>
      </c>
      <c r="RD29">
        <v>1843.5</v>
      </c>
      <c r="RE29">
        <v>58.84</v>
      </c>
      <c r="RF29">
        <v>155.11000000000001</v>
      </c>
      <c r="RG29">
        <v>313.79000000000002</v>
      </c>
      <c r="RH29">
        <v>69.53</v>
      </c>
      <c r="RI29">
        <v>23.18</v>
      </c>
      <c r="RJ29">
        <v>49.92</v>
      </c>
      <c r="RK29">
        <v>4.7</v>
      </c>
      <c r="RL29">
        <v>112.32</v>
      </c>
      <c r="RM29">
        <v>149.76</v>
      </c>
      <c r="RN29">
        <v>240.69</v>
      </c>
      <c r="RO29">
        <v>74.88</v>
      </c>
      <c r="RP29">
        <v>508.12</v>
      </c>
      <c r="RQ29">
        <v>896.79</v>
      </c>
      <c r="RR29">
        <v>10.7</v>
      </c>
      <c r="RS29">
        <v>884.31</v>
      </c>
      <c r="RT29">
        <v>499.21</v>
      </c>
      <c r="RU29">
        <v>17.829999999999998</v>
      </c>
      <c r="RV29">
        <v>23.18</v>
      </c>
      <c r="RW29">
        <v>745.24</v>
      </c>
      <c r="RX29">
        <v>3021.98</v>
      </c>
      <c r="RY29">
        <v>1659.86</v>
      </c>
      <c r="RZ29">
        <v>26.74</v>
      </c>
      <c r="SA29">
        <v>533.08000000000004</v>
      </c>
      <c r="SB29">
        <v>24.96</v>
      </c>
      <c r="SC29">
        <v>140.85</v>
      </c>
      <c r="SD29">
        <v>3574.68</v>
      </c>
      <c r="SE29">
        <v>814.78</v>
      </c>
      <c r="SF29">
        <v>923.53</v>
      </c>
      <c r="SG29">
        <v>6389.85</v>
      </c>
      <c r="SH29">
        <v>147.97999999999999</v>
      </c>
      <c r="SI29">
        <v>23.18</v>
      </c>
      <c r="SJ29">
        <v>254.95</v>
      </c>
      <c r="SK29">
        <v>92.71</v>
      </c>
      <c r="SL29">
        <v>178.29</v>
      </c>
      <c r="SM29">
        <v>23.18</v>
      </c>
      <c r="SN29">
        <v>172.94</v>
      </c>
      <c r="SO29">
        <v>4.7</v>
      </c>
      <c r="SP29">
        <v>645.4</v>
      </c>
      <c r="SQ29">
        <v>1354.99</v>
      </c>
      <c r="SR29">
        <v>2128.7600000000002</v>
      </c>
      <c r="SS29">
        <v>591.91999999999996</v>
      </c>
      <c r="ST29">
        <v>115.89</v>
      </c>
      <c r="SU29">
        <v>285.26</v>
      </c>
      <c r="SV29">
        <v>96.28</v>
      </c>
      <c r="SW29">
        <v>679.28</v>
      </c>
      <c r="SX29">
        <v>540.21</v>
      </c>
      <c r="SY29">
        <v>85.58</v>
      </c>
      <c r="SZ29">
        <v>4.7</v>
      </c>
      <c r="TA29">
        <v>4.7</v>
      </c>
      <c r="TB29">
        <v>2620.83</v>
      </c>
      <c r="TC29">
        <v>1080.43</v>
      </c>
      <c r="TD29">
        <v>58.84</v>
      </c>
      <c r="TE29">
        <v>515.25</v>
      </c>
      <c r="TF29">
        <v>447.5</v>
      </c>
      <c r="TG29">
        <v>413.63</v>
      </c>
      <c r="TH29">
        <v>217.51</v>
      </c>
      <c r="TI29">
        <v>55.27</v>
      </c>
      <c r="TJ29">
        <v>8.91</v>
      </c>
      <c r="TK29">
        <v>224.64</v>
      </c>
      <c r="TL29">
        <v>272.77999999999997</v>
      </c>
      <c r="TM29">
        <v>87.36</v>
      </c>
      <c r="TN29">
        <v>1625.99</v>
      </c>
      <c r="TO29">
        <v>3148.57</v>
      </c>
      <c r="TP29">
        <v>322.7</v>
      </c>
      <c r="TQ29">
        <v>178.29</v>
      </c>
      <c r="TR29">
        <v>4.7</v>
      </c>
      <c r="TS29">
        <v>779.12</v>
      </c>
      <c r="TT29">
        <v>57.05</v>
      </c>
      <c r="TU29">
        <v>124.8</v>
      </c>
      <c r="TV29">
        <v>574.09</v>
      </c>
      <c r="TW29">
        <v>502.77</v>
      </c>
      <c r="TX29">
        <v>278.13</v>
      </c>
      <c r="TY29">
        <v>19.61</v>
      </c>
      <c r="TZ29">
        <v>94.49</v>
      </c>
      <c r="UA29">
        <v>376.19</v>
      </c>
      <c r="UB29">
        <v>167.59</v>
      </c>
      <c r="UC29">
        <v>7874.98</v>
      </c>
      <c r="UD29">
        <v>4.7</v>
      </c>
      <c r="UE29">
        <v>4.7</v>
      </c>
      <c r="UF29">
        <v>1759.7</v>
      </c>
      <c r="UG29">
        <v>176.51</v>
      </c>
      <c r="UH29">
        <v>4.7</v>
      </c>
      <c r="UI29">
        <v>35.659999999999997</v>
      </c>
      <c r="UJ29">
        <v>16.05</v>
      </c>
      <c r="UK29">
        <v>23.18</v>
      </c>
      <c r="UL29">
        <v>12.48</v>
      </c>
      <c r="UM29">
        <v>28.53</v>
      </c>
      <c r="UN29">
        <v>80.23</v>
      </c>
      <c r="UO29">
        <v>171.16</v>
      </c>
      <c r="UP29">
        <v>4.7</v>
      </c>
      <c r="UQ29">
        <v>4.7</v>
      </c>
      <c r="UR29">
        <v>4.7</v>
      </c>
      <c r="US29">
        <v>203.25</v>
      </c>
      <c r="UT29">
        <v>164.03</v>
      </c>
      <c r="UU29">
        <v>960.97</v>
      </c>
      <c r="UV29">
        <v>554.48</v>
      </c>
      <c r="UW29">
        <v>169.37</v>
      </c>
      <c r="UX29">
        <v>60.62</v>
      </c>
      <c r="UY29">
        <v>757.72</v>
      </c>
      <c r="UZ29">
        <v>78.45</v>
      </c>
      <c r="VA29">
        <v>1333.59</v>
      </c>
      <c r="VB29">
        <v>1731.18</v>
      </c>
      <c r="VC29">
        <v>117.67</v>
      </c>
      <c r="VD29">
        <v>156.88999999999999</v>
      </c>
      <c r="VE29">
        <v>44.57</v>
      </c>
      <c r="VF29">
        <v>581.22</v>
      </c>
      <c r="VG29">
        <v>4.7</v>
      </c>
      <c r="VH29">
        <v>12.48</v>
      </c>
      <c r="VI29">
        <v>23.18</v>
      </c>
      <c r="VJ29">
        <v>8.91</v>
      </c>
      <c r="VK29">
        <v>525.95000000000005</v>
      </c>
      <c r="VL29">
        <v>909.27</v>
      </c>
      <c r="VM29">
        <v>1583.2</v>
      </c>
      <c r="VN29">
        <v>595.48</v>
      </c>
      <c r="VO29">
        <v>8.91</v>
      </c>
      <c r="VP29">
        <v>4.7</v>
      </c>
      <c r="VQ29">
        <v>1166</v>
      </c>
      <c r="VR29">
        <v>335.18</v>
      </c>
      <c r="VS29">
        <v>1067.95</v>
      </c>
      <c r="VT29">
        <v>17.829999999999998</v>
      </c>
      <c r="VU29">
        <v>4.7</v>
      </c>
      <c r="VV29">
        <v>55.27</v>
      </c>
      <c r="VW29">
        <v>329.83</v>
      </c>
      <c r="VX29">
        <v>199.68</v>
      </c>
      <c r="VY29">
        <v>4.7</v>
      </c>
      <c r="VZ29">
        <v>37964.660000000003</v>
      </c>
      <c r="WA29">
        <v>33609.089999999997</v>
      </c>
      <c r="WB29">
        <v>379.75</v>
      </c>
      <c r="WC29">
        <v>208.6</v>
      </c>
      <c r="WD29">
        <v>57.05</v>
      </c>
      <c r="WE29">
        <v>1067.95</v>
      </c>
      <c r="WF29">
        <v>162.24</v>
      </c>
      <c r="WG29">
        <v>183.64</v>
      </c>
      <c r="WH29">
        <v>5029.51</v>
      </c>
      <c r="WI29">
        <v>6282.87</v>
      </c>
      <c r="WJ29">
        <v>764.86</v>
      </c>
      <c r="WK29">
        <v>226.43</v>
      </c>
      <c r="WL29">
        <v>771.99</v>
      </c>
      <c r="WM29">
        <v>4.7</v>
      </c>
      <c r="WN29">
        <v>33.869999999999997</v>
      </c>
      <c r="WO29">
        <v>4.7</v>
      </c>
      <c r="WP29">
        <v>130.15</v>
      </c>
      <c r="WQ29">
        <v>6072.49</v>
      </c>
      <c r="WR29">
        <v>1782.88</v>
      </c>
      <c r="WS29">
        <v>4.7</v>
      </c>
      <c r="WT29">
        <v>83.8</v>
      </c>
      <c r="WU29">
        <v>764.86</v>
      </c>
      <c r="WV29">
        <v>952.06</v>
      </c>
      <c r="WW29">
        <v>26.74</v>
      </c>
      <c r="WX29">
        <v>172.94</v>
      </c>
      <c r="WY29">
        <v>30.31</v>
      </c>
      <c r="WZ29">
        <v>4.7</v>
      </c>
      <c r="XA29">
        <v>4.7</v>
      </c>
      <c r="XB29">
        <v>1060.81</v>
      </c>
      <c r="XC29">
        <v>57.05</v>
      </c>
      <c r="XD29">
        <v>376.19</v>
      </c>
      <c r="XE29">
        <v>648.97</v>
      </c>
      <c r="XF29">
        <v>1797.14</v>
      </c>
      <c r="XG29">
        <v>936.01</v>
      </c>
      <c r="XH29">
        <v>468.9</v>
      </c>
      <c r="XI29">
        <v>1750.79</v>
      </c>
      <c r="XJ29">
        <v>729.2</v>
      </c>
      <c r="XK29">
        <v>830.82</v>
      </c>
      <c r="XL29">
        <v>90.93</v>
      </c>
      <c r="XM29">
        <v>8.91</v>
      </c>
      <c r="XN29">
        <v>377.97</v>
      </c>
      <c r="XO29">
        <v>19.61</v>
      </c>
      <c r="XP29">
        <v>24.96</v>
      </c>
      <c r="XQ29">
        <v>14.26</v>
      </c>
      <c r="XR29">
        <v>16.05</v>
      </c>
      <c r="XS29">
        <v>3571.11</v>
      </c>
      <c r="XT29">
        <v>388.67</v>
      </c>
      <c r="XU29">
        <v>533.08000000000004</v>
      </c>
      <c r="XV29">
        <v>645.4</v>
      </c>
      <c r="XW29">
        <v>964.54</v>
      </c>
      <c r="XX29">
        <v>1852.41</v>
      </c>
      <c r="XY29">
        <v>2301.6999999999998</v>
      </c>
      <c r="XZ29">
        <v>124.8</v>
      </c>
      <c r="YA29">
        <v>1185.6199999999999</v>
      </c>
      <c r="YB29">
        <v>256.73</v>
      </c>
      <c r="YC29">
        <v>21.39</v>
      </c>
      <c r="YD29">
        <v>1089.3399999999999</v>
      </c>
      <c r="YE29">
        <v>187.2</v>
      </c>
      <c r="YF29">
        <v>542</v>
      </c>
      <c r="YG29">
        <v>37.44</v>
      </c>
      <c r="YH29">
        <v>10.7</v>
      </c>
      <c r="YI29">
        <v>69.53</v>
      </c>
      <c r="YJ29">
        <v>654.32000000000005</v>
      </c>
      <c r="YK29">
        <v>4.7</v>
      </c>
      <c r="YL29">
        <v>912.84</v>
      </c>
      <c r="YM29">
        <v>5402.13</v>
      </c>
      <c r="YN29">
        <v>98.06</v>
      </c>
      <c r="YO29">
        <v>893.22</v>
      </c>
      <c r="YP29">
        <v>4277.13</v>
      </c>
      <c r="YQ29">
        <v>310.22000000000003</v>
      </c>
      <c r="YR29">
        <v>96.28</v>
      </c>
      <c r="YS29">
        <v>4719.29</v>
      </c>
      <c r="YT29">
        <v>181.85</v>
      </c>
      <c r="YU29">
        <v>1506.53</v>
      </c>
      <c r="YV29">
        <v>12.48</v>
      </c>
      <c r="YW29">
        <v>105.19</v>
      </c>
      <c r="YX29">
        <v>65.97</v>
      </c>
      <c r="YY29">
        <v>333.4</v>
      </c>
      <c r="YZ29">
        <v>12.48</v>
      </c>
      <c r="ZA29">
        <v>183.64</v>
      </c>
      <c r="ZB29">
        <v>4.7</v>
      </c>
      <c r="ZC29">
        <v>4.7</v>
      </c>
      <c r="ZD29">
        <v>82.01</v>
      </c>
      <c r="ZE29">
        <v>39.22</v>
      </c>
      <c r="ZF29">
        <v>94.49</v>
      </c>
      <c r="ZG29">
        <v>187.2</v>
      </c>
      <c r="ZH29">
        <v>124.8</v>
      </c>
      <c r="ZI29">
        <v>1080.43</v>
      </c>
      <c r="ZJ29">
        <v>442.15</v>
      </c>
      <c r="ZK29">
        <v>718.5</v>
      </c>
      <c r="ZL29">
        <v>16.05</v>
      </c>
      <c r="ZM29">
        <v>518.82000000000005</v>
      </c>
      <c r="ZN29">
        <v>90.93</v>
      </c>
      <c r="ZO29">
        <v>8.91</v>
      </c>
      <c r="ZP29">
        <v>442.15</v>
      </c>
      <c r="ZQ29">
        <v>4.7</v>
      </c>
      <c r="ZR29">
        <v>19.61</v>
      </c>
      <c r="ZS29">
        <v>928.88</v>
      </c>
      <c r="ZT29">
        <v>301.31</v>
      </c>
      <c r="ZU29">
        <v>788.03</v>
      </c>
      <c r="ZV29">
        <v>8.91</v>
      </c>
      <c r="ZW29">
        <v>12.48</v>
      </c>
      <c r="ZX29">
        <v>80.23</v>
      </c>
      <c r="ZY29">
        <v>388.67</v>
      </c>
      <c r="ZZ29">
        <v>155.11000000000001</v>
      </c>
      <c r="AAA29">
        <v>89.14</v>
      </c>
      <c r="AAB29">
        <v>110.54</v>
      </c>
      <c r="AAC29">
        <v>4.7</v>
      </c>
      <c r="AAD29">
        <v>32.090000000000003</v>
      </c>
      <c r="AAE29">
        <v>4.7</v>
      </c>
      <c r="AAF29">
        <v>35.659999999999997</v>
      </c>
      <c r="AAG29">
        <v>429.67</v>
      </c>
      <c r="AAH29">
        <v>279.91000000000003</v>
      </c>
      <c r="AAI29">
        <v>3446.31</v>
      </c>
      <c r="AAJ29">
        <v>479.59</v>
      </c>
      <c r="AAK29">
        <v>1046.55</v>
      </c>
      <c r="AAL29">
        <v>240.69</v>
      </c>
      <c r="AAM29">
        <v>23.18</v>
      </c>
      <c r="AAN29">
        <v>440.37</v>
      </c>
      <c r="AAO29">
        <v>44.57</v>
      </c>
      <c r="AAP29">
        <v>98.06</v>
      </c>
      <c r="AAQ29">
        <v>4.7</v>
      </c>
      <c r="AAR29">
        <v>14.26</v>
      </c>
      <c r="AAS29">
        <v>2184.0300000000002</v>
      </c>
      <c r="AAT29">
        <v>224.64</v>
      </c>
      <c r="AAU29">
        <v>8.91</v>
      </c>
      <c r="AAV29">
        <v>948.49</v>
      </c>
      <c r="AAW29">
        <v>53.49</v>
      </c>
      <c r="AAX29">
        <v>49.92</v>
      </c>
      <c r="AAY29">
        <v>58.84</v>
      </c>
      <c r="AAZ29">
        <v>21.39</v>
      </c>
      <c r="ABA29">
        <v>556.26</v>
      </c>
      <c r="ABB29">
        <v>62.4</v>
      </c>
      <c r="ABC29">
        <v>1248.02</v>
      </c>
      <c r="ABD29">
        <v>3000.59</v>
      </c>
      <c r="ABE29">
        <v>602.61</v>
      </c>
      <c r="ABF29">
        <v>789.82</v>
      </c>
      <c r="ABG29">
        <v>137.28</v>
      </c>
      <c r="ABH29">
        <v>190.77</v>
      </c>
      <c r="ABI29">
        <v>10.7</v>
      </c>
      <c r="ABJ29">
        <v>17.829999999999998</v>
      </c>
      <c r="ABK29">
        <v>55.27</v>
      </c>
      <c r="ABL29">
        <v>10.7</v>
      </c>
      <c r="ABM29">
        <v>106.97</v>
      </c>
      <c r="ABN29">
        <v>78.45</v>
      </c>
      <c r="ABO29">
        <v>4.7</v>
      </c>
      <c r="ABP29">
        <v>4.7</v>
      </c>
      <c r="ABQ29">
        <v>864.7</v>
      </c>
      <c r="ABR29">
        <v>26.74</v>
      </c>
      <c r="ABS29">
        <v>1861.33</v>
      </c>
      <c r="ABT29">
        <v>4.7</v>
      </c>
      <c r="ABU29">
        <v>55.27</v>
      </c>
      <c r="ABV29">
        <v>233.56</v>
      </c>
      <c r="ABW29">
        <v>821.91</v>
      </c>
      <c r="ABX29">
        <v>1158.8699999999999</v>
      </c>
      <c r="ABY29">
        <v>338.75</v>
      </c>
      <c r="ABZ29">
        <v>224.64</v>
      </c>
      <c r="ACA29">
        <v>771.99</v>
      </c>
      <c r="ACB29">
        <v>240.69</v>
      </c>
      <c r="ACC29">
        <v>128.37</v>
      </c>
      <c r="ACD29">
        <v>271</v>
      </c>
      <c r="ACE29">
        <v>121.24</v>
      </c>
      <c r="ACF29">
        <v>7461.36</v>
      </c>
      <c r="ACG29">
        <v>3166.4</v>
      </c>
      <c r="ACH29">
        <v>356.58</v>
      </c>
      <c r="ACI29">
        <v>706.02</v>
      </c>
      <c r="ACJ29">
        <v>932.45</v>
      </c>
      <c r="ACK29">
        <v>492.08</v>
      </c>
      <c r="ACL29">
        <v>89.14</v>
      </c>
      <c r="ACM29">
        <v>484.94</v>
      </c>
      <c r="ACN29">
        <v>288.83</v>
      </c>
      <c r="ACO29">
        <v>1221.27</v>
      </c>
      <c r="ACP29">
        <v>556.26</v>
      </c>
      <c r="ACQ29">
        <v>363.71</v>
      </c>
      <c r="ACR29">
        <v>2567.35</v>
      </c>
    </row>
    <row r="30" spans="1:772" x14ac:dyDescent="0.3">
      <c r="A30" t="s">
        <v>14</v>
      </c>
      <c r="B30" t="s">
        <v>2</v>
      </c>
      <c r="C30">
        <v>284</v>
      </c>
      <c r="D30">
        <v>131.22</v>
      </c>
      <c r="E30">
        <v>859.2</v>
      </c>
      <c r="F30">
        <v>4.03</v>
      </c>
      <c r="G30">
        <v>8187.52</v>
      </c>
      <c r="H30">
        <v>89.87</v>
      </c>
      <c r="I30">
        <v>2520.0700000000002</v>
      </c>
      <c r="J30">
        <v>37750.69</v>
      </c>
      <c r="K30">
        <v>546.42999999999995</v>
      </c>
      <c r="L30">
        <v>14.38</v>
      </c>
      <c r="M30">
        <v>213.9</v>
      </c>
      <c r="N30">
        <v>3941.88</v>
      </c>
      <c r="O30">
        <v>240.86</v>
      </c>
      <c r="P30">
        <v>512.28</v>
      </c>
      <c r="Q30">
        <v>30.56</v>
      </c>
      <c r="R30">
        <v>1155.78</v>
      </c>
      <c r="S30">
        <v>8.99</v>
      </c>
      <c r="T30">
        <v>630.91999999999996</v>
      </c>
      <c r="U30">
        <v>535.65</v>
      </c>
      <c r="V30">
        <v>221.09</v>
      </c>
      <c r="W30">
        <v>1862.19</v>
      </c>
      <c r="X30">
        <v>4.03</v>
      </c>
      <c r="Y30">
        <v>294.79000000000002</v>
      </c>
      <c r="Z30">
        <v>853.8</v>
      </c>
      <c r="AA30">
        <v>19.77</v>
      </c>
      <c r="AB30">
        <v>1558.42</v>
      </c>
      <c r="AC30">
        <v>896.94</v>
      </c>
      <c r="AD30">
        <v>404.43</v>
      </c>
      <c r="AE30">
        <v>460.16</v>
      </c>
      <c r="AF30">
        <v>42968.78</v>
      </c>
      <c r="AG30">
        <v>328.94</v>
      </c>
      <c r="AH30">
        <v>1037.1500000000001</v>
      </c>
      <c r="AI30">
        <v>46.73</v>
      </c>
      <c r="AJ30">
        <v>1164.77</v>
      </c>
      <c r="AK30">
        <v>379.27</v>
      </c>
      <c r="AL30">
        <v>100.66</v>
      </c>
      <c r="AM30">
        <v>431.4</v>
      </c>
      <c r="AN30">
        <v>48.53</v>
      </c>
      <c r="AO30">
        <v>2484.12</v>
      </c>
      <c r="AP30">
        <v>21.57</v>
      </c>
      <c r="AQ30">
        <v>70.099999999999994</v>
      </c>
      <c r="AR30">
        <v>17.97</v>
      </c>
      <c r="AS30">
        <v>34.15</v>
      </c>
      <c r="AT30">
        <v>8.99</v>
      </c>
      <c r="AU30">
        <v>16.18</v>
      </c>
      <c r="AV30">
        <v>1770.52</v>
      </c>
      <c r="AW30">
        <v>657.88</v>
      </c>
      <c r="AX30">
        <v>6341.51</v>
      </c>
      <c r="AY30">
        <v>52.13</v>
      </c>
      <c r="AZ30">
        <v>62.91</v>
      </c>
      <c r="BA30">
        <v>925.7</v>
      </c>
      <c r="BB30">
        <v>1044.3399999999999</v>
      </c>
      <c r="BC30">
        <v>23.37</v>
      </c>
      <c r="BD30">
        <v>16.18</v>
      </c>
      <c r="BE30">
        <v>131.22</v>
      </c>
      <c r="BF30">
        <v>163.57</v>
      </c>
      <c r="BG30">
        <v>53.92</v>
      </c>
      <c r="BH30">
        <v>16.18</v>
      </c>
      <c r="BI30">
        <v>26.96</v>
      </c>
      <c r="BJ30">
        <v>4.03</v>
      </c>
      <c r="BK30">
        <v>364.89</v>
      </c>
      <c r="BL30">
        <v>648.89</v>
      </c>
      <c r="BM30">
        <v>71.900000000000006</v>
      </c>
      <c r="BN30">
        <v>143.80000000000001</v>
      </c>
      <c r="BO30">
        <v>93.47</v>
      </c>
      <c r="BP30">
        <v>8.99</v>
      </c>
      <c r="BQ30">
        <v>4.03</v>
      </c>
      <c r="BR30">
        <v>176.15</v>
      </c>
      <c r="BS30">
        <v>25.16</v>
      </c>
      <c r="BT30">
        <v>740.56</v>
      </c>
      <c r="BU30">
        <v>79.09</v>
      </c>
      <c r="BV30">
        <v>25.16</v>
      </c>
      <c r="BW30">
        <v>158.18</v>
      </c>
      <c r="BX30">
        <v>514.08000000000004</v>
      </c>
      <c r="BY30">
        <v>158.18</v>
      </c>
      <c r="BZ30">
        <v>913.12</v>
      </c>
      <c r="CA30">
        <v>32.35</v>
      </c>
      <c r="CB30">
        <v>44.94</v>
      </c>
      <c r="CC30">
        <v>28.76</v>
      </c>
      <c r="CD30">
        <v>93.47</v>
      </c>
      <c r="CE30">
        <v>693.83</v>
      </c>
      <c r="CF30">
        <v>2320.5500000000002</v>
      </c>
      <c r="CG30">
        <v>25.16</v>
      </c>
      <c r="CH30">
        <v>194.13</v>
      </c>
      <c r="CI30">
        <v>28.76</v>
      </c>
      <c r="CJ30">
        <v>4.03</v>
      </c>
      <c r="CK30">
        <v>50.33</v>
      </c>
      <c r="CL30">
        <v>48.53</v>
      </c>
      <c r="CM30">
        <v>488.91</v>
      </c>
      <c r="CN30">
        <v>71.900000000000006</v>
      </c>
      <c r="CO30">
        <v>34.15</v>
      </c>
      <c r="CP30">
        <v>4.03</v>
      </c>
      <c r="CQ30">
        <v>46.73</v>
      </c>
      <c r="CR30">
        <v>88.08</v>
      </c>
      <c r="CS30">
        <v>4.03</v>
      </c>
      <c r="CT30">
        <v>30.56</v>
      </c>
      <c r="CU30">
        <v>77.290000000000006</v>
      </c>
      <c r="CV30">
        <v>104.25</v>
      </c>
      <c r="CW30">
        <v>3557.21</v>
      </c>
      <c r="CX30">
        <v>46.73</v>
      </c>
      <c r="CY30">
        <v>172.56</v>
      </c>
      <c r="CZ30">
        <v>23.37</v>
      </c>
      <c r="DA30">
        <v>4.03</v>
      </c>
      <c r="DB30">
        <v>127.62</v>
      </c>
      <c r="DC30">
        <v>106.05</v>
      </c>
      <c r="DD30">
        <v>25.16</v>
      </c>
      <c r="DE30">
        <v>35.950000000000003</v>
      </c>
      <c r="DF30">
        <v>422.41</v>
      </c>
      <c r="DG30">
        <v>4.03</v>
      </c>
      <c r="DH30">
        <v>4799.2700000000004</v>
      </c>
      <c r="DI30">
        <v>26.96</v>
      </c>
      <c r="DJ30">
        <v>43.14</v>
      </c>
      <c r="DK30">
        <v>172.56</v>
      </c>
      <c r="DL30">
        <v>2122.8200000000002</v>
      </c>
      <c r="DM30">
        <v>143.80000000000001</v>
      </c>
      <c r="DN30">
        <v>39.54</v>
      </c>
      <c r="DO30">
        <v>107.85</v>
      </c>
      <c r="DP30">
        <v>32.35</v>
      </c>
      <c r="DQ30">
        <v>2636.9</v>
      </c>
      <c r="DR30">
        <v>80.89</v>
      </c>
      <c r="DS30">
        <v>37.75</v>
      </c>
      <c r="DT30">
        <v>19.77</v>
      </c>
      <c r="DU30">
        <v>4118.03</v>
      </c>
      <c r="DV30">
        <v>10.78</v>
      </c>
      <c r="DW30">
        <v>4.03</v>
      </c>
      <c r="DX30">
        <v>102.46</v>
      </c>
      <c r="DY30">
        <v>80.89</v>
      </c>
      <c r="DZ30">
        <v>84.48</v>
      </c>
      <c r="EA30">
        <v>52.13</v>
      </c>
      <c r="EB30">
        <v>32.35</v>
      </c>
      <c r="EC30">
        <v>79.09</v>
      </c>
      <c r="ED30">
        <v>12.58</v>
      </c>
      <c r="EE30">
        <v>4.03</v>
      </c>
      <c r="EF30">
        <v>3794.48</v>
      </c>
      <c r="EG30">
        <v>2038.34</v>
      </c>
      <c r="EH30">
        <v>19.77</v>
      </c>
      <c r="EI30">
        <v>14.38</v>
      </c>
      <c r="EJ30">
        <v>467.35</v>
      </c>
      <c r="EK30">
        <v>736.97</v>
      </c>
      <c r="EL30">
        <v>9503.2800000000007</v>
      </c>
      <c r="EM30">
        <v>341.52</v>
      </c>
      <c r="EN30">
        <v>48.53</v>
      </c>
      <c r="EO30">
        <v>801.68</v>
      </c>
      <c r="EP30">
        <v>8.99</v>
      </c>
      <c r="EQ30">
        <v>4153.9799999999996</v>
      </c>
      <c r="ER30">
        <v>19.77</v>
      </c>
      <c r="ES30">
        <v>10.78</v>
      </c>
      <c r="ET30">
        <v>4.03</v>
      </c>
      <c r="EU30">
        <v>762.13</v>
      </c>
      <c r="EV30">
        <v>8.99</v>
      </c>
      <c r="EW30">
        <v>12.58</v>
      </c>
      <c r="EX30">
        <v>120.43</v>
      </c>
      <c r="EY30">
        <v>53.92</v>
      </c>
      <c r="EZ30">
        <v>23.37</v>
      </c>
      <c r="FA30">
        <v>70.099999999999994</v>
      </c>
      <c r="FB30">
        <v>10.78</v>
      </c>
      <c r="FC30">
        <v>231.88</v>
      </c>
      <c r="FD30">
        <v>25.16</v>
      </c>
      <c r="FE30">
        <v>6718.98</v>
      </c>
      <c r="FF30">
        <v>73.7</v>
      </c>
      <c r="FG30">
        <v>3713.6</v>
      </c>
      <c r="FH30">
        <v>3312.76</v>
      </c>
      <c r="FI30">
        <v>10.78</v>
      </c>
      <c r="FJ30">
        <v>231.88</v>
      </c>
      <c r="FK30">
        <v>539.24</v>
      </c>
      <c r="FL30">
        <v>57.52</v>
      </c>
      <c r="FM30">
        <v>190.53</v>
      </c>
      <c r="FN30">
        <v>64.709999999999994</v>
      </c>
      <c r="FO30">
        <v>50.33</v>
      </c>
      <c r="FP30">
        <v>4.03</v>
      </c>
      <c r="FQ30">
        <v>4.03</v>
      </c>
      <c r="FR30">
        <v>4.03</v>
      </c>
      <c r="FS30">
        <v>4.03</v>
      </c>
      <c r="FT30">
        <v>52.13</v>
      </c>
      <c r="FU30">
        <v>3995.8</v>
      </c>
      <c r="FV30">
        <v>1234.8699999999999</v>
      </c>
      <c r="FW30">
        <v>14.38</v>
      </c>
      <c r="FX30">
        <v>34.15</v>
      </c>
      <c r="FY30">
        <v>4.03</v>
      </c>
      <c r="FZ30">
        <v>808.87</v>
      </c>
      <c r="GA30">
        <v>337.93</v>
      </c>
      <c r="GB30">
        <v>52.13</v>
      </c>
      <c r="GC30">
        <v>4.03</v>
      </c>
      <c r="GD30">
        <v>97.06</v>
      </c>
      <c r="GE30">
        <v>1161.17</v>
      </c>
      <c r="GF30">
        <v>370.28</v>
      </c>
      <c r="GG30">
        <v>846.61</v>
      </c>
      <c r="GH30">
        <v>487.12</v>
      </c>
      <c r="GI30">
        <v>4047.93</v>
      </c>
      <c r="GJ30">
        <v>39.54</v>
      </c>
      <c r="GK30">
        <v>6584.17</v>
      </c>
      <c r="GL30">
        <v>505.09</v>
      </c>
      <c r="GM30">
        <v>12.58</v>
      </c>
      <c r="GN30">
        <v>4.03</v>
      </c>
      <c r="GO30">
        <v>494.31</v>
      </c>
      <c r="GP30">
        <v>41.34</v>
      </c>
      <c r="GQ30">
        <v>8.99</v>
      </c>
      <c r="GR30">
        <v>203.12</v>
      </c>
      <c r="GS30">
        <v>271.42</v>
      </c>
      <c r="GT30">
        <v>1443.38</v>
      </c>
      <c r="GU30">
        <v>19.77</v>
      </c>
      <c r="GV30">
        <v>4.03</v>
      </c>
      <c r="GW30">
        <v>4.03</v>
      </c>
      <c r="GX30">
        <v>476.33</v>
      </c>
      <c r="GY30">
        <v>16.18</v>
      </c>
      <c r="GZ30">
        <v>192.33</v>
      </c>
      <c r="HA30">
        <v>391.85</v>
      </c>
      <c r="HB30">
        <v>600.36</v>
      </c>
      <c r="HC30">
        <v>118.63</v>
      </c>
      <c r="HD30">
        <v>1801.08</v>
      </c>
      <c r="HE30">
        <v>16.18</v>
      </c>
      <c r="HF30">
        <v>4671.6499999999996</v>
      </c>
      <c r="HG30">
        <v>275.01</v>
      </c>
      <c r="HH30">
        <v>154.58000000000001</v>
      </c>
      <c r="HI30">
        <v>4.03</v>
      </c>
      <c r="HJ30">
        <v>1274.4100000000001</v>
      </c>
      <c r="HK30">
        <v>6512.27</v>
      </c>
      <c r="HL30">
        <v>629.12</v>
      </c>
      <c r="HM30">
        <v>152.79</v>
      </c>
      <c r="HN30">
        <v>1718.39</v>
      </c>
      <c r="HO30">
        <v>10.78</v>
      </c>
      <c r="HP30">
        <v>197.72</v>
      </c>
      <c r="HQ30">
        <v>10067.69</v>
      </c>
      <c r="HR30">
        <v>79.09</v>
      </c>
      <c r="HS30">
        <v>28.76</v>
      </c>
      <c r="HT30">
        <v>32.35</v>
      </c>
      <c r="HU30">
        <v>505.09</v>
      </c>
      <c r="HV30">
        <v>174.36</v>
      </c>
      <c r="HW30">
        <v>13847.79</v>
      </c>
      <c r="HX30">
        <v>25.16</v>
      </c>
      <c r="HY30">
        <v>10.78</v>
      </c>
      <c r="HZ30">
        <v>221.09</v>
      </c>
      <c r="IA30">
        <v>1258.24</v>
      </c>
      <c r="IB30">
        <v>104.25</v>
      </c>
      <c r="IC30">
        <v>12.58</v>
      </c>
      <c r="ID30">
        <v>4.03</v>
      </c>
      <c r="IE30">
        <v>19.77</v>
      </c>
      <c r="IF30">
        <v>713.6</v>
      </c>
      <c r="IG30">
        <v>44.94</v>
      </c>
      <c r="IH30">
        <v>4.03</v>
      </c>
      <c r="II30">
        <v>154.58000000000001</v>
      </c>
      <c r="IJ30">
        <v>102.46</v>
      </c>
      <c r="IK30">
        <v>4.03</v>
      </c>
      <c r="IL30">
        <v>950.87</v>
      </c>
      <c r="IM30">
        <v>478.13</v>
      </c>
      <c r="IN30">
        <v>111.44</v>
      </c>
      <c r="IO30">
        <v>526.66</v>
      </c>
      <c r="IP30">
        <v>21.57</v>
      </c>
      <c r="IQ30">
        <v>4.03</v>
      </c>
      <c r="IR30">
        <v>4.03</v>
      </c>
      <c r="IS30">
        <v>52.13</v>
      </c>
      <c r="IT30">
        <v>8.99</v>
      </c>
      <c r="IU30">
        <v>328.94</v>
      </c>
      <c r="IV30">
        <v>6052.12</v>
      </c>
      <c r="IW30">
        <v>154.58000000000001</v>
      </c>
      <c r="IX30">
        <v>7218.68</v>
      </c>
      <c r="IY30">
        <v>93.47</v>
      </c>
      <c r="IZ30">
        <v>23.37</v>
      </c>
      <c r="JA30">
        <v>183.34</v>
      </c>
      <c r="JB30">
        <v>1427.2</v>
      </c>
      <c r="JC30">
        <v>55.72</v>
      </c>
      <c r="JD30">
        <v>300.18</v>
      </c>
      <c r="JE30">
        <v>35.950000000000003</v>
      </c>
      <c r="JF30">
        <v>19.77</v>
      </c>
      <c r="JG30">
        <v>75.489999999999995</v>
      </c>
      <c r="JH30">
        <v>168.96</v>
      </c>
      <c r="JI30">
        <v>506.89</v>
      </c>
      <c r="JJ30">
        <v>100.66</v>
      </c>
      <c r="JK30">
        <v>39.54</v>
      </c>
      <c r="JL30">
        <v>70.099999999999994</v>
      </c>
      <c r="JM30">
        <v>19.77</v>
      </c>
      <c r="JN30">
        <v>17.97</v>
      </c>
      <c r="JO30">
        <v>508.69</v>
      </c>
      <c r="JP30">
        <v>1662.67</v>
      </c>
      <c r="JQ30">
        <v>2101.2600000000002</v>
      </c>
      <c r="JR30">
        <v>44.94</v>
      </c>
      <c r="JS30">
        <v>4.03</v>
      </c>
      <c r="JT30">
        <v>190.53</v>
      </c>
      <c r="JU30">
        <v>215.7</v>
      </c>
      <c r="JV30">
        <v>431.4</v>
      </c>
      <c r="JW30">
        <v>71.900000000000006</v>
      </c>
      <c r="JX30">
        <v>39.54</v>
      </c>
      <c r="JY30">
        <v>246.25</v>
      </c>
      <c r="JZ30">
        <v>12.58</v>
      </c>
      <c r="KA30">
        <v>100.66</v>
      </c>
      <c r="KB30">
        <v>16.18</v>
      </c>
      <c r="KC30">
        <v>26.96</v>
      </c>
      <c r="KD30">
        <v>50.33</v>
      </c>
      <c r="KE30">
        <v>206.71</v>
      </c>
      <c r="KF30">
        <v>80.89</v>
      </c>
      <c r="KG30">
        <v>199.52</v>
      </c>
      <c r="KH30">
        <v>355.9</v>
      </c>
      <c r="KI30">
        <v>722.59</v>
      </c>
      <c r="KJ30">
        <v>368.48</v>
      </c>
      <c r="KK30">
        <v>404.43</v>
      </c>
      <c r="KL30">
        <v>70.099999999999994</v>
      </c>
      <c r="KM30">
        <v>23.37</v>
      </c>
      <c r="KN30">
        <v>97.06</v>
      </c>
      <c r="KO30">
        <v>474.53</v>
      </c>
      <c r="KP30">
        <v>89.87</v>
      </c>
      <c r="KQ30">
        <v>3167.16</v>
      </c>
      <c r="KR30">
        <v>1035.3499999999999</v>
      </c>
      <c r="KS30">
        <v>555.41999999999996</v>
      </c>
      <c r="KT30">
        <v>9873.56</v>
      </c>
      <c r="KU30">
        <v>64171.86</v>
      </c>
      <c r="KV30">
        <v>8182.13</v>
      </c>
      <c r="KW30">
        <v>174.36</v>
      </c>
      <c r="KX30">
        <v>100.66</v>
      </c>
      <c r="KY30">
        <v>41.34</v>
      </c>
      <c r="KZ30">
        <v>16.18</v>
      </c>
      <c r="LA30">
        <v>810.66</v>
      </c>
      <c r="LB30">
        <v>695.63</v>
      </c>
      <c r="LC30">
        <v>857.4</v>
      </c>
      <c r="LD30">
        <v>4.03</v>
      </c>
      <c r="LE30">
        <v>147.38999999999999</v>
      </c>
      <c r="LF30">
        <v>1775.91</v>
      </c>
      <c r="LG30">
        <v>3967.04</v>
      </c>
      <c r="LH30">
        <v>726.18</v>
      </c>
      <c r="LI30">
        <v>15864.57</v>
      </c>
      <c r="LJ30">
        <v>825.04</v>
      </c>
      <c r="LK30">
        <v>2985.62</v>
      </c>
      <c r="LL30">
        <v>325.33999999999997</v>
      </c>
      <c r="LM30">
        <v>4.03</v>
      </c>
      <c r="LN30">
        <v>880.77</v>
      </c>
      <c r="LO30">
        <v>66.510000000000005</v>
      </c>
      <c r="LP30">
        <v>1986.22</v>
      </c>
      <c r="LQ30">
        <v>28.76</v>
      </c>
      <c r="LR30">
        <v>107.85</v>
      </c>
      <c r="LS30">
        <v>113.24</v>
      </c>
      <c r="LT30">
        <v>55.72</v>
      </c>
      <c r="LU30">
        <v>158.18</v>
      </c>
      <c r="LV30">
        <v>115.04</v>
      </c>
      <c r="LW30">
        <v>352.31</v>
      </c>
      <c r="LX30">
        <v>2065.31</v>
      </c>
      <c r="LY30">
        <v>1808.27</v>
      </c>
      <c r="LZ30">
        <v>5755.53</v>
      </c>
      <c r="MA30">
        <v>88.08</v>
      </c>
      <c r="MB30">
        <v>393.65</v>
      </c>
      <c r="MC30">
        <v>988.61</v>
      </c>
      <c r="MD30">
        <v>88.08</v>
      </c>
      <c r="ME30">
        <v>138.41</v>
      </c>
      <c r="MF30">
        <v>161.77000000000001</v>
      </c>
      <c r="MG30">
        <v>2728.58</v>
      </c>
      <c r="MH30">
        <v>1281.5999999999999</v>
      </c>
      <c r="MI30">
        <v>4.03</v>
      </c>
      <c r="MJ30">
        <v>652.49</v>
      </c>
      <c r="MK30">
        <v>10.78</v>
      </c>
      <c r="ML30">
        <v>1107.25</v>
      </c>
      <c r="MM30">
        <v>2629.71</v>
      </c>
      <c r="MN30">
        <v>844.82</v>
      </c>
      <c r="MO30">
        <v>12.58</v>
      </c>
      <c r="MP30">
        <v>161.77000000000001</v>
      </c>
      <c r="MQ30">
        <v>390.05</v>
      </c>
      <c r="MR30">
        <v>16.18</v>
      </c>
      <c r="MS30">
        <v>233.67</v>
      </c>
      <c r="MT30">
        <v>2696.22</v>
      </c>
      <c r="MU30">
        <v>52.13</v>
      </c>
      <c r="MV30">
        <v>30.56</v>
      </c>
      <c r="MW30">
        <v>77.290000000000006</v>
      </c>
      <c r="MX30">
        <v>113.24</v>
      </c>
      <c r="MY30">
        <v>4.03</v>
      </c>
      <c r="MZ30">
        <v>848.41</v>
      </c>
      <c r="NA30">
        <v>62.91</v>
      </c>
      <c r="NB30">
        <v>1885.56</v>
      </c>
      <c r="NC30">
        <v>789.09</v>
      </c>
      <c r="ND30">
        <v>1698.62</v>
      </c>
      <c r="NE30">
        <v>943.68</v>
      </c>
      <c r="NF30">
        <v>10.78</v>
      </c>
      <c r="NG30">
        <v>19.77</v>
      </c>
      <c r="NH30">
        <v>145.6</v>
      </c>
      <c r="NI30">
        <v>2453.56</v>
      </c>
      <c r="NJ30">
        <v>204.91</v>
      </c>
      <c r="NK30">
        <v>176.15</v>
      </c>
      <c r="NL30">
        <v>143.80000000000001</v>
      </c>
      <c r="NM30">
        <v>2338.52</v>
      </c>
      <c r="NN30">
        <v>222.89</v>
      </c>
      <c r="NO30">
        <v>21.57</v>
      </c>
      <c r="NP30">
        <v>4.03</v>
      </c>
      <c r="NQ30">
        <v>1292.3900000000001</v>
      </c>
      <c r="NR30">
        <v>566.21</v>
      </c>
      <c r="NS30">
        <v>612.94000000000005</v>
      </c>
      <c r="NT30">
        <v>1195.32</v>
      </c>
      <c r="NU30">
        <v>724.38</v>
      </c>
      <c r="NV30">
        <v>735.17</v>
      </c>
      <c r="NW30">
        <v>318.14999999999998</v>
      </c>
      <c r="NX30">
        <v>43.14</v>
      </c>
      <c r="NY30">
        <v>41.34</v>
      </c>
      <c r="NZ30">
        <v>843.02</v>
      </c>
      <c r="OA30">
        <v>104.25</v>
      </c>
      <c r="OB30">
        <v>647.09</v>
      </c>
      <c r="OC30">
        <v>1317.55</v>
      </c>
      <c r="OD30">
        <v>156.38</v>
      </c>
      <c r="OE30">
        <v>2392.4499999999998</v>
      </c>
      <c r="OF30">
        <v>25.16</v>
      </c>
      <c r="OG30">
        <v>5694.42</v>
      </c>
      <c r="OH30">
        <v>203.12</v>
      </c>
      <c r="OI30">
        <v>80.89</v>
      </c>
      <c r="OJ30">
        <v>46.73</v>
      </c>
      <c r="OK30">
        <v>1806.47</v>
      </c>
      <c r="OL30">
        <v>269.62</v>
      </c>
      <c r="OM30">
        <v>438.59</v>
      </c>
      <c r="ON30">
        <v>409.83</v>
      </c>
      <c r="OO30">
        <v>751.35</v>
      </c>
      <c r="OP30">
        <v>406.23</v>
      </c>
      <c r="OQ30">
        <v>718.99</v>
      </c>
      <c r="OR30">
        <v>43.14</v>
      </c>
      <c r="OS30">
        <v>724.38</v>
      </c>
      <c r="OT30">
        <v>427.8</v>
      </c>
      <c r="OU30">
        <v>185.14</v>
      </c>
      <c r="OV30">
        <v>1094.67</v>
      </c>
      <c r="OW30">
        <v>4.03</v>
      </c>
      <c r="OX30">
        <v>26.96</v>
      </c>
      <c r="OY30">
        <v>4.03</v>
      </c>
      <c r="OZ30">
        <v>4.03</v>
      </c>
      <c r="PA30">
        <v>4.03</v>
      </c>
      <c r="PB30">
        <v>79.09</v>
      </c>
      <c r="PC30">
        <v>17.97</v>
      </c>
      <c r="PD30">
        <v>79.09</v>
      </c>
      <c r="PE30">
        <v>32.35</v>
      </c>
      <c r="PF30">
        <v>821.45</v>
      </c>
      <c r="PG30">
        <v>37.75</v>
      </c>
      <c r="PH30">
        <v>77.290000000000006</v>
      </c>
      <c r="PI30">
        <v>46.73</v>
      </c>
      <c r="PJ30">
        <v>11645.88</v>
      </c>
      <c r="PK30">
        <v>11245.04</v>
      </c>
      <c r="PL30">
        <v>62.91</v>
      </c>
      <c r="PM30">
        <v>59430.11</v>
      </c>
      <c r="PN30">
        <v>718.99</v>
      </c>
      <c r="PO30">
        <v>46.73</v>
      </c>
      <c r="PP30">
        <v>765.73</v>
      </c>
      <c r="PQ30">
        <v>14.38</v>
      </c>
      <c r="PR30">
        <v>100.66</v>
      </c>
      <c r="PS30">
        <v>4.03</v>
      </c>
      <c r="PT30">
        <v>21.57</v>
      </c>
      <c r="PU30">
        <v>266.02999999999997</v>
      </c>
      <c r="PV30">
        <v>168.96</v>
      </c>
      <c r="PW30">
        <v>231.88</v>
      </c>
      <c r="PX30">
        <v>12.58</v>
      </c>
      <c r="PY30">
        <v>433.19</v>
      </c>
      <c r="PZ30">
        <v>39.54</v>
      </c>
      <c r="QA30">
        <v>248.05</v>
      </c>
      <c r="QB30">
        <v>5354.7</v>
      </c>
      <c r="QC30">
        <v>4.03</v>
      </c>
      <c r="QD30">
        <v>4.03</v>
      </c>
      <c r="QE30">
        <v>4.03</v>
      </c>
      <c r="QF30">
        <v>4.03</v>
      </c>
      <c r="QG30">
        <v>4.03</v>
      </c>
      <c r="QH30">
        <v>4.03</v>
      </c>
      <c r="QI30">
        <v>4.03</v>
      </c>
      <c r="QJ30">
        <v>228.28</v>
      </c>
      <c r="QK30">
        <v>28.76</v>
      </c>
      <c r="QL30">
        <v>183.34</v>
      </c>
      <c r="QM30">
        <v>1107.25</v>
      </c>
      <c r="QN30">
        <v>1691.43</v>
      </c>
      <c r="QO30">
        <v>30.56</v>
      </c>
      <c r="QP30">
        <v>82.68</v>
      </c>
      <c r="QQ30">
        <v>339.72</v>
      </c>
      <c r="QR30">
        <v>68.3</v>
      </c>
      <c r="QS30">
        <v>1565.61</v>
      </c>
      <c r="QT30">
        <v>1044.3399999999999</v>
      </c>
      <c r="QU30">
        <v>208.51</v>
      </c>
      <c r="QV30">
        <v>82.68</v>
      </c>
      <c r="QW30">
        <v>230.08</v>
      </c>
      <c r="QX30">
        <v>210.31</v>
      </c>
      <c r="QY30">
        <v>35.950000000000003</v>
      </c>
      <c r="QZ30">
        <v>16.18</v>
      </c>
      <c r="RA30">
        <v>253.44</v>
      </c>
      <c r="RB30">
        <v>18598.54</v>
      </c>
      <c r="RC30">
        <v>4.03</v>
      </c>
      <c r="RD30">
        <v>2216.29</v>
      </c>
      <c r="RE30">
        <v>86.28</v>
      </c>
      <c r="RF30">
        <v>91.67</v>
      </c>
      <c r="RG30">
        <v>431.4</v>
      </c>
      <c r="RH30">
        <v>50.33</v>
      </c>
      <c r="RI30">
        <v>19.77</v>
      </c>
      <c r="RJ30">
        <v>53.92</v>
      </c>
      <c r="RK30">
        <v>4.03</v>
      </c>
      <c r="RL30">
        <v>213.9</v>
      </c>
      <c r="RM30">
        <v>131.22</v>
      </c>
      <c r="RN30">
        <v>336.13</v>
      </c>
      <c r="RO30">
        <v>115.04</v>
      </c>
      <c r="RP30">
        <v>445.78</v>
      </c>
      <c r="RQ30">
        <v>952.66</v>
      </c>
      <c r="RR30">
        <v>4.03</v>
      </c>
      <c r="RS30">
        <v>976.03</v>
      </c>
      <c r="RT30">
        <v>503.29</v>
      </c>
      <c r="RU30">
        <v>35.950000000000003</v>
      </c>
      <c r="RV30">
        <v>8.99</v>
      </c>
      <c r="RW30">
        <v>1004.79</v>
      </c>
      <c r="RX30">
        <v>3336.12</v>
      </c>
      <c r="RY30">
        <v>2322.35</v>
      </c>
      <c r="RZ30">
        <v>39.54</v>
      </c>
      <c r="SA30">
        <v>641.70000000000005</v>
      </c>
      <c r="SB30">
        <v>30.56</v>
      </c>
      <c r="SC30">
        <v>240.86</v>
      </c>
      <c r="SD30">
        <v>3199.52</v>
      </c>
      <c r="SE30">
        <v>954.46</v>
      </c>
      <c r="SF30">
        <v>1067.7</v>
      </c>
      <c r="SG30">
        <v>6776.5</v>
      </c>
      <c r="SH30">
        <v>172.56</v>
      </c>
      <c r="SI30">
        <v>25.16</v>
      </c>
      <c r="SJ30">
        <v>237.27</v>
      </c>
      <c r="SK30">
        <v>102.46</v>
      </c>
      <c r="SL30">
        <v>210.31</v>
      </c>
      <c r="SM30">
        <v>12.58</v>
      </c>
      <c r="SN30">
        <v>179.75</v>
      </c>
      <c r="SO30">
        <v>4.03</v>
      </c>
      <c r="SP30">
        <v>799.88</v>
      </c>
      <c r="SQ30">
        <v>1588.97</v>
      </c>
      <c r="SR30">
        <v>2295.38</v>
      </c>
      <c r="SS30">
        <v>548.23</v>
      </c>
      <c r="ST30">
        <v>204.91</v>
      </c>
      <c r="SU30">
        <v>467.35</v>
      </c>
      <c r="SV30">
        <v>176.15</v>
      </c>
      <c r="SW30">
        <v>1150.3900000000001</v>
      </c>
      <c r="SX30">
        <v>390.05</v>
      </c>
      <c r="SY30">
        <v>77.290000000000006</v>
      </c>
      <c r="SZ30">
        <v>4.03</v>
      </c>
      <c r="TA30">
        <v>4.03</v>
      </c>
      <c r="TB30">
        <v>2800.48</v>
      </c>
      <c r="TC30">
        <v>1116.24</v>
      </c>
      <c r="TD30">
        <v>46.73</v>
      </c>
      <c r="TE30">
        <v>614.74</v>
      </c>
      <c r="TF30">
        <v>483.52</v>
      </c>
      <c r="TG30">
        <v>573.4</v>
      </c>
      <c r="TH30">
        <v>208.51</v>
      </c>
      <c r="TI30">
        <v>79.09</v>
      </c>
      <c r="TJ30">
        <v>4.03</v>
      </c>
      <c r="TK30">
        <v>275.01</v>
      </c>
      <c r="TL30">
        <v>248.05</v>
      </c>
      <c r="TM30">
        <v>98.86</v>
      </c>
      <c r="TN30">
        <v>1493.71</v>
      </c>
      <c r="TO30">
        <v>3235.47</v>
      </c>
      <c r="TP30">
        <v>609.35</v>
      </c>
      <c r="TQ30">
        <v>176.15</v>
      </c>
      <c r="TR30">
        <v>4.03</v>
      </c>
      <c r="TS30">
        <v>905.93</v>
      </c>
      <c r="TT30">
        <v>61.11</v>
      </c>
      <c r="TU30">
        <v>89.87</v>
      </c>
      <c r="TV30">
        <v>742.36</v>
      </c>
      <c r="TW30">
        <v>521.27</v>
      </c>
      <c r="TX30">
        <v>309.17</v>
      </c>
      <c r="TY30">
        <v>32.35</v>
      </c>
      <c r="TZ30">
        <v>140.19999999999999</v>
      </c>
      <c r="UA30">
        <v>357.7</v>
      </c>
      <c r="UB30">
        <v>195.93</v>
      </c>
      <c r="UC30">
        <v>8757.33</v>
      </c>
      <c r="UD30">
        <v>10.78</v>
      </c>
      <c r="UE30">
        <v>4.03</v>
      </c>
      <c r="UF30">
        <v>1713</v>
      </c>
      <c r="UG30">
        <v>246.25</v>
      </c>
      <c r="UH30">
        <v>4.03</v>
      </c>
      <c r="UI30">
        <v>43.14</v>
      </c>
      <c r="UJ30">
        <v>28.76</v>
      </c>
      <c r="UK30">
        <v>25.16</v>
      </c>
      <c r="UL30">
        <v>4.03</v>
      </c>
      <c r="UM30">
        <v>34.15</v>
      </c>
      <c r="UN30">
        <v>84.48</v>
      </c>
      <c r="UO30">
        <v>142</v>
      </c>
      <c r="UP30">
        <v>10.78</v>
      </c>
      <c r="UQ30">
        <v>4.03</v>
      </c>
      <c r="UR30">
        <v>4.03</v>
      </c>
      <c r="US30">
        <v>197.72</v>
      </c>
      <c r="UT30">
        <v>199.52</v>
      </c>
      <c r="UU30">
        <v>1037.1500000000001</v>
      </c>
      <c r="UV30">
        <v>661.47</v>
      </c>
      <c r="UW30">
        <v>230.08</v>
      </c>
      <c r="UX30">
        <v>73.7</v>
      </c>
      <c r="UY30">
        <v>843.02</v>
      </c>
      <c r="UZ30">
        <v>86.28</v>
      </c>
      <c r="VA30">
        <v>1211.5</v>
      </c>
      <c r="VB30">
        <v>1937.68</v>
      </c>
      <c r="VC30">
        <v>89.87</v>
      </c>
      <c r="VD30">
        <v>168.96</v>
      </c>
      <c r="VE30">
        <v>46.73</v>
      </c>
      <c r="VF30">
        <v>699.22</v>
      </c>
      <c r="VG30">
        <v>8.99</v>
      </c>
      <c r="VH30">
        <v>30.56</v>
      </c>
      <c r="VI30">
        <v>10.78</v>
      </c>
      <c r="VJ30">
        <v>10.78</v>
      </c>
      <c r="VK30">
        <v>602.16</v>
      </c>
      <c r="VL30">
        <v>1024.56</v>
      </c>
      <c r="VM30">
        <v>1653.68</v>
      </c>
      <c r="VN30">
        <v>742.36</v>
      </c>
      <c r="VO30">
        <v>4.03</v>
      </c>
      <c r="VP30">
        <v>4.03</v>
      </c>
      <c r="VQ30">
        <v>1101.8599999999999</v>
      </c>
      <c r="VR30">
        <v>341.52</v>
      </c>
      <c r="VS30">
        <v>1227.68</v>
      </c>
      <c r="VT30">
        <v>16.18</v>
      </c>
      <c r="VU30">
        <v>10.78</v>
      </c>
      <c r="VV30">
        <v>102.46</v>
      </c>
      <c r="VW30">
        <v>384.66</v>
      </c>
      <c r="VX30">
        <v>199.52</v>
      </c>
      <c r="VY30">
        <v>8.99</v>
      </c>
      <c r="VZ30">
        <v>37971.78</v>
      </c>
      <c r="WA30">
        <v>35591.919999999998</v>
      </c>
      <c r="WB30">
        <v>411.62</v>
      </c>
      <c r="WC30">
        <v>273.22000000000003</v>
      </c>
      <c r="WD30">
        <v>52.13</v>
      </c>
      <c r="WE30">
        <v>1828.04</v>
      </c>
      <c r="WF30">
        <v>183.34</v>
      </c>
      <c r="WG30">
        <v>386.46</v>
      </c>
      <c r="WH30">
        <v>7696.81</v>
      </c>
      <c r="WI30">
        <v>11910.11</v>
      </c>
      <c r="WJ30">
        <v>1110.8399999999999</v>
      </c>
      <c r="WK30">
        <v>282.2</v>
      </c>
      <c r="WL30">
        <v>1035.3499999999999</v>
      </c>
      <c r="WM30">
        <v>4.03</v>
      </c>
      <c r="WN30">
        <v>34.15</v>
      </c>
      <c r="WO30">
        <v>4.03</v>
      </c>
      <c r="WP30">
        <v>118.63</v>
      </c>
      <c r="WQ30">
        <v>6354.09</v>
      </c>
      <c r="WR30">
        <v>1671.66</v>
      </c>
      <c r="WS30">
        <v>8.99</v>
      </c>
      <c r="WT30">
        <v>44.94</v>
      </c>
      <c r="WU30">
        <v>753.14</v>
      </c>
      <c r="WV30">
        <v>884.36</v>
      </c>
      <c r="WW30">
        <v>35.950000000000003</v>
      </c>
      <c r="WX30">
        <v>176.15</v>
      </c>
      <c r="WY30">
        <v>37.75</v>
      </c>
      <c r="WZ30">
        <v>19.77</v>
      </c>
      <c r="XA30">
        <v>4.03</v>
      </c>
      <c r="XB30">
        <v>1047.93</v>
      </c>
      <c r="XC30">
        <v>71.900000000000006</v>
      </c>
      <c r="XD30">
        <v>629.12</v>
      </c>
      <c r="XE30">
        <v>630.91999999999996</v>
      </c>
      <c r="XF30">
        <v>1806.47</v>
      </c>
      <c r="XG30">
        <v>929.3</v>
      </c>
      <c r="XH30">
        <v>461.95</v>
      </c>
      <c r="XI30">
        <v>2092.27</v>
      </c>
      <c r="XJ30">
        <v>677.65</v>
      </c>
      <c r="XK30">
        <v>1049.73</v>
      </c>
      <c r="XL30">
        <v>113.24</v>
      </c>
      <c r="XM30">
        <v>8.99</v>
      </c>
      <c r="XN30">
        <v>454.76</v>
      </c>
      <c r="XO30">
        <v>12.58</v>
      </c>
      <c r="XP30">
        <v>53.92</v>
      </c>
      <c r="XQ30">
        <v>12.58</v>
      </c>
      <c r="XR30">
        <v>4.03</v>
      </c>
      <c r="XS30">
        <v>2911.92</v>
      </c>
      <c r="XT30">
        <v>445.78</v>
      </c>
      <c r="XU30">
        <v>594.97</v>
      </c>
      <c r="XV30">
        <v>720.79</v>
      </c>
      <c r="XW30">
        <v>1186.3399999999999</v>
      </c>
      <c r="XX30">
        <v>2451.7600000000002</v>
      </c>
      <c r="XY30">
        <v>2423</v>
      </c>
      <c r="XZ30">
        <v>140.19999999999999</v>
      </c>
      <c r="YA30">
        <v>985.02</v>
      </c>
      <c r="YB30">
        <v>253.44</v>
      </c>
      <c r="YC30">
        <v>23.37</v>
      </c>
      <c r="YD30">
        <v>1105.45</v>
      </c>
      <c r="YE30">
        <v>260.63</v>
      </c>
      <c r="YF30">
        <v>499.7</v>
      </c>
      <c r="YG30">
        <v>21.57</v>
      </c>
      <c r="YH30">
        <v>10.78</v>
      </c>
      <c r="YI30">
        <v>48.53</v>
      </c>
      <c r="YJ30">
        <v>623.73</v>
      </c>
      <c r="YK30">
        <v>4.03</v>
      </c>
      <c r="YL30">
        <v>945.47</v>
      </c>
      <c r="YM30">
        <v>6064.7</v>
      </c>
      <c r="YN30">
        <v>102.46</v>
      </c>
      <c r="YO30">
        <v>754.94</v>
      </c>
      <c r="YP30">
        <v>3868.18</v>
      </c>
      <c r="YQ30">
        <v>325.33999999999997</v>
      </c>
      <c r="YR30">
        <v>79.09</v>
      </c>
      <c r="YS30">
        <v>3418.81</v>
      </c>
      <c r="YT30">
        <v>88.08</v>
      </c>
      <c r="YU30">
        <v>1970.04</v>
      </c>
      <c r="YV30">
        <v>14.38</v>
      </c>
      <c r="YW30">
        <v>134.81</v>
      </c>
      <c r="YX30">
        <v>75.489999999999995</v>
      </c>
      <c r="YY30">
        <v>334.33</v>
      </c>
      <c r="YZ30">
        <v>12.58</v>
      </c>
      <c r="ZA30">
        <v>172.56</v>
      </c>
      <c r="ZB30">
        <v>8.99</v>
      </c>
      <c r="ZC30">
        <v>4.03</v>
      </c>
      <c r="ZD30">
        <v>77.290000000000006</v>
      </c>
      <c r="ZE30">
        <v>53.92</v>
      </c>
      <c r="ZF30">
        <v>93.47</v>
      </c>
      <c r="ZG30">
        <v>221.09</v>
      </c>
      <c r="ZH30">
        <v>100.66</v>
      </c>
      <c r="ZI30">
        <v>1452.36</v>
      </c>
      <c r="ZJ30">
        <v>600.36</v>
      </c>
      <c r="ZK30">
        <v>731.57</v>
      </c>
      <c r="ZL30">
        <v>10.78</v>
      </c>
      <c r="ZM30">
        <v>603.95000000000005</v>
      </c>
      <c r="ZN30">
        <v>95.27</v>
      </c>
      <c r="ZO30">
        <v>4.03</v>
      </c>
      <c r="ZP30">
        <v>447.57</v>
      </c>
      <c r="ZQ30">
        <v>4.03</v>
      </c>
      <c r="ZR30">
        <v>25.16</v>
      </c>
      <c r="ZS30">
        <v>1038.94</v>
      </c>
      <c r="ZT30">
        <v>271.42</v>
      </c>
      <c r="ZU30">
        <v>913.12</v>
      </c>
      <c r="ZV30">
        <v>4.03</v>
      </c>
      <c r="ZW30">
        <v>16.18</v>
      </c>
      <c r="ZX30">
        <v>79.09</v>
      </c>
      <c r="ZY30">
        <v>402.64</v>
      </c>
      <c r="ZZ30">
        <v>134.81</v>
      </c>
      <c r="AAA30">
        <v>71.900000000000006</v>
      </c>
      <c r="AAB30">
        <v>95.27</v>
      </c>
      <c r="AAC30">
        <v>4.03</v>
      </c>
      <c r="AAD30">
        <v>48.53</v>
      </c>
      <c r="AAE30">
        <v>10.78</v>
      </c>
      <c r="AAF30">
        <v>50.33</v>
      </c>
      <c r="AAG30">
        <v>476.33</v>
      </c>
      <c r="AAH30">
        <v>332.53</v>
      </c>
      <c r="AAI30">
        <v>4420.01</v>
      </c>
      <c r="AAJ30">
        <v>553.62</v>
      </c>
      <c r="AAK30">
        <v>972.44</v>
      </c>
      <c r="AAL30">
        <v>314.56</v>
      </c>
      <c r="AAM30">
        <v>35.950000000000003</v>
      </c>
      <c r="AAN30">
        <v>436.79</v>
      </c>
      <c r="AAO30">
        <v>39.54</v>
      </c>
      <c r="AAP30">
        <v>147.38999999999999</v>
      </c>
      <c r="AAQ30">
        <v>4.03</v>
      </c>
      <c r="AAR30">
        <v>26.96</v>
      </c>
      <c r="AAS30">
        <v>2466.14</v>
      </c>
      <c r="AAT30">
        <v>165.37</v>
      </c>
      <c r="AAU30">
        <v>4.03</v>
      </c>
      <c r="AAV30">
        <v>1058.72</v>
      </c>
      <c r="AAW30">
        <v>43.14</v>
      </c>
      <c r="AAX30">
        <v>66.510000000000005</v>
      </c>
      <c r="AAY30">
        <v>35.950000000000003</v>
      </c>
      <c r="AAZ30">
        <v>35.950000000000003</v>
      </c>
      <c r="ABA30">
        <v>681.25</v>
      </c>
      <c r="ABB30">
        <v>53.92</v>
      </c>
      <c r="ABC30">
        <v>1153.98</v>
      </c>
      <c r="ABD30">
        <v>3145.59</v>
      </c>
      <c r="ABE30">
        <v>578.79</v>
      </c>
      <c r="ABF30">
        <v>697.42</v>
      </c>
      <c r="ABG30">
        <v>142</v>
      </c>
      <c r="ABH30">
        <v>240.86</v>
      </c>
      <c r="ABI30">
        <v>28.76</v>
      </c>
      <c r="ABJ30">
        <v>10.78</v>
      </c>
      <c r="ABK30">
        <v>50.33</v>
      </c>
      <c r="ABL30">
        <v>19.77</v>
      </c>
      <c r="ABM30">
        <v>111.44</v>
      </c>
      <c r="ABN30">
        <v>152.79</v>
      </c>
      <c r="ABO30">
        <v>4.03</v>
      </c>
      <c r="ABP30">
        <v>4.03</v>
      </c>
      <c r="ABQ30">
        <v>1150.3900000000001</v>
      </c>
      <c r="ABR30">
        <v>26.96</v>
      </c>
      <c r="ABS30">
        <v>2020.37</v>
      </c>
      <c r="ABT30">
        <v>10.78</v>
      </c>
      <c r="ABU30">
        <v>64.709999999999994</v>
      </c>
      <c r="ABV30">
        <v>264.23</v>
      </c>
      <c r="ABW30">
        <v>884.36</v>
      </c>
      <c r="ABX30">
        <v>1024.56</v>
      </c>
      <c r="ABY30">
        <v>397.24</v>
      </c>
      <c r="ABZ30">
        <v>287.60000000000002</v>
      </c>
      <c r="ACA30">
        <v>848.41</v>
      </c>
      <c r="ACB30">
        <v>273.22000000000003</v>
      </c>
      <c r="ACC30">
        <v>98.86</v>
      </c>
      <c r="ACD30">
        <v>332.53</v>
      </c>
      <c r="ACE30">
        <v>98.86</v>
      </c>
      <c r="ACF30">
        <v>8669.25</v>
      </c>
      <c r="ACG30">
        <v>3697.42</v>
      </c>
      <c r="ACH30">
        <v>391.85</v>
      </c>
      <c r="ACI30">
        <v>744.16</v>
      </c>
      <c r="ACJ30">
        <v>965.25</v>
      </c>
      <c r="ACK30">
        <v>645.29999999999995</v>
      </c>
      <c r="ACL30">
        <v>97.06</v>
      </c>
      <c r="ACM30">
        <v>564.41</v>
      </c>
      <c r="ACN30">
        <v>411.62</v>
      </c>
      <c r="ACO30">
        <v>1369.68</v>
      </c>
      <c r="ACP30">
        <v>769.32</v>
      </c>
      <c r="ACQ30">
        <v>337.93</v>
      </c>
      <c r="ACR30">
        <v>2847.21</v>
      </c>
    </row>
    <row r="31" spans="1:772" x14ac:dyDescent="0.3">
      <c r="A31" t="s">
        <v>14</v>
      </c>
      <c r="B31" t="s">
        <v>3</v>
      </c>
      <c r="C31">
        <v>249.27</v>
      </c>
      <c r="D31">
        <v>138.69</v>
      </c>
      <c r="E31">
        <v>967.1</v>
      </c>
      <c r="F31">
        <v>9.3699999999999992</v>
      </c>
      <c r="G31">
        <v>9811.61</v>
      </c>
      <c r="H31">
        <v>88.09</v>
      </c>
      <c r="I31">
        <v>2305.31</v>
      </c>
      <c r="J31">
        <v>32945.279999999999</v>
      </c>
      <c r="K31">
        <v>470.43</v>
      </c>
      <c r="L31">
        <v>18.739999999999998</v>
      </c>
      <c r="M31">
        <v>202.42</v>
      </c>
      <c r="N31">
        <v>3407.36</v>
      </c>
      <c r="O31">
        <v>247.4</v>
      </c>
      <c r="P31">
        <v>470.43</v>
      </c>
      <c r="Q31">
        <v>29.99</v>
      </c>
      <c r="R31">
        <v>931.49</v>
      </c>
      <c r="S31">
        <v>4.1399999999999997</v>
      </c>
      <c r="T31">
        <v>715.96</v>
      </c>
      <c r="U31">
        <v>500.42</v>
      </c>
      <c r="V31">
        <v>221.16</v>
      </c>
      <c r="W31">
        <v>1598.72</v>
      </c>
      <c r="X31">
        <v>4.1399999999999997</v>
      </c>
      <c r="Y31">
        <v>269.89</v>
      </c>
      <c r="Z31">
        <v>736.57</v>
      </c>
      <c r="AA31">
        <v>4.1399999999999997</v>
      </c>
      <c r="AB31">
        <v>1720.55</v>
      </c>
      <c r="AC31">
        <v>1058.94</v>
      </c>
      <c r="AD31">
        <v>382.34</v>
      </c>
      <c r="AE31">
        <v>489.17</v>
      </c>
      <c r="AF31">
        <v>43918.91</v>
      </c>
      <c r="AG31">
        <v>369.22</v>
      </c>
      <c r="AH31">
        <v>809.67</v>
      </c>
      <c r="AI31">
        <v>28.11</v>
      </c>
      <c r="AJ31">
        <v>970.85</v>
      </c>
      <c r="AK31">
        <v>417.95</v>
      </c>
      <c r="AL31">
        <v>119.95</v>
      </c>
      <c r="AM31">
        <v>406.71</v>
      </c>
      <c r="AN31">
        <v>65.599999999999994</v>
      </c>
      <c r="AO31">
        <v>2095.39</v>
      </c>
      <c r="AP31">
        <v>26.24</v>
      </c>
      <c r="AQ31">
        <v>91.84</v>
      </c>
      <c r="AR31">
        <v>18.739999999999998</v>
      </c>
      <c r="AS31">
        <v>18.739999999999998</v>
      </c>
      <c r="AT31">
        <v>4.1399999999999997</v>
      </c>
      <c r="AU31">
        <v>14.99</v>
      </c>
      <c r="AV31">
        <v>1660.57</v>
      </c>
      <c r="AW31">
        <v>798.42</v>
      </c>
      <c r="AX31">
        <v>7723.72</v>
      </c>
      <c r="AY31">
        <v>39.36</v>
      </c>
      <c r="AZ31">
        <v>84.34</v>
      </c>
      <c r="BA31">
        <v>892.14</v>
      </c>
      <c r="BB31">
        <v>1047.7</v>
      </c>
      <c r="BC31">
        <v>14.99</v>
      </c>
      <c r="BD31">
        <v>18.739999999999998</v>
      </c>
      <c r="BE31">
        <v>157.44</v>
      </c>
      <c r="BF31">
        <v>172.43</v>
      </c>
      <c r="BG31">
        <v>52.48</v>
      </c>
      <c r="BH31">
        <v>9.3699999999999992</v>
      </c>
      <c r="BI31">
        <v>37.479999999999997</v>
      </c>
      <c r="BJ31">
        <v>4.1399999999999997</v>
      </c>
      <c r="BK31">
        <v>286.76</v>
      </c>
      <c r="BL31">
        <v>691.59</v>
      </c>
      <c r="BM31">
        <v>71.22</v>
      </c>
      <c r="BN31">
        <v>104.96</v>
      </c>
      <c r="BO31">
        <v>97.46</v>
      </c>
      <c r="BP31">
        <v>9.3699999999999992</v>
      </c>
      <c r="BQ31">
        <v>4.1399999999999997</v>
      </c>
      <c r="BR31">
        <v>196.79</v>
      </c>
      <c r="BS31">
        <v>20.62</v>
      </c>
      <c r="BT31">
        <v>640.99</v>
      </c>
      <c r="BU31">
        <v>54.35</v>
      </c>
      <c r="BV31">
        <v>37.479999999999997</v>
      </c>
      <c r="BW31">
        <v>95.59</v>
      </c>
      <c r="BX31">
        <v>528.53</v>
      </c>
      <c r="BY31">
        <v>191.17</v>
      </c>
      <c r="BZ31">
        <v>839.66</v>
      </c>
      <c r="CA31">
        <v>31.86</v>
      </c>
      <c r="CB31">
        <v>20.62</v>
      </c>
      <c r="CC31">
        <v>33.74</v>
      </c>
      <c r="CD31">
        <v>76.84</v>
      </c>
      <c r="CE31">
        <v>504.17</v>
      </c>
      <c r="CF31">
        <v>2249.08</v>
      </c>
      <c r="CG31">
        <v>50.6</v>
      </c>
      <c r="CH31">
        <v>119.95</v>
      </c>
      <c r="CI31">
        <v>24.37</v>
      </c>
      <c r="CJ31">
        <v>9.3699999999999992</v>
      </c>
      <c r="CK31">
        <v>50.6</v>
      </c>
      <c r="CL31">
        <v>46.86</v>
      </c>
      <c r="CM31">
        <v>479.8</v>
      </c>
      <c r="CN31">
        <v>44.98</v>
      </c>
      <c r="CO31">
        <v>24.37</v>
      </c>
      <c r="CP31">
        <v>4.1399999999999997</v>
      </c>
      <c r="CQ31">
        <v>37.479999999999997</v>
      </c>
      <c r="CR31">
        <v>80.59</v>
      </c>
      <c r="CS31">
        <v>4.1399999999999997</v>
      </c>
      <c r="CT31">
        <v>33.74</v>
      </c>
      <c r="CU31">
        <v>41.23</v>
      </c>
      <c r="CV31">
        <v>114.33</v>
      </c>
      <c r="CW31">
        <v>3433.6</v>
      </c>
      <c r="CX31">
        <v>29.99</v>
      </c>
      <c r="CY31">
        <v>194.92</v>
      </c>
      <c r="CZ31">
        <v>28.11</v>
      </c>
      <c r="DA31">
        <v>4.1399999999999997</v>
      </c>
      <c r="DB31">
        <v>110.58</v>
      </c>
      <c r="DC31">
        <v>86.21</v>
      </c>
      <c r="DD31">
        <v>11.25</v>
      </c>
      <c r="DE31">
        <v>16.87</v>
      </c>
      <c r="DF31">
        <v>331.74</v>
      </c>
      <c r="DG31">
        <v>4.1399999999999997</v>
      </c>
      <c r="DH31">
        <v>4994.83</v>
      </c>
      <c r="DI31">
        <v>28.11</v>
      </c>
      <c r="DJ31">
        <v>59.98</v>
      </c>
      <c r="DK31">
        <v>114.33</v>
      </c>
      <c r="DL31">
        <v>1615.59</v>
      </c>
      <c r="DM31">
        <v>183.67</v>
      </c>
      <c r="DN31">
        <v>16.87</v>
      </c>
      <c r="DO31">
        <v>101.21</v>
      </c>
      <c r="DP31">
        <v>28.11</v>
      </c>
      <c r="DQ31">
        <v>2354.04</v>
      </c>
      <c r="DR31">
        <v>91.84</v>
      </c>
      <c r="DS31">
        <v>35.61</v>
      </c>
      <c r="DT31">
        <v>24.37</v>
      </c>
      <c r="DU31">
        <v>4546.8900000000003</v>
      </c>
      <c r="DV31">
        <v>13.12</v>
      </c>
      <c r="DW31">
        <v>9.3699999999999992</v>
      </c>
      <c r="DX31">
        <v>93.71</v>
      </c>
      <c r="DY31">
        <v>46.86</v>
      </c>
      <c r="DZ31">
        <v>112.45</v>
      </c>
      <c r="EA31">
        <v>52.48</v>
      </c>
      <c r="EB31">
        <v>16.87</v>
      </c>
      <c r="EC31">
        <v>31.86</v>
      </c>
      <c r="ED31">
        <v>13.12</v>
      </c>
      <c r="EE31">
        <v>4.1399999999999997</v>
      </c>
      <c r="EF31">
        <v>2689.53</v>
      </c>
      <c r="EG31">
        <v>1844.25</v>
      </c>
      <c r="EH31">
        <v>24.37</v>
      </c>
      <c r="EI31">
        <v>9.3699999999999992</v>
      </c>
      <c r="EJ31">
        <v>504.17</v>
      </c>
      <c r="EK31">
        <v>624.12</v>
      </c>
      <c r="EL31">
        <v>8829.51</v>
      </c>
      <c r="EM31">
        <v>431.07</v>
      </c>
      <c r="EN31">
        <v>61.85</v>
      </c>
      <c r="EO31">
        <v>665.35</v>
      </c>
      <c r="EP31">
        <v>13.12</v>
      </c>
      <c r="EQ31">
        <v>4391.33</v>
      </c>
      <c r="ER31">
        <v>4.1399999999999997</v>
      </c>
      <c r="ES31">
        <v>11.25</v>
      </c>
      <c r="ET31">
        <v>4.1399999999999997</v>
      </c>
      <c r="EU31">
        <v>706.59</v>
      </c>
      <c r="EV31">
        <v>4.1399999999999997</v>
      </c>
      <c r="EW31">
        <v>11.25</v>
      </c>
      <c r="EX31">
        <v>118.08</v>
      </c>
      <c r="EY31">
        <v>31.86</v>
      </c>
      <c r="EZ31">
        <v>14.99</v>
      </c>
      <c r="FA31">
        <v>73.099999999999994</v>
      </c>
      <c r="FB31">
        <v>13.12</v>
      </c>
      <c r="FC31">
        <v>213.66</v>
      </c>
      <c r="FD31">
        <v>18.739999999999998</v>
      </c>
      <c r="FE31">
        <v>5853.23</v>
      </c>
      <c r="FF31">
        <v>67.47</v>
      </c>
      <c r="FG31">
        <v>3825.31</v>
      </c>
      <c r="FH31">
        <v>3508.57</v>
      </c>
      <c r="FI31">
        <v>4.1399999999999997</v>
      </c>
      <c r="FJ31">
        <v>200.54</v>
      </c>
      <c r="FK31">
        <v>640.99</v>
      </c>
      <c r="FL31">
        <v>65.599999999999994</v>
      </c>
      <c r="FM31">
        <v>176.18</v>
      </c>
      <c r="FN31">
        <v>104.96</v>
      </c>
      <c r="FO31">
        <v>52.48</v>
      </c>
      <c r="FP31">
        <v>11.25</v>
      </c>
      <c r="FQ31">
        <v>13.12</v>
      </c>
      <c r="FR31">
        <v>4.1399999999999997</v>
      </c>
      <c r="FS31">
        <v>4.1399999999999997</v>
      </c>
      <c r="FT31">
        <v>50.6</v>
      </c>
      <c r="FU31">
        <v>3281.78</v>
      </c>
      <c r="FV31">
        <v>1259.48</v>
      </c>
      <c r="FW31">
        <v>4.1399999999999997</v>
      </c>
      <c r="FX31">
        <v>39.36</v>
      </c>
      <c r="FY31">
        <v>11.25</v>
      </c>
      <c r="FZ31">
        <v>1036.45</v>
      </c>
      <c r="GA31">
        <v>209.91</v>
      </c>
      <c r="GB31">
        <v>46.86</v>
      </c>
      <c r="GC31">
        <v>14.99</v>
      </c>
      <c r="GD31">
        <v>97.46</v>
      </c>
      <c r="GE31">
        <v>1255.74</v>
      </c>
      <c r="GF31">
        <v>356.1</v>
      </c>
      <c r="GG31">
        <v>1158.28</v>
      </c>
      <c r="GH31">
        <v>547.28</v>
      </c>
      <c r="GI31">
        <v>4164.55</v>
      </c>
      <c r="GJ31">
        <v>31.86</v>
      </c>
      <c r="GK31">
        <v>7234.54</v>
      </c>
      <c r="GL31">
        <v>401.09</v>
      </c>
      <c r="GM31">
        <v>13.12</v>
      </c>
      <c r="GN31">
        <v>4.1399999999999997</v>
      </c>
      <c r="GO31">
        <v>526.66</v>
      </c>
      <c r="GP31">
        <v>31.86</v>
      </c>
      <c r="GQ31">
        <v>9.3699999999999992</v>
      </c>
      <c r="GR31">
        <v>258.64</v>
      </c>
      <c r="GS31">
        <v>228.66</v>
      </c>
      <c r="GT31">
        <v>1413.17</v>
      </c>
      <c r="GU31">
        <v>4.1399999999999997</v>
      </c>
      <c r="GV31">
        <v>11.25</v>
      </c>
      <c r="GW31">
        <v>4.1399999999999997</v>
      </c>
      <c r="GX31">
        <v>457.31</v>
      </c>
      <c r="GY31">
        <v>13.12</v>
      </c>
      <c r="GZ31">
        <v>179.93</v>
      </c>
      <c r="HA31">
        <v>596.01</v>
      </c>
      <c r="HB31">
        <v>536.03</v>
      </c>
      <c r="HC31">
        <v>106.83</v>
      </c>
      <c r="HD31">
        <v>1962.32</v>
      </c>
      <c r="HE31">
        <v>16.87</v>
      </c>
      <c r="HF31">
        <v>3825.31</v>
      </c>
      <c r="HG31">
        <v>243.65</v>
      </c>
      <c r="HH31">
        <v>155.56</v>
      </c>
      <c r="HI31">
        <v>4.1399999999999997</v>
      </c>
      <c r="HJ31">
        <v>1094.55</v>
      </c>
      <c r="HK31">
        <v>7376.98</v>
      </c>
      <c r="HL31">
        <v>481.68</v>
      </c>
      <c r="HM31">
        <v>144.32</v>
      </c>
      <c r="HN31">
        <v>1786.14</v>
      </c>
      <c r="HO31">
        <v>4.1399999999999997</v>
      </c>
      <c r="HP31">
        <v>191.17</v>
      </c>
      <c r="HQ31">
        <v>9033.81</v>
      </c>
      <c r="HR31">
        <v>52.48</v>
      </c>
      <c r="HS31">
        <v>9.3699999999999992</v>
      </c>
      <c r="HT31">
        <v>31.86</v>
      </c>
      <c r="HU31">
        <v>444.19</v>
      </c>
      <c r="HV31">
        <v>149.94</v>
      </c>
      <c r="HW31">
        <v>12795.39</v>
      </c>
      <c r="HX31">
        <v>18.739999999999998</v>
      </c>
      <c r="HY31">
        <v>4.1399999999999997</v>
      </c>
      <c r="HZ31">
        <v>119.95</v>
      </c>
      <c r="IA31">
        <v>1002.71</v>
      </c>
      <c r="IB31">
        <v>110.58</v>
      </c>
      <c r="IC31">
        <v>9.3699999999999992</v>
      </c>
      <c r="ID31">
        <v>9.3699999999999992</v>
      </c>
      <c r="IE31">
        <v>29.99</v>
      </c>
      <c r="IF31">
        <v>566.02</v>
      </c>
      <c r="IG31">
        <v>48.73</v>
      </c>
      <c r="IH31">
        <v>16.87</v>
      </c>
      <c r="II31">
        <v>112.45</v>
      </c>
      <c r="IJ31">
        <v>119.95</v>
      </c>
      <c r="IK31">
        <v>9.3699999999999992</v>
      </c>
      <c r="IL31">
        <v>1079.56</v>
      </c>
      <c r="IM31">
        <v>526.66</v>
      </c>
      <c r="IN31">
        <v>112.45</v>
      </c>
      <c r="IO31">
        <v>581.01</v>
      </c>
      <c r="IP31">
        <v>31.86</v>
      </c>
      <c r="IQ31">
        <v>4.1399999999999997</v>
      </c>
      <c r="IR31">
        <v>4.1399999999999997</v>
      </c>
      <c r="IS31">
        <v>41.23</v>
      </c>
      <c r="IT31">
        <v>4.1399999999999997</v>
      </c>
      <c r="IU31">
        <v>314.87</v>
      </c>
      <c r="IV31">
        <v>5568.35</v>
      </c>
      <c r="IW31">
        <v>183.67</v>
      </c>
      <c r="IX31">
        <v>5915.08</v>
      </c>
      <c r="IY31">
        <v>43.11</v>
      </c>
      <c r="IZ31">
        <v>18.739999999999998</v>
      </c>
      <c r="JA31">
        <v>196.79</v>
      </c>
      <c r="JB31">
        <v>1236.99</v>
      </c>
      <c r="JC31">
        <v>63.72</v>
      </c>
      <c r="JD31">
        <v>305.5</v>
      </c>
      <c r="JE31">
        <v>29.99</v>
      </c>
      <c r="JF31">
        <v>13.12</v>
      </c>
      <c r="JG31">
        <v>78.72</v>
      </c>
      <c r="JH31">
        <v>166.81</v>
      </c>
      <c r="JI31">
        <v>637.24</v>
      </c>
      <c r="JJ31">
        <v>138.69</v>
      </c>
      <c r="JK31">
        <v>61.85</v>
      </c>
      <c r="JL31">
        <v>59.98</v>
      </c>
      <c r="JM31">
        <v>20.62</v>
      </c>
      <c r="JN31">
        <v>13.12</v>
      </c>
      <c r="JO31">
        <v>483.55</v>
      </c>
      <c r="JP31">
        <v>1688.68</v>
      </c>
      <c r="JQ31">
        <v>1857.37</v>
      </c>
      <c r="JR31">
        <v>22.49</v>
      </c>
      <c r="JS31">
        <v>4.1399999999999997</v>
      </c>
      <c r="JT31">
        <v>193.05</v>
      </c>
      <c r="JU31">
        <v>202.42</v>
      </c>
      <c r="JV31">
        <v>284.88</v>
      </c>
      <c r="JW31">
        <v>61.85</v>
      </c>
      <c r="JX31">
        <v>46.86</v>
      </c>
      <c r="JY31">
        <v>288.63</v>
      </c>
      <c r="JZ31">
        <v>13.12</v>
      </c>
      <c r="KA31">
        <v>52.48</v>
      </c>
      <c r="KB31">
        <v>26.24</v>
      </c>
      <c r="KC31">
        <v>4.1399999999999997</v>
      </c>
      <c r="KD31">
        <v>35.61</v>
      </c>
      <c r="KE31">
        <v>204.29</v>
      </c>
      <c r="KF31">
        <v>67.47</v>
      </c>
      <c r="KG31">
        <v>166.81</v>
      </c>
      <c r="KH31">
        <v>275.51</v>
      </c>
      <c r="KI31">
        <v>775.93</v>
      </c>
      <c r="KJ31">
        <v>292.38</v>
      </c>
      <c r="KK31">
        <v>341.11</v>
      </c>
      <c r="KL31">
        <v>52.48</v>
      </c>
      <c r="KM31">
        <v>18.739999999999998</v>
      </c>
      <c r="KN31">
        <v>63.72</v>
      </c>
      <c r="KO31">
        <v>369.22</v>
      </c>
      <c r="KP31">
        <v>103.08</v>
      </c>
      <c r="KQ31">
        <v>2355.91</v>
      </c>
      <c r="KR31">
        <v>1122.67</v>
      </c>
      <c r="KS31">
        <v>687.84</v>
      </c>
      <c r="KT31">
        <v>8379.7000000000007</v>
      </c>
      <c r="KU31">
        <v>71522.62</v>
      </c>
      <c r="KV31">
        <v>8404.06</v>
      </c>
      <c r="KW31">
        <v>221.16</v>
      </c>
      <c r="KX31">
        <v>112.45</v>
      </c>
      <c r="KY31">
        <v>28.11</v>
      </c>
      <c r="KZ31">
        <v>4.1399999999999997</v>
      </c>
      <c r="LA31">
        <v>811.54</v>
      </c>
      <c r="LB31">
        <v>672.85</v>
      </c>
      <c r="LC31">
        <v>912.75</v>
      </c>
      <c r="LD31">
        <v>4.1399999999999997</v>
      </c>
      <c r="LE31">
        <v>164.93</v>
      </c>
      <c r="LF31">
        <v>1827.38</v>
      </c>
      <c r="LG31">
        <v>4149.55</v>
      </c>
      <c r="LH31">
        <v>772.18</v>
      </c>
      <c r="LI31">
        <v>15475.55</v>
      </c>
      <c r="LJ31">
        <v>871.52</v>
      </c>
      <c r="LK31">
        <v>2498.35</v>
      </c>
      <c r="LL31">
        <v>268.02</v>
      </c>
      <c r="LM31">
        <v>4.1399999999999997</v>
      </c>
      <c r="LN31">
        <v>828.41</v>
      </c>
      <c r="LO31">
        <v>41.23</v>
      </c>
      <c r="LP31">
        <v>2200.35</v>
      </c>
      <c r="LQ31">
        <v>16.87</v>
      </c>
      <c r="LR31">
        <v>119.95</v>
      </c>
      <c r="LS31">
        <v>206.17</v>
      </c>
      <c r="LT31">
        <v>44.98</v>
      </c>
      <c r="LU31">
        <v>138.69</v>
      </c>
      <c r="LV31">
        <v>74.97</v>
      </c>
      <c r="LW31">
        <v>356.1</v>
      </c>
      <c r="LX31">
        <v>1952.95</v>
      </c>
      <c r="LY31">
        <v>1894.85</v>
      </c>
      <c r="LZ31">
        <v>4475.67</v>
      </c>
      <c r="MA31">
        <v>86.21</v>
      </c>
      <c r="MB31">
        <v>288.63</v>
      </c>
      <c r="MC31">
        <v>766.56</v>
      </c>
      <c r="MD31">
        <v>50.6</v>
      </c>
      <c r="ME31">
        <v>103.08</v>
      </c>
      <c r="MF31">
        <v>134.94</v>
      </c>
      <c r="MG31">
        <v>2327.8000000000002</v>
      </c>
      <c r="MH31">
        <v>1235.1199999999999</v>
      </c>
      <c r="MI31">
        <v>4.1399999999999997</v>
      </c>
      <c r="MJ31">
        <v>697.21</v>
      </c>
      <c r="MK31">
        <v>18.739999999999998</v>
      </c>
      <c r="ML31">
        <v>1160.1500000000001</v>
      </c>
      <c r="MM31">
        <v>2635.17</v>
      </c>
      <c r="MN31">
        <v>796.55</v>
      </c>
      <c r="MO31">
        <v>4.1399999999999997</v>
      </c>
      <c r="MP31">
        <v>142.44</v>
      </c>
      <c r="MQ31">
        <v>369.22</v>
      </c>
      <c r="MR31">
        <v>4.1399999999999997</v>
      </c>
      <c r="MS31">
        <v>208.04</v>
      </c>
      <c r="MT31">
        <v>2650.17</v>
      </c>
      <c r="MU31">
        <v>41.23</v>
      </c>
      <c r="MV31">
        <v>28.11</v>
      </c>
      <c r="MW31">
        <v>121.83</v>
      </c>
      <c r="MX31">
        <v>97.46</v>
      </c>
      <c r="MY31">
        <v>4.1399999999999997</v>
      </c>
      <c r="MZ31">
        <v>640.99</v>
      </c>
      <c r="NA31">
        <v>48.73</v>
      </c>
      <c r="NB31">
        <v>1572.48</v>
      </c>
      <c r="NC31">
        <v>894.01</v>
      </c>
      <c r="ND31">
        <v>1160.1500000000001</v>
      </c>
      <c r="NE31">
        <v>800.3</v>
      </c>
      <c r="NF31">
        <v>4.1399999999999997</v>
      </c>
      <c r="NG31">
        <v>11.25</v>
      </c>
      <c r="NH31">
        <v>112.45</v>
      </c>
      <c r="NI31">
        <v>2012.93</v>
      </c>
      <c r="NJ31">
        <v>202.42</v>
      </c>
      <c r="NK31">
        <v>138.69</v>
      </c>
      <c r="NL31">
        <v>142.44</v>
      </c>
      <c r="NM31">
        <v>2200.35</v>
      </c>
      <c r="NN31">
        <v>149.94</v>
      </c>
      <c r="NO31">
        <v>16.87</v>
      </c>
      <c r="NP31">
        <v>4.1399999999999997</v>
      </c>
      <c r="NQ31">
        <v>1960.45</v>
      </c>
      <c r="NR31">
        <v>618.5</v>
      </c>
      <c r="NS31">
        <v>567.89</v>
      </c>
      <c r="NT31">
        <v>1137.6600000000001</v>
      </c>
      <c r="NU31">
        <v>676.6</v>
      </c>
      <c r="NV31">
        <v>802.17</v>
      </c>
      <c r="NW31">
        <v>239.9</v>
      </c>
      <c r="NX31">
        <v>69.349999999999994</v>
      </c>
      <c r="NY31">
        <v>52.48</v>
      </c>
      <c r="NZ31">
        <v>670.98</v>
      </c>
      <c r="OA31">
        <v>78.72</v>
      </c>
      <c r="OB31">
        <v>494.8</v>
      </c>
      <c r="OC31">
        <v>895.88</v>
      </c>
      <c r="OD31">
        <v>179.93</v>
      </c>
      <c r="OE31">
        <v>1984.81</v>
      </c>
      <c r="OF31">
        <v>37.479999999999997</v>
      </c>
      <c r="OG31">
        <v>4904.87</v>
      </c>
      <c r="OH31">
        <v>168.68</v>
      </c>
      <c r="OI31">
        <v>78.72</v>
      </c>
      <c r="OJ31">
        <v>35.61</v>
      </c>
      <c r="OK31">
        <v>1666.19</v>
      </c>
      <c r="OL31">
        <v>288.63</v>
      </c>
      <c r="OM31">
        <v>492.92</v>
      </c>
      <c r="ON31">
        <v>333.61</v>
      </c>
      <c r="OO31">
        <v>564.14</v>
      </c>
      <c r="OP31">
        <v>365.48</v>
      </c>
      <c r="OQ31">
        <v>590.38</v>
      </c>
      <c r="OR31">
        <v>61.85</v>
      </c>
      <c r="OS31">
        <v>680.35</v>
      </c>
      <c r="OT31">
        <v>410.46</v>
      </c>
      <c r="OU31">
        <v>155.56</v>
      </c>
      <c r="OV31">
        <v>852.78</v>
      </c>
      <c r="OW31">
        <v>4.1399999999999997</v>
      </c>
      <c r="OX31">
        <v>24.37</v>
      </c>
      <c r="OY31">
        <v>4.1399999999999997</v>
      </c>
      <c r="OZ31">
        <v>4.1399999999999997</v>
      </c>
      <c r="PA31">
        <v>4.1399999999999997</v>
      </c>
      <c r="PB31">
        <v>65.599999999999994</v>
      </c>
      <c r="PC31">
        <v>22.49</v>
      </c>
      <c r="PD31">
        <v>93.71</v>
      </c>
      <c r="PE31">
        <v>26.24</v>
      </c>
      <c r="PF31">
        <v>684.1</v>
      </c>
      <c r="PG31">
        <v>37.479999999999997</v>
      </c>
      <c r="PH31">
        <v>129.32</v>
      </c>
      <c r="PI31">
        <v>99.33</v>
      </c>
      <c r="PJ31">
        <v>10340.15</v>
      </c>
      <c r="PK31">
        <v>8863.25</v>
      </c>
      <c r="PL31">
        <v>69.349999999999994</v>
      </c>
      <c r="PM31">
        <v>54414.62</v>
      </c>
      <c r="PN31">
        <v>787.18</v>
      </c>
      <c r="PO31">
        <v>56.23</v>
      </c>
      <c r="PP31">
        <v>764.69</v>
      </c>
      <c r="PQ31">
        <v>22.49</v>
      </c>
      <c r="PR31">
        <v>127.45</v>
      </c>
      <c r="PS31">
        <v>4.1399999999999997</v>
      </c>
      <c r="PT31">
        <v>28.11</v>
      </c>
      <c r="PU31">
        <v>269.89</v>
      </c>
      <c r="PV31">
        <v>228.66</v>
      </c>
      <c r="PW31">
        <v>288.63</v>
      </c>
      <c r="PX31">
        <v>26.24</v>
      </c>
      <c r="PY31">
        <v>376.72</v>
      </c>
      <c r="PZ31">
        <v>58.1</v>
      </c>
      <c r="QA31">
        <v>243.65</v>
      </c>
      <c r="QB31">
        <v>6355.53</v>
      </c>
      <c r="QC31">
        <v>4.1399999999999997</v>
      </c>
      <c r="QD31">
        <v>4.1399999999999997</v>
      </c>
      <c r="QE31">
        <v>4.1399999999999997</v>
      </c>
      <c r="QF31">
        <v>4.1399999999999997</v>
      </c>
      <c r="QG31">
        <v>4.1399999999999997</v>
      </c>
      <c r="QH31">
        <v>4.1399999999999997</v>
      </c>
      <c r="QI31">
        <v>4.1399999999999997</v>
      </c>
      <c r="QJ31">
        <v>153.69</v>
      </c>
      <c r="QK31">
        <v>22.49</v>
      </c>
      <c r="QL31">
        <v>193.05</v>
      </c>
      <c r="QM31">
        <v>886.51</v>
      </c>
      <c r="QN31">
        <v>1167.6500000000001</v>
      </c>
      <c r="QO31">
        <v>24.37</v>
      </c>
      <c r="QP31">
        <v>39.36</v>
      </c>
      <c r="QQ31">
        <v>305.5</v>
      </c>
      <c r="QR31">
        <v>56.23</v>
      </c>
      <c r="QS31">
        <v>1326.96</v>
      </c>
      <c r="QT31">
        <v>895.88</v>
      </c>
      <c r="QU31">
        <v>181.8</v>
      </c>
      <c r="QV31">
        <v>61.85</v>
      </c>
      <c r="QW31">
        <v>254.9</v>
      </c>
      <c r="QX31">
        <v>254.9</v>
      </c>
      <c r="QY31">
        <v>33.74</v>
      </c>
      <c r="QZ31">
        <v>14.99</v>
      </c>
      <c r="RA31">
        <v>221.16</v>
      </c>
      <c r="RB31">
        <v>16721.91</v>
      </c>
      <c r="RC31">
        <v>16.87</v>
      </c>
      <c r="RD31">
        <v>2303.4299999999998</v>
      </c>
      <c r="RE31">
        <v>46.86</v>
      </c>
      <c r="RF31">
        <v>138.69</v>
      </c>
      <c r="RG31">
        <v>344.86</v>
      </c>
      <c r="RH31">
        <v>56.23</v>
      </c>
      <c r="RI31">
        <v>18.739999999999998</v>
      </c>
      <c r="RJ31">
        <v>54.35</v>
      </c>
      <c r="RK31">
        <v>11.25</v>
      </c>
      <c r="RL31">
        <v>161.18</v>
      </c>
      <c r="RM31">
        <v>148.06</v>
      </c>
      <c r="RN31">
        <v>262.39</v>
      </c>
      <c r="RO31">
        <v>99.33</v>
      </c>
      <c r="RP31">
        <v>549.15</v>
      </c>
      <c r="RQ31">
        <v>856.52</v>
      </c>
      <c r="RR31">
        <v>11.25</v>
      </c>
      <c r="RS31">
        <v>892.14</v>
      </c>
      <c r="RT31">
        <v>506.04</v>
      </c>
      <c r="RU31">
        <v>29.99</v>
      </c>
      <c r="RV31">
        <v>11.25</v>
      </c>
      <c r="RW31">
        <v>882.76</v>
      </c>
      <c r="RX31">
        <v>2837.59</v>
      </c>
      <c r="RY31">
        <v>1705.55</v>
      </c>
      <c r="RZ31">
        <v>35.61</v>
      </c>
      <c r="SA31">
        <v>693.47</v>
      </c>
      <c r="SB31">
        <v>20.62</v>
      </c>
      <c r="SC31">
        <v>176.18</v>
      </c>
      <c r="SD31">
        <v>3081.24</v>
      </c>
      <c r="SE31">
        <v>897.76</v>
      </c>
      <c r="SF31">
        <v>998.97</v>
      </c>
      <c r="SG31">
        <v>7436.96</v>
      </c>
      <c r="SH31">
        <v>176.18</v>
      </c>
      <c r="SI31">
        <v>13.12</v>
      </c>
      <c r="SJ31">
        <v>219.29</v>
      </c>
      <c r="SK31">
        <v>134.94</v>
      </c>
      <c r="SL31">
        <v>174.3</v>
      </c>
      <c r="SM31">
        <v>14.99</v>
      </c>
      <c r="SN31">
        <v>256.77</v>
      </c>
      <c r="SO31">
        <v>4.1399999999999997</v>
      </c>
      <c r="SP31">
        <v>820.91</v>
      </c>
      <c r="SQ31">
        <v>1356.95</v>
      </c>
      <c r="SR31">
        <v>2239.71</v>
      </c>
      <c r="SS31">
        <v>539.78</v>
      </c>
      <c r="ST31">
        <v>71.22</v>
      </c>
      <c r="SU31">
        <v>326.12</v>
      </c>
      <c r="SV31">
        <v>99.33</v>
      </c>
      <c r="SW31">
        <v>867.77</v>
      </c>
      <c r="SX31">
        <v>449.82</v>
      </c>
      <c r="SY31">
        <v>73.099999999999994</v>
      </c>
      <c r="SZ31">
        <v>9.3699999999999992</v>
      </c>
      <c r="TA31">
        <v>4.1399999999999997</v>
      </c>
      <c r="TB31">
        <v>2753.25</v>
      </c>
      <c r="TC31">
        <v>1148.9100000000001</v>
      </c>
      <c r="TD31">
        <v>69.349999999999994</v>
      </c>
      <c r="TE31">
        <v>496.67</v>
      </c>
      <c r="TF31">
        <v>489.17</v>
      </c>
      <c r="TG31">
        <v>361.73</v>
      </c>
      <c r="TH31">
        <v>168.68</v>
      </c>
      <c r="TI31">
        <v>99.33</v>
      </c>
      <c r="TJ31">
        <v>11.25</v>
      </c>
      <c r="TK31">
        <v>224.91</v>
      </c>
      <c r="TL31">
        <v>298</v>
      </c>
      <c r="TM31">
        <v>89.96</v>
      </c>
      <c r="TN31">
        <v>1416.92</v>
      </c>
      <c r="TO31">
        <v>3414.85</v>
      </c>
      <c r="TP31">
        <v>487.3</v>
      </c>
      <c r="TQ31">
        <v>153.69</v>
      </c>
      <c r="TR31">
        <v>9.3699999999999992</v>
      </c>
      <c r="TS31">
        <v>781.56</v>
      </c>
      <c r="TT31">
        <v>74.97</v>
      </c>
      <c r="TU31">
        <v>106.83</v>
      </c>
      <c r="TV31">
        <v>618.5</v>
      </c>
      <c r="TW31">
        <v>419.83</v>
      </c>
      <c r="TX31">
        <v>327.99</v>
      </c>
      <c r="TY31">
        <v>24.37</v>
      </c>
      <c r="TZ31">
        <v>121.83</v>
      </c>
      <c r="UA31">
        <v>397.34</v>
      </c>
      <c r="UB31">
        <v>170.56</v>
      </c>
      <c r="UC31">
        <v>7431.34</v>
      </c>
      <c r="UD31">
        <v>16.87</v>
      </c>
      <c r="UE31">
        <v>4.1399999999999997</v>
      </c>
      <c r="UF31">
        <v>1891.1</v>
      </c>
      <c r="UG31">
        <v>179.93</v>
      </c>
      <c r="UH31">
        <v>9.3699999999999992</v>
      </c>
      <c r="UI31">
        <v>50.6</v>
      </c>
      <c r="UJ31">
        <v>24.37</v>
      </c>
      <c r="UK31">
        <v>41.23</v>
      </c>
      <c r="UL31">
        <v>9.3699999999999992</v>
      </c>
      <c r="UM31">
        <v>46.86</v>
      </c>
      <c r="UN31">
        <v>58.1</v>
      </c>
      <c r="UO31">
        <v>189.3</v>
      </c>
      <c r="UP31">
        <v>4.1399999999999997</v>
      </c>
      <c r="UQ31">
        <v>4.1399999999999997</v>
      </c>
      <c r="UR31">
        <v>4.1399999999999997</v>
      </c>
      <c r="US31">
        <v>213.66</v>
      </c>
      <c r="UT31">
        <v>208.04</v>
      </c>
      <c r="UU31">
        <v>959.61</v>
      </c>
      <c r="UV31">
        <v>734.7</v>
      </c>
      <c r="UW31">
        <v>264.27</v>
      </c>
      <c r="UX31">
        <v>54.35</v>
      </c>
      <c r="UY31">
        <v>813.42</v>
      </c>
      <c r="UZ31">
        <v>104.96</v>
      </c>
      <c r="VA31">
        <v>1111.42</v>
      </c>
      <c r="VB31">
        <v>1756.16</v>
      </c>
      <c r="VC31">
        <v>93.71</v>
      </c>
      <c r="VD31">
        <v>185.55</v>
      </c>
      <c r="VE31">
        <v>67.47</v>
      </c>
      <c r="VF31">
        <v>577.26</v>
      </c>
      <c r="VG31">
        <v>13.12</v>
      </c>
      <c r="VH31">
        <v>22.49</v>
      </c>
      <c r="VI31">
        <v>14.99</v>
      </c>
      <c r="VJ31">
        <v>14.99</v>
      </c>
      <c r="VK31">
        <v>551.02</v>
      </c>
      <c r="VL31">
        <v>849.03</v>
      </c>
      <c r="VM31">
        <v>1716.8</v>
      </c>
      <c r="VN31">
        <v>592.26</v>
      </c>
      <c r="VO31">
        <v>4.1399999999999997</v>
      </c>
      <c r="VP31">
        <v>4.1399999999999997</v>
      </c>
      <c r="VQ31">
        <v>1265.1099999999999</v>
      </c>
      <c r="VR31">
        <v>341.11</v>
      </c>
      <c r="VS31">
        <v>1265.1099999999999</v>
      </c>
      <c r="VT31">
        <v>16.87</v>
      </c>
      <c r="VU31">
        <v>11.25</v>
      </c>
      <c r="VV31">
        <v>78.72</v>
      </c>
      <c r="VW31">
        <v>436.7</v>
      </c>
      <c r="VX31">
        <v>217.41</v>
      </c>
      <c r="VY31">
        <v>4.1399999999999997</v>
      </c>
      <c r="VZ31">
        <v>41619.230000000003</v>
      </c>
      <c r="WA31">
        <v>35183.11</v>
      </c>
      <c r="WB31">
        <v>339.24</v>
      </c>
      <c r="WC31">
        <v>236.15</v>
      </c>
      <c r="WD31">
        <v>26.24</v>
      </c>
      <c r="WE31">
        <v>1302.5899999999999</v>
      </c>
      <c r="WF31">
        <v>176.18</v>
      </c>
      <c r="WG31">
        <v>134.94</v>
      </c>
      <c r="WH31">
        <v>4128.9399999999996</v>
      </c>
      <c r="WI31">
        <v>5500.88</v>
      </c>
      <c r="WJ31">
        <v>753.44</v>
      </c>
      <c r="WK31">
        <v>221.16</v>
      </c>
      <c r="WL31">
        <v>804.05</v>
      </c>
      <c r="WM31">
        <v>4.1399999999999997</v>
      </c>
      <c r="WN31">
        <v>16.87</v>
      </c>
      <c r="WO31">
        <v>9.3699999999999992</v>
      </c>
      <c r="WP31">
        <v>123.7</v>
      </c>
      <c r="WQ31">
        <v>5916.96</v>
      </c>
      <c r="WR31">
        <v>1981.06</v>
      </c>
      <c r="WS31">
        <v>4.1399999999999997</v>
      </c>
      <c r="WT31">
        <v>125.57</v>
      </c>
      <c r="WU31">
        <v>796.55</v>
      </c>
      <c r="WV31">
        <v>847.15</v>
      </c>
      <c r="WW31">
        <v>35.61</v>
      </c>
      <c r="WX31">
        <v>114.33</v>
      </c>
      <c r="WY31">
        <v>22.49</v>
      </c>
      <c r="WZ31">
        <v>11.25</v>
      </c>
      <c r="XA31">
        <v>4.1399999999999997</v>
      </c>
      <c r="XB31">
        <v>1070.19</v>
      </c>
      <c r="XC31">
        <v>46.86</v>
      </c>
      <c r="XD31">
        <v>470.43</v>
      </c>
      <c r="XE31">
        <v>515.41</v>
      </c>
      <c r="XF31">
        <v>1713.05</v>
      </c>
      <c r="XG31">
        <v>1087.06</v>
      </c>
      <c r="XH31">
        <v>562.27</v>
      </c>
      <c r="XI31">
        <v>1707.43</v>
      </c>
      <c r="XJ31">
        <v>603.5</v>
      </c>
      <c r="XK31">
        <v>974.6</v>
      </c>
      <c r="XL31">
        <v>88.09</v>
      </c>
      <c r="XM31">
        <v>14.99</v>
      </c>
      <c r="XN31">
        <v>447.94</v>
      </c>
      <c r="XO31">
        <v>4.1399999999999997</v>
      </c>
      <c r="XP31">
        <v>44.98</v>
      </c>
      <c r="XQ31">
        <v>4.1399999999999997</v>
      </c>
      <c r="XR31">
        <v>4.1399999999999997</v>
      </c>
      <c r="XS31">
        <v>2712.02</v>
      </c>
      <c r="XT31">
        <v>318.62</v>
      </c>
      <c r="XU31">
        <v>541.65</v>
      </c>
      <c r="XV31">
        <v>744.07</v>
      </c>
      <c r="XW31">
        <v>1085.18</v>
      </c>
      <c r="XX31">
        <v>1898.6</v>
      </c>
      <c r="XY31">
        <v>2429.0100000000002</v>
      </c>
      <c r="XZ31">
        <v>168.68</v>
      </c>
      <c r="YA31">
        <v>805.92</v>
      </c>
      <c r="YB31">
        <v>251.15</v>
      </c>
      <c r="YC31">
        <v>22.49</v>
      </c>
      <c r="YD31">
        <v>1167.6500000000001</v>
      </c>
      <c r="YE31">
        <v>179.93</v>
      </c>
      <c r="YF31">
        <v>489.17</v>
      </c>
      <c r="YG31">
        <v>28.11</v>
      </c>
      <c r="YH31">
        <v>9.3699999999999992</v>
      </c>
      <c r="YI31">
        <v>50.6</v>
      </c>
      <c r="YJ31">
        <v>622.25</v>
      </c>
      <c r="YK31">
        <v>4.1399999999999997</v>
      </c>
      <c r="YL31">
        <v>712.21</v>
      </c>
      <c r="YM31">
        <v>5956.31</v>
      </c>
      <c r="YN31">
        <v>95.59</v>
      </c>
      <c r="YO31">
        <v>789.05</v>
      </c>
      <c r="YP31">
        <v>4282.62</v>
      </c>
      <c r="YQ31">
        <v>269.89</v>
      </c>
      <c r="YR31">
        <v>101.21</v>
      </c>
      <c r="YS31">
        <v>3538.55</v>
      </c>
      <c r="YT31">
        <v>123.7</v>
      </c>
      <c r="YU31">
        <v>1660.57</v>
      </c>
      <c r="YV31">
        <v>18.739999999999998</v>
      </c>
      <c r="YW31">
        <v>89.96</v>
      </c>
      <c r="YX31">
        <v>67.47</v>
      </c>
      <c r="YY31">
        <v>344.86</v>
      </c>
      <c r="YZ31">
        <v>14.99</v>
      </c>
      <c r="ZA31">
        <v>123.7</v>
      </c>
      <c r="ZB31">
        <v>16.87</v>
      </c>
      <c r="ZC31">
        <v>9.3699999999999992</v>
      </c>
      <c r="ZD31">
        <v>78.72</v>
      </c>
      <c r="ZE31">
        <v>54.35</v>
      </c>
      <c r="ZF31">
        <v>108.71</v>
      </c>
      <c r="ZG31">
        <v>200.54</v>
      </c>
      <c r="ZH31">
        <v>116.2</v>
      </c>
      <c r="ZI31">
        <v>1287.5999999999999</v>
      </c>
      <c r="ZJ31">
        <v>620.37</v>
      </c>
      <c r="ZK31">
        <v>685.97</v>
      </c>
      <c r="ZL31">
        <v>20.62</v>
      </c>
      <c r="ZM31">
        <v>498.55</v>
      </c>
      <c r="ZN31">
        <v>121.83</v>
      </c>
      <c r="ZO31">
        <v>11.25</v>
      </c>
      <c r="ZP31">
        <v>359.85</v>
      </c>
      <c r="ZQ31">
        <v>4.1399999999999997</v>
      </c>
      <c r="ZR31">
        <v>9.3699999999999992</v>
      </c>
      <c r="ZS31">
        <v>832.16</v>
      </c>
      <c r="ZT31">
        <v>344.86</v>
      </c>
      <c r="ZU31">
        <v>678.47</v>
      </c>
      <c r="ZV31">
        <v>9.3699999999999992</v>
      </c>
      <c r="ZW31">
        <v>11.25</v>
      </c>
      <c r="ZX31">
        <v>82.47</v>
      </c>
      <c r="ZY31">
        <v>341.11</v>
      </c>
      <c r="ZZ31">
        <v>159.31</v>
      </c>
      <c r="AAA31">
        <v>67.47</v>
      </c>
      <c r="AAB31">
        <v>101.21</v>
      </c>
      <c r="AAC31">
        <v>4.1399999999999997</v>
      </c>
      <c r="AAD31">
        <v>46.86</v>
      </c>
      <c r="AAE31">
        <v>13.12</v>
      </c>
      <c r="AAF31">
        <v>28.11</v>
      </c>
      <c r="AAG31">
        <v>506.04</v>
      </c>
      <c r="AAH31">
        <v>281.14</v>
      </c>
      <c r="AAI31">
        <v>3649.13</v>
      </c>
      <c r="AAJ31">
        <v>459.19</v>
      </c>
      <c r="AAK31">
        <v>847.15</v>
      </c>
      <c r="AAL31">
        <v>361.73</v>
      </c>
      <c r="AAM31">
        <v>18.739999999999998</v>
      </c>
      <c r="AAN31">
        <v>509.79</v>
      </c>
      <c r="AAO31">
        <v>26.24</v>
      </c>
      <c r="AAP31">
        <v>140.57</v>
      </c>
      <c r="AAQ31">
        <v>4.1399999999999997</v>
      </c>
      <c r="AAR31">
        <v>29.99</v>
      </c>
      <c r="AAS31">
        <v>2382.15</v>
      </c>
      <c r="AAT31">
        <v>194.92</v>
      </c>
      <c r="AAU31">
        <v>4.1399999999999997</v>
      </c>
      <c r="AAV31">
        <v>1000.84</v>
      </c>
      <c r="AAW31">
        <v>48.73</v>
      </c>
      <c r="AAX31">
        <v>48.73</v>
      </c>
      <c r="AAY31">
        <v>61.85</v>
      </c>
      <c r="AAZ31">
        <v>22.49</v>
      </c>
      <c r="ABA31">
        <v>614.75</v>
      </c>
      <c r="ABB31">
        <v>56.23</v>
      </c>
      <c r="ABC31">
        <v>1103.92</v>
      </c>
      <c r="ABD31">
        <v>3298.65</v>
      </c>
      <c r="ABE31">
        <v>614.75</v>
      </c>
      <c r="ABF31">
        <v>727.2</v>
      </c>
      <c r="ABG31">
        <v>129.32</v>
      </c>
      <c r="ABH31">
        <v>243.65</v>
      </c>
      <c r="ABI31">
        <v>4.1399999999999997</v>
      </c>
      <c r="ABJ31">
        <v>13.12</v>
      </c>
      <c r="ABK31">
        <v>46.86</v>
      </c>
      <c r="ABL31">
        <v>4.1399999999999997</v>
      </c>
      <c r="ABM31">
        <v>119.95</v>
      </c>
      <c r="ABN31">
        <v>82.47</v>
      </c>
      <c r="ABO31">
        <v>4.1399999999999997</v>
      </c>
      <c r="ABP31">
        <v>4.1399999999999997</v>
      </c>
      <c r="ABQ31">
        <v>1193.8900000000001</v>
      </c>
      <c r="ABR31">
        <v>22.49</v>
      </c>
      <c r="ABS31">
        <v>1997.93</v>
      </c>
      <c r="ABT31">
        <v>14.99</v>
      </c>
      <c r="ABU31">
        <v>74.97</v>
      </c>
      <c r="ABV31">
        <v>253.02</v>
      </c>
      <c r="ABW31">
        <v>757.19</v>
      </c>
      <c r="ABX31">
        <v>1137.6600000000001</v>
      </c>
      <c r="ABY31">
        <v>301.75</v>
      </c>
      <c r="ABZ31">
        <v>256.77</v>
      </c>
      <c r="ACA31">
        <v>734.7</v>
      </c>
      <c r="ACB31">
        <v>181.8</v>
      </c>
      <c r="ACC31">
        <v>95.59</v>
      </c>
      <c r="ACD31">
        <v>253.02</v>
      </c>
      <c r="ACE31">
        <v>129.32</v>
      </c>
      <c r="ACF31">
        <v>7579.4</v>
      </c>
      <c r="ACG31">
        <v>3339.88</v>
      </c>
      <c r="ACH31">
        <v>322.37</v>
      </c>
      <c r="ACI31">
        <v>770.31</v>
      </c>
      <c r="ACJ31">
        <v>905.25</v>
      </c>
      <c r="ACK31">
        <v>624.12</v>
      </c>
      <c r="ACL31">
        <v>80.59</v>
      </c>
      <c r="ACM31">
        <v>642.86</v>
      </c>
      <c r="ACN31">
        <v>288.63</v>
      </c>
      <c r="ACO31">
        <v>1205.1300000000001</v>
      </c>
      <c r="ACP31">
        <v>629.74</v>
      </c>
      <c r="ACQ31">
        <v>380.47</v>
      </c>
      <c r="ACR31">
        <v>2865.7</v>
      </c>
    </row>
    <row r="32" spans="1:772" x14ac:dyDescent="0.3">
      <c r="A32" t="s">
        <v>15</v>
      </c>
      <c r="B32" t="s">
        <v>1</v>
      </c>
      <c r="C32">
        <v>346.14</v>
      </c>
      <c r="D32">
        <v>94.4</v>
      </c>
      <c r="E32">
        <v>295.79000000000002</v>
      </c>
      <c r="F32">
        <v>44.05</v>
      </c>
      <c r="G32">
        <v>1025.83</v>
      </c>
      <c r="H32">
        <v>169.92</v>
      </c>
      <c r="I32">
        <v>887.37</v>
      </c>
      <c r="J32">
        <v>4619.3599999999997</v>
      </c>
      <c r="K32">
        <v>308.38</v>
      </c>
      <c r="L32">
        <v>94.4</v>
      </c>
      <c r="M32">
        <v>62.93</v>
      </c>
      <c r="N32">
        <v>1006.95</v>
      </c>
      <c r="O32">
        <v>31.47</v>
      </c>
      <c r="P32">
        <v>182.51</v>
      </c>
      <c r="Q32">
        <v>69.23</v>
      </c>
      <c r="R32">
        <v>497.18</v>
      </c>
      <c r="S32">
        <v>44.05</v>
      </c>
      <c r="T32">
        <v>944.01</v>
      </c>
      <c r="U32">
        <v>402.78</v>
      </c>
      <c r="V32">
        <v>692.28</v>
      </c>
      <c r="W32">
        <v>302.08</v>
      </c>
      <c r="X32">
        <v>44.05</v>
      </c>
      <c r="Y32">
        <v>125.87</v>
      </c>
      <c r="Z32">
        <v>478.3</v>
      </c>
      <c r="AA32">
        <v>125.87</v>
      </c>
      <c r="AB32">
        <v>509.77</v>
      </c>
      <c r="AC32">
        <v>377.6</v>
      </c>
      <c r="AD32">
        <v>75.52</v>
      </c>
      <c r="AE32">
        <v>138.46</v>
      </c>
      <c r="AF32">
        <v>26054.720000000001</v>
      </c>
      <c r="AG32">
        <v>144.75</v>
      </c>
      <c r="AH32">
        <v>365.02</v>
      </c>
      <c r="AI32">
        <v>81.81</v>
      </c>
      <c r="AJ32">
        <v>509.77</v>
      </c>
      <c r="AK32">
        <v>119.57</v>
      </c>
      <c r="AL32">
        <v>100.69</v>
      </c>
      <c r="AM32">
        <v>251.74</v>
      </c>
      <c r="AN32">
        <v>81.81</v>
      </c>
      <c r="AO32">
        <v>629.34</v>
      </c>
      <c r="AP32">
        <v>31.47</v>
      </c>
      <c r="AQ32">
        <v>138.46</v>
      </c>
      <c r="AR32">
        <v>75.52</v>
      </c>
      <c r="AS32">
        <v>37.76</v>
      </c>
      <c r="AT32">
        <v>3.23</v>
      </c>
      <c r="AU32">
        <v>62.93</v>
      </c>
      <c r="AV32">
        <v>799.26</v>
      </c>
      <c r="AW32">
        <v>264.32</v>
      </c>
      <c r="AX32">
        <v>1718.1</v>
      </c>
      <c r="AY32">
        <v>25.17</v>
      </c>
      <c r="AZ32">
        <v>75.52</v>
      </c>
      <c r="BA32">
        <v>276.91000000000003</v>
      </c>
      <c r="BB32">
        <v>289.5</v>
      </c>
      <c r="BC32">
        <v>50.35</v>
      </c>
      <c r="BD32">
        <v>25.17</v>
      </c>
      <c r="BE32">
        <v>245.44</v>
      </c>
      <c r="BF32">
        <v>503.47</v>
      </c>
      <c r="BG32">
        <v>157.34</v>
      </c>
      <c r="BH32">
        <v>69.23</v>
      </c>
      <c r="BI32">
        <v>106.99</v>
      </c>
      <c r="BJ32">
        <v>113.28</v>
      </c>
      <c r="BK32">
        <v>232.86</v>
      </c>
      <c r="BL32">
        <v>220.27</v>
      </c>
      <c r="BM32">
        <v>113.28</v>
      </c>
      <c r="BN32">
        <v>88.11</v>
      </c>
      <c r="BO32">
        <v>44.05</v>
      </c>
      <c r="BP32">
        <v>125.87</v>
      </c>
      <c r="BQ32">
        <v>25.17</v>
      </c>
      <c r="BR32">
        <v>289.5</v>
      </c>
      <c r="BS32">
        <v>56.64</v>
      </c>
      <c r="BT32">
        <v>6501.09</v>
      </c>
      <c r="BU32">
        <v>1541.89</v>
      </c>
      <c r="BV32">
        <v>94.4</v>
      </c>
      <c r="BW32">
        <v>151.04</v>
      </c>
      <c r="BX32">
        <v>3197.05</v>
      </c>
      <c r="BY32">
        <v>547.53</v>
      </c>
      <c r="BZ32">
        <v>730.04</v>
      </c>
      <c r="CA32">
        <v>667.1</v>
      </c>
      <c r="CB32">
        <v>742.62</v>
      </c>
      <c r="CC32">
        <v>31.47</v>
      </c>
      <c r="CD32">
        <v>44.05</v>
      </c>
      <c r="CE32">
        <v>232.86</v>
      </c>
      <c r="CF32">
        <v>308.38</v>
      </c>
      <c r="CG32">
        <v>69.23</v>
      </c>
      <c r="CH32">
        <v>144.75</v>
      </c>
      <c r="CI32">
        <v>25.17</v>
      </c>
      <c r="CJ32">
        <v>62.93</v>
      </c>
      <c r="CK32">
        <v>100.69</v>
      </c>
      <c r="CL32">
        <v>113.28</v>
      </c>
      <c r="CM32">
        <v>1976.13</v>
      </c>
      <c r="CN32">
        <v>251.74</v>
      </c>
      <c r="CO32">
        <v>144.75</v>
      </c>
      <c r="CP32">
        <v>3.23</v>
      </c>
      <c r="CQ32">
        <v>69.23</v>
      </c>
      <c r="CR32">
        <v>106.99</v>
      </c>
      <c r="CS32">
        <v>3.23</v>
      </c>
      <c r="CT32">
        <v>62.93</v>
      </c>
      <c r="CU32">
        <v>163.63</v>
      </c>
      <c r="CV32">
        <v>81.81</v>
      </c>
      <c r="CW32">
        <v>1113.93</v>
      </c>
      <c r="CX32">
        <v>119.57</v>
      </c>
      <c r="CY32">
        <v>232.86</v>
      </c>
      <c r="CZ32">
        <v>62.93</v>
      </c>
      <c r="DA32">
        <v>50.35</v>
      </c>
      <c r="DB32">
        <v>232.86</v>
      </c>
      <c r="DC32">
        <v>182.51</v>
      </c>
      <c r="DD32">
        <v>88.11</v>
      </c>
      <c r="DE32">
        <v>62.93</v>
      </c>
      <c r="DF32">
        <v>402.78</v>
      </c>
      <c r="DG32">
        <v>50.35</v>
      </c>
      <c r="DH32">
        <v>2561.42</v>
      </c>
      <c r="DI32">
        <v>81.81</v>
      </c>
      <c r="DJ32">
        <v>62.93</v>
      </c>
      <c r="DK32">
        <v>440.54</v>
      </c>
      <c r="DL32">
        <v>472.01</v>
      </c>
      <c r="DM32">
        <v>226.56</v>
      </c>
      <c r="DN32">
        <v>113.28</v>
      </c>
      <c r="DO32">
        <v>37.76</v>
      </c>
      <c r="DP32">
        <v>81.81</v>
      </c>
      <c r="DQ32">
        <v>3404.74</v>
      </c>
      <c r="DR32">
        <v>100.69</v>
      </c>
      <c r="DS32">
        <v>25.17</v>
      </c>
      <c r="DT32">
        <v>94.4</v>
      </c>
      <c r="DU32">
        <v>5789.94</v>
      </c>
      <c r="DV32">
        <v>69.23</v>
      </c>
      <c r="DW32">
        <v>44.05</v>
      </c>
      <c r="DX32">
        <v>176.22</v>
      </c>
      <c r="DY32">
        <v>144.75</v>
      </c>
      <c r="DZ32">
        <v>138.46</v>
      </c>
      <c r="EA32">
        <v>75.52</v>
      </c>
      <c r="EB32">
        <v>169.92</v>
      </c>
      <c r="EC32">
        <v>88.11</v>
      </c>
      <c r="ED32">
        <v>31.47</v>
      </c>
      <c r="EE32">
        <v>3.23</v>
      </c>
      <c r="EF32">
        <v>692.28</v>
      </c>
      <c r="EG32">
        <v>1088.76</v>
      </c>
      <c r="EH32">
        <v>56.64</v>
      </c>
      <c r="EI32">
        <v>50.35</v>
      </c>
      <c r="EJ32">
        <v>283.2</v>
      </c>
      <c r="EK32">
        <v>119.57</v>
      </c>
      <c r="EL32">
        <v>2152.35</v>
      </c>
      <c r="EM32">
        <v>220.27</v>
      </c>
      <c r="EN32">
        <v>276.91000000000003</v>
      </c>
      <c r="EO32">
        <v>151.04</v>
      </c>
      <c r="EP32">
        <v>62.93</v>
      </c>
      <c r="EQ32">
        <v>3190.76</v>
      </c>
      <c r="ER32">
        <v>3.23</v>
      </c>
      <c r="ES32">
        <v>31.47</v>
      </c>
      <c r="ET32">
        <v>3.23</v>
      </c>
      <c r="EU32">
        <v>251.74</v>
      </c>
      <c r="EV32">
        <v>44.05</v>
      </c>
      <c r="EW32">
        <v>75.52</v>
      </c>
      <c r="EX32">
        <v>258.02999999999997</v>
      </c>
      <c r="EY32">
        <v>144.75</v>
      </c>
      <c r="EZ32">
        <v>125.87</v>
      </c>
      <c r="FA32">
        <v>195.1</v>
      </c>
      <c r="FB32">
        <v>3.23</v>
      </c>
      <c r="FC32">
        <v>195.1</v>
      </c>
      <c r="FD32">
        <v>69.23</v>
      </c>
      <c r="FE32">
        <v>276.91000000000003</v>
      </c>
      <c r="FF32">
        <v>25.17</v>
      </c>
      <c r="FG32">
        <v>1000.65</v>
      </c>
      <c r="FH32">
        <v>1252.3900000000001</v>
      </c>
      <c r="FI32">
        <v>56.64</v>
      </c>
      <c r="FJ32">
        <v>597.87</v>
      </c>
      <c r="FK32">
        <v>390.19</v>
      </c>
      <c r="FL32">
        <v>201.39</v>
      </c>
      <c r="FM32">
        <v>308.38</v>
      </c>
      <c r="FN32">
        <v>151.04</v>
      </c>
      <c r="FO32">
        <v>119.57</v>
      </c>
      <c r="FP32">
        <v>25.17</v>
      </c>
      <c r="FQ32">
        <v>44.05</v>
      </c>
      <c r="FR32">
        <v>3.23</v>
      </c>
      <c r="FS32">
        <v>3.23</v>
      </c>
      <c r="FT32">
        <v>132.16</v>
      </c>
      <c r="FU32">
        <v>1655.17</v>
      </c>
      <c r="FV32">
        <v>3008.25</v>
      </c>
      <c r="FW32">
        <v>81.81</v>
      </c>
      <c r="FX32">
        <v>94.4</v>
      </c>
      <c r="FY32">
        <v>25.17</v>
      </c>
      <c r="FZ32">
        <v>6475.92</v>
      </c>
      <c r="GA32">
        <v>264.32</v>
      </c>
      <c r="GB32">
        <v>56.64</v>
      </c>
      <c r="GC32">
        <v>3.23</v>
      </c>
      <c r="GD32">
        <v>541.23</v>
      </c>
      <c r="GE32">
        <v>144.75</v>
      </c>
      <c r="GF32">
        <v>327.26</v>
      </c>
      <c r="GG32">
        <v>5557.08</v>
      </c>
      <c r="GH32">
        <v>2611.77</v>
      </c>
      <c r="GI32">
        <v>15198.59</v>
      </c>
      <c r="GJ32">
        <v>667.1</v>
      </c>
      <c r="GK32">
        <v>40970.11</v>
      </c>
      <c r="GL32">
        <v>100.69</v>
      </c>
      <c r="GM32">
        <v>88.11</v>
      </c>
      <c r="GN32">
        <v>56.64</v>
      </c>
      <c r="GO32">
        <v>906.25</v>
      </c>
      <c r="GP32">
        <v>106.99</v>
      </c>
      <c r="GQ32">
        <v>50.35</v>
      </c>
      <c r="GR32">
        <v>679.69</v>
      </c>
      <c r="GS32">
        <v>327.26</v>
      </c>
      <c r="GT32">
        <v>327.26</v>
      </c>
      <c r="GU32">
        <v>44.05</v>
      </c>
      <c r="GV32">
        <v>50.35</v>
      </c>
      <c r="GW32">
        <v>3.23</v>
      </c>
      <c r="GX32">
        <v>276.91000000000003</v>
      </c>
      <c r="GY32">
        <v>3.23</v>
      </c>
      <c r="GZ32">
        <v>169.92</v>
      </c>
      <c r="HA32">
        <v>119.57</v>
      </c>
      <c r="HB32">
        <v>421.66</v>
      </c>
      <c r="HC32">
        <v>44.05</v>
      </c>
      <c r="HD32">
        <v>755.21</v>
      </c>
      <c r="HE32">
        <v>62.93</v>
      </c>
      <c r="HF32">
        <v>1491.54</v>
      </c>
      <c r="HG32">
        <v>169.92</v>
      </c>
      <c r="HH32">
        <v>232.86</v>
      </c>
      <c r="HI32">
        <v>56.64</v>
      </c>
      <c r="HJ32">
        <v>157.34</v>
      </c>
      <c r="HK32">
        <v>1189.45</v>
      </c>
      <c r="HL32">
        <v>767.8</v>
      </c>
      <c r="HM32">
        <v>94.4</v>
      </c>
      <c r="HN32">
        <v>497.18</v>
      </c>
      <c r="HO32">
        <v>69.23</v>
      </c>
      <c r="HP32">
        <v>31.47</v>
      </c>
      <c r="HQ32">
        <v>4367.63</v>
      </c>
      <c r="HR32">
        <v>232.86</v>
      </c>
      <c r="HS32">
        <v>88.11</v>
      </c>
      <c r="HT32">
        <v>56.64</v>
      </c>
      <c r="HU32">
        <v>220.27</v>
      </c>
      <c r="HV32">
        <v>31.47</v>
      </c>
      <c r="HW32">
        <v>893.66</v>
      </c>
      <c r="HX32">
        <v>44.05</v>
      </c>
      <c r="HY32">
        <v>44.05</v>
      </c>
      <c r="HZ32">
        <v>144.75</v>
      </c>
      <c r="IA32">
        <v>151.04</v>
      </c>
      <c r="IB32">
        <v>75.52</v>
      </c>
      <c r="IC32">
        <v>81.81</v>
      </c>
      <c r="ID32">
        <v>75.52</v>
      </c>
      <c r="IE32">
        <v>31.47</v>
      </c>
      <c r="IF32">
        <v>786.68</v>
      </c>
      <c r="IG32">
        <v>3.23</v>
      </c>
      <c r="IH32">
        <v>3.23</v>
      </c>
      <c r="II32">
        <v>138.46</v>
      </c>
      <c r="IJ32">
        <v>390.19</v>
      </c>
      <c r="IK32">
        <v>37.76</v>
      </c>
      <c r="IL32">
        <v>2158.64</v>
      </c>
      <c r="IM32">
        <v>327.26</v>
      </c>
      <c r="IN32">
        <v>226.56</v>
      </c>
      <c r="IO32">
        <v>490.89</v>
      </c>
      <c r="IP32">
        <v>56.64</v>
      </c>
      <c r="IQ32">
        <v>50.35</v>
      </c>
      <c r="IR32">
        <v>62.93</v>
      </c>
      <c r="IS32">
        <v>62.93</v>
      </c>
      <c r="IT32">
        <v>44.05</v>
      </c>
      <c r="IU32">
        <v>176.22</v>
      </c>
      <c r="IV32">
        <v>213.98</v>
      </c>
      <c r="IW32">
        <v>113.28</v>
      </c>
      <c r="IX32">
        <v>1214.6300000000001</v>
      </c>
      <c r="IY32">
        <v>157.34</v>
      </c>
      <c r="IZ32">
        <v>100.69</v>
      </c>
      <c r="JA32">
        <v>270.62</v>
      </c>
      <c r="JB32">
        <v>283.2</v>
      </c>
      <c r="JC32">
        <v>113.28</v>
      </c>
      <c r="JD32">
        <v>409.07</v>
      </c>
      <c r="JE32">
        <v>3.23</v>
      </c>
      <c r="JF32">
        <v>56.64</v>
      </c>
      <c r="JG32">
        <v>88.11</v>
      </c>
      <c r="JH32">
        <v>213.98</v>
      </c>
      <c r="JI32">
        <v>409.07</v>
      </c>
      <c r="JJ32">
        <v>132.16</v>
      </c>
      <c r="JK32">
        <v>94.4</v>
      </c>
      <c r="JL32">
        <v>251.74</v>
      </c>
      <c r="JM32">
        <v>44.05</v>
      </c>
      <c r="JN32">
        <v>69.23</v>
      </c>
      <c r="JO32">
        <v>119.57</v>
      </c>
      <c r="JP32">
        <v>446.83</v>
      </c>
      <c r="JQ32">
        <v>2636.94</v>
      </c>
      <c r="JR32">
        <v>25.17</v>
      </c>
      <c r="JS32">
        <v>31.47</v>
      </c>
      <c r="JT32">
        <v>295.79000000000002</v>
      </c>
      <c r="JU32">
        <v>50.35</v>
      </c>
      <c r="JV32">
        <v>358.72</v>
      </c>
      <c r="JW32">
        <v>62.93</v>
      </c>
      <c r="JX32">
        <v>44.05</v>
      </c>
      <c r="JY32">
        <v>390.19</v>
      </c>
      <c r="JZ32">
        <v>31.47</v>
      </c>
      <c r="KA32">
        <v>25.17</v>
      </c>
      <c r="KB32">
        <v>69.23</v>
      </c>
      <c r="KC32">
        <v>81.81</v>
      </c>
      <c r="KD32">
        <v>56.64</v>
      </c>
      <c r="KE32">
        <v>125.87</v>
      </c>
      <c r="KF32">
        <v>138.46</v>
      </c>
      <c r="KG32">
        <v>541.23</v>
      </c>
      <c r="KH32">
        <v>62.93</v>
      </c>
      <c r="KI32">
        <v>182.51</v>
      </c>
      <c r="KJ32">
        <v>182.51</v>
      </c>
      <c r="KK32">
        <v>144.75</v>
      </c>
      <c r="KL32">
        <v>119.57</v>
      </c>
      <c r="KM32">
        <v>50.35</v>
      </c>
      <c r="KN32">
        <v>226.56</v>
      </c>
      <c r="KO32">
        <v>176.22</v>
      </c>
      <c r="KP32">
        <v>132.16</v>
      </c>
      <c r="KQ32">
        <v>3096.36</v>
      </c>
      <c r="KR32">
        <v>333.55</v>
      </c>
      <c r="KS32">
        <v>723.74</v>
      </c>
      <c r="KT32">
        <v>4348.75</v>
      </c>
      <c r="KU32">
        <v>23254.16</v>
      </c>
      <c r="KV32">
        <v>3643.89</v>
      </c>
      <c r="KW32">
        <v>232.86</v>
      </c>
      <c r="KX32">
        <v>308.38</v>
      </c>
      <c r="KY32">
        <v>88.11</v>
      </c>
      <c r="KZ32">
        <v>50.35</v>
      </c>
      <c r="LA32">
        <v>988.07</v>
      </c>
      <c r="LB32">
        <v>918.84</v>
      </c>
      <c r="LC32">
        <v>2863.5</v>
      </c>
      <c r="LD32">
        <v>3.23</v>
      </c>
      <c r="LE32">
        <v>427.95</v>
      </c>
      <c r="LF32">
        <v>3360.68</v>
      </c>
      <c r="LG32">
        <v>2246.75</v>
      </c>
      <c r="LH32">
        <v>1334.2</v>
      </c>
      <c r="LI32">
        <v>6431.87</v>
      </c>
      <c r="LJ32">
        <v>516.05999999999995</v>
      </c>
      <c r="LK32">
        <v>509.77</v>
      </c>
      <c r="LL32">
        <v>119.57</v>
      </c>
      <c r="LM32">
        <v>37.76</v>
      </c>
      <c r="LN32">
        <v>106.99</v>
      </c>
      <c r="LO32">
        <v>220.27</v>
      </c>
      <c r="LP32">
        <v>1126.52</v>
      </c>
      <c r="LQ32">
        <v>151.04</v>
      </c>
      <c r="LR32">
        <v>264.32</v>
      </c>
      <c r="LS32">
        <v>50.35</v>
      </c>
      <c r="LT32">
        <v>100.69</v>
      </c>
      <c r="LU32">
        <v>138.46</v>
      </c>
      <c r="LV32">
        <v>232.86</v>
      </c>
      <c r="LW32">
        <v>547.53</v>
      </c>
      <c r="LX32">
        <v>3593.54</v>
      </c>
      <c r="LY32">
        <v>792.97</v>
      </c>
      <c r="LZ32">
        <v>5582.26</v>
      </c>
      <c r="MA32">
        <v>314.67</v>
      </c>
      <c r="MB32">
        <v>5368.28</v>
      </c>
      <c r="MC32">
        <v>893.66</v>
      </c>
      <c r="MD32">
        <v>415.37</v>
      </c>
      <c r="ME32">
        <v>302.08</v>
      </c>
      <c r="MF32">
        <v>962.89</v>
      </c>
      <c r="MG32">
        <v>3801.22</v>
      </c>
      <c r="MH32">
        <v>1554.47</v>
      </c>
      <c r="MI32">
        <v>50.35</v>
      </c>
      <c r="MJ32">
        <v>295.79000000000002</v>
      </c>
      <c r="MK32">
        <v>56.64</v>
      </c>
      <c r="ML32">
        <v>755.21</v>
      </c>
      <c r="MM32">
        <v>767.8</v>
      </c>
      <c r="MN32">
        <v>427.95</v>
      </c>
      <c r="MO32">
        <v>69.23</v>
      </c>
      <c r="MP32">
        <v>100.69</v>
      </c>
      <c r="MQ32">
        <v>157.34</v>
      </c>
      <c r="MR32">
        <v>62.93</v>
      </c>
      <c r="MS32">
        <v>509.77</v>
      </c>
      <c r="MT32">
        <v>3398.44</v>
      </c>
      <c r="MU32">
        <v>69.23</v>
      </c>
      <c r="MV32">
        <v>37.76</v>
      </c>
      <c r="MW32">
        <v>81.81</v>
      </c>
      <c r="MX32">
        <v>176.22</v>
      </c>
      <c r="MY32">
        <v>37.76</v>
      </c>
      <c r="MZ32">
        <v>371.31</v>
      </c>
      <c r="NA32">
        <v>56.64</v>
      </c>
      <c r="NB32">
        <v>327.26</v>
      </c>
      <c r="NC32">
        <v>6620.67</v>
      </c>
      <c r="ND32">
        <v>792.97</v>
      </c>
      <c r="NE32">
        <v>352.43</v>
      </c>
      <c r="NF32">
        <v>31.47</v>
      </c>
      <c r="NG32">
        <v>31.47</v>
      </c>
      <c r="NH32">
        <v>50.35</v>
      </c>
      <c r="NI32">
        <v>7772.36</v>
      </c>
      <c r="NJ32">
        <v>314.67</v>
      </c>
      <c r="NK32">
        <v>352.43</v>
      </c>
      <c r="NL32">
        <v>283.2</v>
      </c>
      <c r="NM32">
        <v>1302.74</v>
      </c>
      <c r="NN32">
        <v>176.22</v>
      </c>
      <c r="NO32">
        <v>56.64</v>
      </c>
      <c r="NP32">
        <v>3.23</v>
      </c>
      <c r="NQ32">
        <v>5569.67</v>
      </c>
      <c r="NR32">
        <v>195.1</v>
      </c>
      <c r="NS32">
        <v>868.49</v>
      </c>
      <c r="NT32">
        <v>377.6</v>
      </c>
      <c r="NU32">
        <v>610.46</v>
      </c>
      <c r="NV32">
        <v>453.13</v>
      </c>
      <c r="NW32">
        <v>207.68</v>
      </c>
      <c r="NX32">
        <v>144.75</v>
      </c>
      <c r="NY32">
        <v>119.57</v>
      </c>
      <c r="NZ32">
        <v>780.38</v>
      </c>
      <c r="OA32">
        <v>258.02999999999997</v>
      </c>
      <c r="OB32">
        <v>623.04999999999995</v>
      </c>
      <c r="OC32">
        <v>2869.8</v>
      </c>
      <c r="OD32">
        <v>415.37</v>
      </c>
      <c r="OE32">
        <v>484.59</v>
      </c>
      <c r="OF32">
        <v>75.52</v>
      </c>
      <c r="OG32">
        <v>195.1</v>
      </c>
      <c r="OH32">
        <v>94.4</v>
      </c>
      <c r="OI32">
        <v>220.27</v>
      </c>
      <c r="OJ32">
        <v>69.23</v>
      </c>
      <c r="OK32">
        <v>868.49</v>
      </c>
      <c r="OL32">
        <v>792.97</v>
      </c>
      <c r="OM32">
        <v>1063.5899999999999</v>
      </c>
      <c r="ON32">
        <v>283.2</v>
      </c>
      <c r="OO32">
        <v>654.51</v>
      </c>
      <c r="OP32">
        <v>182.51</v>
      </c>
      <c r="OQ32">
        <v>81.81</v>
      </c>
      <c r="OR32">
        <v>25.17</v>
      </c>
      <c r="OS32">
        <v>560.11</v>
      </c>
      <c r="OT32">
        <v>365.02</v>
      </c>
      <c r="OU32">
        <v>188.8</v>
      </c>
      <c r="OV32">
        <v>283.2</v>
      </c>
      <c r="OW32">
        <v>31.47</v>
      </c>
      <c r="OX32">
        <v>3.23</v>
      </c>
      <c r="OY32">
        <v>157.34</v>
      </c>
      <c r="OZ32">
        <v>56.64</v>
      </c>
      <c r="PA32">
        <v>3.23</v>
      </c>
      <c r="PB32">
        <v>182.51</v>
      </c>
      <c r="PC32">
        <v>31.47</v>
      </c>
      <c r="PD32">
        <v>44.05</v>
      </c>
      <c r="PE32">
        <v>62.93</v>
      </c>
      <c r="PF32">
        <v>251.74</v>
      </c>
      <c r="PG32">
        <v>88.11</v>
      </c>
      <c r="PH32">
        <v>270.62</v>
      </c>
      <c r="PI32">
        <v>69.23</v>
      </c>
      <c r="PJ32">
        <v>1510.42</v>
      </c>
      <c r="PK32">
        <v>1271.27</v>
      </c>
      <c r="PL32">
        <v>176.22</v>
      </c>
      <c r="PM32">
        <v>5236.12</v>
      </c>
      <c r="PN32">
        <v>553.82000000000005</v>
      </c>
      <c r="PO32">
        <v>176.22</v>
      </c>
      <c r="PP32">
        <v>2303.39</v>
      </c>
      <c r="PQ32">
        <v>138.46</v>
      </c>
      <c r="PR32">
        <v>182.51</v>
      </c>
      <c r="PS32">
        <v>37.76</v>
      </c>
      <c r="PT32">
        <v>69.23</v>
      </c>
      <c r="PU32">
        <v>755.21</v>
      </c>
      <c r="PV32">
        <v>81.81</v>
      </c>
      <c r="PW32">
        <v>106.99</v>
      </c>
      <c r="PX32">
        <v>44.05</v>
      </c>
      <c r="PY32">
        <v>881.08</v>
      </c>
      <c r="PZ32">
        <v>113.28</v>
      </c>
      <c r="QA32">
        <v>245.44</v>
      </c>
      <c r="QB32">
        <v>7722.02</v>
      </c>
      <c r="QC32">
        <v>81.81</v>
      </c>
      <c r="QD32">
        <v>3.23</v>
      </c>
      <c r="QE32">
        <v>125.87</v>
      </c>
      <c r="QF32">
        <v>50.35</v>
      </c>
      <c r="QG32">
        <v>106.99</v>
      </c>
      <c r="QH32">
        <v>62.93</v>
      </c>
      <c r="QI32">
        <v>31.47</v>
      </c>
      <c r="QJ32">
        <v>163.63</v>
      </c>
      <c r="QK32">
        <v>44.05</v>
      </c>
      <c r="QL32">
        <v>302.08</v>
      </c>
      <c r="QM32">
        <v>365.02</v>
      </c>
      <c r="QN32">
        <v>472.01</v>
      </c>
      <c r="QO32">
        <v>56.64</v>
      </c>
      <c r="QP32">
        <v>106.99</v>
      </c>
      <c r="QQ32">
        <v>144.75</v>
      </c>
      <c r="QR32">
        <v>44.05</v>
      </c>
      <c r="QS32">
        <v>333.55</v>
      </c>
      <c r="QT32">
        <v>704.86</v>
      </c>
      <c r="QU32">
        <v>50.35</v>
      </c>
      <c r="QV32">
        <v>94.4</v>
      </c>
      <c r="QW32">
        <v>56.64</v>
      </c>
      <c r="QX32">
        <v>144.75</v>
      </c>
      <c r="QY32">
        <v>3.23</v>
      </c>
      <c r="QZ32">
        <v>50.35</v>
      </c>
      <c r="RA32">
        <v>188.8</v>
      </c>
      <c r="RB32">
        <v>41196.67</v>
      </c>
      <c r="RC32">
        <v>50.35</v>
      </c>
      <c r="RD32">
        <v>4355.04</v>
      </c>
      <c r="RE32">
        <v>62.93</v>
      </c>
      <c r="RF32">
        <v>251.74</v>
      </c>
      <c r="RG32">
        <v>195.1</v>
      </c>
      <c r="RH32">
        <v>283.2</v>
      </c>
      <c r="RI32">
        <v>37.76</v>
      </c>
      <c r="RJ32">
        <v>182.51</v>
      </c>
      <c r="RK32">
        <v>81.81</v>
      </c>
      <c r="RL32">
        <v>75.52</v>
      </c>
      <c r="RM32">
        <v>125.87</v>
      </c>
      <c r="RN32">
        <v>213.98</v>
      </c>
      <c r="RO32">
        <v>918.84</v>
      </c>
      <c r="RP32">
        <v>201.39</v>
      </c>
      <c r="RQ32">
        <v>75.52</v>
      </c>
      <c r="RR32">
        <v>37.76</v>
      </c>
      <c r="RS32">
        <v>604.16999999999996</v>
      </c>
      <c r="RT32">
        <v>327.26</v>
      </c>
      <c r="RU32">
        <v>3.23</v>
      </c>
      <c r="RV32">
        <v>106.99</v>
      </c>
      <c r="RW32">
        <v>151.04</v>
      </c>
      <c r="RX32">
        <v>220.27</v>
      </c>
      <c r="RY32">
        <v>837.02</v>
      </c>
      <c r="RZ32">
        <v>62.93</v>
      </c>
      <c r="SA32">
        <v>220.27</v>
      </c>
      <c r="SB32">
        <v>81.81</v>
      </c>
      <c r="SC32">
        <v>106.99</v>
      </c>
      <c r="SD32">
        <v>1000.65</v>
      </c>
      <c r="SE32">
        <v>623.04999999999995</v>
      </c>
      <c r="SF32">
        <v>541.23</v>
      </c>
      <c r="SG32">
        <v>4795.58</v>
      </c>
      <c r="SH32">
        <v>75.52</v>
      </c>
      <c r="SI32">
        <v>31.47</v>
      </c>
      <c r="SJ32">
        <v>283.2</v>
      </c>
      <c r="SK32">
        <v>453.13</v>
      </c>
      <c r="SL32">
        <v>188.8</v>
      </c>
      <c r="SM32">
        <v>37.76</v>
      </c>
      <c r="SN32">
        <v>232.86</v>
      </c>
      <c r="SO32">
        <v>44.05</v>
      </c>
      <c r="SP32">
        <v>169.92</v>
      </c>
      <c r="SQ32">
        <v>748.92</v>
      </c>
      <c r="SR32">
        <v>333.55</v>
      </c>
      <c r="SS32">
        <v>629.34</v>
      </c>
      <c r="ST32">
        <v>906.25</v>
      </c>
      <c r="SU32">
        <v>1044.71</v>
      </c>
      <c r="SV32">
        <v>333.55</v>
      </c>
      <c r="SW32">
        <v>654.51</v>
      </c>
      <c r="SX32">
        <v>182.51</v>
      </c>
      <c r="SY32">
        <v>239.15</v>
      </c>
      <c r="SZ32">
        <v>3.23</v>
      </c>
      <c r="TA32">
        <v>44.05</v>
      </c>
      <c r="TB32">
        <v>767.8</v>
      </c>
      <c r="TC32">
        <v>207.68</v>
      </c>
      <c r="TD32">
        <v>75.52</v>
      </c>
      <c r="TE32">
        <v>446.83</v>
      </c>
      <c r="TF32">
        <v>251.74</v>
      </c>
      <c r="TG32">
        <v>383.9</v>
      </c>
      <c r="TH32">
        <v>113.28</v>
      </c>
      <c r="TI32">
        <v>151.04</v>
      </c>
      <c r="TJ32">
        <v>56.64</v>
      </c>
      <c r="TK32">
        <v>138.46</v>
      </c>
      <c r="TL32">
        <v>119.57</v>
      </c>
      <c r="TM32">
        <v>69.23</v>
      </c>
      <c r="TN32">
        <v>931.42</v>
      </c>
      <c r="TO32">
        <v>333.55</v>
      </c>
      <c r="TP32">
        <v>270.62</v>
      </c>
      <c r="TQ32">
        <v>402.78</v>
      </c>
      <c r="TR32">
        <v>37.76</v>
      </c>
      <c r="TS32">
        <v>560.11</v>
      </c>
      <c r="TT32">
        <v>56.64</v>
      </c>
      <c r="TU32">
        <v>75.52</v>
      </c>
      <c r="TV32">
        <v>182.51</v>
      </c>
      <c r="TW32">
        <v>295.79000000000002</v>
      </c>
      <c r="TX32">
        <v>151.04</v>
      </c>
      <c r="TY32">
        <v>119.57</v>
      </c>
      <c r="TZ32">
        <v>132.16</v>
      </c>
      <c r="UA32">
        <v>125.87</v>
      </c>
      <c r="UB32">
        <v>365.02</v>
      </c>
      <c r="UC32">
        <v>4411.68</v>
      </c>
      <c r="UD32">
        <v>100.69</v>
      </c>
      <c r="UE32">
        <v>44.05</v>
      </c>
      <c r="UF32">
        <v>849.61</v>
      </c>
      <c r="UG32">
        <v>56.64</v>
      </c>
      <c r="UH32">
        <v>25.17</v>
      </c>
      <c r="UI32">
        <v>62.93</v>
      </c>
      <c r="UJ32">
        <v>62.93</v>
      </c>
      <c r="UK32">
        <v>100.69</v>
      </c>
      <c r="UL32">
        <v>50.35</v>
      </c>
      <c r="UM32">
        <v>3.23</v>
      </c>
      <c r="UN32">
        <v>113.28</v>
      </c>
      <c r="UO32">
        <v>75.52</v>
      </c>
      <c r="UP32">
        <v>25.17</v>
      </c>
      <c r="UQ32">
        <v>69.23</v>
      </c>
      <c r="UR32">
        <v>62.93</v>
      </c>
      <c r="US32">
        <v>100.69</v>
      </c>
      <c r="UT32">
        <v>232.86</v>
      </c>
      <c r="UU32">
        <v>339.84</v>
      </c>
      <c r="UV32">
        <v>465.71</v>
      </c>
      <c r="UW32">
        <v>346.14</v>
      </c>
      <c r="UX32">
        <v>94.4</v>
      </c>
      <c r="UY32">
        <v>390.19</v>
      </c>
      <c r="UZ32">
        <v>106.99</v>
      </c>
      <c r="VA32">
        <v>3215.93</v>
      </c>
      <c r="VB32">
        <v>855.9</v>
      </c>
      <c r="VC32">
        <v>157.34</v>
      </c>
      <c r="VD32">
        <v>88.11</v>
      </c>
      <c r="VE32">
        <v>88.11</v>
      </c>
      <c r="VF32">
        <v>276.91000000000003</v>
      </c>
      <c r="VG32">
        <v>31.47</v>
      </c>
      <c r="VH32">
        <v>44.05</v>
      </c>
      <c r="VI32">
        <v>69.23</v>
      </c>
      <c r="VJ32">
        <v>31.47</v>
      </c>
      <c r="VK32">
        <v>320.95999999999998</v>
      </c>
      <c r="VL32">
        <v>478.3</v>
      </c>
      <c r="VM32">
        <v>528.65</v>
      </c>
      <c r="VN32">
        <v>434.25</v>
      </c>
      <c r="VO32">
        <v>25.17</v>
      </c>
      <c r="VP32">
        <v>3.23</v>
      </c>
      <c r="VQ32">
        <v>534.94000000000005</v>
      </c>
      <c r="VR32">
        <v>169.92</v>
      </c>
      <c r="VS32">
        <v>383.9</v>
      </c>
      <c r="VT32">
        <v>37.76</v>
      </c>
      <c r="VU32">
        <v>44.05</v>
      </c>
      <c r="VV32">
        <v>3.23</v>
      </c>
      <c r="VW32">
        <v>113.28</v>
      </c>
      <c r="VX32">
        <v>100.69</v>
      </c>
      <c r="VY32">
        <v>37.76</v>
      </c>
      <c r="VZ32">
        <v>6324.88</v>
      </c>
      <c r="WA32">
        <v>4764.1099999999997</v>
      </c>
      <c r="WB32">
        <v>232.86</v>
      </c>
      <c r="WC32">
        <v>132.16</v>
      </c>
      <c r="WD32">
        <v>88.11</v>
      </c>
      <c r="WE32">
        <v>2718.75</v>
      </c>
      <c r="WF32">
        <v>270.62</v>
      </c>
      <c r="WG32">
        <v>383.9</v>
      </c>
      <c r="WH32">
        <v>5242.41</v>
      </c>
      <c r="WI32">
        <v>9068.81</v>
      </c>
      <c r="WJ32">
        <v>736.33</v>
      </c>
      <c r="WK32">
        <v>667.1</v>
      </c>
      <c r="WL32">
        <v>333.55</v>
      </c>
      <c r="WM32">
        <v>44.05</v>
      </c>
      <c r="WN32">
        <v>132.16</v>
      </c>
      <c r="WO32">
        <v>3.23</v>
      </c>
      <c r="WP32">
        <v>409.07</v>
      </c>
      <c r="WQ32">
        <v>415.37</v>
      </c>
      <c r="WR32">
        <v>472.01</v>
      </c>
      <c r="WS32">
        <v>88.11</v>
      </c>
      <c r="WT32">
        <v>144.75</v>
      </c>
      <c r="WU32">
        <v>295.79000000000002</v>
      </c>
      <c r="WV32">
        <v>446.83</v>
      </c>
      <c r="WW32">
        <v>94.4</v>
      </c>
      <c r="WX32">
        <v>119.57</v>
      </c>
      <c r="WY32">
        <v>195.1</v>
      </c>
      <c r="WZ32">
        <v>100.69</v>
      </c>
      <c r="XA32">
        <v>44.05</v>
      </c>
      <c r="XB32">
        <v>1000.65</v>
      </c>
      <c r="XC32">
        <v>62.93</v>
      </c>
      <c r="XD32">
        <v>346.14</v>
      </c>
      <c r="XE32">
        <v>899.96</v>
      </c>
      <c r="XF32">
        <v>283.2</v>
      </c>
      <c r="XG32">
        <v>245.44</v>
      </c>
      <c r="XH32">
        <v>100.69</v>
      </c>
      <c r="XI32">
        <v>270.62</v>
      </c>
      <c r="XJ32">
        <v>232.86</v>
      </c>
      <c r="XK32">
        <v>308.38</v>
      </c>
      <c r="XL32">
        <v>207.68</v>
      </c>
      <c r="XM32">
        <v>31.47</v>
      </c>
      <c r="XN32">
        <v>213.98</v>
      </c>
      <c r="XO32">
        <v>44.05</v>
      </c>
      <c r="XP32">
        <v>37.76</v>
      </c>
      <c r="XQ32">
        <v>31.47</v>
      </c>
      <c r="XR32">
        <v>62.93</v>
      </c>
      <c r="XS32">
        <v>1327.91</v>
      </c>
      <c r="XT32">
        <v>132.16</v>
      </c>
      <c r="XU32">
        <v>251.74</v>
      </c>
      <c r="XV32">
        <v>213.98</v>
      </c>
      <c r="XW32">
        <v>1346.79</v>
      </c>
      <c r="XX32">
        <v>1302.74</v>
      </c>
      <c r="XY32">
        <v>975.48</v>
      </c>
      <c r="XZ32">
        <v>207.68</v>
      </c>
      <c r="YA32">
        <v>1120.23</v>
      </c>
      <c r="YB32">
        <v>176.22</v>
      </c>
      <c r="YC32">
        <v>56.64</v>
      </c>
      <c r="YD32">
        <v>761.5</v>
      </c>
      <c r="YE32">
        <v>346.14</v>
      </c>
      <c r="YF32">
        <v>988.07</v>
      </c>
      <c r="YG32">
        <v>119.57</v>
      </c>
      <c r="YH32">
        <v>69.23</v>
      </c>
      <c r="YI32">
        <v>113.28</v>
      </c>
      <c r="YJ32">
        <v>245.44</v>
      </c>
      <c r="YK32">
        <v>3.23</v>
      </c>
      <c r="YL32">
        <v>276.91000000000003</v>
      </c>
      <c r="YM32">
        <v>1132.81</v>
      </c>
      <c r="YN32">
        <v>94.4</v>
      </c>
      <c r="YO32">
        <v>226.56</v>
      </c>
      <c r="YP32">
        <v>931.42</v>
      </c>
      <c r="YQ32">
        <v>195.1</v>
      </c>
      <c r="YR32">
        <v>239.15</v>
      </c>
      <c r="YS32">
        <v>7753.48</v>
      </c>
      <c r="YT32">
        <v>258.02999999999997</v>
      </c>
      <c r="YU32">
        <v>383.9</v>
      </c>
      <c r="YV32">
        <v>81.81</v>
      </c>
      <c r="YW32">
        <v>94.4</v>
      </c>
      <c r="YX32">
        <v>100.69</v>
      </c>
      <c r="YY32">
        <v>767.8</v>
      </c>
      <c r="YZ32">
        <v>31.47</v>
      </c>
      <c r="ZA32">
        <v>220.27</v>
      </c>
      <c r="ZB32">
        <v>37.76</v>
      </c>
      <c r="ZC32">
        <v>50.35</v>
      </c>
      <c r="ZD32">
        <v>176.22</v>
      </c>
      <c r="ZE32">
        <v>69.23</v>
      </c>
      <c r="ZF32">
        <v>182.51</v>
      </c>
      <c r="ZG32">
        <v>226.56</v>
      </c>
      <c r="ZH32">
        <v>264.32</v>
      </c>
      <c r="ZI32">
        <v>547.53</v>
      </c>
      <c r="ZJ32">
        <v>2315.98</v>
      </c>
      <c r="ZK32">
        <v>195.1</v>
      </c>
      <c r="ZL32">
        <v>3.23</v>
      </c>
      <c r="ZM32">
        <v>81.81</v>
      </c>
      <c r="ZN32">
        <v>25.17</v>
      </c>
      <c r="ZO32">
        <v>56.64</v>
      </c>
      <c r="ZP32">
        <v>295.79000000000002</v>
      </c>
      <c r="ZQ32">
        <v>62.93</v>
      </c>
      <c r="ZR32">
        <v>50.35</v>
      </c>
      <c r="ZS32">
        <v>415.37</v>
      </c>
      <c r="ZT32">
        <v>377.6</v>
      </c>
      <c r="ZU32">
        <v>113.28</v>
      </c>
      <c r="ZV32">
        <v>3.23</v>
      </c>
      <c r="ZW32">
        <v>56.64</v>
      </c>
      <c r="ZX32">
        <v>144.75</v>
      </c>
      <c r="ZY32">
        <v>264.32</v>
      </c>
      <c r="ZZ32">
        <v>232.86</v>
      </c>
      <c r="AAA32">
        <v>201.39</v>
      </c>
      <c r="AAB32">
        <v>81.81</v>
      </c>
      <c r="AAC32">
        <v>88.11</v>
      </c>
      <c r="AAD32">
        <v>44.05</v>
      </c>
      <c r="AAE32">
        <v>44.05</v>
      </c>
      <c r="AAF32">
        <v>37.76</v>
      </c>
      <c r="AAG32">
        <v>132.16</v>
      </c>
      <c r="AAH32">
        <v>151.04</v>
      </c>
      <c r="AAI32">
        <v>2341.15</v>
      </c>
      <c r="AAJ32">
        <v>283.2</v>
      </c>
      <c r="AAK32">
        <v>2095.71</v>
      </c>
      <c r="AAL32">
        <v>213.98</v>
      </c>
      <c r="AAM32">
        <v>69.23</v>
      </c>
      <c r="AAN32">
        <v>346.14</v>
      </c>
      <c r="AAO32">
        <v>44.05</v>
      </c>
      <c r="AAP32">
        <v>176.22</v>
      </c>
      <c r="AAQ32">
        <v>50.35</v>
      </c>
      <c r="AAR32">
        <v>62.93</v>
      </c>
      <c r="AAS32">
        <v>679.69</v>
      </c>
      <c r="AAT32">
        <v>31.47</v>
      </c>
      <c r="AAU32">
        <v>3.23</v>
      </c>
      <c r="AAV32">
        <v>1157.99</v>
      </c>
      <c r="AAW32">
        <v>56.64</v>
      </c>
      <c r="AAX32">
        <v>125.87</v>
      </c>
      <c r="AAY32">
        <v>37.76</v>
      </c>
      <c r="AAZ32">
        <v>81.81</v>
      </c>
      <c r="ABA32">
        <v>207.68</v>
      </c>
      <c r="ABB32">
        <v>188.8</v>
      </c>
      <c r="ABC32">
        <v>660.81</v>
      </c>
      <c r="ABD32">
        <v>1057.29</v>
      </c>
      <c r="ABE32">
        <v>201.39</v>
      </c>
      <c r="ABF32">
        <v>232.86</v>
      </c>
      <c r="ABG32">
        <v>125.87</v>
      </c>
      <c r="ABH32">
        <v>232.86</v>
      </c>
      <c r="ABI32">
        <v>50.35</v>
      </c>
      <c r="ABJ32">
        <v>69.23</v>
      </c>
      <c r="ABK32">
        <v>37.76</v>
      </c>
      <c r="ABL32">
        <v>3.23</v>
      </c>
      <c r="ABM32">
        <v>169.92</v>
      </c>
      <c r="ABN32">
        <v>144.75</v>
      </c>
      <c r="ABO32">
        <v>69.23</v>
      </c>
      <c r="ABP32">
        <v>81.81</v>
      </c>
      <c r="ABQ32">
        <v>1938.37</v>
      </c>
      <c r="ABR32">
        <v>100.69</v>
      </c>
      <c r="ABS32">
        <v>4927.74</v>
      </c>
      <c r="ABT32">
        <v>3.23</v>
      </c>
      <c r="ABU32">
        <v>25.17</v>
      </c>
      <c r="ABV32">
        <v>151.04</v>
      </c>
      <c r="ABW32">
        <v>289.5</v>
      </c>
      <c r="ABX32">
        <v>1170.57</v>
      </c>
      <c r="ABY32">
        <v>289.5</v>
      </c>
      <c r="ABZ32">
        <v>213.98</v>
      </c>
      <c r="ACA32">
        <v>339.84</v>
      </c>
      <c r="ACB32">
        <v>176.22</v>
      </c>
      <c r="ACC32">
        <v>151.04</v>
      </c>
      <c r="ACD32">
        <v>182.51</v>
      </c>
      <c r="ACE32">
        <v>144.75</v>
      </c>
      <c r="ACF32">
        <v>3580.95</v>
      </c>
      <c r="ACG32">
        <v>893.66</v>
      </c>
      <c r="ACH32">
        <v>239.15</v>
      </c>
      <c r="ACI32">
        <v>289.5</v>
      </c>
      <c r="ACJ32">
        <v>302.08</v>
      </c>
      <c r="ACK32">
        <v>264.32</v>
      </c>
      <c r="ACL32">
        <v>50.35</v>
      </c>
      <c r="ACM32">
        <v>264.32</v>
      </c>
      <c r="ACN32">
        <v>207.68</v>
      </c>
      <c r="ACO32">
        <v>755.21</v>
      </c>
      <c r="ACP32">
        <v>276.91000000000003</v>
      </c>
      <c r="ACQ32">
        <v>182.51</v>
      </c>
      <c r="ACR32">
        <v>3102.65</v>
      </c>
    </row>
    <row r="33" spans="1:772" x14ac:dyDescent="0.3">
      <c r="A33" t="s">
        <v>15</v>
      </c>
      <c r="B33" t="s">
        <v>2</v>
      </c>
      <c r="C33">
        <v>370.61</v>
      </c>
      <c r="D33">
        <v>21.48</v>
      </c>
      <c r="E33">
        <v>418.95</v>
      </c>
      <c r="F33">
        <v>37.6</v>
      </c>
      <c r="G33">
        <v>1342.78</v>
      </c>
      <c r="H33">
        <v>230.96</v>
      </c>
      <c r="I33">
        <v>1197.76</v>
      </c>
      <c r="J33">
        <v>5312.04</v>
      </c>
      <c r="K33">
        <v>526.37</v>
      </c>
      <c r="L33">
        <v>91.31</v>
      </c>
      <c r="M33">
        <v>64.45</v>
      </c>
      <c r="N33">
        <v>1074.22</v>
      </c>
      <c r="O33">
        <v>42.97</v>
      </c>
      <c r="P33">
        <v>155.76</v>
      </c>
      <c r="Q33">
        <v>91.31</v>
      </c>
      <c r="R33">
        <v>612.30999999999995</v>
      </c>
      <c r="S33">
        <v>37.6</v>
      </c>
      <c r="T33">
        <v>913.09</v>
      </c>
      <c r="U33">
        <v>461.92</v>
      </c>
      <c r="V33">
        <v>649.91</v>
      </c>
      <c r="W33">
        <v>263.18</v>
      </c>
      <c r="X33">
        <v>53.71</v>
      </c>
      <c r="Y33">
        <v>64.45</v>
      </c>
      <c r="Z33">
        <v>435.06</v>
      </c>
      <c r="AA33">
        <v>118.16</v>
      </c>
      <c r="AB33">
        <v>569.34</v>
      </c>
      <c r="AC33">
        <v>392.09</v>
      </c>
      <c r="AD33">
        <v>96.68</v>
      </c>
      <c r="AE33">
        <v>370.61</v>
      </c>
      <c r="AF33">
        <v>30411.29</v>
      </c>
      <c r="AG33">
        <v>107.42</v>
      </c>
      <c r="AH33">
        <v>440.43</v>
      </c>
      <c r="AI33">
        <v>96.68</v>
      </c>
      <c r="AJ33">
        <v>687.5</v>
      </c>
      <c r="AK33">
        <v>91.31</v>
      </c>
      <c r="AL33">
        <v>53.71</v>
      </c>
      <c r="AM33">
        <v>214.84</v>
      </c>
      <c r="AN33">
        <v>102.05</v>
      </c>
      <c r="AO33">
        <v>692.87</v>
      </c>
      <c r="AP33">
        <v>53.71</v>
      </c>
      <c r="AQ33">
        <v>139.65</v>
      </c>
      <c r="AR33">
        <v>53.71</v>
      </c>
      <c r="AS33">
        <v>32.229999999999997</v>
      </c>
      <c r="AT33">
        <v>32.229999999999997</v>
      </c>
      <c r="AU33">
        <v>64.45</v>
      </c>
      <c r="AV33">
        <v>1144.05</v>
      </c>
      <c r="AW33">
        <v>268.56</v>
      </c>
      <c r="AX33">
        <v>2121.59</v>
      </c>
      <c r="AY33">
        <v>21.48</v>
      </c>
      <c r="AZ33">
        <v>91.31</v>
      </c>
      <c r="BA33">
        <v>209.47</v>
      </c>
      <c r="BB33">
        <v>327.64</v>
      </c>
      <c r="BC33">
        <v>37.6</v>
      </c>
      <c r="BD33">
        <v>64.45</v>
      </c>
      <c r="BE33">
        <v>300.77999999999997</v>
      </c>
      <c r="BF33">
        <v>569.34</v>
      </c>
      <c r="BG33">
        <v>123.54</v>
      </c>
      <c r="BH33">
        <v>64.45</v>
      </c>
      <c r="BI33">
        <v>64.45</v>
      </c>
      <c r="BJ33">
        <v>37.6</v>
      </c>
      <c r="BK33">
        <v>338.38</v>
      </c>
      <c r="BL33">
        <v>252.44</v>
      </c>
      <c r="BM33">
        <v>64.45</v>
      </c>
      <c r="BN33">
        <v>118.16</v>
      </c>
      <c r="BO33">
        <v>32.229999999999997</v>
      </c>
      <c r="BP33">
        <v>123.54</v>
      </c>
      <c r="BQ33">
        <v>10.74</v>
      </c>
      <c r="BR33">
        <v>187.99</v>
      </c>
      <c r="BS33">
        <v>64.45</v>
      </c>
      <c r="BT33">
        <v>6090.85</v>
      </c>
      <c r="BU33">
        <v>1095.71</v>
      </c>
      <c r="BV33">
        <v>112.79</v>
      </c>
      <c r="BW33">
        <v>209.47</v>
      </c>
      <c r="BX33">
        <v>2798.35</v>
      </c>
      <c r="BY33">
        <v>730.47</v>
      </c>
      <c r="BZ33">
        <v>1004.4</v>
      </c>
      <c r="CA33">
        <v>515.63</v>
      </c>
      <c r="CB33">
        <v>698.25</v>
      </c>
      <c r="CC33">
        <v>53.71</v>
      </c>
      <c r="CD33">
        <v>75.2</v>
      </c>
      <c r="CE33">
        <v>295.41000000000003</v>
      </c>
      <c r="CF33">
        <v>311.52</v>
      </c>
      <c r="CG33">
        <v>118.16</v>
      </c>
      <c r="CH33">
        <v>161.13</v>
      </c>
      <c r="CI33">
        <v>26.86</v>
      </c>
      <c r="CJ33">
        <v>48.34</v>
      </c>
      <c r="CK33">
        <v>107.42</v>
      </c>
      <c r="CL33">
        <v>220.22</v>
      </c>
      <c r="CM33">
        <v>1654.31</v>
      </c>
      <c r="CN33">
        <v>257.81</v>
      </c>
      <c r="CO33">
        <v>96.68</v>
      </c>
      <c r="CP33">
        <v>10.74</v>
      </c>
      <c r="CQ33">
        <v>102.05</v>
      </c>
      <c r="CR33">
        <v>145.02000000000001</v>
      </c>
      <c r="CS33">
        <v>1.93</v>
      </c>
      <c r="CT33">
        <v>69.819999999999993</v>
      </c>
      <c r="CU33">
        <v>263.18</v>
      </c>
      <c r="CV33">
        <v>80.569999999999993</v>
      </c>
      <c r="CW33">
        <v>1122.56</v>
      </c>
      <c r="CX33">
        <v>102.05</v>
      </c>
      <c r="CY33">
        <v>268.56</v>
      </c>
      <c r="CZ33">
        <v>64.45</v>
      </c>
      <c r="DA33">
        <v>42.97</v>
      </c>
      <c r="DB33">
        <v>139.65</v>
      </c>
      <c r="DC33">
        <v>187.99</v>
      </c>
      <c r="DD33">
        <v>75.2</v>
      </c>
      <c r="DE33">
        <v>42.97</v>
      </c>
      <c r="DF33">
        <v>483.4</v>
      </c>
      <c r="DG33">
        <v>21.48</v>
      </c>
      <c r="DH33">
        <v>3222.67</v>
      </c>
      <c r="DI33">
        <v>42.97</v>
      </c>
      <c r="DJ33">
        <v>69.819999999999993</v>
      </c>
      <c r="DK33">
        <v>510.26</v>
      </c>
      <c r="DL33">
        <v>596.19000000000005</v>
      </c>
      <c r="DM33">
        <v>220.22</v>
      </c>
      <c r="DN33">
        <v>91.31</v>
      </c>
      <c r="DO33">
        <v>64.45</v>
      </c>
      <c r="DP33">
        <v>32.229999999999997</v>
      </c>
      <c r="DQ33">
        <v>3287.13</v>
      </c>
      <c r="DR33">
        <v>26.86</v>
      </c>
      <c r="DS33">
        <v>59.08</v>
      </c>
      <c r="DT33">
        <v>107.42</v>
      </c>
      <c r="DU33">
        <v>5951.2</v>
      </c>
      <c r="DV33">
        <v>69.819999999999993</v>
      </c>
      <c r="DW33">
        <v>42.97</v>
      </c>
      <c r="DX33">
        <v>128.91</v>
      </c>
      <c r="DY33">
        <v>155.76</v>
      </c>
      <c r="DZ33">
        <v>257.81</v>
      </c>
      <c r="EA33">
        <v>150.38999999999999</v>
      </c>
      <c r="EB33">
        <v>85.94</v>
      </c>
      <c r="EC33">
        <v>102.05</v>
      </c>
      <c r="ED33">
        <v>32.229999999999997</v>
      </c>
      <c r="EE33">
        <v>1.93</v>
      </c>
      <c r="EF33">
        <v>918.46</v>
      </c>
      <c r="EG33">
        <v>1423.35</v>
      </c>
      <c r="EH33">
        <v>69.819999999999993</v>
      </c>
      <c r="EI33">
        <v>48.34</v>
      </c>
      <c r="EJ33">
        <v>295.41000000000003</v>
      </c>
      <c r="EK33">
        <v>187.99</v>
      </c>
      <c r="EL33">
        <v>2266.61</v>
      </c>
      <c r="EM33">
        <v>204.1</v>
      </c>
      <c r="EN33">
        <v>209.47</v>
      </c>
      <c r="EO33">
        <v>150.38999999999999</v>
      </c>
      <c r="EP33">
        <v>32.229999999999997</v>
      </c>
      <c r="EQ33">
        <v>3528.83</v>
      </c>
      <c r="ER33">
        <v>21.48</v>
      </c>
      <c r="ES33">
        <v>42.97</v>
      </c>
      <c r="ET33">
        <v>10.74</v>
      </c>
      <c r="EU33">
        <v>338.38</v>
      </c>
      <c r="EV33">
        <v>26.86</v>
      </c>
      <c r="EW33">
        <v>48.34</v>
      </c>
      <c r="EX33">
        <v>263.18</v>
      </c>
      <c r="EY33">
        <v>134.28</v>
      </c>
      <c r="EZ33">
        <v>75.2</v>
      </c>
      <c r="FA33">
        <v>118.16</v>
      </c>
      <c r="FB33">
        <v>26.86</v>
      </c>
      <c r="FC33">
        <v>134.28</v>
      </c>
      <c r="FD33">
        <v>48.34</v>
      </c>
      <c r="FE33">
        <v>440.43</v>
      </c>
      <c r="FF33">
        <v>37.6</v>
      </c>
      <c r="FG33">
        <v>1229.99</v>
      </c>
      <c r="FH33">
        <v>1589.85</v>
      </c>
      <c r="FI33">
        <v>64.45</v>
      </c>
      <c r="FJ33">
        <v>660.65</v>
      </c>
      <c r="FK33">
        <v>316.89999999999998</v>
      </c>
      <c r="FL33">
        <v>107.42</v>
      </c>
      <c r="FM33">
        <v>343.75</v>
      </c>
      <c r="FN33">
        <v>145.02000000000001</v>
      </c>
      <c r="FO33">
        <v>161.13</v>
      </c>
      <c r="FP33">
        <v>32.229999999999997</v>
      </c>
      <c r="FQ33">
        <v>53.71</v>
      </c>
      <c r="FR33">
        <v>10.74</v>
      </c>
      <c r="FS33">
        <v>1.93</v>
      </c>
      <c r="FT33">
        <v>96.68</v>
      </c>
      <c r="FU33">
        <v>1842.29</v>
      </c>
      <c r="FV33">
        <v>3249.53</v>
      </c>
      <c r="FW33">
        <v>32.229999999999997</v>
      </c>
      <c r="FX33">
        <v>128.91</v>
      </c>
      <c r="FY33">
        <v>48.34</v>
      </c>
      <c r="FZ33">
        <v>6058.62</v>
      </c>
      <c r="GA33">
        <v>864.75</v>
      </c>
      <c r="GB33">
        <v>48.34</v>
      </c>
      <c r="GC33">
        <v>37.6</v>
      </c>
      <c r="GD33">
        <v>945.32</v>
      </c>
      <c r="GE33">
        <v>155.76</v>
      </c>
      <c r="GF33">
        <v>247.07</v>
      </c>
      <c r="GG33">
        <v>4501</v>
      </c>
      <c r="GH33">
        <v>2701.67</v>
      </c>
      <c r="GI33">
        <v>14437.57</v>
      </c>
      <c r="GJ33">
        <v>375.98</v>
      </c>
      <c r="GK33">
        <v>36996.28</v>
      </c>
      <c r="GL33">
        <v>290.04000000000002</v>
      </c>
      <c r="GM33">
        <v>102.05</v>
      </c>
      <c r="GN33">
        <v>48.34</v>
      </c>
      <c r="GO33">
        <v>950.69</v>
      </c>
      <c r="GP33">
        <v>128.91</v>
      </c>
      <c r="GQ33">
        <v>42.97</v>
      </c>
      <c r="GR33">
        <v>794.93</v>
      </c>
      <c r="GS33">
        <v>316.89999999999998</v>
      </c>
      <c r="GT33">
        <v>456.55</v>
      </c>
      <c r="GU33">
        <v>48.34</v>
      </c>
      <c r="GV33">
        <v>48.34</v>
      </c>
      <c r="GW33">
        <v>1.93</v>
      </c>
      <c r="GX33">
        <v>327.64</v>
      </c>
      <c r="GY33">
        <v>42.97</v>
      </c>
      <c r="GZ33">
        <v>187.99</v>
      </c>
      <c r="HA33">
        <v>128.91</v>
      </c>
      <c r="HB33">
        <v>585.45000000000005</v>
      </c>
      <c r="HC33">
        <v>96.68</v>
      </c>
      <c r="HD33">
        <v>730.47</v>
      </c>
      <c r="HE33">
        <v>53.71</v>
      </c>
      <c r="HF33">
        <v>1826.18</v>
      </c>
      <c r="HG33">
        <v>198.73</v>
      </c>
      <c r="HH33">
        <v>306.14999999999998</v>
      </c>
      <c r="HI33">
        <v>32.229999999999997</v>
      </c>
      <c r="HJ33">
        <v>230.96</v>
      </c>
      <c r="HK33">
        <v>1611.34</v>
      </c>
      <c r="HL33">
        <v>633.79</v>
      </c>
      <c r="HM33">
        <v>75.2</v>
      </c>
      <c r="HN33">
        <v>499.51</v>
      </c>
      <c r="HO33">
        <v>48.34</v>
      </c>
      <c r="HP33">
        <v>42.97</v>
      </c>
      <c r="HQ33">
        <v>4952.17</v>
      </c>
      <c r="HR33">
        <v>295.41000000000003</v>
      </c>
      <c r="HS33">
        <v>118.16</v>
      </c>
      <c r="HT33">
        <v>32.229999999999997</v>
      </c>
      <c r="HU33">
        <v>273.93</v>
      </c>
      <c r="HV33">
        <v>37.6</v>
      </c>
      <c r="HW33">
        <v>1616.71</v>
      </c>
      <c r="HX33">
        <v>37.6</v>
      </c>
      <c r="HY33">
        <v>1.93</v>
      </c>
      <c r="HZ33">
        <v>139.65</v>
      </c>
      <c r="IA33">
        <v>193.36</v>
      </c>
      <c r="IB33">
        <v>96.68</v>
      </c>
      <c r="IC33">
        <v>53.71</v>
      </c>
      <c r="ID33">
        <v>102.05</v>
      </c>
      <c r="IE33">
        <v>10.74</v>
      </c>
      <c r="IF33">
        <v>612.30999999999995</v>
      </c>
      <c r="IG33">
        <v>59.08</v>
      </c>
      <c r="IH33">
        <v>1.93</v>
      </c>
      <c r="II33">
        <v>257.81</v>
      </c>
      <c r="IJ33">
        <v>333.01</v>
      </c>
      <c r="IK33">
        <v>32.229999999999997</v>
      </c>
      <c r="IL33">
        <v>2669.45</v>
      </c>
      <c r="IM33">
        <v>327.64</v>
      </c>
      <c r="IN33">
        <v>182.62</v>
      </c>
      <c r="IO33">
        <v>644.53</v>
      </c>
      <c r="IP33">
        <v>53.71</v>
      </c>
      <c r="IQ33">
        <v>53.71</v>
      </c>
      <c r="IR33">
        <v>42.97</v>
      </c>
      <c r="IS33">
        <v>32.229999999999997</v>
      </c>
      <c r="IT33">
        <v>26.86</v>
      </c>
      <c r="IU33">
        <v>273.93</v>
      </c>
      <c r="IV33">
        <v>381.35</v>
      </c>
      <c r="IW33">
        <v>155.76</v>
      </c>
      <c r="IX33">
        <v>1310.55</v>
      </c>
      <c r="IY33">
        <v>187.99</v>
      </c>
      <c r="IZ33">
        <v>69.819999999999993</v>
      </c>
      <c r="JA33">
        <v>247.07</v>
      </c>
      <c r="JB33">
        <v>381.35</v>
      </c>
      <c r="JC33">
        <v>102.05</v>
      </c>
      <c r="JD33">
        <v>451.17</v>
      </c>
      <c r="JE33">
        <v>26.86</v>
      </c>
      <c r="JF33">
        <v>48.34</v>
      </c>
      <c r="JG33">
        <v>166.5</v>
      </c>
      <c r="JH33">
        <v>413.58</v>
      </c>
      <c r="JI33">
        <v>698.25</v>
      </c>
      <c r="JJ33">
        <v>354.49</v>
      </c>
      <c r="JK33">
        <v>75.2</v>
      </c>
      <c r="JL33">
        <v>182.62</v>
      </c>
      <c r="JM33">
        <v>42.97</v>
      </c>
      <c r="JN33">
        <v>26.86</v>
      </c>
      <c r="JO33">
        <v>177.25</v>
      </c>
      <c r="JP33">
        <v>429.69</v>
      </c>
      <c r="JQ33">
        <v>2943.37</v>
      </c>
      <c r="JR33">
        <v>21.48</v>
      </c>
      <c r="JS33">
        <v>26.86</v>
      </c>
      <c r="JT33">
        <v>370.61</v>
      </c>
      <c r="JU33">
        <v>75.2</v>
      </c>
      <c r="JV33">
        <v>252.44</v>
      </c>
      <c r="JW33">
        <v>80.569999999999993</v>
      </c>
      <c r="JX33">
        <v>69.819999999999993</v>
      </c>
      <c r="JY33">
        <v>375.98</v>
      </c>
      <c r="JZ33">
        <v>16.11</v>
      </c>
      <c r="KA33">
        <v>75.2</v>
      </c>
      <c r="KB33">
        <v>53.71</v>
      </c>
      <c r="KC33">
        <v>107.42</v>
      </c>
      <c r="KD33">
        <v>42.97</v>
      </c>
      <c r="KE33">
        <v>75.2</v>
      </c>
      <c r="KF33">
        <v>166.5</v>
      </c>
      <c r="KG33">
        <v>612.30999999999995</v>
      </c>
      <c r="KH33">
        <v>42.97</v>
      </c>
      <c r="KI33">
        <v>204.1</v>
      </c>
      <c r="KJ33">
        <v>220.22</v>
      </c>
      <c r="KK33">
        <v>247.07</v>
      </c>
      <c r="KL33">
        <v>69.819999999999993</v>
      </c>
      <c r="KM33">
        <v>42.97</v>
      </c>
      <c r="KN33">
        <v>300.77999999999997</v>
      </c>
      <c r="KO33">
        <v>161.13</v>
      </c>
      <c r="KP33">
        <v>48.34</v>
      </c>
      <c r="KQ33">
        <v>2792.98</v>
      </c>
      <c r="KR33">
        <v>483.4</v>
      </c>
      <c r="KS33">
        <v>811.04</v>
      </c>
      <c r="KT33">
        <v>4979.03</v>
      </c>
      <c r="KU33">
        <v>28778.46</v>
      </c>
      <c r="KV33">
        <v>3996.11</v>
      </c>
      <c r="KW33">
        <v>316.89999999999998</v>
      </c>
      <c r="KX33">
        <v>193.36</v>
      </c>
      <c r="KY33">
        <v>75.2</v>
      </c>
      <c r="KZ33">
        <v>59.08</v>
      </c>
      <c r="LA33">
        <v>988.29</v>
      </c>
      <c r="LB33">
        <v>950.69</v>
      </c>
      <c r="LC33">
        <v>2626.48</v>
      </c>
      <c r="LD33">
        <v>21.48</v>
      </c>
      <c r="LE33">
        <v>499.51</v>
      </c>
      <c r="LF33">
        <v>2921.89</v>
      </c>
      <c r="LG33">
        <v>2567.4</v>
      </c>
      <c r="LH33">
        <v>1262.21</v>
      </c>
      <c r="LI33">
        <v>8991.26</v>
      </c>
      <c r="LJ33">
        <v>746.59</v>
      </c>
      <c r="LK33">
        <v>590.82000000000005</v>
      </c>
      <c r="LL33">
        <v>145.02000000000001</v>
      </c>
      <c r="LM33">
        <v>37.6</v>
      </c>
      <c r="LN33">
        <v>102.05</v>
      </c>
      <c r="LO33">
        <v>182.62</v>
      </c>
      <c r="LP33">
        <v>1665.05</v>
      </c>
      <c r="LQ33">
        <v>112.79</v>
      </c>
      <c r="LR33">
        <v>161.13</v>
      </c>
      <c r="LS33">
        <v>59.08</v>
      </c>
      <c r="LT33">
        <v>59.08</v>
      </c>
      <c r="LU33">
        <v>177.25</v>
      </c>
      <c r="LV33">
        <v>166.5</v>
      </c>
      <c r="LW33">
        <v>1369.64</v>
      </c>
      <c r="LX33">
        <v>3888.69</v>
      </c>
      <c r="LY33">
        <v>988.29</v>
      </c>
      <c r="LZ33">
        <v>4893.09</v>
      </c>
      <c r="MA33">
        <v>343.75</v>
      </c>
      <c r="MB33">
        <v>5467.8</v>
      </c>
      <c r="MC33">
        <v>1084.97</v>
      </c>
      <c r="MD33">
        <v>537.11</v>
      </c>
      <c r="ME33">
        <v>311.52</v>
      </c>
      <c r="MF33">
        <v>1009.77</v>
      </c>
      <c r="MG33">
        <v>4721.21</v>
      </c>
      <c r="MH33">
        <v>1272.96</v>
      </c>
      <c r="MI33">
        <v>75.2</v>
      </c>
      <c r="MJ33">
        <v>327.64</v>
      </c>
      <c r="MK33">
        <v>16.11</v>
      </c>
      <c r="ML33">
        <v>837.89</v>
      </c>
      <c r="MM33">
        <v>854.01</v>
      </c>
      <c r="MN33">
        <v>365.24</v>
      </c>
      <c r="MO33">
        <v>32.229999999999997</v>
      </c>
      <c r="MP33">
        <v>75.2</v>
      </c>
      <c r="MQ33">
        <v>145.02000000000001</v>
      </c>
      <c r="MR33">
        <v>75.2</v>
      </c>
      <c r="MS33">
        <v>569.34</v>
      </c>
      <c r="MT33">
        <v>2997.09</v>
      </c>
      <c r="MU33">
        <v>26.86</v>
      </c>
      <c r="MV33">
        <v>59.08</v>
      </c>
      <c r="MW33">
        <v>42.97</v>
      </c>
      <c r="MX33">
        <v>123.54</v>
      </c>
      <c r="MY33">
        <v>37.6</v>
      </c>
      <c r="MZ33">
        <v>413.58</v>
      </c>
      <c r="NA33">
        <v>53.71</v>
      </c>
      <c r="NB33">
        <v>424.32</v>
      </c>
      <c r="NC33">
        <v>6047.88</v>
      </c>
      <c r="ND33">
        <v>1090.3399999999999</v>
      </c>
      <c r="NE33">
        <v>553.23</v>
      </c>
      <c r="NF33">
        <v>48.34</v>
      </c>
      <c r="NG33">
        <v>53.71</v>
      </c>
      <c r="NH33">
        <v>80.569999999999993</v>
      </c>
      <c r="NI33">
        <v>7632.36</v>
      </c>
      <c r="NJ33">
        <v>370.61</v>
      </c>
      <c r="NK33">
        <v>375.98</v>
      </c>
      <c r="NL33">
        <v>268.56</v>
      </c>
      <c r="NM33">
        <v>1933.6</v>
      </c>
      <c r="NN33">
        <v>300.77999999999997</v>
      </c>
      <c r="NO33">
        <v>96.68</v>
      </c>
      <c r="NP33">
        <v>21.48</v>
      </c>
      <c r="NQ33">
        <v>5521.51</v>
      </c>
      <c r="NR33">
        <v>247.07</v>
      </c>
      <c r="NS33">
        <v>854.01</v>
      </c>
      <c r="NT33">
        <v>370.61</v>
      </c>
      <c r="NU33">
        <v>907.72</v>
      </c>
      <c r="NV33">
        <v>413.58</v>
      </c>
      <c r="NW33">
        <v>241.7</v>
      </c>
      <c r="NX33">
        <v>220.22</v>
      </c>
      <c r="NY33">
        <v>107.42</v>
      </c>
      <c r="NZ33">
        <v>902.35</v>
      </c>
      <c r="OA33">
        <v>128.91</v>
      </c>
      <c r="OB33">
        <v>698.25</v>
      </c>
      <c r="OC33">
        <v>2954.12</v>
      </c>
      <c r="OD33">
        <v>354.49</v>
      </c>
      <c r="OE33">
        <v>687.5</v>
      </c>
      <c r="OF33">
        <v>53.71</v>
      </c>
      <c r="OG33">
        <v>241.7</v>
      </c>
      <c r="OH33">
        <v>171.88</v>
      </c>
      <c r="OI33">
        <v>284.67</v>
      </c>
      <c r="OJ33">
        <v>37.6</v>
      </c>
      <c r="OK33">
        <v>1079.5999999999999</v>
      </c>
      <c r="OL33">
        <v>859.38</v>
      </c>
      <c r="OM33">
        <v>977.54</v>
      </c>
      <c r="ON33">
        <v>300.77999999999997</v>
      </c>
      <c r="OO33">
        <v>558.6</v>
      </c>
      <c r="OP33">
        <v>166.5</v>
      </c>
      <c r="OQ33">
        <v>91.31</v>
      </c>
      <c r="OR33">
        <v>32.229999999999997</v>
      </c>
      <c r="OS33">
        <v>580.08000000000004</v>
      </c>
      <c r="OT33">
        <v>333.01</v>
      </c>
      <c r="OU33">
        <v>273.93</v>
      </c>
      <c r="OV33">
        <v>306.14999999999998</v>
      </c>
      <c r="OW33">
        <v>32.229999999999997</v>
      </c>
      <c r="OX33">
        <v>26.86</v>
      </c>
      <c r="OY33">
        <v>145.02000000000001</v>
      </c>
      <c r="OZ33">
        <v>69.819999999999993</v>
      </c>
      <c r="PA33">
        <v>21.48</v>
      </c>
      <c r="PB33">
        <v>209.47</v>
      </c>
      <c r="PC33">
        <v>16.11</v>
      </c>
      <c r="PD33">
        <v>53.71</v>
      </c>
      <c r="PE33">
        <v>69.819999999999993</v>
      </c>
      <c r="PF33">
        <v>327.64</v>
      </c>
      <c r="PG33">
        <v>85.94</v>
      </c>
      <c r="PH33">
        <v>263.18</v>
      </c>
      <c r="PI33">
        <v>64.45</v>
      </c>
      <c r="PJ33">
        <v>1546.88</v>
      </c>
      <c r="PK33">
        <v>2121.59</v>
      </c>
      <c r="PL33">
        <v>134.28</v>
      </c>
      <c r="PM33">
        <v>6219.76</v>
      </c>
      <c r="PN33">
        <v>526.37</v>
      </c>
      <c r="PO33">
        <v>166.5</v>
      </c>
      <c r="PP33">
        <v>2986.34</v>
      </c>
      <c r="PQ33">
        <v>134.28</v>
      </c>
      <c r="PR33">
        <v>187.99</v>
      </c>
      <c r="PS33">
        <v>37.6</v>
      </c>
      <c r="PT33">
        <v>102.05</v>
      </c>
      <c r="PU33">
        <v>580.08000000000004</v>
      </c>
      <c r="PV33">
        <v>155.76</v>
      </c>
      <c r="PW33">
        <v>155.76</v>
      </c>
      <c r="PX33">
        <v>21.48</v>
      </c>
      <c r="PY33">
        <v>816.41</v>
      </c>
      <c r="PZ33">
        <v>59.08</v>
      </c>
      <c r="QA33">
        <v>273.93</v>
      </c>
      <c r="QB33">
        <v>7224.16</v>
      </c>
      <c r="QC33">
        <v>96.68</v>
      </c>
      <c r="QD33">
        <v>37.6</v>
      </c>
      <c r="QE33">
        <v>128.91</v>
      </c>
      <c r="QF33">
        <v>21.48</v>
      </c>
      <c r="QG33">
        <v>128.91</v>
      </c>
      <c r="QH33">
        <v>37.6</v>
      </c>
      <c r="QI33">
        <v>16.11</v>
      </c>
      <c r="QJ33">
        <v>118.16</v>
      </c>
      <c r="QK33">
        <v>53.71</v>
      </c>
      <c r="QL33">
        <v>306.14999999999998</v>
      </c>
      <c r="QM33">
        <v>461.92</v>
      </c>
      <c r="QN33">
        <v>467.29</v>
      </c>
      <c r="QO33">
        <v>42.97</v>
      </c>
      <c r="QP33">
        <v>177.25</v>
      </c>
      <c r="QQ33">
        <v>155.76</v>
      </c>
      <c r="QR33">
        <v>80.569999999999993</v>
      </c>
      <c r="QS33">
        <v>429.69</v>
      </c>
      <c r="QT33">
        <v>698.25</v>
      </c>
      <c r="QU33">
        <v>48.34</v>
      </c>
      <c r="QV33">
        <v>91.31</v>
      </c>
      <c r="QW33">
        <v>80.569999999999993</v>
      </c>
      <c r="QX33">
        <v>182.62</v>
      </c>
      <c r="QY33">
        <v>80.569999999999993</v>
      </c>
      <c r="QZ33">
        <v>53.71</v>
      </c>
      <c r="RA33">
        <v>220.22</v>
      </c>
      <c r="RB33">
        <v>41953.82</v>
      </c>
      <c r="RC33">
        <v>32.229999999999997</v>
      </c>
      <c r="RD33">
        <v>4017.6</v>
      </c>
      <c r="RE33">
        <v>32.229999999999997</v>
      </c>
      <c r="RF33">
        <v>182.62</v>
      </c>
      <c r="RG33">
        <v>161.13</v>
      </c>
      <c r="RH33">
        <v>193.36</v>
      </c>
      <c r="RI33">
        <v>26.86</v>
      </c>
      <c r="RJ33">
        <v>107.42</v>
      </c>
      <c r="RK33">
        <v>26.86</v>
      </c>
      <c r="RL33">
        <v>139.65</v>
      </c>
      <c r="RM33">
        <v>80.569999999999993</v>
      </c>
      <c r="RN33">
        <v>193.36</v>
      </c>
      <c r="RO33">
        <v>870.12</v>
      </c>
      <c r="RP33">
        <v>166.5</v>
      </c>
      <c r="RQ33">
        <v>80.569999999999993</v>
      </c>
      <c r="RR33">
        <v>16.11</v>
      </c>
      <c r="RS33">
        <v>537.11</v>
      </c>
      <c r="RT33">
        <v>504.89</v>
      </c>
      <c r="RU33">
        <v>26.86</v>
      </c>
      <c r="RV33">
        <v>75.2</v>
      </c>
      <c r="RW33">
        <v>123.54</v>
      </c>
      <c r="RX33">
        <v>333.01</v>
      </c>
      <c r="RY33">
        <v>1154.79</v>
      </c>
      <c r="RZ33">
        <v>53.71</v>
      </c>
      <c r="SA33">
        <v>150.38999999999999</v>
      </c>
      <c r="SB33">
        <v>102.05</v>
      </c>
      <c r="SC33">
        <v>150.38999999999999</v>
      </c>
      <c r="SD33">
        <v>1009.77</v>
      </c>
      <c r="SE33">
        <v>692.87</v>
      </c>
      <c r="SF33">
        <v>580.08000000000004</v>
      </c>
      <c r="SG33">
        <v>5790.07</v>
      </c>
      <c r="SH33">
        <v>118.16</v>
      </c>
      <c r="SI33">
        <v>16.11</v>
      </c>
      <c r="SJ33">
        <v>214.84</v>
      </c>
      <c r="SK33">
        <v>472.66</v>
      </c>
      <c r="SL33">
        <v>386.72</v>
      </c>
      <c r="SM33">
        <v>85.94</v>
      </c>
      <c r="SN33">
        <v>268.56</v>
      </c>
      <c r="SO33">
        <v>10.74</v>
      </c>
      <c r="SP33">
        <v>187.99</v>
      </c>
      <c r="SQ33">
        <v>886.23</v>
      </c>
      <c r="SR33">
        <v>386.72</v>
      </c>
      <c r="SS33">
        <v>628.41999999999996</v>
      </c>
      <c r="ST33">
        <v>784.18</v>
      </c>
      <c r="SU33">
        <v>1353.52</v>
      </c>
      <c r="SV33">
        <v>284.67</v>
      </c>
      <c r="SW33">
        <v>778.81</v>
      </c>
      <c r="SX33">
        <v>257.81</v>
      </c>
      <c r="SY33">
        <v>123.54</v>
      </c>
      <c r="SZ33">
        <v>1.93</v>
      </c>
      <c r="TA33">
        <v>59.08</v>
      </c>
      <c r="TB33">
        <v>988.29</v>
      </c>
      <c r="TC33">
        <v>268.56</v>
      </c>
      <c r="TD33">
        <v>123.54</v>
      </c>
      <c r="TE33">
        <v>483.4</v>
      </c>
      <c r="TF33">
        <v>220.22</v>
      </c>
      <c r="TG33">
        <v>569.34</v>
      </c>
      <c r="TH33">
        <v>128.91</v>
      </c>
      <c r="TI33">
        <v>128.91</v>
      </c>
      <c r="TJ33">
        <v>91.31</v>
      </c>
      <c r="TK33">
        <v>107.42</v>
      </c>
      <c r="TL33">
        <v>80.569999999999993</v>
      </c>
      <c r="TM33">
        <v>42.97</v>
      </c>
      <c r="TN33">
        <v>1052.74</v>
      </c>
      <c r="TO33">
        <v>402.83</v>
      </c>
      <c r="TP33">
        <v>295.41000000000003</v>
      </c>
      <c r="TQ33">
        <v>445.8</v>
      </c>
      <c r="TR33">
        <v>32.229999999999997</v>
      </c>
      <c r="TS33">
        <v>526.37</v>
      </c>
      <c r="TT33">
        <v>85.94</v>
      </c>
      <c r="TU33">
        <v>96.68</v>
      </c>
      <c r="TV33">
        <v>214.84</v>
      </c>
      <c r="TW33">
        <v>273.93</v>
      </c>
      <c r="TX33">
        <v>155.76</v>
      </c>
      <c r="TY33">
        <v>102.05</v>
      </c>
      <c r="TZ33">
        <v>112.79</v>
      </c>
      <c r="UA33">
        <v>139.65</v>
      </c>
      <c r="UB33">
        <v>375.98</v>
      </c>
      <c r="UC33">
        <v>4447.29</v>
      </c>
      <c r="UD33">
        <v>26.86</v>
      </c>
      <c r="UE33">
        <v>53.71</v>
      </c>
      <c r="UF33">
        <v>1181.6500000000001</v>
      </c>
      <c r="UG33">
        <v>85.94</v>
      </c>
      <c r="UH33">
        <v>16.11</v>
      </c>
      <c r="UI33">
        <v>53.71</v>
      </c>
      <c r="UJ33">
        <v>48.34</v>
      </c>
      <c r="UK33">
        <v>37.6</v>
      </c>
      <c r="UL33">
        <v>26.86</v>
      </c>
      <c r="UM33">
        <v>16.11</v>
      </c>
      <c r="UN33">
        <v>107.42</v>
      </c>
      <c r="UO33">
        <v>96.68</v>
      </c>
      <c r="UP33">
        <v>21.48</v>
      </c>
      <c r="UQ33">
        <v>48.34</v>
      </c>
      <c r="UR33">
        <v>16.11</v>
      </c>
      <c r="US33">
        <v>128.91</v>
      </c>
      <c r="UT33">
        <v>284.67</v>
      </c>
      <c r="UU33">
        <v>381.35</v>
      </c>
      <c r="UV33">
        <v>590.82000000000005</v>
      </c>
      <c r="UW33">
        <v>402.83</v>
      </c>
      <c r="UX33">
        <v>37.6</v>
      </c>
      <c r="UY33">
        <v>537.11</v>
      </c>
      <c r="UZ33">
        <v>155.76</v>
      </c>
      <c r="VA33">
        <v>3894.06</v>
      </c>
      <c r="VB33">
        <v>784.18</v>
      </c>
      <c r="VC33">
        <v>187.99</v>
      </c>
      <c r="VD33">
        <v>80.569999999999993</v>
      </c>
      <c r="VE33">
        <v>96.68</v>
      </c>
      <c r="VF33">
        <v>279.3</v>
      </c>
      <c r="VG33">
        <v>26.86</v>
      </c>
      <c r="VH33">
        <v>64.45</v>
      </c>
      <c r="VI33">
        <v>37.6</v>
      </c>
      <c r="VJ33">
        <v>48.34</v>
      </c>
      <c r="VK33">
        <v>306.14999999999998</v>
      </c>
      <c r="VL33">
        <v>617.67999999999995</v>
      </c>
      <c r="VM33">
        <v>671.39</v>
      </c>
      <c r="VN33">
        <v>413.58</v>
      </c>
      <c r="VO33">
        <v>10.74</v>
      </c>
      <c r="VP33">
        <v>10.74</v>
      </c>
      <c r="VQ33">
        <v>590.82000000000005</v>
      </c>
      <c r="VR33">
        <v>252.44</v>
      </c>
      <c r="VS33">
        <v>494.14</v>
      </c>
      <c r="VT33">
        <v>32.229999999999997</v>
      </c>
      <c r="VU33">
        <v>80.569999999999993</v>
      </c>
      <c r="VV33">
        <v>16.11</v>
      </c>
      <c r="VW33">
        <v>161.13</v>
      </c>
      <c r="VX33">
        <v>80.569999999999993</v>
      </c>
      <c r="VY33">
        <v>21.48</v>
      </c>
      <c r="VZ33">
        <v>7272.5</v>
      </c>
      <c r="WA33">
        <v>4619.16</v>
      </c>
      <c r="WB33">
        <v>316.89999999999998</v>
      </c>
      <c r="WC33">
        <v>134.28</v>
      </c>
      <c r="WD33">
        <v>53.71</v>
      </c>
      <c r="WE33">
        <v>3174.33</v>
      </c>
      <c r="WF33">
        <v>284.67</v>
      </c>
      <c r="WG33">
        <v>295.41000000000003</v>
      </c>
      <c r="WH33">
        <v>5773.95</v>
      </c>
      <c r="WI33">
        <v>9313.52</v>
      </c>
      <c r="WJ33">
        <v>988.29</v>
      </c>
      <c r="WK33">
        <v>827.15</v>
      </c>
      <c r="WL33">
        <v>349.12</v>
      </c>
      <c r="WM33">
        <v>80.569999999999993</v>
      </c>
      <c r="WN33">
        <v>139.65</v>
      </c>
      <c r="WO33">
        <v>1.93</v>
      </c>
      <c r="WP33">
        <v>451.17</v>
      </c>
      <c r="WQ33">
        <v>365.24</v>
      </c>
      <c r="WR33">
        <v>719.73</v>
      </c>
      <c r="WS33">
        <v>42.97</v>
      </c>
      <c r="WT33">
        <v>247.07</v>
      </c>
      <c r="WU33">
        <v>316.89999999999998</v>
      </c>
      <c r="WV33">
        <v>467.29</v>
      </c>
      <c r="WW33">
        <v>75.2</v>
      </c>
      <c r="WX33">
        <v>128.91</v>
      </c>
      <c r="WY33">
        <v>134.28</v>
      </c>
      <c r="WZ33">
        <v>59.08</v>
      </c>
      <c r="XA33">
        <v>16.11</v>
      </c>
      <c r="XB33">
        <v>950.69</v>
      </c>
      <c r="XC33">
        <v>32.229999999999997</v>
      </c>
      <c r="XD33">
        <v>290.04000000000002</v>
      </c>
      <c r="XE33">
        <v>1047.3699999999999</v>
      </c>
      <c r="XF33">
        <v>295.41000000000003</v>
      </c>
      <c r="XG33">
        <v>365.24</v>
      </c>
      <c r="XH33">
        <v>91.31</v>
      </c>
      <c r="XI33">
        <v>268.56</v>
      </c>
      <c r="XJ33">
        <v>198.73</v>
      </c>
      <c r="XK33">
        <v>375.98</v>
      </c>
      <c r="XL33">
        <v>161.13</v>
      </c>
      <c r="XM33">
        <v>64.45</v>
      </c>
      <c r="XN33">
        <v>284.67</v>
      </c>
      <c r="XO33">
        <v>42.97</v>
      </c>
      <c r="XP33">
        <v>75.2</v>
      </c>
      <c r="XQ33">
        <v>37.6</v>
      </c>
      <c r="XR33">
        <v>21.48</v>
      </c>
      <c r="XS33">
        <v>1364.26</v>
      </c>
      <c r="XT33">
        <v>145.02000000000001</v>
      </c>
      <c r="XU33">
        <v>214.84</v>
      </c>
      <c r="XV33">
        <v>161.13</v>
      </c>
      <c r="XW33">
        <v>2175.3000000000002</v>
      </c>
      <c r="XX33">
        <v>1820.81</v>
      </c>
      <c r="XY33">
        <v>1068.8499999999999</v>
      </c>
      <c r="XZ33">
        <v>343.75</v>
      </c>
      <c r="YA33">
        <v>1176.28</v>
      </c>
      <c r="YB33">
        <v>166.5</v>
      </c>
      <c r="YC33">
        <v>48.34</v>
      </c>
      <c r="YD33">
        <v>1036.6300000000001</v>
      </c>
      <c r="YE33">
        <v>349.12</v>
      </c>
      <c r="YF33">
        <v>945.32</v>
      </c>
      <c r="YG33">
        <v>128.91</v>
      </c>
      <c r="YH33">
        <v>42.97</v>
      </c>
      <c r="YI33">
        <v>134.28</v>
      </c>
      <c r="YJ33">
        <v>284.67</v>
      </c>
      <c r="YK33">
        <v>10.74</v>
      </c>
      <c r="YL33">
        <v>392.09</v>
      </c>
      <c r="YM33">
        <v>1289.07</v>
      </c>
      <c r="YN33">
        <v>69.819999999999993</v>
      </c>
      <c r="YO33">
        <v>456.55</v>
      </c>
      <c r="YP33">
        <v>1090.3399999999999</v>
      </c>
      <c r="YQ33">
        <v>257.81</v>
      </c>
      <c r="YR33">
        <v>220.22</v>
      </c>
      <c r="YS33">
        <v>6611.85</v>
      </c>
      <c r="YT33">
        <v>241.7</v>
      </c>
      <c r="YU33">
        <v>456.55</v>
      </c>
      <c r="YV33">
        <v>53.71</v>
      </c>
      <c r="YW33">
        <v>155.76</v>
      </c>
      <c r="YX33">
        <v>107.42</v>
      </c>
      <c r="YY33">
        <v>676.76</v>
      </c>
      <c r="YZ33">
        <v>21.48</v>
      </c>
      <c r="ZA33">
        <v>306.14999999999998</v>
      </c>
      <c r="ZB33">
        <v>59.08</v>
      </c>
      <c r="ZC33">
        <v>37.6</v>
      </c>
      <c r="ZD33">
        <v>150.38999999999999</v>
      </c>
      <c r="ZE33">
        <v>53.71</v>
      </c>
      <c r="ZF33">
        <v>300.77999999999997</v>
      </c>
      <c r="ZG33">
        <v>204.1</v>
      </c>
      <c r="ZH33">
        <v>187.99</v>
      </c>
      <c r="ZI33">
        <v>649.91</v>
      </c>
      <c r="ZJ33">
        <v>2835.95</v>
      </c>
      <c r="ZK33">
        <v>193.36</v>
      </c>
      <c r="ZL33">
        <v>10.74</v>
      </c>
      <c r="ZM33">
        <v>145.02000000000001</v>
      </c>
      <c r="ZN33">
        <v>37.6</v>
      </c>
      <c r="ZO33">
        <v>69.819999999999993</v>
      </c>
      <c r="ZP33">
        <v>375.98</v>
      </c>
      <c r="ZQ33">
        <v>42.97</v>
      </c>
      <c r="ZR33">
        <v>37.6</v>
      </c>
      <c r="ZS33">
        <v>585.45000000000005</v>
      </c>
      <c r="ZT33">
        <v>521</v>
      </c>
      <c r="ZU33">
        <v>96.68</v>
      </c>
      <c r="ZV33">
        <v>42.97</v>
      </c>
      <c r="ZW33">
        <v>42.97</v>
      </c>
      <c r="ZX33">
        <v>128.91</v>
      </c>
      <c r="ZY33">
        <v>343.75</v>
      </c>
      <c r="ZZ33">
        <v>290.04000000000002</v>
      </c>
      <c r="AAA33">
        <v>171.88</v>
      </c>
      <c r="AAB33">
        <v>69.819999999999993</v>
      </c>
      <c r="AAC33">
        <v>26.86</v>
      </c>
      <c r="AAD33">
        <v>75.2</v>
      </c>
      <c r="AAE33">
        <v>48.34</v>
      </c>
      <c r="AAF33">
        <v>42.97</v>
      </c>
      <c r="AAG33">
        <v>209.47</v>
      </c>
      <c r="AAH33">
        <v>155.76</v>
      </c>
      <c r="AAI33">
        <v>2884.29</v>
      </c>
      <c r="AAJ33">
        <v>300.77999999999997</v>
      </c>
      <c r="AAK33">
        <v>1799.33</v>
      </c>
      <c r="AAL33">
        <v>257.81</v>
      </c>
      <c r="AAM33">
        <v>69.819999999999993</v>
      </c>
      <c r="AAN33">
        <v>435.06</v>
      </c>
      <c r="AAO33">
        <v>118.16</v>
      </c>
      <c r="AAP33">
        <v>209.47</v>
      </c>
      <c r="AAQ33">
        <v>32.229999999999997</v>
      </c>
      <c r="AAR33">
        <v>48.34</v>
      </c>
      <c r="AAS33">
        <v>682.13</v>
      </c>
      <c r="AAT33">
        <v>59.08</v>
      </c>
      <c r="AAU33">
        <v>26.86</v>
      </c>
      <c r="AAV33">
        <v>1326.67</v>
      </c>
      <c r="AAW33">
        <v>37.6</v>
      </c>
      <c r="AAX33">
        <v>96.68</v>
      </c>
      <c r="AAY33">
        <v>26.86</v>
      </c>
      <c r="AAZ33">
        <v>69.819999999999993</v>
      </c>
      <c r="ABA33">
        <v>209.47</v>
      </c>
      <c r="ABB33">
        <v>247.07</v>
      </c>
      <c r="ABC33">
        <v>811.04</v>
      </c>
      <c r="ABD33">
        <v>1375.01</v>
      </c>
      <c r="ABE33">
        <v>333.01</v>
      </c>
      <c r="ABF33">
        <v>343.75</v>
      </c>
      <c r="ABG33">
        <v>75.2</v>
      </c>
      <c r="ABH33">
        <v>134.28</v>
      </c>
      <c r="ABI33">
        <v>32.229999999999997</v>
      </c>
      <c r="ABJ33">
        <v>69.819999999999993</v>
      </c>
      <c r="ABK33">
        <v>48.34</v>
      </c>
      <c r="ABL33">
        <v>16.11</v>
      </c>
      <c r="ABM33">
        <v>187.99</v>
      </c>
      <c r="ABN33">
        <v>96.68</v>
      </c>
      <c r="ABO33">
        <v>37.6</v>
      </c>
      <c r="ABP33">
        <v>69.819999999999993</v>
      </c>
      <c r="ABQ33">
        <v>2051.77</v>
      </c>
      <c r="ABR33">
        <v>80.569999999999993</v>
      </c>
      <c r="ABS33">
        <v>4989.7700000000004</v>
      </c>
      <c r="ABT33">
        <v>21.48</v>
      </c>
      <c r="ABU33">
        <v>59.08</v>
      </c>
      <c r="ABV33">
        <v>193.36</v>
      </c>
      <c r="ABW33">
        <v>290.04000000000002</v>
      </c>
      <c r="ABX33">
        <v>1160.1600000000001</v>
      </c>
      <c r="ABY33">
        <v>209.47</v>
      </c>
      <c r="ABZ33">
        <v>193.36</v>
      </c>
      <c r="ACA33">
        <v>392.09</v>
      </c>
      <c r="ACB33">
        <v>182.62</v>
      </c>
      <c r="ACC33">
        <v>155.76</v>
      </c>
      <c r="ACD33">
        <v>112.79</v>
      </c>
      <c r="ACE33">
        <v>128.91</v>
      </c>
      <c r="ACF33">
        <v>3211.93</v>
      </c>
      <c r="ACG33">
        <v>1047.3699999999999</v>
      </c>
      <c r="ACH33">
        <v>327.64</v>
      </c>
      <c r="ACI33">
        <v>370.61</v>
      </c>
      <c r="ACJ33">
        <v>338.38</v>
      </c>
      <c r="ACK33">
        <v>268.56</v>
      </c>
      <c r="ACL33">
        <v>42.97</v>
      </c>
      <c r="ACM33">
        <v>279.3</v>
      </c>
      <c r="ACN33">
        <v>209.47</v>
      </c>
      <c r="ACO33">
        <v>923.83</v>
      </c>
      <c r="ACP33">
        <v>327.64</v>
      </c>
      <c r="ACQ33">
        <v>241.7</v>
      </c>
      <c r="ACR33">
        <v>3056.17</v>
      </c>
    </row>
    <row r="34" spans="1:772" x14ac:dyDescent="0.3">
      <c r="A34" t="s">
        <v>15</v>
      </c>
      <c r="B34" t="s">
        <v>3</v>
      </c>
      <c r="C34">
        <v>530.02</v>
      </c>
      <c r="D34">
        <v>98.35</v>
      </c>
      <c r="E34">
        <v>775.91</v>
      </c>
      <c r="F34">
        <v>21.86</v>
      </c>
      <c r="G34">
        <v>1808.64</v>
      </c>
      <c r="H34">
        <v>147.53</v>
      </c>
      <c r="I34">
        <v>1158.4000000000001</v>
      </c>
      <c r="J34">
        <v>6556.99</v>
      </c>
      <c r="K34">
        <v>672.09</v>
      </c>
      <c r="L34">
        <v>98.35</v>
      </c>
      <c r="M34">
        <v>185.78</v>
      </c>
      <c r="N34">
        <v>1458.93</v>
      </c>
      <c r="O34">
        <v>49.18</v>
      </c>
      <c r="P34">
        <v>262.27999999999997</v>
      </c>
      <c r="Q34">
        <v>109.28</v>
      </c>
      <c r="R34">
        <v>825.09</v>
      </c>
      <c r="S34">
        <v>81.96</v>
      </c>
      <c r="T34">
        <v>661.16</v>
      </c>
      <c r="U34">
        <v>448.06</v>
      </c>
      <c r="V34">
        <v>737.66</v>
      </c>
      <c r="W34">
        <v>311.45999999999998</v>
      </c>
      <c r="X34">
        <v>32.78</v>
      </c>
      <c r="Y34">
        <v>158.46</v>
      </c>
      <c r="Z34">
        <v>562.80999999999995</v>
      </c>
      <c r="AA34">
        <v>158.46</v>
      </c>
      <c r="AB34">
        <v>606.52</v>
      </c>
      <c r="AC34">
        <v>639.30999999999995</v>
      </c>
      <c r="AD34">
        <v>87.43</v>
      </c>
      <c r="AE34">
        <v>398.88</v>
      </c>
      <c r="AF34">
        <v>32708.45</v>
      </c>
      <c r="AG34">
        <v>125.68</v>
      </c>
      <c r="AH34">
        <v>316.92</v>
      </c>
      <c r="AI34">
        <v>136.6</v>
      </c>
      <c r="AJ34">
        <v>715.8</v>
      </c>
      <c r="AK34">
        <v>136.6</v>
      </c>
      <c r="AL34">
        <v>114.75</v>
      </c>
      <c r="AM34">
        <v>442.6</v>
      </c>
      <c r="AN34">
        <v>213.1</v>
      </c>
      <c r="AO34">
        <v>754.05</v>
      </c>
      <c r="AP34">
        <v>76.5</v>
      </c>
      <c r="AQ34">
        <v>196.71</v>
      </c>
      <c r="AR34">
        <v>103.82</v>
      </c>
      <c r="AS34">
        <v>71.03</v>
      </c>
      <c r="AT34">
        <v>16.39</v>
      </c>
      <c r="AU34">
        <v>92.89</v>
      </c>
      <c r="AV34">
        <v>1448</v>
      </c>
      <c r="AW34">
        <v>349.71</v>
      </c>
      <c r="AX34">
        <v>3655.52</v>
      </c>
      <c r="AY34">
        <v>21.86</v>
      </c>
      <c r="AZ34">
        <v>196.71</v>
      </c>
      <c r="BA34">
        <v>295.06</v>
      </c>
      <c r="BB34">
        <v>448.06</v>
      </c>
      <c r="BC34">
        <v>65.569999999999993</v>
      </c>
      <c r="BD34">
        <v>76.5</v>
      </c>
      <c r="BE34">
        <v>267.74</v>
      </c>
      <c r="BF34">
        <v>415.28</v>
      </c>
      <c r="BG34">
        <v>174.85</v>
      </c>
      <c r="BH34">
        <v>49.18</v>
      </c>
      <c r="BI34">
        <v>54.64</v>
      </c>
      <c r="BJ34">
        <v>38.25</v>
      </c>
      <c r="BK34">
        <v>316.92</v>
      </c>
      <c r="BL34">
        <v>327.85</v>
      </c>
      <c r="BM34">
        <v>114.75</v>
      </c>
      <c r="BN34">
        <v>103.82</v>
      </c>
      <c r="BO34">
        <v>16.39</v>
      </c>
      <c r="BP34">
        <v>120.21</v>
      </c>
      <c r="BQ34">
        <v>49.18</v>
      </c>
      <c r="BR34">
        <v>245.89</v>
      </c>
      <c r="BS34">
        <v>32.78</v>
      </c>
      <c r="BT34">
        <v>5059.8100000000004</v>
      </c>
      <c r="BU34">
        <v>1529.96</v>
      </c>
      <c r="BV34">
        <v>114.75</v>
      </c>
      <c r="BW34">
        <v>251.35</v>
      </c>
      <c r="BX34">
        <v>1901.53</v>
      </c>
      <c r="BY34">
        <v>644.77</v>
      </c>
      <c r="BZ34">
        <v>961.69</v>
      </c>
      <c r="CA34">
        <v>458.99</v>
      </c>
      <c r="CB34">
        <v>497.24</v>
      </c>
      <c r="CC34">
        <v>54.64</v>
      </c>
      <c r="CD34">
        <v>65.569999999999993</v>
      </c>
      <c r="CE34">
        <v>497.24</v>
      </c>
      <c r="CF34">
        <v>480.85</v>
      </c>
      <c r="CG34">
        <v>103.82</v>
      </c>
      <c r="CH34">
        <v>142.07</v>
      </c>
      <c r="CI34">
        <v>32.78</v>
      </c>
      <c r="CJ34">
        <v>81.96</v>
      </c>
      <c r="CK34">
        <v>153</v>
      </c>
      <c r="CL34">
        <v>278.67</v>
      </c>
      <c r="CM34">
        <v>1174.79</v>
      </c>
      <c r="CN34">
        <v>295.06</v>
      </c>
      <c r="CO34">
        <v>153</v>
      </c>
      <c r="CP34">
        <v>38.25</v>
      </c>
      <c r="CQ34">
        <v>109.28</v>
      </c>
      <c r="CR34">
        <v>120.21</v>
      </c>
      <c r="CS34">
        <v>21.86</v>
      </c>
      <c r="CT34">
        <v>87.43</v>
      </c>
      <c r="CU34">
        <v>333.31</v>
      </c>
      <c r="CV34">
        <v>103.82</v>
      </c>
      <c r="CW34">
        <v>1715.75</v>
      </c>
      <c r="CX34">
        <v>147.53</v>
      </c>
      <c r="CY34">
        <v>300.52999999999997</v>
      </c>
      <c r="CZ34">
        <v>87.43</v>
      </c>
      <c r="DA34">
        <v>38.25</v>
      </c>
      <c r="DB34">
        <v>338.78</v>
      </c>
      <c r="DC34">
        <v>284.14</v>
      </c>
      <c r="DD34">
        <v>92.89</v>
      </c>
      <c r="DE34">
        <v>43.71</v>
      </c>
      <c r="DF34">
        <v>579.20000000000005</v>
      </c>
      <c r="DG34">
        <v>38.25</v>
      </c>
      <c r="DH34">
        <v>4174.62</v>
      </c>
      <c r="DI34">
        <v>114.75</v>
      </c>
      <c r="DJ34">
        <v>87.43</v>
      </c>
      <c r="DK34">
        <v>431.67</v>
      </c>
      <c r="DL34">
        <v>704.88</v>
      </c>
      <c r="DM34">
        <v>262.27999999999997</v>
      </c>
      <c r="DN34">
        <v>81.96</v>
      </c>
      <c r="DO34">
        <v>38.25</v>
      </c>
      <c r="DP34">
        <v>81.96</v>
      </c>
      <c r="DQ34">
        <v>3387.78</v>
      </c>
      <c r="DR34">
        <v>147.53</v>
      </c>
      <c r="DS34">
        <v>76.5</v>
      </c>
      <c r="DT34">
        <v>131.13999999999999</v>
      </c>
      <c r="DU34">
        <v>6294.71</v>
      </c>
      <c r="DV34">
        <v>163.92</v>
      </c>
      <c r="DW34">
        <v>87.43</v>
      </c>
      <c r="DX34">
        <v>147.53</v>
      </c>
      <c r="DY34">
        <v>131.13999999999999</v>
      </c>
      <c r="DZ34">
        <v>202.17</v>
      </c>
      <c r="EA34">
        <v>229.49</v>
      </c>
      <c r="EB34">
        <v>147.53</v>
      </c>
      <c r="EC34">
        <v>120.21</v>
      </c>
      <c r="ED34">
        <v>54.64</v>
      </c>
      <c r="EE34">
        <v>16.39</v>
      </c>
      <c r="EF34">
        <v>852.41</v>
      </c>
      <c r="EG34">
        <v>1743.07</v>
      </c>
      <c r="EH34">
        <v>60.11</v>
      </c>
      <c r="EI34">
        <v>92.89</v>
      </c>
      <c r="EJ34">
        <v>338.78</v>
      </c>
      <c r="EK34">
        <v>158.46</v>
      </c>
      <c r="EL34">
        <v>2273.09</v>
      </c>
      <c r="EM34">
        <v>295.06</v>
      </c>
      <c r="EN34">
        <v>185.78</v>
      </c>
      <c r="EO34">
        <v>147.53</v>
      </c>
      <c r="EP34">
        <v>65.569999999999993</v>
      </c>
      <c r="EQ34">
        <v>3759.34</v>
      </c>
      <c r="ER34">
        <v>38.25</v>
      </c>
      <c r="ES34">
        <v>27.32</v>
      </c>
      <c r="ET34">
        <v>32.78</v>
      </c>
      <c r="EU34">
        <v>311.45999999999998</v>
      </c>
      <c r="EV34">
        <v>71.03</v>
      </c>
      <c r="EW34">
        <v>65.569999999999993</v>
      </c>
      <c r="EX34">
        <v>344.24</v>
      </c>
      <c r="EY34">
        <v>125.68</v>
      </c>
      <c r="EZ34">
        <v>103.82</v>
      </c>
      <c r="FA34">
        <v>158.46</v>
      </c>
      <c r="FB34">
        <v>21.86</v>
      </c>
      <c r="FC34">
        <v>169.39</v>
      </c>
      <c r="FD34">
        <v>38.25</v>
      </c>
      <c r="FE34">
        <v>491.77</v>
      </c>
      <c r="FF34">
        <v>32.78</v>
      </c>
      <c r="FG34">
        <v>1972.56</v>
      </c>
      <c r="FH34">
        <v>3032.61</v>
      </c>
      <c r="FI34">
        <v>109.28</v>
      </c>
      <c r="FJ34">
        <v>852.41</v>
      </c>
      <c r="FK34">
        <v>295.06</v>
      </c>
      <c r="FL34">
        <v>109.28</v>
      </c>
      <c r="FM34">
        <v>333.31</v>
      </c>
      <c r="FN34">
        <v>87.43</v>
      </c>
      <c r="FO34">
        <v>125.68</v>
      </c>
      <c r="FP34">
        <v>16.39</v>
      </c>
      <c r="FQ34">
        <v>38.25</v>
      </c>
      <c r="FR34">
        <v>16.39</v>
      </c>
      <c r="FS34">
        <v>2.1800000000000002</v>
      </c>
      <c r="FT34">
        <v>147.53</v>
      </c>
      <c r="FU34">
        <v>2218.4499999999998</v>
      </c>
      <c r="FV34">
        <v>3212.92</v>
      </c>
      <c r="FW34">
        <v>32.78</v>
      </c>
      <c r="FX34">
        <v>158.46</v>
      </c>
      <c r="FY34">
        <v>103.82</v>
      </c>
      <c r="FZ34">
        <v>4994.24</v>
      </c>
      <c r="GA34">
        <v>715.8</v>
      </c>
      <c r="GB34">
        <v>142.07</v>
      </c>
      <c r="GC34">
        <v>71.03</v>
      </c>
      <c r="GD34">
        <v>989.01</v>
      </c>
      <c r="GE34">
        <v>240.42</v>
      </c>
      <c r="GF34">
        <v>360.63</v>
      </c>
      <c r="GG34">
        <v>3879.55</v>
      </c>
      <c r="GH34">
        <v>1759.46</v>
      </c>
      <c r="GI34">
        <v>11212.45</v>
      </c>
      <c r="GJ34">
        <v>573.74</v>
      </c>
      <c r="GK34">
        <v>30517.32</v>
      </c>
      <c r="GL34">
        <v>387.96</v>
      </c>
      <c r="GM34">
        <v>81.96</v>
      </c>
      <c r="GN34">
        <v>76.5</v>
      </c>
      <c r="GO34">
        <v>1469.86</v>
      </c>
      <c r="GP34">
        <v>147.53</v>
      </c>
      <c r="GQ34">
        <v>76.5</v>
      </c>
      <c r="GR34">
        <v>677.56</v>
      </c>
      <c r="GS34">
        <v>464.45</v>
      </c>
      <c r="GT34">
        <v>448.06</v>
      </c>
      <c r="GU34">
        <v>76.5</v>
      </c>
      <c r="GV34">
        <v>76.5</v>
      </c>
      <c r="GW34">
        <v>2.1800000000000002</v>
      </c>
      <c r="GX34">
        <v>393.42</v>
      </c>
      <c r="GY34">
        <v>71.03</v>
      </c>
      <c r="GZ34">
        <v>273.20999999999998</v>
      </c>
      <c r="HA34">
        <v>240.42</v>
      </c>
      <c r="HB34">
        <v>661.16</v>
      </c>
      <c r="HC34">
        <v>147.53</v>
      </c>
      <c r="HD34">
        <v>1043.6500000000001</v>
      </c>
      <c r="HE34">
        <v>43.71</v>
      </c>
      <c r="HF34">
        <v>1781.32</v>
      </c>
      <c r="HG34">
        <v>229.49</v>
      </c>
      <c r="HH34">
        <v>437.13</v>
      </c>
      <c r="HI34">
        <v>54.64</v>
      </c>
      <c r="HJ34">
        <v>224.03</v>
      </c>
      <c r="HK34">
        <v>2650.12</v>
      </c>
      <c r="HL34">
        <v>868.8</v>
      </c>
      <c r="HM34">
        <v>125.68</v>
      </c>
      <c r="HN34">
        <v>540.95000000000005</v>
      </c>
      <c r="HO34">
        <v>109.28</v>
      </c>
      <c r="HP34">
        <v>109.28</v>
      </c>
      <c r="HQ34">
        <v>6715.45</v>
      </c>
      <c r="HR34">
        <v>458.99</v>
      </c>
      <c r="HS34">
        <v>147.53</v>
      </c>
      <c r="HT34">
        <v>54.64</v>
      </c>
      <c r="HU34">
        <v>415.28</v>
      </c>
      <c r="HV34">
        <v>60.11</v>
      </c>
      <c r="HW34">
        <v>1988.95</v>
      </c>
      <c r="HX34">
        <v>49.18</v>
      </c>
      <c r="HY34">
        <v>27.32</v>
      </c>
      <c r="HZ34">
        <v>131.13999999999999</v>
      </c>
      <c r="IA34">
        <v>174.85</v>
      </c>
      <c r="IB34">
        <v>158.46</v>
      </c>
      <c r="IC34">
        <v>76.5</v>
      </c>
      <c r="ID34">
        <v>174.85</v>
      </c>
      <c r="IE34">
        <v>21.86</v>
      </c>
      <c r="IF34">
        <v>1087.3699999999999</v>
      </c>
      <c r="IG34">
        <v>87.43</v>
      </c>
      <c r="IH34">
        <v>16.39</v>
      </c>
      <c r="II34">
        <v>153</v>
      </c>
      <c r="IJ34">
        <v>240.42</v>
      </c>
      <c r="IK34">
        <v>54.64</v>
      </c>
      <c r="IL34">
        <v>2027.2</v>
      </c>
      <c r="IM34">
        <v>442.6</v>
      </c>
      <c r="IN34">
        <v>229.49</v>
      </c>
      <c r="IO34">
        <v>590.13</v>
      </c>
      <c r="IP34">
        <v>54.64</v>
      </c>
      <c r="IQ34">
        <v>92.89</v>
      </c>
      <c r="IR34">
        <v>71.03</v>
      </c>
      <c r="IS34">
        <v>38.25</v>
      </c>
      <c r="IT34">
        <v>54.64</v>
      </c>
      <c r="IU34">
        <v>535.49</v>
      </c>
      <c r="IV34">
        <v>519.09</v>
      </c>
      <c r="IW34">
        <v>251.35</v>
      </c>
      <c r="IX34">
        <v>1207.58</v>
      </c>
      <c r="IY34">
        <v>185.78</v>
      </c>
      <c r="IZ34">
        <v>49.18</v>
      </c>
      <c r="JA34">
        <v>213.1</v>
      </c>
      <c r="JB34">
        <v>475.38</v>
      </c>
      <c r="JC34">
        <v>147.53</v>
      </c>
      <c r="JD34">
        <v>699.41</v>
      </c>
      <c r="JE34">
        <v>71.03</v>
      </c>
      <c r="JF34">
        <v>27.32</v>
      </c>
      <c r="JG34">
        <v>191.25</v>
      </c>
      <c r="JH34">
        <v>480.85</v>
      </c>
      <c r="JI34">
        <v>814.16</v>
      </c>
      <c r="JJ34">
        <v>273.20999999999998</v>
      </c>
      <c r="JK34">
        <v>49.18</v>
      </c>
      <c r="JL34">
        <v>224.03</v>
      </c>
      <c r="JM34">
        <v>49.18</v>
      </c>
      <c r="JN34">
        <v>32.78</v>
      </c>
      <c r="JO34">
        <v>202.17</v>
      </c>
      <c r="JP34">
        <v>584.66</v>
      </c>
      <c r="JQ34">
        <v>3174.68</v>
      </c>
      <c r="JR34">
        <v>54.64</v>
      </c>
      <c r="JS34">
        <v>49.18</v>
      </c>
      <c r="JT34">
        <v>289.60000000000002</v>
      </c>
      <c r="JU34">
        <v>109.28</v>
      </c>
      <c r="JV34">
        <v>305.99</v>
      </c>
      <c r="JW34">
        <v>114.75</v>
      </c>
      <c r="JX34">
        <v>71.03</v>
      </c>
      <c r="JY34">
        <v>382.49</v>
      </c>
      <c r="JZ34">
        <v>43.71</v>
      </c>
      <c r="KA34">
        <v>65.569999999999993</v>
      </c>
      <c r="KB34">
        <v>81.96</v>
      </c>
      <c r="KC34">
        <v>92.89</v>
      </c>
      <c r="KD34">
        <v>32.78</v>
      </c>
      <c r="KE34">
        <v>185.78</v>
      </c>
      <c r="KF34">
        <v>142.07</v>
      </c>
      <c r="KG34">
        <v>584.66</v>
      </c>
      <c r="KH34">
        <v>98.35</v>
      </c>
      <c r="KI34">
        <v>262.27999999999997</v>
      </c>
      <c r="KJ34">
        <v>316.92</v>
      </c>
      <c r="KK34">
        <v>284.14</v>
      </c>
      <c r="KL34">
        <v>114.75</v>
      </c>
      <c r="KM34">
        <v>71.03</v>
      </c>
      <c r="KN34">
        <v>267.74</v>
      </c>
      <c r="KO34">
        <v>153</v>
      </c>
      <c r="KP34">
        <v>120.21</v>
      </c>
      <c r="KQ34">
        <v>2824.97</v>
      </c>
      <c r="KR34">
        <v>524.55999999999995</v>
      </c>
      <c r="KS34">
        <v>907.05</v>
      </c>
      <c r="KT34">
        <v>5633.55</v>
      </c>
      <c r="KU34">
        <v>34194.699999999997</v>
      </c>
      <c r="KV34">
        <v>4715.57</v>
      </c>
      <c r="KW34">
        <v>300.52999999999997</v>
      </c>
      <c r="KX34">
        <v>355.17</v>
      </c>
      <c r="KY34">
        <v>81.96</v>
      </c>
      <c r="KZ34">
        <v>114.75</v>
      </c>
      <c r="LA34">
        <v>1076.44</v>
      </c>
      <c r="LB34">
        <v>1049.1199999999999</v>
      </c>
      <c r="LC34">
        <v>2699.29</v>
      </c>
      <c r="LD34">
        <v>16.39</v>
      </c>
      <c r="LE34">
        <v>535.49</v>
      </c>
      <c r="LF34">
        <v>2874.15</v>
      </c>
      <c r="LG34">
        <v>2661.04</v>
      </c>
      <c r="LH34">
        <v>1234.9000000000001</v>
      </c>
      <c r="LI34">
        <v>8420.27</v>
      </c>
      <c r="LJ34">
        <v>923.44</v>
      </c>
      <c r="LK34">
        <v>590.13</v>
      </c>
      <c r="LL34">
        <v>163.92</v>
      </c>
      <c r="LM34">
        <v>38.25</v>
      </c>
      <c r="LN34">
        <v>153</v>
      </c>
      <c r="LO34">
        <v>475.38</v>
      </c>
      <c r="LP34">
        <v>1841.42</v>
      </c>
      <c r="LQ34">
        <v>289.60000000000002</v>
      </c>
      <c r="LR34">
        <v>267.74</v>
      </c>
      <c r="LS34">
        <v>76.5</v>
      </c>
      <c r="LT34">
        <v>60.11</v>
      </c>
      <c r="LU34">
        <v>229.49</v>
      </c>
      <c r="LV34">
        <v>557.34</v>
      </c>
      <c r="LW34">
        <v>1070.97</v>
      </c>
      <c r="LX34">
        <v>4251.1099999999997</v>
      </c>
      <c r="LY34">
        <v>1409.75</v>
      </c>
      <c r="LZ34">
        <v>4802.99</v>
      </c>
      <c r="MA34">
        <v>420.74</v>
      </c>
      <c r="MB34">
        <v>6054.29</v>
      </c>
      <c r="MC34">
        <v>939.84</v>
      </c>
      <c r="MD34">
        <v>573.74</v>
      </c>
      <c r="ME34">
        <v>311.45999999999998</v>
      </c>
      <c r="MF34">
        <v>1202.1099999999999</v>
      </c>
      <c r="MG34">
        <v>6190.89</v>
      </c>
      <c r="MH34">
        <v>1923.38</v>
      </c>
      <c r="MI34">
        <v>65.569999999999993</v>
      </c>
      <c r="MJ34">
        <v>535.49</v>
      </c>
      <c r="MK34">
        <v>21.86</v>
      </c>
      <c r="ML34">
        <v>907.05</v>
      </c>
      <c r="MM34">
        <v>989.01</v>
      </c>
      <c r="MN34">
        <v>622.91</v>
      </c>
      <c r="MO34">
        <v>21.86</v>
      </c>
      <c r="MP34">
        <v>120.21</v>
      </c>
      <c r="MQ34">
        <v>213.1</v>
      </c>
      <c r="MR34">
        <v>43.71</v>
      </c>
      <c r="MS34">
        <v>622.91</v>
      </c>
      <c r="MT34">
        <v>2928.79</v>
      </c>
      <c r="MU34">
        <v>60.11</v>
      </c>
      <c r="MV34">
        <v>49.18</v>
      </c>
      <c r="MW34">
        <v>92.89</v>
      </c>
      <c r="MX34">
        <v>240.42</v>
      </c>
      <c r="MY34">
        <v>21.86</v>
      </c>
      <c r="MZ34">
        <v>448.06</v>
      </c>
      <c r="NA34">
        <v>49.18</v>
      </c>
      <c r="NB34">
        <v>240.42</v>
      </c>
      <c r="NC34">
        <v>3480.67</v>
      </c>
      <c r="ND34">
        <v>1021.8</v>
      </c>
      <c r="NE34">
        <v>453.53</v>
      </c>
      <c r="NF34">
        <v>60.11</v>
      </c>
      <c r="NG34">
        <v>71.03</v>
      </c>
      <c r="NH34">
        <v>103.82</v>
      </c>
      <c r="NI34">
        <v>6939.48</v>
      </c>
      <c r="NJ34">
        <v>316.92</v>
      </c>
      <c r="NK34">
        <v>360.63</v>
      </c>
      <c r="NL34">
        <v>404.35</v>
      </c>
      <c r="NM34">
        <v>2338.66</v>
      </c>
      <c r="NN34">
        <v>377.03</v>
      </c>
      <c r="NO34">
        <v>142.07</v>
      </c>
      <c r="NP34">
        <v>2.1800000000000002</v>
      </c>
      <c r="NQ34">
        <v>7578.79</v>
      </c>
      <c r="NR34">
        <v>213.1</v>
      </c>
      <c r="NS34">
        <v>934.37</v>
      </c>
      <c r="NT34">
        <v>437.13</v>
      </c>
      <c r="NU34">
        <v>972.62</v>
      </c>
      <c r="NV34">
        <v>524.55999999999995</v>
      </c>
      <c r="NW34">
        <v>240.42</v>
      </c>
      <c r="NX34">
        <v>224.03</v>
      </c>
      <c r="NY34">
        <v>109.28</v>
      </c>
      <c r="NZ34">
        <v>885.19</v>
      </c>
      <c r="OA34">
        <v>256.82</v>
      </c>
      <c r="OB34">
        <v>704.88</v>
      </c>
      <c r="OC34">
        <v>2939.72</v>
      </c>
      <c r="OD34">
        <v>300.52999999999997</v>
      </c>
      <c r="OE34">
        <v>617.45000000000005</v>
      </c>
      <c r="OF34">
        <v>109.28</v>
      </c>
      <c r="OG34">
        <v>240.42</v>
      </c>
      <c r="OH34">
        <v>224.03</v>
      </c>
      <c r="OI34">
        <v>300.52999999999997</v>
      </c>
      <c r="OJ34">
        <v>81.96</v>
      </c>
      <c r="OK34">
        <v>1223.97</v>
      </c>
      <c r="OL34">
        <v>661.16</v>
      </c>
      <c r="OM34">
        <v>956.23</v>
      </c>
      <c r="ON34">
        <v>174.85</v>
      </c>
      <c r="OO34">
        <v>551.88</v>
      </c>
      <c r="OP34">
        <v>234.96</v>
      </c>
      <c r="OQ34">
        <v>87.43</v>
      </c>
      <c r="OR34">
        <v>43.71</v>
      </c>
      <c r="OS34">
        <v>683.02</v>
      </c>
      <c r="OT34">
        <v>475.38</v>
      </c>
      <c r="OU34">
        <v>245.89</v>
      </c>
      <c r="OV34">
        <v>420.74</v>
      </c>
      <c r="OW34">
        <v>43.71</v>
      </c>
      <c r="OX34">
        <v>21.86</v>
      </c>
      <c r="OY34">
        <v>169.39</v>
      </c>
      <c r="OZ34">
        <v>109.28</v>
      </c>
      <c r="PA34">
        <v>81.96</v>
      </c>
      <c r="PB34">
        <v>180.32</v>
      </c>
      <c r="PC34">
        <v>2.1800000000000002</v>
      </c>
      <c r="PD34">
        <v>54.64</v>
      </c>
      <c r="PE34">
        <v>71.03</v>
      </c>
      <c r="PF34">
        <v>409.81</v>
      </c>
      <c r="PG34">
        <v>87.43</v>
      </c>
      <c r="PH34">
        <v>251.35</v>
      </c>
      <c r="PI34">
        <v>87.43</v>
      </c>
      <c r="PJ34">
        <v>1868.74</v>
      </c>
      <c r="PK34">
        <v>2338.66</v>
      </c>
      <c r="PL34">
        <v>218.57</v>
      </c>
      <c r="PM34">
        <v>9469.3799999999992</v>
      </c>
      <c r="PN34">
        <v>699.41</v>
      </c>
      <c r="PO34">
        <v>136.6</v>
      </c>
      <c r="PP34">
        <v>6092.54</v>
      </c>
      <c r="PQ34">
        <v>174.85</v>
      </c>
      <c r="PR34">
        <v>245.89</v>
      </c>
      <c r="PS34">
        <v>71.03</v>
      </c>
      <c r="PT34">
        <v>142.07</v>
      </c>
      <c r="PU34">
        <v>590.13</v>
      </c>
      <c r="PV34">
        <v>169.39</v>
      </c>
      <c r="PW34">
        <v>218.57</v>
      </c>
      <c r="PX34">
        <v>71.03</v>
      </c>
      <c r="PY34">
        <v>1163.8699999999999</v>
      </c>
      <c r="PZ34">
        <v>158.46</v>
      </c>
      <c r="QA34">
        <v>387.96</v>
      </c>
      <c r="QB34">
        <v>6606.17</v>
      </c>
      <c r="QC34">
        <v>131.13999999999999</v>
      </c>
      <c r="QD34">
        <v>71.03</v>
      </c>
      <c r="QE34">
        <v>120.21</v>
      </c>
      <c r="QF34">
        <v>16.39</v>
      </c>
      <c r="QG34">
        <v>158.46</v>
      </c>
      <c r="QH34">
        <v>43.71</v>
      </c>
      <c r="QI34">
        <v>76.5</v>
      </c>
      <c r="QJ34">
        <v>202.17</v>
      </c>
      <c r="QK34">
        <v>27.32</v>
      </c>
      <c r="QL34">
        <v>382.49</v>
      </c>
      <c r="QM34">
        <v>486.31</v>
      </c>
      <c r="QN34">
        <v>601.05999999999995</v>
      </c>
      <c r="QO34">
        <v>65.569999999999993</v>
      </c>
      <c r="QP34">
        <v>169.39</v>
      </c>
      <c r="QQ34">
        <v>174.85</v>
      </c>
      <c r="QR34">
        <v>49.18</v>
      </c>
      <c r="QS34">
        <v>437.13</v>
      </c>
      <c r="QT34">
        <v>1032.73</v>
      </c>
      <c r="QU34">
        <v>81.96</v>
      </c>
      <c r="QV34">
        <v>185.78</v>
      </c>
      <c r="QW34">
        <v>71.03</v>
      </c>
      <c r="QX34">
        <v>163.92</v>
      </c>
      <c r="QY34">
        <v>87.43</v>
      </c>
      <c r="QZ34">
        <v>87.43</v>
      </c>
      <c r="RA34">
        <v>311.45999999999998</v>
      </c>
      <c r="RB34">
        <v>36325.71</v>
      </c>
      <c r="RC34">
        <v>125.68</v>
      </c>
      <c r="RD34">
        <v>3737.48</v>
      </c>
      <c r="RE34">
        <v>65.569999999999993</v>
      </c>
      <c r="RF34">
        <v>245.89</v>
      </c>
      <c r="RG34">
        <v>262.27999999999997</v>
      </c>
      <c r="RH34">
        <v>284.14</v>
      </c>
      <c r="RI34">
        <v>27.32</v>
      </c>
      <c r="RJ34">
        <v>142.07</v>
      </c>
      <c r="RK34">
        <v>60.11</v>
      </c>
      <c r="RL34">
        <v>109.28</v>
      </c>
      <c r="RM34">
        <v>174.85</v>
      </c>
      <c r="RN34">
        <v>202.17</v>
      </c>
      <c r="RO34">
        <v>961.69</v>
      </c>
      <c r="RP34">
        <v>262.27999999999997</v>
      </c>
      <c r="RQ34">
        <v>174.85</v>
      </c>
      <c r="RR34">
        <v>27.32</v>
      </c>
      <c r="RS34">
        <v>584.66</v>
      </c>
      <c r="RT34">
        <v>502.7</v>
      </c>
      <c r="RU34">
        <v>54.64</v>
      </c>
      <c r="RV34">
        <v>98.35</v>
      </c>
      <c r="RW34">
        <v>256.82</v>
      </c>
      <c r="RX34">
        <v>349.71</v>
      </c>
      <c r="RY34">
        <v>1081.9000000000001</v>
      </c>
      <c r="RZ34">
        <v>65.569999999999993</v>
      </c>
      <c r="SA34">
        <v>289.60000000000002</v>
      </c>
      <c r="SB34">
        <v>120.21</v>
      </c>
      <c r="SC34">
        <v>185.78</v>
      </c>
      <c r="SD34">
        <v>1262.22</v>
      </c>
      <c r="SE34">
        <v>792.3</v>
      </c>
      <c r="SF34">
        <v>732.2</v>
      </c>
      <c r="SG34">
        <v>6076.14</v>
      </c>
      <c r="SH34">
        <v>202.17</v>
      </c>
      <c r="SI34">
        <v>49.18</v>
      </c>
      <c r="SJ34">
        <v>262.27999999999997</v>
      </c>
      <c r="SK34">
        <v>458.99</v>
      </c>
      <c r="SL34">
        <v>213.1</v>
      </c>
      <c r="SM34">
        <v>76.5</v>
      </c>
      <c r="SN34">
        <v>322.39</v>
      </c>
      <c r="SO34">
        <v>49.18</v>
      </c>
      <c r="SP34">
        <v>136.6</v>
      </c>
      <c r="SQ34">
        <v>1240.3599999999999</v>
      </c>
      <c r="SR34">
        <v>491.77</v>
      </c>
      <c r="SS34">
        <v>841.48</v>
      </c>
      <c r="ST34">
        <v>874.27</v>
      </c>
      <c r="SU34">
        <v>1316.86</v>
      </c>
      <c r="SV34">
        <v>273.20999999999998</v>
      </c>
      <c r="SW34">
        <v>743.13</v>
      </c>
      <c r="SX34">
        <v>333.31</v>
      </c>
      <c r="SY34">
        <v>87.43</v>
      </c>
      <c r="SZ34">
        <v>2.1800000000000002</v>
      </c>
      <c r="TA34">
        <v>65.569999999999993</v>
      </c>
      <c r="TB34">
        <v>1349.65</v>
      </c>
      <c r="TC34">
        <v>458.99</v>
      </c>
      <c r="TD34">
        <v>147.53</v>
      </c>
      <c r="TE34">
        <v>546.41999999999996</v>
      </c>
      <c r="TF34">
        <v>338.78</v>
      </c>
      <c r="TG34">
        <v>644.77</v>
      </c>
      <c r="TH34">
        <v>120.21</v>
      </c>
      <c r="TI34">
        <v>174.85</v>
      </c>
      <c r="TJ34">
        <v>120.21</v>
      </c>
      <c r="TK34">
        <v>147.53</v>
      </c>
      <c r="TL34">
        <v>136.6</v>
      </c>
      <c r="TM34">
        <v>109.28</v>
      </c>
      <c r="TN34">
        <v>1519.04</v>
      </c>
      <c r="TO34">
        <v>819.62</v>
      </c>
      <c r="TP34">
        <v>295.06</v>
      </c>
      <c r="TQ34">
        <v>672.09</v>
      </c>
      <c r="TR34">
        <v>43.71</v>
      </c>
      <c r="TS34">
        <v>879.73</v>
      </c>
      <c r="TT34">
        <v>114.75</v>
      </c>
      <c r="TU34">
        <v>125.68</v>
      </c>
      <c r="TV34">
        <v>245.89</v>
      </c>
      <c r="TW34">
        <v>333.31</v>
      </c>
      <c r="TX34">
        <v>185.78</v>
      </c>
      <c r="TY34">
        <v>120.21</v>
      </c>
      <c r="TZ34">
        <v>131.13999999999999</v>
      </c>
      <c r="UA34">
        <v>207.64</v>
      </c>
      <c r="UB34">
        <v>338.78</v>
      </c>
      <c r="UC34">
        <v>5644.47</v>
      </c>
      <c r="UD34">
        <v>54.64</v>
      </c>
      <c r="UE34">
        <v>43.71</v>
      </c>
      <c r="UF34">
        <v>1803.17</v>
      </c>
      <c r="UG34">
        <v>158.46</v>
      </c>
      <c r="UH34">
        <v>60.11</v>
      </c>
      <c r="UI34">
        <v>71.03</v>
      </c>
      <c r="UJ34">
        <v>120.21</v>
      </c>
      <c r="UK34">
        <v>98.35</v>
      </c>
      <c r="UL34">
        <v>87.43</v>
      </c>
      <c r="UM34">
        <v>27.32</v>
      </c>
      <c r="UN34">
        <v>125.68</v>
      </c>
      <c r="UO34">
        <v>180.32</v>
      </c>
      <c r="UP34">
        <v>16.39</v>
      </c>
      <c r="UQ34">
        <v>27.32</v>
      </c>
      <c r="UR34">
        <v>76.5</v>
      </c>
      <c r="US34">
        <v>163.92</v>
      </c>
      <c r="UT34">
        <v>344.24</v>
      </c>
      <c r="UU34">
        <v>426.2</v>
      </c>
      <c r="UV34">
        <v>573.74</v>
      </c>
      <c r="UW34">
        <v>546.41999999999996</v>
      </c>
      <c r="UX34">
        <v>92.89</v>
      </c>
      <c r="UY34">
        <v>639.30999999999995</v>
      </c>
      <c r="UZ34">
        <v>136.6</v>
      </c>
      <c r="VA34">
        <v>6491.42</v>
      </c>
      <c r="VB34">
        <v>1016.33</v>
      </c>
      <c r="VC34">
        <v>256.82</v>
      </c>
      <c r="VD34">
        <v>114.75</v>
      </c>
      <c r="VE34">
        <v>98.35</v>
      </c>
      <c r="VF34">
        <v>305.99</v>
      </c>
      <c r="VG34">
        <v>49.18</v>
      </c>
      <c r="VH34">
        <v>65.569999999999993</v>
      </c>
      <c r="VI34">
        <v>60.11</v>
      </c>
      <c r="VJ34">
        <v>71.03</v>
      </c>
      <c r="VK34">
        <v>360.63</v>
      </c>
      <c r="VL34">
        <v>617.45000000000005</v>
      </c>
      <c r="VM34">
        <v>901.59</v>
      </c>
      <c r="VN34">
        <v>360.63</v>
      </c>
      <c r="VO34">
        <v>27.32</v>
      </c>
      <c r="VP34">
        <v>2.1800000000000002</v>
      </c>
      <c r="VQ34">
        <v>617.45000000000005</v>
      </c>
      <c r="VR34">
        <v>256.82</v>
      </c>
      <c r="VS34">
        <v>530.02</v>
      </c>
      <c r="VT34">
        <v>27.32</v>
      </c>
      <c r="VU34">
        <v>65.569999999999993</v>
      </c>
      <c r="VV34">
        <v>43.71</v>
      </c>
      <c r="VW34">
        <v>136.6</v>
      </c>
      <c r="VX34">
        <v>256.82</v>
      </c>
      <c r="VY34">
        <v>2.1800000000000002</v>
      </c>
      <c r="VZ34">
        <v>9409.2800000000007</v>
      </c>
      <c r="WA34">
        <v>7453.11</v>
      </c>
      <c r="WB34">
        <v>322.39</v>
      </c>
      <c r="WC34">
        <v>142.07</v>
      </c>
      <c r="WD34">
        <v>49.18</v>
      </c>
      <c r="WE34">
        <v>2387.84</v>
      </c>
      <c r="WF34">
        <v>333.31</v>
      </c>
      <c r="WG34">
        <v>327.85</v>
      </c>
      <c r="WH34">
        <v>3961.51</v>
      </c>
      <c r="WI34">
        <v>6327.49</v>
      </c>
      <c r="WJ34">
        <v>983.55</v>
      </c>
      <c r="WK34">
        <v>633.84</v>
      </c>
      <c r="WL34">
        <v>322.39</v>
      </c>
      <c r="WM34">
        <v>92.89</v>
      </c>
      <c r="WN34">
        <v>147.53</v>
      </c>
      <c r="WO34">
        <v>16.39</v>
      </c>
      <c r="WP34">
        <v>486.31</v>
      </c>
      <c r="WQ34">
        <v>262.27999999999997</v>
      </c>
      <c r="WR34">
        <v>939.84</v>
      </c>
      <c r="WS34">
        <v>71.03</v>
      </c>
      <c r="WT34">
        <v>715.8</v>
      </c>
      <c r="WU34">
        <v>404.35</v>
      </c>
      <c r="WV34">
        <v>650.23</v>
      </c>
      <c r="WW34">
        <v>174.85</v>
      </c>
      <c r="WX34">
        <v>180.32</v>
      </c>
      <c r="WY34">
        <v>103.82</v>
      </c>
      <c r="WZ34">
        <v>65.569999999999993</v>
      </c>
      <c r="XA34">
        <v>27.32</v>
      </c>
      <c r="XB34">
        <v>1174.79</v>
      </c>
      <c r="XC34">
        <v>81.96</v>
      </c>
      <c r="XD34">
        <v>256.82</v>
      </c>
      <c r="XE34">
        <v>754.05</v>
      </c>
      <c r="XF34">
        <v>415.28</v>
      </c>
      <c r="XG34">
        <v>458.99</v>
      </c>
      <c r="XH34">
        <v>163.92</v>
      </c>
      <c r="XI34">
        <v>442.6</v>
      </c>
      <c r="XJ34">
        <v>289.60000000000002</v>
      </c>
      <c r="XK34">
        <v>344.24</v>
      </c>
      <c r="XL34">
        <v>229.49</v>
      </c>
      <c r="XM34">
        <v>49.18</v>
      </c>
      <c r="XN34">
        <v>371.56</v>
      </c>
      <c r="XO34">
        <v>109.28</v>
      </c>
      <c r="XP34">
        <v>109.28</v>
      </c>
      <c r="XQ34">
        <v>38.25</v>
      </c>
      <c r="XR34">
        <v>76.5</v>
      </c>
      <c r="XS34">
        <v>2038.13</v>
      </c>
      <c r="XT34">
        <v>131.13999999999999</v>
      </c>
      <c r="XU34">
        <v>344.24</v>
      </c>
      <c r="XV34">
        <v>251.35</v>
      </c>
      <c r="XW34">
        <v>2010.81</v>
      </c>
      <c r="XX34">
        <v>1535.43</v>
      </c>
      <c r="XY34">
        <v>1420.68</v>
      </c>
      <c r="XZ34">
        <v>393.42</v>
      </c>
      <c r="YA34">
        <v>2284.02</v>
      </c>
      <c r="YB34">
        <v>284.14</v>
      </c>
      <c r="YC34">
        <v>54.64</v>
      </c>
      <c r="YD34">
        <v>1169.33</v>
      </c>
      <c r="YE34">
        <v>573.74</v>
      </c>
      <c r="YF34">
        <v>1393.36</v>
      </c>
      <c r="YG34">
        <v>169.39</v>
      </c>
      <c r="YH34">
        <v>32.78</v>
      </c>
      <c r="YI34">
        <v>158.46</v>
      </c>
      <c r="YJ34">
        <v>426.2</v>
      </c>
      <c r="YK34">
        <v>16.39</v>
      </c>
      <c r="YL34">
        <v>311.45999999999998</v>
      </c>
      <c r="YM34">
        <v>1469.86</v>
      </c>
      <c r="YN34">
        <v>114.75</v>
      </c>
      <c r="YO34">
        <v>650.23</v>
      </c>
      <c r="YP34">
        <v>1497.18</v>
      </c>
      <c r="YQ34">
        <v>316.92</v>
      </c>
      <c r="YR34">
        <v>218.57</v>
      </c>
      <c r="YS34">
        <v>6316.57</v>
      </c>
      <c r="YT34">
        <v>409.81</v>
      </c>
      <c r="YU34">
        <v>305.99</v>
      </c>
      <c r="YV34">
        <v>81.96</v>
      </c>
      <c r="YW34">
        <v>229.49</v>
      </c>
      <c r="YX34">
        <v>103.82</v>
      </c>
      <c r="YY34">
        <v>846.94</v>
      </c>
      <c r="YZ34">
        <v>27.32</v>
      </c>
      <c r="ZA34">
        <v>311.45999999999998</v>
      </c>
      <c r="ZB34">
        <v>38.25</v>
      </c>
      <c r="ZC34">
        <v>49.18</v>
      </c>
      <c r="ZD34">
        <v>120.21</v>
      </c>
      <c r="ZE34">
        <v>103.82</v>
      </c>
      <c r="ZF34">
        <v>426.2</v>
      </c>
      <c r="ZG34">
        <v>207.64</v>
      </c>
      <c r="ZH34">
        <v>224.03</v>
      </c>
      <c r="ZI34">
        <v>650.23</v>
      </c>
      <c r="ZJ34">
        <v>4218.33</v>
      </c>
      <c r="ZK34">
        <v>289.60000000000002</v>
      </c>
      <c r="ZL34">
        <v>43.71</v>
      </c>
      <c r="ZM34">
        <v>158.46</v>
      </c>
      <c r="ZN34">
        <v>43.71</v>
      </c>
      <c r="ZO34">
        <v>87.43</v>
      </c>
      <c r="ZP34">
        <v>366.1</v>
      </c>
      <c r="ZQ34">
        <v>76.5</v>
      </c>
      <c r="ZR34">
        <v>32.78</v>
      </c>
      <c r="ZS34">
        <v>633.84</v>
      </c>
      <c r="ZT34">
        <v>453.53</v>
      </c>
      <c r="ZU34">
        <v>131.13999999999999</v>
      </c>
      <c r="ZV34">
        <v>27.32</v>
      </c>
      <c r="ZW34">
        <v>65.569999999999993</v>
      </c>
      <c r="ZX34">
        <v>120.21</v>
      </c>
      <c r="ZY34">
        <v>562.80999999999995</v>
      </c>
      <c r="ZZ34">
        <v>295.06</v>
      </c>
      <c r="AAA34">
        <v>131.13999999999999</v>
      </c>
      <c r="AAB34">
        <v>142.07</v>
      </c>
      <c r="AAC34">
        <v>76.5</v>
      </c>
      <c r="AAD34">
        <v>114.75</v>
      </c>
      <c r="AAE34">
        <v>76.5</v>
      </c>
      <c r="AAF34">
        <v>32.78</v>
      </c>
      <c r="AAG34">
        <v>207.64</v>
      </c>
      <c r="AAH34">
        <v>174.85</v>
      </c>
      <c r="AAI34">
        <v>3824.91</v>
      </c>
      <c r="AAJ34">
        <v>278.67</v>
      </c>
      <c r="AAK34">
        <v>2721.15</v>
      </c>
      <c r="AAL34">
        <v>284.14</v>
      </c>
      <c r="AAM34">
        <v>120.21</v>
      </c>
      <c r="AAN34">
        <v>546.41999999999996</v>
      </c>
      <c r="AAO34">
        <v>120.21</v>
      </c>
      <c r="AAP34">
        <v>234.96</v>
      </c>
      <c r="AAQ34">
        <v>27.32</v>
      </c>
      <c r="AAR34">
        <v>109.28</v>
      </c>
      <c r="AAS34">
        <v>743.13</v>
      </c>
      <c r="AAT34">
        <v>81.96</v>
      </c>
      <c r="AAU34">
        <v>2.1800000000000002</v>
      </c>
      <c r="AAV34">
        <v>1579.14</v>
      </c>
      <c r="AAW34">
        <v>65.569999999999993</v>
      </c>
      <c r="AAX34">
        <v>136.6</v>
      </c>
      <c r="AAY34">
        <v>71.03</v>
      </c>
      <c r="AAZ34">
        <v>71.03</v>
      </c>
      <c r="ABA34">
        <v>284.14</v>
      </c>
      <c r="ABB34">
        <v>142.07</v>
      </c>
      <c r="ABC34">
        <v>1240.3599999999999</v>
      </c>
      <c r="ABD34">
        <v>2218.4499999999998</v>
      </c>
      <c r="ABE34">
        <v>398.88</v>
      </c>
      <c r="ABF34">
        <v>426.2</v>
      </c>
      <c r="ABG34">
        <v>120.21</v>
      </c>
      <c r="ABH34">
        <v>169.39</v>
      </c>
      <c r="ABI34">
        <v>38.25</v>
      </c>
      <c r="ABJ34">
        <v>76.5</v>
      </c>
      <c r="ABK34">
        <v>54.64</v>
      </c>
      <c r="ABL34">
        <v>49.18</v>
      </c>
      <c r="ABM34">
        <v>284.14</v>
      </c>
      <c r="ABN34">
        <v>114.75</v>
      </c>
      <c r="ABO34">
        <v>43.71</v>
      </c>
      <c r="ABP34">
        <v>65.569999999999993</v>
      </c>
      <c r="ABQ34">
        <v>2316.8000000000002</v>
      </c>
      <c r="ABR34">
        <v>153</v>
      </c>
      <c r="ABS34">
        <v>3759.34</v>
      </c>
      <c r="ABT34">
        <v>43.71</v>
      </c>
      <c r="ABU34">
        <v>49.18</v>
      </c>
      <c r="ABV34">
        <v>344.24</v>
      </c>
      <c r="ABW34">
        <v>519.09</v>
      </c>
      <c r="ABX34">
        <v>1721.21</v>
      </c>
      <c r="ABY34">
        <v>207.64</v>
      </c>
      <c r="ABZ34">
        <v>196.71</v>
      </c>
      <c r="ACA34">
        <v>415.28</v>
      </c>
      <c r="ACB34">
        <v>163.92</v>
      </c>
      <c r="ACC34">
        <v>92.89</v>
      </c>
      <c r="ACD34">
        <v>289.60000000000002</v>
      </c>
      <c r="ACE34">
        <v>202.17</v>
      </c>
      <c r="ACF34">
        <v>4054.4</v>
      </c>
      <c r="ACG34">
        <v>1109.22</v>
      </c>
      <c r="ACH34">
        <v>316.92</v>
      </c>
      <c r="ACI34">
        <v>366.1</v>
      </c>
      <c r="ACJ34">
        <v>371.56</v>
      </c>
      <c r="ACK34">
        <v>371.56</v>
      </c>
      <c r="ACL34">
        <v>32.78</v>
      </c>
      <c r="ACM34">
        <v>256.82</v>
      </c>
      <c r="ACN34">
        <v>284.14</v>
      </c>
      <c r="ACO34">
        <v>863.34</v>
      </c>
      <c r="ACP34">
        <v>415.28</v>
      </c>
      <c r="ACQ34">
        <v>295.06</v>
      </c>
      <c r="ACR34">
        <v>3436.95</v>
      </c>
    </row>
    <row r="35" spans="1:772" x14ac:dyDescent="0.3">
      <c r="A35" t="s">
        <v>16</v>
      </c>
      <c r="B35" t="s">
        <v>1</v>
      </c>
      <c r="C35">
        <v>369.46</v>
      </c>
      <c r="D35">
        <v>44.88</v>
      </c>
      <c r="E35">
        <v>286.2</v>
      </c>
      <c r="F35">
        <v>13.16</v>
      </c>
      <c r="G35">
        <v>2206.36</v>
      </c>
      <c r="H35">
        <v>46.83</v>
      </c>
      <c r="I35">
        <v>1615.09</v>
      </c>
      <c r="J35">
        <v>10999.93</v>
      </c>
      <c r="K35">
        <v>700.55</v>
      </c>
      <c r="L35">
        <v>17.559999999999999</v>
      </c>
      <c r="M35">
        <v>53.34</v>
      </c>
      <c r="N35">
        <v>558.09</v>
      </c>
      <c r="O35">
        <v>59.19</v>
      </c>
      <c r="P35">
        <v>455.97</v>
      </c>
      <c r="Q35">
        <v>98.22</v>
      </c>
      <c r="R35">
        <v>975.04</v>
      </c>
      <c r="S35">
        <v>13.16</v>
      </c>
      <c r="T35">
        <v>2424.27</v>
      </c>
      <c r="U35">
        <v>387.02</v>
      </c>
      <c r="V35">
        <v>474.19</v>
      </c>
      <c r="W35">
        <v>1087.57</v>
      </c>
      <c r="X35">
        <v>13.16</v>
      </c>
      <c r="Y35">
        <v>997.16</v>
      </c>
      <c r="Z35">
        <v>366.86</v>
      </c>
      <c r="AA35">
        <v>42.28</v>
      </c>
      <c r="AB35">
        <v>2007.32</v>
      </c>
      <c r="AC35">
        <v>397.43</v>
      </c>
      <c r="AD35">
        <v>189.93</v>
      </c>
      <c r="AE35">
        <v>245.87</v>
      </c>
      <c r="AF35">
        <v>28594.23</v>
      </c>
      <c r="AG35">
        <v>158.71</v>
      </c>
      <c r="AH35">
        <v>39.68</v>
      </c>
      <c r="AI35">
        <v>22.77</v>
      </c>
      <c r="AJ35">
        <v>472.88</v>
      </c>
      <c r="AK35">
        <v>197.74</v>
      </c>
      <c r="AL35">
        <v>69.599999999999994</v>
      </c>
      <c r="AM35">
        <v>136.6</v>
      </c>
      <c r="AN35">
        <v>44.23</v>
      </c>
      <c r="AO35">
        <v>988.7</v>
      </c>
      <c r="AP35">
        <v>13.16</v>
      </c>
      <c r="AQ35">
        <v>100.17</v>
      </c>
      <c r="AR35">
        <v>26.02</v>
      </c>
      <c r="AS35">
        <v>14.31</v>
      </c>
      <c r="AT35">
        <v>13.16</v>
      </c>
      <c r="AU35">
        <v>20.16</v>
      </c>
      <c r="AV35">
        <v>404.59</v>
      </c>
      <c r="AW35">
        <v>544.44000000000005</v>
      </c>
      <c r="AX35">
        <v>2464.59</v>
      </c>
      <c r="AY35">
        <v>31.87</v>
      </c>
      <c r="AZ35">
        <v>57.24</v>
      </c>
      <c r="BA35">
        <v>279.7</v>
      </c>
      <c r="BB35">
        <v>536.63</v>
      </c>
      <c r="BC35">
        <v>18.86</v>
      </c>
      <c r="BD35">
        <v>13.16</v>
      </c>
      <c r="BE35">
        <v>304.42</v>
      </c>
      <c r="BF35">
        <v>487.85</v>
      </c>
      <c r="BG35">
        <v>50.74</v>
      </c>
      <c r="BH35">
        <v>18.86</v>
      </c>
      <c r="BI35">
        <v>27.32</v>
      </c>
      <c r="BJ35">
        <v>13.16</v>
      </c>
      <c r="BK35">
        <v>308.97000000000003</v>
      </c>
      <c r="BL35">
        <v>551.59</v>
      </c>
      <c r="BM35">
        <v>80.66</v>
      </c>
      <c r="BN35">
        <v>82.61</v>
      </c>
      <c r="BO35">
        <v>54.64</v>
      </c>
      <c r="BP35">
        <v>42.93</v>
      </c>
      <c r="BQ35">
        <v>13.16</v>
      </c>
      <c r="BR35">
        <v>440.36</v>
      </c>
      <c r="BS35">
        <v>14.96</v>
      </c>
      <c r="BT35">
        <v>2007.32</v>
      </c>
      <c r="BU35">
        <v>290.76</v>
      </c>
      <c r="BV35">
        <v>26.67</v>
      </c>
      <c r="BW35">
        <v>124.89</v>
      </c>
      <c r="BX35">
        <v>1146.76</v>
      </c>
      <c r="BY35">
        <v>245.87</v>
      </c>
      <c r="BZ35">
        <v>314.82</v>
      </c>
      <c r="CA35">
        <v>376.62</v>
      </c>
      <c r="CB35">
        <v>349.95</v>
      </c>
      <c r="CC35">
        <v>15.61</v>
      </c>
      <c r="CD35">
        <v>57.89</v>
      </c>
      <c r="CE35">
        <v>1081.72</v>
      </c>
      <c r="CF35">
        <v>254.33</v>
      </c>
      <c r="CG35">
        <v>54.64</v>
      </c>
      <c r="CH35">
        <v>402.63</v>
      </c>
      <c r="CI35">
        <v>13.16</v>
      </c>
      <c r="CJ35">
        <v>13.16</v>
      </c>
      <c r="CK35">
        <v>44.23</v>
      </c>
      <c r="CL35">
        <v>55.29</v>
      </c>
      <c r="CM35">
        <v>628.34</v>
      </c>
      <c r="CN35">
        <v>103.42</v>
      </c>
      <c r="CO35">
        <v>29.92</v>
      </c>
      <c r="CP35">
        <v>13.16</v>
      </c>
      <c r="CQ35">
        <v>65.05</v>
      </c>
      <c r="CR35">
        <v>111.88</v>
      </c>
      <c r="CS35">
        <v>13.16</v>
      </c>
      <c r="CT35">
        <v>23.42</v>
      </c>
      <c r="CU35">
        <v>61.79</v>
      </c>
      <c r="CV35">
        <v>24.07</v>
      </c>
      <c r="CW35">
        <v>1929.27</v>
      </c>
      <c r="CX35">
        <v>28.62</v>
      </c>
      <c r="CY35">
        <v>277.10000000000002</v>
      </c>
      <c r="CZ35">
        <v>141.15</v>
      </c>
      <c r="DA35">
        <v>13.16</v>
      </c>
      <c r="DB35">
        <v>132.04</v>
      </c>
      <c r="DC35">
        <v>65.7</v>
      </c>
      <c r="DD35">
        <v>31.87</v>
      </c>
      <c r="DE35">
        <v>31.22</v>
      </c>
      <c r="DF35">
        <v>266.04000000000002</v>
      </c>
      <c r="DG35">
        <v>13.16</v>
      </c>
      <c r="DH35">
        <v>1882.43</v>
      </c>
      <c r="DI35">
        <v>33.17</v>
      </c>
      <c r="DJ35">
        <v>70.25</v>
      </c>
      <c r="DK35">
        <v>266.04000000000002</v>
      </c>
      <c r="DL35">
        <v>1983.25</v>
      </c>
      <c r="DM35">
        <v>101.47</v>
      </c>
      <c r="DN35">
        <v>31.22</v>
      </c>
      <c r="DO35">
        <v>98.87</v>
      </c>
      <c r="DP35">
        <v>33.82</v>
      </c>
      <c r="DQ35">
        <v>1198.1500000000001</v>
      </c>
      <c r="DR35">
        <v>37.08</v>
      </c>
      <c r="DS35">
        <v>21.47</v>
      </c>
      <c r="DT35">
        <v>36.43</v>
      </c>
      <c r="DU35">
        <v>2526.39</v>
      </c>
      <c r="DV35">
        <v>30.57</v>
      </c>
      <c r="DW35">
        <v>13.16</v>
      </c>
      <c r="DX35">
        <v>70.900000000000006</v>
      </c>
      <c r="DY35">
        <v>78.709999999999994</v>
      </c>
      <c r="DZ35">
        <v>145.69999999999999</v>
      </c>
      <c r="EA35">
        <v>32.520000000000003</v>
      </c>
      <c r="EB35">
        <v>14.31</v>
      </c>
      <c r="EC35">
        <v>45.53</v>
      </c>
      <c r="ED35">
        <v>13.16</v>
      </c>
      <c r="EE35">
        <v>13.16</v>
      </c>
      <c r="EF35">
        <v>952.92</v>
      </c>
      <c r="EG35">
        <v>554.19000000000005</v>
      </c>
      <c r="EH35">
        <v>13.16</v>
      </c>
      <c r="EI35">
        <v>22.12</v>
      </c>
      <c r="EJ35">
        <v>488.5</v>
      </c>
      <c r="EK35">
        <v>176.27</v>
      </c>
      <c r="EL35">
        <v>4114.16</v>
      </c>
      <c r="EM35">
        <v>545.74</v>
      </c>
      <c r="EN35">
        <v>63.09</v>
      </c>
      <c r="EO35">
        <v>833.89</v>
      </c>
      <c r="EP35">
        <v>14.96</v>
      </c>
      <c r="EQ35">
        <v>3610.7</v>
      </c>
      <c r="ER35">
        <v>13.16</v>
      </c>
      <c r="ES35">
        <v>20.16</v>
      </c>
      <c r="ET35">
        <v>13.16</v>
      </c>
      <c r="EU35">
        <v>138.55000000000001</v>
      </c>
      <c r="EV35">
        <v>18.86</v>
      </c>
      <c r="EW35">
        <v>13.16</v>
      </c>
      <c r="EX35">
        <v>352.55</v>
      </c>
      <c r="EY35">
        <v>126.84</v>
      </c>
      <c r="EZ35">
        <v>13.16</v>
      </c>
      <c r="FA35">
        <v>114.48</v>
      </c>
      <c r="FB35">
        <v>13.16</v>
      </c>
      <c r="FC35">
        <v>22.12</v>
      </c>
      <c r="FD35">
        <v>21.47</v>
      </c>
      <c r="FE35">
        <v>6163.76</v>
      </c>
      <c r="FF35">
        <v>27.97</v>
      </c>
      <c r="FG35">
        <v>1146.76</v>
      </c>
      <c r="FH35">
        <v>1007.56</v>
      </c>
      <c r="FI35">
        <v>20.16</v>
      </c>
      <c r="FJ35">
        <v>772.1</v>
      </c>
      <c r="FK35">
        <v>165.87</v>
      </c>
      <c r="FL35">
        <v>82.61</v>
      </c>
      <c r="FM35">
        <v>440.36</v>
      </c>
      <c r="FN35">
        <v>132.69</v>
      </c>
      <c r="FO35">
        <v>61.14</v>
      </c>
      <c r="FP35">
        <v>16.91</v>
      </c>
      <c r="FQ35">
        <v>23.42</v>
      </c>
      <c r="FR35">
        <v>33.82</v>
      </c>
      <c r="FS35">
        <v>13.16</v>
      </c>
      <c r="FT35">
        <v>67</v>
      </c>
      <c r="FU35">
        <v>2079.52</v>
      </c>
      <c r="FV35">
        <v>1842.75</v>
      </c>
      <c r="FW35">
        <v>13.16</v>
      </c>
      <c r="FX35">
        <v>49.43</v>
      </c>
      <c r="FY35">
        <v>16.260000000000002</v>
      </c>
      <c r="FZ35">
        <v>1129.2</v>
      </c>
      <c r="GA35">
        <v>72.849999999999994</v>
      </c>
      <c r="GB35">
        <v>195.79</v>
      </c>
      <c r="GC35">
        <v>13.16</v>
      </c>
      <c r="GD35">
        <v>94.32</v>
      </c>
      <c r="GE35">
        <v>119.68</v>
      </c>
      <c r="GF35">
        <v>368.81</v>
      </c>
      <c r="GG35">
        <v>975.69</v>
      </c>
      <c r="GH35">
        <v>641.35</v>
      </c>
      <c r="GI35">
        <v>7248.08</v>
      </c>
      <c r="GJ35">
        <v>59.84</v>
      </c>
      <c r="GK35">
        <v>9134.41</v>
      </c>
      <c r="GL35">
        <v>13.66</v>
      </c>
      <c r="GM35">
        <v>23.42</v>
      </c>
      <c r="GN35">
        <v>13.16</v>
      </c>
      <c r="GO35">
        <v>378.57</v>
      </c>
      <c r="GP35">
        <v>14.96</v>
      </c>
      <c r="GQ35">
        <v>18.21</v>
      </c>
      <c r="GR35">
        <v>557.44000000000005</v>
      </c>
      <c r="GS35">
        <v>286.2</v>
      </c>
      <c r="GT35">
        <v>294.01</v>
      </c>
      <c r="GU35">
        <v>13.16</v>
      </c>
      <c r="GV35">
        <v>38.380000000000003</v>
      </c>
      <c r="GW35">
        <v>13.16</v>
      </c>
      <c r="GX35">
        <v>123.59</v>
      </c>
      <c r="GY35">
        <v>15.61</v>
      </c>
      <c r="GZ35">
        <v>117.73</v>
      </c>
      <c r="HA35">
        <v>131.38999999999999</v>
      </c>
      <c r="HB35">
        <v>1119.44</v>
      </c>
      <c r="HC35">
        <v>78.709999999999994</v>
      </c>
      <c r="HD35">
        <v>3502.08</v>
      </c>
      <c r="HE35">
        <v>18.86</v>
      </c>
      <c r="HF35">
        <v>3395.4</v>
      </c>
      <c r="HG35">
        <v>122.29</v>
      </c>
      <c r="HH35">
        <v>31.87</v>
      </c>
      <c r="HI35">
        <v>13.16</v>
      </c>
      <c r="HJ35">
        <v>735.67</v>
      </c>
      <c r="HK35">
        <v>5108.0600000000004</v>
      </c>
      <c r="HL35">
        <v>1505.17</v>
      </c>
      <c r="HM35">
        <v>152.86000000000001</v>
      </c>
      <c r="HN35">
        <v>1321.74</v>
      </c>
      <c r="HO35">
        <v>13.16</v>
      </c>
      <c r="HP35">
        <v>102.12</v>
      </c>
      <c r="HQ35">
        <v>7791.86</v>
      </c>
      <c r="HR35">
        <v>111.23</v>
      </c>
      <c r="HS35">
        <v>318.08</v>
      </c>
      <c r="HT35">
        <v>234.82</v>
      </c>
      <c r="HU35">
        <v>193.84</v>
      </c>
      <c r="HV35">
        <v>159.36000000000001</v>
      </c>
      <c r="HW35">
        <v>5832.03</v>
      </c>
      <c r="HX35">
        <v>13.16</v>
      </c>
      <c r="HY35">
        <v>13.16</v>
      </c>
      <c r="HZ35">
        <v>100.82</v>
      </c>
      <c r="IA35">
        <v>261.49</v>
      </c>
      <c r="IB35">
        <v>295.31</v>
      </c>
      <c r="IC35">
        <v>29.27</v>
      </c>
      <c r="ID35">
        <v>81.31</v>
      </c>
      <c r="IE35">
        <v>20.16</v>
      </c>
      <c r="IF35">
        <v>412.39</v>
      </c>
      <c r="IG35">
        <v>24.72</v>
      </c>
      <c r="IH35">
        <v>13.16</v>
      </c>
      <c r="II35">
        <v>372.06</v>
      </c>
      <c r="IJ35">
        <v>96.92</v>
      </c>
      <c r="IK35">
        <v>22.77</v>
      </c>
      <c r="IL35">
        <v>2538.1</v>
      </c>
      <c r="IM35">
        <v>873.57</v>
      </c>
      <c r="IN35">
        <v>197.09</v>
      </c>
      <c r="IO35">
        <v>13.16</v>
      </c>
      <c r="IP35">
        <v>90.41</v>
      </c>
      <c r="IQ35">
        <v>13.16</v>
      </c>
      <c r="IR35">
        <v>14.31</v>
      </c>
      <c r="IS35">
        <v>22.12</v>
      </c>
      <c r="IT35">
        <v>13.16</v>
      </c>
      <c r="IU35">
        <v>85.21</v>
      </c>
      <c r="IV35">
        <v>1222.8699999999999</v>
      </c>
      <c r="IW35">
        <v>155.46</v>
      </c>
      <c r="IX35">
        <v>3604.85</v>
      </c>
      <c r="IY35">
        <v>57.89</v>
      </c>
      <c r="IZ35">
        <v>14.96</v>
      </c>
      <c r="JA35">
        <v>440.36</v>
      </c>
      <c r="JB35">
        <v>420.85</v>
      </c>
      <c r="JC35">
        <v>41.63</v>
      </c>
      <c r="JD35">
        <v>137.9</v>
      </c>
      <c r="JE35">
        <v>18.21</v>
      </c>
      <c r="JF35">
        <v>13.16</v>
      </c>
      <c r="JG35">
        <v>28.62</v>
      </c>
      <c r="JH35">
        <v>350.6</v>
      </c>
      <c r="JI35">
        <v>295.31</v>
      </c>
      <c r="JJ35">
        <v>79.36</v>
      </c>
      <c r="JK35">
        <v>13.16</v>
      </c>
      <c r="JL35">
        <v>89.76</v>
      </c>
      <c r="JM35">
        <v>21.47</v>
      </c>
      <c r="JN35">
        <v>13.16</v>
      </c>
      <c r="JO35">
        <v>128.13999999999999</v>
      </c>
      <c r="JP35">
        <v>1016.02</v>
      </c>
      <c r="JQ35">
        <v>1920.16</v>
      </c>
      <c r="JR35">
        <v>31.22</v>
      </c>
      <c r="JS35">
        <v>14.96</v>
      </c>
      <c r="JT35">
        <v>54.64</v>
      </c>
      <c r="JU35">
        <v>188.63</v>
      </c>
      <c r="JV35">
        <v>320.02999999999997</v>
      </c>
      <c r="JW35">
        <v>18.86</v>
      </c>
      <c r="JX35">
        <v>60.49</v>
      </c>
      <c r="JY35">
        <v>253.03</v>
      </c>
      <c r="JZ35">
        <v>20.16</v>
      </c>
      <c r="KA35">
        <v>21.47</v>
      </c>
      <c r="KB35">
        <v>17.559999999999999</v>
      </c>
      <c r="KC35">
        <v>29.92</v>
      </c>
      <c r="KD35">
        <v>13.16</v>
      </c>
      <c r="KE35">
        <v>91.06</v>
      </c>
      <c r="KF35">
        <v>188.63</v>
      </c>
      <c r="KG35">
        <v>331.73</v>
      </c>
      <c r="KH35">
        <v>83.26</v>
      </c>
      <c r="KI35">
        <v>250.43</v>
      </c>
      <c r="KJ35">
        <v>204.24</v>
      </c>
      <c r="KK35">
        <v>178.23</v>
      </c>
      <c r="KL35">
        <v>61.14</v>
      </c>
      <c r="KM35">
        <v>31.87</v>
      </c>
      <c r="KN35">
        <v>380.52</v>
      </c>
      <c r="KO35">
        <v>238.72</v>
      </c>
      <c r="KP35">
        <v>76.75</v>
      </c>
      <c r="KQ35">
        <v>4557.7700000000004</v>
      </c>
      <c r="KR35">
        <v>701.85</v>
      </c>
      <c r="KS35">
        <v>1624.2</v>
      </c>
      <c r="KT35">
        <v>5822.27</v>
      </c>
      <c r="KU35">
        <v>16355.17</v>
      </c>
      <c r="KV35">
        <v>2059.36</v>
      </c>
      <c r="KW35">
        <v>235.47</v>
      </c>
      <c r="KX35">
        <v>169.12</v>
      </c>
      <c r="KY35">
        <v>37.08</v>
      </c>
      <c r="KZ35">
        <v>30.57</v>
      </c>
      <c r="LA35">
        <v>466.38</v>
      </c>
      <c r="LB35">
        <v>589.32000000000005</v>
      </c>
      <c r="LC35">
        <v>608.17999999999995</v>
      </c>
      <c r="LD35">
        <v>399.38</v>
      </c>
      <c r="LE35">
        <v>56.59</v>
      </c>
      <c r="LF35">
        <v>1898.69</v>
      </c>
      <c r="LG35">
        <v>1682.74</v>
      </c>
      <c r="LH35">
        <v>18.21</v>
      </c>
      <c r="LI35">
        <v>4477.12</v>
      </c>
      <c r="LJ35">
        <v>338.24</v>
      </c>
      <c r="LK35">
        <v>1040.0899999999999</v>
      </c>
      <c r="LL35">
        <v>132.69</v>
      </c>
      <c r="LM35">
        <v>13.16</v>
      </c>
      <c r="LN35">
        <v>409.79</v>
      </c>
      <c r="LO35">
        <v>43.58</v>
      </c>
      <c r="LP35">
        <v>1413.45</v>
      </c>
      <c r="LQ35">
        <v>56.59</v>
      </c>
      <c r="LR35">
        <v>133.34</v>
      </c>
      <c r="LS35">
        <v>33.82</v>
      </c>
      <c r="LT35">
        <v>42.93</v>
      </c>
      <c r="LU35">
        <v>155.46</v>
      </c>
      <c r="LV35">
        <v>112.53</v>
      </c>
      <c r="LW35">
        <v>104.07</v>
      </c>
      <c r="LX35">
        <v>2510.13</v>
      </c>
      <c r="LY35">
        <v>2171.89</v>
      </c>
      <c r="LZ35">
        <v>10646.73</v>
      </c>
      <c r="MA35">
        <v>548.99</v>
      </c>
      <c r="MB35">
        <v>7094.57</v>
      </c>
      <c r="MC35">
        <v>1620.95</v>
      </c>
      <c r="MD35">
        <v>1295.07</v>
      </c>
      <c r="ME35">
        <v>296.61</v>
      </c>
      <c r="MF35">
        <v>2117.9</v>
      </c>
      <c r="MG35">
        <v>2428.17</v>
      </c>
      <c r="MH35">
        <v>1857.71</v>
      </c>
      <c r="MI35">
        <v>13.16</v>
      </c>
      <c r="MJ35">
        <v>744.13</v>
      </c>
      <c r="MK35">
        <v>14.96</v>
      </c>
      <c r="ML35">
        <v>1540.29</v>
      </c>
      <c r="MM35">
        <v>1859.02</v>
      </c>
      <c r="MN35">
        <v>630.29999999999995</v>
      </c>
      <c r="MO35">
        <v>13.16</v>
      </c>
      <c r="MP35">
        <v>83.26</v>
      </c>
      <c r="MQ35">
        <v>72.849999999999994</v>
      </c>
      <c r="MR35">
        <v>13.16</v>
      </c>
      <c r="MS35">
        <v>353.2</v>
      </c>
      <c r="MT35">
        <v>2384.59</v>
      </c>
      <c r="MU35">
        <v>27.97</v>
      </c>
      <c r="MV35">
        <v>33.17</v>
      </c>
      <c r="MW35">
        <v>145.05000000000001</v>
      </c>
      <c r="MX35">
        <v>68.3</v>
      </c>
      <c r="MY35">
        <v>13.16</v>
      </c>
      <c r="MZ35">
        <v>104.07</v>
      </c>
      <c r="NA35">
        <v>35.119999999999997</v>
      </c>
      <c r="NB35">
        <v>1349.71</v>
      </c>
      <c r="NC35">
        <v>962.03</v>
      </c>
      <c r="ND35">
        <v>986.75</v>
      </c>
      <c r="NE35">
        <v>338.24</v>
      </c>
      <c r="NF35">
        <v>13.16</v>
      </c>
      <c r="NG35">
        <v>16.260000000000002</v>
      </c>
      <c r="NH35">
        <v>149.61000000000001</v>
      </c>
      <c r="NI35">
        <v>4920.08</v>
      </c>
      <c r="NJ35">
        <v>126.84</v>
      </c>
      <c r="NK35">
        <v>328.48</v>
      </c>
      <c r="NL35">
        <v>217.25</v>
      </c>
      <c r="NM35">
        <v>2497.12</v>
      </c>
      <c r="NN35">
        <v>275.8</v>
      </c>
      <c r="NO35">
        <v>22.12</v>
      </c>
      <c r="NP35">
        <v>13.16</v>
      </c>
      <c r="NQ35">
        <v>1879.18</v>
      </c>
      <c r="NR35">
        <v>517.12</v>
      </c>
      <c r="NS35">
        <v>796.81</v>
      </c>
      <c r="NT35">
        <v>311.57</v>
      </c>
      <c r="NU35">
        <v>683.63</v>
      </c>
      <c r="NV35">
        <v>319.38</v>
      </c>
      <c r="NW35">
        <v>215.95</v>
      </c>
      <c r="NX35">
        <v>106.68</v>
      </c>
      <c r="NY35">
        <v>218.55</v>
      </c>
      <c r="NZ35">
        <v>718.11</v>
      </c>
      <c r="OA35">
        <v>148.96</v>
      </c>
      <c r="OB35">
        <v>643.96</v>
      </c>
      <c r="OC35">
        <v>6636.65</v>
      </c>
      <c r="OD35">
        <v>106.03</v>
      </c>
      <c r="OE35">
        <v>1819.99</v>
      </c>
      <c r="OF35">
        <v>31.87</v>
      </c>
      <c r="OG35">
        <v>4759.42</v>
      </c>
      <c r="OH35">
        <v>102.12</v>
      </c>
      <c r="OI35">
        <v>59.19</v>
      </c>
      <c r="OJ35">
        <v>43.58</v>
      </c>
      <c r="OK35">
        <v>2653.23</v>
      </c>
      <c r="OL35">
        <v>148.96</v>
      </c>
      <c r="OM35">
        <v>539.88</v>
      </c>
      <c r="ON35">
        <v>305.72000000000003</v>
      </c>
      <c r="OO35">
        <v>506.71</v>
      </c>
      <c r="OP35">
        <v>270.58999999999997</v>
      </c>
      <c r="OQ35">
        <v>338.89</v>
      </c>
      <c r="OR35">
        <v>16.260000000000002</v>
      </c>
      <c r="OS35">
        <v>684.93</v>
      </c>
      <c r="OT35">
        <v>219.21</v>
      </c>
      <c r="OU35">
        <v>82.61</v>
      </c>
      <c r="OV35">
        <v>710.95</v>
      </c>
      <c r="OW35">
        <v>18.86</v>
      </c>
      <c r="OX35">
        <v>40.33</v>
      </c>
      <c r="OY35">
        <v>13.16</v>
      </c>
      <c r="OZ35">
        <v>13.16</v>
      </c>
      <c r="PA35">
        <v>13.16</v>
      </c>
      <c r="PB35">
        <v>130.09</v>
      </c>
      <c r="PC35">
        <v>15.61</v>
      </c>
      <c r="PD35">
        <v>32.520000000000003</v>
      </c>
      <c r="PE35">
        <v>18.21</v>
      </c>
      <c r="PF35">
        <v>513.86</v>
      </c>
      <c r="PG35">
        <v>41.63</v>
      </c>
      <c r="PH35">
        <v>147</v>
      </c>
      <c r="PI35">
        <v>59.84</v>
      </c>
      <c r="PJ35">
        <v>5281.09</v>
      </c>
      <c r="PK35">
        <v>8346.06</v>
      </c>
      <c r="PL35">
        <v>57.89</v>
      </c>
      <c r="PM35">
        <v>34207.050000000003</v>
      </c>
      <c r="PN35">
        <v>819.58</v>
      </c>
      <c r="PO35">
        <v>80.66</v>
      </c>
      <c r="PP35">
        <v>505.41</v>
      </c>
      <c r="PQ35">
        <v>22.77</v>
      </c>
      <c r="PR35">
        <v>13.16</v>
      </c>
      <c r="PS35">
        <v>26.67</v>
      </c>
      <c r="PT35">
        <v>19.510000000000002</v>
      </c>
      <c r="PU35">
        <v>273.83999999999997</v>
      </c>
      <c r="PV35">
        <v>67</v>
      </c>
      <c r="PW35">
        <v>71.55</v>
      </c>
      <c r="PX35">
        <v>19.510000000000002</v>
      </c>
      <c r="PY35">
        <v>336.94</v>
      </c>
      <c r="PZ35">
        <v>19.510000000000002</v>
      </c>
      <c r="QA35">
        <v>352.55</v>
      </c>
      <c r="QB35">
        <v>4923.33</v>
      </c>
      <c r="QC35">
        <v>152.21</v>
      </c>
      <c r="QD35">
        <v>62.44</v>
      </c>
      <c r="QE35">
        <v>544.44000000000005</v>
      </c>
      <c r="QF35">
        <v>214</v>
      </c>
      <c r="QG35">
        <v>601.03</v>
      </c>
      <c r="QH35">
        <v>67</v>
      </c>
      <c r="QI35">
        <v>13.16</v>
      </c>
      <c r="QJ35">
        <v>100.17</v>
      </c>
      <c r="QK35">
        <v>16.260000000000002</v>
      </c>
      <c r="QL35">
        <v>355.8</v>
      </c>
      <c r="QM35">
        <v>745.43</v>
      </c>
      <c r="QN35">
        <v>831.29</v>
      </c>
      <c r="QO35">
        <v>13.16</v>
      </c>
      <c r="QP35">
        <v>143.75</v>
      </c>
      <c r="QQ35">
        <v>323.93</v>
      </c>
      <c r="QR35">
        <v>26.67</v>
      </c>
      <c r="QS35">
        <v>1481.1</v>
      </c>
      <c r="QT35">
        <v>476.79</v>
      </c>
      <c r="QU35">
        <v>42.28</v>
      </c>
      <c r="QV35">
        <v>285.55</v>
      </c>
      <c r="QW35">
        <v>74.8</v>
      </c>
      <c r="QX35">
        <v>221.81</v>
      </c>
      <c r="QY35">
        <v>18.21</v>
      </c>
      <c r="QZ35">
        <v>13.16</v>
      </c>
      <c r="RA35">
        <v>85.21</v>
      </c>
      <c r="RB35">
        <v>18121.82</v>
      </c>
      <c r="RC35">
        <v>497.6</v>
      </c>
      <c r="RD35">
        <v>1855.11</v>
      </c>
      <c r="RE35">
        <v>37.729999999999997</v>
      </c>
      <c r="RF35">
        <v>295.31</v>
      </c>
      <c r="RG35">
        <v>177.58</v>
      </c>
      <c r="RH35">
        <v>29.92</v>
      </c>
      <c r="RI35">
        <v>41.63</v>
      </c>
      <c r="RJ35">
        <v>253.03</v>
      </c>
      <c r="RK35">
        <v>13.16</v>
      </c>
      <c r="RL35">
        <v>176.27</v>
      </c>
      <c r="RM35">
        <v>90.41</v>
      </c>
      <c r="RN35">
        <v>162.62</v>
      </c>
      <c r="RO35">
        <v>869.67</v>
      </c>
      <c r="RP35">
        <v>232.86</v>
      </c>
      <c r="RQ35">
        <v>578.91</v>
      </c>
      <c r="RR35">
        <v>18.86</v>
      </c>
      <c r="RS35">
        <v>792.26</v>
      </c>
      <c r="RT35">
        <v>447.52</v>
      </c>
      <c r="RU35">
        <v>13.16</v>
      </c>
      <c r="RV35">
        <v>17.559999999999999</v>
      </c>
      <c r="RW35">
        <v>1481.75</v>
      </c>
      <c r="RX35">
        <v>1694.45</v>
      </c>
      <c r="RY35">
        <v>602.33000000000004</v>
      </c>
      <c r="RZ35">
        <v>26.67</v>
      </c>
      <c r="SA35">
        <v>365.56</v>
      </c>
      <c r="SB35">
        <v>37.08</v>
      </c>
      <c r="SC35">
        <v>42.93</v>
      </c>
      <c r="SD35">
        <v>1457.68</v>
      </c>
      <c r="SE35">
        <v>1117.49</v>
      </c>
      <c r="SF35">
        <v>502.16</v>
      </c>
      <c r="SG35">
        <v>7047.09</v>
      </c>
      <c r="SH35">
        <v>132.04</v>
      </c>
      <c r="SI35">
        <v>17.559999999999999</v>
      </c>
      <c r="SJ35">
        <v>124.89</v>
      </c>
      <c r="SK35">
        <v>65.7</v>
      </c>
      <c r="SL35">
        <v>195.14</v>
      </c>
      <c r="SM35">
        <v>17.559999999999999</v>
      </c>
      <c r="SN35">
        <v>409.79</v>
      </c>
      <c r="SO35">
        <v>13.16</v>
      </c>
      <c r="SP35">
        <v>124.89</v>
      </c>
      <c r="SQ35">
        <v>941.22</v>
      </c>
      <c r="SR35">
        <v>1652.17</v>
      </c>
      <c r="SS35">
        <v>541.83000000000004</v>
      </c>
      <c r="ST35">
        <v>925.6</v>
      </c>
      <c r="SU35">
        <v>1232.6199999999999</v>
      </c>
      <c r="SV35">
        <v>535.98</v>
      </c>
      <c r="SW35">
        <v>621.19000000000005</v>
      </c>
      <c r="SX35">
        <v>188.63</v>
      </c>
      <c r="SY35">
        <v>375.97</v>
      </c>
      <c r="SZ35">
        <v>13.16</v>
      </c>
      <c r="TA35">
        <v>13.16</v>
      </c>
      <c r="TB35">
        <v>962.03</v>
      </c>
      <c r="TC35">
        <v>836.49</v>
      </c>
      <c r="TD35">
        <v>36.43</v>
      </c>
      <c r="TE35">
        <v>1046.5899999999999</v>
      </c>
      <c r="TF35">
        <v>517.77</v>
      </c>
      <c r="TG35">
        <v>739.57</v>
      </c>
      <c r="TH35">
        <v>155.46</v>
      </c>
      <c r="TI35">
        <v>74.150000000000006</v>
      </c>
      <c r="TJ35">
        <v>13.16</v>
      </c>
      <c r="TK35">
        <v>57.89</v>
      </c>
      <c r="TL35">
        <v>152.21</v>
      </c>
      <c r="TM35">
        <v>147</v>
      </c>
      <c r="TN35">
        <v>482.64</v>
      </c>
      <c r="TO35">
        <v>1110.3399999999999</v>
      </c>
      <c r="TP35">
        <v>1447.27</v>
      </c>
      <c r="TQ35">
        <v>492.4</v>
      </c>
      <c r="TR35">
        <v>13.16</v>
      </c>
      <c r="TS35">
        <v>239.37</v>
      </c>
      <c r="TT35">
        <v>42.93</v>
      </c>
      <c r="TU35">
        <v>27.32</v>
      </c>
      <c r="TV35">
        <v>238.72</v>
      </c>
      <c r="TW35">
        <v>632.25</v>
      </c>
      <c r="TX35">
        <v>237.42</v>
      </c>
      <c r="TY35">
        <v>40.98</v>
      </c>
      <c r="TZ35">
        <v>96.92</v>
      </c>
      <c r="UA35">
        <v>208.8</v>
      </c>
      <c r="UB35">
        <v>207.5</v>
      </c>
      <c r="UC35">
        <v>9633.9699999999993</v>
      </c>
      <c r="UD35">
        <v>13.16</v>
      </c>
      <c r="UE35">
        <v>14.31</v>
      </c>
      <c r="UF35">
        <v>1527.93</v>
      </c>
      <c r="UG35">
        <v>83.26</v>
      </c>
      <c r="UH35">
        <v>13.16</v>
      </c>
      <c r="UI35">
        <v>35.119999999999997</v>
      </c>
      <c r="UJ35">
        <v>96.92</v>
      </c>
      <c r="UK35">
        <v>23.42</v>
      </c>
      <c r="UL35">
        <v>13.16</v>
      </c>
      <c r="UM35">
        <v>18.21</v>
      </c>
      <c r="UN35">
        <v>72.2</v>
      </c>
      <c r="UO35">
        <v>122.94</v>
      </c>
      <c r="UP35">
        <v>13.16</v>
      </c>
      <c r="UQ35">
        <v>13.16</v>
      </c>
      <c r="UR35">
        <v>26.02</v>
      </c>
      <c r="US35">
        <v>58.54</v>
      </c>
      <c r="UT35">
        <v>145.05000000000001</v>
      </c>
      <c r="UU35">
        <v>740.22</v>
      </c>
      <c r="UV35">
        <v>625.74</v>
      </c>
      <c r="UW35">
        <v>316.12</v>
      </c>
      <c r="UX35">
        <v>40.98</v>
      </c>
      <c r="UY35">
        <v>522.32000000000005</v>
      </c>
      <c r="UZ35">
        <v>111.23</v>
      </c>
      <c r="VA35">
        <v>362.96</v>
      </c>
      <c r="VB35">
        <v>846.25</v>
      </c>
      <c r="VC35">
        <v>140.5</v>
      </c>
      <c r="VD35">
        <v>321.33</v>
      </c>
      <c r="VE35">
        <v>36.43</v>
      </c>
      <c r="VF35">
        <v>398.08</v>
      </c>
      <c r="VG35">
        <v>18.86</v>
      </c>
      <c r="VH35">
        <v>40.33</v>
      </c>
      <c r="VI35">
        <v>24.72</v>
      </c>
      <c r="VJ35">
        <v>18.86</v>
      </c>
      <c r="VK35">
        <v>1152.6199999999999</v>
      </c>
      <c r="VL35">
        <v>939.26</v>
      </c>
      <c r="VM35">
        <v>854.05</v>
      </c>
      <c r="VN35">
        <v>685.59</v>
      </c>
      <c r="VO35">
        <v>13.16</v>
      </c>
      <c r="VP35">
        <v>13.16</v>
      </c>
      <c r="VQ35">
        <v>903.49</v>
      </c>
      <c r="VR35">
        <v>355.8</v>
      </c>
      <c r="VS35">
        <v>407.19</v>
      </c>
      <c r="VT35">
        <v>62.44</v>
      </c>
      <c r="VU35">
        <v>27.32</v>
      </c>
      <c r="VV35">
        <v>13.66</v>
      </c>
      <c r="VW35">
        <v>225.06</v>
      </c>
      <c r="VX35">
        <v>174.32</v>
      </c>
      <c r="VY35">
        <v>72.849999999999994</v>
      </c>
      <c r="VZ35">
        <v>15809.44</v>
      </c>
      <c r="WA35">
        <v>9659.99</v>
      </c>
      <c r="WB35">
        <v>251.08</v>
      </c>
      <c r="WC35">
        <v>116.43</v>
      </c>
      <c r="WD35">
        <v>23.42</v>
      </c>
      <c r="WE35">
        <v>3278.32</v>
      </c>
      <c r="WF35">
        <v>156.76</v>
      </c>
      <c r="WG35">
        <v>359.7</v>
      </c>
      <c r="WH35">
        <v>59655.01</v>
      </c>
      <c r="WI35">
        <v>98711.91</v>
      </c>
      <c r="WJ35">
        <v>1331.49</v>
      </c>
      <c r="WK35">
        <v>506.71</v>
      </c>
      <c r="WL35">
        <v>698.59</v>
      </c>
      <c r="WM35">
        <v>20.16</v>
      </c>
      <c r="WN35">
        <v>28.62</v>
      </c>
      <c r="WO35">
        <v>13.16</v>
      </c>
      <c r="WP35">
        <v>394.18</v>
      </c>
      <c r="WQ35">
        <v>1443.37</v>
      </c>
      <c r="WR35">
        <v>204.89</v>
      </c>
      <c r="WS35">
        <v>29.27</v>
      </c>
      <c r="WT35">
        <v>13.16</v>
      </c>
      <c r="WU35">
        <v>535.98</v>
      </c>
      <c r="WV35">
        <v>1111.6400000000001</v>
      </c>
      <c r="WW35">
        <v>14.31</v>
      </c>
      <c r="WX35">
        <v>163.27000000000001</v>
      </c>
      <c r="WY35">
        <v>131.38999999999999</v>
      </c>
      <c r="WZ35">
        <v>24.72</v>
      </c>
      <c r="XA35">
        <v>13.16</v>
      </c>
      <c r="XB35">
        <v>627.69000000000005</v>
      </c>
      <c r="XC35">
        <v>27.32</v>
      </c>
      <c r="XD35">
        <v>58.54</v>
      </c>
      <c r="XE35">
        <v>410.44</v>
      </c>
      <c r="XF35">
        <v>1356.86</v>
      </c>
      <c r="XG35">
        <v>433.86</v>
      </c>
      <c r="XH35">
        <v>357.1</v>
      </c>
      <c r="XI35">
        <v>1403.04</v>
      </c>
      <c r="XJ35">
        <v>387.67</v>
      </c>
      <c r="XK35">
        <v>798.77</v>
      </c>
      <c r="XL35">
        <v>122.94</v>
      </c>
      <c r="XM35">
        <v>30.57</v>
      </c>
      <c r="XN35">
        <v>308.32</v>
      </c>
      <c r="XO35">
        <v>20.16</v>
      </c>
      <c r="XP35">
        <v>20.16</v>
      </c>
      <c r="XQ35">
        <v>13.16</v>
      </c>
      <c r="XR35">
        <v>13.16</v>
      </c>
      <c r="XS35">
        <v>4724.29</v>
      </c>
      <c r="XT35">
        <v>169.77</v>
      </c>
      <c r="XU35">
        <v>234.17</v>
      </c>
      <c r="XV35">
        <v>359.7</v>
      </c>
      <c r="XW35">
        <v>1671.68</v>
      </c>
      <c r="XX35">
        <v>830.64</v>
      </c>
      <c r="XY35">
        <v>1944.88</v>
      </c>
      <c r="XZ35">
        <v>100.17</v>
      </c>
      <c r="YA35">
        <v>736.32</v>
      </c>
      <c r="YB35">
        <v>353.2</v>
      </c>
      <c r="YC35">
        <v>30.57</v>
      </c>
      <c r="YD35">
        <v>1380.93</v>
      </c>
      <c r="YE35">
        <v>377.92</v>
      </c>
      <c r="YF35">
        <v>362.96</v>
      </c>
      <c r="YG35">
        <v>63.09</v>
      </c>
      <c r="YH35">
        <v>17.559999999999999</v>
      </c>
      <c r="YI35">
        <v>66.349999999999994</v>
      </c>
      <c r="YJ35">
        <v>36.43</v>
      </c>
      <c r="YK35">
        <v>13.16</v>
      </c>
      <c r="YL35">
        <v>575.01</v>
      </c>
      <c r="YM35">
        <v>2527.04</v>
      </c>
      <c r="YN35">
        <v>115.78</v>
      </c>
      <c r="YO35">
        <v>138.55000000000001</v>
      </c>
      <c r="YP35">
        <v>2209.61</v>
      </c>
      <c r="YQ35">
        <v>234.17</v>
      </c>
      <c r="YR35">
        <v>91.71</v>
      </c>
      <c r="YS35">
        <v>2360.52</v>
      </c>
      <c r="YT35">
        <v>165.87</v>
      </c>
      <c r="YU35">
        <v>202.94</v>
      </c>
      <c r="YV35">
        <v>19.510000000000002</v>
      </c>
      <c r="YW35">
        <v>85.86</v>
      </c>
      <c r="YX35">
        <v>58.54</v>
      </c>
      <c r="YY35">
        <v>512.55999999999995</v>
      </c>
      <c r="YZ35">
        <v>32.520000000000003</v>
      </c>
      <c r="ZA35">
        <v>265.39</v>
      </c>
      <c r="ZB35">
        <v>36.43</v>
      </c>
      <c r="ZC35">
        <v>13.16</v>
      </c>
      <c r="ZD35">
        <v>30.57</v>
      </c>
      <c r="ZE35">
        <v>22.77</v>
      </c>
      <c r="ZF35">
        <v>147</v>
      </c>
      <c r="ZG35">
        <v>208.8</v>
      </c>
      <c r="ZH35">
        <v>243.92</v>
      </c>
      <c r="ZI35">
        <v>309.62</v>
      </c>
      <c r="ZJ35">
        <v>397.43</v>
      </c>
      <c r="ZK35">
        <v>115.78</v>
      </c>
      <c r="ZL35">
        <v>13.16</v>
      </c>
      <c r="ZM35">
        <v>87.16</v>
      </c>
      <c r="ZN35">
        <v>29.92</v>
      </c>
      <c r="ZO35">
        <v>36.43</v>
      </c>
      <c r="ZP35">
        <v>210.1</v>
      </c>
      <c r="ZQ35">
        <v>25.37</v>
      </c>
      <c r="ZR35">
        <v>40.33</v>
      </c>
      <c r="ZS35">
        <v>1194.24</v>
      </c>
      <c r="ZT35">
        <v>312.22000000000003</v>
      </c>
      <c r="ZU35">
        <v>167.82</v>
      </c>
      <c r="ZV35">
        <v>19.510000000000002</v>
      </c>
      <c r="ZW35">
        <v>13.16</v>
      </c>
      <c r="ZX35">
        <v>72.2</v>
      </c>
      <c r="ZY35">
        <v>1865.52</v>
      </c>
      <c r="ZZ35">
        <v>171.07</v>
      </c>
      <c r="AAA35">
        <v>78.709999999999994</v>
      </c>
      <c r="AAB35">
        <v>40.98</v>
      </c>
      <c r="AAC35">
        <v>13.16</v>
      </c>
      <c r="AAD35">
        <v>23.42</v>
      </c>
      <c r="AAE35">
        <v>16.91</v>
      </c>
      <c r="AAF35">
        <v>21.47</v>
      </c>
      <c r="AAG35">
        <v>168.47</v>
      </c>
      <c r="AAH35">
        <v>124.24</v>
      </c>
      <c r="AAI35">
        <v>6750.48</v>
      </c>
      <c r="AAJ35">
        <v>510.61</v>
      </c>
      <c r="AAK35">
        <v>2417.7600000000002</v>
      </c>
      <c r="AAL35">
        <v>151.56</v>
      </c>
      <c r="AAM35">
        <v>13.16</v>
      </c>
      <c r="AAN35">
        <v>500.2</v>
      </c>
      <c r="AAO35">
        <v>111.23</v>
      </c>
      <c r="AAP35">
        <v>307.02</v>
      </c>
      <c r="AAQ35">
        <v>18.86</v>
      </c>
      <c r="AAR35">
        <v>24.72</v>
      </c>
      <c r="AAS35">
        <v>1361.41</v>
      </c>
      <c r="AAT35">
        <v>22.77</v>
      </c>
      <c r="AAU35">
        <v>13.16</v>
      </c>
      <c r="AAV35">
        <v>2452.89</v>
      </c>
      <c r="AAW35">
        <v>24.07</v>
      </c>
      <c r="AAX35">
        <v>63.09</v>
      </c>
      <c r="AAY35">
        <v>18.21</v>
      </c>
      <c r="AAZ35">
        <v>29.27</v>
      </c>
      <c r="ABA35">
        <v>167.82</v>
      </c>
      <c r="ABB35">
        <v>29.92</v>
      </c>
      <c r="ABC35">
        <v>465.73</v>
      </c>
      <c r="ABD35">
        <v>2341.66</v>
      </c>
      <c r="ABE35">
        <v>437.76</v>
      </c>
      <c r="ABF35">
        <v>254.98</v>
      </c>
      <c r="ABG35">
        <v>64.400000000000006</v>
      </c>
      <c r="ABH35">
        <v>113.18</v>
      </c>
      <c r="ABI35">
        <v>102.12</v>
      </c>
      <c r="ABJ35">
        <v>41.63</v>
      </c>
      <c r="ABK35">
        <v>58.54</v>
      </c>
      <c r="ABL35">
        <v>13.16</v>
      </c>
      <c r="ABM35">
        <v>100.17</v>
      </c>
      <c r="ABN35">
        <v>63.09</v>
      </c>
      <c r="ABO35">
        <v>13.16</v>
      </c>
      <c r="ABP35">
        <v>25.37</v>
      </c>
      <c r="ABQ35">
        <v>565.25</v>
      </c>
      <c r="ABR35">
        <v>22.77</v>
      </c>
      <c r="ABS35">
        <v>2880.24</v>
      </c>
      <c r="ABT35">
        <v>25.37</v>
      </c>
      <c r="ABU35">
        <v>13.16</v>
      </c>
      <c r="ABV35">
        <v>161.31</v>
      </c>
      <c r="ABW35">
        <v>230.26</v>
      </c>
      <c r="ABX35">
        <v>638.75</v>
      </c>
      <c r="ABY35">
        <v>316.12</v>
      </c>
      <c r="ABZ35">
        <v>102.12</v>
      </c>
      <c r="ACA35">
        <v>538.58000000000004</v>
      </c>
      <c r="ACB35">
        <v>180.18</v>
      </c>
      <c r="ACC35">
        <v>129.44</v>
      </c>
      <c r="ACD35">
        <v>279.05</v>
      </c>
      <c r="ACE35">
        <v>126.84</v>
      </c>
      <c r="ACF35">
        <v>6129.94</v>
      </c>
      <c r="ACG35">
        <v>973.74</v>
      </c>
      <c r="ACH35">
        <v>280.35000000000002</v>
      </c>
      <c r="ACI35">
        <v>571.75</v>
      </c>
      <c r="ACJ35">
        <v>513.21</v>
      </c>
      <c r="ACK35">
        <v>381.82</v>
      </c>
      <c r="ACL35">
        <v>61.79</v>
      </c>
      <c r="ACM35">
        <v>184.08</v>
      </c>
      <c r="ACN35">
        <v>342.14</v>
      </c>
      <c r="ACO35">
        <v>1011.47</v>
      </c>
      <c r="ACP35">
        <v>642.65</v>
      </c>
      <c r="ACQ35">
        <v>289.45</v>
      </c>
      <c r="ACR35">
        <v>6463.62</v>
      </c>
    </row>
    <row r="36" spans="1:772" x14ac:dyDescent="0.3">
      <c r="A36" t="s">
        <v>16</v>
      </c>
      <c r="B36" t="s">
        <v>2</v>
      </c>
      <c r="C36">
        <v>337.9</v>
      </c>
      <c r="D36">
        <v>38.51</v>
      </c>
      <c r="E36">
        <v>329.82</v>
      </c>
      <c r="F36">
        <v>12.53</v>
      </c>
      <c r="G36">
        <v>2739.81</v>
      </c>
      <c r="H36">
        <v>40.369999999999997</v>
      </c>
      <c r="I36">
        <v>1749.73</v>
      </c>
      <c r="J36">
        <v>11295.29</v>
      </c>
      <c r="K36">
        <v>711.82</v>
      </c>
      <c r="L36">
        <v>19.260000000000002</v>
      </c>
      <c r="M36">
        <v>78.88</v>
      </c>
      <c r="N36">
        <v>768.96</v>
      </c>
      <c r="O36">
        <v>46.58</v>
      </c>
      <c r="P36">
        <v>526.1</v>
      </c>
      <c r="Q36">
        <v>112.42</v>
      </c>
      <c r="R36">
        <v>983.87</v>
      </c>
      <c r="S36">
        <v>12.53</v>
      </c>
      <c r="T36">
        <v>2062.16</v>
      </c>
      <c r="U36">
        <v>396.9</v>
      </c>
      <c r="V36">
        <v>323.61</v>
      </c>
      <c r="W36">
        <v>998.78</v>
      </c>
      <c r="X36">
        <v>12.53</v>
      </c>
      <c r="Y36">
        <v>981.39</v>
      </c>
      <c r="Z36">
        <v>435.41</v>
      </c>
      <c r="AA36">
        <v>49.07</v>
      </c>
      <c r="AB36">
        <v>2291.98</v>
      </c>
      <c r="AC36">
        <v>426.72</v>
      </c>
      <c r="AD36">
        <v>189.45</v>
      </c>
      <c r="AE36">
        <v>304.35000000000002</v>
      </c>
      <c r="AF36">
        <v>28529.23</v>
      </c>
      <c r="AG36">
        <v>200</v>
      </c>
      <c r="AH36">
        <v>33.54</v>
      </c>
      <c r="AI36">
        <v>27.95</v>
      </c>
      <c r="AJ36">
        <v>513.67999999999995</v>
      </c>
      <c r="AK36">
        <v>186.34</v>
      </c>
      <c r="AL36">
        <v>79.5</v>
      </c>
      <c r="AM36">
        <v>150.31</v>
      </c>
      <c r="AN36">
        <v>46.58</v>
      </c>
      <c r="AO36">
        <v>1026.1099999999999</v>
      </c>
      <c r="AP36">
        <v>15.53</v>
      </c>
      <c r="AQ36">
        <v>106.21</v>
      </c>
      <c r="AR36">
        <v>27.95</v>
      </c>
      <c r="AS36">
        <v>14.29</v>
      </c>
      <c r="AT36">
        <v>13.66</v>
      </c>
      <c r="AU36">
        <v>16.149999999999999</v>
      </c>
      <c r="AV36">
        <v>533.54999999999995</v>
      </c>
      <c r="AW36">
        <v>559.64</v>
      </c>
      <c r="AX36">
        <v>2764.66</v>
      </c>
      <c r="AY36">
        <v>25.47</v>
      </c>
      <c r="AZ36">
        <v>45.34</v>
      </c>
      <c r="BA36">
        <v>280.75</v>
      </c>
      <c r="BB36">
        <v>571.44000000000005</v>
      </c>
      <c r="BC36">
        <v>18.63</v>
      </c>
      <c r="BD36">
        <v>12.53</v>
      </c>
      <c r="BE36">
        <v>239.76</v>
      </c>
      <c r="BF36">
        <v>427.34</v>
      </c>
      <c r="BG36">
        <v>63.98</v>
      </c>
      <c r="BH36">
        <v>12.53</v>
      </c>
      <c r="BI36">
        <v>21.74</v>
      </c>
      <c r="BJ36">
        <v>12.53</v>
      </c>
      <c r="BK36">
        <v>277.02999999999997</v>
      </c>
      <c r="BL36">
        <v>569.58000000000004</v>
      </c>
      <c r="BM36">
        <v>82.61</v>
      </c>
      <c r="BN36">
        <v>84.47</v>
      </c>
      <c r="BO36">
        <v>62.73</v>
      </c>
      <c r="BP36">
        <v>40.99</v>
      </c>
      <c r="BQ36">
        <v>16.77</v>
      </c>
      <c r="BR36">
        <v>382.62</v>
      </c>
      <c r="BS36">
        <v>23.6</v>
      </c>
      <c r="BT36">
        <v>1334.81</v>
      </c>
      <c r="BU36">
        <v>276.39999999999998</v>
      </c>
      <c r="BV36">
        <v>76.400000000000006</v>
      </c>
      <c r="BW36">
        <v>106.83</v>
      </c>
      <c r="BX36">
        <v>794.43</v>
      </c>
      <c r="BY36">
        <v>222.37</v>
      </c>
      <c r="BZ36">
        <v>298.76</v>
      </c>
      <c r="CA36">
        <v>264.60000000000002</v>
      </c>
      <c r="CB36">
        <v>252.8</v>
      </c>
      <c r="CC36">
        <v>14.29</v>
      </c>
      <c r="CD36">
        <v>47.83</v>
      </c>
      <c r="CE36">
        <v>1099.4000000000001</v>
      </c>
      <c r="CF36">
        <v>221.74</v>
      </c>
      <c r="CG36">
        <v>54.66</v>
      </c>
      <c r="CH36">
        <v>390.07</v>
      </c>
      <c r="CI36">
        <v>19.260000000000002</v>
      </c>
      <c r="CJ36">
        <v>13.04</v>
      </c>
      <c r="CK36">
        <v>54.66</v>
      </c>
      <c r="CL36">
        <v>42.24</v>
      </c>
      <c r="CM36">
        <v>385.1</v>
      </c>
      <c r="CN36">
        <v>88.2</v>
      </c>
      <c r="CO36">
        <v>29.81</v>
      </c>
      <c r="CP36">
        <v>12.53</v>
      </c>
      <c r="CQ36">
        <v>97.52</v>
      </c>
      <c r="CR36">
        <v>91.31</v>
      </c>
      <c r="CS36">
        <v>12.53</v>
      </c>
      <c r="CT36">
        <v>22.36</v>
      </c>
      <c r="CU36">
        <v>91.93</v>
      </c>
      <c r="CV36">
        <v>32.299999999999997</v>
      </c>
      <c r="CW36">
        <v>2154.71</v>
      </c>
      <c r="CX36">
        <v>32.299999999999997</v>
      </c>
      <c r="CY36">
        <v>220.5</v>
      </c>
      <c r="CZ36">
        <v>108.7</v>
      </c>
      <c r="DA36">
        <v>22.36</v>
      </c>
      <c r="DB36">
        <v>154.66</v>
      </c>
      <c r="DC36">
        <v>51.55</v>
      </c>
      <c r="DD36">
        <v>32.92</v>
      </c>
      <c r="DE36">
        <v>32.92</v>
      </c>
      <c r="DF36">
        <v>252.8</v>
      </c>
      <c r="DG36">
        <v>12.53</v>
      </c>
      <c r="DH36">
        <v>1930.48</v>
      </c>
      <c r="DI36">
        <v>40.369999999999997</v>
      </c>
      <c r="DJ36">
        <v>55.28</v>
      </c>
      <c r="DK36">
        <v>257.14999999999998</v>
      </c>
      <c r="DL36">
        <v>2205.02</v>
      </c>
      <c r="DM36">
        <v>112.42</v>
      </c>
      <c r="DN36">
        <v>31.06</v>
      </c>
      <c r="DO36">
        <v>95.65</v>
      </c>
      <c r="DP36">
        <v>33.54</v>
      </c>
      <c r="DQ36">
        <v>993.19</v>
      </c>
      <c r="DR36">
        <v>37.89</v>
      </c>
      <c r="DS36">
        <v>34.159999999999997</v>
      </c>
      <c r="DT36">
        <v>28.57</v>
      </c>
      <c r="DU36">
        <v>2412.48</v>
      </c>
      <c r="DV36">
        <v>43.48</v>
      </c>
      <c r="DW36">
        <v>18.010000000000002</v>
      </c>
      <c r="DX36">
        <v>70.19</v>
      </c>
      <c r="DY36">
        <v>83.23</v>
      </c>
      <c r="DZ36">
        <v>101.24</v>
      </c>
      <c r="EA36">
        <v>30.44</v>
      </c>
      <c r="EB36">
        <v>19.260000000000002</v>
      </c>
      <c r="EC36">
        <v>54.66</v>
      </c>
      <c r="ED36">
        <v>16.149999999999999</v>
      </c>
      <c r="EE36">
        <v>12.53</v>
      </c>
      <c r="EF36">
        <v>987.6</v>
      </c>
      <c r="EG36">
        <v>632.30999999999995</v>
      </c>
      <c r="EH36">
        <v>12.53</v>
      </c>
      <c r="EI36">
        <v>28.57</v>
      </c>
      <c r="EJ36">
        <v>479.51</v>
      </c>
      <c r="EK36">
        <v>201.25</v>
      </c>
      <c r="EL36">
        <v>4524.33</v>
      </c>
      <c r="EM36">
        <v>593.79999999999995</v>
      </c>
      <c r="EN36">
        <v>63.98</v>
      </c>
      <c r="EO36">
        <v>841.01</v>
      </c>
      <c r="EP36">
        <v>13.66</v>
      </c>
      <c r="EQ36">
        <v>3618.72</v>
      </c>
      <c r="ER36">
        <v>13.66</v>
      </c>
      <c r="ES36">
        <v>17.39</v>
      </c>
      <c r="ET36">
        <v>12.53</v>
      </c>
      <c r="EU36">
        <v>149.07</v>
      </c>
      <c r="EV36">
        <v>22.98</v>
      </c>
      <c r="EW36">
        <v>12.53</v>
      </c>
      <c r="EX36">
        <v>266.47000000000003</v>
      </c>
      <c r="EY36">
        <v>78.88</v>
      </c>
      <c r="EZ36">
        <v>12.53</v>
      </c>
      <c r="FA36">
        <v>117.39</v>
      </c>
      <c r="FB36">
        <v>12.53</v>
      </c>
      <c r="FC36">
        <v>27.95</v>
      </c>
      <c r="FD36">
        <v>14.29</v>
      </c>
      <c r="FE36">
        <v>6882.77</v>
      </c>
      <c r="FF36">
        <v>23.6</v>
      </c>
      <c r="FG36">
        <v>1344.13</v>
      </c>
      <c r="FH36">
        <v>1226.1199999999999</v>
      </c>
      <c r="FI36">
        <v>26.09</v>
      </c>
      <c r="FJ36">
        <v>849.09</v>
      </c>
      <c r="FK36">
        <v>165.84</v>
      </c>
      <c r="FL36">
        <v>84.47</v>
      </c>
      <c r="FM36">
        <v>352.18</v>
      </c>
      <c r="FN36">
        <v>185.1</v>
      </c>
      <c r="FO36">
        <v>44.1</v>
      </c>
      <c r="FP36">
        <v>13.04</v>
      </c>
      <c r="FQ36">
        <v>16.77</v>
      </c>
      <c r="FR36">
        <v>26.09</v>
      </c>
      <c r="FS36">
        <v>12.53</v>
      </c>
      <c r="FT36">
        <v>56.52</v>
      </c>
      <c r="FU36">
        <v>1854.7</v>
      </c>
      <c r="FV36">
        <v>1353.45</v>
      </c>
      <c r="FW36">
        <v>12.53</v>
      </c>
      <c r="FX36">
        <v>40.99</v>
      </c>
      <c r="FY36">
        <v>12.53</v>
      </c>
      <c r="FZ36">
        <v>868.34</v>
      </c>
      <c r="GA36">
        <v>86.96</v>
      </c>
      <c r="GB36">
        <v>186.34</v>
      </c>
      <c r="GC36">
        <v>12.53</v>
      </c>
      <c r="GD36">
        <v>93.17</v>
      </c>
      <c r="GE36">
        <v>155.9</v>
      </c>
      <c r="GF36">
        <v>311.81</v>
      </c>
      <c r="GG36">
        <v>773.93</v>
      </c>
      <c r="GH36">
        <v>408.08</v>
      </c>
      <c r="GI36">
        <v>4294.51</v>
      </c>
      <c r="GJ36">
        <v>39.130000000000003</v>
      </c>
      <c r="GK36">
        <v>7106.38</v>
      </c>
      <c r="GL36">
        <v>18.010000000000002</v>
      </c>
      <c r="GM36">
        <v>16.77</v>
      </c>
      <c r="GN36">
        <v>12.53</v>
      </c>
      <c r="GO36">
        <v>372.68</v>
      </c>
      <c r="GP36">
        <v>22.36</v>
      </c>
      <c r="GQ36">
        <v>20.5</v>
      </c>
      <c r="GR36">
        <v>301.25</v>
      </c>
      <c r="GS36">
        <v>296.27999999999997</v>
      </c>
      <c r="GT36">
        <v>285.72000000000003</v>
      </c>
      <c r="GU36">
        <v>12.53</v>
      </c>
      <c r="GV36">
        <v>37.89</v>
      </c>
      <c r="GW36">
        <v>12.53</v>
      </c>
      <c r="GX36">
        <v>162.74</v>
      </c>
      <c r="GY36">
        <v>18.010000000000002</v>
      </c>
      <c r="GZ36">
        <v>114.91</v>
      </c>
      <c r="HA36">
        <v>175.16</v>
      </c>
      <c r="HB36">
        <v>1096.92</v>
      </c>
      <c r="HC36">
        <v>81.37</v>
      </c>
      <c r="HD36">
        <v>3738.6</v>
      </c>
      <c r="HE36">
        <v>29.81</v>
      </c>
      <c r="HF36">
        <v>3608.16</v>
      </c>
      <c r="HG36">
        <v>124.85</v>
      </c>
      <c r="HH36">
        <v>45.96</v>
      </c>
      <c r="HI36">
        <v>12.53</v>
      </c>
      <c r="HJ36">
        <v>715.54</v>
      </c>
      <c r="HK36">
        <v>6417.54</v>
      </c>
      <c r="HL36">
        <v>1411.83</v>
      </c>
      <c r="HM36">
        <v>132.30000000000001</v>
      </c>
      <c r="HN36">
        <v>1377.67</v>
      </c>
      <c r="HO36">
        <v>12.53</v>
      </c>
      <c r="HP36">
        <v>130.44</v>
      </c>
      <c r="HQ36">
        <v>6596.43</v>
      </c>
      <c r="HR36">
        <v>136.65</v>
      </c>
      <c r="HS36">
        <v>345.97</v>
      </c>
      <c r="HT36">
        <v>256.52999999999997</v>
      </c>
      <c r="HU36">
        <v>191.31</v>
      </c>
      <c r="HV36">
        <v>175.16</v>
      </c>
      <c r="HW36">
        <v>6079.64</v>
      </c>
      <c r="HX36">
        <v>12.53</v>
      </c>
      <c r="HY36">
        <v>12.53</v>
      </c>
      <c r="HZ36">
        <v>132.91999999999999</v>
      </c>
      <c r="IA36">
        <v>305.60000000000002</v>
      </c>
      <c r="IB36">
        <v>287.58</v>
      </c>
      <c r="IC36">
        <v>24.22</v>
      </c>
      <c r="ID36">
        <v>81.99</v>
      </c>
      <c r="IE36">
        <v>22.98</v>
      </c>
      <c r="IF36">
        <v>446.59</v>
      </c>
      <c r="IG36">
        <v>31.06</v>
      </c>
      <c r="IH36">
        <v>12.53</v>
      </c>
      <c r="II36">
        <v>265.83999999999997</v>
      </c>
      <c r="IJ36">
        <v>55.9</v>
      </c>
      <c r="IK36">
        <v>20.5</v>
      </c>
      <c r="IL36">
        <v>1973.96</v>
      </c>
      <c r="IM36">
        <v>650.33000000000004</v>
      </c>
      <c r="IN36">
        <v>134.16</v>
      </c>
      <c r="IO36">
        <v>13.04</v>
      </c>
      <c r="IP36">
        <v>43.48</v>
      </c>
      <c r="IQ36">
        <v>17.39</v>
      </c>
      <c r="IR36">
        <v>12.53</v>
      </c>
      <c r="IS36">
        <v>21.74</v>
      </c>
      <c r="IT36">
        <v>12.53</v>
      </c>
      <c r="IU36">
        <v>82.61</v>
      </c>
      <c r="IV36">
        <v>1314.94</v>
      </c>
      <c r="IW36">
        <v>165.84</v>
      </c>
      <c r="IX36">
        <v>4037.36</v>
      </c>
      <c r="IY36">
        <v>59.01</v>
      </c>
      <c r="IZ36">
        <v>14.91</v>
      </c>
      <c r="JA36">
        <v>326.08999999999997</v>
      </c>
      <c r="JB36">
        <v>490.07</v>
      </c>
      <c r="JC36">
        <v>34.78</v>
      </c>
      <c r="JD36">
        <v>177.02</v>
      </c>
      <c r="JE36">
        <v>12.53</v>
      </c>
      <c r="JF36">
        <v>12.53</v>
      </c>
      <c r="JG36">
        <v>42.86</v>
      </c>
      <c r="JH36">
        <v>395.66</v>
      </c>
      <c r="JI36">
        <v>260.25</v>
      </c>
      <c r="JJ36">
        <v>75.78</v>
      </c>
      <c r="JK36">
        <v>17.39</v>
      </c>
      <c r="JL36">
        <v>86.34</v>
      </c>
      <c r="JM36">
        <v>20.5</v>
      </c>
      <c r="JN36">
        <v>12.53</v>
      </c>
      <c r="JO36">
        <v>134.79</v>
      </c>
      <c r="JP36">
        <v>1064.6199999999999</v>
      </c>
      <c r="JQ36">
        <v>1960.29</v>
      </c>
      <c r="JR36">
        <v>24.22</v>
      </c>
      <c r="JS36">
        <v>14.29</v>
      </c>
      <c r="JT36">
        <v>67.08</v>
      </c>
      <c r="JU36">
        <v>191.93</v>
      </c>
      <c r="JV36">
        <v>300.63</v>
      </c>
      <c r="JW36">
        <v>14.29</v>
      </c>
      <c r="JX36">
        <v>65.84</v>
      </c>
      <c r="JY36">
        <v>251.56</v>
      </c>
      <c r="JZ36">
        <v>19.260000000000002</v>
      </c>
      <c r="KA36">
        <v>19.88</v>
      </c>
      <c r="KB36">
        <v>17.39</v>
      </c>
      <c r="KC36">
        <v>21.12</v>
      </c>
      <c r="KD36">
        <v>12.53</v>
      </c>
      <c r="KE36">
        <v>95.65</v>
      </c>
      <c r="KF36">
        <v>159.63</v>
      </c>
      <c r="KG36">
        <v>222.99</v>
      </c>
      <c r="KH36">
        <v>81.99</v>
      </c>
      <c r="KI36">
        <v>305.60000000000002</v>
      </c>
      <c r="KJ36">
        <v>208.08</v>
      </c>
      <c r="KK36">
        <v>190.69</v>
      </c>
      <c r="KL36">
        <v>65.84</v>
      </c>
      <c r="KM36">
        <v>42.86</v>
      </c>
      <c r="KN36">
        <v>380.13</v>
      </c>
      <c r="KO36">
        <v>237.89</v>
      </c>
      <c r="KP36">
        <v>97.52</v>
      </c>
      <c r="KQ36">
        <v>4418.74</v>
      </c>
      <c r="KR36">
        <v>762.75</v>
      </c>
      <c r="KS36">
        <v>1511.84</v>
      </c>
      <c r="KT36">
        <v>5316.27</v>
      </c>
      <c r="KU36">
        <v>16789.21</v>
      </c>
      <c r="KV36">
        <v>2073.34</v>
      </c>
      <c r="KW36">
        <v>199.38</v>
      </c>
      <c r="KX36">
        <v>142.24</v>
      </c>
      <c r="KY36">
        <v>21.12</v>
      </c>
      <c r="KZ36">
        <v>33.54</v>
      </c>
      <c r="LA36">
        <v>489.45</v>
      </c>
      <c r="LB36">
        <v>573.30999999999995</v>
      </c>
      <c r="LC36">
        <v>554.66999999999996</v>
      </c>
      <c r="LD36">
        <v>378.89</v>
      </c>
      <c r="LE36">
        <v>54.66</v>
      </c>
      <c r="LF36">
        <v>1641.65</v>
      </c>
      <c r="LG36">
        <v>1558.42</v>
      </c>
      <c r="LH36">
        <v>16.77</v>
      </c>
      <c r="LI36">
        <v>4474.6400000000003</v>
      </c>
      <c r="LJ36">
        <v>403.74</v>
      </c>
      <c r="LK36">
        <v>1021.76</v>
      </c>
      <c r="LL36">
        <v>118.02</v>
      </c>
      <c r="LM36">
        <v>12.53</v>
      </c>
      <c r="LN36">
        <v>483.24</v>
      </c>
      <c r="LO36">
        <v>26.09</v>
      </c>
      <c r="LP36">
        <v>1505.62</v>
      </c>
      <c r="LQ36">
        <v>70.19</v>
      </c>
      <c r="LR36">
        <v>160.87</v>
      </c>
      <c r="LS36">
        <v>45.96</v>
      </c>
      <c r="LT36">
        <v>29.19</v>
      </c>
      <c r="LU36">
        <v>139.13</v>
      </c>
      <c r="LV36">
        <v>137.27000000000001</v>
      </c>
      <c r="LW36">
        <v>132.30000000000001</v>
      </c>
      <c r="LX36">
        <v>2886.4</v>
      </c>
      <c r="LY36">
        <v>2255.33</v>
      </c>
      <c r="LZ36">
        <v>12195.93</v>
      </c>
      <c r="MA36">
        <v>518.65</v>
      </c>
      <c r="MB36">
        <v>6872.83</v>
      </c>
      <c r="MC36">
        <v>1518.67</v>
      </c>
      <c r="MD36">
        <v>1066.48</v>
      </c>
      <c r="ME36">
        <v>219.88</v>
      </c>
      <c r="MF36">
        <v>1574.57</v>
      </c>
      <c r="MG36">
        <v>2751.62</v>
      </c>
      <c r="MH36">
        <v>2018.06</v>
      </c>
      <c r="MI36">
        <v>12.53</v>
      </c>
      <c r="MJ36">
        <v>744.74</v>
      </c>
      <c r="MK36">
        <v>12.53</v>
      </c>
      <c r="ML36">
        <v>1573.33</v>
      </c>
      <c r="MM36">
        <v>1811.22</v>
      </c>
      <c r="MN36">
        <v>686.97</v>
      </c>
      <c r="MO36">
        <v>12.53</v>
      </c>
      <c r="MP36">
        <v>106.21</v>
      </c>
      <c r="MQ36">
        <v>84.47</v>
      </c>
      <c r="MR36">
        <v>20.5</v>
      </c>
      <c r="MS36">
        <v>299.39</v>
      </c>
      <c r="MT36">
        <v>2850.38</v>
      </c>
      <c r="MU36">
        <v>22.98</v>
      </c>
      <c r="MV36">
        <v>27.33</v>
      </c>
      <c r="MW36">
        <v>153.41999999999999</v>
      </c>
      <c r="MX36">
        <v>70.19</v>
      </c>
      <c r="MY36">
        <v>12.53</v>
      </c>
      <c r="MZ36">
        <v>83.23</v>
      </c>
      <c r="NA36">
        <v>28.57</v>
      </c>
      <c r="NB36">
        <v>1525.5</v>
      </c>
      <c r="NC36">
        <v>583.24</v>
      </c>
      <c r="ND36">
        <v>1003.13</v>
      </c>
      <c r="NE36">
        <v>271.43</v>
      </c>
      <c r="NF36">
        <v>12.53</v>
      </c>
      <c r="NG36">
        <v>16.149999999999999</v>
      </c>
      <c r="NH36">
        <v>137.88999999999999</v>
      </c>
      <c r="NI36">
        <v>5357.27</v>
      </c>
      <c r="NJ36">
        <v>128.57</v>
      </c>
      <c r="NK36">
        <v>280.13</v>
      </c>
      <c r="NL36">
        <v>163.98</v>
      </c>
      <c r="NM36">
        <v>2650.37</v>
      </c>
      <c r="NN36">
        <v>164.6</v>
      </c>
      <c r="NO36">
        <v>17.39</v>
      </c>
      <c r="NP36">
        <v>12.53</v>
      </c>
      <c r="NQ36">
        <v>1605.63</v>
      </c>
      <c r="NR36">
        <v>534.16999999999996</v>
      </c>
      <c r="NS36">
        <v>642.25</v>
      </c>
      <c r="NT36">
        <v>409.95</v>
      </c>
      <c r="NU36">
        <v>698.77</v>
      </c>
      <c r="NV36">
        <v>329.2</v>
      </c>
      <c r="NW36">
        <v>226.71</v>
      </c>
      <c r="NX36">
        <v>172.05</v>
      </c>
      <c r="NY36">
        <v>213.67</v>
      </c>
      <c r="NZ36">
        <v>733.56</v>
      </c>
      <c r="OA36">
        <v>135.41</v>
      </c>
      <c r="OB36">
        <v>612.44000000000005</v>
      </c>
      <c r="OC36">
        <v>6715.06</v>
      </c>
      <c r="OD36">
        <v>128.57</v>
      </c>
      <c r="OE36">
        <v>1975.2</v>
      </c>
      <c r="OF36">
        <v>29.81</v>
      </c>
      <c r="OG36">
        <v>5206.33</v>
      </c>
      <c r="OH36">
        <v>119.88</v>
      </c>
      <c r="OI36">
        <v>60.87</v>
      </c>
      <c r="OJ36">
        <v>49.07</v>
      </c>
      <c r="OK36">
        <v>2975.22</v>
      </c>
      <c r="OL36">
        <v>148.44999999999999</v>
      </c>
      <c r="OM36">
        <v>423.61</v>
      </c>
      <c r="ON36">
        <v>313.67</v>
      </c>
      <c r="OO36">
        <v>390.07</v>
      </c>
      <c r="OP36">
        <v>261.5</v>
      </c>
      <c r="OQ36">
        <v>344.11</v>
      </c>
      <c r="OR36">
        <v>14.29</v>
      </c>
      <c r="OS36">
        <v>682</v>
      </c>
      <c r="OT36">
        <v>214.91</v>
      </c>
      <c r="OU36">
        <v>88.82</v>
      </c>
      <c r="OV36">
        <v>724.86</v>
      </c>
      <c r="OW36">
        <v>22.36</v>
      </c>
      <c r="OX36">
        <v>41.62</v>
      </c>
      <c r="OY36">
        <v>12.53</v>
      </c>
      <c r="OZ36">
        <v>12.53</v>
      </c>
      <c r="PA36">
        <v>12.53</v>
      </c>
      <c r="PB36">
        <v>126.09</v>
      </c>
      <c r="PC36">
        <v>21.74</v>
      </c>
      <c r="PD36">
        <v>46.58</v>
      </c>
      <c r="PE36">
        <v>13.04</v>
      </c>
      <c r="PF36">
        <v>536.04</v>
      </c>
      <c r="PG36">
        <v>39.75</v>
      </c>
      <c r="PH36">
        <v>126.71</v>
      </c>
      <c r="PI36">
        <v>64.599999999999994</v>
      </c>
      <c r="PJ36">
        <v>6143.62</v>
      </c>
      <c r="PK36">
        <v>9251.77</v>
      </c>
      <c r="PL36">
        <v>56.52</v>
      </c>
      <c r="PM36">
        <v>34313.839999999997</v>
      </c>
      <c r="PN36">
        <v>887.6</v>
      </c>
      <c r="PO36">
        <v>77.02</v>
      </c>
      <c r="PP36">
        <v>501.87</v>
      </c>
      <c r="PQ36">
        <v>24.85</v>
      </c>
      <c r="PR36">
        <v>12.53</v>
      </c>
      <c r="PS36">
        <v>14.91</v>
      </c>
      <c r="PT36">
        <v>19.88</v>
      </c>
      <c r="PU36">
        <v>271.43</v>
      </c>
      <c r="PV36">
        <v>83.85</v>
      </c>
      <c r="PW36">
        <v>74.540000000000006</v>
      </c>
      <c r="PX36">
        <v>21.74</v>
      </c>
      <c r="PY36">
        <v>380.13</v>
      </c>
      <c r="PZ36">
        <v>27.33</v>
      </c>
      <c r="QA36">
        <v>363.98</v>
      </c>
      <c r="QB36">
        <v>3477.72</v>
      </c>
      <c r="QC36">
        <v>163.98</v>
      </c>
      <c r="QD36">
        <v>64.599999999999994</v>
      </c>
      <c r="QE36">
        <v>507.47</v>
      </c>
      <c r="QF36">
        <v>184.48</v>
      </c>
      <c r="QG36">
        <v>595.66999999999996</v>
      </c>
      <c r="QH36">
        <v>75.78</v>
      </c>
      <c r="QI36">
        <v>12.53</v>
      </c>
      <c r="QJ36">
        <v>112.42</v>
      </c>
      <c r="QK36">
        <v>14.29</v>
      </c>
      <c r="QL36">
        <v>345.35</v>
      </c>
      <c r="QM36">
        <v>815.55</v>
      </c>
      <c r="QN36">
        <v>796.91</v>
      </c>
      <c r="QO36">
        <v>12.53</v>
      </c>
      <c r="QP36">
        <v>114.29</v>
      </c>
      <c r="QQ36">
        <v>310.57</v>
      </c>
      <c r="QR36">
        <v>30.44</v>
      </c>
      <c r="QS36">
        <v>1503.76</v>
      </c>
      <c r="QT36">
        <v>516.78</v>
      </c>
      <c r="QU36">
        <v>31.06</v>
      </c>
      <c r="QV36">
        <v>303.73</v>
      </c>
      <c r="QW36">
        <v>81.37</v>
      </c>
      <c r="QX36">
        <v>209.94</v>
      </c>
      <c r="QY36">
        <v>16.77</v>
      </c>
      <c r="QZ36">
        <v>13.66</v>
      </c>
      <c r="RA36">
        <v>83.23</v>
      </c>
      <c r="RB36">
        <v>19173.73</v>
      </c>
      <c r="RC36">
        <v>371.44</v>
      </c>
      <c r="RD36">
        <v>1725.51</v>
      </c>
      <c r="RE36">
        <v>37.89</v>
      </c>
      <c r="RF36">
        <v>197.52</v>
      </c>
      <c r="RG36">
        <v>186.34</v>
      </c>
      <c r="RH36">
        <v>27.95</v>
      </c>
      <c r="RI36">
        <v>34.159999999999997</v>
      </c>
      <c r="RJ36">
        <v>179.51</v>
      </c>
      <c r="RK36">
        <v>12.53</v>
      </c>
      <c r="RL36">
        <v>185.1</v>
      </c>
      <c r="RM36">
        <v>62.73</v>
      </c>
      <c r="RN36">
        <v>144.1</v>
      </c>
      <c r="RO36">
        <v>798.78</v>
      </c>
      <c r="RP36">
        <v>231.68</v>
      </c>
      <c r="RQ36">
        <v>568.96</v>
      </c>
      <c r="RR36">
        <v>16.77</v>
      </c>
      <c r="RS36">
        <v>782.63</v>
      </c>
      <c r="RT36">
        <v>395.66</v>
      </c>
      <c r="RU36">
        <v>12.53</v>
      </c>
      <c r="RV36">
        <v>17.39</v>
      </c>
      <c r="RW36">
        <v>1627.99</v>
      </c>
      <c r="RX36">
        <v>1779.54</v>
      </c>
      <c r="RY36">
        <v>591.32000000000005</v>
      </c>
      <c r="RZ36">
        <v>29.81</v>
      </c>
      <c r="SA36">
        <v>336.65</v>
      </c>
      <c r="SB36">
        <v>34.159999999999997</v>
      </c>
      <c r="SC36">
        <v>39.75</v>
      </c>
      <c r="SD36">
        <v>1478.92</v>
      </c>
      <c r="SE36">
        <v>1102.51</v>
      </c>
      <c r="SF36">
        <v>495.66</v>
      </c>
      <c r="SG36">
        <v>7530.61</v>
      </c>
      <c r="SH36">
        <v>121.74</v>
      </c>
      <c r="SI36">
        <v>18.63</v>
      </c>
      <c r="SJ36">
        <v>155.9</v>
      </c>
      <c r="SK36">
        <v>80.13</v>
      </c>
      <c r="SL36">
        <v>231.68</v>
      </c>
      <c r="SM36">
        <v>12.53</v>
      </c>
      <c r="SN36">
        <v>393.8</v>
      </c>
      <c r="SO36">
        <v>12.53</v>
      </c>
      <c r="SP36">
        <v>120.5</v>
      </c>
      <c r="SQ36">
        <v>952.2</v>
      </c>
      <c r="SR36">
        <v>1698.8</v>
      </c>
      <c r="SS36">
        <v>682</v>
      </c>
      <c r="ST36">
        <v>831.08</v>
      </c>
      <c r="SU36">
        <v>1097.54</v>
      </c>
      <c r="SV36">
        <v>467.71</v>
      </c>
      <c r="SW36">
        <v>523.61</v>
      </c>
      <c r="SX36">
        <v>183.86</v>
      </c>
      <c r="SY36">
        <v>247.83</v>
      </c>
      <c r="SZ36">
        <v>12.53</v>
      </c>
      <c r="TA36">
        <v>12.53</v>
      </c>
      <c r="TB36">
        <v>1067.73</v>
      </c>
      <c r="TC36">
        <v>879.52</v>
      </c>
      <c r="TD36">
        <v>34.78</v>
      </c>
      <c r="TE36">
        <v>1069.5899999999999</v>
      </c>
      <c r="TF36">
        <v>499.39</v>
      </c>
      <c r="TG36">
        <v>662.75</v>
      </c>
      <c r="TH36">
        <v>167.08</v>
      </c>
      <c r="TI36">
        <v>68.319999999999993</v>
      </c>
      <c r="TJ36">
        <v>12.53</v>
      </c>
      <c r="TK36">
        <v>67.08</v>
      </c>
      <c r="TL36">
        <v>149.69</v>
      </c>
      <c r="TM36">
        <v>172.67</v>
      </c>
      <c r="TN36">
        <v>567.71</v>
      </c>
      <c r="TO36">
        <v>1203.1300000000001</v>
      </c>
      <c r="TP36">
        <v>1605.01</v>
      </c>
      <c r="TQ36">
        <v>419.26</v>
      </c>
      <c r="TR36">
        <v>12.53</v>
      </c>
      <c r="TS36">
        <v>262.74</v>
      </c>
      <c r="TT36">
        <v>53.42</v>
      </c>
      <c r="TU36">
        <v>33.54</v>
      </c>
      <c r="TV36">
        <v>216.15</v>
      </c>
      <c r="TW36">
        <v>645.36</v>
      </c>
      <c r="TX36">
        <v>238.51</v>
      </c>
      <c r="TY36">
        <v>37.270000000000003</v>
      </c>
      <c r="TZ36">
        <v>103.73</v>
      </c>
      <c r="UA36">
        <v>257.77</v>
      </c>
      <c r="UB36">
        <v>182.61</v>
      </c>
      <c r="UC36">
        <v>8969.15</v>
      </c>
      <c r="UD36">
        <v>12.53</v>
      </c>
      <c r="UE36">
        <v>15.53</v>
      </c>
      <c r="UF36">
        <v>1692.59</v>
      </c>
      <c r="UG36">
        <v>70.81</v>
      </c>
      <c r="UH36">
        <v>12.53</v>
      </c>
      <c r="UI36">
        <v>36.65</v>
      </c>
      <c r="UJ36">
        <v>60.25</v>
      </c>
      <c r="UK36">
        <v>17.39</v>
      </c>
      <c r="UL36">
        <v>12.53</v>
      </c>
      <c r="UM36">
        <v>16.149999999999999</v>
      </c>
      <c r="UN36">
        <v>65.22</v>
      </c>
      <c r="UO36">
        <v>139.75</v>
      </c>
      <c r="UP36">
        <v>12.53</v>
      </c>
      <c r="UQ36">
        <v>12.53</v>
      </c>
      <c r="UR36">
        <v>19.260000000000002</v>
      </c>
      <c r="US36">
        <v>60.87</v>
      </c>
      <c r="UT36">
        <v>145.97</v>
      </c>
      <c r="UU36">
        <v>771.45</v>
      </c>
      <c r="UV36">
        <v>670.2</v>
      </c>
      <c r="UW36">
        <v>350.32</v>
      </c>
      <c r="UX36">
        <v>50.31</v>
      </c>
      <c r="UY36">
        <v>552.19000000000005</v>
      </c>
      <c r="UZ36">
        <v>101.87</v>
      </c>
      <c r="VA36">
        <v>349.08</v>
      </c>
      <c r="VB36">
        <v>921.14</v>
      </c>
      <c r="VC36">
        <v>119.88</v>
      </c>
      <c r="VD36">
        <v>380.13</v>
      </c>
      <c r="VE36">
        <v>24.22</v>
      </c>
      <c r="VF36">
        <v>384.48</v>
      </c>
      <c r="VG36">
        <v>13.66</v>
      </c>
      <c r="VH36">
        <v>27.33</v>
      </c>
      <c r="VI36">
        <v>34.78</v>
      </c>
      <c r="VJ36">
        <v>16.149999999999999</v>
      </c>
      <c r="VK36">
        <v>1081.3900000000001</v>
      </c>
      <c r="VL36">
        <v>973.94</v>
      </c>
      <c r="VM36">
        <v>867.1</v>
      </c>
      <c r="VN36">
        <v>722.38</v>
      </c>
      <c r="VO36">
        <v>12.53</v>
      </c>
      <c r="VP36">
        <v>12.53</v>
      </c>
      <c r="VQ36">
        <v>921.14</v>
      </c>
      <c r="VR36">
        <v>356.53</v>
      </c>
      <c r="VS36">
        <v>386.34</v>
      </c>
      <c r="VT36">
        <v>68.319999999999993</v>
      </c>
      <c r="VU36">
        <v>16.149999999999999</v>
      </c>
      <c r="VV36">
        <v>12.53</v>
      </c>
      <c r="VW36">
        <v>254.66</v>
      </c>
      <c r="VX36">
        <v>209.32</v>
      </c>
      <c r="VY36">
        <v>76.400000000000006</v>
      </c>
      <c r="VZ36">
        <v>18482.41</v>
      </c>
      <c r="WA36">
        <v>10599.62</v>
      </c>
      <c r="WB36">
        <v>222.99</v>
      </c>
      <c r="WC36">
        <v>131.68</v>
      </c>
      <c r="WD36">
        <v>33.54</v>
      </c>
      <c r="WE36">
        <v>2571.4899999999998</v>
      </c>
      <c r="WF36">
        <v>220.5</v>
      </c>
      <c r="WG36">
        <v>373.92</v>
      </c>
      <c r="WH36">
        <v>62267.89</v>
      </c>
      <c r="WI36">
        <v>98830.85</v>
      </c>
      <c r="WJ36">
        <v>1281.4000000000001</v>
      </c>
      <c r="WK36">
        <v>427.96</v>
      </c>
      <c r="WL36">
        <v>804.99</v>
      </c>
      <c r="WM36">
        <v>33.54</v>
      </c>
      <c r="WN36">
        <v>25.47</v>
      </c>
      <c r="WO36">
        <v>12.53</v>
      </c>
      <c r="WP36">
        <v>272.68</v>
      </c>
      <c r="WQ36">
        <v>1392.58</v>
      </c>
      <c r="WR36">
        <v>236.65</v>
      </c>
      <c r="WS36">
        <v>23.6</v>
      </c>
      <c r="WT36">
        <v>12.53</v>
      </c>
      <c r="WU36">
        <v>622.37</v>
      </c>
      <c r="WV36">
        <v>1119.28</v>
      </c>
      <c r="WW36">
        <v>25.47</v>
      </c>
      <c r="WX36">
        <v>157.15</v>
      </c>
      <c r="WY36">
        <v>111.18</v>
      </c>
      <c r="WZ36">
        <v>21.74</v>
      </c>
      <c r="XA36">
        <v>12.53</v>
      </c>
      <c r="XB36">
        <v>551.57000000000005</v>
      </c>
      <c r="XC36">
        <v>18.010000000000002</v>
      </c>
      <c r="XD36">
        <v>54.66</v>
      </c>
      <c r="XE36">
        <v>343.49</v>
      </c>
      <c r="XF36">
        <v>1502.52</v>
      </c>
      <c r="XG36">
        <v>491.32</v>
      </c>
      <c r="XH36">
        <v>386.97</v>
      </c>
      <c r="XI36">
        <v>1556.56</v>
      </c>
      <c r="XJ36">
        <v>411.19</v>
      </c>
      <c r="XK36">
        <v>749.09</v>
      </c>
      <c r="XL36">
        <v>137.27000000000001</v>
      </c>
      <c r="XM36">
        <v>21.12</v>
      </c>
      <c r="XN36">
        <v>340.38</v>
      </c>
      <c r="XO36">
        <v>18.63</v>
      </c>
      <c r="XP36">
        <v>27.95</v>
      </c>
      <c r="XQ36">
        <v>12.53</v>
      </c>
      <c r="XR36">
        <v>13.66</v>
      </c>
      <c r="XS36">
        <v>3584.55</v>
      </c>
      <c r="XT36">
        <v>198.76</v>
      </c>
      <c r="XU36">
        <v>222.37</v>
      </c>
      <c r="XV36">
        <v>357.77</v>
      </c>
      <c r="XW36">
        <v>1611.22</v>
      </c>
      <c r="XX36">
        <v>862.75</v>
      </c>
      <c r="XY36">
        <v>2017.44</v>
      </c>
      <c r="XZ36">
        <v>81.99</v>
      </c>
      <c r="YA36">
        <v>835.42</v>
      </c>
      <c r="YB36">
        <v>336.65</v>
      </c>
      <c r="YC36">
        <v>32.92</v>
      </c>
      <c r="YD36">
        <v>1358.42</v>
      </c>
      <c r="YE36">
        <v>375.79</v>
      </c>
      <c r="YF36">
        <v>381.38</v>
      </c>
      <c r="YG36">
        <v>79.5</v>
      </c>
      <c r="YH36">
        <v>21.12</v>
      </c>
      <c r="YI36">
        <v>60.87</v>
      </c>
      <c r="YJ36">
        <v>37.270000000000003</v>
      </c>
      <c r="YK36">
        <v>20.5</v>
      </c>
      <c r="YL36">
        <v>598.15</v>
      </c>
      <c r="YM36">
        <v>2804.41</v>
      </c>
      <c r="YN36">
        <v>126.71</v>
      </c>
      <c r="YO36">
        <v>144.72</v>
      </c>
      <c r="YP36">
        <v>2432.35</v>
      </c>
      <c r="YQ36">
        <v>240.38</v>
      </c>
      <c r="YR36">
        <v>83.85</v>
      </c>
      <c r="YS36">
        <v>2628.01</v>
      </c>
      <c r="YT36">
        <v>224.85</v>
      </c>
      <c r="YU36">
        <v>247.21</v>
      </c>
      <c r="YV36">
        <v>24.22</v>
      </c>
      <c r="YW36">
        <v>101.87</v>
      </c>
      <c r="YX36">
        <v>44.1</v>
      </c>
      <c r="YY36">
        <v>418.64</v>
      </c>
      <c r="YZ36">
        <v>26.09</v>
      </c>
      <c r="ZA36">
        <v>202.49</v>
      </c>
      <c r="ZB36">
        <v>33.54</v>
      </c>
      <c r="ZC36">
        <v>14.91</v>
      </c>
      <c r="ZD36">
        <v>20.5</v>
      </c>
      <c r="ZE36">
        <v>22.36</v>
      </c>
      <c r="ZF36">
        <v>129.82</v>
      </c>
      <c r="ZG36">
        <v>226.09</v>
      </c>
      <c r="ZH36">
        <v>299.39</v>
      </c>
      <c r="ZI36">
        <v>351.56</v>
      </c>
      <c r="ZJ36">
        <v>288.20999999999998</v>
      </c>
      <c r="ZK36">
        <v>148.44999999999999</v>
      </c>
      <c r="ZL36">
        <v>12.53</v>
      </c>
      <c r="ZM36">
        <v>93.17</v>
      </c>
      <c r="ZN36">
        <v>39.75</v>
      </c>
      <c r="ZO36">
        <v>66.459999999999994</v>
      </c>
      <c r="ZP36">
        <v>220.5</v>
      </c>
      <c r="ZQ36">
        <v>29.19</v>
      </c>
      <c r="ZR36">
        <v>44.1</v>
      </c>
      <c r="ZS36">
        <v>1252.82</v>
      </c>
      <c r="ZT36">
        <v>250.94</v>
      </c>
      <c r="ZU36">
        <v>194.41</v>
      </c>
      <c r="ZV36">
        <v>21.74</v>
      </c>
      <c r="ZW36">
        <v>15.53</v>
      </c>
      <c r="ZX36">
        <v>87.58</v>
      </c>
      <c r="ZY36">
        <v>1657.18</v>
      </c>
      <c r="ZZ36">
        <v>157.77000000000001</v>
      </c>
      <c r="AAA36">
        <v>73.290000000000006</v>
      </c>
      <c r="AAB36">
        <v>36.65</v>
      </c>
      <c r="AAC36">
        <v>12.53</v>
      </c>
      <c r="AAD36">
        <v>18.63</v>
      </c>
      <c r="AAE36">
        <v>12.53</v>
      </c>
      <c r="AAF36">
        <v>26.09</v>
      </c>
      <c r="AAG36">
        <v>152.80000000000001</v>
      </c>
      <c r="AAH36">
        <v>121.12</v>
      </c>
      <c r="AAI36">
        <v>7016.93</v>
      </c>
      <c r="AAJ36">
        <v>599.39</v>
      </c>
      <c r="AAK36">
        <v>2724.91</v>
      </c>
      <c r="AAL36">
        <v>134.16</v>
      </c>
      <c r="AAM36">
        <v>15.53</v>
      </c>
      <c r="AAN36">
        <v>483.86</v>
      </c>
      <c r="AAO36">
        <v>91.31</v>
      </c>
      <c r="AAP36">
        <v>289.45</v>
      </c>
      <c r="AAQ36">
        <v>28.57</v>
      </c>
      <c r="AAR36">
        <v>27.95</v>
      </c>
      <c r="AAS36">
        <v>1355.93</v>
      </c>
      <c r="AAT36">
        <v>32.92</v>
      </c>
      <c r="AAU36">
        <v>12.53</v>
      </c>
      <c r="AAV36">
        <v>2352.85</v>
      </c>
      <c r="AAW36">
        <v>18.63</v>
      </c>
      <c r="AAX36">
        <v>63.98</v>
      </c>
      <c r="AAY36">
        <v>23.6</v>
      </c>
      <c r="AAZ36">
        <v>19.260000000000002</v>
      </c>
      <c r="ABA36">
        <v>156.53</v>
      </c>
      <c r="ABB36">
        <v>29.81</v>
      </c>
      <c r="ABC36">
        <v>468.33</v>
      </c>
      <c r="ABD36">
        <v>2637.33</v>
      </c>
      <c r="ABE36">
        <v>457.15</v>
      </c>
      <c r="ABF36">
        <v>290.69</v>
      </c>
      <c r="ABG36">
        <v>69.569999999999993</v>
      </c>
      <c r="ABH36">
        <v>108.08</v>
      </c>
      <c r="ABI36">
        <v>86.34</v>
      </c>
      <c r="ABJ36">
        <v>45.34</v>
      </c>
      <c r="ABK36">
        <v>54.66</v>
      </c>
      <c r="ABL36">
        <v>12.53</v>
      </c>
      <c r="ABM36">
        <v>110.56</v>
      </c>
      <c r="ABN36">
        <v>54.66</v>
      </c>
      <c r="ABO36">
        <v>16.77</v>
      </c>
      <c r="ABP36">
        <v>31.68</v>
      </c>
      <c r="ABQ36">
        <v>715.54</v>
      </c>
      <c r="ABR36">
        <v>21.74</v>
      </c>
      <c r="ABS36">
        <v>1859.05</v>
      </c>
      <c r="ABT36">
        <v>28.57</v>
      </c>
      <c r="ABU36">
        <v>19.260000000000002</v>
      </c>
      <c r="ABV36">
        <v>161.49</v>
      </c>
      <c r="ABW36">
        <v>261.5</v>
      </c>
      <c r="ABX36">
        <v>602.5</v>
      </c>
      <c r="ABY36">
        <v>309.95</v>
      </c>
      <c r="ABZ36">
        <v>108.7</v>
      </c>
      <c r="ACA36">
        <v>585.73</v>
      </c>
      <c r="ACB36">
        <v>168.33</v>
      </c>
      <c r="ACC36">
        <v>142.24</v>
      </c>
      <c r="ACD36">
        <v>320.5</v>
      </c>
      <c r="ACE36">
        <v>114.29</v>
      </c>
      <c r="ACF36">
        <v>6397.66</v>
      </c>
      <c r="ACG36">
        <v>855.92</v>
      </c>
      <c r="ACH36">
        <v>244.73</v>
      </c>
      <c r="ACI36">
        <v>577.03</v>
      </c>
      <c r="ACJ36">
        <v>537.9</v>
      </c>
      <c r="ACK36">
        <v>343.49</v>
      </c>
      <c r="ACL36">
        <v>61.49</v>
      </c>
      <c r="ACM36">
        <v>204.35</v>
      </c>
      <c r="ACN36">
        <v>362.12</v>
      </c>
      <c r="ACO36">
        <v>959.03</v>
      </c>
      <c r="ACP36">
        <v>649.70000000000005</v>
      </c>
      <c r="ACQ36">
        <v>277.02999999999997</v>
      </c>
      <c r="ACR36">
        <v>6468.47</v>
      </c>
    </row>
    <row r="37" spans="1:772" x14ac:dyDescent="0.3">
      <c r="A37" t="s">
        <v>16</v>
      </c>
      <c r="B37" t="s">
        <v>3</v>
      </c>
      <c r="C37">
        <v>362.89</v>
      </c>
      <c r="D37">
        <v>32.92</v>
      </c>
      <c r="E37">
        <v>291.69</v>
      </c>
      <c r="F37">
        <v>12.49</v>
      </c>
      <c r="G37">
        <v>2707.89</v>
      </c>
      <c r="H37">
        <v>29.86</v>
      </c>
      <c r="I37">
        <v>1688.89</v>
      </c>
      <c r="J37">
        <v>11276.39</v>
      </c>
      <c r="K37">
        <v>679.84</v>
      </c>
      <c r="L37">
        <v>19.91</v>
      </c>
      <c r="M37">
        <v>53.59</v>
      </c>
      <c r="N37">
        <v>672.95</v>
      </c>
      <c r="O37">
        <v>40.58</v>
      </c>
      <c r="P37">
        <v>481.56</v>
      </c>
      <c r="Q37">
        <v>117.14</v>
      </c>
      <c r="R37">
        <v>921.77</v>
      </c>
      <c r="S37">
        <v>13.78</v>
      </c>
      <c r="T37">
        <v>2555.54</v>
      </c>
      <c r="U37">
        <v>411.89</v>
      </c>
      <c r="V37">
        <v>448.64</v>
      </c>
      <c r="W37">
        <v>894.21</v>
      </c>
      <c r="X37">
        <v>12.49</v>
      </c>
      <c r="Y37">
        <v>826.84</v>
      </c>
      <c r="Z37">
        <v>386.62</v>
      </c>
      <c r="AA37">
        <v>24.5</v>
      </c>
      <c r="AB37">
        <v>1822.87</v>
      </c>
      <c r="AC37">
        <v>423.37</v>
      </c>
      <c r="AD37">
        <v>165.37</v>
      </c>
      <c r="AE37">
        <v>255.71</v>
      </c>
      <c r="AF37">
        <v>28918.66</v>
      </c>
      <c r="AG37">
        <v>186.8</v>
      </c>
      <c r="AH37">
        <v>48.23</v>
      </c>
      <c r="AI37">
        <v>39.049999999999997</v>
      </c>
      <c r="AJ37">
        <v>515.24</v>
      </c>
      <c r="AK37">
        <v>187.57</v>
      </c>
      <c r="AL37">
        <v>78.86</v>
      </c>
      <c r="AM37">
        <v>157.71</v>
      </c>
      <c r="AN37">
        <v>34.450000000000003</v>
      </c>
      <c r="AO37">
        <v>954.69</v>
      </c>
      <c r="AP37">
        <v>16.079999999999998</v>
      </c>
      <c r="AQ37">
        <v>107.18</v>
      </c>
      <c r="AR37">
        <v>20.67</v>
      </c>
      <c r="AS37">
        <v>14.55</v>
      </c>
      <c r="AT37">
        <v>16.079999999999998</v>
      </c>
      <c r="AU37">
        <v>22.2</v>
      </c>
      <c r="AV37">
        <v>440.98</v>
      </c>
      <c r="AW37">
        <v>560.41</v>
      </c>
      <c r="AX37">
        <v>2710.19</v>
      </c>
      <c r="AY37">
        <v>31.39</v>
      </c>
      <c r="AZ37">
        <v>65.84</v>
      </c>
      <c r="BA37">
        <v>258</v>
      </c>
      <c r="BB37">
        <v>486.15</v>
      </c>
      <c r="BC37">
        <v>19.91</v>
      </c>
      <c r="BD37">
        <v>12.49</v>
      </c>
      <c r="BE37">
        <v>290.16000000000003</v>
      </c>
      <c r="BF37">
        <v>530.54999999999995</v>
      </c>
      <c r="BG37">
        <v>59.72</v>
      </c>
      <c r="BH37">
        <v>13.78</v>
      </c>
      <c r="BI37">
        <v>35.22</v>
      </c>
      <c r="BJ37">
        <v>12.49</v>
      </c>
      <c r="BK37">
        <v>280.97000000000003</v>
      </c>
      <c r="BL37">
        <v>505.29</v>
      </c>
      <c r="BM37">
        <v>74.260000000000005</v>
      </c>
      <c r="BN37">
        <v>94.17</v>
      </c>
      <c r="BO37">
        <v>62.78</v>
      </c>
      <c r="BP37">
        <v>58.18</v>
      </c>
      <c r="BQ37">
        <v>18.37</v>
      </c>
      <c r="BR37">
        <v>407.29</v>
      </c>
      <c r="BS37">
        <v>14.55</v>
      </c>
      <c r="BT37">
        <v>2029.58</v>
      </c>
      <c r="BU37">
        <v>256.47000000000003</v>
      </c>
      <c r="BV37">
        <v>26.03</v>
      </c>
      <c r="BW37">
        <v>107.18</v>
      </c>
      <c r="BX37">
        <v>1060.3399999999999</v>
      </c>
      <c r="BY37">
        <v>254.94</v>
      </c>
      <c r="BZ37">
        <v>356</v>
      </c>
      <c r="CA37">
        <v>459.35</v>
      </c>
      <c r="CB37">
        <v>433.32</v>
      </c>
      <c r="CC37">
        <v>20.67</v>
      </c>
      <c r="CD37">
        <v>63.54</v>
      </c>
      <c r="CE37">
        <v>1007.52</v>
      </c>
      <c r="CF37">
        <v>242.69</v>
      </c>
      <c r="CG37">
        <v>59.72</v>
      </c>
      <c r="CH37">
        <v>304.70999999999998</v>
      </c>
      <c r="CI37">
        <v>16.079999999999998</v>
      </c>
      <c r="CJ37">
        <v>12.49</v>
      </c>
      <c r="CK37">
        <v>52.06</v>
      </c>
      <c r="CL37">
        <v>51.29</v>
      </c>
      <c r="CM37">
        <v>462.42</v>
      </c>
      <c r="CN37">
        <v>95.7</v>
      </c>
      <c r="CO37">
        <v>31.39</v>
      </c>
      <c r="CP37">
        <v>13.02</v>
      </c>
      <c r="CQ37">
        <v>78.86</v>
      </c>
      <c r="CR37">
        <v>101.82</v>
      </c>
      <c r="CS37">
        <v>12.49</v>
      </c>
      <c r="CT37">
        <v>15.31</v>
      </c>
      <c r="CU37">
        <v>82.68</v>
      </c>
      <c r="CV37">
        <v>26.8</v>
      </c>
      <c r="CW37">
        <v>1799.14</v>
      </c>
      <c r="CX37">
        <v>21.44</v>
      </c>
      <c r="CY37">
        <v>279.44</v>
      </c>
      <c r="CZ37">
        <v>143.16999999999999</v>
      </c>
      <c r="DA37">
        <v>14.55</v>
      </c>
      <c r="DB37">
        <v>169.96</v>
      </c>
      <c r="DC37">
        <v>66.61</v>
      </c>
      <c r="DD37">
        <v>45.17</v>
      </c>
      <c r="DE37">
        <v>42.11</v>
      </c>
      <c r="DF37">
        <v>253.41</v>
      </c>
      <c r="DG37">
        <v>12.49</v>
      </c>
      <c r="DH37">
        <v>1916.27</v>
      </c>
      <c r="DI37">
        <v>20.67</v>
      </c>
      <c r="DJ37">
        <v>64.31</v>
      </c>
      <c r="DK37">
        <v>266.43</v>
      </c>
      <c r="DL37">
        <v>1809.86</v>
      </c>
      <c r="DM37">
        <v>103.35</v>
      </c>
      <c r="DN37">
        <v>39.049999999999997</v>
      </c>
      <c r="DO37">
        <v>92.64</v>
      </c>
      <c r="DP37">
        <v>29.09</v>
      </c>
      <c r="DQ37">
        <v>1048.8599999999999</v>
      </c>
      <c r="DR37">
        <v>47.47</v>
      </c>
      <c r="DS37">
        <v>29.09</v>
      </c>
      <c r="DT37">
        <v>32.15</v>
      </c>
      <c r="DU37">
        <v>2442.23</v>
      </c>
      <c r="DV37">
        <v>45.17</v>
      </c>
      <c r="DW37">
        <v>16.84</v>
      </c>
      <c r="DX37">
        <v>82.68</v>
      </c>
      <c r="DY37">
        <v>78.09</v>
      </c>
      <c r="DZ37">
        <v>129.38</v>
      </c>
      <c r="EA37">
        <v>30.62</v>
      </c>
      <c r="EB37">
        <v>25.26</v>
      </c>
      <c r="EC37">
        <v>57.42</v>
      </c>
      <c r="ED37">
        <v>16.079999999999998</v>
      </c>
      <c r="EE37">
        <v>12.49</v>
      </c>
      <c r="EF37">
        <v>874.3</v>
      </c>
      <c r="EG37">
        <v>664.53</v>
      </c>
      <c r="EH37">
        <v>14.55</v>
      </c>
      <c r="EI37">
        <v>18.37</v>
      </c>
      <c r="EJ37">
        <v>496.87</v>
      </c>
      <c r="EK37">
        <v>163.07</v>
      </c>
      <c r="EL37">
        <v>4272</v>
      </c>
      <c r="EM37">
        <v>485.38</v>
      </c>
      <c r="EN37">
        <v>71.97</v>
      </c>
      <c r="EO37">
        <v>723.48</v>
      </c>
      <c r="EP37">
        <v>19.91</v>
      </c>
      <c r="EQ37">
        <v>3594.45</v>
      </c>
      <c r="ER37">
        <v>16.84</v>
      </c>
      <c r="ES37">
        <v>17.61</v>
      </c>
      <c r="ET37">
        <v>12.49</v>
      </c>
      <c r="EU37">
        <v>150.06</v>
      </c>
      <c r="EV37">
        <v>37.51</v>
      </c>
      <c r="EW37">
        <v>13.02</v>
      </c>
      <c r="EX37">
        <v>281.74</v>
      </c>
      <c r="EY37">
        <v>107.18</v>
      </c>
      <c r="EZ37">
        <v>12.49</v>
      </c>
      <c r="FA37">
        <v>120.2</v>
      </c>
      <c r="FB37">
        <v>12.49</v>
      </c>
      <c r="FC37">
        <v>26.8</v>
      </c>
      <c r="FD37">
        <v>14.55</v>
      </c>
      <c r="FE37">
        <v>6185.21</v>
      </c>
      <c r="FF37">
        <v>17.61</v>
      </c>
      <c r="FG37">
        <v>1259.4000000000001</v>
      </c>
      <c r="FH37">
        <v>1058.05</v>
      </c>
      <c r="FI37">
        <v>35.979999999999997</v>
      </c>
      <c r="FJ37">
        <v>899.57</v>
      </c>
      <c r="FK37">
        <v>212.07</v>
      </c>
      <c r="FL37">
        <v>108.71</v>
      </c>
      <c r="FM37">
        <v>405</v>
      </c>
      <c r="FN37">
        <v>150.06</v>
      </c>
      <c r="FO37">
        <v>53.59</v>
      </c>
      <c r="FP37">
        <v>12.49</v>
      </c>
      <c r="FQ37">
        <v>22.2</v>
      </c>
      <c r="FR37">
        <v>45.17</v>
      </c>
      <c r="FS37">
        <v>12.49</v>
      </c>
      <c r="FT37">
        <v>62.01</v>
      </c>
      <c r="FU37">
        <v>1847.37</v>
      </c>
      <c r="FV37">
        <v>1486.78</v>
      </c>
      <c r="FW37">
        <v>12.49</v>
      </c>
      <c r="FX37">
        <v>47.47</v>
      </c>
      <c r="FY37">
        <v>13.78</v>
      </c>
      <c r="FZ37">
        <v>1200.45</v>
      </c>
      <c r="GA37">
        <v>87.28</v>
      </c>
      <c r="GB37">
        <v>173.02</v>
      </c>
      <c r="GC37">
        <v>13.78</v>
      </c>
      <c r="GD37">
        <v>61.25</v>
      </c>
      <c r="GE37">
        <v>186.04</v>
      </c>
      <c r="GF37">
        <v>370.55</v>
      </c>
      <c r="GG37">
        <v>997.56</v>
      </c>
      <c r="GH37">
        <v>637.74</v>
      </c>
      <c r="GI37">
        <v>5600.3</v>
      </c>
      <c r="GJ37">
        <v>37.51</v>
      </c>
      <c r="GK37">
        <v>8193.35</v>
      </c>
      <c r="GL37">
        <v>26.03</v>
      </c>
      <c r="GM37">
        <v>15.31</v>
      </c>
      <c r="GN37">
        <v>13.78</v>
      </c>
      <c r="GO37">
        <v>376.67</v>
      </c>
      <c r="GP37">
        <v>33.69</v>
      </c>
      <c r="GQ37">
        <v>22.97</v>
      </c>
      <c r="GR37">
        <v>369.01</v>
      </c>
      <c r="GS37">
        <v>272.55</v>
      </c>
      <c r="GT37">
        <v>329.2</v>
      </c>
      <c r="GU37">
        <v>12.49</v>
      </c>
      <c r="GV37">
        <v>32.92</v>
      </c>
      <c r="GW37">
        <v>12.49</v>
      </c>
      <c r="GX37">
        <v>137.81</v>
      </c>
      <c r="GY37">
        <v>16.84</v>
      </c>
      <c r="GZ37">
        <v>135.51</v>
      </c>
      <c r="HA37">
        <v>157.71</v>
      </c>
      <c r="HB37">
        <v>1012.88</v>
      </c>
      <c r="HC37">
        <v>67.37</v>
      </c>
      <c r="HD37">
        <v>3411.47</v>
      </c>
      <c r="HE37">
        <v>29.86</v>
      </c>
      <c r="HF37">
        <v>3014.13</v>
      </c>
      <c r="HG37">
        <v>115.6</v>
      </c>
      <c r="HH37">
        <v>43.64</v>
      </c>
      <c r="HI37">
        <v>12.49</v>
      </c>
      <c r="HJ37">
        <v>708.17</v>
      </c>
      <c r="HK37">
        <v>6097.93</v>
      </c>
      <c r="HL37">
        <v>1443.14</v>
      </c>
      <c r="HM37">
        <v>123.26</v>
      </c>
      <c r="HN37">
        <v>1390.31</v>
      </c>
      <c r="HO37">
        <v>12.49</v>
      </c>
      <c r="HP37">
        <v>107.95</v>
      </c>
      <c r="HQ37">
        <v>6786.96</v>
      </c>
      <c r="HR37">
        <v>123.26</v>
      </c>
      <c r="HS37">
        <v>307.77</v>
      </c>
      <c r="HT37">
        <v>201.35</v>
      </c>
      <c r="HU37">
        <v>161.54</v>
      </c>
      <c r="HV37">
        <v>152.35</v>
      </c>
      <c r="HW37">
        <v>6065.01</v>
      </c>
      <c r="HX37">
        <v>12.49</v>
      </c>
      <c r="HY37">
        <v>13.78</v>
      </c>
      <c r="HZ37">
        <v>110.25</v>
      </c>
      <c r="IA37">
        <v>271.77999999999997</v>
      </c>
      <c r="IB37">
        <v>304.70999999999998</v>
      </c>
      <c r="IC37">
        <v>29.86</v>
      </c>
      <c r="ID37">
        <v>63.54</v>
      </c>
      <c r="IE37">
        <v>23.73</v>
      </c>
      <c r="IF37">
        <v>422.61</v>
      </c>
      <c r="IG37">
        <v>29.09</v>
      </c>
      <c r="IH37">
        <v>12.49</v>
      </c>
      <c r="II37">
        <v>298.58</v>
      </c>
      <c r="IJ37">
        <v>74.260000000000005</v>
      </c>
      <c r="IK37">
        <v>18.37</v>
      </c>
      <c r="IL37">
        <v>2334.29</v>
      </c>
      <c r="IM37">
        <v>855.16</v>
      </c>
      <c r="IN37">
        <v>196.76</v>
      </c>
      <c r="IO37">
        <v>12.49</v>
      </c>
      <c r="IP37">
        <v>45.94</v>
      </c>
      <c r="IQ37">
        <v>12.49</v>
      </c>
      <c r="IR37">
        <v>18.37</v>
      </c>
      <c r="IS37">
        <v>12.49</v>
      </c>
      <c r="IT37">
        <v>12.49</v>
      </c>
      <c r="IU37">
        <v>81.92</v>
      </c>
      <c r="IV37">
        <v>1306.0999999999999</v>
      </c>
      <c r="IW37">
        <v>209.01</v>
      </c>
      <c r="IX37">
        <v>3475.02</v>
      </c>
      <c r="IY37">
        <v>55.89</v>
      </c>
      <c r="IZ37">
        <v>19.91</v>
      </c>
      <c r="JA37">
        <v>378.2</v>
      </c>
      <c r="JB37">
        <v>447.1</v>
      </c>
      <c r="JC37">
        <v>24.5</v>
      </c>
      <c r="JD37">
        <v>148.52000000000001</v>
      </c>
      <c r="JE37">
        <v>13.02</v>
      </c>
      <c r="JF37">
        <v>13.02</v>
      </c>
      <c r="JG37">
        <v>37.51</v>
      </c>
      <c r="JH37">
        <v>342.98</v>
      </c>
      <c r="JI37">
        <v>297.81</v>
      </c>
      <c r="JJ37">
        <v>90.34</v>
      </c>
      <c r="JK37">
        <v>12.49</v>
      </c>
      <c r="JL37">
        <v>100.29</v>
      </c>
      <c r="JM37">
        <v>29.09</v>
      </c>
      <c r="JN37">
        <v>13.78</v>
      </c>
      <c r="JO37">
        <v>123.26</v>
      </c>
      <c r="JP37">
        <v>996.8</v>
      </c>
      <c r="JQ37">
        <v>1943.07</v>
      </c>
      <c r="JR37">
        <v>22.97</v>
      </c>
      <c r="JS37">
        <v>20.67</v>
      </c>
      <c r="JT37">
        <v>61.25</v>
      </c>
      <c r="JU37">
        <v>156.94999999999999</v>
      </c>
      <c r="JV37">
        <v>291.69</v>
      </c>
      <c r="JW37">
        <v>20.67</v>
      </c>
      <c r="JX37">
        <v>62.01</v>
      </c>
      <c r="JY37">
        <v>268.72000000000003</v>
      </c>
      <c r="JZ37">
        <v>17.61</v>
      </c>
      <c r="KA37">
        <v>13.02</v>
      </c>
      <c r="KB37">
        <v>12.49</v>
      </c>
      <c r="KC37">
        <v>35.22</v>
      </c>
      <c r="KD37">
        <v>21.44</v>
      </c>
      <c r="KE37">
        <v>64.31</v>
      </c>
      <c r="KF37">
        <v>186.04</v>
      </c>
      <c r="KG37">
        <v>280.97000000000003</v>
      </c>
      <c r="KH37">
        <v>76.56</v>
      </c>
      <c r="KI37">
        <v>277.91000000000003</v>
      </c>
      <c r="KJ37">
        <v>197.52</v>
      </c>
      <c r="KK37">
        <v>170.73</v>
      </c>
      <c r="KL37">
        <v>83.45</v>
      </c>
      <c r="KM37">
        <v>32.92</v>
      </c>
      <c r="KN37">
        <v>372.08</v>
      </c>
      <c r="KO37">
        <v>218.19</v>
      </c>
      <c r="KP37">
        <v>88.04</v>
      </c>
      <c r="KQ37">
        <v>4022.41</v>
      </c>
      <c r="KR37">
        <v>679.84</v>
      </c>
      <c r="KS37">
        <v>1541.13</v>
      </c>
      <c r="KT37">
        <v>5826.15</v>
      </c>
      <c r="KU37">
        <v>15288.08</v>
      </c>
      <c r="KV37">
        <v>1975.22</v>
      </c>
      <c r="KW37">
        <v>209.77</v>
      </c>
      <c r="KX37">
        <v>184.51</v>
      </c>
      <c r="KY37">
        <v>19.14</v>
      </c>
      <c r="KZ37">
        <v>29.86</v>
      </c>
      <c r="LA37">
        <v>495.34</v>
      </c>
      <c r="LB37">
        <v>631.61</v>
      </c>
      <c r="LC37">
        <v>587.21</v>
      </c>
      <c r="LD37">
        <v>426.43</v>
      </c>
      <c r="LE37">
        <v>45.94</v>
      </c>
      <c r="LF37">
        <v>1760.86</v>
      </c>
      <c r="LG37">
        <v>1623.05</v>
      </c>
      <c r="LH37">
        <v>12.49</v>
      </c>
      <c r="LI37">
        <v>4410.57</v>
      </c>
      <c r="LJ37">
        <v>408.06</v>
      </c>
      <c r="LK37">
        <v>1022.83</v>
      </c>
      <c r="LL37">
        <v>110.25</v>
      </c>
      <c r="LM37">
        <v>12.49</v>
      </c>
      <c r="LN37">
        <v>461.65</v>
      </c>
      <c r="LO37">
        <v>29.09</v>
      </c>
      <c r="LP37">
        <v>1420.17</v>
      </c>
      <c r="LQ37">
        <v>52.83</v>
      </c>
      <c r="LR37">
        <v>136.28</v>
      </c>
      <c r="LS37">
        <v>32.92</v>
      </c>
      <c r="LT37">
        <v>43.64</v>
      </c>
      <c r="LU37">
        <v>161.54</v>
      </c>
      <c r="LV37">
        <v>119.43</v>
      </c>
      <c r="LW37">
        <v>170.73</v>
      </c>
      <c r="LX37">
        <v>2491.23</v>
      </c>
      <c r="LY37">
        <v>2261.56</v>
      </c>
      <c r="LZ37">
        <v>12668.23</v>
      </c>
      <c r="MA37">
        <v>445.57</v>
      </c>
      <c r="MB37">
        <v>7962.91</v>
      </c>
      <c r="MC37">
        <v>1547.26</v>
      </c>
      <c r="MD37">
        <v>1123.1199999999999</v>
      </c>
      <c r="ME37">
        <v>213.6</v>
      </c>
      <c r="MF37">
        <v>1492.9</v>
      </c>
      <c r="MG37">
        <v>2306.73</v>
      </c>
      <c r="MH37">
        <v>1819.81</v>
      </c>
      <c r="MI37">
        <v>12.49</v>
      </c>
      <c r="MJ37">
        <v>746.45</v>
      </c>
      <c r="MK37">
        <v>16.84</v>
      </c>
      <c r="ML37">
        <v>1466.11</v>
      </c>
      <c r="MM37">
        <v>1914.74</v>
      </c>
      <c r="MN37">
        <v>592.57000000000005</v>
      </c>
      <c r="MO37">
        <v>15.31</v>
      </c>
      <c r="MP37">
        <v>81.92</v>
      </c>
      <c r="MQ37">
        <v>65.84</v>
      </c>
      <c r="MR37">
        <v>22.97</v>
      </c>
      <c r="MS37">
        <v>283.27</v>
      </c>
      <c r="MT37">
        <v>2335.0500000000002</v>
      </c>
      <c r="MU37">
        <v>27.56</v>
      </c>
      <c r="MV37">
        <v>25.26</v>
      </c>
      <c r="MW37">
        <v>137.04</v>
      </c>
      <c r="MX37">
        <v>62.01</v>
      </c>
      <c r="MY37">
        <v>14.55</v>
      </c>
      <c r="MZ37">
        <v>90.34</v>
      </c>
      <c r="NA37">
        <v>39.049999999999997</v>
      </c>
      <c r="NB37">
        <v>1061.1099999999999</v>
      </c>
      <c r="NC37">
        <v>743.39</v>
      </c>
      <c r="ND37">
        <v>956.22</v>
      </c>
      <c r="NE37">
        <v>305.47000000000003</v>
      </c>
      <c r="NF37">
        <v>17.61</v>
      </c>
      <c r="NG37">
        <v>16.84</v>
      </c>
      <c r="NH37">
        <v>141.63</v>
      </c>
      <c r="NI37">
        <v>4760.4399999999996</v>
      </c>
      <c r="NJ37">
        <v>126.32</v>
      </c>
      <c r="NK37">
        <v>274.08</v>
      </c>
      <c r="NL37">
        <v>190.63</v>
      </c>
      <c r="NM37">
        <v>2270.7399999999998</v>
      </c>
      <c r="NN37">
        <v>112.54</v>
      </c>
      <c r="NO37">
        <v>18.37</v>
      </c>
      <c r="NP37">
        <v>12.49</v>
      </c>
      <c r="NQ37">
        <v>1466.87</v>
      </c>
      <c r="NR37">
        <v>502.99</v>
      </c>
      <c r="NS37">
        <v>679.84</v>
      </c>
      <c r="NT37">
        <v>372.84</v>
      </c>
      <c r="NU37">
        <v>715.06</v>
      </c>
      <c r="NV37">
        <v>326.91000000000003</v>
      </c>
      <c r="NW37">
        <v>213.6</v>
      </c>
      <c r="NX37">
        <v>133.97999999999999</v>
      </c>
      <c r="NY37">
        <v>267.19</v>
      </c>
      <c r="NZ37">
        <v>689.8</v>
      </c>
      <c r="OA37">
        <v>126.32</v>
      </c>
      <c r="OB37">
        <v>649.22</v>
      </c>
      <c r="OC37">
        <v>7225.65</v>
      </c>
      <c r="OD37">
        <v>113.31</v>
      </c>
      <c r="OE37">
        <v>1773.11</v>
      </c>
      <c r="OF37">
        <v>38.28</v>
      </c>
      <c r="OG37">
        <v>4617.28</v>
      </c>
      <c r="OH37">
        <v>124.03</v>
      </c>
      <c r="OI37">
        <v>69.67</v>
      </c>
      <c r="OJ37">
        <v>55.12</v>
      </c>
      <c r="OK37">
        <v>2603.77</v>
      </c>
      <c r="OL37">
        <v>155.41</v>
      </c>
      <c r="OM37">
        <v>486.15</v>
      </c>
      <c r="ON37">
        <v>285.57</v>
      </c>
      <c r="OO37">
        <v>343.75</v>
      </c>
      <c r="OP37">
        <v>239.63</v>
      </c>
      <c r="OQ37">
        <v>398.11</v>
      </c>
      <c r="OR37">
        <v>14.55</v>
      </c>
      <c r="OS37">
        <v>619.36</v>
      </c>
      <c r="OT37">
        <v>231.97</v>
      </c>
      <c r="OU37">
        <v>89.57</v>
      </c>
      <c r="OV37">
        <v>674.49</v>
      </c>
      <c r="OW37">
        <v>22.97</v>
      </c>
      <c r="OX37">
        <v>44.4</v>
      </c>
      <c r="OY37">
        <v>16.84</v>
      </c>
      <c r="OZ37">
        <v>12.49</v>
      </c>
      <c r="PA37">
        <v>12.49</v>
      </c>
      <c r="PB37">
        <v>146.22999999999999</v>
      </c>
      <c r="PC37">
        <v>25.26</v>
      </c>
      <c r="PD37">
        <v>42.11</v>
      </c>
      <c r="PE37">
        <v>24.5</v>
      </c>
      <c r="PF37">
        <v>477.73</v>
      </c>
      <c r="PG37">
        <v>32.15</v>
      </c>
      <c r="PH37">
        <v>157.71</v>
      </c>
      <c r="PI37">
        <v>66.61</v>
      </c>
      <c r="PJ37">
        <v>5397.41</v>
      </c>
      <c r="PK37">
        <v>8030.28</v>
      </c>
      <c r="PL37">
        <v>62.01</v>
      </c>
      <c r="PM37">
        <v>34254.06</v>
      </c>
      <c r="PN37">
        <v>711.23</v>
      </c>
      <c r="PO37">
        <v>65.08</v>
      </c>
      <c r="PP37">
        <v>447.87</v>
      </c>
      <c r="PQ37">
        <v>26.03</v>
      </c>
      <c r="PR37">
        <v>12.49</v>
      </c>
      <c r="PS37">
        <v>16.079999999999998</v>
      </c>
      <c r="PT37">
        <v>31.39</v>
      </c>
      <c r="PU37">
        <v>276.38</v>
      </c>
      <c r="PV37">
        <v>80.39</v>
      </c>
      <c r="PW37">
        <v>98.76</v>
      </c>
      <c r="PX37">
        <v>17.61</v>
      </c>
      <c r="PY37">
        <v>353.7</v>
      </c>
      <c r="PZ37">
        <v>22.97</v>
      </c>
      <c r="QA37">
        <v>361.36</v>
      </c>
      <c r="QB37">
        <v>4190.84</v>
      </c>
      <c r="QC37">
        <v>170.73</v>
      </c>
      <c r="QD37">
        <v>61.25</v>
      </c>
      <c r="QE37">
        <v>503.76</v>
      </c>
      <c r="QF37">
        <v>191.4</v>
      </c>
      <c r="QG37">
        <v>571.9</v>
      </c>
      <c r="QH37">
        <v>60.48</v>
      </c>
      <c r="QI37">
        <v>12.49</v>
      </c>
      <c r="QJ37">
        <v>102.59</v>
      </c>
      <c r="QK37">
        <v>12.49</v>
      </c>
      <c r="QL37">
        <v>318.49</v>
      </c>
      <c r="QM37">
        <v>731.14</v>
      </c>
      <c r="QN37">
        <v>806.93</v>
      </c>
      <c r="QO37">
        <v>12.49</v>
      </c>
      <c r="QP37">
        <v>124.03</v>
      </c>
      <c r="QQ37">
        <v>310.83</v>
      </c>
      <c r="QR37">
        <v>41.34</v>
      </c>
      <c r="QS37">
        <v>1395.67</v>
      </c>
      <c r="QT37">
        <v>479.26</v>
      </c>
      <c r="QU37">
        <v>35.22</v>
      </c>
      <c r="QV37">
        <v>312.36</v>
      </c>
      <c r="QW37">
        <v>69.67</v>
      </c>
      <c r="QX37">
        <v>188.34</v>
      </c>
      <c r="QY37">
        <v>12.49</v>
      </c>
      <c r="QZ37">
        <v>12.49</v>
      </c>
      <c r="RA37">
        <v>84.21</v>
      </c>
      <c r="RB37">
        <v>15373.83</v>
      </c>
      <c r="RC37">
        <v>791.62</v>
      </c>
      <c r="RD37">
        <v>1792.25</v>
      </c>
      <c r="RE37">
        <v>34.450000000000003</v>
      </c>
      <c r="RF37">
        <v>247.29</v>
      </c>
      <c r="RG37">
        <v>152.35</v>
      </c>
      <c r="RH37">
        <v>26.03</v>
      </c>
      <c r="RI37">
        <v>43.64</v>
      </c>
      <c r="RJ37">
        <v>234.27</v>
      </c>
      <c r="RK37">
        <v>12.49</v>
      </c>
      <c r="RL37">
        <v>146.99</v>
      </c>
      <c r="RM37">
        <v>71.2</v>
      </c>
      <c r="RN37">
        <v>127.09</v>
      </c>
      <c r="RO37">
        <v>845.98</v>
      </c>
      <c r="RP37">
        <v>261.83</v>
      </c>
      <c r="RQ37">
        <v>544.34</v>
      </c>
      <c r="RR37">
        <v>19.91</v>
      </c>
      <c r="RS37">
        <v>760.23</v>
      </c>
      <c r="RT37">
        <v>376.67</v>
      </c>
      <c r="RU37">
        <v>12.49</v>
      </c>
      <c r="RV37">
        <v>19.14</v>
      </c>
      <c r="RW37">
        <v>1391.08</v>
      </c>
      <c r="RX37">
        <v>1587.07</v>
      </c>
      <c r="RY37">
        <v>557.35</v>
      </c>
      <c r="RZ37">
        <v>29.86</v>
      </c>
      <c r="SA37">
        <v>320.02</v>
      </c>
      <c r="SB37">
        <v>39.81</v>
      </c>
      <c r="SC37">
        <v>42.87</v>
      </c>
      <c r="SD37">
        <v>1345.91</v>
      </c>
      <c r="SE37">
        <v>954.69</v>
      </c>
      <c r="SF37">
        <v>434.86</v>
      </c>
      <c r="SG37">
        <v>7075.59</v>
      </c>
      <c r="SH37">
        <v>150.06</v>
      </c>
      <c r="SI37">
        <v>15.31</v>
      </c>
      <c r="SJ37">
        <v>134.74</v>
      </c>
      <c r="SK37">
        <v>91.87</v>
      </c>
      <c r="SL37">
        <v>192.16</v>
      </c>
      <c r="SM37">
        <v>13.78</v>
      </c>
      <c r="SN37">
        <v>421.84</v>
      </c>
      <c r="SO37">
        <v>12.49</v>
      </c>
      <c r="SP37">
        <v>116.37</v>
      </c>
      <c r="SQ37">
        <v>878.13</v>
      </c>
      <c r="SR37">
        <v>1562.57</v>
      </c>
      <c r="SS37">
        <v>622.42999999999995</v>
      </c>
      <c r="ST37">
        <v>889.62</v>
      </c>
      <c r="SU37">
        <v>1194.32</v>
      </c>
      <c r="SV37">
        <v>529.02</v>
      </c>
      <c r="SW37">
        <v>522.13</v>
      </c>
      <c r="SX37">
        <v>212.83</v>
      </c>
      <c r="SY37">
        <v>300.11</v>
      </c>
      <c r="SZ37">
        <v>12.49</v>
      </c>
      <c r="TA37">
        <v>12.49</v>
      </c>
      <c r="TB37">
        <v>1019</v>
      </c>
      <c r="TC37">
        <v>799.28</v>
      </c>
      <c r="TD37">
        <v>39.81</v>
      </c>
      <c r="TE37">
        <v>1033.55</v>
      </c>
      <c r="TF37">
        <v>511.41</v>
      </c>
      <c r="TG37">
        <v>686.73</v>
      </c>
      <c r="TH37">
        <v>137.04</v>
      </c>
      <c r="TI37">
        <v>58.18</v>
      </c>
      <c r="TJ37">
        <v>12.49</v>
      </c>
      <c r="TK37">
        <v>57.42</v>
      </c>
      <c r="TL37">
        <v>121.73</v>
      </c>
      <c r="TM37">
        <v>163.84</v>
      </c>
      <c r="TN37">
        <v>458.59</v>
      </c>
      <c r="TO37">
        <v>1220.3499999999999</v>
      </c>
      <c r="TP37">
        <v>1754.73</v>
      </c>
      <c r="TQ37">
        <v>463.18</v>
      </c>
      <c r="TR37">
        <v>12.49</v>
      </c>
      <c r="TS37">
        <v>217.43</v>
      </c>
      <c r="TT37">
        <v>43.64</v>
      </c>
      <c r="TU37">
        <v>32.15</v>
      </c>
      <c r="TV37">
        <v>215.9</v>
      </c>
      <c r="TW37">
        <v>636.97</v>
      </c>
      <c r="TX37">
        <v>223.55</v>
      </c>
      <c r="TY37">
        <v>47.47</v>
      </c>
      <c r="TZ37">
        <v>107.18</v>
      </c>
      <c r="UA37">
        <v>195.23</v>
      </c>
      <c r="UB37">
        <v>194.46</v>
      </c>
      <c r="UC37">
        <v>8945.16</v>
      </c>
      <c r="UD37">
        <v>12.49</v>
      </c>
      <c r="UE37">
        <v>12.49</v>
      </c>
      <c r="UF37">
        <v>1711.86</v>
      </c>
      <c r="UG37">
        <v>80.39</v>
      </c>
      <c r="UH37">
        <v>12.49</v>
      </c>
      <c r="UI37">
        <v>30.62</v>
      </c>
      <c r="UJ37">
        <v>73.5</v>
      </c>
      <c r="UK37">
        <v>25.26</v>
      </c>
      <c r="UL37">
        <v>12.49</v>
      </c>
      <c r="UM37">
        <v>24.5</v>
      </c>
      <c r="UN37">
        <v>68.900000000000006</v>
      </c>
      <c r="UO37">
        <v>142.4</v>
      </c>
      <c r="UP37">
        <v>13.02</v>
      </c>
      <c r="UQ37">
        <v>12.49</v>
      </c>
      <c r="UR37">
        <v>16.84</v>
      </c>
      <c r="US37">
        <v>56.65</v>
      </c>
      <c r="UT37">
        <v>132.44999999999999</v>
      </c>
      <c r="UU37">
        <v>689.8</v>
      </c>
      <c r="UV37">
        <v>662.24</v>
      </c>
      <c r="UW37">
        <v>349.87</v>
      </c>
      <c r="UX37">
        <v>43.64</v>
      </c>
      <c r="UY37">
        <v>502.99</v>
      </c>
      <c r="UZ37">
        <v>113.31</v>
      </c>
      <c r="VA37">
        <v>291.69</v>
      </c>
      <c r="VB37">
        <v>955.46</v>
      </c>
      <c r="VC37">
        <v>138.57</v>
      </c>
      <c r="VD37">
        <v>320.77999999999997</v>
      </c>
      <c r="VE37">
        <v>28.33</v>
      </c>
      <c r="VF37">
        <v>368.25</v>
      </c>
      <c r="VG37">
        <v>14.55</v>
      </c>
      <c r="VH37">
        <v>37.51</v>
      </c>
      <c r="VI37">
        <v>26.03</v>
      </c>
      <c r="VJ37">
        <v>14.55</v>
      </c>
      <c r="VK37">
        <v>1051.92</v>
      </c>
      <c r="VL37">
        <v>949.33</v>
      </c>
      <c r="VM37">
        <v>823.01</v>
      </c>
      <c r="VN37">
        <v>598.69000000000005</v>
      </c>
      <c r="VO37">
        <v>12.49</v>
      </c>
      <c r="VP37">
        <v>12.49</v>
      </c>
      <c r="VQ37">
        <v>885.02</v>
      </c>
      <c r="VR37">
        <v>323.83999999999997</v>
      </c>
      <c r="VS37">
        <v>339.16</v>
      </c>
      <c r="VT37">
        <v>52.06</v>
      </c>
      <c r="VU37">
        <v>22.2</v>
      </c>
      <c r="VV37">
        <v>13.02</v>
      </c>
      <c r="VW37">
        <v>238.1</v>
      </c>
      <c r="VX37">
        <v>179.15</v>
      </c>
      <c r="VY37">
        <v>101.06</v>
      </c>
      <c r="VZ37">
        <v>18404.04</v>
      </c>
      <c r="WA37">
        <v>10199.200000000001</v>
      </c>
      <c r="WB37">
        <v>218.19</v>
      </c>
      <c r="WC37">
        <v>121.73</v>
      </c>
      <c r="WD37">
        <v>26.03</v>
      </c>
      <c r="WE37">
        <v>2418.5</v>
      </c>
      <c r="WF37">
        <v>196.76</v>
      </c>
      <c r="WG37">
        <v>423.37</v>
      </c>
      <c r="WH37">
        <v>70809.48</v>
      </c>
      <c r="WI37">
        <v>110033.77</v>
      </c>
      <c r="WJ37">
        <v>1354.33</v>
      </c>
      <c r="WK37">
        <v>511.41</v>
      </c>
      <c r="WL37">
        <v>701.28</v>
      </c>
      <c r="WM37">
        <v>16.079999999999998</v>
      </c>
      <c r="WN37">
        <v>16.079999999999998</v>
      </c>
      <c r="WO37">
        <v>12.49</v>
      </c>
      <c r="WP37">
        <v>345.28</v>
      </c>
      <c r="WQ37">
        <v>1246.3800000000001</v>
      </c>
      <c r="WR37">
        <v>228.91</v>
      </c>
      <c r="WS37">
        <v>28.33</v>
      </c>
      <c r="WT37">
        <v>12.49</v>
      </c>
      <c r="WU37">
        <v>570.37</v>
      </c>
      <c r="WV37">
        <v>1211.1600000000001</v>
      </c>
      <c r="WW37">
        <v>29.09</v>
      </c>
      <c r="WX37">
        <v>146.99</v>
      </c>
      <c r="WY37">
        <v>123.26</v>
      </c>
      <c r="WZ37">
        <v>26.03</v>
      </c>
      <c r="XA37">
        <v>12.49</v>
      </c>
      <c r="XB37">
        <v>657.64</v>
      </c>
      <c r="XC37">
        <v>28.33</v>
      </c>
      <c r="XD37">
        <v>68.14</v>
      </c>
      <c r="XE37">
        <v>346.81</v>
      </c>
      <c r="XF37">
        <v>1331.36</v>
      </c>
      <c r="XG37">
        <v>391.98</v>
      </c>
      <c r="XH37">
        <v>460.12</v>
      </c>
      <c r="XI37">
        <v>1367.34</v>
      </c>
      <c r="XJ37">
        <v>405.76</v>
      </c>
      <c r="XK37">
        <v>688.27</v>
      </c>
      <c r="XL37">
        <v>137.04</v>
      </c>
      <c r="XM37">
        <v>20.67</v>
      </c>
      <c r="XN37">
        <v>310.06</v>
      </c>
      <c r="XO37">
        <v>12.49</v>
      </c>
      <c r="XP37">
        <v>14.55</v>
      </c>
      <c r="XQ37">
        <v>12.49</v>
      </c>
      <c r="XR37">
        <v>12.49</v>
      </c>
      <c r="XS37">
        <v>4399.8500000000004</v>
      </c>
      <c r="XT37">
        <v>166.13</v>
      </c>
      <c r="XU37">
        <v>220.49</v>
      </c>
      <c r="XV37">
        <v>325.38</v>
      </c>
      <c r="XW37">
        <v>1682.77</v>
      </c>
      <c r="XX37">
        <v>779.37</v>
      </c>
      <c r="XY37">
        <v>1972.16</v>
      </c>
      <c r="XZ37">
        <v>91.87</v>
      </c>
      <c r="YA37">
        <v>764.83</v>
      </c>
      <c r="YB37">
        <v>324.61</v>
      </c>
      <c r="YC37">
        <v>34.450000000000003</v>
      </c>
      <c r="YD37">
        <v>1306.8599999999999</v>
      </c>
      <c r="YE37">
        <v>365.95</v>
      </c>
      <c r="YF37">
        <v>330.74</v>
      </c>
      <c r="YG37">
        <v>63.54</v>
      </c>
      <c r="YH37">
        <v>17.61</v>
      </c>
      <c r="YI37">
        <v>63.54</v>
      </c>
      <c r="YJ37">
        <v>28.33</v>
      </c>
      <c r="YK37">
        <v>13.78</v>
      </c>
      <c r="YL37">
        <v>507.59</v>
      </c>
      <c r="YM37">
        <v>2700.24</v>
      </c>
      <c r="YN37">
        <v>98.76</v>
      </c>
      <c r="YO37">
        <v>189.87</v>
      </c>
      <c r="YP37">
        <v>2110.73</v>
      </c>
      <c r="YQ37">
        <v>256.47000000000003</v>
      </c>
      <c r="YR37">
        <v>88.81</v>
      </c>
      <c r="YS37">
        <v>2448.36</v>
      </c>
      <c r="YT37">
        <v>254.18</v>
      </c>
      <c r="YU37">
        <v>231.97</v>
      </c>
      <c r="YV37">
        <v>19.91</v>
      </c>
      <c r="YW37">
        <v>101.06</v>
      </c>
      <c r="YX37">
        <v>63.54</v>
      </c>
      <c r="YY37">
        <v>462.42</v>
      </c>
      <c r="YZ37">
        <v>29.86</v>
      </c>
      <c r="ZA37">
        <v>233.51</v>
      </c>
      <c r="ZB37">
        <v>37.51</v>
      </c>
      <c r="ZC37">
        <v>16.84</v>
      </c>
      <c r="ZD37">
        <v>36.75</v>
      </c>
      <c r="ZE37">
        <v>17.61</v>
      </c>
      <c r="ZF37">
        <v>124.79</v>
      </c>
      <c r="ZG37">
        <v>228.15</v>
      </c>
      <c r="ZH37">
        <v>254.18</v>
      </c>
      <c r="ZI37">
        <v>293.99</v>
      </c>
      <c r="ZJ37">
        <v>320.02</v>
      </c>
      <c r="ZK37">
        <v>131.68</v>
      </c>
      <c r="ZL37">
        <v>12.49</v>
      </c>
      <c r="ZM37">
        <v>78.86</v>
      </c>
      <c r="ZN37">
        <v>35.979999999999997</v>
      </c>
      <c r="ZO37">
        <v>63.54</v>
      </c>
      <c r="ZP37">
        <v>189.1</v>
      </c>
      <c r="ZQ37">
        <v>28.33</v>
      </c>
      <c r="ZR37">
        <v>42.87</v>
      </c>
      <c r="ZS37">
        <v>1142.26</v>
      </c>
      <c r="ZT37">
        <v>289.39</v>
      </c>
      <c r="ZU37">
        <v>165.37</v>
      </c>
      <c r="ZV37">
        <v>13.02</v>
      </c>
      <c r="ZW37">
        <v>12.49</v>
      </c>
      <c r="ZX37">
        <v>81.150000000000006</v>
      </c>
      <c r="ZY37">
        <v>1713.39</v>
      </c>
      <c r="ZZ37">
        <v>186.04</v>
      </c>
      <c r="AAA37">
        <v>71.2</v>
      </c>
      <c r="AAB37">
        <v>44.4</v>
      </c>
      <c r="AAC37">
        <v>12.49</v>
      </c>
      <c r="AAD37">
        <v>29.09</v>
      </c>
      <c r="AAE37">
        <v>15.31</v>
      </c>
      <c r="AAF37">
        <v>19.91</v>
      </c>
      <c r="AAG37">
        <v>133.97999999999999</v>
      </c>
      <c r="AAH37">
        <v>117.14</v>
      </c>
      <c r="AAI37">
        <v>6541.21</v>
      </c>
      <c r="AAJ37">
        <v>533.62</v>
      </c>
      <c r="AAK37">
        <v>3132.03</v>
      </c>
      <c r="AAL37">
        <v>138.57</v>
      </c>
      <c r="AAM37">
        <v>15.31</v>
      </c>
      <c r="AAN37">
        <v>504.52</v>
      </c>
      <c r="AAO37">
        <v>118.67</v>
      </c>
      <c r="AAP37">
        <v>319.25</v>
      </c>
      <c r="AAQ37">
        <v>22.97</v>
      </c>
      <c r="AAR37">
        <v>21.44</v>
      </c>
      <c r="AAS37">
        <v>1328.3</v>
      </c>
      <c r="AAT37">
        <v>28.33</v>
      </c>
      <c r="AAU37">
        <v>12.49</v>
      </c>
      <c r="AAV37">
        <v>2442.23</v>
      </c>
      <c r="AAW37">
        <v>29.09</v>
      </c>
      <c r="AAX37">
        <v>56.65</v>
      </c>
      <c r="AAY37">
        <v>22.97</v>
      </c>
      <c r="AAZ37">
        <v>22.97</v>
      </c>
      <c r="ABA37">
        <v>143.16999999999999</v>
      </c>
      <c r="ABB37">
        <v>40.58</v>
      </c>
      <c r="ABC37">
        <v>512.17999999999995</v>
      </c>
      <c r="ABD37">
        <v>2607.6</v>
      </c>
      <c r="ABE37">
        <v>447.87</v>
      </c>
      <c r="ABF37">
        <v>248.82</v>
      </c>
      <c r="ABG37">
        <v>64.31</v>
      </c>
      <c r="ABH37">
        <v>113.31</v>
      </c>
      <c r="ABI37">
        <v>105.65</v>
      </c>
      <c r="ABJ37">
        <v>37.51</v>
      </c>
      <c r="ABK37">
        <v>48.23</v>
      </c>
      <c r="ABL37">
        <v>12.49</v>
      </c>
      <c r="ABM37">
        <v>91.11</v>
      </c>
      <c r="ABN37">
        <v>37.51</v>
      </c>
      <c r="ABO37">
        <v>13.02</v>
      </c>
      <c r="ABP37">
        <v>23.73</v>
      </c>
      <c r="ABQ37">
        <v>602.52</v>
      </c>
      <c r="ABR37">
        <v>19.14</v>
      </c>
      <c r="ABS37">
        <v>2237.8200000000002</v>
      </c>
      <c r="ABT37">
        <v>29.09</v>
      </c>
      <c r="ABU37">
        <v>17.61</v>
      </c>
      <c r="ABV37">
        <v>155.41</v>
      </c>
      <c r="ABW37">
        <v>235.04</v>
      </c>
      <c r="ABX37">
        <v>612.47</v>
      </c>
      <c r="ABY37">
        <v>320.77999999999997</v>
      </c>
      <c r="ABZ37">
        <v>101.06</v>
      </c>
      <c r="ACA37">
        <v>509.12</v>
      </c>
      <c r="ACB37">
        <v>163.84</v>
      </c>
      <c r="ACC37">
        <v>144.69999999999999</v>
      </c>
      <c r="ACD37">
        <v>296.27999999999997</v>
      </c>
      <c r="ACE37">
        <v>125.56</v>
      </c>
      <c r="ACF37">
        <v>6318.42</v>
      </c>
      <c r="ACG37">
        <v>795.45</v>
      </c>
      <c r="ACH37">
        <v>270.25</v>
      </c>
      <c r="ACI37">
        <v>541.27</v>
      </c>
      <c r="ACJ37">
        <v>500.7</v>
      </c>
      <c r="ACK37">
        <v>370.55</v>
      </c>
      <c r="ACL37">
        <v>57.42</v>
      </c>
      <c r="ACM37">
        <v>188.34</v>
      </c>
      <c r="ACN37">
        <v>346.05</v>
      </c>
      <c r="ACO37">
        <v>960.05</v>
      </c>
      <c r="ACP37">
        <v>551.23</v>
      </c>
      <c r="ACQ37">
        <v>262.60000000000002</v>
      </c>
      <c r="ACR37">
        <v>6218.89</v>
      </c>
    </row>
    <row r="38" spans="1:772" x14ac:dyDescent="0.3">
      <c r="A38" t="s">
        <v>17</v>
      </c>
      <c r="B38" t="s">
        <v>1</v>
      </c>
      <c r="C38">
        <v>1687.63</v>
      </c>
      <c r="D38">
        <v>26.96</v>
      </c>
      <c r="E38">
        <v>1684.52</v>
      </c>
      <c r="F38">
        <v>18.670000000000002</v>
      </c>
      <c r="G38">
        <v>1730.15</v>
      </c>
      <c r="H38">
        <v>72.069999999999993</v>
      </c>
      <c r="I38">
        <v>1005.84</v>
      </c>
      <c r="J38">
        <v>5779.43</v>
      </c>
      <c r="K38">
        <v>450.04</v>
      </c>
      <c r="L38">
        <v>38.369999999999997</v>
      </c>
      <c r="M38">
        <v>127.54</v>
      </c>
      <c r="N38">
        <v>1423.73</v>
      </c>
      <c r="O38">
        <v>23.33</v>
      </c>
      <c r="P38">
        <v>237.98</v>
      </c>
      <c r="Q38">
        <v>117.69</v>
      </c>
      <c r="R38">
        <v>772.01</v>
      </c>
      <c r="S38">
        <v>14</v>
      </c>
      <c r="T38">
        <v>2135.6</v>
      </c>
      <c r="U38">
        <v>246.28</v>
      </c>
      <c r="V38">
        <v>769.42</v>
      </c>
      <c r="W38">
        <v>1101.76</v>
      </c>
      <c r="X38">
        <v>17.11</v>
      </c>
      <c r="Y38">
        <v>141.03</v>
      </c>
      <c r="Z38">
        <v>278.42</v>
      </c>
      <c r="AA38">
        <v>115.62</v>
      </c>
      <c r="AB38">
        <v>591.58000000000004</v>
      </c>
      <c r="AC38">
        <v>592.62</v>
      </c>
      <c r="AD38">
        <v>61.18</v>
      </c>
      <c r="AE38">
        <v>478.55</v>
      </c>
      <c r="AF38">
        <v>12900.16</v>
      </c>
      <c r="AG38">
        <v>78.290000000000006</v>
      </c>
      <c r="AH38">
        <v>117.69</v>
      </c>
      <c r="AI38">
        <v>47.18</v>
      </c>
      <c r="AJ38">
        <v>551.66</v>
      </c>
      <c r="AK38">
        <v>222.94</v>
      </c>
      <c r="AL38">
        <v>107.84</v>
      </c>
      <c r="AM38">
        <v>538.17999999999995</v>
      </c>
      <c r="AN38">
        <v>40.44</v>
      </c>
      <c r="AO38">
        <v>467.15</v>
      </c>
      <c r="AP38">
        <v>34.74</v>
      </c>
      <c r="AQ38">
        <v>155.54</v>
      </c>
      <c r="AR38">
        <v>16.07</v>
      </c>
      <c r="AS38">
        <v>14.52</v>
      </c>
      <c r="AT38">
        <v>10.92</v>
      </c>
      <c r="AU38">
        <v>14</v>
      </c>
      <c r="AV38">
        <v>790.16</v>
      </c>
      <c r="AW38">
        <v>153.47</v>
      </c>
      <c r="AX38">
        <v>2406.7600000000002</v>
      </c>
      <c r="AY38">
        <v>22.81</v>
      </c>
      <c r="AZ38">
        <v>64.290000000000006</v>
      </c>
      <c r="BA38">
        <v>282.57</v>
      </c>
      <c r="BB38">
        <v>337.53</v>
      </c>
      <c r="BC38">
        <v>10.92</v>
      </c>
      <c r="BD38">
        <v>10.92</v>
      </c>
      <c r="BE38">
        <v>150.36000000000001</v>
      </c>
      <c r="BF38">
        <v>233.83</v>
      </c>
      <c r="BG38">
        <v>43.03</v>
      </c>
      <c r="BH38">
        <v>26.44</v>
      </c>
      <c r="BI38">
        <v>27.48</v>
      </c>
      <c r="BJ38">
        <v>12.96</v>
      </c>
      <c r="BK38">
        <v>135.32</v>
      </c>
      <c r="BL38">
        <v>470.26</v>
      </c>
      <c r="BM38">
        <v>63.25</v>
      </c>
      <c r="BN38">
        <v>78.290000000000006</v>
      </c>
      <c r="BO38">
        <v>11.92</v>
      </c>
      <c r="BP38">
        <v>40.96</v>
      </c>
      <c r="BQ38">
        <v>25.92</v>
      </c>
      <c r="BR38">
        <v>40.44</v>
      </c>
      <c r="BS38">
        <v>10.92</v>
      </c>
      <c r="BT38">
        <v>2065.08</v>
      </c>
      <c r="BU38">
        <v>677.65</v>
      </c>
      <c r="BV38">
        <v>17.63</v>
      </c>
      <c r="BW38">
        <v>388.34</v>
      </c>
      <c r="BX38">
        <v>1026.06</v>
      </c>
      <c r="BY38">
        <v>186.65</v>
      </c>
      <c r="BZ38">
        <v>469.22</v>
      </c>
      <c r="CA38">
        <v>225.54</v>
      </c>
      <c r="CB38">
        <v>42.51</v>
      </c>
      <c r="CC38">
        <v>88.14</v>
      </c>
      <c r="CD38">
        <v>43.55</v>
      </c>
      <c r="CE38">
        <v>655.35</v>
      </c>
      <c r="CF38">
        <v>603.5</v>
      </c>
      <c r="CG38">
        <v>41.48</v>
      </c>
      <c r="CH38">
        <v>78.81</v>
      </c>
      <c r="CI38">
        <v>10.92</v>
      </c>
      <c r="CJ38">
        <v>22.81</v>
      </c>
      <c r="CK38">
        <v>28</v>
      </c>
      <c r="CL38">
        <v>59.11</v>
      </c>
      <c r="CM38">
        <v>908.37</v>
      </c>
      <c r="CN38">
        <v>253.53</v>
      </c>
      <c r="CO38">
        <v>18.149999999999999</v>
      </c>
      <c r="CP38">
        <v>10.92</v>
      </c>
      <c r="CQ38">
        <v>48.22</v>
      </c>
      <c r="CR38">
        <v>72.069999999999993</v>
      </c>
      <c r="CS38">
        <v>10.92</v>
      </c>
      <c r="CT38">
        <v>10.92</v>
      </c>
      <c r="CU38">
        <v>24.37</v>
      </c>
      <c r="CV38">
        <v>53.92</v>
      </c>
      <c r="CW38">
        <v>1802.74</v>
      </c>
      <c r="CX38">
        <v>12.44</v>
      </c>
      <c r="CY38">
        <v>232.28</v>
      </c>
      <c r="CZ38">
        <v>147.25</v>
      </c>
      <c r="DA38">
        <v>17.11</v>
      </c>
      <c r="DB38">
        <v>41.48</v>
      </c>
      <c r="DC38">
        <v>18.149999999999999</v>
      </c>
      <c r="DD38">
        <v>16.59</v>
      </c>
      <c r="DE38">
        <v>42</v>
      </c>
      <c r="DF38">
        <v>258.72000000000003</v>
      </c>
      <c r="DG38">
        <v>12.96</v>
      </c>
      <c r="DH38">
        <v>2639.03</v>
      </c>
      <c r="DI38">
        <v>57.03</v>
      </c>
      <c r="DJ38">
        <v>28</v>
      </c>
      <c r="DK38">
        <v>225.02</v>
      </c>
      <c r="DL38">
        <v>856.52</v>
      </c>
      <c r="DM38">
        <v>70.510000000000005</v>
      </c>
      <c r="DN38">
        <v>14</v>
      </c>
      <c r="DO38">
        <v>54.96</v>
      </c>
      <c r="DP38">
        <v>22.29</v>
      </c>
      <c r="DQ38">
        <v>1032.8</v>
      </c>
      <c r="DR38">
        <v>16.59</v>
      </c>
      <c r="DS38">
        <v>11.92</v>
      </c>
      <c r="DT38">
        <v>38.369999999999997</v>
      </c>
      <c r="DU38">
        <v>1685.56</v>
      </c>
      <c r="DV38">
        <v>10.92</v>
      </c>
      <c r="DW38">
        <v>11.41</v>
      </c>
      <c r="DX38">
        <v>56.51</v>
      </c>
      <c r="DY38">
        <v>217.76</v>
      </c>
      <c r="DZ38">
        <v>136.88</v>
      </c>
      <c r="EA38">
        <v>15.55</v>
      </c>
      <c r="EB38">
        <v>30.07</v>
      </c>
      <c r="EC38">
        <v>19.7</v>
      </c>
      <c r="ED38">
        <v>12.44</v>
      </c>
      <c r="EE38">
        <v>10.92</v>
      </c>
      <c r="EF38">
        <v>368.64</v>
      </c>
      <c r="EG38">
        <v>1890.36</v>
      </c>
      <c r="EH38">
        <v>170.58</v>
      </c>
      <c r="EI38">
        <v>46.14</v>
      </c>
      <c r="EJ38">
        <v>277.89999999999998</v>
      </c>
      <c r="EK38">
        <v>138.94999999999999</v>
      </c>
      <c r="EL38">
        <v>2499.0500000000002</v>
      </c>
      <c r="EM38">
        <v>342.71</v>
      </c>
      <c r="EN38">
        <v>73.099999999999994</v>
      </c>
      <c r="EO38">
        <v>143.62</v>
      </c>
      <c r="EP38">
        <v>31.63</v>
      </c>
      <c r="EQ38">
        <v>2540.52</v>
      </c>
      <c r="ER38">
        <v>10.92</v>
      </c>
      <c r="ES38">
        <v>17.11</v>
      </c>
      <c r="ET38">
        <v>17.11</v>
      </c>
      <c r="EU38">
        <v>229.68</v>
      </c>
      <c r="EV38">
        <v>39.92</v>
      </c>
      <c r="EW38">
        <v>25.92</v>
      </c>
      <c r="EX38">
        <v>620.61</v>
      </c>
      <c r="EY38">
        <v>128.58000000000001</v>
      </c>
      <c r="EZ38">
        <v>11.92</v>
      </c>
      <c r="FA38">
        <v>113.55</v>
      </c>
      <c r="FB38">
        <v>10.92</v>
      </c>
      <c r="FC38">
        <v>587.95000000000005</v>
      </c>
      <c r="FD38">
        <v>19.18</v>
      </c>
      <c r="FE38">
        <v>255.61</v>
      </c>
      <c r="FF38">
        <v>34.22</v>
      </c>
      <c r="FG38">
        <v>4528.87</v>
      </c>
      <c r="FH38">
        <v>6958.96</v>
      </c>
      <c r="FI38">
        <v>426.7</v>
      </c>
      <c r="FJ38">
        <v>316.79000000000002</v>
      </c>
      <c r="FK38">
        <v>445.89</v>
      </c>
      <c r="FL38">
        <v>99.55</v>
      </c>
      <c r="FM38">
        <v>573.42999999999995</v>
      </c>
      <c r="FN38">
        <v>66.36</v>
      </c>
      <c r="FO38">
        <v>35.26</v>
      </c>
      <c r="FP38">
        <v>15.04</v>
      </c>
      <c r="FQ38">
        <v>35.26</v>
      </c>
      <c r="FR38">
        <v>14</v>
      </c>
      <c r="FS38">
        <v>10.92</v>
      </c>
      <c r="FT38">
        <v>21.26</v>
      </c>
      <c r="FU38">
        <v>2664.96</v>
      </c>
      <c r="FV38">
        <v>3048.11</v>
      </c>
      <c r="FW38">
        <v>14.52</v>
      </c>
      <c r="FX38">
        <v>31.63</v>
      </c>
      <c r="FY38">
        <v>16.59</v>
      </c>
      <c r="FZ38">
        <v>1946.35</v>
      </c>
      <c r="GA38">
        <v>38.89</v>
      </c>
      <c r="GB38">
        <v>391.45</v>
      </c>
      <c r="GC38">
        <v>22.29</v>
      </c>
      <c r="GD38">
        <v>141.03</v>
      </c>
      <c r="GE38">
        <v>533.51</v>
      </c>
      <c r="GF38">
        <v>277.89999999999998</v>
      </c>
      <c r="GG38">
        <v>1888.8</v>
      </c>
      <c r="GH38">
        <v>811.93</v>
      </c>
      <c r="GI38">
        <v>5654.48</v>
      </c>
      <c r="GJ38">
        <v>94.36</v>
      </c>
      <c r="GK38">
        <v>15119.23</v>
      </c>
      <c r="GL38">
        <v>102.14</v>
      </c>
      <c r="GM38">
        <v>20.74</v>
      </c>
      <c r="GN38">
        <v>10.92</v>
      </c>
      <c r="GO38">
        <v>783.41</v>
      </c>
      <c r="GP38">
        <v>19.7</v>
      </c>
      <c r="GQ38">
        <v>52.37</v>
      </c>
      <c r="GR38">
        <v>833.19</v>
      </c>
      <c r="GS38">
        <v>590.54</v>
      </c>
      <c r="GT38">
        <v>581.21</v>
      </c>
      <c r="GU38">
        <v>15.04</v>
      </c>
      <c r="GV38">
        <v>96.95</v>
      </c>
      <c r="GW38">
        <v>20.74</v>
      </c>
      <c r="GX38">
        <v>283.61</v>
      </c>
      <c r="GY38">
        <v>27.48</v>
      </c>
      <c r="GZ38">
        <v>153.47</v>
      </c>
      <c r="HA38">
        <v>584.84</v>
      </c>
      <c r="HB38">
        <v>447.96</v>
      </c>
      <c r="HC38">
        <v>43.55</v>
      </c>
      <c r="HD38">
        <v>1026.58</v>
      </c>
      <c r="HE38">
        <v>10.92</v>
      </c>
      <c r="HF38">
        <v>1055.0999999999999</v>
      </c>
      <c r="HG38">
        <v>199.09</v>
      </c>
      <c r="HH38">
        <v>66.36</v>
      </c>
      <c r="HI38">
        <v>34.74</v>
      </c>
      <c r="HJ38">
        <v>315.23</v>
      </c>
      <c r="HK38">
        <v>2256.92</v>
      </c>
      <c r="HL38">
        <v>430.85</v>
      </c>
      <c r="HM38">
        <v>84.51</v>
      </c>
      <c r="HN38">
        <v>468.18</v>
      </c>
      <c r="HO38">
        <v>14</v>
      </c>
      <c r="HP38">
        <v>51.85</v>
      </c>
      <c r="HQ38">
        <v>5485.46</v>
      </c>
      <c r="HR38">
        <v>163.32</v>
      </c>
      <c r="HS38">
        <v>174.73</v>
      </c>
      <c r="HT38">
        <v>25.41</v>
      </c>
      <c r="HU38">
        <v>343.23</v>
      </c>
      <c r="HV38">
        <v>70.510000000000005</v>
      </c>
      <c r="HW38">
        <v>3840.34</v>
      </c>
      <c r="HX38">
        <v>52.37</v>
      </c>
      <c r="HY38">
        <v>23.85</v>
      </c>
      <c r="HZ38">
        <v>86.59</v>
      </c>
      <c r="IA38">
        <v>28.52</v>
      </c>
      <c r="IB38">
        <v>105.77</v>
      </c>
      <c r="IC38">
        <v>29.03</v>
      </c>
      <c r="ID38">
        <v>12.96</v>
      </c>
      <c r="IE38">
        <v>14.52</v>
      </c>
      <c r="IF38">
        <v>1948.43</v>
      </c>
      <c r="IG38">
        <v>51.33</v>
      </c>
      <c r="IH38">
        <v>10.92</v>
      </c>
      <c r="II38">
        <v>1037.99</v>
      </c>
      <c r="IJ38">
        <v>160.72999999999999</v>
      </c>
      <c r="IK38">
        <v>32.659999999999997</v>
      </c>
      <c r="IL38">
        <v>1582.38</v>
      </c>
      <c r="IM38">
        <v>495.66</v>
      </c>
      <c r="IN38">
        <v>204.8</v>
      </c>
      <c r="IO38">
        <v>14.52</v>
      </c>
      <c r="IP38">
        <v>62.74</v>
      </c>
      <c r="IQ38">
        <v>15.04</v>
      </c>
      <c r="IR38">
        <v>38.89</v>
      </c>
      <c r="IS38">
        <v>22.29</v>
      </c>
      <c r="IT38">
        <v>10.92</v>
      </c>
      <c r="IU38">
        <v>311.08</v>
      </c>
      <c r="IV38">
        <v>675.05</v>
      </c>
      <c r="IW38">
        <v>348.93</v>
      </c>
      <c r="IX38">
        <v>988.73</v>
      </c>
      <c r="IY38">
        <v>25.41</v>
      </c>
      <c r="IZ38">
        <v>48.22</v>
      </c>
      <c r="JA38">
        <v>365.01</v>
      </c>
      <c r="JB38">
        <v>226.57</v>
      </c>
      <c r="JC38">
        <v>75.180000000000007</v>
      </c>
      <c r="JD38">
        <v>280.49</v>
      </c>
      <c r="JE38">
        <v>28.52</v>
      </c>
      <c r="JF38">
        <v>16.07</v>
      </c>
      <c r="JG38">
        <v>81.400000000000006</v>
      </c>
      <c r="JH38">
        <v>180.43</v>
      </c>
      <c r="JI38">
        <v>409.08</v>
      </c>
      <c r="JJ38">
        <v>62.22</v>
      </c>
      <c r="JK38">
        <v>35.770000000000003</v>
      </c>
      <c r="JL38">
        <v>98.51</v>
      </c>
      <c r="JM38">
        <v>16.59</v>
      </c>
      <c r="JN38">
        <v>15.55</v>
      </c>
      <c r="JO38">
        <v>103.18</v>
      </c>
      <c r="JP38">
        <v>596.76</v>
      </c>
      <c r="JQ38">
        <v>3893.22</v>
      </c>
      <c r="JR38">
        <v>12.96</v>
      </c>
      <c r="JS38">
        <v>16.07</v>
      </c>
      <c r="JT38">
        <v>120.29</v>
      </c>
      <c r="JU38">
        <v>249.39</v>
      </c>
      <c r="JV38">
        <v>293.45999999999998</v>
      </c>
      <c r="JW38">
        <v>345.3</v>
      </c>
      <c r="JX38">
        <v>61.7</v>
      </c>
      <c r="JY38">
        <v>184.58</v>
      </c>
      <c r="JZ38">
        <v>10.92</v>
      </c>
      <c r="KA38">
        <v>10.92</v>
      </c>
      <c r="KB38">
        <v>10.92</v>
      </c>
      <c r="KC38">
        <v>15.55</v>
      </c>
      <c r="KD38">
        <v>10.92</v>
      </c>
      <c r="KE38">
        <v>92.81</v>
      </c>
      <c r="KF38">
        <v>197.54</v>
      </c>
      <c r="KG38">
        <v>270.64</v>
      </c>
      <c r="KH38">
        <v>59.11</v>
      </c>
      <c r="KI38">
        <v>132.21</v>
      </c>
      <c r="KJ38">
        <v>141.54</v>
      </c>
      <c r="KK38">
        <v>160.21</v>
      </c>
      <c r="KL38">
        <v>36.29</v>
      </c>
      <c r="KM38">
        <v>37.85</v>
      </c>
      <c r="KN38">
        <v>34.74</v>
      </c>
      <c r="KO38">
        <v>108.36</v>
      </c>
      <c r="KP38">
        <v>120.29</v>
      </c>
      <c r="KQ38">
        <v>3307.87</v>
      </c>
      <c r="KR38">
        <v>346.34</v>
      </c>
      <c r="KS38">
        <v>900.07</v>
      </c>
      <c r="KT38">
        <v>7164.28</v>
      </c>
      <c r="KU38">
        <v>6793.57</v>
      </c>
      <c r="KV38">
        <v>1313.81</v>
      </c>
      <c r="KW38">
        <v>219.83</v>
      </c>
      <c r="KX38">
        <v>183.54</v>
      </c>
      <c r="KY38">
        <v>27.48</v>
      </c>
      <c r="KZ38">
        <v>14.52</v>
      </c>
      <c r="LA38">
        <v>679.2</v>
      </c>
      <c r="LB38">
        <v>640.32000000000005</v>
      </c>
      <c r="LC38">
        <v>1026.58</v>
      </c>
      <c r="LD38">
        <v>10.92</v>
      </c>
      <c r="LE38">
        <v>568.77</v>
      </c>
      <c r="LF38">
        <v>2393.2800000000002</v>
      </c>
      <c r="LG38">
        <v>825.93</v>
      </c>
      <c r="LH38">
        <v>658.98</v>
      </c>
      <c r="LI38">
        <v>2304.1</v>
      </c>
      <c r="LJ38">
        <v>195.98</v>
      </c>
      <c r="LK38">
        <v>506.03</v>
      </c>
      <c r="LL38">
        <v>133.77000000000001</v>
      </c>
      <c r="LM38">
        <v>10.92</v>
      </c>
      <c r="LN38">
        <v>94.36</v>
      </c>
      <c r="LO38">
        <v>91.25</v>
      </c>
      <c r="LP38">
        <v>1385.36</v>
      </c>
      <c r="LQ38">
        <v>65.33</v>
      </c>
      <c r="LR38">
        <v>115.1</v>
      </c>
      <c r="LS38">
        <v>49.26</v>
      </c>
      <c r="LT38">
        <v>12.96</v>
      </c>
      <c r="LU38">
        <v>122.88</v>
      </c>
      <c r="LV38">
        <v>199.61</v>
      </c>
      <c r="LW38">
        <v>361.9</v>
      </c>
      <c r="LX38">
        <v>1198.19</v>
      </c>
      <c r="LY38">
        <v>1026.06</v>
      </c>
      <c r="LZ38">
        <v>964.36</v>
      </c>
      <c r="MA38">
        <v>105.25</v>
      </c>
      <c r="MB38">
        <v>644.46</v>
      </c>
      <c r="MC38">
        <v>229.68</v>
      </c>
      <c r="MD38">
        <v>44.07</v>
      </c>
      <c r="ME38">
        <v>66.88</v>
      </c>
      <c r="MF38">
        <v>110.44</v>
      </c>
      <c r="MG38">
        <v>2083.75</v>
      </c>
      <c r="MH38">
        <v>1561.64</v>
      </c>
      <c r="MI38">
        <v>15.55</v>
      </c>
      <c r="MJ38">
        <v>705.64</v>
      </c>
      <c r="MK38">
        <v>10.92</v>
      </c>
      <c r="ML38">
        <v>1554.9</v>
      </c>
      <c r="MM38">
        <v>866.37</v>
      </c>
      <c r="MN38">
        <v>374.34</v>
      </c>
      <c r="MO38">
        <v>11.41</v>
      </c>
      <c r="MP38">
        <v>106.81</v>
      </c>
      <c r="MQ38">
        <v>66.88</v>
      </c>
      <c r="MR38">
        <v>11.41</v>
      </c>
      <c r="MS38">
        <v>219.83</v>
      </c>
      <c r="MT38">
        <v>2132.4899999999998</v>
      </c>
      <c r="MU38">
        <v>22.29</v>
      </c>
      <c r="MV38">
        <v>30.07</v>
      </c>
      <c r="MW38">
        <v>61.7</v>
      </c>
      <c r="MX38">
        <v>60.66</v>
      </c>
      <c r="MY38">
        <v>37.33</v>
      </c>
      <c r="MZ38">
        <v>262.35000000000002</v>
      </c>
      <c r="NA38">
        <v>28</v>
      </c>
      <c r="NB38">
        <v>432.41</v>
      </c>
      <c r="NC38">
        <v>1707.34</v>
      </c>
      <c r="ND38">
        <v>47.18</v>
      </c>
      <c r="NE38">
        <v>258.2</v>
      </c>
      <c r="NF38">
        <v>10.92</v>
      </c>
      <c r="NG38">
        <v>10.92</v>
      </c>
      <c r="NH38">
        <v>45.63</v>
      </c>
      <c r="NI38">
        <v>948.29</v>
      </c>
      <c r="NJ38">
        <v>114.58</v>
      </c>
      <c r="NK38">
        <v>46.66</v>
      </c>
      <c r="NL38">
        <v>234.87</v>
      </c>
      <c r="NM38">
        <v>2068.71</v>
      </c>
      <c r="NN38">
        <v>751.79</v>
      </c>
      <c r="NO38">
        <v>22.29</v>
      </c>
      <c r="NP38">
        <v>10.92</v>
      </c>
      <c r="NQ38">
        <v>3102.55</v>
      </c>
      <c r="NR38">
        <v>123.92</v>
      </c>
      <c r="NS38">
        <v>595.73</v>
      </c>
      <c r="NT38">
        <v>950.36</v>
      </c>
      <c r="NU38">
        <v>573.42999999999995</v>
      </c>
      <c r="NV38">
        <v>301.23</v>
      </c>
      <c r="NW38">
        <v>173.17</v>
      </c>
      <c r="NX38">
        <v>60.14</v>
      </c>
      <c r="NY38">
        <v>63.25</v>
      </c>
      <c r="NZ38">
        <v>241.61</v>
      </c>
      <c r="OA38">
        <v>103.18</v>
      </c>
      <c r="OB38">
        <v>219.31</v>
      </c>
      <c r="OC38">
        <v>352.56</v>
      </c>
      <c r="OD38">
        <v>205.83</v>
      </c>
      <c r="OE38">
        <v>590.02</v>
      </c>
      <c r="OF38">
        <v>43.55</v>
      </c>
      <c r="OG38">
        <v>566.69000000000005</v>
      </c>
      <c r="OH38">
        <v>166.95</v>
      </c>
      <c r="OI38">
        <v>31.11</v>
      </c>
      <c r="OJ38">
        <v>156.58000000000001</v>
      </c>
      <c r="OK38">
        <v>1954.13</v>
      </c>
      <c r="OL38">
        <v>307.45999999999998</v>
      </c>
      <c r="OM38">
        <v>1234.49</v>
      </c>
      <c r="ON38">
        <v>545.95000000000005</v>
      </c>
      <c r="OO38">
        <v>824.37</v>
      </c>
      <c r="OP38">
        <v>149.32</v>
      </c>
      <c r="OQ38">
        <v>370.71</v>
      </c>
      <c r="OR38">
        <v>12.96</v>
      </c>
      <c r="OS38">
        <v>627.35</v>
      </c>
      <c r="OT38">
        <v>300.2</v>
      </c>
      <c r="OU38">
        <v>162.80000000000001</v>
      </c>
      <c r="OV38">
        <v>221.39</v>
      </c>
      <c r="OW38">
        <v>49.77</v>
      </c>
      <c r="OX38">
        <v>26.96</v>
      </c>
      <c r="OY38">
        <v>15.55</v>
      </c>
      <c r="OZ38">
        <v>15.04</v>
      </c>
      <c r="PA38">
        <v>12.96</v>
      </c>
      <c r="PB38">
        <v>111.47</v>
      </c>
      <c r="PC38">
        <v>10.92</v>
      </c>
      <c r="PD38">
        <v>51.85</v>
      </c>
      <c r="PE38">
        <v>10.92</v>
      </c>
      <c r="PF38">
        <v>321.45</v>
      </c>
      <c r="PG38">
        <v>20.74</v>
      </c>
      <c r="PH38">
        <v>128.58000000000001</v>
      </c>
      <c r="PI38">
        <v>100.07</v>
      </c>
      <c r="PJ38">
        <v>1682.97</v>
      </c>
      <c r="PK38">
        <v>3461.34</v>
      </c>
      <c r="PL38">
        <v>20.22</v>
      </c>
      <c r="PM38">
        <v>14672.31</v>
      </c>
      <c r="PN38">
        <v>1006.88</v>
      </c>
      <c r="PO38">
        <v>52.88</v>
      </c>
      <c r="PP38">
        <v>1298.78</v>
      </c>
      <c r="PQ38">
        <v>39.4</v>
      </c>
      <c r="PR38">
        <v>53.4</v>
      </c>
      <c r="PS38">
        <v>24.89</v>
      </c>
      <c r="PT38">
        <v>46.66</v>
      </c>
      <c r="PU38">
        <v>295.01</v>
      </c>
      <c r="PV38">
        <v>280.49</v>
      </c>
      <c r="PW38">
        <v>245.76</v>
      </c>
      <c r="PX38">
        <v>12.96</v>
      </c>
      <c r="PY38">
        <v>927.55</v>
      </c>
      <c r="PZ38">
        <v>17.63</v>
      </c>
      <c r="QA38">
        <v>542.84</v>
      </c>
      <c r="QB38">
        <v>6853.71</v>
      </c>
      <c r="QC38">
        <v>22.81</v>
      </c>
      <c r="QD38">
        <v>19.18</v>
      </c>
      <c r="QE38">
        <v>12.44</v>
      </c>
      <c r="QF38">
        <v>16.59</v>
      </c>
      <c r="QG38">
        <v>27.48</v>
      </c>
      <c r="QH38">
        <v>14.52</v>
      </c>
      <c r="QI38">
        <v>17.63</v>
      </c>
      <c r="QJ38">
        <v>203.24</v>
      </c>
      <c r="QK38">
        <v>25.41</v>
      </c>
      <c r="QL38">
        <v>325.60000000000002</v>
      </c>
      <c r="QM38">
        <v>647.57000000000005</v>
      </c>
      <c r="QN38">
        <v>618.02</v>
      </c>
      <c r="QO38">
        <v>24.89</v>
      </c>
      <c r="QP38">
        <v>190.8</v>
      </c>
      <c r="QQ38">
        <v>162.28</v>
      </c>
      <c r="QR38">
        <v>18.670000000000002</v>
      </c>
      <c r="QS38">
        <v>475.44</v>
      </c>
      <c r="QT38">
        <v>1081.02</v>
      </c>
      <c r="QU38">
        <v>30.07</v>
      </c>
      <c r="QV38">
        <v>105.77</v>
      </c>
      <c r="QW38">
        <v>101.1</v>
      </c>
      <c r="QX38">
        <v>63.77</v>
      </c>
      <c r="QY38">
        <v>19.18</v>
      </c>
      <c r="QZ38">
        <v>18.670000000000002</v>
      </c>
      <c r="RA38">
        <v>151.38999999999999</v>
      </c>
      <c r="RB38">
        <v>23229.73</v>
      </c>
      <c r="RC38">
        <v>4495.6899999999996</v>
      </c>
      <c r="RD38">
        <v>4767.8900000000003</v>
      </c>
      <c r="RE38">
        <v>44.59</v>
      </c>
      <c r="RF38">
        <v>414.78</v>
      </c>
      <c r="RG38">
        <v>267.01</v>
      </c>
      <c r="RH38">
        <v>16.07</v>
      </c>
      <c r="RI38">
        <v>10.92</v>
      </c>
      <c r="RJ38">
        <v>277.38</v>
      </c>
      <c r="RK38">
        <v>16.59</v>
      </c>
      <c r="RL38">
        <v>79.33</v>
      </c>
      <c r="RM38">
        <v>115.1</v>
      </c>
      <c r="RN38">
        <v>135.32</v>
      </c>
      <c r="RO38">
        <v>153.47</v>
      </c>
      <c r="RP38">
        <v>45.11</v>
      </c>
      <c r="RQ38">
        <v>195.98</v>
      </c>
      <c r="RR38">
        <v>23.33</v>
      </c>
      <c r="RS38">
        <v>347.9</v>
      </c>
      <c r="RT38">
        <v>409.59</v>
      </c>
      <c r="RU38">
        <v>211.02</v>
      </c>
      <c r="RV38">
        <v>22.81</v>
      </c>
      <c r="RW38">
        <v>39.4</v>
      </c>
      <c r="RX38">
        <v>235.39</v>
      </c>
      <c r="RY38">
        <v>483.74</v>
      </c>
      <c r="RZ38">
        <v>36.81</v>
      </c>
      <c r="SA38">
        <v>249.9</v>
      </c>
      <c r="SB38">
        <v>49.26</v>
      </c>
      <c r="SC38">
        <v>43.03</v>
      </c>
      <c r="SD38">
        <v>1561.64</v>
      </c>
      <c r="SE38">
        <v>638.76</v>
      </c>
      <c r="SF38">
        <v>531.95000000000005</v>
      </c>
      <c r="SG38">
        <v>4643.9799999999996</v>
      </c>
      <c r="SH38">
        <v>117.69</v>
      </c>
      <c r="SI38">
        <v>30.59</v>
      </c>
      <c r="SJ38">
        <v>425.15</v>
      </c>
      <c r="SK38">
        <v>56.51</v>
      </c>
      <c r="SL38">
        <v>66.88</v>
      </c>
      <c r="SM38">
        <v>26.44</v>
      </c>
      <c r="SN38">
        <v>131.16999999999999</v>
      </c>
      <c r="SO38">
        <v>10.92</v>
      </c>
      <c r="SP38">
        <v>78.81</v>
      </c>
      <c r="SQ38">
        <v>1215.82</v>
      </c>
      <c r="SR38">
        <v>451.07</v>
      </c>
      <c r="SS38">
        <v>1184.2</v>
      </c>
      <c r="ST38">
        <v>110.95</v>
      </c>
      <c r="SU38">
        <v>258.72000000000003</v>
      </c>
      <c r="SV38">
        <v>87.62</v>
      </c>
      <c r="SW38">
        <v>36.81</v>
      </c>
      <c r="SX38">
        <v>270.64</v>
      </c>
      <c r="SY38">
        <v>199.09</v>
      </c>
      <c r="SZ38">
        <v>10.92</v>
      </c>
      <c r="TA38">
        <v>20.74</v>
      </c>
      <c r="TB38">
        <v>2268.33</v>
      </c>
      <c r="TC38">
        <v>1306.04</v>
      </c>
      <c r="TD38">
        <v>42.51</v>
      </c>
      <c r="TE38">
        <v>224.5</v>
      </c>
      <c r="TF38">
        <v>454.7</v>
      </c>
      <c r="TG38">
        <v>221.39</v>
      </c>
      <c r="TH38">
        <v>132.21</v>
      </c>
      <c r="TI38">
        <v>104.73</v>
      </c>
      <c r="TJ38">
        <v>14</v>
      </c>
      <c r="TK38">
        <v>83.47</v>
      </c>
      <c r="TL38">
        <v>78.81</v>
      </c>
      <c r="TM38">
        <v>43.55</v>
      </c>
      <c r="TN38">
        <v>857.04</v>
      </c>
      <c r="TO38">
        <v>598.84</v>
      </c>
      <c r="TP38">
        <v>450.55</v>
      </c>
      <c r="TQ38">
        <v>513.29</v>
      </c>
      <c r="TR38">
        <v>17.63</v>
      </c>
      <c r="TS38">
        <v>302.79000000000002</v>
      </c>
      <c r="TT38">
        <v>79.33</v>
      </c>
      <c r="TU38">
        <v>43.55</v>
      </c>
      <c r="TV38">
        <v>115.62</v>
      </c>
      <c r="TW38">
        <v>339.08</v>
      </c>
      <c r="TX38">
        <v>75.7</v>
      </c>
      <c r="TY38">
        <v>52.37</v>
      </c>
      <c r="TZ38">
        <v>171.1</v>
      </c>
      <c r="UA38">
        <v>116.66</v>
      </c>
      <c r="UB38">
        <v>144.13999999999999</v>
      </c>
      <c r="UC38">
        <v>8639.86</v>
      </c>
      <c r="UD38">
        <v>10.92</v>
      </c>
      <c r="UE38">
        <v>34.22</v>
      </c>
      <c r="UF38">
        <v>3187.06</v>
      </c>
      <c r="UG38">
        <v>95.4</v>
      </c>
      <c r="UH38">
        <v>10.92</v>
      </c>
      <c r="UI38">
        <v>24.89</v>
      </c>
      <c r="UJ38">
        <v>54.44</v>
      </c>
      <c r="UK38">
        <v>28.52</v>
      </c>
      <c r="UL38">
        <v>10.92</v>
      </c>
      <c r="UM38">
        <v>48.74</v>
      </c>
      <c r="UN38">
        <v>138.43</v>
      </c>
      <c r="UO38">
        <v>107.32</v>
      </c>
      <c r="UP38">
        <v>10.92</v>
      </c>
      <c r="UQ38">
        <v>15.55</v>
      </c>
      <c r="UR38">
        <v>13.48</v>
      </c>
      <c r="US38">
        <v>62.74</v>
      </c>
      <c r="UT38">
        <v>139.47</v>
      </c>
      <c r="UU38">
        <v>649.65</v>
      </c>
      <c r="UV38">
        <v>304.33999999999997</v>
      </c>
      <c r="UW38">
        <v>107.32</v>
      </c>
      <c r="UX38">
        <v>57.55</v>
      </c>
      <c r="UY38">
        <v>723.79</v>
      </c>
      <c r="UZ38">
        <v>60.66</v>
      </c>
      <c r="VA38">
        <v>690.61</v>
      </c>
      <c r="VB38">
        <v>882.96</v>
      </c>
      <c r="VC38">
        <v>102.14</v>
      </c>
      <c r="VD38">
        <v>109.92</v>
      </c>
      <c r="VE38">
        <v>20.74</v>
      </c>
      <c r="VF38">
        <v>274.27</v>
      </c>
      <c r="VG38">
        <v>13.48</v>
      </c>
      <c r="VH38">
        <v>32.659999999999997</v>
      </c>
      <c r="VI38">
        <v>31.63</v>
      </c>
      <c r="VJ38">
        <v>15.04</v>
      </c>
      <c r="VK38">
        <v>366.04</v>
      </c>
      <c r="VL38">
        <v>553.21</v>
      </c>
      <c r="VM38">
        <v>501.88</v>
      </c>
      <c r="VN38">
        <v>427.22</v>
      </c>
      <c r="VO38">
        <v>10.92</v>
      </c>
      <c r="VP38">
        <v>10.92</v>
      </c>
      <c r="VQ38">
        <v>630.98</v>
      </c>
      <c r="VR38">
        <v>333.38</v>
      </c>
      <c r="VS38">
        <v>420.48</v>
      </c>
      <c r="VT38">
        <v>28</v>
      </c>
      <c r="VU38">
        <v>52.37</v>
      </c>
      <c r="VV38">
        <v>21.26</v>
      </c>
      <c r="VW38">
        <v>219.83</v>
      </c>
      <c r="VX38">
        <v>298.64</v>
      </c>
      <c r="VY38">
        <v>11.92</v>
      </c>
      <c r="VZ38">
        <v>10708.57</v>
      </c>
      <c r="WA38">
        <v>6746.91</v>
      </c>
      <c r="WB38">
        <v>171.1</v>
      </c>
      <c r="WC38">
        <v>87.1</v>
      </c>
      <c r="WD38">
        <v>34.74</v>
      </c>
      <c r="WE38">
        <v>310.57</v>
      </c>
      <c r="WF38">
        <v>91.25</v>
      </c>
      <c r="WG38">
        <v>368.12</v>
      </c>
      <c r="WH38">
        <v>11945.13</v>
      </c>
      <c r="WI38">
        <v>15878.8</v>
      </c>
      <c r="WJ38">
        <v>545.95000000000005</v>
      </c>
      <c r="WK38">
        <v>365.01</v>
      </c>
      <c r="WL38">
        <v>411.67</v>
      </c>
      <c r="WM38">
        <v>39.92</v>
      </c>
      <c r="WN38">
        <v>23.33</v>
      </c>
      <c r="WO38">
        <v>10.92</v>
      </c>
      <c r="WP38">
        <v>714.98</v>
      </c>
      <c r="WQ38">
        <v>83.47</v>
      </c>
      <c r="WR38">
        <v>705.13</v>
      </c>
      <c r="WS38">
        <v>116.66</v>
      </c>
      <c r="WT38">
        <v>764.75</v>
      </c>
      <c r="WU38">
        <v>595.73</v>
      </c>
      <c r="WV38">
        <v>404.93</v>
      </c>
      <c r="WW38">
        <v>15.55</v>
      </c>
      <c r="WX38">
        <v>115.62</v>
      </c>
      <c r="WY38">
        <v>22.81</v>
      </c>
      <c r="WZ38">
        <v>20.22</v>
      </c>
      <c r="XA38">
        <v>11.41</v>
      </c>
      <c r="XB38">
        <v>1017.77</v>
      </c>
      <c r="XC38">
        <v>32.659999999999997</v>
      </c>
      <c r="XD38">
        <v>37.85</v>
      </c>
      <c r="XE38">
        <v>352.56</v>
      </c>
      <c r="XF38">
        <v>826.45</v>
      </c>
      <c r="XG38">
        <v>773.56</v>
      </c>
      <c r="XH38">
        <v>113.55</v>
      </c>
      <c r="XI38">
        <v>456.78</v>
      </c>
      <c r="XJ38">
        <v>393.52</v>
      </c>
      <c r="XK38">
        <v>425.15</v>
      </c>
      <c r="XL38">
        <v>92.81</v>
      </c>
      <c r="XM38">
        <v>25.92</v>
      </c>
      <c r="XN38">
        <v>80.88</v>
      </c>
      <c r="XO38">
        <v>24.37</v>
      </c>
      <c r="XP38">
        <v>128.06</v>
      </c>
      <c r="XQ38">
        <v>12.44</v>
      </c>
      <c r="XR38">
        <v>10.92</v>
      </c>
      <c r="XS38">
        <v>10033</v>
      </c>
      <c r="XT38">
        <v>146.72999999999999</v>
      </c>
      <c r="XU38">
        <v>408.04</v>
      </c>
      <c r="XV38">
        <v>424.63</v>
      </c>
      <c r="XW38">
        <v>487.37</v>
      </c>
      <c r="XX38">
        <v>924.44</v>
      </c>
      <c r="XY38">
        <v>1728.59</v>
      </c>
      <c r="XZ38">
        <v>147.77000000000001</v>
      </c>
      <c r="YA38">
        <v>1241.75</v>
      </c>
      <c r="YB38">
        <v>165.39</v>
      </c>
      <c r="YC38">
        <v>32.15</v>
      </c>
      <c r="YD38">
        <v>464.55</v>
      </c>
      <c r="YE38">
        <v>172.13</v>
      </c>
      <c r="YF38">
        <v>387.82</v>
      </c>
      <c r="YG38">
        <v>48.74</v>
      </c>
      <c r="YH38">
        <v>12.44</v>
      </c>
      <c r="YI38">
        <v>119.25</v>
      </c>
      <c r="YJ38">
        <v>18.149999999999999</v>
      </c>
      <c r="YK38">
        <v>10.92</v>
      </c>
      <c r="YL38">
        <v>376.41</v>
      </c>
      <c r="YM38">
        <v>1954.13</v>
      </c>
      <c r="YN38">
        <v>180.43</v>
      </c>
      <c r="YO38">
        <v>386.26</v>
      </c>
      <c r="YP38">
        <v>1817.77</v>
      </c>
      <c r="YQ38">
        <v>494.62</v>
      </c>
      <c r="YR38">
        <v>97.99</v>
      </c>
      <c r="YS38">
        <v>11804.11</v>
      </c>
      <c r="YT38">
        <v>600.39</v>
      </c>
      <c r="YU38">
        <v>77.25</v>
      </c>
      <c r="YV38">
        <v>47.18</v>
      </c>
      <c r="YW38">
        <v>33.18</v>
      </c>
      <c r="YX38">
        <v>89.7</v>
      </c>
      <c r="YY38">
        <v>583.28</v>
      </c>
      <c r="YZ38">
        <v>28</v>
      </c>
      <c r="ZA38">
        <v>204.28</v>
      </c>
      <c r="ZB38">
        <v>37.33</v>
      </c>
      <c r="ZC38">
        <v>17.11</v>
      </c>
      <c r="ZD38">
        <v>58.07</v>
      </c>
      <c r="ZE38">
        <v>23.85</v>
      </c>
      <c r="ZF38">
        <v>93.84</v>
      </c>
      <c r="ZG38">
        <v>367.08</v>
      </c>
      <c r="ZH38">
        <v>57.55</v>
      </c>
      <c r="ZI38">
        <v>143.1</v>
      </c>
      <c r="ZJ38">
        <v>2943.9</v>
      </c>
      <c r="ZK38">
        <v>229.68</v>
      </c>
      <c r="ZL38">
        <v>40.44</v>
      </c>
      <c r="ZM38">
        <v>174.73</v>
      </c>
      <c r="ZN38">
        <v>25.92</v>
      </c>
      <c r="ZO38">
        <v>94.36</v>
      </c>
      <c r="ZP38">
        <v>213.61</v>
      </c>
      <c r="ZQ38">
        <v>15.04</v>
      </c>
      <c r="ZR38">
        <v>12.44</v>
      </c>
      <c r="ZS38">
        <v>801.04</v>
      </c>
      <c r="ZT38">
        <v>227.09</v>
      </c>
      <c r="ZU38">
        <v>62.74</v>
      </c>
      <c r="ZV38">
        <v>16.59</v>
      </c>
      <c r="ZW38">
        <v>11.92</v>
      </c>
      <c r="ZX38">
        <v>113.03</v>
      </c>
      <c r="ZY38">
        <v>478.55</v>
      </c>
      <c r="ZZ38">
        <v>164.87</v>
      </c>
      <c r="AAA38">
        <v>49.26</v>
      </c>
      <c r="AAB38">
        <v>49.26</v>
      </c>
      <c r="AAC38">
        <v>20.22</v>
      </c>
      <c r="AAD38">
        <v>47.18</v>
      </c>
      <c r="AAE38">
        <v>25.41</v>
      </c>
      <c r="AAF38">
        <v>12.96</v>
      </c>
      <c r="AAG38">
        <v>283.08999999999997</v>
      </c>
      <c r="AAH38">
        <v>147.77000000000001</v>
      </c>
      <c r="AAI38">
        <v>3119.66</v>
      </c>
      <c r="AAJ38">
        <v>933.25</v>
      </c>
      <c r="AAK38">
        <v>822.82</v>
      </c>
      <c r="AAL38">
        <v>170.58</v>
      </c>
      <c r="AAM38">
        <v>12.96</v>
      </c>
      <c r="AAN38">
        <v>1005.84</v>
      </c>
      <c r="AAO38">
        <v>177.84</v>
      </c>
      <c r="AAP38">
        <v>116.66</v>
      </c>
      <c r="AAQ38">
        <v>33.700000000000003</v>
      </c>
      <c r="AAR38">
        <v>65.849999999999994</v>
      </c>
      <c r="AAS38">
        <v>666.76</v>
      </c>
      <c r="AAT38">
        <v>57.55</v>
      </c>
      <c r="AAU38">
        <v>10.92</v>
      </c>
      <c r="AAV38">
        <v>1948.95</v>
      </c>
      <c r="AAW38">
        <v>57.55</v>
      </c>
      <c r="AAX38">
        <v>84.51</v>
      </c>
      <c r="AAY38">
        <v>18.670000000000002</v>
      </c>
      <c r="AAZ38">
        <v>23.33</v>
      </c>
      <c r="ABA38">
        <v>235.39</v>
      </c>
      <c r="ABB38">
        <v>201.69</v>
      </c>
      <c r="ABC38">
        <v>2258.9899999999998</v>
      </c>
      <c r="ABD38">
        <v>1935.98</v>
      </c>
      <c r="ABE38">
        <v>461.96</v>
      </c>
      <c r="ABF38">
        <v>401.3</v>
      </c>
      <c r="ABG38">
        <v>64.81</v>
      </c>
      <c r="ABH38">
        <v>61.7</v>
      </c>
      <c r="ABI38">
        <v>78.290000000000006</v>
      </c>
      <c r="ABJ38">
        <v>26.44</v>
      </c>
      <c r="ABK38">
        <v>12.44</v>
      </c>
      <c r="ABL38">
        <v>26.96</v>
      </c>
      <c r="ABM38">
        <v>216.72</v>
      </c>
      <c r="ABN38">
        <v>59.62</v>
      </c>
      <c r="ABO38">
        <v>10.92</v>
      </c>
      <c r="ABP38">
        <v>30.07</v>
      </c>
      <c r="ABQ38">
        <v>844.59</v>
      </c>
      <c r="ABR38">
        <v>47.18</v>
      </c>
      <c r="ABS38">
        <v>2051.6</v>
      </c>
      <c r="ABT38">
        <v>16.07</v>
      </c>
      <c r="ABU38">
        <v>20.22</v>
      </c>
      <c r="ABV38">
        <v>63.77</v>
      </c>
      <c r="ABW38">
        <v>563.58000000000004</v>
      </c>
      <c r="ABX38">
        <v>1434.62</v>
      </c>
      <c r="ABY38">
        <v>306.94</v>
      </c>
      <c r="ABZ38">
        <v>101.62</v>
      </c>
      <c r="ACA38">
        <v>438.11</v>
      </c>
      <c r="ACB38">
        <v>179.39</v>
      </c>
      <c r="ACC38">
        <v>137.4</v>
      </c>
      <c r="ACD38">
        <v>248.35</v>
      </c>
      <c r="ACE38">
        <v>164.36</v>
      </c>
      <c r="ACF38">
        <v>3603.4</v>
      </c>
      <c r="ACG38">
        <v>1141.1600000000001</v>
      </c>
      <c r="ACH38">
        <v>269.08999999999997</v>
      </c>
      <c r="ACI38">
        <v>396.63</v>
      </c>
      <c r="ACJ38">
        <v>459.89</v>
      </c>
      <c r="ACK38">
        <v>329.23</v>
      </c>
      <c r="ACL38">
        <v>71.03</v>
      </c>
      <c r="ACM38">
        <v>82.96</v>
      </c>
      <c r="ACN38">
        <v>300.72000000000003</v>
      </c>
      <c r="ACO38">
        <v>1078.95</v>
      </c>
      <c r="ACP38">
        <v>307.45999999999998</v>
      </c>
      <c r="ACQ38">
        <v>241.61</v>
      </c>
      <c r="ACR38">
        <v>4427.25</v>
      </c>
    </row>
    <row r="39" spans="1:772" x14ac:dyDescent="0.3">
      <c r="A39" t="s">
        <v>17</v>
      </c>
      <c r="B39" t="s">
        <v>2</v>
      </c>
      <c r="C39">
        <v>1239.52</v>
      </c>
      <c r="D39">
        <v>25.7</v>
      </c>
      <c r="E39">
        <v>1764.31</v>
      </c>
      <c r="F39">
        <v>13.81</v>
      </c>
      <c r="G39">
        <v>2019.93</v>
      </c>
      <c r="H39">
        <v>101.39</v>
      </c>
      <c r="I39">
        <v>1046.73</v>
      </c>
      <c r="J39">
        <v>5833.44</v>
      </c>
      <c r="K39">
        <v>550.5</v>
      </c>
      <c r="L39">
        <v>32.840000000000003</v>
      </c>
      <c r="M39">
        <v>124.24</v>
      </c>
      <c r="N39">
        <v>1701.48</v>
      </c>
      <c r="O39">
        <v>13.81</v>
      </c>
      <c r="P39">
        <v>232.77</v>
      </c>
      <c r="Q39">
        <v>129.24</v>
      </c>
      <c r="R39">
        <v>718.29</v>
      </c>
      <c r="S39">
        <v>13.81</v>
      </c>
      <c r="T39">
        <v>2522.59</v>
      </c>
      <c r="U39">
        <v>332.73</v>
      </c>
      <c r="V39">
        <v>772.56</v>
      </c>
      <c r="W39">
        <v>339.87</v>
      </c>
      <c r="X39">
        <v>13.81</v>
      </c>
      <c r="Y39">
        <v>118.53</v>
      </c>
      <c r="Z39">
        <v>258.47000000000003</v>
      </c>
      <c r="AA39">
        <v>99.96</v>
      </c>
      <c r="AB39">
        <v>670.45</v>
      </c>
      <c r="AC39">
        <v>739.71</v>
      </c>
      <c r="AD39">
        <v>87.11</v>
      </c>
      <c r="AE39">
        <v>541.22</v>
      </c>
      <c r="AF39">
        <v>20277.810000000001</v>
      </c>
      <c r="AG39">
        <v>80.680000000000007</v>
      </c>
      <c r="AH39">
        <v>115.67</v>
      </c>
      <c r="AI39">
        <v>54.98</v>
      </c>
      <c r="AJ39">
        <v>631.17999999999995</v>
      </c>
      <c r="AK39">
        <v>303.45</v>
      </c>
      <c r="AL39">
        <v>97.1</v>
      </c>
      <c r="AM39">
        <v>662.6</v>
      </c>
      <c r="AN39">
        <v>41.41</v>
      </c>
      <c r="AO39">
        <v>469.1</v>
      </c>
      <c r="AP39">
        <v>25.7</v>
      </c>
      <c r="AQ39">
        <v>150.66</v>
      </c>
      <c r="AR39">
        <v>17.850000000000001</v>
      </c>
      <c r="AS39">
        <v>13.81</v>
      </c>
      <c r="AT39">
        <v>13.81</v>
      </c>
      <c r="AU39">
        <v>19.28</v>
      </c>
      <c r="AV39">
        <v>715.44</v>
      </c>
      <c r="AW39">
        <v>205.63</v>
      </c>
      <c r="AX39">
        <v>2908.87</v>
      </c>
      <c r="AY39">
        <v>23.56</v>
      </c>
      <c r="AZ39">
        <v>49.98</v>
      </c>
      <c r="BA39">
        <v>293.45999999999998</v>
      </c>
      <c r="BB39">
        <v>347.01</v>
      </c>
      <c r="BC39">
        <v>15.71</v>
      </c>
      <c r="BD39">
        <v>13.81</v>
      </c>
      <c r="BE39">
        <v>228.48</v>
      </c>
      <c r="BF39">
        <v>513.37</v>
      </c>
      <c r="BG39">
        <v>62.83</v>
      </c>
      <c r="BH39">
        <v>13.81</v>
      </c>
      <c r="BI39">
        <v>30.7</v>
      </c>
      <c r="BJ39">
        <v>13.81</v>
      </c>
      <c r="BK39">
        <v>173.5</v>
      </c>
      <c r="BL39">
        <v>494.09</v>
      </c>
      <c r="BM39">
        <v>64.97</v>
      </c>
      <c r="BN39">
        <v>88.54</v>
      </c>
      <c r="BO39">
        <v>13.81</v>
      </c>
      <c r="BP39">
        <v>110.67</v>
      </c>
      <c r="BQ39">
        <v>15.71</v>
      </c>
      <c r="BR39">
        <v>47.12</v>
      </c>
      <c r="BS39">
        <v>13.81</v>
      </c>
      <c r="BT39">
        <v>3203.75</v>
      </c>
      <c r="BU39">
        <v>718.29</v>
      </c>
      <c r="BV39">
        <v>13.81</v>
      </c>
      <c r="BW39">
        <v>575.49</v>
      </c>
      <c r="BX39">
        <v>1138.8399999999999</v>
      </c>
      <c r="BY39">
        <v>189.93</v>
      </c>
      <c r="BZ39">
        <v>1647.93</v>
      </c>
      <c r="CA39">
        <v>431.97</v>
      </c>
      <c r="CB39">
        <v>204.92</v>
      </c>
      <c r="CC39">
        <v>47.12</v>
      </c>
      <c r="CD39">
        <v>51.41</v>
      </c>
      <c r="CE39">
        <v>823.96</v>
      </c>
      <c r="CF39">
        <v>711.87</v>
      </c>
      <c r="CG39">
        <v>39.979999999999997</v>
      </c>
      <c r="CH39">
        <v>59.26</v>
      </c>
      <c r="CI39">
        <v>13.81</v>
      </c>
      <c r="CJ39">
        <v>13.81</v>
      </c>
      <c r="CK39">
        <v>20.71</v>
      </c>
      <c r="CL39">
        <v>65.69</v>
      </c>
      <c r="CM39">
        <v>793.98</v>
      </c>
      <c r="CN39">
        <v>270.61</v>
      </c>
      <c r="CO39">
        <v>27.85</v>
      </c>
      <c r="CP39">
        <v>13.81</v>
      </c>
      <c r="CQ39">
        <v>69.260000000000005</v>
      </c>
      <c r="CR39">
        <v>81.400000000000006</v>
      </c>
      <c r="CS39">
        <v>13.81</v>
      </c>
      <c r="CT39">
        <v>18.559999999999999</v>
      </c>
      <c r="CU39">
        <v>43.55</v>
      </c>
      <c r="CV39">
        <v>92.82</v>
      </c>
      <c r="CW39">
        <v>2092.7600000000002</v>
      </c>
      <c r="CX39">
        <v>19.989999999999998</v>
      </c>
      <c r="CY39">
        <v>302.74</v>
      </c>
      <c r="CZ39">
        <v>107.1</v>
      </c>
      <c r="DA39">
        <v>39.270000000000003</v>
      </c>
      <c r="DB39">
        <v>67.83</v>
      </c>
      <c r="DC39">
        <v>22.85</v>
      </c>
      <c r="DD39">
        <v>17.14</v>
      </c>
      <c r="DE39">
        <v>47.84</v>
      </c>
      <c r="DF39">
        <v>367</v>
      </c>
      <c r="DG39">
        <v>13.81</v>
      </c>
      <c r="DH39">
        <v>2950.99</v>
      </c>
      <c r="DI39">
        <v>61.4</v>
      </c>
      <c r="DJ39">
        <v>54.98</v>
      </c>
      <c r="DK39">
        <v>339.87</v>
      </c>
      <c r="DL39">
        <v>981.05</v>
      </c>
      <c r="DM39">
        <v>107.1</v>
      </c>
      <c r="DN39">
        <v>19.989999999999998</v>
      </c>
      <c r="DO39">
        <v>49.27</v>
      </c>
      <c r="DP39">
        <v>18.559999999999999</v>
      </c>
      <c r="DQ39">
        <v>1333.77</v>
      </c>
      <c r="DR39">
        <v>17.850000000000001</v>
      </c>
      <c r="DS39">
        <v>22.13</v>
      </c>
      <c r="DT39">
        <v>60.69</v>
      </c>
      <c r="DU39">
        <v>3519.34</v>
      </c>
      <c r="DV39">
        <v>14.28</v>
      </c>
      <c r="DW39">
        <v>14.99</v>
      </c>
      <c r="DX39">
        <v>81.400000000000006</v>
      </c>
      <c r="DY39">
        <v>295.60000000000002</v>
      </c>
      <c r="DZ39">
        <v>171.36</v>
      </c>
      <c r="EA39">
        <v>13.81</v>
      </c>
      <c r="EB39">
        <v>13.81</v>
      </c>
      <c r="EC39">
        <v>27.85</v>
      </c>
      <c r="ED39">
        <v>13.81</v>
      </c>
      <c r="EE39">
        <v>13.81</v>
      </c>
      <c r="EF39">
        <v>201.35</v>
      </c>
      <c r="EG39">
        <v>2161.3000000000002</v>
      </c>
      <c r="EH39">
        <v>176.36</v>
      </c>
      <c r="EI39">
        <v>25.7</v>
      </c>
      <c r="EJ39">
        <v>314.16000000000003</v>
      </c>
      <c r="EK39">
        <v>167.79</v>
      </c>
      <c r="EL39">
        <v>2421.91</v>
      </c>
      <c r="EM39">
        <v>431.97</v>
      </c>
      <c r="EN39">
        <v>74.97</v>
      </c>
      <c r="EO39">
        <v>100.68</v>
      </c>
      <c r="EP39">
        <v>42.13</v>
      </c>
      <c r="EQ39">
        <v>2660.39</v>
      </c>
      <c r="ER39">
        <v>19.989999999999998</v>
      </c>
      <c r="ES39">
        <v>15.71</v>
      </c>
      <c r="ET39">
        <v>13.81</v>
      </c>
      <c r="EU39">
        <v>209.92</v>
      </c>
      <c r="EV39">
        <v>27.85</v>
      </c>
      <c r="EW39">
        <v>13.81</v>
      </c>
      <c r="EX39">
        <v>736.86</v>
      </c>
      <c r="EY39">
        <v>131.38</v>
      </c>
      <c r="EZ39">
        <v>14.28</v>
      </c>
      <c r="FA39">
        <v>124.24</v>
      </c>
      <c r="FB39">
        <v>13.81</v>
      </c>
      <c r="FC39">
        <v>633.32000000000005</v>
      </c>
      <c r="FD39">
        <v>21.42</v>
      </c>
      <c r="FE39">
        <v>144.94</v>
      </c>
      <c r="FF39">
        <v>13.81</v>
      </c>
      <c r="FG39">
        <v>5325.78</v>
      </c>
      <c r="FH39">
        <v>8168.96</v>
      </c>
      <c r="FI39">
        <v>379.85</v>
      </c>
      <c r="FJ39">
        <v>229.91</v>
      </c>
      <c r="FK39">
        <v>496.95</v>
      </c>
      <c r="FL39">
        <v>138.52000000000001</v>
      </c>
      <c r="FM39">
        <v>630.47</v>
      </c>
      <c r="FN39">
        <v>97.1</v>
      </c>
      <c r="FO39">
        <v>29.99</v>
      </c>
      <c r="FP39">
        <v>13.81</v>
      </c>
      <c r="FQ39">
        <v>40.700000000000003</v>
      </c>
      <c r="FR39">
        <v>13.81</v>
      </c>
      <c r="FS39">
        <v>13.81</v>
      </c>
      <c r="FT39">
        <v>29.99</v>
      </c>
      <c r="FU39">
        <v>2559</v>
      </c>
      <c r="FV39">
        <v>5415.03</v>
      </c>
      <c r="FW39">
        <v>13.81</v>
      </c>
      <c r="FX39">
        <v>87.82</v>
      </c>
      <c r="FY39">
        <v>13.81</v>
      </c>
      <c r="FZ39">
        <v>2329.09</v>
      </c>
      <c r="GA39">
        <v>944.63</v>
      </c>
      <c r="GB39">
        <v>448.4</v>
      </c>
      <c r="GC39">
        <v>30.7</v>
      </c>
      <c r="GD39">
        <v>74.260000000000005</v>
      </c>
      <c r="GE39">
        <v>933.21</v>
      </c>
      <c r="GF39">
        <v>349.15</v>
      </c>
      <c r="GG39">
        <v>2064.91</v>
      </c>
      <c r="GH39">
        <v>895.37</v>
      </c>
      <c r="GI39">
        <v>5449.3</v>
      </c>
      <c r="GJ39">
        <v>93.53</v>
      </c>
      <c r="GK39">
        <v>18879.78</v>
      </c>
      <c r="GL39">
        <v>2073.48</v>
      </c>
      <c r="GM39">
        <v>18.559999999999999</v>
      </c>
      <c r="GN39">
        <v>13.81</v>
      </c>
      <c r="GO39">
        <v>577.63</v>
      </c>
      <c r="GP39">
        <v>27.85</v>
      </c>
      <c r="GQ39">
        <v>28.56</v>
      </c>
      <c r="GR39">
        <v>1345.19</v>
      </c>
      <c r="GS39">
        <v>653.32000000000005</v>
      </c>
      <c r="GT39">
        <v>659.03</v>
      </c>
      <c r="GU39">
        <v>13.81</v>
      </c>
      <c r="GV39">
        <v>67.12</v>
      </c>
      <c r="GW39">
        <v>21.42</v>
      </c>
      <c r="GX39">
        <v>350.58</v>
      </c>
      <c r="GY39">
        <v>15.71</v>
      </c>
      <c r="GZ39">
        <v>157.08000000000001</v>
      </c>
      <c r="HA39">
        <v>849.67</v>
      </c>
      <c r="HB39">
        <v>540.5</v>
      </c>
      <c r="HC39">
        <v>27.13</v>
      </c>
      <c r="HD39">
        <v>861.81</v>
      </c>
      <c r="HE39">
        <v>20.71</v>
      </c>
      <c r="HF39">
        <v>1250.94</v>
      </c>
      <c r="HG39">
        <v>191.35</v>
      </c>
      <c r="HH39">
        <v>43.55</v>
      </c>
      <c r="HI39">
        <v>13.81</v>
      </c>
      <c r="HJ39">
        <v>271.32</v>
      </c>
      <c r="HK39">
        <v>2416.91</v>
      </c>
      <c r="HL39">
        <v>474.1</v>
      </c>
      <c r="HM39">
        <v>93.53</v>
      </c>
      <c r="HN39">
        <v>459.11</v>
      </c>
      <c r="HO39">
        <v>13.81</v>
      </c>
      <c r="HP39">
        <v>49.27</v>
      </c>
      <c r="HQ39">
        <v>5712.77</v>
      </c>
      <c r="HR39">
        <v>157.08000000000001</v>
      </c>
      <c r="HS39">
        <v>179.93</v>
      </c>
      <c r="HT39">
        <v>23.56</v>
      </c>
      <c r="HU39">
        <v>401.27</v>
      </c>
      <c r="HV39">
        <v>68.540000000000006</v>
      </c>
      <c r="HW39">
        <v>4271.91</v>
      </c>
      <c r="HX39">
        <v>24.28</v>
      </c>
      <c r="HY39">
        <v>13.81</v>
      </c>
      <c r="HZ39">
        <v>86.39</v>
      </c>
      <c r="IA39">
        <v>19.989999999999998</v>
      </c>
      <c r="IB39">
        <v>94.25</v>
      </c>
      <c r="IC39">
        <v>19.989999999999998</v>
      </c>
      <c r="ID39">
        <v>27.13</v>
      </c>
      <c r="IE39">
        <v>18.559999999999999</v>
      </c>
      <c r="IF39">
        <v>2184.15</v>
      </c>
      <c r="IG39">
        <v>67.83</v>
      </c>
      <c r="IH39">
        <v>13.81</v>
      </c>
      <c r="II39">
        <v>1435.87</v>
      </c>
      <c r="IJ39">
        <v>166.36</v>
      </c>
      <c r="IK39">
        <v>56.41</v>
      </c>
      <c r="IL39">
        <v>1737.89</v>
      </c>
      <c r="IM39">
        <v>537.65</v>
      </c>
      <c r="IN39">
        <v>215.63</v>
      </c>
      <c r="IO39">
        <v>17.14</v>
      </c>
      <c r="IP39">
        <v>96.39</v>
      </c>
      <c r="IQ39">
        <v>13.81</v>
      </c>
      <c r="IR39">
        <v>32.130000000000003</v>
      </c>
      <c r="IS39">
        <v>20.71</v>
      </c>
      <c r="IT39">
        <v>14.99</v>
      </c>
      <c r="IU39">
        <v>377</v>
      </c>
      <c r="IV39">
        <v>780.41</v>
      </c>
      <c r="IW39">
        <v>275.61</v>
      </c>
      <c r="IX39">
        <v>921.78</v>
      </c>
      <c r="IY39">
        <v>29.27</v>
      </c>
      <c r="IZ39">
        <v>57.83</v>
      </c>
      <c r="JA39">
        <v>458.39</v>
      </c>
      <c r="JB39">
        <v>219.91</v>
      </c>
      <c r="JC39">
        <v>81.400000000000006</v>
      </c>
      <c r="JD39">
        <v>307.02</v>
      </c>
      <c r="JE39">
        <v>24.28</v>
      </c>
      <c r="JF39">
        <v>13.81</v>
      </c>
      <c r="JG39">
        <v>74.260000000000005</v>
      </c>
      <c r="JH39">
        <v>946.06</v>
      </c>
      <c r="JI39">
        <v>946.77</v>
      </c>
      <c r="JJ39">
        <v>216.34</v>
      </c>
      <c r="JK39">
        <v>23.56</v>
      </c>
      <c r="JL39">
        <v>94.96</v>
      </c>
      <c r="JM39">
        <v>26.42</v>
      </c>
      <c r="JN39">
        <v>13.81</v>
      </c>
      <c r="JO39">
        <v>109.24</v>
      </c>
      <c r="JP39">
        <v>582.63</v>
      </c>
      <c r="JQ39">
        <v>4172.66</v>
      </c>
      <c r="JR39">
        <v>14.28</v>
      </c>
      <c r="JS39">
        <v>18.559999999999999</v>
      </c>
      <c r="JT39">
        <v>69.97</v>
      </c>
      <c r="JU39">
        <v>188.5</v>
      </c>
      <c r="JV39">
        <v>288.45999999999998</v>
      </c>
      <c r="JW39">
        <v>390.56</v>
      </c>
      <c r="JX39">
        <v>45.7</v>
      </c>
      <c r="JY39">
        <v>231.34</v>
      </c>
      <c r="JZ39">
        <v>13.81</v>
      </c>
      <c r="KA39">
        <v>13.81</v>
      </c>
      <c r="KB39">
        <v>13.81</v>
      </c>
      <c r="KC39">
        <v>13.81</v>
      </c>
      <c r="KD39">
        <v>16.420000000000002</v>
      </c>
      <c r="KE39">
        <v>127.09</v>
      </c>
      <c r="KF39">
        <v>222.06</v>
      </c>
      <c r="KG39">
        <v>358.43</v>
      </c>
      <c r="KH39">
        <v>58.55</v>
      </c>
      <c r="KI39">
        <v>143.52000000000001</v>
      </c>
      <c r="KJ39">
        <v>154.94</v>
      </c>
      <c r="KK39">
        <v>140.66</v>
      </c>
      <c r="KL39">
        <v>47.12</v>
      </c>
      <c r="KM39">
        <v>29.27</v>
      </c>
      <c r="KN39">
        <v>36.409999999999997</v>
      </c>
      <c r="KO39">
        <v>91.39</v>
      </c>
      <c r="KP39">
        <v>57.12</v>
      </c>
      <c r="KQ39">
        <v>3381.54</v>
      </c>
      <c r="KR39">
        <v>358.43</v>
      </c>
      <c r="KS39">
        <v>1140.27</v>
      </c>
      <c r="KT39">
        <v>9665.52</v>
      </c>
      <c r="KU39">
        <v>9586.98</v>
      </c>
      <c r="KV39">
        <v>1916.4</v>
      </c>
      <c r="KW39">
        <v>342.01</v>
      </c>
      <c r="KX39">
        <v>301.31</v>
      </c>
      <c r="KY39">
        <v>35.700000000000003</v>
      </c>
      <c r="KZ39">
        <v>18.559999999999999</v>
      </c>
      <c r="LA39">
        <v>1175.97</v>
      </c>
      <c r="LB39">
        <v>1142.4100000000001</v>
      </c>
      <c r="LC39">
        <v>1979.94</v>
      </c>
      <c r="LD39">
        <v>17.14</v>
      </c>
      <c r="LE39">
        <v>803.26</v>
      </c>
      <c r="LF39">
        <v>4250.49</v>
      </c>
      <c r="LG39">
        <v>1345.19</v>
      </c>
      <c r="LH39">
        <v>1098.1400000000001</v>
      </c>
      <c r="LI39">
        <v>3437.23</v>
      </c>
      <c r="LJ39">
        <v>324.16000000000003</v>
      </c>
      <c r="LK39">
        <v>635.47</v>
      </c>
      <c r="LL39">
        <v>144.22999999999999</v>
      </c>
      <c r="LM39">
        <v>13.81</v>
      </c>
      <c r="LN39">
        <v>116.38</v>
      </c>
      <c r="LO39">
        <v>150.66</v>
      </c>
      <c r="LP39">
        <v>2365.5100000000002</v>
      </c>
      <c r="LQ39">
        <v>53.55</v>
      </c>
      <c r="LR39">
        <v>132.81</v>
      </c>
      <c r="LS39">
        <v>56.41</v>
      </c>
      <c r="LT39">
        <v>27.85</v>
      </c>
      <c r="LU39">
        <v>177.79</v>
      </c>
      <c r="LV39">
        <v>130.66</v>
      </c>
      <c r="LW39">
        <v>2923.86</v>
      </c>
      <c r="LX39">
        <v>1253.08</v>
      </c>
      <c r="LY39">
        <v>1183.82</v>
      </c>
      <c r="LZ39">
        <v>990.33</v>
      </c>
      <c r="MA39">
        <v>157.80000000000001</v>
      </c>
      <c r="MB39">
        <v>833.25</v>
      </c>
      <c r="MC39">
        <v>313.45</v>
      </c>
      <c r="MD39">
        <v>48.55</v>
      </c>
      <c r="ME39">
        <v>59.98</v>
      </c>
      <c r="MF39">
        <v>209.2</v>
      </c>
      <c r="MG39">
        <v>2457.61</v>
      </c>
      <c r="MH39">
        <v>1290.21</v>
      </c>
      <c r="MI39">
        <v>13.81</v>
      </c>
      <c r="MJ39">
        <v>763.99</v>
      </c>
      <c r="MK39">
        <v>13.81</v>
      </c>
      <c r="ML39">
        <v>1459.43</v>
      </c>
      <c r="MM39">
        <v>1000.32</v>
      </c>
      <c r="MN39">
        <v>446.97</v>
      </c>
      <c r="MO39">
        <v>14.99</v>
      </c>
      <c r="MP39">
        <v>105.67</v>
      </c>
      <c r="MQ39">
        <v>53.55</v>
      </c>
      <c r="MR39">
        <v>19.28</v>
      </c>
      <c r="MS39">
        <v>247.76</v>
      </c>
      <c r="MT39">
        <v>2561.14</v>
      </c>
      <c r="MU39">
        <v>34.99</v>
      </c>
      <c r="MV39">
        <v>31.42</v>
      </c>
      <c r="MW39">
        <v>88.54</v>
      </c>
      <c r="MX39">
        <v>74.260000000000005</v>
      </c>
      <c r="MY39">
        <v>13.81</v>
      </c>
      <c r="MZ39">
        <v>199.21</v>
      </c>
      <c r="NA39">
        <v>30.7</v>
      </c>
      <c r="NB39">
        <v>260.61</v>
      </c>
      <c r="NC39">
        <v>1471.57</v>
      </c>
      <c r="ND39">
        <v>65.69</v>
      </c>
      <c r="NE39">
        <v>230.62</v>
      </c>
      <c r="NF39">
        <v>13.81</v>
      </c>
      <c r="NG39">
        <v>17.850000000000001</v>
      </c>
      <c r="NH39">
        <v>32.130000000000003</v>
      </c>
      <c r="NI39">
        <v>1262.3599999999999</v>
      </c>
      <c r="NJ39">
        <v>163.51</v>
      </c>
      <c r="NK39">
        <v>57.12</v>
      </c>
      <c r="NL39">
        <v>329.16</v>
      </c>
      <c r="NM39">
        <v>2989.55</v>
      </c>
      <c r="NN39">
        <v>906.79</v>
      </c>
      <c r="NO39">
        <v>24.28</v>
      </c>
      <c r="NP39">
        <v>13.81</v>
      </c>
      <c r="NQ39">
        <v>3447.23</v>
      </c>
      <c r="NR39">
        <v>137.09</v>
      </c>
      <c r="NS39">
        <v>762.56</v>
      </c>
      <c r="NT39">
        <v>1150.27</v>
      </c>
      <c r="NU39">
        <v>1196.68</v>
      </c>
      <c r="NV39">
        <v>365.57</v>
      </c>
      <c r="NW39">
        <v>188.5</v>
      </c>
      <c r="NX39">
        <v>54.98</v>
      </c>
      <c r="NY39">
        <v>72.11</v>
      </c>
      <c r="NZ39">
        <v>300.60000000000002</v>
      </c>
      <c r="OA39">
        <v>131.38</v>
      </c>
      <c r="OB39">
        <v>330.59</v>
      </c>
      <c r="OC39">
        <v>436.97</v>
      </c>
      <c r="OD39">
        <v>250.62</v>
      </c>
      <c r="OE39">
        <v>767.56</v>
      </c>
      <c r="OF39">
        <v>59.26</v>
      </c>
      <c r="OG39">
        <v>385.56</v>
      </c>
      <c r="OH39">
        <v>162.79</v>
      </c>
      <c r="OI39">
        <v>48.55</v>
      </c>
      <c r="OJ39">
        <v>198.49</v>
      </c>
      <c r="OK39">
        <v>1924.96</v>
      </c>
      <c r="OL39">
        <v>388.42</v>
      </c>
      <c r="OM39">
        <v>1578.67</v>
      </c>
      <c r="ON39">
        <v>529.79</v>
      </c>
      <c r="OO39">
        <v>1131.7</v>
      </c>
      <c r="OP39">
        <v>149.94</v>
      </c>
      <c r="OQ39">
        <v>179.93</v>
      </c>
      <c r="OR39">
        <v>13.81</v>
      </c>
      <c r="OS39">
        <v>584.77</v>
      </c>
      <c r="OT39">
        <v>354.86</v>
      </c>
      <c r="OU39">
        <v>180.64</v>
      </c>
      <c r="OV39">
        <v>282.75</v>
      </c>
      <c r="OW39">
        <v>29.27</v>
      </c>
      <c r="OX39">
        <v>22.85</v>
      </c>
      <c r="OY39">
        <v>13.81</v>
      </c>
      <c r="OZ39">
        <v>13.81</v>
      </c>
      <c r="PA39">
        <v>13.81</v>
      </c>
      <c r="PB39">
        <v>100.68</v>
      </c>
      <c r="PC39">
        <v>13.81</v>
      </c>
      <c r="PD39">
        <v>63.55</v>
      </c>
      <c r="PE39">
        <v>13.81</v>
      </c>
      <c r="PF39">
        <v>346.29</v>
      </c>
      <c r="PG39">
        <v>27.85</v>
      </c>
      <c r="PH39">
        <v>144.22999999999999</v>
      </c>
      <c r="PI39">
        <v>107.82</v>
      </c>
      <c r="PJ39">
        <v>1150.27</v>
      </c>
      <c r="PK39">
        <v>2138.4499999999998</v>
      </c>
      <c r="PL39">
        <v>32.840000000000003</v>
      </c>
      <c r="PM39">
        <v>13552.57</v>
      </c>
      <c r="PN39">
        <v>1076.01</v>
      </c>
      <c r="PO39">
        <v>70.69</v>
      </c>
      <c r="PP39">
        <v>1345.19</v>
      </c>
      <c r="PQ39">
        <v>44.27</v>
      </c>
      <c r="PR39">
        <v>87.82</v>
      </c>
      <c r="PS39">
        <v>24.28</v>
      </c>
      <c r="PT39">
        <v>55.69</v>
      </c>
      <c r="PU39">
        <v>375.57</v>
      </c>
      <c r="PV39">
        <v>316.31</v>
      </c>
      <c r="PW39">
        <v>299.88</v>
      </c>
      <c r="PX39">
        <v>13.81</v>
      </c>
      <c r="PY39">
        <v>1115.99</v>
      </c>
      <c r="PZ39">
        <v>13.81</v>
      </c>
      <c r="QA39">
        <v>617.62</v>
      </c>
      <c r="QB39">
        <v>10959.3</v>
      </c>
      <c r="QC39">
        <v>13.81</v>
      </c>
      <c r="QD39">
        <v>13.81</v>
      </c>
      <c r="QE39">
        <v>13.81</v>
      </c>
      <c r="QF39">
        <v>13.81</v>
      </c>
      <c r="QG39">
        <v>17.14</v>
      </c>
      <c r="QH39">
        <v>13.81</v>
      </c>
      <c r="QI39">
        <v>13.81</v>
      </c>
      <c r="QJ39">
        <v>232.77</v>
      </c>
      <c r="QK39">
        <v>27.13</v>
      </c>
      <c r="QL39">
        <v>351.29</v>
      </c>
      <c r="QM39">
        <v>644.03</v>
      </c>
      <c r="QN39">
        <v>677.59</v>
      </c>
      <c r="QO39">
        <v>13.81</v>
      </c>
      <c r="QP39">
        <v>195.64</v>
      </c>
      <c r="QQ39">
        <v>189.93</v>
      </c>
      <c r="QR39">
        <v>20.71</v>
      </c>
      <c r="QS39">
        <v>339.87</v>
      </c>
      <c r="QT39">
        <v>1120.99</v>
      </c>
      <c r="QU39">
        <v>35.700000000000003</v>
      </c>
      <c r="QV39">
        <v>125.67</v>
      </c>
      <c r="QW39">
        <v>137.80000000000001</v>
      </c>
      <c r="QX39">
        <v>72.83</v>
      </c>
      <c r="QY39">
        <v>13.81</v>
      </c>
      <c r="QZ39">
        <v>13.81</v>
      </c>
      <c r="RA39">
        <v>157.80000000000001</v>
      </c>
      <c r="RB39">
        <v>25772.09</v>
      </c>
      <c r="RC39">
        <v>6795.21</v>
      </c>
      <c r="RD39">
        <v>6480.33</v>
      </c>
      <c r="RE39">
        <v>26.42</v>
      </c>
      <c r="RF39">
        <v>544.79</v>
      </c>
      <c r="RG39">
        <v>306.31</v>
      </c>
      <c r="RH39">
        <v>17.850000000000001</v>
      </c>
      <c r="RI39">
        <v>13.81</v>
      </c>
      <c r="RJ39">
        <v>304.17</v>
      </c>
      <c r="RK39">
        <v>13.81</v>
      </c>
      <c r="RL39">
        <v>87.82</v>
      </c>
      <c r="RM39">
        <v>105.67</v>
      </c>
      <c r="RN39">
        <v>127.81</v>
      </c>
      <c r="RO39">
        <v>149.22999999999999</v>
      </c>
      <c r="RP39">
        <v>47.84</v>
      </c>
      <c r="RQ39">
        <v>126.38</v>
      </c>
      <c r="RR39">
        <v>28.56</v>
      </c>
      <c r="RS39">
        <v>381.28</v>
      </c>
      <c r="RT39">
        <v>479.1</v>
      </c>
      <c r="RU39">
        <v>114.24</v>
      </c>
      <c r="RV39">
        <v>25.7</v>
      </c>
      <c r="RW39">
        <v>39.270000000000003</v>
      </c>
      <c r="RX39">
        <v>153.51</v>
      </c>
      <c r="RY39">
        <v>549.07000000000005</v>
      </c>
      <c r="RZ39">
        <v>41.41</v>
      </c>
      <c r="SA39">
        <v>246.33</v>
      </c>
      <c r="SB39">
        <v>43.55</v>
      </c>
      <c r="SC39">
        <v>49.27</v>
      </c>
      <c r="SD39">
        <v>1555.11</v>
      </c>
      <c r="SE39">
        <v>704.73</v>
      </c>
      <c r="SF39">
        <v>596.91</v>
      </c>
      <c r="SG39">
        <v>5616.38</v>
      </c>
      <c r="SH39">
        <v>166.36</v>
      </c>
      <c r="SI39">
        <v>58.55</v>
      </c>
      <c r="SJ39">
        <v>437.69</v>
      </c>
      <c r="SK39">
        <v>59.26</v>
      </c>
      <c r="SL39">
        <v>123.52</v>
      </c>
      <c r="SM39">
        <v>21.42</v>
      </c>
      <c r="SN39">
        <v>159.22</v>
      </c>
      <c r="SO39">
        <v>13.81</v>
      </c>
      <c r="SP39">
        <v>87.82</v>
      </c>
      <c r="SQ39">
        <v>1411.59</v>
      </c>
      <c r="SR39">
        <v>546.92999999999995</v>
      </c>
      <c r="SS39">
        <v>1298.78</v>
      </c>
      <c r="ST39">
        <v>128.52000000000001</v>
      </c>
      <c r="SU39">
        <v>320.58999999999997</v>
      </c>
      <c r="SV39">
        <v>100.68</v>
      </c>
      <c r="SW39">
        <v>44.27</v>
      </c>
      <c r="SX39">
        <v>312.74</v>
      </c>
      <c r="SY39">
        <v>164.22</v>
      </c>
      <c r="SZ39">
        <v>13.81</v>
      </c>
      <c r="TA39">
        <v>16.420000000000002</v>
      </c>
      <c r="TB39">
        <v>2501.17</v>
      </c>
      <c r="TC39">
        <v>1550.82</v>
      </c>
      <c r="TD39">
        <v>20.71</v>
      </c>
      <c r="TE39">
        <v>264.18</v>
      </c>
      <c r="TF39">
        <v>533.36</v>
      </c>
      <c r="TG39">
        <v>321.3</v>
      </c>
      <c r="TH39">
        <v>144.22999999999999</v>
      </c>
      <c r="TI39">
        <v>71.400000000000006</v>
      </c>
      <c r="TJ39">
        <v>13.81</v>
      </c>
      <c r="TK39">
        <v>154.22999999999999</v>
      </c>
      <c r="TL39">
        <v>78.540000000000006</v>
      </c>
      <c r="TM39">
        <v>37.130000000000003</v>
      </c>
      <c r="TN39">
        <v>936.06</v>
      </c>
      <c r="TO39">
        <v>712.58</v>
      </c>
      <c r="TP39">
        <v>259.89999999999998</v>
      </c>
      <c r="TQ39">
        <v>470.53</v>
      </c>
      <c r="TR39">
        <v>13.81</v>
      </c>
      <c r="TS39">
        <v>307.74</v>
      </c>
      <c r="TT39">
        <v>68.540000000000006</v>
      </c>
      <c r="TU39">
        <v>32.130000000000003</v>
      </c>
      <c r="TV39">
        <v>122.1</v>
      </c>
      <c r="TW39">
        <v>362</v>
      </c>
      <c r="TX39">
        <v>98.53</v>
      </c>
      <c r="TY39">
        <v>62.83</v>
      </c>
      <c r="TZ39">
        <v>152.08000000000001</v>
      </c>
      <c r="UA39">
        <v>124.95</v>
      </c>
      <c r="UB39">
        <v>194.21</v>
      </c>
      <c r="UC39">
        <v>8937.23</v>
      </c>
      <c r="UD39">
        <v>13.81</v>
      </c>
      <c r="UE39">
        <v>13.81</v>
      </c>
      <c r="UF39">
        <v>3859.21</v>
      </c>
      <c r="UG39">
        <v>75.680000000000007</v>
      </c>
      <c r="UH39">
        <v>13.81</v>
      </c>
      <c r="UI39">
        <v>36.409999999999997</v>
      </c>
      <c r="UJ39">
        <v>39.270000000000003</v>
      </c>
      <c r="UK39">
        <v>27.13</v>
      </c>
      <c r="UL39">
        <v>13.81</v>
      </c>
      <c r="UM39">
        <v>27.85</v>
      </c>
      <c r="UN39">
        <v>134.22999999999999</v>
      </c>
      <c r="UO39">
        <v>128.52000000000001</v>
      </c>
      <c r="UP39">
        <v>14.28</v>
      </c>
      <c r="UQ39">
        <v>13.81</v>
      </c>
      <c r="UR39">
        <v>13.81</v>
      </c>
      <c r="US39">
        <v>64.97</v>
      </c>
      <c r="UT39">
        <v>167.08</v>
      </c>
      <c r="UU39">
        <v>569.78</v>
      </c>
      <c r="UV39">
        <v>418.41</v>
      </c>
      <c r="UW39">
        <v>237.76</v>
      </c>
      <c r="UX39">
        <v>64.97</v>
      </c>
      <c r="UY39">
        <v>746.14</v>
      </c>
      <c r="UZ39">
        <v>50.69</v>
      </c>
      <c r="VA39">
        <v>658.31</v>
      </c>
      <c r="VB39">
        <v>865.38</v>
      </c>
      <c r="VC39">
        <v>150.66</v>
      </c>
      <c r="VD39">
        <v>102.1</v>
      </c>
      <c r="VE39">
        <v>27.85</v>
      </c>
      <c r="VF39">
        <v>275.61</v>
      </c>
      <c r="VG39">
        <v>20.71</v>
      </c>
      <c r="VH39">
        <v>28.56</v>
      </c>
      <c r="VI39">
        <v>34.270000000000003</v>
      </c>
      <c r="VJ39">
        <v>13.81</v>
      </c>
      <c r="VK39">
        <v>374.85</v>
      </c>
      <c r="VL39">
        <v>479.1</v>
      </c>
      <c r="VM39">
        <v>576.91999999999996</v>
      </c>
      <c r="VN39">
        <v>490.52</v>
      </c>
      <c r="VO39">
        <v>24.99</v>
      </c>
      <c r="VP39">
        <v>13.81</v>
      </c>
      <c r="VQ39">
        <v>654.74</v>
      </c>
      <c r="VR39">
        <v>371.28</v>
      </c>
      <c r="VS39">
        <v>529.79</v>
      </c>
      <c r="VT39">
        <v>39.979999999999997</v>
      </c>
      <c r="VU39">
        <v>37.840000000000003</v>
      </c>
      <c r="VV39">
        <v>16.420000000000002</v>
      </c>
      <c r="VW39">
        <v>249.9</v>
      </c>
      <c r="VX39">
        <v>361.29</v>
      </c>
      <c r="VY39">
        <v>13.81</v>
      </c>
      <c r="VZ39">
        <v>11497.66</v>
      </c>
      <c r="WA39">
        <v>7172.92</v>
      </c>
      <c r="WB39">
        <v>209.2</v>
      </c>
      <c r="WC39">
        <v>80.680000000000007</v>
      </c>
      <c r="WD39">
        <v>37.840000000000003</v>
      </c>
      <c r="WE39">
        <v>511.23</v>
      </c>
      <c r="WF39">
        <v>94.25</v>
      </c>
      <c r="WG39">
        <v>317.73</v>
      </c>
      <c r="WH39">
        <v>8003.31</v>
      </c>
      <c r="WI39">
        <v>10964.3</v>
      </c>
      <c r="WJ39">
        <v>386.28</v>
      </c>
      <c r="WK39">
        <v>375.57</v>
      </c>
      <c r="WL39">
        <v>431.97</v>
      </c>
      <c r="WM39">
        <v>31.42</v>
      </c>
      <c r="WN39">
        <v>16.420000000000002</v>
      </c>
      <c r="WO39">
        <v>13.81</v>
      </c>
      <c r="WP39">
        <v>688.3</v>
      </c>
      <c r="WQ39">
        <v>32.840000000000003</v>
      </c>
      <c r="WR39">
        <v>675.45</v>
      </c>
      <c r="WS39">
        <v>49.27</v>
      </c>
      <c r="WT39">
        <v>515.51</v>
      </c>
      <c r="WU39">
        <v>681.16</v>
      </c>
      <c r="WV39">
        <v>406.27</v>
      </c>
      <c r="WW39">
        <v>14.99</v>
      </c>
      <c r="WX39">
        <v>147.09</v>
      </c>
      <c r="WY39">
        <v>27.13</v>
      </c>
      <c r="WZ39">
        <v>14.28</v>
      </c>
      <c r="XA39">
        <v>13.81</v>
      </c>
      <c r="XB39">
        <v>1077.44</v>
      </c>
      <c r="XC39">
        <v>30.7</v>
      </c>
      <c r="XD39">
        <v>44.27</v>
      </c>
      <c r="XE39">
        <v>359.15</v>
      </c>
      <c r="XF39">
        <v>899.65</v>
      </c>
      <c r="XG39">
        <v>670.45</v>
      </c>
      <c r="XH39">
        <v>117.81</v>
      </c>
      <c r="XI39">
        <v>267.04000000000002</v>
      </c>
      <c r="XJ39">
        <v>434.83</v>
      </c>
      <c r="XK39">
        <v>481.24</v>
      </c>
      <c r="XL39">
        <v>97.1</v>
      </c>
      <c r="XM39">
        <v>22.85</v>
      </c>
      <c r="XN39">
        <v>109.96</v>
      </c>
      <c r="XO39">
        <v>40.700000000000003</v>
      </c>
      <c r="XP39">
        <v>147.80000000000001</v>
      </c>
      <c r="XQ39">
        <v>17.14</v>
      </c>
      <c r="XR39">
        <v>13.81</v>
      </c>
      <c r="XS39">
        <v>11555.49</v>
      </c>
      <c r="XT39">
        <v>147.80000000000001</v>
      </c>
      <c r="XU39">
        <v>379.85</v>
      </c>
      <c r="XV39">
        <v>482.67</v>
      </c>
      <c r="XW39">
        <v>1383.03</v>
      </c>
      <c r="XX39">
        <v>1253.08</v>
      </c>
      <c r="XY39">
        <v>1750.03</v>
      </c>
      <c r="XZ39">
        <v>277.02999999999997</v>
      </c>
      <c r="YA39">
        <v>1428.73</v>
      </c>
      <c r="YB39">
        <v>201.35</v>
      </c>
      <c r="YC39">
        <v>24.99</v>
      </c>
      <c r="YD39">
        <v>978.19</v>
      </c>
      <c r="YE39">
        <v>256.33</v>
      </c>
      <c r="YF39">
        <v>507.66</v>
      </c>
      <c r="YG39">
        <v>71.400000000000006</v>
      </c>
      <c r="YH39">
        <v>13.81</v>
      </c>
      <c r="YI39">
        <v>147.80000000000001</v>
      </c>
      <c r="YJ39">
        <v>21.42</v>
      </c>
      <c r="YK39">
        <v>13.81</v>
      </c>
      <c r="YL39">
        <v>357.72</v>
      </c>
      <c r="YM39">
        <v>2144.88</v>
      </c>
      <c r="YN39">
        <v>162.08000000000001</v>
      </c>
      <c r="YO39">
        <v>426.26</v>
      </c>
      <c r="YP39">
        <v>2189.86</v>
      </c>
      <c r="YQ39">
        <v>521.94000000000005</v>
      </c>
      <c r="YR39">
        <v>77.83</v>
      </c>
      <c r="YS39">
        <v>11184.92</v>
      </c>
      <c r="YT39">
        <v>590.48</v>
      </c>
      <c r="YU39">
        <v>72.83</v>
      </c>
      <c r="YV39">
        <v>55.69</v>
      </c>
      <c r="YW39">
        <v>44.98</v>
      </c>
      <c r="YX39">
        <v>98.53</v>
      </c>
      <c r="YY39">
        <v>659.03</v>
      </c>
      <c r="YZ39">
        <v>31.42</v>
      </c>
      <c r="ZA39">
        <v>221.34</v>
      </c>
      <c r="ZB39">
        <v>28.56</v>
      </c>
      <c r="ZC39">
        <v>13.81</v>
      </c>
      <c r="ZD39">
        <v>60.69</v>
      </c>
      <c r="ZE39">
        <v>29.27</v>
      </c>
      <c r="ZF39">
        <v>107.82</v>
      </c>
      <c r="ZG39">
        <v>416.98</v>
      </c>
      <c r="ZH39">
        <v>77.83</v>
      </c>
      <c r="ZI39">
        <v>174.22</v>
      </c>
      <c r="ZJ39">
        <v>3982.02</v>
      </c>
      <c r="ZK39">
        <v>251.33</v>
      </c>
      <c r="ZL39">
        <v>30.7</v>
      </c>
      <c r="ZM39">
        <v>212.06</v>
      </c>
      <c r="ZN39">
        <v>24.99</v>
      </c>
      <c r="ZO39">
        <v>57.83</v>
      </c>
      <c r="ZP39">
        <v>292.02999999999997</v>
      </c>
      <c r="ZQ39">
        <v>24.28</v>
      </c>
      <c r="ZR39">
        <v>18.559999999999999</v>
      </c>
      <c r="ZS39">
        <v>790.41</v>
      </c>
      <c r="ZT39">
        <v>239.91</v>
      </c>
      <c r="ZU39">
        <v>79.25</v>
      </c>
      <c r="ZV39">
        <v>13.81</v>
      </c>
      <c r="ZW39">
        <v>13.81</v>
      </c>
      <c r="ZX39">
        <v>199.92</v>
      </c>
      <c r="ZY39">
        <v>418.41</v>
      </c>
      <c r="ZZ39">
        <v>189.93</v>
      </c>
      <c r="AAA39">
        <v>62.12</v>
      </c>
      <c r="AAB39">
        <v>67.12</v>
      </c>
      <c r="AAC39">
        <v>14.99</v>
      </c>
      <c r="AAD39">
        <v>43.55</v>
      </c>
      <c r="AAE39">
        <v>17.850000000000001</v>
      </c>
      <c r="AAF39">
        <v>13.81</v>
      </c>
      <c r="AAG39">
        <v>284.89</v>
      </c>
      <c r="AAH39">
        <v>154.22999999999999</v>
      </c>
      <c r="AAI39">
        <v>3173.05</v>
      </c>
      <c r="AAJ39">
        <v>886.08</v>
      </c>
      <c r="AAK39">
        <v>662.6</v>
      </c>
      <c r="AAL39">
        <v>249.19</v>
      </c>
      <c r="AAM39">
        <v>13.81</v>
      </c>
      <c r="AAN39">
        <v>1120.99</v>
      </c>
      <c r="AAO39">
        <v>225.63</v>
      </c>
      <c r="AAP39">
        <v>147.09</v>
      </c>
      <c r="AAQ39">
        <v>19.989999999999998</v>
      </c>
      <c r="AAR39">
        <v>55.69</v>
      </c>
      <c r="AAS39">
        <v>679.73</v>
      </c>
      <c r="AAT39">
        <v>68.540000000000006</v>
      </c>
      <c r="AAU39">
        <v>13.81</v>
      </c>
      <c r="AAV39">
        <v>2094.1799999999998</v>
      </c>
      <c r="AAW39">
        <v>66.400000000000006</v>
      </c>
      <c r="AAX39">
        <v>94.25</v>
      </c>
      <c r="AAY39">
        <v>13.81</v>
      </c>
      <c r="AAZ39">
        <v>16.420000000000002</v>
      </c>
      <c r="ABA39">
        <v>169.93</v>
      </c>
      <c r="ABB39">
        <v>229.91</v>
      </c>
      <c r="ABC39">
        <v>1982.08</v>
      </c>
      <c r="ABD39">
        <v>2267.69</v>
      </c>
      <c r="ABE39">
        <v>496.24</v>
      </c>
      <c r="ABF39">
        <v>536.92999999999995</v>
      </c>
      <c r="ABG39">
        <v>87.11</v>
      </c>
      <c r="ABH39">
        <v>77.83</v>
      </c>
      <c r="ABI39">
        <v>44.98</v>
      </c>
      <c r="ABJ39">
        <v>24.99</v>
      </c>
      <c r="ABK39">
        <v>18.559999999999999</v>
      </c>
      <c r="ABL39">
        <v>13.81</v>
      </c>
      <c r="ABM39">
        <v>245.62</v>
      </c>
      <c r="ABN39">
        <v>54.26</v>
      </c>
      <c r="ABO39">
        <v>13.81</v>
      </c>
      <c r="ABP39">
        <v>18.559999999999999</v>
      </c>
      <c r="ABQ39">
        <v>1195.96</v>
      </c>
      <c r="ABR39">
        <v>25.7</v>
      </c>
      <c r="ABS39">
        <v>1931.39</v>
      </c>
      <c r="ABT39">
        <v>13.81</v>
      </c>
      <c r="ABU39">
        <v>24.99</v>
      </c>
      <c r="ABV39">
        <v>82.82</v>
      </c>
      <c r="ABW39">
        <v>616.9</v>
      </c>
      <c r="ABX39">
        <v>1533.69</v>
      </c>
      <c r="ABY39">
        <v>289.17</v>
      </c>
      <c r="ABZ39">
        <v>89.96</v>
      </c>
      <c r="ACA39">
        <v>449.11</v>
      </c>
      <c r="ACB39">
        <v>212.06</v>
      </c>
      <c r="ACC39">
        <v>158.51</v>
      </c>
      <c r="ACD39">
        <v>213.49</v>
      </c>
      <c r="ACE39">
        <v>157.80000000000001</v>
      </c>
      <c r="ACF39">
        <v>3819.94</v>
      </c>
      <c r="ACG39">
        <v>1217.3800000000001</v>
      </c>
      <c r="ACH39">
        <v>240.62</v>
      </c>
      <c r="ACI39">
        <v>409.13</v>
      </c>
      <c r="ACJ39">
        <v>524.79999999999995</v>
      </c>
      <c r="ACK39">
        <v>325.58999999999997</v>
      </c>
      <c r="ACL39">
        <v>53.55</v>
      </c>
      <c r="ACM39">
        <v>77.11</v>
      </c>
      <c r="ACN39">
        <v>273.45999999999998</v>
      </c>
      <c r="ACO39">
        <v>1096</v>
      </c>
      <c r="ACP39">
        <v>305.60000000000002</v>
      </c>
      <c r="ACQ39">
        <v>255.61</v>
      </c>
      <c r="ACR39">
        <v>4444.7</v>
      </c>
    </row>
    <row r="40" spans="1:772" x14ac:dyDescent="0.3">
      <c r="A40" t="s">
        <v>17</v>
      </c>
      <c r="B40" t="s">
        <v>3</v>
      </c>
      <c r="C40">
        <v>859.49</v>
      </c>
      <c r="D40">
        <v>36.56</v>
      </c>
      <c r="E40">
        <v>2377.87</v>
      </c>
      <c r="F40">
        <v>8.74</v>
      </c>
      <c r="G40">
        <v>2476.84</v>
      </c>
      <c r="H40">
        <v>163.16</v>
      </c>
      <c r="I40">
        <v>1312.42</v>
      </c>
      <c r="J40">
        <v>6559.44</v>
      </c>
      <c r="K40">
        <v>756.07</v>
      </c>
      <c r="L40">
        <v>50.82</v>
      </c>
      <c r="M40">
        <v>65.98</v>
      </c>
      <c r="N40">
        <v>2001.62</v>
      </c>
      <c r="O40">
        <v>15.16</v>
      </c>
      <c r="P40">
        <v>274.61</v>
      </c>
      <c r="Q40">
        <v>127.5</v>
      </c>
      <c r="R40">
        <v>826.51</v>
      </c>
      <c r="S40">
        <v>8.74</v>
      </c>
      <c r="T40">
        <v>2367.1799999999998</v>
      </c>
      <c r="U40">
        <v>482.35</v>
      </c>
      <c r="V40">
        <v>756.07</v>
      </c>
      <c r="W40">
        <v>700.79</v>
      </c>
      <c r="X40">
        <v>11.59</v>
      </c>
      <c r="Y40">
        <v>198.82</v>
      </c>
      <c r="Z40">
        <v>277.27999999999997</v>
      </c>
      <c r="AA40">
        <v>147.11000000000001</v>
      </c>
      <c r="AB40">
        <v>817.59</v>
      </c>
      <c r="AC40">
        <v>941.52</v>
      </c>
      <c r="AD40">
        <v>82.03</v>
      </c>
      <c r="AE40">
        <v>793.52</v>
      </c>
      <c r="AF40">
        <v>24226.33</v>
      </c>
      <c r="AG40">
        <v>87.38</v>
      </c>
      <c r="AH40">
        <v>182.78</v>
      </c>
      <c r="AI40">
        <v>86.48</v>
      </c>
      <c r="AJ40">
        <v>607.16999999999996</v>
      </c>
      <c r="AK40">
        <v>378.03</v>
      </c>
      <c r="AL40">
        <v>127.5</v>
      </c>
      <c r="AM40">
        <v>772.12</v>
      </c>
      <c r="AN40">
        <v>51.71</v>
      </c>
      <c r="AO40">
        <v>455.6</v>
      </c>
      <c r="AP40">
        <v>22.29</v>
      </c>
      <c r="AQ40">
        <v>180.99</v>
      </c>
      <c r="AR40">
        <v>22.29</v>
      </c>
      <c r="AS40">
        <v>16.940000000000001</v>
      </c>
      <c r="AT40">
        <v>8.92</v>
      </c>
      <c r="AU40">
        <v>17.829999999999998</v>
      </c>
      <c r="AV40">
        <v>781.93</v>
      </c>
      <c r="AW40">
        <v>267.48</v>
      </c>
      <c r="AX40">
        <v>3869.51</v>
      </c>
      <c r="AY40">
        <v>30.31</v>
      </c>
      <c r="AZ40">
        <v>70.44</v>
      </c>
      <c r="BA40">
        <v>292.44</v>
      </c>
      <c r="BB40">
        <v>375.36</v>
      </c>
      <c r="BC40">
        <v>13.37</v>
      </c>
      <c r="BD40">
        <v>10.7</v>
      </c>
      <c r="BE40">
        <v>188.13</v>
      </c>
      <c r="BF40">
        <v>405.67</v>
      </c>
      <c r="BG40">
        <v>76.680000000000007</v>
      </c>
      <c r="BH40">
        <v>18.72</v>
      </c>
      <c r="BI40">
        <v>31.21</v>
      </c>
      <c r="BJ40">
        <v>13.37</v>
      </c>
      <c r="BK40">
        <v>181.88</v>
      </c>
      <c r="BL40">
        <v>580.42999999999995</v>
      </c>
      <c r="BM40">
        <v>75.790000000000006</v>
      </c>
      <c r="BN40">
        <v>104.32</v>
      </c>
      <c r="BO40">
        <v>12.48</v>
      </c>
      <c r="BP40">
        <v>70.44</v>
      </c>
      <c r="BQ40">
        <v>13.37</v>
      </c>
      <c r="BR40">
        <v>43.69</v>
      </c>
      <c r="BS40">
        <v>8.74</v>
      </c>
      <c r="BT40">
        <v>2559.7600000000002</v>
      </c>
      <c r="BU40">
        <v>1134.0999999999999</v>
      </c>
      <c r="BV40">
        <v>15.16</v>
      </c>
      <c r="BW40">
        <v>397.65</v>
      </c>
      <c r="BX40">
        <v>1963.28</v>
      </c>
      <c r="BY40">
        <v>296.89999999999998</v>
      </c>
      <c r="BZ40">
        <v>2475.9499999999998</v>
      </c>
      <c r="CA40">
        <v>242.51</v>
      </c>
      <c r="CB40">
        <v>250.54</v>
      </c>
      <c r="CC40">
        <v>74.89</v>
      </c>
      <c r="CD40">
        <v>52.6</v>
      </c>
      <c r="CE40">
        <v>844.34</v>
      </c>
      <c r="CF40">
        <v>770.34</v>
      </c>
      <c r="CG40">
        <v>43.69</v>
      </c>
      <c r="CH40">
        <v>74</v>
      </c>
      <c r="CI40">
        <v>8.74</v>
      </c>
      <c r="CJ40">
        <v>12.48</v>
      </c>
      <c r="CK40">
        <v>28.53</v>
      </c>
      <c r="CL40">
        <v>41.01</v>
      </c>
      <c r="CM40">
        <v>693.66</v>
      </c>
      <c r="CN40">
        <v>257.67</v>
      </c>
      <c r="CO40">
        <v>24.96</v>
      </c>
      <c r="CP40">
        <v>8.92</v>
      </c>
      <c r="CQ40">
        <v>77.569999999999993</v>
      </c>
      <c r="CR40">
        <v>60.63</v>
      </c>
      <c r="CS40">
        <v>11.59</v>
      </c>
      <c r="CT40">
        <v>26.75</v>
      </c>
      <c r="CU40">
        <v>34.770000000000003</v>
      </c>
      <c r="CV40">
        <v>140.87</v>
      </c>
      <c r="CW40">
        <v>2657.83</v>
      </c>
      <c r="CX40">
        <v>16.940000000000001</v>
      </c>
      <c r="CY40">
        <v>308.49</v>
      </c>
      <c r="CZ40">
        <v>119.47</v>
      </c>
      <c r="DA40">
        <v>41.9</v>
      </c>
      <c r="DB40">
        <v>71.33</v>
      </c>
      <c r="DC40">
        <v>24.96</v>
      </c>
      <c r="DD40">
        <v>21.4</v>
      </c>
      <c r="DE40">
        <v>49.04</v>
      </c>
      <c r="DF40">
        <v>491.27</v>
      </c>
      <c r="DG40">
        <v>14.27</v>
      </c>
      <c r="DH40">
        <v>3688.51</v>
      </c>
      <c r="DI40">
        <v>64.19</v>
      </c>
      <c r="DJ40">
        <v>38.340000000000003</v>
      </c>
      <c r="DK40">
        <v>296.01</v>
      </c>
      <c r="DL40">
        <v>1326.69</v>
      </c>
      <c r="DM40">
        <v>103.42</v>
      </c>
      <c r="DN40">
        <v>21.4</v>
      </c>
      <c r="DO40">
        <v>47.25</v>
      </c>
      <c r="DP40">
        <v>15.16</v>
      </c>
      <c r="DQ40">
        <v>1431.9</v>
      </c>
      <c r="DR40">
        <v>21.4</v>
      </c>
      <c r="DS40">
        <v>23.18</v>
      </c>
      <c r="DT40">
        <v>57.95</v>
      </c>
      <c r="DU40">
        <v>2392.14</v>
      </c>
      <c r="DV40">
        <v>22.29</v>
      </c>
      <c r="DW40">
        <v>14.27</v>
      </c>
      <c r="DX40">
        <v>86.48</v>
      </c>
      <c r="DY40">
        <v>213.09</v>
      </c>
      <c r="DZ40">
        <v>137.31</v>
      </c>
      <c r="EA40">
        <v>14.27</v>
      </c>
      <c r="EB40">
        <v>18.72</v>
      </c>
      <c r="EC40">
        <v>32.99</v>
      </c>
      <c r="ED40">
        <v>13.37</v>
      </c>
      <c r="EE40">
        <v>8.74</v>
      </c>
      <c r="EF40">
        <v>277.27999999999997</v>
      </c>
      <c r="EG40">
        <v>2868.25</v>
      </c>
      <c r="EH40">
        <v>212.2</v>
      </c>
      <c r="EI40">
        <v>17.829999999999998</v>
      </c>
      <c r="EJ40">
        <v>344.15</v>
      </c>
      <c r="EK40">
        <v>158.69999999999999</v>
      </c>
      <c r="EL40">
        <v>2768.39</v>
      </c>
      <c r="EM40">
        <v>605.39</v>
      </c>
      <c r="EN40">
        <v>65.98</v>
      </c>
      <c r="EO40">
        <v>114.12</v>
      </c>
      <c r="EP40">
        <v>41.9</v>
      </c>
      <c r="EQ40">
        <v>3349.71</v>
      </c>
      <c r="ER40">
        <v>17.829999999999998</v>
      </c>
      <c r="ES40">
        <v>19.62</v>
      </c>
      <c r="ET40">
        <v>11.59</v>
      </c>
      <c r="EU40">
        <v>190.8</v>
      </c>
      <c r="EV40">
        <v>14.27</v>
      </c>
      <c r="EW40">
        <v>9.81</v>
      </c>
      <c r="EX40">
        <v>553.67999999999995</v>
      </c>
      <c r="EY40">
        <v>89.16</v>
      </c>
      <c r="EZ40">
        <v>9.81</v>
      </c>
      <c r="FA40">
        <v>86.48</v>
      </c>
      <c r="FB40">
        <v>11.59</v>
      </c>
      <c r="FC40">
        <v>963.81</v>
      </c>
      <c r="FD40">
        <v>21.4</v>
      </c>
      <c r="FE40">
        <v>138.19999999999999</v>
      </c>
      <c r="FF40">
        <v>13.37</v>
      </c>
      <c r="FG40">
        <v>6693.18</v>
      </c>
      <c r="FH40">
        <v>10753.49</v>
      </c>
      <c r="FI40">
        <v>436.88</v>
      </c>
      <c r="FJ40">
        <v>190.8</v>
      </c>
      <c r="FK40">
        <v>518.01</v>
      </c>
      <c r="FL40">
        <v>135.52000000000001</v>
      </c>
      <c r="FM40">
        <v>570.62</v>
      </c>
      <c r="FN40">
        <v>132.85</v>
      </c>
      <c r="FO40">
        <v>40.119999999999997</v>
      </c>
      <c r="FP40">
        <v>21.4</v>
      </c>
      <c r="FQ40">
        <v>24.96</v>
      </c>
      <c r="FR40">
        <v>13.37</v>
      </c>
      <c r="FS40">
        <v>8.74</v>
      </c>
      <c r="FT40">
        <v>30.31</v>
      </c>
      <c r="FU40">
        <v>2852.2</v>
      </c>
      <c r="FV40">
        <v>6104.73</v>
      </c>
      <c r="FW40">
        <v>11.59</v>
      </c>
      <c r="FX40">
        <v>175.64</v>
      </c>
      <c r="FY40">
        <v>12.48</v>
      </c>
      <c r="FZ40">
        <v>3001.99</v>
      </c>
      <c r="GA40">
        <v>2919.96</v>
      </c>
      <c r="GB40">
        <v>394.08</v>
      </c>
      <c r="GC40">
        <v>40.119999999999997</v>
      </c>
      <c r="GD40">
        <v>401.22</v>
      </c>
      <c r="GE40">
        <v>1643.2</v>
      </c>
      <c r="GF40">
        <v>311.17</v>
      </c>
      <c r="GG40">
        <v>2622.17</v>
      </c>
      <c r="GH40">
        <v>1231.29</v>
      </c>
      <c r="GI40">
        <v>6683.37</v>
      </c>
      <c r="GJ40">
        <v>111.45</v>
      </c>
      <c r="GK40">
        <v>26317.11</v>
      </c>
      <c r="GL40">
        <v>3217.75</v>
      </c>
      <c r="GM40">
        <v>15.16</v>
      </c>
      <c r="GN40">
        <v>9.81</v>
      </c>
      <c r="GO40">
        <v>563.49</v>
      </c>
      <c r="GP40">
        <v>27.64</v>
      </c>
      <c r="GQ40">
        <v>13.37</v>
      </c>
      <c r="GR40">
        <v>912.1</v>
      </c>
      <c r="GS40">
        <v>715.06</v>
      </c>
      <c r="GT40">
        <v>829.18</v>
      </c>
      <c r="GU40">
        <v>13.37</v>
      </c>
      <c r="GV40">
        <v>63.3</v>
      </c>
      <c r="GW40">
        <v>14.27</v>
      </c>
      <c r="GX40">
        <v>459.17</v>
      </c>
      <c r="GY40">
        <v>8.74</v>
      </c>
      <c r="GZ40">
        <v>133.74</v>
      </c>
      <c r="HA40">
        <v>1113.5999999999999</v>
      </c>
      <c r="HB40">
        <v>739.13</v>
      </c>
      <c r="HC40">
        <v>34.770000000000003</v>
      </c>
      <c r="HD40">
        <v>1154.6099999999999</v>
      </c>
      <c r="HE40">
        <v>14.27</v>
      </c>
      <c r="HF40">
        <v>1513.92</v>
      </c>
      <c r="HG40">
        <v>161.38</v>
      </c>
      <c r="HH40">
        <v>38.340000000000003</v>
      </c>
      <c r="HI40">
        <v>22.29</v>
      </c>
      <c r="HJ40">
        <v>422.61</v>
      </c>
      <c r="HK40">
        <v>3730.42</v>
      </c>
      <c r="HL40">
        <v>561.70000000000005</v>
      </c>
      <c r="HM40">
        <v>92.73</v>
      </c>
      <c r="HN40">
        <v>504.64</v>
      </c>
      <c r="HO40">
        <v>11.59</v>
      </c>
      <c r="HP40">
        <v>57.06</v>
      </c>
      <c r="HQ40">
        <v>6591.54</v>
      </c>
      <c r="HR40">
        <v>152.46</v>
      </c>
      <c r="HS40">
        <v>206.85</v>
      </c>
      <c r="HT40">
        <v>23.18</v>
      </c>
      <c r="HU40">
        <v>460.95</v>
      </c>
      <c r="HV40">
        <v>58.85</v>
      </c>
      <c r="HW40">
        <v>4770.0200000000004</v>
      </c>
      <c r="HX40">
        <v>22.29</v>
      </c>
      <c r="HY40">
        <v>10.7</v>
      </c>
      <c r="HZ40">
        <v>101.64</v>
      </c>
      <c r="IA40">
        <v>16.940000000000001</v>
      </c>
      <c r="IB40">
        <v>108.77</v>
      </c>
      <c r="IC40">
        <v>15.16</v>
      </c>
      <c r="ID40">
        <v>35.659999999999997</v>
      </c>
      <c r="IE40">
        <v>23.18</v>
      </c>
      <c r="IF40">
        <v>3026.95</v>
      </c>
      <c r="IG40">
        <v>84.7</v>
      </c>
      <c r="IH40">
        <v>8.74</v>
      </c>
      <c r="II40">
        <v>911.21</v>
      </c>
      <c r="IJ40">
        <v>146.22</v>
      </c>
      <c r="IK40">
        <v>55.28</v>
      </c>
      <c r="IL40">
        <v>1736.82</v>
      </c>
      <c r="IM40">
        <v>483.24</v>
      </c>
      <c r="IN40">
        <v>198.82</v>
      </c>
      <c r="IO40">
        <v>19.62</v>
      </c>
      <c r="IP40">
        <v>52.6</v>
      </c>
      <c r="IQ40">
        <v>8.92</v>
      </c>
      <c r="IR40">
        <v>28.53</v>
      </c>
      <c r="IS40">
        <v>21.4</v>
      </c>
      <c r="IT40">
        <v>11.59</v>
      </c>
      <c r="IU40">
        <v>417.26</v>
      </c>
      <c r="IV40">
        <v>922.8</v>
      </c>
      <c r="IW40">
        <v>243.4</v>
      </c>
      <c r="IX40">
        <v>1331.15</v>
      </c>
      <c r="IY40">
        <v>23.18</v>
      </c>
      <c r="IZ40">
        <v>30.31</v>
      </c>
      <c r="JA40">
        <v>314.73</v>
      </c>
      <c r="JB40">
        <v>256.77999999999997</v>
      </c>
      <c r="JC40">
        <v>91.83</v>
      </c>
      <c r="JD40">
        <v>312.06</v>
      </c>
      <c r="JE40">
        <v>28.53</v>
      </c>
      <c r="JF40">
        <v>13.37</v>
      </c>
      <c r="JG40">
        <v>90.05</v>
      </c>
      <c r="JH40">
        <v>1972.2</v>
      </c>
      <c r="JI40">
        <v>1621.81</v>
      </c>
      <c r="JJ40">
        <v>413.7</v>
      </c>
      <c r="JK40">
        <v>34.770000000000003</v>
      </c>
      <c r="JL40">
        <v>96.29</v>
      </c>
      <c r="JM40">
        <v>21.4</v>
      </c>
      <c r="JN40">
        <v>8.74</v>
      </c>
      <c r="JO40">
        <v>122.15</v>
      </c>
      <c r="JP40">
        <v>682.96</v>
      </c>
      <c r="JQ40">
        <v>5102.58</v>
      </c>
      <c r="JR40">
        <v>23.18</v>
      </c>
      <c r="JS40">
        <v>19.62</v>
      </c>
      <c r="JT40">
        <v>90.94</v>
      </c>
      <c r="JU40">
        <v>188.13</v>
      </c>
      <c r="JV40">
        <v>240.73</v>
      </c>
      <c r="JW40">
        <v>330.78</v>
      </c>
      <c r="JX40">
        <v>40.119999999999997</v>
      </c>
      <c r="JY40">
        <v>223.79</v>
      </c>
      <c r="JZ40">
        <v>16.940000000000001</v>
      </c>
      <c r="KA40">
        <v>12.48</v>
      </c>
      <c r="KB40">
        <v>14.27</v>
      </c>
      <c r="KC40">
        <v>16.940000000000001</v>
      </c>
      <c r="KD40">
        <v>9.81</v>
      </c>
      <c r="KE40">
        <v>143.55000000000001</v>
      </c>
      <c r="KF40">
        <v>198.82</v>
      </c>
      <c r="KG40">
        <v>353.07</v>
      </c>
      <c r="KH40">
        <v>55.28</v>
      </c>
      <c r="KI40">
        <v>156.91999999999999</v>
      </c>
      <c r="KJ40">
        <v>208.63</v>
      </c>
      <c r="KK40">
        <v>181.88</v>
      </c>
      <c r="KL40">
        <v>29.42</v>
      </c>
      <c r="KM40">
        <v>34.770000000000003</v>
      </c>
      <c r="KN40">
        <v>35.659999999999997</v>
      </c>
      <c r="KO40">
        <v>122.15</v>
      </c>
      <c r="KP40">
        <v>95.4</v>
      </c>
      <c r="KQ40">
        <v>3897.15</v>
      </c>
      <c r="KR40">
        <v>464.52</v>
      </c>
      <c r="KS40">
        <v>1483.61</v>
      </c>
      <c r="KT40">
        <v>11861.73</v>
      </c>
      <c r="KU40">
        <v>13249.94</v>
      </c>
      <c r="KV40">
        <v>2392.14</v>
      </c>
      <c r="KW40">
        <v>231.81</v>
      </c>
      <c r="KX40">
        <v>193.48</v>
      </c>
      <c r="KY40">
        <v>32.1</v>
      </c>
      <c r="KZ40">
        <v>19.62</v>
      </c>
      <c r="LA40">
        <v>943.3</v>
      </c>
      <c r="LB40">
        <v>977.18</v>
      </c>
      <c r="LC40">
        <v>1542.45</v>
      </c>
      <c r="LD40">
        <v>13.37</v>
      </c>
      <c r="LE40">
        <v>1002.15</v>
      </c>
      <c r="LF40">
        <v>3023.39</v>
      </c>
      <c r="LG40">
        <v>1015.52</v>
      </c>
      <c r="LH40">
        <v>756.96</v>
      </c>
      <c r="LI40">
        <v>4909.1000000000004</v>
      </c>
      <c r="LJ40">
        <v>331.67</v>
      </c>
      <c r="LK40">
        <v>526.92999999999995</v>
      </c>
      <c r="LL40">
        <v>187.23</v>
      </c>
      <c r="LM40">
        <v>14.27</v>
      </c>
      <c r="LN40">
        <v>123.93</v>
      </c>
      <c r="LO40">
        <v>212.2</v>
      </c>
      <c r="LP40">
        <v>4344.7299999999996</v>
      </c>
      <c r="LQ40">
        <v>44.58</v>
      </c>
      <c r="LR40">
        <v>139.97999999999999</v>
      </c>
      <c r="LS40">
        <v>57.95</v>
      </c>
      <c r="LT40">
        <v>21.4</v>
      </c>
      <c r="LU40">
        <v>199.72</v>
      </c>
      <c r="LV40">
        <v>132.85</v>
      </c>
      <c r="LW40">
        <v>7084.59</v>
      </c>
      <c r="LX40">
        <v>1604.86</v>
      </c>
      <c r="LY40">
        <v>1639.64</v>
      </c>
      <c r="LZ40">
        <v>1273.19</v>
      </c>
      <c r="MA40">
        <v>165.84</v>
      </c>
      <c r="MB40">
        <v>789.06</v>
      </c>
      <c r="MC40">
        <v>393.19</v>
      </c>
      <c r="MD40">
        <v>34.770000000000003</v>
      </c>
      <c r="ME40">
        <v>69.540000000000006</v>
      </c>
      <c r="MF40">
        <v>238.95</v>
      </c>
      <c r="MG40">
        <v>3602.92</v>
      </c>
      <c r="MH40">
        <v>1446.16</v>
      </c>
      <c r="MI40">
        <v>8.74</v>
      </c>
      <c r="MJ40">
        <v>1045.8399999999999</v>
      </c>
      <c r="MK40">
        <v>18.72</v>
      </c>
      <c r="ML40">
        <v>1804.58</v>
      </c>
      <c r="MM40">
        <v>1358.79</v>
      </c>
      <c r="MN40">
        <v>558.14</v>
      </c>
      <c r="MO40">
        <v>17.829999999999998</v>
      </c>
      <c r="MP40">
        <v>123.04</v>
      </c>
      <c r="MQ40">
        <v>56.17</v>
      </c>
      <c r="MR40">
        <v>23.18</v>
      </c>
      <c r="MS40">
        <v>319.19</v>
      </c>
      <c r="MT40">
        <v>3257.88</v>
      </c>
      <c r="MU40">
        <v>28.53</v>
      </c>
      <c r="MV40">
        <v>32.1</v>
      </c>
      <c r="MW40">
        <v>124.82</v>
      </c>
      <c r="MX40">
        <v>53.5</v>
      </c>
      <c r="MY40">
        <v>15.16</v>
      </c>
      <c r="MZ40">
        <v>245.19</v>
      </c>
      <c r="NA40">
        <v>34.770000000000003</v>
      </c>
      <c r="NB40">
        <v>368.23</v>
      </c>
      <c r="NC40">
        <v>2543.71</v>
      </c>
      <c r="ND40">
        <v>36.56</v>
      </c>
      <c r="NE40">
        <v>282.63</v>
      </c>
      <c r="NF40">
        <v>8.74</v>
      </c>
      <c r="NG40">
        <v>15.16</v>
      </c>
      <c r="NH40">
        <v>35.659999999999997</v>
      </c>
      <c r="NI40">
        <v>1409.61</v>
      </c>
      <c r="NJ40">
        <v>212.2</v>
      </c>
      <c r="NK40">
        <v>54.39</v>
      </c>
      <c r="NL40">
        <v>260.33999999999997</v>
      </c>
      <c r="NM40">
        <v>4919.8</v>
      </c>
      <c r="NN40">
        <v>699.01</v>
      </c>
      <c r="NO40">
        <v>21.4</v>
      </c>
      <c r="NP40">
        <v>8.74</v>
      </c>
      <c r="NQ40">
        <v>4440.13</v>
      </c>
      <c r="NR40">
        <v>145.33000000000001</v>
      </c>
      <c r="NS40">
        <v>641.04999999999995</v>
      </c>
      <c r="NT40">
        <v>1163.53</v>
      </c>
      <c r="NU40">
        <v>2157.65</v>
      </c>
      <c r="NV40">
        <v>441.34</v>
      </c>
      <c r="NW40">
        <v>234.49</v>
      </c>
      <c r="NX40">
        <v>57.06</v>
      </c>
      <c r="NY40">
        <v>56.17</v>
      </c>
      <c r="NZ40">
        <v>347.72</v>
      </c>
      <c r="OA40">
        <v>154.25</v>
      </c>
      <c r="OB40">
        <v>400.32</v>
      </c>
      <c r="OC40">
        <v>468.98</v>
      </c>
      <c r="OD40">
        <v>334.35</v>
      </c>
      <c r="OE40">
        <v>741.8</v>
      </c>
      <c r="OF40">
        <v>55.28</v>
      </c>
      <c r="OG40">
        <v>378.03</v>
      </c>
      <c r="OH40">
        <v>175.64</v>
      </c>
      <c r="OI40">
        <v>38.340000000000003</v>
      </c>
      <c r="OJ40">
        <v>142.65</v>
      </c>
      <c r="OK40">
        <v>2507.16</v>
      </c>
      <c r="OL40">
        <v>380.71</v>
      </c>
      <c r="OM40">
        <v>1234.8499999999999</v>
      </c>
      <c r="ON40">
        <v>626.79</v>
      </c>
      <c r="OO40">
        <v>943.3</v>
      </c>
      <c r="OP40">
        <v>149.79</v>
      </c>
      <c r="OQ40">
        <v>234.49</v>
      </c>
      <c r="OR40">
        <v>8.92</v>
      </c>
      <c r="OS40">
        <v>708.82</v>
      </c>
      <c r="OT40">
        <v>460.06</v>
      </c>
      <c r="OU40">
        <v>218.44</v>
      </c>
      <c r="OV40">
        <v>267.48</v>
      </c>
      <c r="OW40">
        <v>15.16</v>
      </c>
      <c r="OX40">
        <v>41.9</v>
      </c>
      <c r="OY40">
        <v>14.27</v>
      </c>
      <c r="OZ40">
        <v>11.59</v>
      </c>
      <c r="PA40">
        <v>8.74</v>
      </c>
      <c r="PB40">
        <v>57.06</v>
      </c>
      <c r="PC40">
        <v>10.7</v>
      </c>
      <c r="PD40">
        <v>66.87</v>
      </c>
      <c r="PE40">
        <v>13.37</v>
      </c>
      <c r="PF40">
        <v>380.71</v>
      </c>
      <c r="PG40">
        <v>26.75</v>
      </c>
      <c r="PH40">
        <v>126.61</v>
      </c>
      <c r="PI40">
        <v>124.82</v>
      </c>
      <c r="PJ40">
        <v>1431</v>
      </c>
      <c r="PK40">
        <v>2460.79</v>
      </c>
      <c r="PL40">
        <v>30.31</v>
      </c>
      <c r="PM40">
        <v>17284.39</v>
      </c>
      <c r="PN40">
        <v>1298.1600000000001</v>
      </c>
      <c r="PO40">
        <v>56.17</v>
      </c>
      <c r="PP40">
        <v>1278.54</v>
      </c>
      <c r="PQ40">
        <v>37.450000000000003</v>
      </c>
      <c r="PR40">
        <v>65.98</v>
      </c>
      <c r="PS40">
        <v>15.16</v>
      </c>
      <c r="PT40">
        <v>55.28</v>
      </c>
      <c r="PU40">
        <v>358.42</v>
      </c>
      <c r="PV40">
        <v>382.49</v>
      </c>
      <c r="PW40">
        <v>427.96</v>
      </c>
      <c r="PX40">
        <v>15.16</v>
      </c>
      <c r="PY40">
        <v>1241.99</v>
      </c>
      <c r="PZ40">
        <v>12.48</v>
      </c>
      <c r="QA40">
        <v>721.3</v>
      </c>
      <c r="QB40">
        <v>6892.89</v>
      </c>
      <c r="QC40">
        <v>8.92</v>
      </c>
      <c r="QD40">
        <v>8.74</v>
      </c>
      <c r="QE40">
        <v>16.05</v>
      </c>
      <c r="QF40">
        <v>8.92</v>
      </c>
      <c r="QG40">
        <v>23.18</v>
      </c>
      <c r="QH40">
        <v>12.48</v>
      </c>
      <c r="QI40">
        <v>8.74</v>
      </c>
      <c r="QJ40">
        <v>296.89999999999998</v>
      </c>
      <c r="QK40">
        <v>29.42</v>
      </c>
      <c r="QL40">
        <v>424.4</v>
      </c>
      <c r="QM40">
        <v>827.4</v>
      </c>
      <c r="QN40">
        <v>880</v>
      </c>
      <c r="QO40">
        <v>12.48</v>
      </c>
      <c r="QP40">
        <v>195.26</v>
      </c>
      <c r="QQ40">
        <v>223.79</v>
      </c>
      <c r="QR40">
        <v>34.770000000000003</v>
      </c>
      <c r="QS40">
        <v>444.9</v>
      </c>
      <c r="QT40">
        <v>1319.56</v>
      </c>
      <c r="QU40">
        <v>23.18</v>
      </c>
      <c r="QV40">
        <v>136.41</v>
      </c>
      <c r="QW40">
        <v>126.61</v>
      </c>
      <c r="QX40">
        <v>115.02</v>
      </c>
      <c r="QY40">
        <v>21.4</v>
      </c>
      <c r="QZ40">
        <v>8.74</v>
      </c>
      <c r="RA40">
        <v>172.97</v>
      </c>
      <c r="RB40">
        <v>36216.449999999997</v>
      </c>
      <c r="RC40">
        <v>6061.93</v>
      </c>
      <c r="RD40">
        <v>6490.79</v>
      </c>
      <c r="RE40">
        <v>30.31</v>
      </c>
      <c r="RF40">
        <v>426.18</v>
      </c>
      <c r="RG40">
        <v>320.08</v>
      </c>
      <c r="RH40">
        <v>27.64</v>
      </c>
      <c r="RI40">
        <v>16.05</v>
      </c>
      <c r="RJ40">
        <v>273.72000000000003</v>
      </c>
      <c r="RK40">
        <v>13.37</v>
      </c>
      <c r="RL40">
        <v>111.45</v>
      </c>
      <c r="RM40">
        <v>152.46</v>
      </c>
      <c r="RN40">
        <v>121.26</v>
      </c>
      <c r="RO40">
        <v>218.44</v>
      </c>
      <c r="RP40">
        <v>59.74</v>
      </c>
      <c r="RQ40">
        <v>145.33000000000001</v>
      </c>
      <c r="RR40">
        <v>19.62</v>
      </c>
      <c r="RS40">
        <v>375.36</v>
      </c>
      <c r="RT40">
        <v>686.53</v>
      </c>
      <c r="RU40">
        <v>162.27000000000001</v>
      </c>
      <c r="RV40">
        <v>31.21</v>
      </c>
      <c r="RW40">
        <v>41.01</v>
      </c>
      <c r="RX40">
        <v>211.31</v>
      </c>
      <c r="RY40">
        <v>648.19000000000005</v>
      </c>
      <c r="RZ40">
        <v>36.56</v>
      </c>
      <c r="SA40">
        <v>295.12</v>
      </c>
      <c r="SB40">
        <v>41.01</v>
      </c>
      <c r="SC40">
        <v>50.82</v>
      </c>
      <c r="SD40">
        <v>2048.88</v>
      </c>
      <c r="SE40">
        <v>817.59</v>
      </c>
      <c r="SF40">
        <v>761.42</v>
      </c>
      <c r="SG40">
        <v>8012.73</v>
      </c>
      <c r="SH40">
        <v>189.02</v>
      </c>
      <c r="SI40">
        <v>28.53</v>
      </c>
      <c r="SJ40">
        <v>519.79999999999995</v>
      </c>
      <c r="SK40">
        <v>54.39</v>
      </c>
      <c r="SL40">
        <v>131.96</v>
      </c>
      <c r="SM40">
        <v>29.42</v>
      </c>
      <c r="SN40">
        <v>269.26</v>
      </c>
      <c r="SO40">
        <v>9.81</v>
      </c>
      <c r="SP40">
        <v>81.13</v>
      </c>
      <c r="SQ40">
        <v>1623.59</v>
      </c>
      <c r="SR40">
        <v>599.15</v>
      </c>
      <c r="SS40">
        <v>1467.56</v>
      </c>
      <c r="ST40">
        <v>146.22</v>
      </c>
      <c r="SU40">
        <v>424.4</v>
      </c>
      <c r="SV40">
        <v>112.34</v>
      </c>
      <c r="SW40">
        <v>36.56</v>
      </c>
      <c r="SX40">
        <v>443.12</v>
      </c>
      <c r="SY40">
        <v>151.57</v>
      </c>
      <c r="SZ40">
        <v>11.59</v>
      </c>
      <c r="TA40">
        <v>8.74</v>
      </c>
      <c r="TB40">
        <v>3567.26</v>
      </c>
      <c r="TC40">
        <v>2000.73</v>
      </c>
      <c r="TD40">
        <v>28.53</v>
      </c>
      <c r="TE40">
        <v>275.5</v>
      </c>
      <c r="TF40">
        <v>537.63</v>
      </c>
      <c r="TG40">
        <v>404.78</v>
      </c>
      <c r="TH40">
        <v>197.93</v>
      </c>
      <c r="TI40">
        <v>82.92</v>
      </c>
      <c r="TJ40">
        <v>17.829999999999998</v>
      </c>
      <c r="TK40">
        <v>106.99</v>
      </c>
      <c r="TL40">
        <v>66.87</v>
      </c>
      <c r="TM40">
        <v>39.229999999999997</v>
      </c>
      <c r="TN40">
        <v>1217.02</v>
      </c>
      <c r="TO40">
        <v>969.16</v>
      </c>
      <c r="TP40">
        <v>394.98</v>
      </c>
      <c r="TQ40">
        <v>287.98</v>
      </c>
      <c r="TR40">
        <v>11.59</v>
      </c>
      <c r="TS40">
        <v>433.31</v>
      </c>
      <c r="TT40">
        <v>72.22</v>
      </c>
      <c r="TU40">
        <v>39.229999999999997</v>
      </c>
      <c r="TV40">
        <v>177.43</v>
      </c>
      <c r="TW40">
        <v>418.16</v>
      </c>
      <c r="TX40">
        <v>139.97999999999999</v>
      </c>
      <c r="TY40">
        <v>49.93</v>
      </c>
      <c r="TZ40">
        <v>165.84</v>
      </c>
      <c r="UA40">
        <v>118.58</v>
      </c>
      <c r="UB40">
        <v>160.49</v>
      </c>
      <c r="UC40">
        <v>10488.68</v>
      </c>
      <c r="UD40">
        <v>13.37</v>
      </c>
      <c r="UE40">
        <v>10.7</v>
      </c>
      <c r="UF40">
        <v>4523.9399999999996</v>
      </c>
      <c r="UG40">
        <v>97.18</v>
      </c>
      <c r="UH40">
        <v>8.74</v>
      </c>
      <c r="UI40">
        <v>35.659999999999997</v>
      </c>
      <c r="UJ40">
        <v>29.42</v>
      </c>
      <c r="UK40">
        <v>34.770000000000003</v>
      </c>
      <c r="UL40">
        <v>8.74</v>
      </c>
      <c r="UM40">
        <v>46.36</v>
      </c>
      <c r="UN40">
        <v>162.27000000000001</v>
      </c>
      <c r="UO40">
        <v>144.44</v>
      </c>
      <c r="UP40">
        <v>10.7</v>
      </c>
      <c r="UQ40">
        <v>19.62</v>
      </c>
      <c r="UR40">
        <v>11.59</v>
      </c>
      <c r="US40">
        <v>76.680000000000007</v>
      </c>
      <c r="UT40">
        <v>219.33</v>
      </c>
      <c r="UU40">
        <v>666.91</v>
      </c>
      <c r="UV40">
        <v>526.92999999999995</v>
      </c>
      <c r="UW40">
        <v>298.68</v>
      </c>
      <c r="UX40">
        <v>47.25</v>
      </c>
      <c r="UY40">
        <v>1000.37</v>
      </c>
      <c r="UZ40">
        <v>49.04</v>
      </c>
      <c r="VA40">
        <v>945.98</v>
      </c>
      <c r="VB40">
        <v>1012.85</v>
      </c>
      <c r="VC40">
        <v>131.96</v>
      </c>
      <c r="VD40">
        <v>98.08</v>
      </c>
      <c r="VE40">
        <v>43.69</v>
      </c>
      <c r="VF40">
        <v>293.33</v>
      </c>
      <c r="VG40">
        <v>19.62</v>
      </c>
      <c r="VH40">
        <v>35.659999999999997</v>
      </c>
      <c r="VI40">
        <v>32.1</v>
      </c>
      <c r="VJ40">
        <v>17.829999999999998</v>
      </c>
      <c r="VK40">
        <v>352.18</v>
      </c>
      <c r="VL40">
        <v>577.75</v>
      </c>
      <c r="VM40">
        <v>865.74</v>
      </c>
      <c r="VN40">
        <v>694.55</v>
      </c>
      <c r="VO40">
        <v>13.37</v>
      </c>
      <c r="VP40">
        <v>8.74</v>
      </c>
      <c r="VQ40">
        <v>826.51</v>
      </c>
      <c r="VR40">
        <v>368.23</v>
      </c>
      <c r="VS40">
        <v>869.3</v>
      </c>
      <c r="VT40">
        <v>26.75</v>
      </c>
      <c r="VU40">
        <v>33.880000000000003</v>
      </c>
      <c r="VV40">
        <v>11.59</v>
      </c>
      <c r="VW40">
        <v>253.21</v>
      </c>
      <c r="VX40">
        <v>531.39</v>
      </c>
      <c r="VY40">
        <v>15.16</v>
      </c>
      <c r="VZ40">
        <v>14341.25</v>
      </c>
      <c r="WA40">
        <v>8954.25</v>
      </c>
      <c r="WB40">
        <v>239.84</v>
      </c>
      <c r="WC40">
        <v>82.92</v>
      </c>
      <c r="WD40">
        <v>41.01</v>
      </c>
      <c r="WE40">
        <v>749.83</v>
      </c>
      <c r="WF40">
        <v>129.28</v>
      </c>
      <c r="WG40">
        <v>396.76</v>
      </c>
      <c r="WH40">
        <v>10031.299999999999</v>
      </c>
      <c r="WI40">
        <v>13807.19</v>
      </c>
      <c r="WJ40">
        <v>473.44</v>
      </c>
      <c r="WK40">
        <v>391.41</v>
      </c>
      <c r="WL40">
        <v>633.03</v>
      </c>
      <c r="WM40">
        <v>57.95</v>
      </c>
      <c r="WN40">
        <v>15.16</v>
      </c>
      <c r="WO40">
        <v>14.27</v>
      </c>
      <c r="WP40">
        <v>1159.96</v>
      </c>
      <c r="WQ40">
        <v>50.82</v>
      </c>
      <c r="WR40">
        <v>788.17</v>
      </c>
      <c r="WS40">
        <v>30.31</v>
      </c>
      <c r="WT40">
        <v>845.23</v>
      </c>
      <c r="WU40">
        <v>879.11</v>
      </c>
      <c r="WV40">
        <v>383.38</v>
      </c>
      <c r="WW40">
        <v>10.7</v>
      </c>
      <c r="WX40">
        <v>185.45</v>
      </c>
      <c r="WY40">
        <v>24.96</v>
      </c>
      <c r="WZ40">
        <v>27.64</v>
      </c>
      <c r="XA40">
        <v>8.74</v>
      </c>
      <c r="XB40">
        <v>1247.3399999999999</v>
      </c>
      <c r="XC40">
        <v>33.880000000000003</v>
      </c>
      <c r="XD40">
        <v>56.17</v>
      </c>
      <c r="XE40">
        <v>316.51</v>
      </c>
      <c r="XF40">
        <v>1165.31</v>
      </c>
      <c r="XG40">
        <v>774.79</v>
      </c>
      <c r="XH40">
        <v>145.33000000000001</v>
      </c>
      <c r="XI40">
        <v>397.65</v>
      </c>
      <c r="XJ40">
        <v>467.19</v>
      </c>
      <c r="XK40">
        <v>536.74</v>
      </c>
      <c r="XL40">
        <v>80.239999999999995</v>
      </c>
      <c r="XM40">
        <v>24.96</v>
      </c>
      <c r="XN40">
        <v>139.97999999999999</v>
      </c>
      <c r="XO40">
        <v>20.51</v>
      </c>
      <c r="XP40">
        <v>228.25</v>
      </c>
      <c r="XQ40">
        <v>14.27</v>
      </c>
      <c r="XR40">
        <v>8.74</v>
      </c>
      <c r="XS40">
        <v>10309.469999999999</v>
      </c>
      <c r="XT40">
        <v>184.56</v>
      </c>
      <c r="XU40">
        <v>367.34</v>
      </c>
      <c r="XV40">
        <v>505.53</v>
      </c>
      <c r="XW40">
        <v>2123.77</v>
      </c>
      <c r="XX40">
        <v>1737.71</v>
      </c>
      <c r="XY40">
        <v>2232.5500000000002</v>
      </c>
      <c r="XZ40">
        <v>473.44</v>
      </c>
      <c r="YA40">
        <v>1380.18</v>
      </c>
      <c r="YB40">
        <v>189.91</v>
      </c>
      <c r="YC40">
        <v>31.21</v>
      </c>
      <c r="YD40">
        <v>1421.2</v>
      </c>
      <c r="YE40">
        <v>288.88</v>
      </c>
      <c r="YF40">
        <v>692.77</v>
      </c>
      <c r="YG40">
        <v>64.19</v>
      </c>
      <c r="YH40">
        <v>16.05</v>
      </c>
      <c r="YI40">
        <v>123.93</v>
      </c>
      <c r="YJ40">
        <v>23.18</v>
      </c>
      <c r="YK40">
        <v>9.81</v>
      </c>
      <c r="YL40">
        <v>434.21</v>
      </c>
      <c r="YM40">
        <v>2514.29</v>
      </c>
      <c r="YN40">
        <v>196.15</v>
      </c>
      <c r="YO40">
        <v>657.99</v>
      </c>
      <c r="YP40">
        <v>2756.8</v>
      </c>
      <c r="YQ40">
        <v>650.86</v>
      </c>
      <c r="YR40">
        <v>85.59</v>
      </c>
      <c r="YS40">
        <v>10017.030000000001</v>
      </c>
      <c r="YT40">
        <v>871.98</v>
      </c>
      <c r="YU40">
        <v>106.1</v>
      </c>
      <c r="YV40">
        <v>19.62</v>
      </c>
      <c r="YW40">
        <v>35.659999999999997</v>
      </c>
      <c r="YX40">
        <v>106.99</v>
      </c>
      <c r="YY40">
        <v>937.06</v>
      </c>
      <c r="YZ40">
        <v>21.4</v>
      </c>
      <c r="ZA40">
        <v>213.98</v>
      </c>
      <c r="ZB40">
        <v>20.51</v>
      </c>
      <c r="ZC40">
        <v>9.81</v>
      </c>
      <c r="ZD40">
        <v>60.63</v>
      </c>
      <c r="ZE40">
        <v>27.64</v>
      </c>
      <c r="ZF40">
        <v>151.57</v>
      </c>
      <c r="ZG40">
        <v>481.46</v>
      </c>
      <c r="ZH40">
        <v>74</v>
      </c>
      <c r="ZI40">
        <v>252.32</v>
      </c>
      <c r="ZJ40">
        <v>7913.77</v>
      </c>
      <c r="ZK40">
        <v>312.06</v>
      </c>
      <c r="ZL40">
        <v>29.42</v>
      </c>
      <c r="ZM40">
        <v>188.13</v>
      </c>
      <c r="ZN40">
        <v>19.62</v>
      </c>
      <c r="ZO40">
        <v>53.5</v>
      </c>
      <c r="ZP40">
        <v>349.5</v>
      </c>
      <c r="ZQ40">
        <v>18.72</v>
      </c>
      <c r="ZR40">
        <v>24.07</v>
      </c>
      <c r="ZS40">
        <v>1001.26</v>
      </c>
      <c r="ZT40">
        <v>351.29</v>
      </c>
      <c r="ZU40">
        <v>83.81</v>
      </c>
      <c r="ZV40">
        <v>11.59</v>
      </c>
      <c r="ZW40">
        <v>14.27</v>
      </c>
      <c r="ZX40">
        <v>205.07</v>
      </c>
      <c r="ZY40">
        <v>672.26</v>
      </c>
      <c r="ZZ40">
        <v>212.2</v>
      </c>
      <c r="AAA40">
        <v>39.229999999999997</v>
      </c>
      <c r="AAB40">
        <v>57.06</v>
      </c>
      <c r="AAC40">
        <v>13.37</v>
      </c>
      <c r="AAD40">
        <v>49.93</v>
      </c>
      <c r="AAE40">
        <v>16.05</v>
      </c>
      <c r="AAF40">
        <v>14.27</v>
      </c>
      <c r="AAG40">
        <v>370.9</v>
      </c>
      <c r="AAH40">
        <v>179.21</v>
      </c>
      <c r="AAI40">
        <v>3568.15</v>
      </c>
      <c r="AAJ40">
        <v>943.3</v>
      </c>
      <c r="AAK40">
        <v>622.33000000000004</v>
      </c>
      <c r="AAL40">
        <v>310.27</v>
      </c>
      <c r="AAM40">
        <v>14.27</v>
      </c>
      <c r="AAN40">
        <v>1452.4</v>
      </c>
      <c r="AAO40">
        <v>169.4</v>
      </c>
      <c r="AAP40">
        <v>167.62</v>
      </c>
      <c r="AAQ40">
        <v>29.42</v>
      </c>
      <c r="AAR40">
        <v>65.98</v>
      </c>
      <c r="AAS40">
        <v>812.24</v>
      </c>
      <c r="AAT40">
        <v>76.680000000000007</v>
      </c>
      <c r="AAU40">
        <v>8.74</v>
      </c>
      <c r="AAV40">
        <v>2292.2800000000002</v>
      </c>
      <c r="AAW40">
        <v>83.81</v>
      </c>
      <c r="AAX40">
        <v>118.58</v>
      </c>
      <c r="AAY40">
        <v>16.940000000000001</v>
      </c>
      <c r="AAZ40">
        <v>19.62</v>
      </c>
      <c r="ABA40">
        <v>197.04</v>
      </c>
      <c r="ABB40">
        <v>319.19</v>
      </c>
      <c r="ABC40">
        <v>2691.71</v>
      </c>
      <c r="ABD40">
        <v>2453.66</v>
      </c>
      <c r="ABE40">
        <v>607.16999999999996</v>
      </c>
      <c r="ABF40">
        <v>634.80999999999995</v>
      </c>
      <c r="ABG40">
        <v>86.48</v>
      </c>
      <c r="ABH40">
        <v>65.98</v>
      </c>
      <c r="ABI40">
        <v>71.33</v>
      </c>
      <c r="ABJ40">
        <v>18.72</v>
      </c>
      <c r="ABK40">
        <v>18.72</v>
      </c>
      <c r="ABL40">
        <v>29.42</v>
      </c>
      <c r="ABM40">
        <v>420.83</v>
      </c>
      <c r="ABN40">
        <v>68.650000000000006</v>
      </c>
      <c r="ABO40">
        <v>8.74</v>
      </c>
      <c r="ABP40">
        <v>23.18</v>
      </c>
      <c r="ABQ40">
        <v>1672.63</v>
      </c>
      <c r="ABR40">
        <v>39.229999999999997</v>
      </c>
      <c r="ABS40">
        <v>2340.4299999999998</v>
      </c>
      <c r="ABT40">
        <v>18.72</v>
      </c>
      <c r="ABU40">
        <v>24.96</v>
      </c>
      <c r="ABV40">
        <v>134.63</v>
      </c>
      <c r="ABW40">
        <v>822.94</v>
      </c>
      <c r="ABX40">
        <v>1643.2</v>
      </c>
      <c r="ABY40">
        <v>300.47000000000003</v>
      </c>
      <c r="ABZ40">
        <v>82.03</v>
      </c>
      <c r="ACA40">
        <v>495.72</v>
      </c>
      <c r="ACB40">
        <v>217.55</v>
      </c>
      <c r="ACC40">
        <v>172.97</v>
      </c>
      <c r="ACD40">
        <v>259.45</v>
      </c>
      <c r="ACE40">
        <v>151.57</v>
      </c>
      <c r="ACF40">
        <v>4270.72</v>
      </c>
      <c r="ACG40">
        <v>1440.81</v>
      </c>
      <c r="ACH40">
        <v>234.49</v>
      </c>
      <c r="ACI40">
        <v>485.92</v>
      </c>
      <c r="ACJ40">
        <v>579.53</v>
      </c>
      <c r="ACK40">
        <v>431.53</v>
      </c>
      <c r="ACL40">
        <v>68.650000000000006</v>
      </c>
      <c r="ACM40">
        <v>81.13</v>
      </c>
      <c r="ACN40">
        <v>367.34</v>
      </c>
      <c r="ACO40">
        <v>981.64</v>
      </c>
      <c r="ACP40">
        <v>370.01</v>
      </c>
      <c r="ACQ40">
        <v>293.33</v>
      </c>
      <c r="ACR40">
        <v>5192.63</v>
      </c>
    </row>
    <row r="41" spans="1:772" x14ac:dyDescent="0.3">
      <c r="A41" t="s">
        <v>18</v>
      </c>
      <c r="B41" t="s">
        <v>1</v>
      </c>
      <c r="C41">
        <v>177</v>
      </c>
      <c r="D41">
        <v>90.31</v>
      </c>
      <c r="E41">
        <v>358.82</v>
      </c>
      <c r="F41">
        <v>7.37</v>
      </c>
      <c r="G41">
        <v>2656.21</v>
      </c>
      <c r="H41">
        <v>54.18</v>
      </c>
      <c r="I41">
        <v>833.23</v>
      </c>
      <c r="J41">
        <v>8644.1200000000008</v>
      </c>
      <c r="K41">
        <v>990.96</v>
      </c>
      <c r="L41">
        <v>103.55</v>
      </c>
      <c r="M41">
        <v>39.729999999999997</v>
      </c>
      <c r="N41">
        <v>580.37</v>
      </c>
      <c r="O41">
        <v>59</v>
      </c>
      <c r="P41">
        <v>689.94</v>
      </c>
      <c r="Q41">
        <v>52.98</v>
      </c>
      <c r="R41">
        <v>995.78</v>
      </c>
      <c r="S41">
        <v>7.37</v>
      </c>
      <c r="T41">
        <v>374.47</v>
      </c>
      <c r="U41">
        <v>192.65</v>
      </c>
      <c r="V41">
        <v>136.06</v>
      </c>
      <c r="W41">
        <v>193.86</v>
      </c>
      <c r="X41">
        <v>10.84</v>
      </c>
      <c r="Y41">
        <v>77.06</v>
      </c>
      <c r="Z41">
        <v>582.78</v>
      </c>
      <c r="AA41">
        <v>40.94</v>
      </c>
      <c r="AB41">
        <v>892.23</v>
      </c>
      <c r="AC41">
        <v>370.86</v>
      </c>
      <c r="AD41">
        <v>270.92</v>
      </c>
      <c r="AE41">
        <v>236</v>
      </c>
      <c r="AF41">
        <v>12099.84</v>
      </c>
      <c r="AG41">
        <v>210.71</v>
      </c>
      <c r="AH41">
        <v>56.59</v>
      </c>
      <c r="AI41">
        <v>20.47</v>
      </c>
      <c r="AJ41">
        <v>286.57</v>
      </c>
      <c r="AK41">
        <v>347.98</v>
      </c>
      <c r="AL41">
        <v>97.53</v>
      </c>
      <c r="AM41">
        <v>71.040000000000006</v>
      </c>
      <c r="AN41">
        <v>37.33</v>
      </c>
      <c r="AO41">
        <v>759.78</v>
      </c>
      <c r="AP41">
        <v>12.04</v>
      </c>
      <c r="AQ41">
        <v>68.63</v>
      </c>
      <c r="AR41">
        <v>14.45</v>
      </c>
      <c r="AS41">
        <v>15.65</v>
      </c>
      <c r="AT41">
        <v>10.84</v>
      </c>
      <c r="AU41">
        <v>7.37</v>
      </c>
      <c r="AV41">
        <v>1656.82</v>
      </c>
      <c r="AW41">
        <v>325.10000000000002</v>
      </c>
      <c r="AX41">
        <v>3187.21</v>
      </c>
      <c r="AY41">
        <v>44.55</v>
      </c>
      <c r="AZ41">
        <v>31.31</v>
      </c>
      <c r="BA41">
        <v>445.51</v>
      </c>
      <c r="BB41">
        <v>753.76</v>
      </c>
      <c r="BC41">
        <v>24.08</v>
      </c>
      <c r="BD41">
        <v>10.84</v>
      </c>
      <c r="BE41">
        <v>77.06</v>
      </c>
      <c r="BF41">
        <v>126.43</v>
      </c>
      <c r="BG41">
        <v>24.08</v>
      </c>
      <c r="BH41">
        <v>7.37</v>
      </c>
      <c r="BI41">
        <v>13.24</v>
      </c>
      <c r="BJ41">
        <v>7.37</v>
      </c>
      <c r="BK41">
        <v>404.57</v>
      </c>
      <c r="BL41">
        <v>711.61</v>
      </c>
      <c r="BM41">
        <v>104.76</v>
      </c>
      <c r="BN41">
        <v>113.18</v>
      </c>
      <c r="BO41">
        <v>114.39</v>
      </c>
      <c r="BP41">
        <v>7.37</v>
      </c>
      <c r="BQ41">
        <v>18.059999999999999</v>
      </c>
      <c r="BR41">
        <v>33.71</v>
      </c>
      <c r="BS41">
        <v>7.37</v>
      </c>
      <c r="BT41">
        <v>196.27</v>
      </c>
      <c r="BU41">
        <v>671.88</v>
      </c>
      <c r="BV41">
        <v>7.37</v>
      </c>
      <c r="BW41">
        <v>95.12</v>
      </c>
      <c r="BX41">
        <v>144.49</v>
      </c>
      <c r="BY41">
        <v>45.76</v>
      </c>
      <c r="BZ41">
        <v>101.14</v>
      </c>
      <c r="CA41">
        <v>15.65</v>
      </c>
      <c r="CB41">
        <v>7.37</v>
      </c>
      <c r="CC41">
        <v>7.37</v>
      </c>
      <c r="CD41">
        <v>38.53</v>
      </c>
      <c r="CE41">
        <v>119.2</v>
      </c>
      <c r="CF41">
        <v>149.31</v>
      </c>
      <c r="CG41">
        <v>26.49</v>
      </c>
      <c r="CH41">
        <v>108.37</v>
      </c>
      <c r="CI41">
        <v>20.47</v>
      </c>
      <c r="CJ41">
        <v>19.27</v>
      </c>
      <c r="CK41">
        <v>44.55</v>
      </c>
      <c r="CL41">
        <v>21.67</v>
      </c>
      <c r="CM41">
        <v>133.65</v>
      </c>
      <c r="CN41">
        <v>32.51</v>
      </c>
      <c r="CO41">
        <v>10.84</v>
      </c>
      <c r="CP41">
        <v>7.37</v>
      </c>
      <c r="CQ41">
        <v>67.430000000000007</v>
      </c>
      <c r="CR41">
        <v>13.24</v>
      </c>
      <c r="CS41">
        <v>7.37</v>
      </c>
      <c r="CT41">
        <v>37.33</v>
      </c>
      <c r="CU41">
        <v>31.31</v>
      </c>
      <c r="CV41">
        <v>83.08</v>
      </c>
      <c r="CW41">
        <v>1049.96</v>
      </c>
      <c r="CX41">
        <v>20.47</v>
      </c>
      <c r="CY41">
        <v>158.94</v>
      </c>
      <c r="CZ41">
        <v>44.55</v>
      </c>
      <c r="DA41">
        <v>7.37</v>
      </c>
      <c r="DB41">
        <v>37.33</v>
      </c>
      <c r="DC41">
        <v>34.92</v>
      </c>
      <c r="DD41">
        <v>18.059999999999999</v>
      </c>
      <c r="DE41">
        <v>20.47</v>
      </c>
      <c r="DF41">
        <v>290.18</v>
      </c>
      <c r="DG41">
        <v>7.37</v>
      </c>
      <c r="DH41">
        <v>5018.62</v>
      </c>
      <c r="DI41">
        <v>13.24</v>
      </c>
      <c r="DJ41">
        <v>26.49</v>
      </c>
      <c r="DK41">
        <v>75.86</v>
      </c>
      <c r="DL41">
        <v>2616.4699999999998</v>
      </c>
      <c r="DM41">
        <v>40.94</v>
      </c>
      <c r="DN41">
        <v>18.059999999999999</v>
      </c>
      <c r="DO41">
        <v>91.51</v>
      </c>
      <c r="DP41">
        <v>22.88</v>
      </c>
      <c r="DQ41">
        <v>704.39</v>
      </c>
      <c r="DR41">
        <v>20.47</v>
      </c>
      <c r="DS41">
        <v>14.45</v>
      </c>
      <c r="DT41">
        <v>55.39</v>
      </c>
      <c r="DU41">
        <v>1151.0999999999999</v>
      </c>
      <c r="DV41">
        <v>20.47</v>
      </c>
      <c r="DW41">
        <v>7.37</v>
      </c>
      <c r="DX41">
        <v>16.86</v>
      </c>
      <c r="DY41">
        <v>18.059999999999999</v>
      </c>
      <c r="DZ41">
        <v>19.27</v>
      </c>
      <c r="EA41">
        <v>16.86</v>
      </c>
      <c r="EB41">
        <v>12.04</v>
      </c>
      <c r="EC41">
        <v>39.729999999999997</v>
      </c>
      <c r="ED41">
        <v>7.37</v>
      </c>
      <c r="EE41">
        <v>7.37</v>
      </c>
      <c r="EF41">
        <v>844.06</v>
      </c>
      <c r="EG41">
        <v>805.53</v>
      </c>
      <c r="EH41">
        <v>7.37</v>
      </c>
      <c r="EI41">
        <v>13.24</v>
      </c>
      <c r="EJ41">
        <v>361.23</v>
      </c>
      <c r="EK41">
        <v>234.8</v>
      </c>
      <c r="EL41">
        <v>2609.25</v>
      </c>
      <c r="EM41">
        <v>683.92</v>
      </c>
      <c r="EN41">
        <v>54.18</v>
      </c>
      <c r="EO41">
        <v>19.27</v>
      </c>
      <c r="EP41">
        <v>7.37</v>
      </c>
      <c r="EQ41">
        <v>3938.56</v>
      </c>
      <c r="ER41">
        <v>7.37</v>
      </c>
      <c r="ES41">
        <v>16.86</v>
      </c>
      <c r="ET41">
        <v>7.37</v>
      </c>
      <c r="EU41">
        <v>426.25</v>
      </c>
      <c r="EV41">
        <v>15.65</v>
      </c>
      <c r="EW41">
        <v>7.37</v>
      </c>
      <c r="EX41">
        <v>110.78</v>
      </c>
      <c r="EY41">
        <v>13.24</v>
      </c>
      <c r="EZ41">
        <v>9.6300000000000008</v>
      </c>
      <c r="FA41">
        <v>15.65</v>
      </c>
      <c r="FB41">
        <v>7.37</v>
      </c>
      <c r="FC41">
        <v>103.55</v>
      </c>
      <c r="FD41">
        <v>24.08</v>
      </c>
      <c r="FE41">
        <v>22.88</v>
      </c>
      <c r="FF41">
        <v>43.35</v>
      </c>
      <c r="FG41">
        <v>968.08</v>
      </c>
      <c r="FH41">
        <v>1100.53</v>
      </c>
      <c r="FI41">
        <v>83.08</v>
      </c>
      <c r="FJ41">
        <v>127.63</v>
      </c>
      <c r="FK41">
        <v>865.74</v>
      </c>
      <c r="FL41">
        <v>34.92</v>
      </c>
      <c r="FM41">
        <v>170.98</v>
      </c>
      <c r="FN41">
        <v>51.78</v>
      </c>
      <c r="FO41">
        <v>14.45</v>
      </c>
      <c r="FP41">
        <v>7.37</v>
      </c>
      <c r="FQ41">
        <v>7.37</v>
      </c>
      <c r="FR41">
        <v>13.24</v>
      </c>
      <c r="FS41">
        <v>7.37</v>
      </c>
      <c r="FT41">
        <v>24.08</v>
      </c>
      <c r="FU41">
        <v>2683.9</v>
      </c>
      <c r="FV41">
        <v>673.08</v>
      </c>
      <c r="FW41">
        <v>7.37</v>
      </c>
      <c r="FX41">
        <v>18.059999999999999</v>
      </c>
      <c r="FY41">
        <v>7.37</v>
      </c>
      <c r="FZ41">
        <v>304.63</v>
      </c>
      <c r="GA41">
        <v>56.59</v>
      </c>
      <c r="GB41">
        <v>7.37</v>
      </c>
      <c r="GC41">
        <v>9.6300000000000008</v>
      </c>
      <c r="GD41">
        <v>19.27</v>
      </c>
      <c r="GE41">
        <v>211.92</v>
      </c>
      <c r="GF41">
        <v>140.88</v>
      </c>
      <c r="GG41">
        <v>301.02</v>
      </c>
      <c r="GH41">
        <v>190.25</v>
      </c>
      <c r="GI41">
        <v>1535.21</v>
      </c>
      <c r="GJ41">
        <v>55.39</v>
      </c>
      <c r="GK41">
        <v>10520.08</v>
      </c>
      <c r="GL41">
        <v>16.86</v>
      </c>
      <c r="GM41">
        <v>7.37</v>
      </c>
      <c r="GN41">
        <v>7.37</v>
      </c>
      <c r="GO41">
        <v>411.8</v>
      </c>
      <c r="GP41">
        <v>15.65</v>
      </c>
      <c r="GQ41">
        <v>13.24</v>
      </c>
      <c r="GR41">
        <v>80.67</v>
      </c>
      <c r="GS41">
        <v>164.96</v>
      </c>
      <c r="GT41">
        <v>256.47000000000003</v>
      </c>
      <c r="GU41">
        <v>7.37</v>
      </c>
      <c r="GV41">
        <v>18.059999999999999</v>
      </c>
      <c r="GW41">
        <v>7.37</v>
      </c>
      <c r="GX41">
        <v>67.430000000000007</v>
      </c>
      <c r="GY41">
        <v>7.37</v>
      </c>
      <c r="GZ41">
        <v>114.39</v>
      </c>
      <c r="HA41">
        <v>361.23</v>
      </c>
      <c r="HB41">
        <v>777.84</v>
      </c>
      <c r="HC41">
        <v>18.059999999999999</v>
      </c>
      <c r="HD41">
        <v>1978.31</v>
      </c>
      <c r="HE41">
        <v>20.47</v>
      </c>
      <c r="HF41">
        <v>2270.9</v>
      </c>
      <c r="HG41">
        <v>119.2</v>
      </c>
      <c r="HH41">
        <v>46.96</v>
      </c>
      <c r="HI41">
        <v>24.08</v>
      </c>
      <c r="HJ41">
        <v>4956.01</v>
      </c>
      <c r="HK41">
        <v>3363.01</v>
      </c>
      <c r="HL41">
        <v>388.92</v>
      </c>
      <c r="HM41">
        <v>242.02</v>
      </c>
      <c r="HN41">
        <v>676.7</v>
      </c>
      <c r="HO41">
        <v>7.37</v>
      </c>
      <c r="HP41">
        <v>97.53</v>
      </c>
      <c r="HQ41">
        <v>7989.1</v>
      </c>
      <c r="HR41">
        <v>124.02</v>
      </c>
      <c r="HS41">
        <v>9.6300000000000008</v>
      </c>
      <c r="HT41">
        <v>163.76</v>
      </c>
      <c r="HU41">
        <v>405.78</v>
      </c>
      <c r="HV41">
        <v>97.53</v>
      </c>
      <c r="HW41">
        <v>5977.07</v>
      </c>
      <c r="HX41">
        <v>7.37</v>
      </c>
      <c r="HY41">
        <v>7.37</v>
      </c>
      <c r="HZ41">
        <v>386.51</v>
      </c>
      <c r="IA41">
        <v>273.33</v>
      </c>
      <c r="IB41">
        <v>45.76</v>
      </c>
      <c r="IC41">
        <v>16.86</v>
      </c>
      <c r="ID41">
        <v>14.45</v>
      </c>
      <c r="IE41">
        <v>24.08</v>
      </c>
      <c r="IF41">
        <v>258.88</v>
      </c>
      <c r="IG41">
        <v>21.67</v>
      </c>
      <c r="IH41">
        <v>7.37</v>
      </c>
      <c r="II41">
        <v>124.02</v>
      </c>
      <c r="IJ41">
        <v>22.88</v>
      </c>
      <c r="IK41">
        <v>7.37</v>
      </c>
      <c r="IL41">
        <v>415.41</v>
      </c>
      <c r="IM41">
        <v>208.31</v>
      </c>
      <c r="IN41">
        <v>19.27</v>
      </c>
      <c r="IO41">
        <v>121.61</v>
      </c>
      <c r="IP41">
        <v>26.49</v>
      </c>
      <c r="IQ41">
        <v>7.37</v>
      </c>
      <c r="IR41">
        <v>7.37</v>
      </c>
      <c r="IS41">
        <v>27.69</v>
      </c>
      <c r="IT41">
        <v>7.37</v>
      </c>
      <c r="IU41">
        <v>231.18</v>
      </c>
      <c r="IV41">
        <v>1556.88</v>
      </c>
      <c r="IW41">
        <v>163.76</v>
      </c>
      <c r="IX41">
        <v>1977.11</v>
      </c>
      <c r="IY41">
        <v>13.24</v>
      </c>
      <c r="IZ41">
        <v>7.37</v>
      </c>
      <c r="JA41">
        <v>45.76</v>
      </c>
      <c r="JB41">
        <v>178.2</v>
      </c>
      <c r="JC41">
        <v>36.119999999999997</v>
      </c>
      <c r="JD41">
        <v>213.12</v>
      </c>
      <c r="JE41">
        <v>16.86</v>
      </c>
      <c r="JF41">
        <v>25.29</v>
      </c>
      <c r="JG41">
        <v>7.37</v>
      </c>
      <c r="JH41">
        <v>62.61</v>
      </c>
      <c r="JI41">
        <v>817.57</v>
      </c>
      <c r="JJ41">
        <v>101.14</v>
      </c>
      <c r="JK41">
        <v>26.49</v>
      </c>
      <c r="JL41">
        <v>32.51</v>
      </c>
      <c r="JM41">
        <v>10.84</v>
      </c>
      <c r="JN41">
        <v>9.6300000000000008</v>
      </c>
      <c r="JO41">
        <v>138.47</v>
      </c>
      <c r="JP41">
        <v>1060.8</v>
      </c>
      <c r="JQ41">
        <v>951.23</v>
      </c>
      <c r="JR41">
        <v>21.67</v>
      </c>
      <c r="JS41">
        <v>19.27</v>
      </c>
      <c r="JT41">
        <v>48.16</v>
      </c>
      <c r="JU41">
        <v>220.35</v>
      </c>
      <c r="JV41">
        <v>122.82</v>
      </c>
      <c r="JW41">
        <v>22.88</v>
      </c>
      <c r="JX41">
        <v>221.55</v>
      </c>
      <c r="JY41">
        <v>62.61</v>
      </c>
      <c r="JZ41">
        <v>7.37</v>
      </c>
      <c r="KA41">
        <v>7.37</v>
      </c>
      <c r="KB41">
        <v>7.37</v>
      </c>
      <c r="KC41">
        <v>7.37</v>
      </c>
      <c r="KD41">
        <v>22.88</v>
      </c>
      <c r="KE41">
        <v>127.63</v>
      </c>
      <c r="KF41">
        <v>36.119999999999997</v>
      </c>
      <c r="KG41">
        <v>38.53</v>
      </c>
      <c r="KH41">
        <v>227.57</v>
      </c>
      <c r="KI41">
        <v>392.53</v>
      </c>
      <c r="KJ41">
        <v>443.1</v>
      </c>
      <c r="KK41">
        <v>379.29</v>
      </c>
      <c r="KL41">
        <v>36.119999999999997</v>
      </c>
      <c r="KM41">
        <v>16.86</v>
      </c>
      <c r="KN41">
        <v>36.119999999999997</v>
      </c>
      <c r="KO41">
        <v>368.45</v>
      </c>
      <c r="KP41">
        <v>26.49</v>
      </c>
      <c r="KQ41">
        <v>2012.02</v>
      </c>
      <c r="KR41">
        <v>844.06</v>
      </c>
      <c r="KS41">
        <v>1678.49</v>
      </c>
      <c r="KT41">
        <v>2310.64</v>
      </c>
      <c r="KU41">
        <v>15427.92</v>
      </c>
      <c r="KV41">
        <v>1029.49</v>
      </c>
      <c r="KW41">
        <v>55.39</v>
      </c>
      <c r="KX41">
        <v>24.08</v>
      </c>
      <c r="KY41">
        <v>9.6300000000000008</v>
      </c>
      <c r="KZ41">
        <v>27.69</v>
      </c>
      <c r="LA41">
        <v>269.70999999999998</v>
      </c>
      <c r="LB41">
        <v>288.98</v>
      </c>
      <c r="LC41">
        <v>103.55</v>
      </c>
      <c r="LD41">
        <v>7.37</v>
      </c>
      <c r="LE41">
        <v>57.8</v>
      </c>
      <c r="LF41">
        <v>721.25</v>
      </c>
      <c r="LG41">
        <v>205.9</v>
      </c>
      <c r="LH41">
        <v>7.37</v>
      </c>
      <c r="LI41">
        <v>4015.62</v>
      </c>
      <c r="LJ41">
        <v>246.84</v>
      </c>
      <c r="LK41">
        <v>714.02</v>
      </c>
      <c r="LL41">
        <v>131.25</v>
      </c>
      <c r="LM41">
        <v>7.37</v>
      </c>
      <c r="LN41">
        <v>370.86</v>
      </c>
      <c r="LO41">
        <v>36.119999999999997</v>
      </c>
      <c r="LP41">
        <v>1500.29</v>
      </c>
      <c r="LQ41">
        <v>40.94</v>
      </c>
      <c r="LR41">
        <v>89.1</v>
      </c>
      <c r="LS41">
        <v>109.57</v>
      </c>
      <c r="LT41">
        <v>9.6300000000000008</v>
      </c>
      <c r="LU41">
        <v>151.71</v>
      </c>
      <c r="LV41">
        <v>313.06</v>
      </c>
      <c r="LW41">
        <v>51.78</v>
      </c>
      <c r="LX41">
        <v>2292.58</v>
      </c>
      <c r="LY41">
        <v>1131.8399999999999</v>
      </c>
      <c r="LZ41">
        <v>883.8</v>
      </c>
      <c r="MA41">
        <v>68.63</v>
      </c>
      <c r="MB41">
        <v>532.20000000000005</v>
      </c>
      <c r="MC41">
        <v>534.61</v>
      </c>
      <c r="MD41">
        <v>87.9</v>
      </c>
      <c r="ME41">
        <v>12.04</v>
      </c>
      <c r="MF41">
        <v>148.1</v>
      </c>
      <c r="MG41">
        <v>1045.1400000000001</v>
      </c>
      <c r="MH41">
        <v>463.57</v>
      </c>
      <c r="MI41">
        <v>7.37</v>
      </c>
      <c r="MJ41">
        <v>674.29</v>
      </c>
      <c r="MK41">
        <v>7.37</v>
      </c>
      <c r="ML41">
        <v>1951.82</v>
      </c>
      <c r="MM41">
        <v>1568.92</v>
      </c>
      <c r="MN41">
        <v>718.84</v>
      </c>
      <c r="MO41">
        <v>19.27</v>
      </c>
      <c r="MP41">
        <v>198.67</v>
      </c>
      <c r="MQ41">
        <v>177</v>
      </c>
      <c r="MR41">
        <v>7.37</v>
      </c>
      <c r="MS41">
        <v>120.41</v>
      </c>
      <c r="MT41">
        <v>482.84</v>
      </c>
      <c r="MU41">
        <v>48.16</v>
      </c>
      <c r="MV41">
        <v>7.37</v>
      </c>
      <c r="MW41">
        <v>90.31</v>
      </c>
      <c r="MX41">
        <v>71.040000000000006</v>
      </c>
      <c r="MY41">
        <v>7.37</v>
      </c>
      <c r="MZ41">
        <v>137.27000000000001</v>
      </c>
      <c r="NA41">
        <v>50.57</v>
      </c>
      <c r="NB41">
        <v>1198.06</v>
      </c>
      <c r="NC41">
        <v>332.33</v>
      </c>
      <c r="ND41">
        <v>61.41</v>
      </c>
      <c r="NE41">
        <v>1046.3499999999999</v>
      </c>
      <c r="NF41">
        <v>7.37</v>
      </c>
      <c r="NG41">
        <v>9.6300000000000008</v>
      </c>
      <c r="NH41">
        <v>185.43</v>
      </c>
      <c r="NI41">
        <v>1344.96</v>
      </c>
      <c r="NJ41">
        <v>26.49</v>
      </c>
      <c r="NK41">
        <v>72.25</v>
      </c>
      <c r="NL41">
        <v>108.37</v>
      </c>
      <c r="NM41">
        <v>1770</v>
      </c>
      <c r="NN41">
        <v>24.08</v>
      </c>
      <c r="NO41">
        <v>27.69</v>
      </c>
      <c r="NP41">
        <v>7.37</v>
      </c>
      <c r="NQ41">
        <v>3827.78</v>
      </c>
      <c r="NR41">
        <v>1567.72</v>
      </c>
      <c r="NS41">
        <v>179.41</v>
      </c>
      <c r="NT41">
        <v>363.63</v>
      </c>
      <c r="NU41">
        <v>899.45</v>
      </c>
      <c r="NV41">
        <v>549.05999999999995</v>
      </c>
      <c r="NW41">
        <v>172.18</v>
      </c>
      <c r="NX41">
        <v>99.94</v>
      </c>
      <c r="NY41">
        <v>172.18</v>
      </c>
      <c r="NZ41">
        <v>446.72</v>
      </c>
      <c r="OA41">
        <v>46.96</v>
      </c>
      <c r="OB41">
        <v>210.71</v>
      </c>
      <c r="OC41">
        <v>445.51</v>
      </c>
      <c r="OD41">
        <v>61.41</v>
      </c>
      <c r="OE41">
        <v>2774.21</v>
      </c>
      <c r="OF41">
        <v>10.84</v>
      </c>
      <c r="OG41">
        <v>851.29</v>
      </c>
      <c r="OH41">
        <v>115.59</v>
      </c>
      <c r="OI41">
        <v>30.1</v>
      </c>
      <c r="OJ41">
        <v>30.1</v>
      </c>
      <c r="OK41">
        <v>1535.21</v>
      </c>
      <c r="OL41">
        <v>134.86000000000001</v>
      </c>
      <c r="OM41">
        <v>209.51</v>
      </c>
      <c r="ON41">
        <v>86.69</v>
      </c>
      <c r="OO41">
        <v>1901.25</v>
      </c>
      <c r="OP41">
        <v>136.06</v>
      </c>
      <c r="OQ41">
        <v>815.16</v>
      </c>
      <c r="OR41">
        <v>7.37</v>
      </c>
      <c r="OS41">
        <v>608.05999999999995</v>
      </c>
      <c r="OT41">
        <v>897.04</v>
      </c>
      <c r="OU41">
        <v>108.37</v>
      </c>
      <c r="OV41">
        <v>1013.84</v>
      </c>
      <c r="OW41">
        <v>14.45</v>
      </c>
      <c r="OX41">
        <v>31.31</v>
      </c>
      <c r="OY41">
        <v>7.37</v>
      </c>
      <c r="OZ41">
        <v>15.65</v>
      </c>
      <c r="PA41">
        <v>7.37</v>
      </c>
      <c r="PB41">
        <v>52.98</v>
      </c>
      <c r="PC41">
        <v>7.37</v>
      </c>
      <c r="PD41">
        <v>33.71</v>
      </c>
      <c r="PE41">
        <v>24.08</v>
      </c>
      <c r="PF41">
        <v>376.88</v>
      </c>
      <c r="PG41">
        <v>20.47</v>
      </c>
      <c r="PH41">
        <v>31.31</v>
      </c>
      <c r="PI41">
        <v>46.96</v>
      </c>
      <c r="PJ41">
        <v>2462.35</v>
      </c>
      <c r="PK41">
        <v>1739.9</v>
      </c>
      <c r="PL41">
        <v>28.9</v>
      </c>
      <c r="PM41">
        <v>15356.88</v>
      </c>
      <c r="PN41">
        <v>220.35</v>
      </c>
      <c r="PO41">
        <v>22.88</v>
      </c>
      <c r="PP41">
        <v>1670.06</v>
      </c>
      <c r="PQ41">
        <v>7.37</v>
      </c>
      <c r="PR41">
        <v>19.27</v>
      </c>
      <c r="PS41">
        <v>7.37</v>
      </c>
      <c r="PT41">
        <v>7.37</v>
      </c>
      <c r="PU41">
        <v>45.76</v>
      </c>
      <c r="PV41">
        <v>54.18</v>
      </c>
      <c r="PW41">
        <v>81.88</v>
      </c>
      <c r="PX41">
        <v>7.37</v>
      </c>
      <c r="PY41">
        <v>311.86</v>
      </c>
      <c r="PZ41">
        <v>33.71</v>
      </c>
      <c r="QA41">
        <v>151.71</v>
      </c>
      <c r="QB41">
        <v>925.94</v>
      </c>
      <c r="QC41">
        <v>207.1</v>
      </c>
      <c r="QD41">
        <v>142.08000000000001</v>
      </c>
      <c r="QE41">
        <v>876.57</v>
      </c>
      <c r="QF41">
        <v>196.27</v>
      </c>
      <c r="QG41">
        <v>7.37</v>
      </c>
      <c r="QH41">
        <v>7.37</v>
      </c>
      <c r="QI41">
        <v>9.6300000000000008</v>
      </c>
      <c r="QJ41">
        <v>89.1</v>
      </c>
      <c r="QK41">
        <v>10.84</v>
      </c>
      <c r="QL41">
        <v>635.76</v>
      </c>
      <c r="QM41">
        <v>1023.47</v>
      </c>
      <c r="QN41">
        <v>876.57</v>
      </c>
      <c r="QO41">
        <v>7.37</v>
      </c>
      <c r="QP41">
        <v>22.88</v>
      </c>
      <c r="QQ41">
        <v>248.04</v>
      </c>
      <c r="QR41">
        <v>28.9</v>
      </c>
      <c r="QS41">
        <v>3013.82</v>
      </c>
      <c r="QT41">
        <v>738.1</v>
      </c>
      <c r="QU41">
        <v>30.1</v>
      </c>
      <c r="QV41">
        <v>124.02</v>
      </c>
      <c r="QW41">
        <v>209.51</v>
      </c>
      <c r="QX41">
        <v>42.14</v>
      </c>
      <c r="QY41">
        <v>7.37</v>
      </c>
      <c r="QZ41">
        <v>7.37</v>
      </c>
      <c r="RA41">
        <v>145.69</v>
      </c>
      <c r="RB41">
        <v>5444.87</v>
      </c>
      <c r="RC41">
        <v>80.67</v>
      </c>
      <c r="RD41">
        <v>728.47</v>
      </c>
      <c r="RE41">
        <v>55.39</v>
      </c>
      <c r="RF41">
        <v>89.1</v>
      </c>
      <c r="RG41">
        <v>392.53</v>
      </c>
      <c r="RH41">
        <v>21.67</v>
      </c>
      <c r="RI41">
        <v>7.37</v>
      </c>
      <c r="RJ41">
        <v>25.29</v>
      </c>
      <c r="RK41">
        <v>10.84</v>
      </c>
      <c r="RL41">
        <v>355.2</v>
      </c>
      <c r="RM41">
        <v>198.67</v>
      </c>
      <c r="RN41">
        <v>249.25</v>
      </c>
      <c r="RO41">
        <v>354</v>
      </c>
      <c r="RP41">
        <v>394.94</v>
      </c>
      <c r="RQ41">
        <v>314.27</v>
      </c>
      <c r="RR41">
        <v>21.67</v>
      </c>
      <c r="RS41">
        <v>428.65</v>
      </c>
      <c r="RT41">
        <v>278.14</v>
      </c>
      <c r="RU41">
        <v>19.27</v>
      </c>
      <c r="RV41">
        <v>9.6300000000000008</v>
      </c>
      <c r="RW41">
        <v>1471.39</v>
      </c>
      <c r="RX41">
        <v>7149.85</v>
      </c>
      <c r="RY41">
        <v>727.27</v>
      </c>
      <c r="RZ41">
        <v>84.29</v>
      </c>
      <c r="SA41">
        <v>350.39</v>
      </c>
      <c r="SB41">
        <v>7.37</v>
      </c>
      <c r="SC41">
        <v>26.49</v>
      </c>
      <c r="SD41">
        <v>1606.25</v>
      </c>
      <c r="SE41">
        <v>942.8</v>
      </c>
      <c r="SF41">
        <v>903.06</v>
      </c>
      <c r="SG41">
        <v>7017.4</v>
      </c>
      <c r="SH41">
        <v>183.02</v>
      </c>
      <c r="SI41">
        <v>7.37</v>
      </c>
      <c r="SJ41">
        <v>79.47</v>
      </c>
      <c r="SK41">
        <v>16.86</v>
      </c>
      <c r="SL41">
        <v>77.06</v>
      </c>
      <c r="SM41">
        <v>7.37</v>
      </c>
      <c r="SN41">
        <v>475.61</v>
      </c>
      <c r="SO41">
        <v>7.37</v>
      </c>
      <c r="SP41">
        <v>317.88</v>
      </c>
      <c r="SQ41">
        <v>2056.5700000000002</v>
      </c>
      <c r="SR41">
        <v>887.41</v>
      </c>
      <c r="SS41">
        <v>350.39</v>
      </c>
      <c r="ST41">
        <v>308.25</v>
      </c>
      <c r="SU41">
        <v>250.45</v>
      </c>
      <c r="SV41">
        <v>172.18</v>
      </c>
      <c r="SW41">
        <v>54.18</v>
      </c>
      <c r="SX41">
        <v>77.06</v>
      </c>
      <c r="SY41">
        <v>85.49</v>
      </c>
      <c r="SZ41">
        <v>7.37</v>
      </c>
      <c r="TA41">
        <v>7.37</v>
      </c>
      <c r="TB41">
        <v>3111.35</v>
      </c>
      <c r="TC41">
        <v>995.78</v>
      </c>
      <c r="TD41">
        <v>24.08</v>
      </c>
      <c r="TE41">
        <v>832.02</v>
      </c>
      <c r="TF41">
        <v>376.88</v>
      </c>
      <c r="TG41">
        <v>423.84</v>
      </c>
      <c r="TH41">
        <v>52.98</v>
      </c>
      <c r="TI41">
        <v>26.49</v>
      </c>
      <c r="TJ41">
        <v>7.37</v>
      </c>
      <c r="TK41">
        <v>22.88</v>
      </c>
      <c r="TL41">
        <v>89.1</v>
      </c>
      <c r="TM41">
        <v>101.14</v>
      </c>
      <c r="TN41">
        <v>310.64999999999998</v>
      </c>
      <c r="TO41">
        <v>1508.72</v>
      </c>
      <c r="TP41">
        <v>1107.76</v>
      </c>
      <c r="TQ41">
        <v>151.71</v>
      </c>
      <c r="TR41">
        <v>7.37</v>
      </c>
      <c r="TS41">
        <v>828.41</v>
      </c>
      <c r="TT41">
        <v>24.08</v>
      </c>
      <c r="TU41">
        <v>18.059999999999999</v>
      </c>
      <c r="TV41">
        <v>356.41</v>
      </c>
      <c r="TW41">
        <v>791.08</v>
      </c>
      <c r="TX41">
        <v>210.71</v>
      </c>
      <c r="TY41">
        <v>19.27</v>
      </c>
      <c r="TZ41">
        <v>172.18</v>
      </c>
      <c r="UA41">
        <v>142.08000000000001</v>
      </c>
      <c r="UB41">
        <v>62.61</v>
      </c>
      <c r="UC41">
        <v>7461.71</v>
      </c>
      <c r="UD41">
        <v>7.37</v>
      </c>
      <c r="UE41">
        <v>7.37</v>
      </c>
      <c r="UF41">
        <v>3497.86</v>
      </c>
      <c r="UG41">
        <v>173.39</v>
      </c>
      <c r="UH41">
        <v>7.37</v>
      </c>
      <c r="UI41">
        <v>32.51</v>
      </c>
      <c r="UJ41">
        <v>32.51</v>
      </c>
      <c r="UK41">
        <v>24.08</v>
      </c>
      <c r="UL41">
        <v>13.24</v>
      </c>
      <c r="UM41">
        <v>78.27</v>
      </c>
      <c r="UN41">
        <v>177</v>
      </c>
      <c r="UO41">
        <v>183.02</v>
      </c>
      <c r="UP41">
        <v>7.37</v>
      </c>
      <c r="UQ41">
        <v>7.37</v>
      </c>
      <c r="UR41">
        <v>9.6300000000000008</v>
      </c>
      <c r="US41">
        <v>62.61</v>
      </c>
      <c r="UT41">
        <v>60.2</v>
      </c>
      <c r="UU41">
        <v>393.74</v>
      </c>
      <c r="UV41">
        <v>219.14</v>
      </c>
      <c r="UW41">
        <v>144.49</v>
      </c>
      <c r="UX41">
        <v>33.71</v>
      </c>
      <c r="UY41">
        <v>716.43</v>
      </c>
      <c r="UZ41">
        <v>46.96</v>
      </c>
      <c r="VA41">
        <v>3460.54</v>
      </c>
      <c r="VB41">
        <v>877.78</v>
      </c>
      <c r="VC41">
        <v>50.57</v>
      </c>
      <c r="VD41">
        <v>156.53</v>
      </c>
      <c r="VE41">
        <v>55.39</v>
      </c>
      <c r="VF41">
        <v>539.42999999999995</v>
      </c>
      <c r="VG41">
        <v>7.37</v>
      </c>
      <c r="VH41">
        <v>14.45</v>
      </c>
      <c r="VI41">
        <v>227.57</v>
      </c>
      <c r="VJ41">
        <v>7.37</v>
      </c>
      <c r="VK41">
        <v>575.54999999999995</v>
      </c>
      <c r="VL41">
        <v>596.02</v>
      </c>
      <c r="VM41">
        <v>1060.8</v>
      </c>
      <c r="VN41">
        <v>652.61</v>
      </c>
      <c r="VO41">
        <v>7.37</v>
      </c>
      <c r="VP41">
        <v>7.37</v>
      </c>
      <c r="VQ41">
        <v>1057.19</v>
      </c>
      <c r="VR41">
        <v>358.82</v>
      </c>
      <c r="VS41">
        <v>375.67</v>
      </c>
      <c r="VT41">
        <v>14.45</v>
      </c>
      <c r="VU41">
        <v>28.9</v>
      </c>
      <c r="VV41">
        <v>7.37</v>
      </c>
      <c r="VW41">
        <v>227.57</v>
      </c>
      <c r="VX41">
        <v>272.12</v>
      </c>
      <c r="VY41">
        <v>148.1</v>
      </c>
      <c r="VZ41">
        <v>12436.98</v>
      </c>
      <c r="WA41">
        <v>9104.08</v>
      </c>
      <c r="WB41">
        <v>369.65</v>
      </c>
      <c r="WC41">
        <v>220.35</v>
      </c>
      <c r="WD41">
        <v>26.49</v>
      </c>
      <c r="WE41">
        <v>425.04</v>
      </c>
      <c r="WF41">
        <v>255.27</v>
      </c>
      <c r="WG41">
        <v>119.2</v>
      </c>
      <c r="WH41">
        <v>148549</v>
      </c>
      <c r="WI41">
        <v>168085.27</v>
      </c>
      <c r="WJ41">
        <v>240.82</v>
      </c>
      <c r="WK41">
        <v>134.86000000000001</v>
      </c>
      <c r="WL41">
        <v>1031.9000000000001</v>
      </c>
      <c r="WM41">
        <v>7.37</v>
      </c>
      <c r="WN41">
        <v>9.6300000000000008</v>
      </c>
      <c r="WO41">
        <v>7.37</v>
      </c>
      <c r="WP41">
        <v>97.53</v>
      </c>
      <c r="WQ41">
        <v>1192.04</v>
      </c>
      <c r="WR41">
        <v>446.72</v>
      </c>
      <c r="WS41">
        <v>83.08</v>
      </c>
      <c r="WT41">
        <v>62.61</v>
      </c>
      <c r="WU41">
        <v>791.08</v>
      </c>
      <c r="WV41">
        <v>917.51</v>
      </c>
      <c r="WW41">
        <v>14.45</v>
      </c>
      <c r="WX41">
        <v>138.47</v>
      </c>
      <c r="WY41">
        <v>7.37</v>
      </c>
      <c r="WZ41">
        <v>7.37</v>
      </c>
      <c r="XA41">
        <v>7.37</v>
      </c>
      <c r="XB41">
        <v>248.04</v>
      </c>
      <c r="XC41">
        <v>7.37</v>
      </c>
      <c r="XD41">
        <v>175.8</v>
      </c>
      <c r="XE41">
        <v>132.44999999999999</v>
      </c>
      <c r="XF41">
        <v>899.45</v>
      </c>
      <c r="XG41">
        <v>736.9</v>
      </c>
      <c r="XH41">
        <v>325.10000000000002</v>
      </c>
      <c r="XI41">
        <v>381.69</v>
      </c>
      <c r="XJ41">
        <v>381.69</v>
      </c>
      <c r="XK41">
        <v>705.59</v>
      </c>
      <c r="XL41">
        <v>113.18</v>
      </c>
      <c r="XM41">
        <v>12.04</v>
      </c>
      <c r="XN41">
        <v>115.59</v>
      </c>
      <c r="XO41">
        <v>7.37</v>
      </c>
      <c r="XP41">
        <v>7.37</v>
      </c>
      <c r="XQ41">
        <v>9.6300000000000008</v>
      </c>
      <c r="XR41">
        <v>7.37</v>
      </c>
      <c r="XS41">
        <v>4139.6400000000003</v>
      </c>
      <c r="XT41">
        <v>44.55</v>
      </c>
      <c r="XU41">
        <v>379.29</v>
      </c>
      <c r="XV41">
        <v>409.39</v>
      </c>
      <c r="XW41">
        <v>295</v>
      </c>
      <c r="XX41">
        <v>732.08</v>
      </c>
      <c r="XY41">
        <v>2350.37</v>
      </c>
      <c r="XZ41">
        <v>77.06</v>
      </c>
      <c r="YA41">
        <v>1102.94</v>
      </c>
      <c r="YB41">
        <v>238.41</v>
      </c>
      <c r="YC41">
        <v>26.49</v>
      </c>
      <c r="YD41">
        <v>1005.41</v>
      </c>
      <c r="YE41">
        <v>186.63</v>
      </c>
      <c r="YF41">
        <v>512.94000000000005</v>
      </c>
      <c r="YG41">
        <v>26.49</v>
      </c>
      <c r="YH41">
        <v>12.04</v>
      </c>
      <c r="YI41">
        <v>21.67</v>
      </c>
      <c r="YJ41">
        <v>449.12</v>
      </c>
      <c r="YK41">
        <v>7.37</v>
      </c>
      <c r="YL41">
        <v>329.92</v>
      </c>
      <c r="YM41">
        <v>2523.7600000000002</v>
      </c>
      <c r="YN41">
        <v>139.66999999999999</v>
      </c>
      <c r="YO41">
        <v>196.27</v>
      </c>
      <c r="YP41">
        <v>1459.35</v>
      </c>
      <c r="YQ41">
        <v>122.82</v>
      </c>
      <c r="YR41">
        <v>101.14</v>
      </c>
      <c r="YS41">
        <v>1609.86</v>
      </c>
      <c r="YT41">
        <v>99.94</v>
      </c>
      <c r="YU41">
        <v>462.37</v>
      </c>
      <c r="YV41">
        <v>10.84</v>
      </c>
      <c r="YW41">
        <v>27.69</v>
      </c>
      <c r="YX41">
        <v>15.65</v>
      </c>
      <c r="YY41">
        <v>889.82</v>
      </c>
      <c r="YZ41">
        <v>24.08</v>
      </c>
      <c r="ZA41">
        <v>39.729999999999997</v>
      </c>
      <c r="ZB41">
        <v>31.31</v>
      </c>
      <c r="ZC41">
        <v>7.37</v>
      </c>
      <c r="ZD41">
        <v>91.51</v>
      </c>
      <c r="ZE41">
        <v>52.98</v>
      </c>
      <c r="ZF41">
        <v>132.44999999999999</v>
      </c>
      <c r="ZG41">
        <v>145.69</v>
      </c>
      <c r="ZH41">
        <v>163.76</v>
      </c>
      <c r="ZI41">
        <v>416.61</v>
      </c>
      <c r="ZJ41">
        <v>1193.25</v>
      </c>
      <c r="ZK41">
        <v>349.18</v>
      </c>
      <c r="ZL41">
        <v>7.37</v>
      </c>
      <c r="ZM41">
        <v>146.9</v>
      </c>
      <c r="ZN41">
        <v>222.76</v>
      </c>
      <c r="ZO41">
        <v>33.71</v>
      </c>
      <c r="ZP41">
        <v>272.12</v>
      </c>
      <c r="ZQ41">
        <v>12.04</v>
      </c>
      <c r="ZR41">
        <v>12.04</v>
      </c>
      <c r="ZS41">
        <v>498.49</v>
      </c>
      <c r="ZT41">
        <v>143.29</v>
      </c>
      <c r="ZU41">
        <v>550.27</v>
      </c>
      <c r="ZV41">
        <v>9.6300000000000008</v>
      </c>
      <c r="ZW41">
        <v>7.37</v>
      </c>
      <c r="ZX41">
        <v>32.51</v>
      </c>
      <c r="ZY41">
        <v>2337.13</v>
      </c>
      <c r="ZZ41">
        <v>61.41</v>
      </c>
      <c r="AAA41">
        <v>9.6300000000000008</v>
      </c>
      <c r="AAB41">
        <v>63.82</v>
      </c>
      <c r="AAC41">
        <v>7.37</v>
      </c>
      <c r="AAD41">
        <v>18.059999999999999</v>
      </c>
      <c r="AAE41">
        <v>7.37</v>
      </c>
      <c r="AAF41">
        <v>27.69</v>
      </c>
      <c r="AAG41">
        <v>177</v>
      </c>
      <c r="AAH41">
        <v>104.76</v>
      </c>
      <c r="AAI41">
        <v>1790.47</v>
      </c>
      <c r="AAJ41">
        <v>319.08</v>
      </c>
      <c r="AAK41">
        <v>246.84</v>
      </c>
      <c r="AAL41">
        <v>150.51</v>
      </c>
      <c r="AAM41">
        <v>10.84</v>
      </c>
      <c r="AAN41">
        <v>203.49</v>
      </c>
      <c r="AAO41">
        <v>21.67</v>
      </c>
      <c r="AAP41">
        <v>102.35</v>
      </c>
      <c r="AAQ41">
        <v>7.37</v>
      </c>
      <c r="AAR41">
        <v>57.8</v>
      </c>
      <c r="AAS41">
        <v>1288.3699999999999</v>
      </c>
      <c r="AAT41">
        <v>37.33</v>
      </c>
      <c r="AAU41">
        <v>7.37</v>
      </c>
      <c r="AAV41">
        <v>1676.08</v>
      </c>
      <c r="AAW41">
        <v>25.29</v>
      </c>
      <c r="AAX41">
        <v>57.8</v>
      </c>
      <c r="AAY41">
        <v>24.08</v>
      </c>
      <c r="AAZ41">
        <v>16.86</v>
      </c>
      <c r="ABA41">
        <v>63.82</v>
      </c>
      <c r="ABB41">
        <v>13.24</v>
      </c>
      <c r="ABC41">
        <v>559.9</v>
      </c>
      <c r="ABD41">
        <v>4269.68</v>
      </c>
      <c r="ABE41">
        <v>309.45</v>
      </c>
      <c r="ABF41">
        <v>144.49</v>
      </c>
      <c r="ABG41">
        <v>122.82</v>
      </c>
      <c r="ABH41">
        <v>56.59</v>
      </c>
      <c r="ABI41">
        <v>16.86</v>
      </c>
      <c r="ABJ41">
        <v>32.51</v>
      </c>
      <c r="ABK41">
        <v>40.94</v>
      </c>
      <c r="ABL41">
        <v>9.6300000000000008</v>
      </c>
      <c r="ABM41">
        <v>107.16</v>
      </c>
      <c r="ABN41">
        <v>189.04</v>
      </c>
      <c r="ABO41">
        <v>10.84</v>
      </c>
      <c r="ABP41">
        <v>25.29</v>
      </c>
      <c r="ABQ41">
        <v>343.16</v>
      </c>
      <c r="ABR41">
        <v>24.08</v>
      </c>
      <c r="ABS41">
        <v>740.51</v>
      </c>
      <c r="ABT41">
        <v>18.059999999999999</v>
      </c>
      <c r="ABU41">
        <v>32.51</v>
      </c>
      <c r="ABV41">
        <v>184.22</v>
      </c>
      <c r="ABW41">
        <v>327.51</v>
      </c>
      <c r="ABX41">
        <v>451.53</v>
      </c>
      <c r="ABY41">
        <v>372.06</v>
      </c>
      <c r="ABZ41">
        <v>101.14</v>
      </c>
      <c r="ACA41">
        <v>473.2</v>
      </c>
      <c r="ACB41">
        <v>179.41</v>
      </c>
      <c r="ACC41">
        <v>231.18</v>
      </c>
      <c r="ACD41">
        <v>285.37</v>
      </c>
      <c r="ACE41">
        <v>122.82</v>
      </c>
      <c r="ACF41">
        <v>4517.72</v>
      </c>
      <c r="ACG41">
        <v>1625.51</v>
      </c>
      <c r="ACH41">
        <v>251.65</v>
      </c>
      <c r="ACI41">
        <v>492.47</v>
      </c>
      <c r="ACJ41">
        <v>717.63</v>
      </c>
      <c r="ACK41">
        <v>469.59</v>
      </c>
      <c r="ACL41">
        <v>66.22</v>
      </c>
      <c r="ACM41">
        <v>315.47000000000003</v>
      </c>
      <c r="ACN41">
        <v>392.53</v>
      </c>
      <c r="ACO41">
        <v>1344.96</v>
      </c>
      <c r="ACP41">
        <v>384.1</v>
      </c>
      <c r="ACQ41">
        <v>315.47000000000003</v>
      </c>
      <c r="ACR41">
        <v>2838.03</v>
      </c>
    </row>
    <row r="42" spans="1:772" x14ac:dyDescent="0.3">
      <c r="A42" t="s">
        <v>18</v>
      </c>
      <c r="B42" t="s">
        <v>2</v>
      </c>
      <c r="C42">
        <v>166.2</v>
      </c>
      <c r="D42">
        <v>71.739999999999995</v>
      </c>
      <c r="E42">
        <v>337.37</v>
      </c>
      <c r="F42">
        <v>7.88</v>
      </c>
      <c r="G42">
        <v>2143.5500000000002</v>
      </c>
      <c r="H42">
        <v>52.56</v>
      </c>
      <c r="I42">
        <v>752.87</v>
      </c>
      <c r="J42">
        <v>8131.73</v>
      </c>
      <c r="K42">
        <v>957.43</v>
      </c>
      <c r="L42">
        <v>93.04</v>
      </c>
      <c r="M42">
        <v>34.090000000000003</v>
      </c>
      <c r="N42">
        <v>519.91</v>
      </c>
      <c r="O42">
        <v>35.51</v>
      </c>
      <c r="P42">
        <v>625.74</v>
      </c>
      <c r="Q42">
        <v>49.72</v>
      </c>
      <c r="R42">
        <v>978.73</v>
      </c>
      <c r="S42">
        <v>12.78</v>
      </c>
      <c r="T42">
        <v>293.33999999999997</v>
      </c>
      <c r="U42">
        <v>223.02</v>
      </c>
      <c r="V42">
        <v>89.49</v>
      </c>
      <c r="W42">
        <v>298.31</v>
      </c>
      <c r="X42">
        <v>7.88</v>
      </c>
      <c r="Y42">
        <v>53.98</v>
      </c>
      <c r="Z42">
        <v>604.42999999999995</v>
      </c>
      <c r="AA42">
        <v>30.54</v>
      </c>
      <c r="AB42">
        <v>986.55</v>
      </c>
      <c r="AC42">
        <v>329.56</v>
      </c>
      <c r="AD42">
        <v>240.78</v>
      </c>
      <c r="AE42">
        <v>217.34</v>
      </c>
      <c r="AF42">
        <v>10892.49</v>
      </c>
      <c r="AG42">
        <v>224.44</v>
      </c>
      <c r="AH42">
        <v>46.88</v>
      </c>
      <c r="AI42">
        <v>26.99</v>
      </c>
      <c r="AJ42">
        <v>224.44</v>
      </c>
      <c r="AK42">
        <v>300.44</v>
      </c>
      <c r="AL42">
        <v>95.88</v>
      </c>
      <c r="AM42">
        <v>81.680000000000007</v>
      </c>
      <c r="AN42">
        <v>29.12</v>
      </c>
      <c r="AO42">
        <v>753.58</v>
      </c>
      <c r="AP42">
        <v>12.78</v>
      </c>
      <c r="AQ42">
        <v>40.479999999999997</v>
      </c>
      <c r="AR42">
        <v>13.49</v>
      </c>
      <c r="AS42">
        <v>12.78</v>
      </c>
      <c r="AT42">
        <v>7.88</v>
      </c>
      <c r="AU42">
        <v>7.88</v>
      </c>
      <c r="AV42">
        <v>1332.44</v>
      </c>
      <c r="AW42">
        <v>333.11</v>
      </c>
      <c r="AX42">
        <v>2747.98</v>
      </c>
      <c r="AY42">
        <v>54.69</v>
      </c>
      <c r="AZ42">
        <v>31.25</v>
      </c>
      <c r="BA42">
        <v>356.55</v>
      </c>
      <c r="BB42">
        <v>757.13</v>
      </c>
      <c r="BC42">
        <v>19.89</v>
      </c>
      <c r="BD42">
        <v>9.94</v>
      </c>
      <c r="BE42">
        <v>47.59</v>
      </c>
      <c r="BF42">
        <v>85.94</v>
      </c>
      <c r="BG42">
        <v>17.760000000000002</v>
      </c>
      <c r="BH42">
        <v>7.88</v>
      </c>
      <c r="BI42">
        <v>8.52</v>
      </c>
      <c r="BJ42">
        <v>7.88</v>
      </c>
      <c r="BK42">
        <v>414.79</v>
      </c>
      <c r="BL42">
        <v>632.84</v>
      </c>
      <c r="BM42">
        <v>112.93</v>
      </c>
      <c r="BN42">
        <v>123.58</v>
      </c>
      <c r="BO42">
        <v>83.81</v>
      </c>
      <c r="BP42">
        <v>7.88</v>
      </c>
      <c r="BQ42">
        <v>7.88</v>
      </c>
      <c r="BR42">
        <v>41.19</v>
      </c>
      <c r="BS42">
        <v>7.88</v>
      </c>
      <c r="BT42">
        <v>162.65</v>
      </c>
      <c r="BU42">
        <v>541.22</v>
      </c>
      <c r="BV42">
        <v>9.94</v>
      </c>
      <c r="BW42">
        <v>74.58</v>
      </c>
      <c r="BX42">
        <v>83.1</v>
      </c>
      <c r="BY42">
        <v>45.46</v>
      </c>
      <c r="BZ42">
        <v>83.81</v>
      </c>
      <c r="CA42">
        <v>15.63</v>
      </c>
      <c r="CB42">
        <v>17.760000000000002</v>
      </c>
      <c r="CC42">
        <v>7.88</v>
      </c>
      <c r="CD42">
        <v>44.04</v>
      </c>
      <c r="CE42">
        <v>117.19</v>
      </c>
      <c r="CF42">
        <v>108.67</v>
      </c>
      <c r="CG42">
        <v>33.380000000000003</v>
      </c>
      <c r="CH42">
        <v>93.04</v>
      </c>
      <c r="CI42">
        <v>26.99</v>
      </c>
      <c r="CJ42">
        <v>11.36</v>
      </c>
      <c r="CK42">
        <v>39.06</v>
      </c>
      <c r="CL42">
        <v>32.67</v>
      </c>
      <c r="CM42">
        <v>97.31</v>
      </c>
      <c r="CN42">
        <v>22.02</v>
      </c>
      <c r="CO42">
        <v>21.31</v>
      </c>
      <c r="CP42">
        <v>7.88</v>
      </c>
      <c r="CQ42">
        <v>63.92</v>
      </c>
      <c r="CR42">
        <v>11.36</v>
      </c>
      <c r="CS42">
        <v>7.88</v>
      </c>
      <c r="CT42">
        <v>30.54</v>
      </c>
      <c r="CU42">
        <v>38.35</v>
      </c>
      <c r="CV42">
        <v>88.78</v>
      </c>
      <c r="CW42">
        <v>951.03</v>
      </c>
      <c r="CX42">
        <v>20.6</v>
      </c>
      <c r="CY42">
        <v>200.29</v>
      </c>
      <c r="CZ42">
        <v>46.88</v>
      </c>
      <c r="DA42">
        <v>7.88</v>
      </c>
      <c r="DB42">
        <v>46.88</v>
      </c>
      <c r="DC42">
        <v>32.67</v>
      </c>
      <c r="DD42">
        <v>8.52</v>
      </c>
      <c r="DE42">
        <v>12.78</v>
      </c>
      <c r="DF42">
        <v>321.04000000000002</v>
      </c>
      <c r="DG42">
        <v>7.88</v>
      </c>
      <c r="DH42">
        <v>4429.87</v>
      </c>
      <c r="DI42">
        <v>8.52</v>
      </c>
      <c r="DJ42">
        <v>25.57</v>
      </c>
      <c r="DK42">
        <v>58.24</v>
      </c>
      <c r="DL42">
        <v>2165.5700000000002</v>
      </c>
      <c r="DM42">
        <v>41.19</v>
      </c>
      <c r="DN42">
        <v>19.89</v>
      </c>
      <c r="DO42">
        <v>79.55</v>
      </c>
      <c r="DP42">
        <v>28.41</v>
      </c>
      <c r="DQ42">
        <v>666.93</v>
      </c>
      <c r="DR42">
        <v>36.93</v>
      </c>
      <c r="DS42">
        <v>7.88</v>
      </c>
      <c r="DT42">
        <v>36.22</v>
      </c>
      <c r="DU42">
        <v>1053.31</v>
      </c>
      <c r="DV42">
        <v>20.6</v>
      </c>
      <c r="DW42">
        <v>9.94</v>
      </c>
      <c r="DX42">
        <v>14.92</v>
      </c>
      <c r="DY42">
        <v>16.34</v>
      </c>
      <c r="DZ42">
        <v>24.15</v>
      </c>
      <c r="EA42">
        <v>17.05</v>
      </c>
      <c r="EB42">
        <v>13.49</v>
      </c>
      <c r="EC42">
        <v>36.22</v>
      </c>
      <c r="ED42">
        <v>7.88</v>
      </c>
      <c r="EE42">
        <v>7.88</v>
      </c>
      <c r="EF42">
        <v>905.58</v>
      </c>
      <c r="EG42">
        <v>637.1</v>
      </c>
      <c r="EH42">
        <v>7.88</v>
      </c>
      <c r="EI42">
        <v>16.34</v>
      </c>
      <c r="EJ42">
        <v>313.93</v>
      </c>
      <c r="EK42">
        <v>181.83</v>
      </c>
      <c r="EL42">
        <v>2434.7600000000002</v>
      </c>
      <c r="EM42">
        <v>526.29999999999995</v>
      </c>
      <c r="EN42">
        <v>34.799999999999997</v>
      </c>
      <c r="EO42">
        <v>19.18</v>
      </c>
      <c r="EP42">
        <v>7.88</v>
      </c>
      <c r="EQ42">
        <v>3626.57</v>
      </c>
      <c r="ER42">
        <v>7.88</v>
      </c>
      <c r="ES42">
        <v>12.78</v>
      </c>
      <c r="ET42">
        <v>10.65</v>
      </c>
      <c r="EU42">
        <v>440.36</v>
      </c>
      <c r="EV42">
        <v>7.88</v>
      </c>
      <c r="EW42">
        <v>7.88</v>
      </c>
      <c r="EX42">
        <v>95.17</v>
      </c>
      <c r="EY42">
        <v>7.88</v>
      </c>
      <c r="EZ42">
        <v>7.88</v>
      </c>
      <c r="FA42">
        <v>19.89</v>
      </c>
      <c r="FB42">
        <v>7.88</v>
      </c>
      <c r="FC42">
        <v>78.84</v>
      </c>
      <c r="FD42">
        <v>24.86</v>
      </c>
      <c r="FE42">
        <v>47.59</v>
      </c>
      <c r="FF42">
        <v>26.99</v>
      </c>
      <c r="FG42">
        <v>873.62</v>
      </c>
      <c r="FH42">
        <v>1011.41</v>
      </c>
      <c r="FI42">
        <v>144.18</v>
      </c>
      <c r="FJ42">
        <v>117.9</v>
      </c>
      <c r="FK42">
        <v>642.78</v>
      </c>
      <c r="FL42">
        <v>27.7</v>
      </c>
      <c r="FM42">
        <v>122.16</v>
      </c>
      <c r="FN42">
        <v>50.43</v>
      </c>
      <c r="FO42">
        <v>7.88</v>
      </c>
      <c r="FP42">
        <v>7.88</v>
      </c>
      <c r="FQ42">
        <v>7.88</v>
      </c>
      <c r="FR42">
        <v>15.63</v>
      </c>
      <c r="FS42">
        <v>7.88</v>
      </c>
      <c r="FT42">
        <v>31.25</v>
      </c>
      <c r="FU42">
        <v>2744.43</v>
      </c>
      <c r="FV42">
        <v>549.74</v>
      </c>
      <c r="FW42">
        <v>14.92</v>
      </c>
      <c r="FX42">
        <v>17.760000000000002</v>
      </c>
      <c r="FY42">
        <v>8.52</v>
      </c>
      <c r="FZ42">
        <v>254.27</v>
      </c>
      <c r="GA42">
        <v>61.08</v>
      </c>
      <c r="GB42">
        <v>7.88</v>
      </c>
      <c r="GC42">
        <v>7.88</v>
      </c>
      <c r="GD42">
        <v>32.67</v>
      </c>
      <c r="GE42">
        <v>355.13</v>
      </c>
      <c r="GF42">
        <v>123.58</v>
      </c>
      <c r="GG42">
        <v>327.43</v>
      </c>
      <c r="GH42">
        <v>185.38</v>
      </c>
      <c r="GI42">
        <v>1166.24</v>
      </c>
      <c r="GJ42">
        <v>14.21</v>
      </c>
      <c r="GK42">
        <v>10098.43</v>
      </c>
      <c r="GL42">
        <v>7.88</v>
      </c>
      <c r="GM42">
        <v>7.88</v>
      </c>
      <c r="GN42">
        <v>7.88</v>
      </c>
      <c r="GO42">
        <v>362.23</v>
      </c>
      <c r="GP42">
        <v>14.21</v>
      </c>
      <c r="GQ42">
        <v>12.07</v>
      </c>
      <c r="GR42">
        <v>70.319999999999993</v>
      </c>
      <c r="GS42">
        <v>137.08000000000001</v>
      </c>
      <c r="GT42">
        <v>256.39999999999998</v>
      </c>
      <c r="GU42">
        <v>7.88</v>
      </c>
      <c r="GV42">
        <v>17.05</v>
      </c>
      <c r="GW42">
        <v>7.88</v>
      </c>
      <c r="GX42">
        <v>58.24</v>
      </c>
      <c r="GY42">
        <v>9.23</v>
      </c>
      <c r="GZ42">
        <v>111.51</v>
      </c>
      <c r="HA42">
        <v>260.66000000000003</v>
      </c>
      <c r="HB42">
        <v>637.80999999999995</v>
      </c>
      <c r="HC42">
        <v>14.21</v>
      </c>
      <c r="HD42">
        <v>1380.03</v>
      </c>
      <c r="HE42">
        <v>11.36</v>
      </c>
      <c r="HF42">
        <v>2482.35</v>
      </c>
      <c r="HG42">
        <v>111.51</v>
      </c>
      <c r="HH42">
        <v>26.28</v>
      </c>
      <c r="HI42">
        <v>32.67</v>
      </c>
      <c r="HJ42">
        <v>4037.81</v>
      </c>
      <c r="HK42">
        <v>3325.42</v>
      </c>
      <c r="HL42">
        <v>282.68</v>
      </c>
      <c r="HM42">
        <v>244.33</v>
      </c>
      <c r="HN42">
        <v>519.91</v>
      </c>
      <c r="HO42">
        <v>7.88</v>
      </c>
      <c r="HP42">
        <v>111.51</v>
      </c>
      <c r="HQ42">
        <v>8927.2099999999991</v>
      </c>
      <c r="HR42">
        <v>90.91</v>
      </c>
      <c r="HS42">
        <v>9.23</v>
      </c>
      <c r="HT42">
        <v>177.56</v>
      </c>
      <c r="HU42">
        <v>419.05</v>
      </c>
      <c r="HV42">
        <v>81.680000000000007</v>
      </c>
      <c r="HW42">
        <v>4892.25</v>
      </c>
      <c r="HX42">
        <v>7.88</v>
      </c>
      <c r="HY42">
        <v>7.88</v>
      </c>
      <c r="HZ42">
        <v>336.66</v>
      </c>
      <c r="IA42">
        <v>257.82</v>
      </c>
      <c r="IB42">
        <v>49.72</v>
      </c>
      <c r="IC42">
        <v>14.92</v>
      </c>
      <c r="ID42">
        <v>14.92</v>
      </c>
      <c r="IE42">
        <v>19.18</v>
      </c>
      <c r="IF42">
        <v>174.01</v>
      </c>
      <c r="IG42">
        <v>12.78</v>
      </c>
      <c r="IH42">
        <v>7.88</v>
      </c>
      <c r="II42">
        <v>98.73</v>
      </c>
      <c r="IJ42">
        <v>20.6</v>
      </c>
      <c r="IK42">
        <v>7.88</v>
      </c>
      <c r="IL42">
        <v>341.63</v>
      </c>
      <c r="IM42">
        <v>142.05000000000001</v>
      </c>
      <c r="IN42">
        <v>24.15</v>
      </c>
      <c r="IO42">
        <v>109.38</v>
      </c>
      <c r="IP42">
        <v>31.25</v>
      </c>
      <c r="IQ42">
        <v>9.23</v>
      </c>
      <c r="IR42">
        <v>7.88</v>
      </c>
      <c r="IS42">
        <v>17.760000000000002</v>
      </c>
      <c r="IT42">
        <v>7.88</v>
      </c>
      <c r="IU42">
        <v>223.73</v>
      </c>
      <c r="IV42">
        <v>1637.14</v>
      </c>
      <c r="IW42">
        <v>138.5</v>
      </c>
      <c r="IX42">
        <v>2247.25</v>
      </c>
      <c r="IY42">
        <v>26.28</v>
      </c>
      <c r="IZ42">
        <v>7.88</v>
      </c>
      <c r="JA42">
        <v>46.17</v>
      </c>
      <c r="JB42">
        <v>178.98</v>
      </c>
      <c r="JC42">
        <v>37.64</v>
      </c>
      <c r="JD42">
        <v>174.01</v>
      </c>
      <c r="JE42">
        <v>17.760000000000002</v>
      </c>
      <c r="JF42">
        <v>29.83</v>
      </c>
      <c r="JG42">
        <v>17.05</v>
      </c>
      <c r="JH42">
        <v>63.92</v>
      </c>
      <c r="JI42">
        <v>561.1</v>
      </c>
      <c r="JJ42">
        <v>95.88</v>
      </c>
      <c r="JK42">
        <v>34.799999999999997</v>
      </c>
      <c r="JL42">
        <v>40.479999999999997</v>
      </c>
      <c r="JM42">
        <v>7.88</v>
      </c>
      <c r="JN42">
        <v>11.36</v>
      </c>
      <c r="JO42">
        <v>161.94</v>
      </c>
      <c r="JP42">
        <v>965.95</v>
      </c>
      <c r="JQ42">
        <v>786.96</v>
      </c>
      <c r="JR42">
        <v>9.94</v>
      </c>
      <c r="JS42">
        <v>7.88</v>
      </c>
      <c r="JT42">
        <v>52.56</v>
      </c>
      <c r="JU42">
        <v>298.31</v>
      </c>
      <c r="JV42">
        <v>134.24</v>
      </c>
      <c r="JW42">
        <v>18.47</v>
      </c>
      <c r="JX42">
        <v>218.05</v>
      </c>
      <c r="JY42">
        <v>71.739999999999995</v>
      </c>
      <c r="JZ42">
        <v>9.23</v>
      </c>
      <c r="KA42">
        <v>7.88</v>
      </c>
      <c r="KB42">
        <v>7.88</v>
      </c>
      <c r="KC42">
        <v>14.21</v>
      </c>
      <c r="KD42">
        <v>12.78</v>
      </c>
      <c r="KE42">
        <v>135.66</v>
      </c>
      <c r="KF42">
        <v>51.85</v>
      </c>
      <c r="KG42">
        <v>36.22</v>
      </c>
      <c r="KH42">
        <v>193.19</v>
      </c>
      <c r="KI42">
        <v>357.26</v>
      </c>
      <c r="KJ42">
        <v>393.48</v>
      </c>
      <c r="KK42">
        <v>328.85</v>
      </c>
      <c r="KL42">
        <v>44.75</v>
      </c>
      <c r="KM42">
        <v>17.760000000000002</v>
      </c>
      <c r="KN42">
        <v>39.06</v>
      </c>
      <c r="KO42">
        <v>305.41000000000003</v>
      </c>
      <c r="KP42">
        <v>22.02</v>
      </c>
      <c r="KQ42">
        <v>2040.57</v>
      </c>
      <c r="KR42">
        <v>736.54</v>
      </c>
      <c r="KS42">
        <v>1507.87</v>
      </c>
      <c r="KT42">
        <v>2189.0100000000002</v>
      </c>
      <c r="KU42">
        <v>14213.65</v>
      </c>
      <c r="KV42">
        <v>1012.83</v>
      </c>
      <c r="KW42">
        <v>44.04</v>
      </c>
      <c r="KX42">
        <v>21.31</v>
      </c>
      <c r="KY42">
        <v>11.36</v>
      </c>
      <c r="KZ42">
        <v>27.7</v>
      </c>
      <c r="LA42">
        <v>294.05</v>
      </c>
      <c r="LB42">
        <v>256.39999999999998</v>
      </c>
      <c r="LC42">
        <v>92.33</v>
      </c>
      <c r="LD42">
        <v>7.88</v>
      </c>
      <c r="LE42">
        <v>52.56</v>
      </c>
      <c r="LF42">
        <v>653.44000000000005</v>
      </c>
      <c r="LG42">
        <v>220.18</v>
      </c>
      <c r="LH42">
        <v>8.52</v>
      </c>
      <c r="LI42">
        <v>3373.01</v>
      </c>
      <c r="LJ42">
        <v>216.63</v>
      </c>
      <c r="LK42">
        <v>761.39</v>
      </c>
      <c r="LL42">
        <v>107.25</v>
      </c>
      <c r="LM42">
        <v>7.88</v>
      </c>
      <c r="LN42">
        <v>348.74</v>
      </c>
      <c r="LO42">
        <v>19.18</v>
      </c>
      <c r="LP42">
        <v>1421.93</v>
      </c>
      <c r="LQ42">
        <v>32.67</v>
      </c>
      <c r="LR42">
        <v>93.04</v>
      </c>
      <c r="LS42">
        <v>110.09</v>
      </c>
      <c r="LT42">
        <v>13.49</v>
      </c>
      <c r="LU42">
        <v>129.27000000000001</v>
      </c>
      <c r="LV42">
        <v>290.49</v>
      </c>
      <c r="LW42">
        <v>65.34</v>
      </c>
      <c r="LX42">
        <v>1996.53</v>
      </c>
      <c r="LY42">
        <v>1018.51</v>
      </c>
      <c r="LZ42">
        <v>742.22</v>
      </c>
      <c r="MA42">
        <v>49.72</v>
      </c>
      <c r="MB42">
        <v>372.17</v>
      </c>
      <c r="MC42">
        <v>478.71</v>
      </c>
      <c r="MD42">
        <v>52.56</v>
      </c>
      <c r="ME42">
        <v>12.07</v>
      </c>
      <c r="MF42">
        <v>118.61</v>
      </c>
      <c r="MG42">
        <v>896.34</v>
      </c>
      <c r="MH42">
        <v>397.03</v>
      </c>
      <c r="MI42">
        <v>7.88</v>
      </c>
      <c r="MJ42">
        <v>619.34</v>
      </c>
      <c r="MK42">
        <v>7.88</v>
      </c>
      <c r="ML42">
        <v>1921.24</v>
      </c>
      <c r="MM42">
        <v>1280.5899999999999</v>
      </c>
      <c r="MN42">
        <v>627.16</v>
      </c>
      <c r="MO42">
        <v>11.36</v>
      </c>
      <c r="MP42">
        <v>180.41</v>
      </c>
      <c r="MQ42">
        <v>164.78</v>
      </c>
      <c r="MR42">
        <v>7.88</v>
      </c>
      <c r="MS42">
        <v>109.38</v>
      </c>
      <c r="MT42">
        <v>349.45</v>
      </c>
      <c r="MU42">
        <v>32.67</v>
      </c>
      <c r="MV42">
        <v>7.88</v>
      </c>
      <c r="MW42">
        <v>100.15</v>
      </c>
      <c r="MX42">
        <v>73.16</v>
      </c>
      <c r="MY42">
        <v>7.88</v>
      </c>
      <c r="MZ42">
        <v>107.96</v>
      </c>
      <c r="NA42">
        <v>45.46</v>
      </c>
      <c r="NB42">
        <v>616.5</v>
      </c>
      <c r="NC42">
        <v>158.38999999999999</v>
      </c>
      <c r="ND42">
        <v>47.59</v>
      </c>
      <c r="NE42">
        <v>671.19</v>
      </c>
      <c r="NF42">
        <v>7.88</v>
      </c>
      <c r="NG42">
        <v>9.23</v>
      </c>
      <c r="NH42">
        <v>156.97</v>
      </c>
      <c r="NI42">
        <v>784.12</v>
      </c>
      <c r="NJ42">
        <v>34.799999999999997</v>
      </c>
      <c r="NK42">
        <v>62.5</v>
      </c>
      <c r="NL42">
        <v>110.09</v>
      </c>
      <c r="NM42">
        <v>1321.08</v>
      </c>
      <c r="NN42">
        <v>29.83</v>
      </c>
      <c r="NO42">
        <v>17.760000000000002</v>
      </c>
      <c r="NP42">
        <v>7.88</v>
      </c>
      <c r="NQ42">
        <v>2878.67</v>
      </c>
      <c r="NR42">
        <v>1241.53</v>
      </c>
      <c r="NS42">
        <v>167.62</v>
      </c>
      <c r="NT42">
        <v>250.72</v>
      </c>
      <c r="NU42">
        <v>978.02</v>
      </c>
      <c r="NV42">
        <v>424.02</v>
      </c>
      <c r="NW42">
        <v>176.85</v>
      </c>
      <c r="NX42">
        <v>104.41</v>
      </c>
      <c r="NY42">
        <v>146.31</v>
      </c>
      <c r="NZ42">
        <v>384.25</v>
      </c>
      <c r="OA42">
        <v>40.479999999999997</v>
      </c>
      <c r="OB42">
        <v>176.85</v>
      </c>
      <c r="OC42">
        <v>311.8</v>
      </c>
      <c r="OD42">
        <v>52.56</v>
      </c>
      <c r="OE42">
        <v>2550.5300000000002</v>
      </c>
      <c r="OF42">
        <v>10.65</v>
      </c>
      <c r="OG42">
        <v>725.88</v>
      </c>
      <c r="OH42">
        <v>96.59</v>
      </c>
      <c r="OI42">
        <v>22.73</v>
      </c>
      <c r="OJ42">
        <v>23.44</v>
      </c>
      <c r="OK42">
        <v>1300.48</v>
      </c>
      <c r="OL42">
        <v>109.38</v>
      </c>
      <c r="OM42">
        <v>205.97</v>
      </c>
      <c r="ON42">
        <v>56.82</v>
      </c>
      <c r="OO42">
        <v>1478.04</v>
      </c>
      <c r="OP42">
        <v>122.16</v>
      </c>
      <c r="OQ42">
        <v>754.29</v>
      </c>
      <c r="OR42">
        <v>7.88</v>
      </c>
      <c r="OS42">
        <v>612.95000000000005</v>
      </c>
      <c r="OT42">
        <v>838.81</v>
      </c>
      <c r="OU42">
        <v>107.96</v>
      </c>
      <c r="OV42">
        <v>956.72</v>
      </c>
      <c r="OW42">
        <v>21.31</v>
      </c>
      <c r="OX42">
        <v>36.93</v>
      </c>
      <c r="OY42">
        <v>7.88</v>
      </c>
      <c r="OZ42">
        <v>7.88</v>
      </c>
      <c r="PA42">
        <v>7.88</v>
      </c>
      <c r="PB42">
        <v>44.04</v>
      </c>
      <c r="PC42">
        <v>10.65</v>
      </c>
      <c r="PD42">
        <v>32.67</v>
      </c>
      <c r="PE42">
        <v>16.34</v>
      </c>
      <c r="PF42">
        <v>325.3</v>
      </c>
      <c r="PG42">
        <v>17.05</v>
      </c>
      <c r="PH42">
        <v>33.380000000000003</v>
      </c>
      <c r="PI42">
        <v>30.54</v>
      </c>
      <c r="PJ42">
        <v>2088.15</v>
      </c>
      <c r="PK42">
        <v>1271.3599999999999</v>
      </c>
      <c r="PL42">
        <v>20.6</v>
      </c>
      <c r="PM42">
        <v>13424.56</v>
      </c>
      <c r="PN42">
        <v>194.61</v>
      </c>
      <c r="PO42">
        <v>14.92</v>
      </c>
      <c r="PP42">
        <v>1609.44</v>
      </c>
      <c r="PQ42">
        <v>7.88</v>
      </c>
      <c r="PR42">
        <v>15.63</v>
      </c>
      <c r="PS42">
        <v>7.88</v>
      </c>
      <c r="PT42">
        <v>7.88</v>
      </c>
      <c r="PU42">
        <v>37.64</v>
      </c>
      <c r="PV42">
        <v>76</v>
      </c>
      <c r="PW42">
        <v>49.72</v>
      </c>
      <c r="PX42">
        <v>7.88</v>
      </c>
      <c r="PY42">
        <v>264.22000000000003</v>
      </c>
      <c r="PZ42">
        <v>42.62</v>
      </c>
      <c r="QA42">
        <v>138.5</v>
      </c>
      <c r="QB42">
        <v>731.56</v>
      </c>
      <c r="QC42">
        <v>219.47</v>
      </c>
      <c r="QD42">
        <v>171.88</v>
      </c>
      <c r="QE42">
        <v>996.49</v>
      </c>
      <c r="QF42">
        <v>216.63</v>
      </c>
      <c r="QG42">
        <v>7.88</v>
      </c>
      <c r="QH42">
        <v>7.88</v>
      </c>
      <c r="QI42">
        <v>34.799999999999997</v>
      </c>
      <c r="QJ42">
        <v>103.7</v>
      </c>
      <c r="QK42">
        <v>12.07</v>
      </c>
      <c r="QL42">
        <v>546.9</v>
      </c>
      <c r="QM42">
        <v>1015.67</v>
      </c>
      <c r="QN42">
        <v>775.6</v>
      </c>
      <c r="QO42">
        <v>9.23</v>
      </c>
      <c r="QP42">
        <v>13.49</v>
      </c>
      <c r="QQ42">
        <v>219.47</v>
      </c>
      <c r="QR42">
        <v>18.47</v>
      </c>
      <c r="QS42">
        <v>2492.29</v>
      </c>
      <c r="QT42">
        <v>640.65</v>
      </c>
      <c r="QU42">
        <v>19.89</v>
      </c>
      <c r="QV42">
        <v>113.64</v>
      </c>
      <c r="QW42">
        <v>185.38</v>
      </c>
      <c r="QX42">
        <v>46.88</v>
      </c>
      <c r="QY42">
        <v>7.88</v>
      </c>
      <c r="QZ42">
        <v>10.65</v>
      </c>
      <c r="RA42">
        <v>166.91</v>
      </c>
      <c r="RB42">
        <v>4260.83</v>
      </c>
      <c r="RC42">
        <v>129.27000000000001</v>
      </c>
      <c r="RD42">
        <v>614.37</v>
      </c>
      <c r="RE42">
        <v>66.05</v>
      </c>
      <c r="RF42">
        <v>65.34</v>
      </c>
      <c r="RG42">
        <v>307.54000000000002</v>
      </c>
      <c r="RH42">
        <v>18.47</v>
      </c>
      <c r="RI42">
        <v>7.88</v>
      </c>
      <c r="RJ42">
        <v>26.28</v>
      </c>
      <c r="RK42">
        <v>7.88</v>
      </c>
      <c r="RL42">
        <v>304.7</v>
      </c>
      <c r="RM42">
        <v>215.21</v>
      </c>
      <c r="RN42">
        <v>272.02999999999997</v>
      </c>
      <c r="RO42">
        <v>229.41</v>
      </c>
      <c r="RP42">
        <v>376.44</v>
      </c>
      <c r="RQ42">
        <v>365.78</v>
      </c>
      <c r="RR42">
        <v>9.94</v>
      </c>
      <c r="RS42">
        <v>445.33</v>
      </c>
      <c r="RT42">
        <v>275.58</v>
      </c>
      <c r="RU42">
        <v>10.65</v>
      </c>
      <c r="RV42">
        <v>8.52</v>
      </c>
      <c r="RW42">
        <v>1480.17</v>
      </c>
      <c r="RX42">
        <v>6434.21</v>
      </c>
      <c r="RY42">
        <v>652.02</v>
      </c>
      <c r="RZ42">
        <v>80.260000000000005</v>
      </c>
      <c r="SA42">
        <v>334.53</v>
      </c>
      <c r="SB42">
        <v>10.65</v>
      </c>
      <c r="SC42">
        <v>29.12</v>
      </c>
      <c r="SD42">
        <v>1604.47</v>
      </c>
      <c r="SE42">
        <v>772.76</v>
      </c>
      <c r="SF42">
        <v>845.21</v>
      </c>
      <c r="SG42">
        <v>6334.07</v>
      </c>
      <c r="SH42">
        <v>171.17</v>
      </c>
      <c r="SI42">
        <v>7.88</v>
      </c>
      <c r="SJ42">
        <v>64.63</v>
      </c>
      <c r="SK42">
        <v>22.73</v>
      </c>
      <c r="SL42">
        <v>76</v>
      </c>
      <c r="SM42">
        <v>7.88</v>
      </c>
      <c r="SN42">
        <v>415.5</v>
      </c>
      <c r="SO42">
        <v>7.88</v>
      </c>
      <c r="SP42">
        <v>285.52</v>
      </c>
      <c r="SQ42">
        <v>1850.22</v>
      </c>
      <c r="SR42">
        <v>799.04</v>
      </c>
      <c r="SS42">
        <v>335.95</v>
      </c>
      <c r="ST42">
        <v>261.37</v>
      </c>
      <c r="SU42">
        <v>157.68</v>
      </c>
      <c r="SV42">
        <v>156.97</v>
      </c>
      <c r="SW42">
        <v>48.3</v>
      </c>
      <c r="SX42">
        <v>42.62</v>
      </c>
      <c r="SY42">
        <v>92.33</v>
      </c>
      <c r="SZ42">
        <v>7.88</v>
      </c>
      <c r="TA42">
        <v>7.88</v>
      </c>
      <c r="TB42">
        <v>2609.48</v>
      </c>
      <c r="TC42">
        <v>962.4</v>
      </c>
      <c r="TD42">
        <v>26.28</v>
      </c>
      <c r="TE42">
        <v>717.36</v>
      </c>
      <c r="TF42">
        <v>335.24</v>
      </c>
      <c r="TG42">
        <v>360.1</v>
      </c>
      <c r="TH42">
        <v>58.24</v>
      </c>
      <c r="TI42">
        <v>26.99</v>
      </c>
      <c r="TJ42">
        <v>7.88</v>
      </c>
      <c r="TK42">
        <v>10.65</v>
      </c>
      <c r="TL42">
        <v>112.93</v>
      </c>
      <c r="TM42">
        <v>61.79</v>
      </c>
      <c r="TN42">
        <v>257.82</v>
      </c>
      <c r="TO42">
        <v>1348.78</v>
      </c>
      <c r="TP42">
        <v>963.82</v>
      </c>
      <c r="TQ42">
        <v>167.62</v>
      </c>
      <c r="TR42">
        <v>7.88</v>
      </c>
      <c r="TS42">
        <v>735.12</v>
      </c>
      <c r="TT42">
        <v>22.02</v>
      </c>
      <c r="TU42">
        <v>19.18</v>
      </c>
      <c r="TV42">
        <v>333.82</v>
      </c>
      <c r="TW42">
        <v>638.52</v>
      </c>
      <c r="TX42">
        <v>200.29</v>
      </c>
      <c r="TY42">
        <v>24.15</v>
      </c>
      <c r="TZ42">
        <v>162.65</v>
      </c>
      <c r="UA42">
        <v>150.57</v>
      </c>
      <c r="UB42">
        <v>45.46</v>
      </c>
      <c r="UC42">
        <v>7297.18</v>
      </c>
      <c r="UD42">
        <v>7.88</v>
      </c>
      <c r="UE42">
        <v>12.07</v>
      </c>
      <c r="UF42">
        <v>2866.6</v>
      </c>
      <c r="UG42">
        <v>147.72999999999999</v>
      </c>
      <c r="UH42">
        <v>7.88</v>
      </c>
      <c r="UI42">
        <v>27.7</v>
      </c>
      <c r="UJ42">
        <v>31.96</v>
      </c>
      <c r="UK42">
        <v>29.83</v>
      </c>
      <c r="UL42">
        <v>7.88</v>
      </c>
      <c r="UM42">
        <v>77.42</v>
      </c>
      <c r="UN42">
        <v>141.34</v>
      </c>
      <c r="UO42">
        <v>161.22999999999999</v>
      </c>
      <c r="UP42">
        <v>7.88</v>
      </c>
      <c r="UQ42">
        <v>7.88</v>
      </c>
      <c r="UR42">
        <v>9.94</v>
      </c>
      <c r="US42">
        <v>41.19</v>
      </c>
      <c r="UT42">
        <v>51.14</v>
      </c>
      <c r="UU42">
        <v>364.36</v>
      </c>
      <c r="UV42">
        <v>205.26</v>
      </c>
      <c r="UW42">
        <v>122.16</v>
      </c>
      <c r="UX42">
        <v>39.06</v>
      </c>
      <c r="UY42">
        <v>529.85</v>
      </c>
      <c r="UZ42">
        <v>57.53</v>
      </c>
      <c r="VA42">
        <v>2533.48</v>
      </c>
      <c r="VB42">
        <v>883.56</v>
      </c>
      <c r="VC42">
        <v>52.56</v>
      </c>
      <c r="VD42">
        <v>196.74</v>
      </c>
      <c r="VE42">
        <v>53.27</v>
      </c>
      <c r="VF42">
        <v>536.24</v>
      </c>
      <c r="VG42">
        <v>7.88</v>
      </c>
      <c r="VH42">
        <v>15.63</v>
      </c>
      <c r="VI42">
        <v>117.19</v>
      </c>
      <c r="VJ42">
        <v>7.88</v>
      </c>
      <c r="VK42">
        <v>518.49</v>
      </c>
      <c r="VL42">
        <v>478.71</v>
      </c>
      <c r="VM42">
        <v>943.93</v>
      </c>
      <c r="VN42">
        <v>549.74</v>
      </c>
      <c r="VO42">
        <v>8.52</v>
      </c>
      <c r="VP42">
        <v>7.88</v>
      </c>
      <c r="VQ42">
        <v>952.45</v>
      </c>
      <c r="VR42">
        <v>318.19</v>
      </c>
      <c r="VS42">
        <v>337.37</v>
      </c>
      <c r="VT42">
        <v>14.92</v>
      </c>
      <c r="VU42">
        <v>23.44</v>
      </c>
      <c r="VV42">
        <v>7.88</v>
      </c>
      <c r="VW42">
        <v>211.66</v>
      </c>
      <c r="VX42">
        <v>156.97</v>
      </c>
      <c r="VY42">
        <v>131.4</v>
      </c>
      <c r="VZ42">
        <v>12243.4</v>
      </c>
      <c r="WA42">
        <v>9258.19</v>
      </c>
      <c r="WB42">
        <v>335.24</v>
      </c>
      <c r="WC42">
        <v>158.38999999999999</v>
      </c>
      <c r="WD42">
        <v>20.6</v>
      </c>
      <c r="WE42">
        <v>263.51</v>
      </c>
      <c r="WF42">
        <v>272.02999999999997</v>
      </c>
      <c r="WG42">
        <v>102.28</v>
      </c>
      <c r="WH42">
        <v>132537.42000000001</v>
      </c>
      <c r="WI42">
        <v>140110.17000000001</v>
      </c>
      <c r="WJ42">
        <v>210.95</v>
      </c>
      <c r="WK42">
        <v>134.24</v>
      </c>
      <c r="WL42">
        <v>897.05</v>
      </c>
      <c r="WM42">
        <v>7.88</v>
      </c>
      <c r="WN42">
        <v>10.65</v>
      </c>
      <c r="WO42">
        <v>7.88</v>
      </c>
      <c r="WP42">
        <v>83.1</v>
      </c>
      <c r="WQ42">
        <v>1289.83</v>
      </c>
      <c r="WR42">
        <v>371.46</v>
      </c>
      <c r="WS42">
        <v>69.61</v>
      </c>
      <c r="WT42">
        <v>98.73</v>
      </c>
      <c r="WU42">
        <v>740.8</v>
      </c>
      <c r="WV42">
        <v>1014.25</v>
      </c>
      <c r="WW42">
        <v>17.760000000000002</v>
      </c>
      <c r="WX42">
        <v>98.02</v>
      </c>
      <c r="WY42">
        <v>7.88</v>
      </c>
      <c r="WZ42">
        <v>7.88</v>
      </c>
      <c r="XA42">
        <v>7.88</v>
      </c>
      <c r="XB42">
        <v>194.61</v>
      </c>
      <c r="XC42">
        <v>7.88</v>
      </c>
      <c r="XD42">
        <v>119.32</v>
      </c>
      <c r="XE42">
        <v>139.21</v>
      </c>
      <c r="XF42">
        <v>951.03</v>
      </c>
      <c r="XG42">
        <v>957.43</v>
      </c>
      <c r="XH42">
        <v>319.62</v>
      </c>
      <c r="XI42">
        <v>431.13</v>
      </c>
      <c r="XJ42">
        <v>384.25</v>
      </c>
      <c r="XK42">
        <v>709.55</v>
      </c>
      <c r="XL42">
        <v>110.8</v>
      </c>
      <c r="XM42">
        <v>11.36</v>
      </c>
      <c r="XN42">
        <v>147.02000000000001</v>
      </c>
      <c r="XO42">
        <v>7.88</v>
      </c>
      <c r="XP42">
        <v>7.88</v>
      </c>
      <c r="XQ42">
        <v>9.94</v>
      </c>
      <c r="XR42">
        <v>7.88</v>
      </c>
      <c r="XS42">
        <v>3662.79</v>
      </c>
      <c r="XT42">
        <v>34.799999999999997</v>
      </c>
      <c r="XU42">
        <v>392.77</v>
      </c>
      <c r="XV42">
        <v>414.08</v>
      </c>
      <c r="XW42">
        <v>296.18</v>
      </c>
      <c r="XX42">
        <v>663.38</v>
      </c>
      <c r="XY42">
        <v>2296.9699999999998</v>
      </c>
      <c r="XZ42">
        <v>45.46</v>
      </c>
      <c r="YA42">
        <v>876.46</v>
      </c>
      <c r="YB42">
        <v>198.16</v>
      </c>
      <c r="YC42">
        <v>17.760000000000002</v>
      </c>
      <c r="YD42">
        <v>811.11</v>
      </c>
      <c r="YE42">
        <v>182.54</v>
      </c>
      <c r="YF42">
        <v>422.6</v>
      </c>
      <c r="YG42">
        <v>13.49</v>
      </c>
      <c r="YH42">
        <v>7.88</v>
      </c>
      <c r="YI42">
        <v>22.73</v>
      </c>
      <c r="YJ42">
        <v>368.62</v>
      </c>
      <c r="YK42">
        <v>7.88</v>
      </c>
      <c r="YL42">
        <v>207.39</v>
      </c>
      <c r="YM42">
        <v>2337.4499999999998</v>
      </c>
      <c r="YN42">
        <v>122.87</v>
      </c>
      <c r="YO42">
        <v>153.41999999999999</v>
      </c>
      <c r="YP42">
        <v>1351.62</v>
      </c>
      <c r="YQ42">
        <v>107.25</v>
      </c>
      <c r="YR42">
        <v>162.65</v>
      </c>
      <c r="YS42">
        <v>1228.03</v>
      </c>
      <c r="YT42">
        <v>79.55</v>
      </c>
      <c r="YU42">
        <v>415.5</v>
      </c>
      <c r="YV42">
        <v>8.52</v>
      </c>
      <c r="YW42">
        <v>25.57</v>
      </c>
      <c r="YX42">
        <v>13.49</v>
      </c>
      <c r="YY42">
        <v>667.64</v>
      </c>
      <c r="YZ42">
        <v>26.99</v>
      </c>
      <c r="ZA42">
        <v>48.3</v>
      </c>
      <c r="ZB42">
        <v>26.28</v>
      </c>
      <c r="ZC42">
        <v>7.88</v>
      </c>
      <c r="ZD42">
        <v>66.05</v>
      </c>
      <c r="ZE42">
        <v>35.51</v>
      </c>
      <c r="ZF42">
        <v>115.77</v>
      </c>
      <c r="ZG42">
        <v>141.34</v>
      </c>
      <c r="ZH42">
        <v>112.93</v>
      </c>
      <c r="ZI42">
        <v>377.15</v>
      </c>
      <c r="ZJ42">
        <v>843.78</v>
      </c>
      <c r="ZK42">
        <v>331.69</v>
      </c>
      <c r="ZL42">
        <v>8.52</v>
      </c>
      <c r="ZM42">
        <v>92.33</v>
      </c>
      <c r="ZN42">
        <v>141.34</v>
      </c>
      <c r="ZO42">
        <v>16.34</v>
      </c>
      <c r="ZP42">
        <v>242.2</v>
      </c>
      <c r="ZQ42">
        <v>7.88</v>
      </c>
      <c r="ZR42">
        <v>10.65</v>
      </c>
      <c r="ZS42">
        <v>444.62</v>
      </c>
      <c r="ZT42">
        <v>120.03</v>
      </c>
      <c r="ZU42">
        <v>535.53</v>
      </c>
      <c r="ZV42">
        <v>7.88</v>
      </c>
      <c r="ZW42">
        <v>7.88</v>
      </c>
      <c r="ZX42">
        <v>34.799999999999997</v>
      </c>
      <c r="ZY42">
        <v>2012.16</v>
      </c>
      <c r="ZZ42">
        <v>39.770000000000003</v>
      </c>
      <c r="AAA42">
        <v>7.88</v>
      </c>
      <c r="AAB42">
        <v>49.01</v>
      </c>
      <c r="AAC42">
        <v>7.88</v>
      </c>
      <c r="AAD42">
        <v>14.92</v>
      </c>
      <c r="AAE42">
        <v>8.52</v>
      </c>
      <c r="AAF42">
        <v>17.05</v>
      </c>
      <c r="AAG42">
        <v>196.03</v>
      </c>
      <c r="AAH42">
        <v>122.87</v>
      </c>
      <c r="AAI42">
        <v>1724.5</v>
      </c>
      <c r="AAJ42">
        <v>313.22000000000003</v>
      </c>
      <c r="AAK42">
        <v>289.07</v>
      </c>
      <c r="AAL42">
        <v>151.28</v>
      </c>
      <c r="AAM42">
        <v>9.23</v>
      </c>
      <c r="AAN42">
        <v>161.94</v>
      </c>
      <c r="AAO42">
        <v>22.73</v>
      </c>
      <c r="AAP42">
        <v>113.64</v>
      </c>
      <c r="AAQ42">
        <v>7.88</v>
      </c>
      <c r="AAR42">
        <v>66.760000000000005</v>
      </c>
      <c r="AAS42">
        <v>1350.91</v>
      </c>
      <c r="AAT42">
        <v>29.83</v>
      </c>
      <c r="AAU42">
        <v>7.88</v>
      </c>
      <c r="AAV42">
        <v>1576.06</v>
      </c>
      <c r="AAW42">
        <v>17.760000000000002</v>
      </c>
      <c r="AAX42">
        <v>41.91</v>
      </c>
      <c r="AAY42">
        <v>27.7</v>
      </c>
      <c r="AAZ42">
        <v>7.88</v>
      </c>
      <c r="ABA42">
        <v>71.739999999999995</v>
      </c>
      <c r="ABB42">
        <v>17.05</v>
      </c>
      <c r="ABC42">
        <v>551.87</v>
      </c>
      <c r="ABD42">
        <v>3217.46</v>
      </c>
      <c r="ABE42">
        <v>271.32</v>
      </c>
      <c r="ABF42">
        <v>143.47</v>
      </c>
      <c r="ABG42">
        <v>132.82</v>
      </c>
      <c r="ABH42">
        <v>66.760000000000005</v>
      </c>
      <c r="ABI42">
        <v>8.52</v>
      </c>
      <c r="ABJ42">
        <v>26.99</v>
      </c>
      <c r="ABK42">
        <v>46.88</v>
      </c>
      <c r="ABL42">
        <v>7.88</v>
      </c>
      <c r="ABM42">
        <v>72.45</v>
      </c>
      <c r="ABN42">
        <v>178.27</v>
      </c>
      <c r="ABO42">
        <v>7.88</v>
      </c>
      <c r="ABP42">
        <v>13.49</v>
      </c>
      <c r="ABQ42">
        <v>346.61</v>
      </c>
      <c r="ABR42">
        <v>24.86</v>
      </c>
      <c r="ABS42">
        <v>566.07000000000005</v>
      </c>
      <c r="ABT42">
        <v>20.6</v>
      </c>
      <c r="ABU42">
        <v>36.93</v>
      </c>
      <c r="ABV42">
        <v>178.98</v>
      </c>
      <c r="ABW42">
        <v>311.8</v>
      </c>
      <c r="ABX42">
        <v>460.25</v>
      </c>
      <c r="ABY42">
        <v>406.27</v>
      </c>
      <c r="ABZ42">
        <v>109.38</v>
      </c>
      <c r="ACA42">
        <v>468.77</v>
      </c>
      <c r="ACB42">
        <v>181.12</v>
      </c>
      <c r="ACC42">
        <v>215.21</v>
      </c>
      <c r="ACD42">
        <v>252.85</v>
      </c>
      <c r="ACE42">
        <v>142.76</v>
      </c>
      <c r="ACF42">
        <v>4881.59</v>
      </c>
      <c r="ACG42">
        <v>1638.56</v>
      </c>
      <c r="ACH42">
        <v>341.63</v>
      </c>
      <c r="ACI42">
        <v>532.69000000000005</v>
      </c>
      <c r="ACJ42">
        <v>721.62</v>
      </c>
      <c r="ACK42">
        <v>493.63</v>
      </c>
      <c r="ACL42">
        <v>80.260000000000005</v>
      </c>
      <c r="ACM42">
        <v>305.41000000000003</v>
      </c>
      <c r="ACN42">
        <v>373.59</v>
      </c>
      <c r="ACO42">
        <v>1175.47</v>
      </c>
      <c r="ACP42">
        <v>414.79</v>
      </c>
      <c r="ACQ42">
        <v>304.7</v>
      </c>
      <c r="ACR42">
        <v>2774.97</v>
      </c>
    </row>
    <row r="43" spans="1:772" x14ac:dyDescent="0.3">
      <c r="A43" t="s">
        <v>18</v>
      </c>
      <c r="B43" t="s">
        <v>3</v>
      </c>
      <c r="C43">
        <v>284.38</v>
      </c>
      <c r="D43">
        <v>85.23</v>
      </c>
      <c r="E43">
        <v>375.99</v>
      </c>
      <c r="F43">
        <v>6.37</v>
      </c>
      <c r="G43">
        <v>2250.35</v>
      </c>
      <c r="H43">
        <v>54.96</v>
      </c>
      <c r="I43">
        <v>760.74</v>
      </c>
      <c r="J43">
        <v>9103.3799999999992</v>
      </c>
      <c r="K43">
        <v>996.53</v>
      </c>
      <c r="L43">
        <v>86.03</v>
      </c>
      <c r="M43">
        <v>41.42</v>
      </c>
      <c r="N43">
        <v>503.44</v>
      </c>
      <c r="O43">
        <v>57.35</v>
      </c>
      <c r="P43">
        <v>644.44000000000005</v>
      </c>
      <c r="Q43">
        <v>43.81</v>
      </c>
      <c r="R43">
        <v>921.65</v>
      </c>
      <c r="S43">
        <v>22.3</v>
      </c>
      <c r="T43">
        <v>480.34</v>
      </c>
      <c r="U43">
        <v>227.03</v>
      </c>
      <c r="V43">
        <v>209.5</v>
      </c>
      <c r="W43">
        <v>294.74</v>
      </c>
      <c r="X43">
        <v>9.56</v>
      </c>
      <c r="Y43">
        <v>69.3</v>
      </c>
      <c r="Z43">
        <v>577.52</v>
      </c>
      <c r="AA43">
        <v>37.44</v>
      </c>
      <c r="AB43">
        <v>779.86</v>
      </c>
      <c r="AC43">
        <v>368.02</v>
      </c>
      <c r="AD43">
        <v>231.01</v>
      </c>
      <c r="AE43">
        <v>232.6</v>
      </c>
      <c r="AF43">
        <v>11320.27</v>
      </c>
      <c r="AG43">
        <v>209.5</v>
      </c>
      <c r="AH43">
        <v>39.03</v>
      </c>
      <c r="AI43">
        <v>36.64</v>
      </c>
      <c r="AJ43">
        <v>225.43</v>
      </c>
      <c r="AK43">
        <v>289.95999999999998</v>
      </c>
      <c r="AL43">
        <v>94.79</v>
      </c>
      <c r="AM43">
        <v>109.93</v>
      </c>
      <c r="AN43">
        <v>41.42</v>
      </c>
      <c r="AO43">
        <v>902.53</v>
      </c>
      <c r="AP43">
        <v>11.15</v>
      </c>
      <c r="AQ43">
        <v>51.78</v>
      </c>
      <c r="AR43">
        <v>9.56</v>
      </c>
      <c r="AS43">
        <v>20.71</v>
      </c>
      <c r="AT43">
        <v>6.37</v>
      </c>
      <c r="AU43">
        <v>6.12</v>
      </c>
      <c r="AV43">
        <v>1444.21</v>
      </c>
      <c r="AW43">
        <v>317.83999999999997</v>
      </c>
      <c r="AX43">
        <v>3089.16</v>
      </c>
      <c r="AY43">
        <v>55.76</v>
      </c>
      <c r="AZ43">
        <v>31.86</v>
      </c>
      <c r="BA43">
        <v>360.85</v>
      </c>
      <c r="BB43">
        <v>658.78</v>
      </c>
      <c r="BC43">
        <v>17.52</v>
      </c>
      <c r="BD43">
        <v>9.56</v>
      </c>
      <c r="BE43">
        <v>101.17</v>
      </c>
      <c r="BF43">
        <v>172.86</v>
      </c>
      <c r="BG43">
        <v>19.12</v>
      </c>
      <c r="BH43">
        <v>9.56</v>
      </c>
      <c r="BI43">
        <v>9.56</v>
      </c>
      <c r="BJ43">
        <v>6.12</v>
      </c>
      <c r="BK43">
        <v>362.45</v>
      </c>
      <c r="BL43">
        <v>642.84</v>
      </c>
      <c r="BM43">
        <v>103.56</v>
      </c>
      <c r="BN43">
        <v>108.34</v>
      </c>
      <c r="BO43">
        <v>109.93</v>
      </c>
      <c r="BP43">
        <v>6.12</v>
      </c>
      <c r="BQ43">
        <v>11.95</v>
      </c>
      <c r="BR43">
        <v>56.56</v>
      </c>
      <c r="BS43">
        <v>6.37</v>
      </c>
      <c r="BT43">
        <v>294.74</v>
      </c>
      <c r="BU43">
        <v>662.76</v>
      </c>
      <c r="BV43">
        <v>9.56</v>
      </c>
      <c r="BW43">
        <v>139.4</v>
      </c>
      <c r="BX43">
        <v>210.3</v>
      </c>
      <c r="BY43">
        <v>78.86</v>
      </c>
      <c r="BZ43">
        <v>75.680000000000007</v>
      </c>
      <c r="CA43">
        <v>27.88</v>
      </c>
      <c r="CB43">
        <v>9.56</v>
      </c>
      <c r="CC43">
        <v>8.76</v>
      </c>
      <c r="CD43">
        <v>34.25</v>
      </c>
      <c r="CE43">
        <v>120.28</v>
      </c>
      <c r="CF43">
        <v>147.37</v>
      </c>
      <c r="CG43">
        <v>38.24</v>
      </c>
      <c r="CH43">
        <v>110.73</v>
      </c>
      <c r="CI43">
        <v>12.75</v>
      </c>
      <c r="CJ43">
        <v>19.12</v>
      </c>
      <c r="CK43">
        <v>35.049999999999997</v>
      </c>
      <c r="CL43">
        <v>59.74</v>
      </c>
      <c r="CM43">
        <v>166.49</v>
      </c>
      <c r="CN43">
        <v>52.57</v>
      </c>
      <c r="CO43">
        <v>20.71</v>
      </c>
      <c r="CP43">
        <v>6.12</v>
      </c>
      <c r="CQ43">
        <v>50.98</v>
      </c>
      <c r="CR43">
        <v>16.73</v>
      </c>
      <c r="CS43">
        <v>6.12</v>
      </c>
      <c r="CT43">
        <v>31.86</v>
      </c>
      <c r="CU43">
        <v>39.83</v>
      </c>
      <c r="CV43">
        <v>70.900000000000006</v>
      </c>
      <c r="CW43">
        <v>1026</v>
      </c>
      <c r="CX43">
        <v>16.73</v>
      </c>
      <c r="CY43">
        <v>223.84</v>
      </c>
      <c r="CZ43">
        <v>90.81</v>
      </c>
      <c r="DA43">
        <v>6.12</v>
      </c>
      <c r="DB43">
        <v>43.02</v>
      </c>
      <c r="DC43">
        <v>24.69</v>
      </c>
      <c r="DD43">
        <v>11.95</v>
      </c>
      <c r="DE43">
        <v>17.52</v>
      </c>
      <c r="DF43">
        <v>309.87</v>
      </c>
      <c r="DG43">
        <v>7.17</v>
      </c>
      <c r="DH43">
        <v>4429.8100000000004</v>
      </c>
      <c r="DI43">
        <v>15.93</v>
      </c>
      <c r="DJ43">
        <v>30.27</v>
      </c>
      <c r="DK43">
        <v>78.069999999999993</v>
      </c>
      <c r="DL43">
        <v>2212.91</v>
      </c>
      <c r="DM43">
        <v>50.98</v>
      </c>
      <c r="DN43">
        <v>15.93</v>
      </c>
      <c r="DO43">
        <v>69.3</v>
      </c>
      <c r="DP43">
        <v>22.3</v>
      </c>
      <c r="DQ43">
        <v>879.43</v>
      </c>
      <c r="DR43">
        <v>15.93</v>
      </c>
      <c r="DS43">
        <v>6.12</v>
      </c>
      <c r="DT43">
        <v>27.88</v>
      </c>
      <c r="DU43">
        <v>1408.36</v>
      </c>
      <c r="DV43">
        <v>19.12</v>
      </c>
      <c r="DW43">
        <v>11.95</v>
      </c>
      <c r="DX43">
        <v>16.73</v>
      </c>
      <c r="DY43">
        <v>44.61</v>
      </c>
      <c r="DZ43">
        <v>36.64</v>
      </c>
      <c r="EA43">
        <v>20.71</v>
      </c>
      <c r="EB43">
        <v>26.29</v>
      </c>
      <c r="EC43">
        <v>42.22</v>
      </c>
      <c r="ED43">
        <v>11.15</v>
      </c>
      <c r="EE43">
        <v>7.97</v>
      </c>
      <c r="EF43">
        <v>775.08</v>
      </c>
      <c r="EG43">
        <v>787.82</v>
      </c>
      <c r="EH43">
        <v>6.12</v>
      </c>
      <c r="EI43">
        <v>24.69</v>
      </c>
      <c r="EJ43">
        <v>356.87</v>
      </c>
      <c r="EK43">
        <v>150.55000000000001</v>
      </c>
      <c r="EL43">
        <v>2408.87</v>
      </c>
      <c r="EM43">
        <v>474.76</v>
      </c>
      <c r="EN43">
        <v>41.42</v>
      </c>
      <c r="EO43">
        <v>17.52</v>
      </c>
      <c r="EP43">
        <v>6.37</v>
      </c>
      <c r="EQ43">
        <v>3226.97</v>
      </c>
      <c r="ER43">
        <v>6.12</v>
      </c>
      <c r="ES43">
        <v>19.12</v>
      </c>
      <c r="ET43">
        <v>16.73</v>
      </c>
      <c r="EU43">
        <v>397.5</v>
      </c>
      <c r="EV43">
        <v>14.34</v>
      </c>
      <c r="EW43">
        <v>15.93</v>
      </c>
      <c r="EX43">
        <v>191.98</v>
      </c>
      <c r="EY43">
        <v>33.46</v>
      </c>
      <c r="EZ43">
        <v>7.97</v>
      </c>
      <c r="FA43">
        <v>27.88</v>
      </c>
      <c r="FB43">
        <v>6.37</v>
      </c>
      <c r="FC43">
        <v>129.05000000000001</v>
      </c>
      <c r="FD43">
        <v>25.49</v>
      </c>
      <c r="FE43">
        <v>13.54</v>
      </c>
      <c r="FF43">
        <v>33.46</v>
      </c>
      <c r="FG43">
        <v>1006.88</v>
      </c>
      <c r="FH43">
        <v>1225.1500000000001</v>
      </c>
      <c r="FI43">
        <v>121.08</v>
      </c>
      <c r="FJ43">
        <v>185.6</v>
      </c>
      <c r="FK43">
        <v>480.34</v>
      </c>
      <c r="FL43">
        <v>27.88</v>
      </c>
      <c r="FM43">
        <v>210.3</v>
      </c>
      <c r="FN43">
        <v>35.85</v>
      </c>
      <c r="FO43">
        <v>12.75</v>
      </c>
      <c r="FP43">
        <v>6.12</v>
      </c>
      <c r="FQ43">
        <v>21.51</v>
      </c>
      <c r="FR43">
        <v>17.52</v>
      </c>
      <c r="FS43">
        <v>6.12</v>
      </c>
      <c r="FT43">
        <v>19.91</v>
      </c>
      <c r="FU43">
        <v>2776.9</v>
      </c>
      <c r="FV43">
        <v>896.95</v>
      </c>
      <c r="FW43">
        <v>11.95</v>
      </c>
      <c r="FX43">
        <v>27.88</v>
      </c>
      <c r="FY43">
        <v>18.32</v>
      </c>
      <c r="FZ43">
        <v>434.94</v>
      </c>
      <c r="GA43">
        <v>71.69</v>
      </c>
      <c r="GB43">
        <v>6.12</v>
      </c>
      <c r="GC43">
        <v>8.76</v>
      </c>
      <c r="GD43">
        <v>65.319999999999993</v>
      </c>
      <c r="GE43">
        <v>209.5</v>
      </c>
      <c r="GF43">
        <v>174.45</v>
      </c>
      <c r="GG43">
        <v>399.89</v>
      </c>
      <c r="GH43">
        <v>214.28</v>
      </c>
      <c r="GI43">
        <v>2320.4499999999998</v>
      </c>
      <c r="GJ43">
        <v>98.78</v>
      </c>
      <c r="GK43">
        <v>9038.0499999999993</v>
      </c>
      <c r="GL43">
        <v>14.34</v>
      </c>
      <c r="GM43">
        <v>6.37</v>
      </c>
      <c r="GN43">
        <v>8.76</v>
      </c>
      <c r="GO43">
        <v>529.73</v>
      </c>
      <c r="GP43">
        <v>27.88</v>
      </c>
      <c r="GQ43">
        <v>12.75</v>
      </c>
      <c r="GR43">
        <v>161.71</v>
      </c>
      <c r="GS43">
        <v>172.86</v>
      </c>
      <c r="GT43">
        <v>257.3</v>
      </c>
      <c r="GU43">
        <v>6.12</v>
      </c>
      <c r="GV43">
        <v>20.71</v>
      </c>
      <c r="GW43">
        <v>6.12</v>
      </c>
      <c r="GX43">
        <v>78.069999999999993</v>
      </c>
      <c r="GY43">
        <v>12.75</v>
      </c>
      <c r="GZ43">
        <v>127.45</v>
      </c>
      <c r="HA43">
        <v>234.2</v>
      </c>
      <c r="HB43">
        <v>623.73</v>
      </c>
      <c r="HC43">
        <v>47</v>
      </c>
      <c r="HD43">
        <v>1543.78</v>
      </c>
      <c r="HE43">
        <v>18.32</v>
      </c>
      <c r="HF43">
        <v>2516.41</v>
      </c>
      <c r="HG43">
        <v>108.34</v>
      </c>
      <c r="HH43">
        <v>54.17</v>
      </c>
      <c r="HI43">
        <v>33.46</v>
      </c>
      <c r="HJ43">
        <v>4060.19</v>
      </c>
      <c r="HK43">
        <v>3482.67</v>
      </c>
      <c r="HL43">
        <v>305.89</v>
      </c>
      <c r="HM43">
        <v>214.28</v>
      </c>
      <c r="HN43">
        <v>651.61</v>
      </c>
      <c r="HO43">
        <v>6.12</v>
      </c>
      <c r="HP43">
        <v>93.2</v>
      </c>
      <c r="HQ43">
        <v>9059.56</v>
      </c>
      <c r="HR43">
        <v>136.22</v>
      </c>
      <c r="HS43">
        <v>7.17</v>
      </c>
      <c r="HT43">
        <v>176.84</v>
      </c>
      <c r="HU43">
        <v>404.67</v>
      </c>
      <c r="HV43">
        <v>96.39</v>
      </c>
      <c r="HW43">
        <v>5137.97</v>
      </c>
      <c r="HX43">
        <v>6.12</v>
      </c>
      <c r="HY43">
        <v>16.73</v>
      </c>
      <c r="HZ43">
        <v>357.67</v>
      </c>
      <c r="IA43">
        <v>212.69</v>
      </c>
      <c r="IB43">
        <v>48.59</v>
      </c>
      <c r="IC43">
        <v>14.34</v>
      </c>
      <c r="ID43">
        <v>27.08</v>
      </c>
      <c r="IE43">
        <v>34.25</v>
      </c>
      <c r="IF43">
        <v>269.25</v>
      </c>
      <c r="IG43">
        <v>17.52</v>
      </c>
      <c r="IH43">
        <v>6.12</v>
      </c>
      <c r="II43">
        <v>234.99</v>
      </c>
      <c r="IJ43">
        <v>32.659999999999997</v>
      </c>
      <c r="IK43">
        <v>7.97</v>
      </c>
      <c r="IL43">
        <v>580.71</v>
      </c>
      <c r="IM43">
        <v>230.21</v>
      </c>
      <c r="IN43">
        <v>53.37</v>
      </c>
      <c r="IO43">
        <v>140.19999999999999</v>
      </c>
      <c r="IP43">
        <v>57.35</v>
      </c>
      <c r="IQ43">
        <v>11.95</v>
      </c>
      <c r="IR43">
        <v>7.97</v>
      </c>
      <c r="IS43">
        <v>20.71</v>
      </c>
      <c r="IT43">
        <v>6.37</v>
      </c>
      <c r="IU43">
        <v>251.72</v>
      </c>
      <c r="IV43">
        <v>1503.16</v>
      </c>
      <c r="IW43">
        <v>214.28</v>
      </c>
      <c r="IX43">
        <v>2245.5700000000002</v>
      </c>
      <c r="IY43">
        <v>33.46</v>
      </c>
      <c r="IZ43">
        <v>19.91</v>
      </c>
      <c r="JA43">
        <v>88.42</v>
      </c>
      <c r="JB43">
        <v>138.61000000000001</v>
      </c>
      <c r="JC43">
        <v>59.74</v>
      </c>
      <c r="JD43">
        <v>200.74</v>
      </c>
      <c r="JE43">
        <v>15.14</v>
      </c>
      <c r="JF43">
        <v>33.46</v>
      </c>
      <c r="JG43">
        <v>25.49</v>
      </c>
      <c r="JH43">
        <v>87.62</v>
      </c>
      <c r="JI43">
        <v>691.44</v>
      </c>
      <c r="JJ43">
        <v>95.59</v>
      </c>
      <c r="JK43">
        <v>35.85</v>
      </c>
      <c r="JL43">
        <v>57.35</v>
      </c>
      <c r="JM43">
        <v>7.97</v>
      </c>
      <c r="JN43">
        <v>10.36</v>
      </c>
      <c r="JO43">
        <v>137.01</v>
      </c>
      <c r="JP43">
        <v>994.93</v>
      </c>
      <c r="JQ43">
        <v>955.11</v>
      </c>
      <c r="JR43">
        <v>19.12</v>
      </c>
      <c r="JS43">
        <v>20.71</v>
      </c>
      <c r="JT43">
        <v>49.39</v>
      </c>
      <c r="JU43">
        <v>174.45</v>
      </c>
      <c r="JV43">
        <v>111.52</v>
      </c>
      <c r="JW43">
        <v>41.42</v>
      </c>
      <c r="JX43">
        <v>221.45</v>
      </c>
      <c r="JY43">
        <v>99.57</v>
      </c>
      <c r="JZ43">
        <v>6.37</v>
      </c>
      <c r="KA43">
        <v>15.14</v>
      </c>
      <c r="KB43">
        <v>6.12</v>
      </c>
      <c r="KC43">
        <v>12.75</v>
      </c>
      <c r="KD43">
        <v>16.73</v>
      </c>
      <c r="KE43">
        <v>108.34</v>
      </c>
      <c r="KF43">
        <v>71.69</v>
      </c>
      <c r="KG43">
        <v>59.74</v>
      </c>
      <c r="KH43">
        <v>184.01</v>
      </c>
      <c r="KI43">
        <v>307.48</v>
      </c>
      <c r="KJ43">
        <v>387.94</v>
      </c>
      <c r="KK43">
        <v>336.16</v>
      </c>
      <c r="KL43">
        <v>48.59</v>
      </c>
      <c r="KM43">
        <v>41.42</v>
      </c>
      <c r="KN43">
        <v>35.85</v>
      </c>
      <c r="KO43">
        <v>387.14</v>
      </c>
      <c r="KP43">
        <v>41.42</v>
      </c>
      <c r="KQ43">
        <v>1965.18</v>
      </c>
      <c r="KR43">
        <v>732.06</v>
      </c>
      <c r="KS43">
        <v>1391.63</v>
      </c>
      <c r="KT43">
        <v>2058.38</v>
      </c>
      <c r="KU43">
        <v>14028.66</v>
      </c>
      <c r="KV43">
        <v>984.58</v>
      </c>
      <c r="KW43">
        <v>79.66</v>
      </c>
      <c r="KX43">
        <v>50.98</v>
      </c>
      <c r="KY43">
        <v>12.75</v>
      </c>
      <c r="KZ43">
        <v>28.68</v>
      </c>
      <c r="LA43">
        <v>371.21</v>
      </c>
      <c r="LB43">
        <v>267.64999999999998</v>
      </c>
      <c r="LC43">
        <v>126.66</v>
      </c>
      <c r="LD43">
        <v>10.36</v>
      </c>
      <c r="LE43">
        <v>61.34</v>
      </c>
      <c r="LF43">
        <v>905.72</v>
      </c>
      <c r="LG43">
        <v>289.16000000000003</v>
      </c>
      <c r="LH43">
        <v>6.12</v>
      </c>
      <c r="LI43">
        <v>3485.86</v>
      </c>
      <c r="LJ43">
        <v>188.79</v>
      </c>
      <c r="LK43">
        <v>765.52</v>
      </c>
      <c r="LL43">
        <v>130.63999999999999</v>
      </c>
      <c r="LM43">
        <v>6.12</v>
      </c>
      <c r="LN43">
        <v>359.26</v>
      </c>
      <c r="LO43">
        <v>44.61</v>
      </c>
      <c r="LP43">
        <v>1316.76</v>
      </c>
      <c r="LQ43">
        <v>38.24</v>
      </c>
      <c r="LR43">
        <v>97.98</v>
      </c>
      <c r="LS43">
        <v>94.79</v>
      </c>
      <c r="LT43">
        <v>11.95</v>
      </c>
      <c r="LU43">
        <v>124.27</v>
      </c>
      <c r="LV43">
        <v>359.26</v>
      </c>
      <c r="LW43">
        <v>95.59</v>
      </c>
      <c r="LX43">
        <v>2191.41</v>
      </c>
      <c r="LY43">
        <v>932</v>
      </c>
      <c r="LZ43">
        <v>607</v>
      </c>
      <c r="MA43">
        <v>62.93</v>
      </c>
      <c r="MB43">
        <v>550.44000000000005</v>
      </c>
      <c r="MC43">
        <v>396.7</v>
      </c>
      <c r="MD43">
        <v>52.57</v>
      </c>
      <c r="ME43">
        <v>15.93</v>
      </c>
      <c r="MF43">
        <v>111.52</v>
      </c>
      <c r="MG43">
        <v>1179.74</v>
      </c>
      <c r="MH43">
        <v>557.61</v>
      </c>
      <c r="MI43">
        <v>7.97</v>
      </c>
      <c r="MJ43">
        <v>592.66</v>
      </c>
      <c r="MK43">
        <v>6.12</v>
      </c>
      <c r="ML43">
        <v>1799.49</v>
      </c>
      <c r="MM43">
        <v>1213.2</v>
      </c>
      <c r="MN43">
        <v>641.25</v>
      </c>
      <c r="MO43">
        <v>6.37</v>
      </c>
      <c r="MP43">
        <v>180.82</v>
      </c>
      <c r="MQ43">
        <v>146.57</v>
      </c>
      <c r="MR43">
        <v>6.37</v>
      </c>
      <c r="MS43">
        <v>141</v>
      </c>
      <c r="MT43">
        <v>381.56</v>
      </c>
      <c r="MU43">
        <v>41.42</v>
      </c>
      <c r="MV43">
        <v>12.75</v>
      </c>
      <c r="MW43">
        <v>94.79</v>
      </c>
      <c r="MX43">
        <v>74.88</v>
      </c>
      <c r="MY43">
        <v>15.93</v>
      </c>
      <c r="MZ43">
        <v>104.35</v>
      </c>
      <c r="NA43">
        <v>44.61</v>
      </c>
      <c r="NB43">
        <v>684.27</v>
      </c>
      <c r="NC43">
        <v>297.13</v>
      </c>
      <c r="ND43">
        <v>58.15</v>
      </c>
      <c r="NE43">
        <v>636.47</v>
      </c>
      <c r="NF43">
        <v>6.12</v>
      </c>
      <c r="NG43">
        <v>8.76</v>
      </c>
      <c r="NH43">
        <v>212.69</v>
      </c>
      <c r="NI43">
        <v>1451.38</v>
      </c>
      <c r="NJ43">
        <v>32.659999999999997</v>
      </c>
      <c r="NK43">
        <v>72.489999999999995</v>
      </c>
      <c r="NL43">
        <v>156.93</v>
      </c>
      <c r="NM43">
        <v>1232.32</v>
      </c>
      <c r="NN43">
        <v>47.8</v>
      </c>
      <c r="NO43">
        <v>30.27</v>
      </c>
      <c r="NP43">
        <v>6.12</v>
      </c>
      <c r="NQ43">
        <v>4235.4399999999996</v>
      </c>
      <c r="NR43">
        <v>1387.65</v>
      </c>
      <c r="NS43">
        <v>286.77</v>
      </c>
      <c r="NT43">
        <v>296.33</v>
      </c>
      <c r="NU43">
        <v>919.26</v>
      </c>
      <c r="NV43">
        <v>471.58</v>
      </c>
      <c r="NW43">
        <v>148.16</v>
      </c>
      <c r="NX43">
        <v>153.74</v>
      </c>
      <c r="NY43">
        <v>158.52000000000001</v>
      </c>
      <c r="NZ43">
        <v>379.97</v>
      </c>
      <c r="OA43">
        <v>61.34</v>
      </c>
      <c r="OB43">
        <v>203.93</v>
      </c>
      <c r="OC43">
        <v>323.41000000000003</v>
      </c>
      <c r="OD43">
        <v>64.52</v>
      </c>
      <c r="OE43">
        <v>2864.52</v>
      </c>
      <c r="OF43">
        <v>9.56</v>
      </c>
      <c r="OG43">
        <v>602.22</v>
      </c>
      <c r="OH43">
        <v>90.81</v>
      </c>
      <c r="OI43">
        <v>37.44</v>
      </c>
      <c r="OJ43">
        <v>42.22</v>
      </c>
      <c r="OK43">
        <v>1360.57</v>
      </c>
      <c r="OL43">
        <v>203.93</v>
      </c>
      <c r="OM43">
        <v>369.62</v>
      </c>
      <c r="ON43">
        <v>97.18</v>
      </c>
      <c r="OO43">
        <v>1580.42</v>
      </c>
      <c r="OP43">
        <v>129.84</v>
      </c>
      <c r="OQ43">
        <v>844.38</v>
      </c>
      <c r="OR43">
        <v>6.12</v>
      </c>
      <c r="OS43">
        <v>561.59</v>
      </c>
      <c r="OT43">
        <v>702.59</v>
      </c>
      <c r="OU43">
        <v>122.67</v>
      </c>
      <c r="OV43">
        <v>1149.47</v>
      </c>
      <c r="OW43">
        <v>19.12</v>
      </c>
      <c r="OX43">
        <v>39.83</v>
      </c>
      <c r="OY43">
        <v>6.12</v>
      </c>
      <c r="OZ43">
        <v>9.56</v>
      </c>
      <c r="PA43">
        <v>7.97</v>
      </c>
      <c r="PB43">
        <v>45.41</v>
      </c>
      <c r="PC43">
        <v>11.95</v>
      </c>
      <c r="PD43">
        <v>32.659999999999997</v>
      </c>
      <c r="PE43">
        <v>25.49</v>
      </c>
      <c r="PF43">
        <v>325.8</v>
      </c>
      <c r="PG43">
        <v>15.93</v>
      </c>
      <c r="PH43">
        <v>46.2</v>
      </c>
      <c r="PI43">
        <v>36.64</v>
      </c>
      <c r="PJ43">
        <v>2124.4899999999998</v>
      </c>
      <c r="PK43">
        <v>1161.42</v>
      </c>
      <c r="PL43">
        <v>20.71</v>
      </c>
      <c r="PM43">
        <v>14138.59</v>
      </c>
      <c r="PN43">
        <v>245.35</v>
      </c>
      <c r="PO43">
        <v>22.3</v>
      </c>
      <c r="PP43">
        <v>1823.38</v>
      </c>
      <c r="PQ43">
        <v>27.88</v>
      </c>
      <c r="PR43">
        <v>16.73</v>
      </c>
      <c r="PS43">
        <v>9.56</v>
      </c>
      <c r="PT43">
        <v>7.97</v>
      </c>
      <c r="PU43">
        <v>63.73</v>
      </c>
      <c r="PV43">
        <v>79.66</v>
      </c>
      <c r="PW43">
        <v>53.37</v>
      </c>
      <c r="PX43">
        <v>7.97</v>
      </c>
      <c r="PY43">
        <v>293.94</v>
      </c>
      <c r="PZ43">
        <v>52.57</v>
      </c>
      <c r="QA43">
        <v>215.08</v>
      </c>
      <c r="QB43">
        <v>1451.38</v>
      </c>
      <c r="QC43">
        <v>187.99</v>
      </c>
      <c r="QD43">
        <v>152.15</v>
      </c>
      <c r="QE43">
        <v>750.38</v>
      </c>
      <c r="QF43">
        <v>183.21</v>
      </c>
      <c r="QG43">
        <v>11.15</v>
      </c>
      <c r="QH43">
        <v>6.12</v>
      </c>
      <c r="QI43">
        <v>37.44</v>
      </c>
      <c r="QJ43">
        <v>100.37</v>
      </c>
      <c r="QK43">
        <v>10.36</v>
      </c>
      <c r="QL43">
        <v>548.85</v>
      </c>
      <c r="QM43">
        <v>942.36</v>
      </c>
      <c r="QN43">
        <v>815.7</v>
      </c>
      <c r="QO43">
        <v>14.34</v>
      </c>
      <c r="QP43">
        <v>27.08</v>
      </c>
      <c r="QQ43">
        <v>191.98</v>
      </c>
      <c r="QR43">
        <v>15.14</v>
      </c>
      <c r="QS43">
        <v>2439.94</v>
      </c>
      <c r="QT43">
        <v>591.86</v>
      </c>
      <c r="QU43">
        <v>17.52</v>
      </c>
      <c r="QV43">
        <v>122.67</v>
      </c>
      <c r="QW43">
        <v>189.59</v>
      </c>
      <c r="QX43">
        <v>50.98</v>
      </c>
      <c r="QY43">
        <v>15.93</v>
      </c>
      <c r="QZ43">
        <v>11.15</v>
      </c>
      <c r="RA43">
        <v>179.23</v>
      </c>
      <c r="RB43">
        <v>7227.42</v>
      </c>
      <c r="RC43">
        <v>191.18</v>
      </c>
      <c r="RD43">
        <v>1189.3</v>
      </c>
      <c r="RE43">
        <v>78.069999999999993</v>
      </c>
      <c r="RF43">
        <v>138.61000000000001</v>
      </c>
      <c r="RG43">
        <v>336.96</v>
      </c>
      <c r="RH43">
        <v>19.12</v>
      </c>
      <c r="RI43">
        <v>6.12</v>
      </c>
      <c r="RJ43">
        <v>36.64</v>
      </c>
      <c r="RK43">
        <v>7.97</v>
      </c>
      <c r="RL43">
        <v>329.79</v>
      </c>
      <c r="RM43">
        <v>189.59</v>
      </c>
      <c r="RN43">
        <v>288.36</v>
      </c>
      <c r="RO43">
        <v>219.06</v>
      </c>
      <c r="RP43">
        <v>393.51</v>
      </c>
      <c r="RQ43">
        <v>327.39999999999998</v>
      </c>
      <c r="RR43">
        <v>17.52</v>
      </c>
      <c r="RS43">
        <v>483.53</v>
      </c>
      <c r="RT43">
        <v>304.3</v>
      </c>
      <c r="RU43">
        <v>18.32</v>
      </c>
      <c r="RV43">
        <v>11.95</v>
      </c>
      <c r="RW43">
        <v>1403.58</v>
      </c>
      <c r="RX43">
        <v>6336.04</v>
      </c>
      <c r="RY43">
        <v>619.74</v>
      </c>
      <c r="RZ43">
        <v>90.81</v>
      </c>
      <c r="SA43">
        <v>291.55</v>
      </c>
      <c r="SB43">
        <v>27.08</v>
      </c>
      <c r="SC43">
        <v>39.03</v>
      </c>
      <c r="SD43">
        <v>1517.49</v>
      </c>
      <c r="SE43">
        <v>724.89</v>
      </c>
      <c r="SF43">
        <v>778.26</v>
      </c>
      <c r="SG43">
        <v>6019.79</v>
      </c>
      <c r="SH43">
        <v>125.06</v>
      </c>
      <c r="SI43">
        <v>8.76</v>
      </c>
      <c r="SJ43">
        <v>70.900000000000006</v>
      </c>
      <c r="SK43">
        <v>23.1</v>
      </c>
      <c r="SL43">
        <v>79.66</v>
      </c>
      <c r="SM43">
        <v>11.95</v>
      </c>
      <c r="SN43">
        <v>391.92</v>
      </c>
      <c r="SO43">
        <v>6.12</v>
      </c>
      <c r="SP43">
        <v>280.39999999999998</v>
      </c>
      <c r="SQ43">
        <v>2076.6999999999998</v>
      </c>
      <c r="SR43">
        <v>838.01</v>
      </c>
      <c r="SS43">
        <v>415.02</v>
      </c>
      <c r="ST43">
        <v>240.57</v>
      </c>
      <c r="SU43">
        <v>177.64</v>
      </c>
      <c r="SV43">
        <v>158.52000000000001</v>
      </c>
      <c r="SW43">
        <v>46.2</v>
      </c>
      <c r="SX43">
        <v>85.23</v>
      </c>
      <c r="SY43">
        <v>148.16</v>
      </c>
      <c r="SZ43">
        <v>6.12</v>
      </c>
      <c r="TA43">
        <v>11.15</v>
      </c>
      <c r="TB43">
        <v>2808.76</v>
      </c>
      <c r="TC43">
        <v>884.21</v>
      </c>
      <c r="TD43">
        <v>29.47</v>
      </c>
      <c r="TE43">
        <v>681.88</v>
      </c>
      <c r="TF43">
        <v>383.16</v>
      </c>
      <c r="TG43">
        <v>332.18</v>
      </c>
      <c r="TH43">
        <v>65.319999999999993</v>
      </c>
      <c r="TI43">
        <v>43.02</v>
      </c>
      <c r="TJ43">
        <v>9.56</v>
      </c>
      <c r="TK43">
        <v>25.49</v>
      </c>
      <c r="TL43">
        <v>109.13</v>
      </c>
      <c r="TM43">
        <v>67.709999999999994</v>
      </c>
      <c r="TN43">
        <v>339.35</v>
      </c>
      <c r="TO43">
        <v>1292.8599999999999</v>
      </c>
      <c r="TP43">
        <v>1036.3599999999999</v>
      </c>
      <c r="TQ43">
        <v>233.4</v>
      </c>
      <c r="TR43">
        <v>7.17</v>
      </c>
      <c r="TS43">
        <v>771.89</v>
      </c>
      <c r="TT43">
        <v>31.07</v>
      </c>
      <c r="TU43">
        <v>26.29</v>
      </c>
      <c r="TV43">
        <v>325.01</v>
      </c>
      <c r="TW43">
        <v>765.52</v>
      </c>
      <c r="TX43">
        <v>210.3</v>
      </c>
      <c r="TY43">
        <v>35.049999999999997</v>
      </c>
      <c r="TZ43">
        <v>192.77</v>
      </c>
      <c r="UA43">
        <v>152.15</v>
      </c>
      <c r="UB43">
        <v>70.099999999999994</v>
      </c>
      <c r="UC43">
        <v>7742.01</v>
      </c>
      <c r="UD43">
        <v>7.97</v>
      </c>
      <c r="UE43">
        <v>18.32</v>
      </c>
      <c r="UF43">
        <v>2995.16</v>
      </c>
      <c r="UG43">
        <v>167.28</v>
      </c>
      <c r="UH43">
        <v>6.37</v>
      </c>
      <c r="UI43">
        <v>30.27</v>
      </c>
      <c r="UJ43">
        <v>37.44</v>
      </c>
      <c r="UK43">
        <v>12.75</v>
      </c>
      <c r="UL43">
        <v>6.37</v>
      </c>
      <c r="UM43">
        <v>76.47</v>
      </c>
      <c r="UN43">
        <v>144.18</v>
      </c>
      <c r="UO43">
        <v>144.97999999999999</v>
      </c>
      <c r="UP43">
        <v>6.12</v>
      </c>
      <c r="UQ43">
        <v>6.12</v>
      </c>
      <c r="UR43">
        <v>6.12</v>
      </c>
      <c r="US43">
        <v>58.15</v>
      </c>
      <c r="UT43">
        <v>56.56</v>
      </c>
      <c r="UU43">
        <v>352.89</v>
      </c>
      <c r="UV43">
        <v>200.74</v>
      </c>
      <c r="UW43">
        <v>121.08</v>
      </c>
      <c r="UX43">
        <v>29.47</v>
      </c>
      <c r="UY43">
        <v>592.66</v>
      </c>
      <c r="UZ43">
        <v>71.69</v>
      </c>
      <c r="VA43">
        <v>3997.26</v>
      </c>
      <c r="VB43">
        <v>807.74</v>
      </c>
      <c r="VC43">
        <v>68.510000000000005</v>
      </c>
      <c r="VD43">
        <v>184.01</v>
      </c>
      <c r="VE43">
        <v>43.02</v>
      </c>
      <c r="VF43">
        <v>464.41</v>
      </c>
      <c r="VG43">
        <v>7.97</v>
      </c>
      <c r="VH43">
        <v>19.91</v>
      </c>
      <c r="VI43">
        <v>162.5</v>
      </c>
      <c r="VJ43">
        <v>8.76</v>
      </c>
      <c r="VK43">
        <v>520.97</v>
      </c>
      <c r="VL43">
        <v>532.91999999999996</v>
      </c>
      <c r="VM43">
        <v>902.53</v>
      </c>
      <c r="VN43">
        <v>514.59</v>
      </c>
      <c r="VO43">
        <v>6.37</v>
      </c>
      <c r="VP43">
        <v>6.12</v>
      </c>
      <c r="VQ43">
        <v>920.85</v>
      </c>
      <c r="VR43">
        <v>348.9</v>
      </c>
      <c r="VS43">
        <v>383.16</v>
      </c>
      <c r="VT43">
        <v>12.75</v>
      </c>
      <c r="VU43">
        <v>45.41</v>
      </c>
      <c r="VV43">
        <v>7.97</v>
      </c>
      <c r="VW43">
        <v>219.86</v>
      </c>
      <c r="VX43">
        <v>179.23</v>
      </c>
      <c r="VY43">
        <v>114.71</v>
      </c>
      <c r="VZ43">
        <v>10977.74</v>
      </c>
      <c r="WA43">
        <v>8257.4</v>
      </c>
      <c r="WB43">
        <v>340.94</v>
      </c>
      <c r="WC43">
        <v>184.01</v>
      </c>
      <c r="WD43">
        <v>37.44</v>
      </c>
      <c r="WE43">
        <v>209.5</v>
      </c>
      <c r="WF43">
        <v>287.57</v>
      </c>
      <c r="WG43">
        <v>93.2</v>
      </c>
      <c r="WH43">
        <v>125564.12</v>
      </c>
      <c r="WI43">
        <v>138819.29999999999</v>
      </c>
      <c r="WJ43">
        <v>200.74</v>
      </c>
      <c r="WK43">
        <v>152.15</v>
      </c>
      <c r="WL43">
        <v>900.94</v>
      </c>
      <c r="WM43">
        <v>15.14</v>
      </c>
      <c r="WN43">
        <v>20.71</v>
      </c>
      <c r="WO43">
        <v>6.12</v>
      </c>
      <c r="WP43">
        <v>101.96</v>
      </c>
      <c r="WQ43">
        <v>1100.08</v>
      </c>
      <c r="WR43">
        <v>459.63</v>
      </c>
      <c r="WS43">
        <v>91.61</v>
      </c>
      <c r="WT43">
        <v>103.56</v>
      </c>
      <c r="WU43">
        <v>730.47</v>
      </c>
      <c r="WV43">
        <v>998.12</v>
      </c>
      <c r="WW43">
        <v>7.17</v>
      </c>
      <c r="WX43">
        <v>101.17</v>
      </c>
      <c r="WY43">
        <v>20.71</v>
      </c>
      <c r="WZ43">
        <v>10.36</v>
      </c>
      <c r="XA43">
        <v>6.12</v>
      </c>
      <c r="XB43">
        <v>299.52</v>
      </c>
      <c r="XC43">
        <v>6.37</v>
      </c>
      <c r="XD43">
        <v>132.22999999999999</v>
      </c>
      <c r="XE43">
        <v>238.18</v>
      </c>
      <c r="XF43">
        <v>773.48</v>
      </c>
      <c r="XG43">
        <v>724.1</v>
      </c>
      <c r="XH43">
        <v>289.95999999999998</v>
      </c>
      <c r="XI43">
        <v>422.19</v>
      </c>
      <c r="XJ43">
        <v>315.45</v>
      </c>
      <c r="XK43">
        <v>672.32</v>
      </c>
      <c r="XL43">
        <v>117.89</v>
      </c>
      <c r="XM43">
        <v>11.15</v>
      </c>
      <c r="XN43">
        <v>104.35</v>
      </c>
      <c r="XO43">
        <v>9.56</v>
      </c>
      <c r="XP43">
        <v>7.17</v>
      </c>
      <c r="XQ43">
        <v>11.15</v>
      </c>
      <c r="XR43">
        <v>6.12</v>
      </c>
      <c r="XS43">
        <v>6594.13</v>
      </c>
      <c r="XT43">
        <v>44.61</v>
      </c>
      <c r="XU43">
        <v>377.58</v>
      </c>
      <c r="XV43">
        <v>364.04</v>
      </c>
      <c r="XW43">
        <v>322.62</v>
      </c>
      <c r="XX43">
        <v>705.77</v>
      </c>
      <c r="XY43">
        <v>2237.61</v>
      </c>
      <c r="XZ43">
        <v>78.069999999999993</v>
      </c>
      <c r="YA43">
        <v>1004.49</v>
      </c>
      <c r="YB43">
        <v>251.72</v>
      </c>
      <c r="YC43">
        <v>18.32</v>
      </c>
      <c r="YD43">
        <v>732.06</v>
      </c>
      <c r="YE43">
        <v>159.32</v>
      </c>
      <c r="YF43">
        <v>454.05</v>
      </c>
      <c r="YG43">
        <v>18.32</v>
      </c>
      <c r="YH43">
        <v>7.97</v>
      </c>
      <c r="YI43">
        <v>39.03</v>
      </c>
      <c r="YJ43">
        <v>331.38</v>
      </c>
      <c r="YK43">
        <v>6.12</v>
      </c>
      <c r="YL43">
        <v>362.45</v>
      </c>
      <c r="YM43">
        <v>2314.08</v>
      </c>
      <c r="YN43">
        <v>118.69</v>
      </c>
      <c r="YO43">
        <v>210.3</v>
      </c>
      <c r="YP43">
        <v>1293.6500000000001</v>
      </c>
      <c r="YQ43">
        <v>117.1</v>
      </c>
      <c r="YR43">
        <v>97.98</v>
      </c>
      <c r="YS43">
        <v>1860.03</v>
      </c>
      <c r="YT43">
        <v>97.18</v>
      </c>
      <c r="YU43">
        <v>381.56</v>
      </c>
      <c r="YV43">
        <v>14.34</v>
      </c>
      <c r="YW43">
        <v>26.29</v>
      </c>
      <c r="YX43">
        <v>21.51</v>
      </c>
      <c r="YY43">
        <v>661.17</v>
      </c>
      <c r="YZ43">
        <v>16.73</v>
      </c>
      <c r="ZA43">
        <v>66.91</v>
      </c>
      <c r="ZB43">
        <v>34.25</v>
      </c>
      <c r="ZC43">
        <v>9.56</v>
      </c>
      <c r="ZD43">
        <v>71.69</v>
      </c>
      <c r="ZE43">
        <v>40.630000000000003</v>
      </c>
      <c r="ZF43">
        <v>130.63999999999999</v>
      </c>
      <c r="ZG43">
        <v>168.08</v>
      </c>
      <c r="ZH43">
        <v>100.37</v>
      </c>
      <c r="ZI43">
        <v>361.65</v>
      </c>
      <c r="ZJ43">
        <v>1204.44</v>
      </c>
      <c r="ZK43">
        <v>278.01</v>
      </c>
      <c r="ZL43">
        <v>6.12</v>
      </c>
      <c r="ZM43">
        <v>115.5</v>
      </c>
      <c r="ZN43">
        <v>129.05000000000001</v>
      </c>
      <c r="ZO43">
        <v>31.86</v>
      </c>
      <c r="ZP43">
        <v>246.94</v>
      </c>
      <c r="ZQ43">
        <v>12.75</v>
      </c>
      <c r="ZR43">
        <v>12.75</v>
      </c>
      <c r="ZS43">
        <v>482.73</v>
      </c>
      <c r="ZT43">
        <v>137.81</v>
      </c>
      <c r="ZU43">
        <v>553.63</v>
      </c>
      <c r="ZV43">
        <v>7.17</v>
      </c>
      <c r="ZW43">
        <v>13.54</v>
      </c>
      <c r="ZX43">
        <v>39.03</v>
      </c>
      <c r="ZY43">
        <v>2118.92</v>
      </c>
      <c r="ZZ43">
        <v>50.18</v>
      </c>
      <c r="AAA43">
        <v>16.73</v>
      </c>
      <c r="AAB43">
        <v>51.78</v>
      </c>
      <c r="AAC43">
        <v>15.93</v>
      </c>
      <c r="AAD43">
        <v>27.08</v>
      </c>
      <c r="AAE43">
        <v>25.49</v>
      </c>
      <c r="AAF43">
        <v>21.51</v>
      </c>
      <c r="AAG43">
        <v>202.33</v>
      </c>
      <c r="AAH43">
        <v>110.73</v>
      </c>
      <c r="AAI43">
        <v>2019.34</v>
      </c>
      <c r="AAJ43">
        <v>361.65</v>
      </c>
      <c r="AAK43">
        <v>377.58</v>
      </c>
      <c r="AAL43">
        <v>138.61000000000001</v>
      </c>
      <c r="AAM43">
        <v>14.34</v>
      </c>
      <c r="AAN43">
        <v>199.15</v>
      </c>
      <c r="AAO43">
        <v>47</v>
      </c>
      <c r="AAP43">
        <v>113.91</v>
      </c>
      <c r="AAQ43">
        <v>6.12</v>
      </c>
      <c r="AAR43">
        <v>52.57</v>
      </c>
      <c r="AAS43">
        <v>1290.47</v>
      </c>
      <c r="AAT43">
        <v>28.68</v>
      </c>
      <c r="AAU43">
        <v>6.12</v>
      </c>
      <c r="AAV43">
        <v>1448.19</v>
      </c>
      <c r="AAW43">
        <v>14.34</v>
      </c>
      <c r="AAX43">
        <v>47</v>
      </c>
      <c r="AAY43">
        <v>18.32</v>
      </c>
      <c r="AAZ43">
        <v>18.32</v>
      </c>
      <c r="ABA43">
        <v>67.709999999999994</v>
      </c>
      <c r="ABB43">
        <v>17.52</v>
      </c>
      <c r="ABC43">
        <v>753.57</v>
      </c>
      <c r="ABD43">
        <v>3391.86</v>
      </c>
      <c r="ABE43">
        <v>280.39999999999998</v>
      </c>
      <c r="ABF43">
        <v>180.82</v>
      </c>
      <c r="ABG43">
        <v>113.12</v>
      </c>
      <c r="ABH43">
        <v>65.319999999999993</v>
      </c>
      <c r="ABI43">
        <v>11.15</v>
      </c>
      <c r="ABJ43">
        <v>32.659999999999997</v>
      </c>
      <c r="ABK43">
        <v>39.03</v>
      </c>
      <c r="ABL43">
        <v>8.76</v>
      </c>
      <c r="ABM43">
        <v>80.459999999999994</v>
      </c>
      <c r="ABN43">
        <v>164.89</v>
      </c>
      <c r="ABO43">
        <v>6.12</v>
      </c>
      <c r="ABP43">
        <v>15.14</v>
      </c>
      <c r="ABQ43">
        <v>387.94</v>
      </c>
      <c r="ABR43">
        <v>23.1</v>
      </c>
      <c r="ABS43">
        <v>994.14</v>
      </c>
      <c r="ABT43">
        <v>31.86</v>
      </c>
      <c r="ABU43">
        <v>45.41</v>
      </c>
      <c r="ABV43">
        <v>163.30000000000001</v>
      </c>
      <c r="ABW43">
        <v>332.97</v>
      </c>
      <c r="ABX43">
        <v>556.80999999999995</v>
      </c>
      <c r="ABY43">
        <v>358.46</v>
      </c>
      <c r="ABZ43">
        <v>140.19999999999999</v>
      </c>
      <c r="ACA43">
        <v>446.88</v>
      </c>
      <c r="ACB43">
        <v>173.66</v>
      </c>
      <c r="ACC43">
        <v>238.98</v>
      </c>
      <c r="ACD43">
        <v>321.02</v>
      </c>
      <c r="ACE43">
        <v>117.1</v>
      </c>
      <c r="ACF43">
        <v>4413.88</v>
      </c>
      <c r="ACG43">
        <v>1593.17</v>
      </c>
      <c r="ACH43">
        <v>242.96</v>
      </c>
      <c r="ACI43">
        <v>486.71</v>
      </c>
      <c r="ACJ43">
        <v>622.13</v>
      </c>
      <c r="ACK43">
        <v>461.22</v>
      </c>
      <c r="ACL43">
        <v>68.510000000000005</v>
      </c>
      <c r="ACM43">
        <v>269.25</v>
      </c>
      <c r="ACN43">
        <v>396.7</v>
      </c>
      <c r="ACO43">
        <v>1082.56</v>
      </c>
      <c r="ACP43">
        <v>422.19</v>
      </c>
      <c r="ACQ43">
        <v>274.82</v>
      </c>
      <c r="ACR43">
        <v>2580.94</v>
      </c>
    </row>
    <row r="44" spans="1:772" x14ac:dyDescent="0.3">
      <c r="A44" t="s">
        <v>19</v>
      </c>
      <c r="B44" t="s">
        <v>1</v>
      </c>
      <c r="C44">
        <v>1750.51</v>
      </c>
      <c r="D44">
        <v>38.770000000000003</v>
      </c>
      <c r="E44">
        <v>1800.21</v>
      </c>
      <c r="F44">
        <v>5.09</v>
      </c>
      <c r="G44">
        <v>2113.33</v>
      </c>
      <c r="H44">
        <v>160.04</v>
      </c>
      <c r="I44">
        <v>1528.83</v>
      </c>
      <c r="J44">
        <v>11895.68</v>
      </c>
      <c r="K44">
        <v>792.25</v>
      </c>
      <c r="L44">
        <v>34.79</v>
      </c>
      <c r="M44">
        <v>731.61</v>
      </c>
      <c r="N44">
        <v>1838.97</v>
      </c>
      <c r="O44">
        <v>25.85</v>
      </c>
      <c r="P44">
        <v>394.63</v>
      </c>
      <c r="Q44">
        <v>71.569999999999993</v>
      </c>
      <c r="R44">
        <v>928.43</v>
      </c>
      <c r="S44">
        <v>144.13999999999999</v>
      </c>
      <c r="T44">
        <v>1040.76</v>
      </c>
      <c r="U44">
        <v>208.75</v>
      </c>
      <c r="V44">
        <v>414.51</v>
      </c>
      <c r="W44">
        <v>451.29</v>
      </c>
      <c r="X44">
        <v>5.09</v>
      </c>
      <c r="Y44">
        <v>278.33</v>
      </c>
      <c r="Z44">
        <v>484.1</v>
      </c>
      <c r="AA44">
        <v>68.59</v>
      </c>
      <c r="AB44">
        <v>813.12</v>
      </c>
      <c r="AC44">
        <v>734.6</v>
      </c>
      <c r="AD44">
        <v>114.31</v>
      </c>
      <c r="AE44">
        <v>549.70000000000005</v>
      </c>
      <c r="AF44">
        <v>22812.23</v>
      </c>
      <c r="AG44">
        <v>182.9</v>
      </c>
      <c r="AH44">
        <v>38.770000000000003</v>
      </c>
      <c r="AI44">
        <v>69.58</v>
      </c>
      <c r="AJ44">
        <v>594.44000000000005</v>
      </c>
      <c r="AK44">
        <v>144.13999999999999</v>
      </c>
      <c r="AL44">
        <v>144.13999999999999</v>
      </c>
      <c r="AM44">
        <v>289.27</v>
      </c>
      <c r="AN44">
        <v>118.29</v>
      </c>
      <c r="AO44">
        <v>826.05</v>
      </c>
      <c r="AP44">
        <v>197.81</v>
      </c>
      <c r="AQ44">
        <v>169.98</v>
      </c>
      <c r="AR44">
        <v>27.83</v>
      </c>
      <c r="AS44">
        <v>49.7</v>
      </c>
      <c r="AT44">
        <v>25.85</v>
      </c>
      <c r="AU44">
        <v>11.93</v>
      </c>
      <c r="AV44">
        <v>667</v>
      </c>
      <c r="AW44">
        <v>556.66</v>
      </c>
      <c r="AX44">
        <v>4058.67</v>
      </c>
      <c r="AY44">
        <v>26.84</v>
      </c>
      <c r="AZ44">
        <v>54.67</v>
      </c>
      <c r="BA44">
        <v>367.79</v>
      </c>
      <c r="BB44">
        <v>518.89</v>
      </c>
      <c r="BC44">
        <v>16.899999999999999</v>
      </c>
      <c r="BD44">
        <v>14.91</v>
      </c>
      <c r="BE44">
        <v>229.62</v>
      </c>
      <c r="BF44">
        <v>271.37</v>
      </c>
      <c r="BG44">
        <v>54.67</v>
      </c>
      <c r="BH44">
        <v>13.92</v>
      </c>
      <c r="BI44">
        <v>33.799999999999997</v>
      </c>
      <c r="BJ44">
        <v>5.09</v>
      </c>
      <c r="BK44">
        <v>227.64</v>
      </c>
      <c r="BL44">
        <v>498.01</v>
      </c>
      <c r="BM44">
        <v>80.52</v>
      </c>
      <c r="BN44">
        <v>99.4</v>
      </c>
      <c r="BO44">
        <v>33.799999999999997</v>
      </c>
      <c r="BP44">
        <v>52.68</v>
      </c>
      <c r="BQ44">
        <v>125.25</v>
      </c>
      <c r="BR44">
        <v>115.31</v>
      </c>
      <c r="BS44">
        <v>154.08000000000001</v>
      </c>
      <c r="BT44">
        <v>1934.4</v>
      </c>
      <c r="BU44">
        <v>623.26</v>
      </c>
      <c r="BV44">
        <v>140.16</v>
      </c>
      <c r="BW44">
        <v>848.91</v>
      </c>
      <c r="BX44">
        <v>853.88</v>
      </c>
      <c r="BY44">
        <v>300.2</v>
      </c>
      <c r="BZ44">
        <v>367.79</v>
      </c>
      <c r="CA44">
        <v>107.36</v>
      </c>
      <c r="CB44">
        <v>26.84</v>
      </c>
      <c r="CC44">
        <v>42.74</v>
      </c>
      <c r="CD44">
        <v>59.64</v>
      </c>
      <c r="CE44">
        <v>448.31</v>
      </c>
      <c r="CF44">
        <v>643.14</v>
      </c>
      <c r="CG44">
        <v>56.66</v>
      </c>
      <c r="CH44">
        <v>102.39</v>
      </c>
      <c r="CI44">
        <v>5.09</v>
      </c>
      <c r="CJ44">
        <v>7.95</v>
      </c>
      <c r="CK44">
        <v>74.55</v>
      </c>
      <c r="CL44">
        <v>72.56</v>
      </c>
      <c r="CM44">
        <v>561.63</v>
      </c>
      <c r="CN44">
        <v>147.12</v>
      </c>
      <c r="CO44">
        <v>86.48</v>
      </c>
      <c r="CP44">
        <v>6.96</v>
      </c>
      <c r="CQ44">
        <v>52.68</v>
      </c>
      <c r="CR44">
        <v>53.68</v>
      </c>
      <c r="CS44">
        <v>5.09</v>
      </c>
      <c r="CT44">
        <v>31.81</v>
      </c>
      <c r="CU44">
        <v>85.49</v>
      </c>
      <c r="CV44">
        <v>62.62</v>
      </c>
      <c r="CW44">
        <v>2587.4899999999998</v>
      </c>
      <c r="CX44">
        <v>51.69</v>
      </c>
      <c r="CY44">
        <v>182.9</v>
      </c>
      <c r="CZ44">
        <v>60.64</v>
      </c>
      <c r="DA44">
        <v>16.899999999999999</v>
      </c>
      <c r="DB44">
        <v>131.21</v>
      </c>
      <c r="DC44">
        <v>124.26</v>
      </c>
      <c r="DD44">
        <v>22.86</v>
      </c>
      <c r="DE44">
        <v>39.76</v>
      </c>
      <c r="DF44">
        <v>451.29</v>
      </c>
      <c r="DG44">
        <v>5.09</v>
      </c>
      <c r="DH44">
        <v>4167.0200000000004</v>
      </c>
      <c r="DI44">
        <v>54.67</v>
      </c>
      <c r="DJ44">
        <v>52.68</v>
      </c>
      <c r="DK44">
        <v>243.54</v>
      </c>
      <c r="DL44">
        <v>1743.55</v>
      </c>
      <c r="DM44">
        <v>168.99</v>
      </c>
      <c r="DN44">
        <v>38.770000000000003</v>
      </c>
      <c r="DO44">
        <v>60.64</v>
      </c>
      <c r="DP44">
        <v>40.76</v>
      </c>
      <c r="DQ44">
        <v>3055.68</v>
      </c>
      <c r="DR44">
        <v>55.67</v>
      </c>
      <c r="DS44">
        <v>25.85</v>
      </c>
      <c r="DT44">
        <v>18.89</v>
      </c>
      <c r="DU44">
        <v>4384.71</v>
      </c>
      <c r="DV44">
        <v>60.64</v>
      </c>
      <c r="DW44">
        <v>23.86</v>
      </c>
      <c r="DX44">
        <v>59.64</v>
      </c>
      <c r="DY44">
        <v>171.97</v>
      </c>
      <c r="DZ44">
        <v>59.64</v>
      </c>
      <c r="EA44">
        <v>51.69</v>
      </c>
      <c r="EB44">
        <v>33.799999999999997</v>
      </c>
      <c r="EC44">
        <v>69.58</v>
      </c>
      <c r="ED44">
        <v>8.9499999999999993</v>
      </c>
      <c r="EE44">
        <v>5.09</v>
      </c>
      <c r="EF44">
        <v>1547.72</v>
      </c>
      <c r="EG44">
        <v>1506.97</v>
      </c>
      <c r="EH44">
        <v>38.770000000000003</v>
      </c>
      <c r="EI44">
        <v>294.24</v>
      </c>
      <c r="EJ44">
        <v>596.41999999999996</v>
      </c>
      <c r="EK44">
        <v>428.43</v>
      </c>
      <c r="EL44">
        <v>2890.67</v>
      </c>
      <c r="EM44">
        <v>471.18</v>
      </c>
      <c r="EN44">
        <v>50.7</v>
      </c>
      <c r="EO44">
        <v>171.97</v>
      </c>
      <c r="EP44">
        <v>19.88</v>
      </c>
      <c r="EQ44">
        <v>2907.57</v>
      </c>
      <c r="ER44">
        <v>17.89</v>
      </c>
      <c r="ES44">
        <v>19.88</v>
      </c>
      <c r="ET44">
        <v>8.9499999999999993</v>
      </c>
      <c r="EU44">
        <v>499.01</v>
      </c>
      <c r="EV44">
        <v>193.84</v>
      </c>
      <c r="EW44">
        <v>8.9499999999999993</v>
      </c>
      <c r="EX44">
        <v>163.02000000000001</v>
      </c>
      <c r="EY44">
        <v>35.79</v>
      </c>
      <c r="EZ44">
        <v>26.84</v>
      </c>
      <c r="FA44">
        <v>80.52</v>
      </c>
      <c r="FB44">
        <v>10.93</v>
      </c>
      <c r="FC44">
        <v>174.95</v>
      </c>
      <c r="FD44">
        <v>14.91</v>
      </c>
      <c r="FE44">
        <v>4582.53</v>
      </c>
      <c r="FF44">
        <v>34.79</v>
      </c>
      <c r="FG44">
        <v>2860.85</v>
      </c>
      <c r="FH44">
        <v>3463.24</v>
      </c>
      <c r="FI44">
        <v>22.86</v>
      </c>
      <c r="FJ44">
        <v>523.86</v>
      </c>
      <c r="FK44">
        <v>774.36</v>
      </c>
      <c r="FL44">
        <v>120.28</v>
      </c>
      <c r="FM44">
        <v>316.10000000000002</v>
      </c>
      <c r="FN44">
        <v>156.06</v>
      </c>
      <c r="FO44">
        <v>74.55</v>
      </c>
      <c r="FP44">
        <v>23.86</v>
      </c>
      <c r="FQ44">
        <v>15.9</v>
      </c>
      <c r="FR44">
        <v>9.94</v>
      </c>
      <c r="FS44">
        <v>5.09</v>
      </c>
      <c r="FT44">
        <v>40.76</v>
      </c>
      <c r="FU44">
        <v>2733.61</v>
      </c>
      <c r="FV44">
        <v>2119.29</v>
      </c>
      <c r="FW44">
        <v>7.95</v>
      </c>
      <c r="FX44">
        <v>41.75</v>
      </c>
      <c r="FY44">
        <v>9.94</v>
      </c>
      <c r="FZ44">
        <v>2297.23</v>
      </c>
      <c r="GA44">
        <v>195.83</v>
      </c>
      <c r="GB44">
        <v>36.78</v>
      </c>
      <c r="GC44">
        <v>43.74</v>
      </c>
      <c r="GD44">
        <v>556.66</v>
      </c>
      <c r="GE44">
        <v>852.89</v>
      </c>
      <c r="GF44">
        <v>207.75</v>
      </c>
      <c r="GG44">
        <v>1768.4</v>
      </c>
      <c r="GH44">
        <v>730.62</v>
      </c>
      <c r="GI44">
        <v>5038.79</v>
      </c>
      <c r="GJ44">
        <v>271.37</v>
      </c>
      <c r="GK44">
        <v>15131.28</v>
      </c>
      <c r="GL44">
        <v>185.89</v>
      </c>
      <c r="GM44">
        <v>8.9499999999999993</v>
      </c>
      <c r="GN44">
        <v>5.09</v>
      </c>
      <c r="GO44">
        <v>1516.91</v>
      </c>
      <c r="GP44">
        <v>29.82</v>
      </c>
      <c r="GQ44">
        <v>367.79</v>
      </c>
      <c r="GR44">
        <v>535.79</v>
      </c>
      <c r="GS44">
        <v>527.84</v>
      </c>
      <c r="GT44">
        <v>404.57</v>
      </c>
      <c r="GU44">
        <v>5.09</v>
      </c>
      <c r="GV44">
        <v>30.82</v>
      </c>
      <c r="GW44">
        <v>8.9499999999999993</v>
      </c>
      <c r="GX44">
        <v>259.44</v>
      </c>
      <c r="GY44">
        <v>227.64</v>
      </c>
      <c r="GZ44">
        <v>282.31</v>
      </c>
      <c r="HA44">
        <v>743.54</v>
      </c>
      <c r="HB44">
        <v>413.52</v>
      </c>
      <c r="HC44">
        <v>128.22999999999999</v>
      </c>
      <c r="HD44">
        <v>1158.06</v>
      </c>
      <c r="HE44">
        <v>29.82</v>
      </c>
      <c r="HF44">
        <v>2448.3200000000002</v>
      </c>
      <c r="HG44">
        <v>184.89</v>
      </c>
      <c r="HH44">
        <v>75.55</v>
      </c>
      <c r="HI44">
        <v>5.96</v>
      </c>
      <c r="HJ44">
        <v>545.73</v>
      </c>
      <c r="HK44">
        <v>4475.17</v>
      </c>
      <c r="HL44">
        <v>344.93</v>
      </c>
      <c r="HM44">
        <v>120.28</v>
      </c>
      <c r="HN44">
        <v>1712.73</v>
      </c>
      <c r="HO44">
        <v>5.09</v>
      </c>
      <c r="HP44">
        <v>70.58</v>
      </c>
      <c r="HQ44">
        <v>9771.42</v>
      </c>
      <c r="HR44">
        <v>225.65</v>
      </c>
      <c r="HS44">
        <v>31.81</v>
      </c>
      <c r="HT44">
        <v>55.67</v>
      </c>
      <c r="HU44">
        <v>321.08</v>
      </c>
      <c r="HV44">
        <v>105.37</v>
      </c>
      <c r="HW44">
        <v>3774.37</v>
      </c>
      <c r="HX44">
        <v>14.91</v>
      </c>
      <c r="HY44">
        <v>14.91</v>
      </c>
      <c r="HZ44">
        <v>105.37</v>
      </c>
      <c r="IA44">
        <v>94.43</v>
      </c>
      <c r="IB44">
        <v>100.4</v>
      </c>
      <c r="IC44">
        <v>47.71</v>
      </c>
      <c r="ID44">
        <v>24.85</v>
      </c>
      <c r="IE44">
        <v>26.84</v>
      </c>
      <c r="IF44">
        <v>1301.2</v>
      </c>
      <c r="IG44">
        <v>41.75</v>
      </c>
      <c r="IH44">
        <v>5.09</v>
      </c>
      <c r="II44">
        <v>311.13</v>
      </c>
      <c r="IJ44">
        <v>87.48</v>
      </c>
      <c r="IK44">
        <v>17.89</v>
      </c>
      <c r="IL44">
        <v>1008.95</v>
      </c>
      <c r="IM44">
        <v>298.20999999999998</v>
      </c>
      <c r="IN44">
        <v>63.62</v>
      </c>
      <c r="IO44">
        <v>752.49</v>
      </c>
      <c r="IP44">
        <v>73.56</v>
      </c>
      <c r="IQ44">
        <v>23.86</v>
      </c>
      <c r="IR44">
        <v>27.83</v>
      </c>
      <c r="IS44">
        <v>30.82</v>
      </c>
      <c r="IT44">
        <v>5.09</v>
      </c>
      <c r="IU44">
        <v>431.41</v>
      </c>
      <c r="IV44">
        <v>1001</v>
      </c>
      <c r="IW44">
        <v>1117.3</v>
      </c>
      <c r="IX44">
        <v>2355.88</v>
      </c>
      <c r="IY44">
        <v>81.510000000000005</v>
      </c>
      <c r="IZ44">
        <v>11.93</v>
      </c>
      <c r="JA44">
        <v>202.78</v>
      </c>
      <c r="JB44">
        <v>431.41</v>
      </c>
      <c r="JC44">
        <v>87.48</v>
      </c>
      <c r="JD44">
        <v>572.57000000000005</v>
      </c>
      <c r="JE44">
        <v>42.74</v>
      </c>
      <c r="JF44">
        <v>17.89</v>
      </c>
      <c r="JG44">
        <v>75.55</v>
      </c>
      <c r="JH44">
        <v>177.93</v>
      </c>
      <c r="JI44">
        <v>436.38</v>
      </c>
      <c r="JJ44">
        <v>139.16999999999999</v>
      </c>
      <c r="JK44">
        <v>39.76</v>
      </c>
      <c r="JL44">
        <v>232.61</v>
      </c>
      <c r="JM44">
        <v>52.68</v>
      </c>
      <c r="JN44">
        <v>7.95</v>
      </c>
      <c r="JO44">
        <v>281.31</v>
      </c>
      <c r="JP44">
        <v>897.62</v>
      </c>
      <c r="JQ44">
        <v>3390.67</v>
      </c>
      <c r="JR44">
        <v>16.899999999999999</v>
      </c>
      <c r="JS44">
        <v>10.93</v>
      </c>
      <c r="JT44">
        <v>155.07</v>
      </c>
      <c r="JU44">
        <v>185.89</v>
      </c>
      <c r="JV44">
        <v>328.03</v>
      </c>
      <c r="JW44">
        <v>113.32</v>
      </c>
      <c r="JX44">
        <v>104.37</v>
      </c>
      <c r="JY44">
        <v>334</v>
      </c>
      <c r="JZ44">
        <v>14.91</v>
      </c>
      <c r="KA44">
        <v>5.96</v>
      </c>
      <c r="KB44">
        <v>12.92</v>
      </c>
      <c r="KC44">
        <v>30.82</v>
      </c>
      <c r="KD44">
        <v>22.86</v>
      </c>
      <c r="KE44">
        <v>172.96</v>
      </c>
      <c r="KF44">
        <v>67.59</v>
      </c>
      <c r="KG44">
        <v>243.54</v>
      </c>
      <c r="KH44">
        <v>57.65</v>
      </c>
      <c r="KI44">
        <v>301.19</v>
      </c>
      <c r="KJ44">
        <v>207.75</v>
      </c>
      <c r="KK44">
        <v>244.53</v>
      </c>
      <c r="KL44">
        <v>61.63</v>
      </c>
      <c r="KM44">
        <v>46.72</v>
      </c>
      <c r="KN44">
        <v>43.74</v>
      </c>
      <c r="KO44">
        <v>305.17</v>
      </c>
      <c r="KP44">
        <v>192.84</v>
      </c>
      <c r="KQ44">
        <v>3437.39</v>
      </c>
      <c r="KR44">
        <v>904.58</v>
      </c>
      <c r="KS44">
        <v>1141.1600000000001</v>
      </c>
      <c r="KT44">
        <v>10799.25</v>
      </c>
      <c r="KU44">
        <v>31667.14</v>
      </c>
      <c r="KV44">
        <v>2870.79</v>
      </c>
      <c r="KW44">
        <v>229.62</v>
      </c>
      <c r="KX44">
        <v>161.03</v>
      </c>
      <c r="KY44">
        <v>23.86</v>
      </c>
      <c r="KZ44">
        <v>35.79</v>
      </c>
      <c r="LA44">
        <v>578.53</v>
      </c>
      <c r="LB44">
        <v>837.98</v>
      </c>
      <c r="LC44">
        <v>1134.2</v>
      </c>
      <c r="LD44">
        <v>12.92</v>
      </c>
      <c r="LE44">
        <v>628.23</v>
      </c>
      <c r="LF44">
        <v>1740.56</v>
      </c>
      <c r="LG44">
        <v>2050.71</v>
      </c>
      <c r="LH44">
        <v>470.18</v>
      </c>
      <c r="LI44">
        <v>5335.01</v>
      </c>
      <c r="LJ44">
        <v>431.41</v>
      </c>
      <c r="LK44">
        <v>709.74</v>
      </c>
      <c r="LL44">
        <v>211.73</v>
      </c>
      <c r="LM44">
        <v>5.09</v>
      </c>
      <c r="LN44">
        <v>212.72</v>
      </c>
      <c r="LO44">
        <v>221.67</v>
      </c>
      <c r="LP44">
        <v>2328.04</v>
      </c>
      <c r="LQ44">
        <v>472.17</v>
      </c>
      <c r="LR44">
        <v>164.02</v>
      </c>
      <c r="LS44">
        <v>72.56</v>
      </c>
      <c r="LT44">
        <v>29.82</v>
      </c>
      <c r="LU44">
        <v>161.03</v>
      </c>
      <c r="LV44">
        <v>246.52</v>
      </c>
      <c r="LW44">
        <v>241.55</v>
      </c>
      <c r="LX44">
        <v>2211.7399999999998</v>
      </c>
      <c r="LY44">
        <v>1684.9</v>
      </c>
      <c r="LZ44">
        <v>1729.63</v>
      </c>
      <c r="MA44">
        <v>140.16</v>
      </c>
      <c r="MB44">
        <v>228.63</v>
      </c>
      <c r="MC44">
        <v>245.53</v>
      </c>
      <c r="MD44">
        <v>26.84</v>
      </c>
      <c r="ME44">
        <v>51.69</v>
      </c>
      <c r="MF44">
        <v>75.55</v>
      </c>
      <c r="MG44">
        <v>2651.11</v>
      </c>
      <c r="MH44">
        <v>2444.35</v>
      </c>
      <c r="MI44">
        <v>5.09</v>
      </c>
      <c r="MJ44">
        <v>514.91</v>
      </c>
      <c r="MK44">
        <v>5.09</v>
      </c>
      <c r="ML44">
        <v>998.02</v>
      </c>
      <c r="MM44">
        <v>1212.73</v>
      </c>
      <c r="MN44">
        <v>517.89</v>
      </c>
      <c r="MO44">
        <v>7.95</v>
      </c>
      <c r="MP44">
        <v>120.28</v>
      </c>
      <c r="MQ44">
        <v>144.13999999999999</v>
      </c>
      <c r="MR44">
        <v>5.09</v>
      </c>
      <c r="MS44">
        <v>237.58</v>
      </c>
      <c r="MT44">
        <v>5559.67</v>
      </c>
      <c r="MU44">
        <v>33.799999999999997</v>
      </c>
      <c r="MV44">
        <v>37.770000000000003</v>
      </c>
      <c r="MW44">
        <v>97.42</v>
      </c>
      <c r="MX44">
        <v>169.98</v>
      </c>
      <c r="MY44">
        <v>8.9499999999999993</v>
      </c>
      <c r="MZ44">
        <v>118.29</v>
      </c>
      <c r="NA44">
        <v>63.62</v>
      </c>
      <c r="NB44">
        <v>635.19000000000005</v>
      </c>
      <c r="NC44">
        <v>2180.92</v>
      </c>
      <c r="ND44">
        <v>3636.2</v>
      </c>
      <c r="NE44">
        <v>652.09</v>
      </c>
      <c r="NF44">
        <v>6.96</v>
      </c>
      <c r="NG44">
        <v>17.89</v>
      </c>
      <c r="NH44">
        <v>72.56</v>
      </c>
      <c r="NI44">
        <v>1694.84</v>
      </c>
      <c r="NJ44">
        <v>200.8</v>
      </c>
      <c r="NK44">
        <v>178.93</v>
      </c>
      <c r="NL44">
        <v>167.99</v>
      </c>
      <c r="NM44">
        <v>2819.1</v>
      </c>
      <c r="NN44">
        <v>1785.3</v>
      </c>
      <c r="NO44">
        <v>55.67</v>
      </c>
      <c r="NP44">
        <v>5.09</v>
      </c>
      <c r="NQ44">
        <v>5926.47</v>
      </c>
      <c r="NR44">
        <v>249.5</v>
      </c>
      <c r="NS44">
        <v>909.55</v>
      </c>
      <c r="NT44">
        <v>684.89</v>
      </c>
      <c r="NU44">
        <v>674.95</v>
      </c>
      <c r="NV44">
        <v>399.6</v>
      </c>
      <c r="NW44">
        <v>262.43</v>
      </c>
      <c r="NX44">
        <v>99.4</v>
      </c>
      <c r="NY44">
        <v>79.52</v>
      </c>
      <c r="NZ44">
        <v>332.01</v>
      </c>
      <c r="OA44">
        <v>166</v>
      </c>
      <c r="OB44">
        <v>374.75</v>
      </c>
      <c r="OC44">
        <v>382.71</v>
      </c>
      <c r="OD44">
        <v>388.67</v>
      </c>
      <c r="OE44">
        <v>800.2</v>
      </c>
      <c r="OF44">
        <v>66.599999999999994</v>
      </c>
      <c r="OG44">
        <v>1710.74</v>
      </c>
      <c r="OH44">
        <v>113.32</v>
      </c>
      <c r="OI44">
        <v>100.4</v>
      </c>
      <c r="OJ44">
        <v>78.53</v>
      </c>
      <c r="OK44">
        <v>2367.8000000000002</v>
      </c>
      <c r="OL44">
        <v>573.55999999999995</v>
      </c>
      <c r="OM44">
        <v>788.27</v>
      </c>
      <c r="ON44">
        <v>567.6</v>
      </c>
      <c r="OO44">
        <v>1310.1500000000001</v>
      </c>
      <c r="OP44">
        <v>237.58</v>
      </c>
      <c r="OQ44">
        <v>572.57000000000005</v>
      </c>
      <c r="OR44">
        <v>23.86</v>
      </c>
      <c r="OS44">
        <v>825.05</v>
      </c>
      <c r="OT44">
        <v>325.05</v>
      </c>
      <c r="OU44">
        <v>241.55</v>
      </c>
      <c r="OV44">
        <v>512.91999999999996</v>
      </c>
      <c r="OW44">
        <v>293.24</v>
      </c>
      <c r="OX44">
        <v>35.79</v>
      </c>
      <c r="OY44">
        <v>5.09</v>
      </c>
      <c r="OZ44">
        <v>5.96</v>
      </c>
      <c r="PA44">
        <v>5.09</v>
      </c>
      <c r="PB44">
        <v>398.61</v>
      </c>
      <c r="PC44">
        <v>21.87</v>
      </c>
      <c r="PD44">
        <v>29.82</v>
      </c>
      <c r="PE44">
        <v>33.799999999999997</v>
      </c>
      <c r="PF44">
        <v>402.59</v>
      </c>
      <c r="PG44">
        <v>37.770000000000003</v>
      </c>
      <c r="PH44">
        <v>84.49</v>
      </c>
      <c r="PI44">
        <v>155.07</v>
      </c>
      <c r="PJ44">
        <v>5253.5</v>
      </c>
      <c r="PK44">
        <v>14692.91</v>
      </c>
      <c r="PL44">
        <v>92.45</v>
      </c>
      <c r="PM44">
        <v>13071.63</v>
      </c>
      <c r="PN44">
        <v>1481.12</v>
      </c>
      <c r="PO44">
        <v>88.47</v>
      </c>
      <c r="PP44">
        <v>4292.2700000000004</v>
      </c>
      <c r="PQ44">
        <v>25.85</v>
      </c>
      <c r="PR44">
        <v>97.42</v>
      </c>
      <c r="PS44">
        <v>9.94</v>
      </c>
      <c r="PT44">
        <v>35.79</v>
      </c>
      <c r="PU44">
        <v>365.81</v>
      </c>
      <c r="PV44">
        <v>164.02</v>
      </c>
      <c r="PW44">
        <v>378.73</v>
      </c>
      <c r="PX44">
        <v>40.76</v>
      </c>
      <c r="PY44">
        <v>740.56</v>
      </c>
      <c r="PZ44">
        <v>36.78</v>
      </c>
      <c r="QA44">
        <v>381.71</v>
      </c>
      <c r="QB44">
        <v>4868.8100000000004</v>
      </c>
      <c r="QC44">
        <v>15.9</v>
      </c>
      <c r="QD44">
        <v>5.09</v>
      </c>
      <c r="QE44">
        <v>6.96</v>
      </c>
      <c r="QF44">
        <v>30.82</v>
      </c>
      <c r="QG44">
        <v>7.95</v>
      </c>
      <c r="QH44">
        <v>6.96</v>
      </c>
      <c r="QI44">
        <v>5.09</v>
      </c>
      <c r="QJ44">
        <v>235.59</v>
      </c>
      <c r="QK44">
        <v>43.74</v>
      </c>
      <c r="QL44">
        <v>284.3</v>
      </c>
      <c r="QM44">
        <v>709.74</v>
      </c>
      <c r="QN44">
        <v>589.47</v>
      </c>
      <c r="QO44">
        <v>15.9</v>
      </c>
      <c r="QP44">
        <v>89.46</v>
      </c>
      <c r="QQ44">
        <v>170.97</v>
      </c>
      <c r="QR44">
        <v>17.89</v>
      </c>
      <c r="QS44">
        <v>686.88</v>
      </c>
      <c r="QT44">
        <v>1178.93</v>
      </c>
      <c r="QU44">
        <v>90.46</v>
      </c>
      <c r="QV44">
        <v>249.5</v>
      </c>
      <c r="QW44">
        <v>92.45</v>
      </c>
      <c r="QX44">
        <v>100.4</v>
      </c>
      <c r="QY44">
        <v>28.83</v>
      </c>
      <c r="QZ44">
        <v>8.9499999999999993</v>
      </c>
      <c r="RA44">
        <v>212.72</v>
      </c>
      <c r="RB44">
        <v>54399.85</v>
      </c>
      <c r="RC44">
        <v>144.13999999999999</v>
      </c>
      <c r="RD44">
        <v>4962.25</v>
      </c>
      <c r="RE44">
        <v>218.69</v>
      </c>
      <c r="RF44">
        <v>248.51</v>
      </c>
      <c r="RG44">
        <v>281.31</v>
      </c>
      <c r="RH44">
        <v>215.71</v>
      </c>
      <c r="RI44">
        <v>14.91</v>
      </c>
      <c r="RJ44">
        <v>108.35</v>
      </c>
      <c r="RK44">
        <v>8.9499999999999993</v>
      </c>
      <c r="RL44">
        <v>127.24</v>
      </c>
      <c r="RM44">
        <v>133.19999999999999</v>
      </c>
      <c r="RN44">
        <v>305.17</v>
      </c>
      <c r="RO44">
        <v>104.37</v>
      </c>
      <c r="RP44">
        <v>256.45999999999998</v>
      </c>
      <c r="RQ44">
        <v>324.06</v>
      </c>
      <c r="RR44">
        <v>145.13</v>
      </c>
      <c r="RS44">
        <v>534.79</v>
      </c>
      <c r="RT44">
        <v>476.15</v>
      </c>
      <c r="RU44">
        <v>88.47</v>
      </c>
      <c r="RV44">
        <v>13.92</v>
      </c>
      <c r="RW44">
        <v>617.29999999999995</v>
      </c>
      <c r="RX44">
        <v>1895.63</v>
      </c>
      <c r="RY44">
        <v>1176.94</v>
      </c>
      <c r="RZ44">
        <v>54.67</v>
      </c>
      <c r="SA44">
        <v>401.59</v>
      </c>
      <c r="SB44">
        <v>21.87</v>
      </c>
      <c r="SC44">
        <v>103.38</v>
      </c>
      <c r="SD44">
        <v>1271.3800000000001</v>
      </c>
      <c r="SE44">
        <v>829.03</v>
      </c>
      <c r="SF44">
        <v>798.21</v>
      </c>
      <c r="SG44">
        <v>7609.38</v>
      </c>
      <c r="SH44">
        <v>167</v>
      </c>
      <c r="SI44">
        <v>110.34</v>
      </c>
      <c r="SJ44">
        <v>648.11</v>
      </c>
      <c r="SK44">
        <v>91.45</v>
      </c>
      <c r="SL44">
        <v>166</v>
      </c>
      <c r="SM44">
        <v>38.770000000000003</v>
      </c>
      <c r="SN44">
        <v>138.16999999999999</v>
      </c>
      <c r="SO44">
        <v>5.09</v>
      </c>
      <c r="SP44">
        <v>199.8</v>
      </c>
      <c r="SQ44">
        <v>1145.1300000000001</v>
      </c>
      <c r="SR44">
        <v>1118.3</v>
      </c>
      <c r="SS44">
        <v>1723.67</v>
      </c>
      <c r="ST44">
        <v>130.22</v>
      </c>
      <c r="SU44">
        <v>192.84</v>
      </c>
      <c r="SV44">
        <v>78.53</v>
      </c>
      <c r="SW44">
        <v>59.64</v>
      </c>
      <c r="SX44">
        <v>402.59</v>
      </c>
      <c r="SY44">
        <v>65.61</v>
      </c>
      <c r="SZ44">
        <v>5.09</v>
      </c>
      <c r="TA44">
        <v>5.96</v>
      </c>
      <c r="TB44">
        <v>1894.64</v>
      </c>
      <c r="TC44">
        <v>860.84</v>
      </c>
      <c r="TD44">
        <v>138.16999999999999</v>
      </c>
      <c r="TE44">
        <v>319.08999999999997</v>
      </c>
      <c r="TF44">
        <v>405.57</v>
      </c>
      <c r="TG44">
        <v>196.82</v>
      </c>
      <c r="TH44">
        <v>221.67</v>
      </c>
      <c r="TI44">
        <v>71.569999999999993</v>
      </c>
      <c r="TJ44">
        <v>8.9499999999999993</v>
      </c>
      <c r="TK44">
        <v>69.58</v>
      </c>
      <c r="TL44">
        <v>184.89</v>
      </c>
      <c r="TM44">
        <v>142.15</v>
      </c>
      <c r="TN44">
        <v>1938.38</v>
      </c>
      <c r="TO44">
        <v>912.53</v>
      </c>
      <c r="TP44">
        <v>316.10000000000002</v>
      </c>
      <c r="TQ44">
        <v>2284.3000000000002</v>
      </c>
      <c r="TR44">
        <v>5.09</v>
      </c>
      <c r="TS44">
        <v>479.13</v>
      </c>
      <c r="TT44">
        <v>95.43</v>
      </c>
      <c r="TU44">
        <v>80.52</v>
      </c>
      <c r="TV44">
        <v>244.53</v>
      </c>
      <c r="TW44">
        <v>430.42</v>
      </c>
      <c r="TX44">
        <v>194.83</v>
      </c>
      <c r="TY44">
        <v>77.540000000000006</v>
      </c>
      <c r="TZ44">
        <v>186.88</v>
      </c>
      <c r="UA44">
        <v>195.83</v>
      </c>
      <c r="UB44">
        <v>160.04</v>
      </c>
      <c r="UC44">
        <v>8419.52</v>
      </c>
      <c r="UD44">
        <v>6.96</v>
      </c>
      <c r="UE44">
        <v>44.73</v>
      </c>
      <c r="UF44">
        <v>2770.39</v>
      </c>
      <c r="UG44">
        <v>102.39</v>
      </c>
      <c r="UH44">
        <v>6.96</v>
      </c>
      <c r="UI44">
        <v>39.76</v>
      </c>
      <c r="UJ44">
        <v>67.59</v>
      </c>
      <c r="UK44">
        <v>26.84</v>
      </c>
      <c r="UL44">
        <v>6.96</v>
      </c>
      <c r="UM44">
        <v>37.770000000000003</v>
      </c>
      <c r="UN44">
        <v>202.78</v>
      </c>
      <c r="UO44">
        <v>264.41000000000003</v>
      </c>
      <c r="UP44">
        <v>5.96</v>
      </c>
      <c r="UQ44">
        <v>6.96</v>
      </c>
      <c r="UR44">
        <v>5.09</v>
      </c>
      <c r="US44">
        <v>92.45</v>
      </c>
      <c r="UT44">
        <v>229.62</v>
      </c>
      <c r="UU44">
        <v>796.23</v>
      </c>
      <c r="UV44">
        <v>383.7</v>
      </c>
      <c r="UW44">
        <v>301.19</v>
      </c>
      <c r="UX44">
        <v>49.7</v>
      </c>
      <c r="UY44">
        <v>750.5</v>
      </c>
      <c r="UZ44">
        <v>48.71</v>
      </c>
      <c r="VA44">
        <v>2381.7199999999998</v>
      </c>
      <c r="VB44">
        <v>1416.51</v>
      </c>
      <c r="VC44">
        <v>145.13</v>
      </c>
      <c r="VD44">
        <v>143.13999999999999</v>
      </c>
      <c r="VE44">
        <v>29.82</v>
      </c>
      <c r="VF44">
        <v>322.07</v>
      </c>
      <c r="VG44">
        <v>14.91</v>
      </c>
      <c r="VH44">
        <v>36.78</v>
      </c>
      <c r="VI44">
        <v>28.83</v>
      </c>
      <c r="VJ44">
        <v>9.94</v>
      </c>
      <c r="VK44">
        <v>589.47</v>
      </c>
      <c r="VL44">
        <v>845.93</v>
      </c>
      <c r="VM44">
        <v>856.86</v>
      </c>
      <c r="VN44">
        <v>487.08</v>
      </c>
      <c r="VO44">
        <v>28.83</v>
      </c>
      <c r="VP44">
        <v>5.09</v>
      </c>
      <c r="VQ44">
        <v>679.92</v>
      </c>
      <c r="VR44">
        <v>302.19</v>
      </c>
      <c r="VS44">
        <v>353.88</v>
      </c>
      <c r="VT44">
        <v>60.64</v>
      </c>
      <c r="VU44">
        <v>37.770000000000003</v>
      </c>
      <c r="VV44">
        <v>145.13</v>
      </c>
      <c r="VW44">
        <v>328.03</v>
      </c>
      <c r="VX44">
        <v>209.74</v>
      </c>
      <c r="VY44">
        <v>5.96</v>
      </c>
      <c r="VZ44">
        <v>17107.43</v>
      </c>
      <c r="WA44">
        <v>9719.73</v>
      </c>
      <c r="WB44">
        <v>292.25</v>
      </c>
      <c r="WC44">
        <v>215.71</v>
      </c>
      <c r="WD44">
        <v>75.55</v>
      </c>
      <c r="WE44">
        <v>173.96</v>
      </c>
      <c r="WF44">
        <v>136.18</v>
      </c>
      <c r="WG44">
        <v>797.22</v>
      </c>
      <c r="WH44">
        <v>16766.48</v>
      </c>
      <c r="WI44">
        <v>29543.87</v>
      </c>
      <c r="WJ44">
        <v>458.25</v>
      </c>
      <c r="WK44">
        <v>288.27</v>
      </c>
      <c r="WL44">
        <v>481.12</v>
      </c>
      <c r="WM44">
        <v>34.79</v>
      </c>
      <c r="WN44">
        <v>91.45</v>
      </c>
      <c r="WO44">
        <v>6.96</v>
      </c>
      <c r="WP44">
        <v>225.65</v>
      </c>
      <c r="WQ44">
        <v>797.22</v>
      </c>
      <c r="WR44">
        <v>1667.01</v>
      </c>
      <c r="WS44">
        <v>206.76</v>
      </c>
      <c r="WT44">
        <v>191.85</v>
      </c>
      <c r="WU44">
        <v>612.33000000000004</v>
      </c>
      <c r="WV44">
        <v>467.2</v>
      </c>
      <c r="WW44">
        <v>47.71</v>
      </c>
      <c r="WX44">
        <v>143.13999999999999</v>
      </c>
      <c r="WY44">
        <v>5.96</v>
      </c>
      <c r="WZ44">
        <v>11.93</v>
      </c>
      <c r="XA44">
        <v>5.09</v>
      </c>
      <c r="XB44">
        <v>1028.83</v>
      </c>
      <c r="XC44">
        <v>14.91</v>
      </c>
      <c r="XD44">
        <v>102.39</v>
      </c>
      <c r="XE44">
        <v>518.89</v>
      </c>
      <c r="XF44">
        <v>762.43</v>
      </c>
      <c r="XG44">
        <v>912.53</v>
      </c>
      <c r="XH44">
        <v>206.76</v>
      </c>
      <c r="XI44">
        <v>555.66999999999996</v>
      </c>
      <c r="XJ44">
        <v>470.18</v>
      </c>
      <c r="XK44">
        <v>556.66</v>
      </c>
      <c r="XL44">
        <v>162.03</v>
      </c>
      <c r="XM44">
        <v>69.58</v>
      </c>
      <c r="XN44">
        <v>293.24</v>
      </c>
      <c r="XO44">
        <v>180.92</v>
      </c>
      <c r="XP44">
        <v>86.48</v>
      </c>
      <c r="XQ44">
        <v>29.82</v>
      </c>
      <c r="XR44">
        <v>31.81</v>
      </c>
      <c r="XS44">
        <v>4552.7</v>
      </c>
      <c r="XT44">
        <v>288.27</v>
      </c>
      <c r="XU44">
        <v>349.9</v>
      </c>
      <c r="XV44">
        <v>476.15</v>
      </c>
      <c r="XW44">
        <v>741.55</v>
      </c>
      <c r="XX44">
        <v>1291.26</v>
      </c>
      <c r="XY44">
        <v>2202.79</v>
      </c>
      <c r="XZ44">
        <v>203.78</v>
      </c>
      <c r="YA44">
        <v>3389.68</v>
      </c>
      <c r="YB44">
        <v>164.02</v>
      </c>
      <c r="YC44">
        <v>24.85</v>
      </c>
      <c r="YD44">
        <v>702.79</v>
      </c>
      <c r="YE44">
        <v>274.36</v>
      </c>
      <c r="YF44">
        <v>814.12</v>
      </c>
      <c r="YG44">
        <v>56.66</v>
      </c>
      <c r="YH44">
        <v>12.92</v>
      </c>
      <c r="YI44">
        <v>79.52</v>
      </c>
      <c r="YJ44">
        <v>404.57</v>
      </c>
      <c r="YK44">
        <v>14.91</v>
      </c>
      <c r="YL44">
        <v>299.20999999999998</v>
      </c>
      <c r="YM44">
        <v>3261.45</v>
      </c>
      <c r="YN44">
        <v>95.43</v>
      </c>
      <c r="YO44">
        <v>824.06</v>
      </c>
      <c r="YP44">
        <v>1797.22</v>
      </c>
      <c r="YQ44">
        <v>371.77</v>
      </c>
      <c r="YR44">
        <v>85.49</v>
      </c>
      <c r="YS44">
        <v>18173.04</v>
      </c>
      <c r="YT44">
        <v>477.14</v>
      </c>
      <c r="YU44">
        <v>212.72</v>
      </c>
      <c r="YV44">
        <v>160.04</v>
      </c>
      <c r="YW44">
        <v>84.49</v>
      </c>
      <c r="YX44">
        <v>40.76</v>
      </c>
      <c r="YY44">
        <v>635.19000000000005</v>
      </c>
      <c r="YZ44">
        <v>17.89</v>
      </c>
      <c r="ZA44">
        <v>205.77</v>
      </c>
      <c r="ZB44">
        <v>16.899999999999999</v>
      </c>
      <c r="ZC44">
        <v>5.09</v>
      </c>
      <c r="ZD44">
        <v>93.44</v>
      </c>
      <c r="ZE44">
        <v>29.82</v>
      </c>
      <c r="ZF44">
        <v>130.22</v>
      </c>
      <c r="ZG44">
        <v>499.01</v>
      </c>
      <c r="ZH44">
        <v>153.08000000000001</v>
      </c>
      <c r="ZI44">
        <v>312.13</v>
      </c>
      <c r="ZJ44">
        <v>1552.69</v>
      </c>
      <c r="ZK44">
        <v>297.22000000000003</v>
      </c>
      <c r="ZL44">
        <v>10.93</v>
      </c>
      <c r="ZM44">
        <v>248.51</v>
      </c>
      <c r="ZN44">
        <v>36.78</v>
      </c>
      <c r="ZO44">
        <v>44.73</v>
      </c>
      <c r="ZP44">
        <v>523.86</v>
      </c>
      <c r="ZQ44">
        <v>12.92</v>
      </c>
      <c r="ZR44">
        <v>18.89</v>
      </c>
      <c r="ZS44">
        <v>894.64</v>
      </c>
      <c r="ZT44">
        <v>365.81</v>
      </c>
      <c r="ZU44">
        <v>183.9</v>
      </c>
      <c r="ZV44">
        <v>22.86</v>
      </c>
      <c r="ZW44">
        <v>8.9499999999999993</v>
      </c>
      <c r="ZX44">
        <v>90.46</v>
      </c>
      <c r="ZY44">
        <v>668</v>
      </c>
      <c r="ZZ44">
        <v>284.3</v>
      </c>
      <c r="AAA44">
        <v>48.71</v>
      </c>
      <c r="AAB44">
        <v>44.73</v>
      </c>
      <c r="AAC44">
        <v>7.95</v>
      </c>
      <c r="AAD44">
        <v>39.76</v>
      </c>
      <c r="AAE44">
        <v>10.93</v>
      </c>
      <c r="AAF44">
        <v>20.87</v>
      </c>
      <c r="AAG44">
        <v>272.37</v>
      </c>
      <c r="AAH44">
        <v>212.72</v>
      </c>
      <c r="AAI44">
        <v>5405.59</v>
      </c>
      <c r="AAJ44">
        <v>715.71</v>
      </c>
      <c r="AAK44">
        <v>1259.45</v>
      </c>
      <c r="AAL44">
        <v>248.51</v>
      </c>
      <c r="AAM44">
        <v>33.799999999999997</v>
      </c>
      <c r="AAN44">
        <v>1018.89</v>
      </c>
      <c r="AAO44">
        <v>57.65</v>
      </c>
      <c r="AAP44">
        <v>116.3</v>
      </c>
      <c r="AAQ44">
        <v>23.86</v>
      </c>
      <c r="AAR44">
        <v>54.67</v>
      </c>
      <c r="AAS44">
        <v>1303.19</v>
      </c>
      <c r="AAT44">
        <v>140.16</v>
      </c>
      <c r="AAU44">
        <v>5.09</v>
      </c>
      <c r="AAV44">
        <v>1053.68</v>
      </c>
      <c r="AAW44">
        <v>46.72</v>
      </c>
      <c r="AAX44">
        <v>77.540000000000006</v>
      </c>
      <c r="AAY44">
        <v>32.799999999999997</v>
      </c>
      <c r="AAZ44">
        <v>20.87</v>
      </c>
      <c r="ABA44">
        <v>100.4</v>
      </c>
      <c r="ABB44">
        <v>36.78</v>
      </c>
      <c r="ABC44">
        <v>1479.13</v>
      </c>
      <c r="ABD44">
        <v>3274.37</v>
      </c>
      <c r="ABE44">
        <v>494.04</v>
      </c>
      <c r="ABF44">
        <v>259.44</v>
      </c>
      <c r="ABG44">
        <v>116.3</v>
      </c>
      <c r="ABH44">
        <v>176.94</v>
      </c>
      <c r="ABI44">
        <v>9.94</v>
      </c>
      <c r="ABJ44">
        <v>24.85</v>
      </c>
      <c r="ABK44">
        <v>43.74</v>
      </c>
      <c r="ABL44">
        <v>7.95</v>
      </c>
      <c r="ABM44">
        <v>101.39</v>
      </c>
      <c r="ABN44">
        <v>86.48</v>
      </c>
      <c r="ABO44">
        <v>9.94</v>
      </c>
      <c r="ABP44">
        <v>15.9</v>
      </c>
      <c r="ABQ44">
        <v>601.39</v>
      </c>
      <c r="ABR44">
        <v>27.83</v>
      </c>
      <c r="ABS44">
        <v>1876.75</v>
      </c>
      <c r="ABT44">
        <v>19.88</v>
      </c>
      <c r="ABU44">
        <v>52.68</v>
      </c>
      <c r="ABV44">
        <v>163.02000000000001</v>
      </c>
      <c r="ABW44">
        <v>1019.89</v>
      </c>
      <c r="ABX44">
        <v>1778.34</v>
      </c>
      <c r="ABY44">
        <v>315.11</v>
      </c>
      <c r="ABZ44">
        <v>138.16999999999999</v>
      </c>
      <c r="ACA44">
        <v>450.3</v>
      </c>
      <c r="ACB44">
        <v>276.33999999999997</v>
      </c>
      <c r="ACC44">
        <v>128.22999999999999</v>
      </c>
      <c r="ACD44">
        <v>281.31</v>
      </c>
      <c r="ACE44">
        <v>139.16999999999999</v>
      </c>
      <c r="ACF44">
        <v>4433.42</v>
      </c>
      <c r="ACG44">
        <v>1816.11</v>
      </c>
      <c r="ACH44">
        <v>473.16</v>
      </c>
      <c r="ACI44">
        <v>448.31</v>
      </c>
      <c r="ACJ44">
        <v>723.66</v>
      </c>
      <c r="ACK44">
        <v>391.65</v>
      </c>
      <c r="ACL44">
        <v>52.68</v>
      </c>
      <c r="ACM44">
        <v>359.84</v>
      </c>
      <c r="ACN44">
        <v>312.13</v>
      </c>
      <c r="ACO44">
        <v>915.51</v>
      </c>
      <c r="ACP44">
        <v>392.65</v>
      </c>
      <c r="ACQ44">
        <v>350.9</v>
      </c>
      <c r="ACR44">
        <v>4855.8900000000003</v>
      </c>
    </row>
    <row r="45" spans="1:772" x14ac:dyDescent="0.3">
      <c r="A45" t="s">
        <v>19</v>
      </c>
      <c r="B45" t="s">
        <v>2</v>
      </c>
      <c r="C45">
        <v>2589.91</v>
      </c>
      <c r="D45">
        <v>9.41</v>
      </c>
      <c r="E45">
        <v>1618.11</v>
      </c>
      <c r="F45">
        <v>7.92</v>
      </c>
      <c r="G45">
        <v>1694.97</v>
      </c>
      <c r="H45">
        <v>207.85</v>
      </c>
      <c r="I45">
        <v>1203.97</v>
      </c>
      <c r="J45">
        <v>9171.36</v>
      </c>
      <c r="K45">
        <v>661.99</v>
      </c>
      <c r="L45">
        <v>38.43</v>
      </c>
      <c r="M45">
        <v>1271.42</v>
      </c>
      <c r="N45">
        <v>1538.1</v>
      </c>
      <c r="O45">
        <v>38.43</v>
      </c>
      <c r="P45">
        <v>368.64</v>
      </c>
      <c r="Q45">
        <v>58.83</v>
      </c>
      <c r="R45">
        <v>891.02</v>
      </c>
      <c r="S45">
        <v>290.20999999999998</v>
      </c>
      <c r="T45">
        <v>756.89</v>
      </c>
      <c r="U45">
        <v>271.38</v>
      </c>
      <c r="V45">
        <v>283.14999999999998</v>
      </c>
      <c r="W45">
        <v>175.69</v>
      </c>
      <c r="X45">
        <v>8.6300000000000008</v>
      </c>
      <c r="Y45">
        <v>141.97</v>
      </c>
      <c r="Z45">
        <v>443.16</v>
      </c>
      <c r="AA45">
        <v>53.34</v>
      </c>
      <c r="AB45">
        <v>559.24</v>
      </c>
      <c r="AC45">
        <v>638.46</v>
      </c>
      <c r="AD45">
        <v>98.04</v>
      </c>
      <c r="AE45">
        <v>577.28</v>
      </c>
      <c r="AF45">
        <v>17933.28</v>
      </c>
      <c r="AG45">
        <v>138.04</v>
      </c>
      <c r="AH45">
        <v>59.61</v>
      </c>
      <c r="AI45">
        <v>59.61</v>
      </c>
      <c r="AJ45">
        <v>516.1</v>
      </c>
      <c r="AK45">
        <v>129.41999999999999</v>
      </c>
      <c r="AL45">
        <v>120.79</v>
      </c>
      <c r="AM45">
        <v>219.62</v>
      </c>
      <c r="AN45">
        <v>120</v>
      </c>
      <c r="AO45">
        <v>465.12</v>
      </c>
      <c r="AP45">
        <v>335.7</v>
      </c>
      <c r="AQ45">
        <v>145.88999999999999</v>
      </c>
      <c r="AR45">
        <v>17.260000000000002</v>
      </c>
      <c r="AS45">
        <v>72.94</v>
      </c>
      <c r="AT45">
        <v>18.82</v>
      </c>
      <c r="AU45">
        <v>12.55</v>
      </c>
      <c r="AV45">
        <v>447.08</v>
      </c>
      <c r="AW45">
        <v>306.68</v>
      </c>
      <c r="AX45">
        <v>3091.89</v>
      </c>
      <c r="AY45">
        <v>28.24</v>
      </c>
      <c r="AZ45">
        <v>54.12</v>
      </c>
      <c r="BA45">
        <v>356.88</v>
      </c>
      <c r="BB45">
        <v>501.98</v>
      </c>
      <c r="BC45">
        <v>21.18</v>
      </c>
      <c r="BD45">
        <v>7.92</v>
      </c>
      <c r="BE45">
        <v>222.75</v>
      </c>
      <c r="BF45">
        <v>240.01</v>
      </c>
      <c r="BG45">
        <v>54.12</v>
      </c>
      <c r="BH45">
        <v>11.77</v>
      </c>
      <c r="BI45">
        <v>30.59</v>
      </c>
      <c r="BJ45">
        <v>7.92</v>
      </c>
      <c r="BK45">
        <v>166.28</v>
      </c>
      <c r="BL45">
        <v>367.86</v>
      </c>
      <c r="BM45">
        <v>84.71</v>
      </c>
      <c r="BN45">
        <v>92.55</v>
      </c>
      <c r="BO45">
        <v>15.69</v>
      </c>
      <c r="BP45">
        <v>58.83</v>
      </c>
      <c r="BQ45">
        <v>232.95</v>
      </c>
      <c r="BR45">
        <v>101.18</v>
      </c>
      <c r="BS45">
        <v>116.08</v>
      </c>
      <c r="BT45">
        <v>3197.78</v>
      </c>
      <c r="BU45">
        <v>863.56</v>
      </c>
      <c r="BV45">
        <v>93.34</v>
      </c>
      <c r="BW45">
        <v>207.85</v>
      </c>
      <c r="BX45">
        <v>536.49</v>
      </c>
      <c r="BY45">
        <v>167.85</v>
      </c>
      <c r="BZ45">
        <v>222.75</v>
      </c>
      <c r="CA45">
        <v>156.87</v>
      </c>
      <c r="CB45">
        <v>63.53</v>
      </c>
      <c r="CC45">
        <v>16.47</v>
      </c>
      <c r="CD45">
        <v>76.08</v>
      </c>
      <c r="CE45">
        <v>563.94000000000005</v>
      </c>
      <c r="CF45">
        <v>499.63</v>
      </c>
      <c r="CG45">
        <v>54.9</v>
      </c>
      <c r="CH45">
        <v>52.55</v>
      </c>
      <c r="CI45">
        <v>7.92</v>
      </c>
      <c r="CJ45">
        <v>7.92</v>
      </c>
      <c r="CK45">
        <v>40</v>
      </c>
      <c r="CL45">
        <v>54.9</v>
      </c>
      <c r="CM45">
        <v>647.09</v>
      </c>
      <c r="CN45">
        <v>156.87</v>
      </c>
      <c r="CO45">
        <v>72.16</v>
      </c>
      <c r="CP45">
        <v>7.92</v>
      </c>
      <c r="CQ45">
        <v>39.22</v>
      </c>
      <c r="CR45">
        <v>51.77</v>
      </c>
      <c r="CS45">
        <v>7.92</v>
      </c>
      <c r="CT45">
        <v>29.81</v>
      </c>
      <c r="CU45">
        <v>61.96</v>
      </c>
      <c r="CV45">
        <v>33.729999999999997</v>
      </c>
      <c r="CW45">
        <v>1922.43</v>
      </c>
      <c r="CX45">
        <v>37.65</v>
      </c>
      <c r="CY45">
        <v>177.26</v>
      </c>
      <c r="CZ45">
        <v>61.96</v>
      </c>
      <c r="DA45">
        <v>24.31</v>
      </c>
      <c r="DB45">
        <v>100.4</v>
      </c>
      <c r="DC45">
        <v>106.67</v>
      </c>
      <c r="DD45">
        <v>19.61</v>
      </c>
      <c r="DE45">
        <v>33.729999999999997</v>
      </c>
      <c r="DF45">
        <v>462.76</v>
      </c>
      <c r="DG45">
        <v>7.92</v>
      </c>
      <c r="DH45">
        <v>3466.81</v>
      </c>
      <c r="DI45">
        <v>72.16</v>
      </c>
      <c r="DJ45">
        <v>47.85</v>
      </c>
      <c r="DK45">
        <v>181.97</v>
      </c>
      <c r="DL45">
        <v>981.22</v>
      </c>
      <c r="DM45">
        <v>132.55000000000001</v>
      </c>
      <c r="DN45">
        <v>42.35</v>
      </c>
      <c r="DO45">
        <v>40</v>
      </c>
      <c r="DP45">
        <v>31.37</v>
      </c>
      <c r="DQ45">
        <v>2300.4899999999998</v>
      </c>
      <c r="DR45">
        <v>44.71</v>
      </c>
      <c r="DS45">
        <v>17.260000000000002</v>
      </c>
      <c r="DT45">
        <v>18.04</v>
      </c>
      <c r="DU45">
        <v>4513.13</v>
      </c>
      <c r="DV45">
        <v>52.55</v>
      </c>
      <c r="DW45">
        <v>39.22</v>
      </c>
      <c r="DX45">
        <v>39.22</v>
      </c>
      <c r="DY45">
        <v>96.47</v>
      </c>
      <c r="DZ45">
        <v>39.22</v>
      </c>
      <c r="EA45">
        <v>34.51</v>
      </c>
      <c r="EB45">
        <v>21.18</v>
      </c>
      <c r="EC45">
        <v>43.92</v>
      </c>
      <c r="ED45">
        <v>18.04</v>
      </c>
      <c r="EE45">
        <v>7.92</v>
      </c>
      <c r="EF45">
        <v>459.63</v>
      </c>
      <c r="EG45">
        <v>1279.27</v>
      </c>
      <c r="EH45">
        <v>19.61</v>
      </c>
      <c r="EI45">
        <v>489.43</v>
      </c>
      <c r="EJ45">
        <v>513.75</v>
      </c>
      <c r="EK45">
        <v>239.23</v>
      </c>
      <c r="EL45">
        <v>1554.57</v>
      </c>
      <c r="EM45">
        <v>337.27</v>
      </c>
      <c r="EN45">
        <v>37.65</v>
      </c>
      <c r="EO45">
        <v>61.18</v>
      </c>
      <c r="EP45">
        <v>17.260000000000002</v>
      </c>
      <c r="EQ45">
        <v>2302.84</v>
      </c>
      <c r="ER45">
        <v>21.96</v>
      </c>
      <c r="ES45">
        <v>24.31</v>
      </c>
      <c r="ET45">
        <v>7.92</v>
      </c>
      <c r="EU45">
        <v>371</v>
      </c>
      <c r="EV45">
        <v>287.85000000000002</v>
      </c>
      <c r="EW45">
        <v>7.92</v>
      </c>
      <c r="EX45">
        <v>155.30000000000001</v>
      </c>
      <c r="EY45">
        <v>36.86</v>
      </c>
      <c r="EZ45">
        <v>18.82</v>
      </c>
      <c r="FA45">
        <v>83.93</v>
      </c>
      <c r="FB45">
        <v>7.92</v>
      </c>
      <c r="FC45">
        <v>37.65</v>
      </c>
      <c r="FD45">
        <v>9.41</v>
      </c>
      <c r="FE45">
        <v>1422.8</v>
      </c>
      <c r="FF45">
        <v>18.04</v>
      </c>
      <c r="FG45">
        <v>2154.6</v>
      </c>
      <c r="FH45">
        <v>2781.29</v>
      </c>
      <c r="FI45">
        <v>34.51</v>
      </c>
      <c r="FJ45">
        <v>477.67</v>
      </c>
      <c r="FK45">
        <v>427.47</v>
      </c>
      <c r="FL45">
        <v>80</v>
      </c>
      <c r="FM45">
        <v>239.23</v>
      </c>
      <c r="FN45">
        <v>92.55</v>
      </c>
      <c r="FO45">
        <v>81.569999999999993</v>
      </c>
      <c r="FP45">
        <v>25.88</v>
      </c>
      <c r="FQ45">
        <v>23.53</v>
      </c>
      <c r="FR45">
        <v>19.61</v>
      </c>
      <c r="FS45">
        <v>7.92</v>
      </c>
      <c r="FT45">
        <v>21.18</v>
      </c>
      <c r="FU45">
        <v>3515.44</v>
      </c>
      <c r="FV45">
        <v>2331.86</v>
      </c>
      <c r="FW45">
        <v>7.92</v>
      </c>
      <c r="FX45">
        <v>127.06</v>
      </c>
      <c r="FY45">
        <v>8.6300000000000008</v>
      </c>
      <c r="FZ45">
        <v>4782.9399999999996</v>
      </c>
      <c r="GA45">
        <v>277.66000000000003</v>
      </c>
      <c r="GB45">
        <v>29.81</v>
      </c>
      <c r="GC45">
        <v>69.02</v>
      </c>
      <c r="GD45">
        <v>76.08</v>
      </c>
      <c r="GE45">
        <v>338.84</v>
      </c>
      <c r="GF45">
        <v>192.95</v>
      </c>
      <c r="GG45">
        <v>3499.75</v>
      </c>
      <c r="GH45">
        <v>1148.28</v>
      </c>
      <c r="GI45">
        <v>6912.44</v>
      </c>
      <c r="GJ45">
        <v>669.05</v>
      </c>
      <c r="GK45">
        <v>23106.04</v>
      </c>
      <c r="GL45">
        <v>86.28</v>
      </c>
      <c r="GM45">
        <v>9.41</v>
      </c>
      <c r="GN45">
        <v>10.98</v>
      </c>
      <c r="GO45">
        <v>2346.7600000000002</v>
      </c>
      <c r="GP45">
        <v>24.31</v>
      </c>
      <c r="GQ45">
        <v>596.89</v>
      </c>
      <c r="GR45">
        <v>435.31</v>
      </c>
      <c r="GS45">
        <v>503.55</v>
      </c>
      <c r="GT45">
        <v>310.60000000000002</v>
      </c>
      <c r="GU45">
        <v>7.92</v>
      </c>
      <c r="GV45">
        <v>42.35</v>
      </c>
      <c r="GW45">
        <v>9.41</v>
      </c>
      <c r="GX45">
        <v>193.73</v>
      </c>
      <c r="GY45">
        <v>442.37</v>
      </c>
      <c r="GZ45">
        <v>282.36</v>
      </c>
      <c r="HA45">
        <v>552.96</v>
      </c>
      <c r="HB45">
        <v>398.45</v>
      </c>
      <c r="HC45">
        <v>110.59</v>
      </c>
      <c r="HD45">
        <v>1040.83</v>
      </c>
      <c r="HE45">
        <v>21.18</v>
      </c>
      <c r="HF45">
        <v>1451.04</v>
      </c>
      <c r="HG45">
        <v>221.19</v>
      </c>
      <c r="HH45">
        <v>134.12</v>
      </c>
      <c r="HI45">
        <v>14.12</v>
      </c>
      <c r="HJ45">
        <v>486.29</v>
      </c>
      <c r="HK45">
        <v>2569.52</v>
      </c>
      <c r="HL45">
        <v>358.45</v>
      </c>
      <c r="HM45">
        <v>109.81</v>
      </c>
      <c r="HN45">
        <v>1036.9100000000001</v>
      </c>
      <c r="HO45">
        <v>7.92</v>
      </c>
      <c r="HP45">
        <v>35.299999999999997</v>
      </c>
      <c r="HQ45">
        <v>10176.89</v>
      </c>
      <c r="HR45">
        <v>238.44</v>
      </c>
      <c r="HS45">
        <v>24.31</v>
      </c>
      <c r="HT45">
        <v>137.26</v>
      </c>
      <c r="HU45">
        <v>349.03</v>
      </c>
      <c r="HV45">
        <v>107.46</v>
      </c>
      <c r="HW45">
        <v>2575.0100000000002</v>
      </c>
      <c r="HX45">
        <v>13.33</v>
      </c>
      <c r="HY45">
        <v>9.41</v>
      </c>
      <c r="HZ45">
        <v>88.63</v>
      </c>
      <c r="IA45">
        <v>28.24</v>
      </c>
      <c r="IB45">
        <v>83.14</v>
      </c>
      <c r="IC45">
        <v>90.98</v>
      </c>
      <c r="ID45">
        <v>21.18</v>
      </c>
      <c r="IE45">
        <v>32.159999999999997</v>
      </c>
      <c r="IF45">
        <v>851.02</v>
      </c>
      <c r="IG45">
        <v>34.51</v>
      </c>
      <c r="IH45">
        <v>7.92</v>
      </c>
      <c r="II45">
        <v>129.41999999999999</v>
      </c>
      <c r="IJ45">
        <v>107.46</v>
      </c>
      <c r="IK45">
        <v>16.47</v>
      </c>
      <c r="IL45">
        <v>1120.05</v>
      </c>
      <c r="IM45">
        <v>342.76</v>
      </c>
      <c r="IN45">
        <v>72.94</v>
      </c>
      <c r="IO45">
        <v>729.44</v>
      </c>
      <c r="IP45">
        <v>51.77</v>
      </c>
      <c r="IQ45">
        <v>20.39</v>
      </c>
      <c r="IR45">
        <v>31.37</v>
      </c>
      <c r="IS45">
        <v>14.12</v>
      </c>
      <c r="IT45">
        <v>7.92</v>
      </c>
      <c r="IU45">
        <v>407.08</v>
      </c>
      <c r="IV45">
        <v>783.56</v>
      </c>
      <c r="IW45">
        <v>1989.89</v>
      </c>
      <c r="IX45">
        <v>1272.21</v>
      </c>
      <c r="IY45">
        <v>49.41</v>
      </c>
      <c r="IZ45">
        <v>18.82</v>
      </c>
      <c r="JA45">
        <v>209.42</v>
      </c>
      <c r="JB45">
        <v>413.35</v>
      </c>
      <c r="JC45">
        <v>76.08</v>
      </c>
      <c r="JD45">
        <v>633.75</v>
      </c>
      <c r="JE45">
        <v>76.87</v>
      </c>
      <c r="JF45">
        <v>12.55</v>
      </c>
      <c r="JG45">
        <v>31.37</v>
      </c>
      <c r="JH45">
        <v>185.11</v>
      </c>
      <c r="JI45">
        <v>545.12</v>
      </c>
      <c r="JJ45">
        <v>185.89</v>
      </c>
      <c r="JK45">
        <v>40</v>
      </c>
      <c r="JL45">
        <v>361.58</v>
      </c>
      <c r="JM45">
        <v>77.650000000000006</v>
      </c>
      <c r="JN45">
        <v>7.92</v>
      </c>
      <c r="JO45">
        <v>204.71</v>
      </c>
      <c r="JP45">
        <v>736.5</v>
      </c>
      <c r="JQ45">
        <v>3839.37</v>
      </c>
      <c r="JR45">
        <v>16.47</v>
      </c>
      <c r="JS45">
        <v>7.92</v>
      </c>
      <c r="JT45">
        <v>138.83000000000001</v>
      </c>
      <c r="JU45">
        <v>134.12</v>
      </c>
      <c r="JV45">
        <v>273.74</v>
      </c>
      <c r="JW45">
        <v>82.36</v>
      </c>
      <c r="JX45">
        <v>128.63</v>
      </c>
      <c r="JY45">
        <v>295.7</v>
      </c>
      <c r="JZ45">
        <v>19.61</v>
      </c>
      <c r="KA45">
        <v>7.92</v>
      </c>
      <c r="KB45">
        <v>7.92</v>
      </c>
      <c r="KC45">
        <v>40</v>
      </c>
      <c r="KD45">
        <v>10.98</v>
      </c>
      <c r="KE45">
        <v>122.36</v>
      </c>
      <c r="KF45">
        <v>50.98</v>
      </c>
      <c r="KG45">
        <v>226.68</v>
      </c>
      <c r="KH45">
        <v>48.63</v>
      </c>
      <c r="KI45">
        <v>241.58</v>
      </c>
      <c r="KJ45">
        <v>182.75</v>
      </c>
      <c r="KK45">
        <v>234.52</v>
      </c>
      <c r="KL45">
        <v>53.34</v>
      </c>
      <c r="KM45">
        <v>52.55</v>
      </c>
      <c r="KN45">
        <v>38.43</v>
      </c>
      <c r="KO45">
        <v>338.05</v>
      </c>
      <c r="KP45">
        <v>261.19</v>
      </c>
      <c r="KQ45">
        <v>3196.99</v>
      </c>
      <c r="KR45">
        <v>668.26</v>
      </c>
      <c r="KS45">
        <v>567.08000000000004</v>
      </c>
      <c r="KT45">
        <v>9294.5</v>
      </c>
      <c r="KU45">
        <v>24308.45</v>
      </c>
      <c r="KV45">
        <v>2745.21</v>
      </c>
      <c r="KW45">
        <v>267.45999999999998</v>
      </c>
      <c r="KX45">
        <v>128.63</v>
      </c>
      <c r="KY45">
        <v>29.02</v>
      </c>
      <c r="KZ45">
        <v>23.53</v>
      </c>
      <c r="LA45">
        <v>502.77</v>
      </c>
      <c r="LB45">
        <v>650.22</v>
      </c>
      <c r="LC45">
        <v>1014.16</v>
      </c>
      <c r="LD45">
        <v>9.41</v>
      </c>
      <c r="LE45">
        <v>610.22</v>
      </c>
      <c r="LF45">
        <v>1800.86</v>
      </c>
      <c r="LG45">
        <v>1963.22</v>
      </c>
      <c r="LH45">
        <v>566.29999999999995</v>
      </c>
      <c r="LI45">
        <v>4240.17</v>
      </c>
      <c r="LJ45">
        <v>375.7</v>
      </c>
      <c r="LK45">
        <v>449.43</v>
      </c>
      <c r="LL45">
        <v>160.79</v>
      </c>
      <c r="LM45">
        <v>7.92</v>
      </c>
      <c r="LN45">
        <v>181.97</v>
      </c>
      <c r="LO45">
        <v>198.44</v>
      </c>
      <c r="LP45">
        <v>1469.08</v>
      </c>
      <c r="LQ45">
        <v>501.98</v>
      </c>
      <c r="LR45">
        <v>120</v>
      </c>
      <c r="LS45">
        <v>47.85</v>
      </c>
      <c r="LT45">
        <v>21.18</v>
      </c>
      <c r="LU45">
        <v>140.4</v>
      </c>
      <c r="LV45">
        <v>297.27</v>
      </c>
      <c r="LW45">
        <v>321.58</v>
      </c>
      <c r="LX45">
        <v>2470.69</v>
      </c>
      <c r="LY45">
        <v>1547.51</v>
      </c>
      <c r="LZ45">
        <v>745.13</v>
      </c>
      <c r="MA45">
        <v>153.72999999999999</v>
      </c>
      <c r="MB45">
        <v>151.38</v>
      </c>
      <c r="MC45">
        <v>207.85</v>
      </c>
      <c r="MD45">
        <v>23.53</v>
      </c>
      <c r="ME45">
        <v>61.18</v>
      </c>
      <c r="MF45">
        <v>117.65</v>
      </c>
      <c r="MG45">
        <v>2688.74</v>
      </c>
      <c r="MH45">
        <v>2532.65</v>
      </c>
      <c r="MI45">
        <v>7.92</v>
      </c>
      <c r="MJ45">
        <v>532.57000000000005</v>
      </c>
      <c r="MK45">
        <v>7.92</v>
      </c>
      <c r="ML45">
        <v>970.24</v>
      </c>
      <c r="MM45">
        <v>1059.6500000000001</v>
      </c>
      <c r="MN45">
        <v>476.88</v>
      </c>
      <c r="MO45">
        <v>7.92</v>
      </c>
      <c r="MP45">
        <v>128.63</v>
      </c>
      <c r="MQ45">
        <v>146.66999999999999</v>
      </c>
      <c r="MR45">
        <v>8.6300000000000008</v>
      </c>
      <c r="MS45">
        <v>184.32</v>
      </c>
      <c r="MT45">
        <v>4000.16</v>
      </c>
      <c r="MU45">
        <v>26.67</v>
      </c>
      <c r="MV45">
        <v>13.33</v>
      </c>
      <c r="MW45">
        <v>98.04</v>
      </c>
      <c r="MX45">
        <v>144.32</v>
      </c>
      <c r="MY45">
        <v>10.98</v>
      </c>
      <c r="MZ45">
        <v>58.04</v>
      </c>
      <c r="NA45">
        <v>67.45</v>
      </c>
      <c r="NB45">
        <v>210.2</v>
      </c>
      <c r="NC45">
        <v>1497.32</v>
      </c>
      <c r="ND45">
        <v>864.35</v>
      </c>
      <c r="NE45">
        <v>312.95</v>
      </c>
      <c r="NF45">
        <v>7.92</v>
      </c>
      <c r="NG45">
        <v>10.98</v>
      </c>
      <c r="NH45">
        <v>18.82</v>
      </c>
      <c r="NI45">
        <v>1553</v>
      </c>
      <c r="NJ45">
        <v>105.89</v>
      </c>
      <c r="NK45">
        <v>115.3</v>
      </c>
      <c r="NL45">
        <v>137.26</v>
      </c>
      <c r="NM45">
        <v>2044.01</v>
      </c>
      <c r="NN45">
        <v>1448.69</v>
      </c>
      <c r="NO45">
        <v>59.61</v>
      </c>
      <c r="NP45">
        <v>7.92</v>
      </c>
      <c r="NQ45">
        <v>10652.99</v>
      </c>
      <c r="NR45">
        <v>144.32</v>
      </c>
      <c r="NS45">
        <v>704.34</v>
      </c>
      <c r="NT45">
        <v>592.17999999999995</v>
      </c>
      <c r="NU45">
        <v>735.72</v>
      </c>
      <c r="NV45">
        <v>315.31</v>
      </c>
      <c r="NW45">
        <v>239.23</v>
      </c>
      <c r="NX45">
        <v>66.67</v>
      </c>
      <c r="NY45">
        <v>53.34</v>
      </c>
      <c r="NZ45">
        <v>247.07</v>
      </c>
      <c r="OA45">
        <v>119.22</v>
      </c>
      <c r="OB45">
        <v>324.72000000000003</v>
      </c>
      <c r="OC45">
        <v>220.4</v>
      </c>
      <c r="OD45">
        <v>520.02</v>
      </c>
      <c r="OE45">
        <v>384.33</v>
      </c>
      <c r="OF45">
        <v>61.96</v>
      </c>
      <c r="OG45">
        <v>800.03</v>
      </c>
      <c r="OH45">
        <v>120</v>
      </c>
      <c r="OI45">
        <v>88.63</v>
      </c>
      <c r="OJ45">
        <v>57.26</v>
      </c>
      <c r="OK45">
        <v>2034.59</v>
      </c>
      <c r="OL45">
        <v>395.31</v>
      </c>
      <c r="OM45">
        <v>686.3</v>
      </c>
      <c r="ON45">
        <v>494.14</v>
      </c>
      <c r="OO45">
        <v>1317.7</v>
      </c>
      <c r="OP45">
        <v>206.28</v>
      </c>
      <c r="OQ45">
        <v>523.16</v>
      </c>
      <c r="OR45">
        <v>19.61</v>
      </c>
      <c r="OS45">
        <v>920.04</v>
      </c>
      <c r="OT45">
        <v>282.36</v>
      </c>
      <c r="OU45">
        <v>253.34</v>
      </c>
      <c r="OV45">
        <v>338.84</v>
      </c>
      <c r="OW45">
        <v>581.98</v>
      </c>
      <c r="OX45">
        <v>18.82</v>
      </c>
      <c r="OY45">
        <v>7.92</v>
      </c>
      <c r="OZ45">
        <v>7.92</v>
      </c>
      <c r="PA45">
        <v>7.92</v>
      </c>
      <c r="PB45">
        <v>520.80999999999995</v>
      </c>
      <c r="PC45">
        <v>25.88</v>
      </c>
      <c r="PD45">
        <v>18.82</v>
      </c>
      <c r="PE45">
        <v>20.39</v>
      </c>
      <c r="PF45">
        <v>328.64</v>
      </c>
      <c r="PG45">
        <v>17.260000000000002</v>
      </c>
      <c r="PH45">
        <v>77.650000000000006</v>
      </c>
      <c r="PI45">
        <v>103.53</v>
      </c>
      <c r="PJ45">
        <v>1986.75</v>
      </c>
      <c r="PK45">
        <v>3231.5</v>
      </c>
      <c r="PL45">
        <v>58.83</v>
      </c>
      <c r="PM45">
        <v>11470.27</v>
      </c>
      <c r="PN45">
        <v>1626.73</v>
      </c>
      <c r="PO45">
        <v>87.06</v>
      </c>
      <c r="PP45">
        <v>6313.98</v>
      </c>
      <c r="PQ45">
        <v>29.81</v>
      </c>
      <c r="PR45">
        <v>69.81</v>
      </c>
      <c r="PS45">
        <v>18.82</v>
      </c>
      <c r="PT45">
        <v>20.39</v>
      </c>
      <c r="PU45">
        <v>274.52</v>
      </c>
      <c r="PV45">
        <v>156.87</v>
      </c>
      <c r="PW45">
        <v>377.27</v>
      </c>
      <c r="PX45">
        <v>45.49</v>
      </c>
      <c r="PY45">
        <v>737.29</v>
      </c>
      <c r="PZ45">
        <v>20.39</v>
      </c>
      <c r="QA45">
        <v>261.97000000000003</v>
      </c>
      <c r="QB45">
        <v>5792.39</v>
      </c>
      <c r="QC45">
        <v>7.92</v>
      </c>
      <c r="QD45">
        <v>7.92</v>
      </c>
      <c r="QE45">
        <v>7.92</v>
      </c>
      <c r="QF45">
        <v>7.92</v>
      </c>
      <c r="QG45">
        <v>7.92</v>
      </c>
      <c r="QH45">
        <v>7.92</v>
      </c>
      <c r="QI45">
        <v>7.92</v>
      </c>
      <c r="QJ45">
        <v>211.77</v>
      </c>
      <c r="QK45">
        <v>50.2</v>
      </c>
      <c r="QL45">
        <v>227.46</v>
      </c>
      <c r="QM45">
        <v>638.46</v>
      </c>
      <c r="QN45">
        <v>400.8</v>
      </c>
      <c r="QO45">
        <v>10.199999999999999</v>
      </c>
      <c r="QP45">
        <v>141.97</v>
      </c>
      <c r="QQ45">
        <v>130.19999999999999</v>
      </c>
      <c r="QR45">
        <v>25.88</v>
      </c>
      <c r="QS45">
        <v>352.17</v>
      </c>
      <c r="QT45">
        <v>982.79</v>
      </c>
      <c r="QU45">
        <v>109.81</v>
      </c>
      <c r="QV45">
        <v>224.32</v>
      </c>
      <c r="QW45">
        <v>92.55</v>
      </c>
      <c r="QX45">
        <v>105.89</v>
      </c>
      <c r="QY45">
        <v>49.41</v>
      </c>
      <c r="QZ45">
        <v>11.77</v>
      </c>
      <c r="RA45">
        <v>212.56</v>
      </c>
      <c r="RB45">
        <v>44457.51</v>
      </c>
      <c r="RC45">
        <v>620.41999999999996</v>
      </c>
      <c r="RD45">
        <v>2648.74</v>
      </c>
      <c r="RE45">
        <v>362.37</v>
      </c>
      <c r="RF45">
        <v>217.26</v>
      </c>
      <c r="RG45">
        <v>273.74</v>
      </c>
      <c r="RH45">
        <v>134.12</v>
      </c>
      <c r="RI45">
        <v>13.33</v>
      </c>
      <c r="RJ45">
        <v>85.49</v>
      </c>
      <c r="RK45">
        <v>11.77</v>
      </c>
      <c r="RL45">
        <v>141.18</v>
      </c>
      <c r="RM45">
        <v>156.87</v>
      </c>
      <c r="RN45">
        <v>225.89</v>
      </c>
      <c r="RO45">
        <v>111.38</v>
      </c>
      <c r="RP45">
        <v>224.32</v>
      </c>
      <c r="RQ45">
        <v>527.86</v>
      </c>
      <c r="RR45">
        <v>301.19</v>
      </c>
      <c r="RS45">
        <v>425.9</v>
      </c>
      <c r="RT45">
        <v>502.77</v>
      </c>
      <c r="RU45">
        <v>38.43</v>
      </c>
      <c r="RV45">
        <v>17.260000000000002</v>
      </c>
      <c r="RW45">
        <v>741.21</v>
      </c>
      <c r="RX45">
        <v>630.61</v>
      </c>
      <c r="RY45">
        <v>1023.57</v>
      </c>
      <c r="RZ45">
        <v>90.98</v>
      </c>
      <c r="SA45">
        <v>311.39</v>
      </c>
      <c r="SB45">
        <v>24.31</v>
      </c>
      <c r="SC45">
        <v>90.98</v>
      </c>
      <c r="SD45">
        <v>1117.69</v>
      </c>
      <c r="SE45">
        <v>731.01</v>
      </c>
      <c r="SF45">
        <v>741.99</v>
      </c>
      <c r="SG45">
        <v>5844.95</v>
      </c>
      <c r="SH45">
        <v>128.63</v>
      </c>
      <c r="SI45">
        <v>114.51</v>
      </c>
      <c r="SJ45">
        <v>919.25</v>
      </c>
      <c r="SK45">
        <v>88.63</v>
      </c>
      <c r="SL45">
        <v>185.89</v>
      </c>
      <c r="SM45">
        <v>21.18</v>
      </c>
      <c r="SN45">
        <v>93.34</v>
      </c>
      <c r="SO45">
        <v>7.92</v>
      </c>
      <c r="SP45">
        <v>285.5</v>
      </c>
      <c r="SQ45">
        <v>1039.26</v>
      </c>
      <c r="SR45">
        <v>754.54</v>
      </c>
      <c r="SS45">
        <v>1424.37</v>
      </c>
      <c r="ST45">
        <v>110.59</v>
      </c>
      <c r="SU45">
        <v>165.5</v>
      </c>
      <c r="SV45">
        <v>64.319999999999993</v>
      </c>
      <c r="SW45">
        <v>23.53</v>
      </c>
      <c r="SX45">
        <v>244.72</v>
      </c>
      <c r="SY45">
        <v>31.37</v>
      </c>
      <c r="SZ45">
        <v>7.92</v>
      </c>
      <c r="TA45">
        <v>7.92</v>
      </c>
      <c r="TB45">
        <v>1457.31</v>
      </c>
      <c r="TC45">
        <v>486.29</v>
      </c>
      <c r="TD45">
        <v>177.26</v>
      </c>
      <c r="TE45">
        <v>251.78</v>
      </c>
      <c r="TF45">
        <v>413.35</v>
      </c>
      <c r="TG45">
        <v>177.26</v>
      </c>
      <c r="TH45">
        <v>103.53</v>
      </c>
      <c r="TI45">
        <v>61.18</v>
      </c>
      <c r="TJ45">
        <v>7.92</v>
      </c>
      <c r="TK45">
        <v>91.77</v>
      </c>
      <c r="TL45">
        <v>176.48</v>
      </c>
      <c r="TM45">
        <v>222.75</v>
      </c>
      <c r="TN45">
        <v>2111.46</v>
      </c>
      <c r="TO45">
        <v>560.02</v>
      </c>
      <c r="TP45">
        <v>408.64</v>
      </c>
      <c r="TQ45">
        <v>3482.5</v>
      </c>
      <c r="TR45">
        <v>7.92</v>
      </c>
      <c r="TS45">
        <v>398.45</v>
      </c>
      <c r="TT45">
        <v>88.63</v>
      </c>
      <c r="TU45">
        <v>94.12</v>
      </c>
      <c r="TV45">
        <v>261.19</v>
      </c>
      <c r="TW45">
        <v>336.48</v>
      </c>
      <c r="TX45">
        <v>130.99</v>
      </c>
      <c r="TY45">
        <v>78.430000000000007</v>
      </c>
      <c r="TZ45">
        <v>265.11</v>
      </c>
      <c r="UA45">
        <v>192.16</v>
      </c>
      <c r="UB45">
        <v>157.65</v>
      </c>
      <c r="UC45">
        <v>8732.91</v>
      </c>
      <c r="UD45">
        <v>12.55</v>
      </c>
      <c r="UE45">
        <v>264.32</v>
      </c>
      <c r="UF45">
        <v>2866.78</v>
      </c>
      <c r="UG45">
        <v>76.87</v>
      </c>
      <c r="UH45">
        <v>7.92</v>
      </c>
      <c r="UI45">
        <v>43.14</v>
      </c>
      <c r="UJ45">
        <v>87.06</v>
      </c>
      <c r="UK45">
        <v>24.31</v>
      </c>
      <c r="UL45">
        <v>12.55</v>
      </c>
      <c r="UM45">
        <v>26.67</v>
      </c>
      <c r="UN45">
        <v>174.12</v>
      </c>
      <c r="UO45">
        <v>154.52000000000001</v>
      </c>
      <c r="UP45">
        <v>7.92</v>
      </c>
      <c r="UQ45">
        <v>10.199999999999999</v>
      </c>
      <c r="UR45">
        <v>627.48</v>
      </c>
      <c r="US45">
        <v>76.87</v>
      </c>
      <c r="UT45">
        <v>240.01</v>
      </c>
      <c r="UU45">
        <v>798.46</v>
      </c>
      <c r="UV45">
        <v>412.57</v>
      </c>
      <c r="UW45">
        <v>322.37</v>
      </c>
      <c r="UX45">
        <v>54.9</v>
      </c>
      <c r="UY45">
        <v>484.73</v>
      </c>
      <c r="UZ45">
        <v>50.2</v>
      </c>
      <c r="VA45">
        <v>3804.86</v>
      </c>
      <c r="VB45">
        <v>1178.0899999999999</v>
      </c>
      <c r="VC45">
        <v>105.1</v>
      </c>
      <c r="VD45">
        <v>163.13999999999999</v>
      </c>
      <c r="VE45">
        <v>50.98</v>
      </c>
      <c r="VF45">
        <v>309.02999999999997</v>
      </c>
      <c r="VG45">
        <v>21.96</v>
      </c>
      <c r="VH45">
        <v>35.299999999999997</v>
      </c>
      <c r="VI45">
        <v>21.96</v>
      </c>
      <c r="VJ45">
        <v>7.92</v>
      </c>
      <c r="VK45">
        <v>531.79</v>
      </c>
      <c r="VL45">
        <v>613.36</v>
      </c>
      <c r="VM45">
        <v>752.19</v>
      </c>
      <c r="VN45">
        <v>412.57</v>
      </c>
      <c r="VO45">
        <v>28.24</v>
      </c>
      <c r="VP45">
        <v>7.92</v>
      </c>
      <c r="VQ45">
        <v>525.51</v>
      </c>
      <c r="VR45">
        <v>242.36</v>
      </c>
      <c r="VS45">
        <v>294.13</v>
      </c>
      <c r="VT45">
        <v>49.41</v>
      </c>
      <c r="VU45">
        <v>28.24</v>
      </c>
      <c r="VV45">
        <v>261.19</v>
      </c>
      <c r="VW45">
        <v>301.97000000000003</v>
      </c>
      <c r="VX45">
        <v>97.26</v>
      </c>
      <c r="VY45">
        <v>14.12</v>
      </c>
      <c r="VZ45">
        <v>15348.86</v>
      </c>
      <c r="WA45">
        <v>9838.0499999999993</v>
      </c>
      <c r="WB45">
        <v>223.54</v>
      </c>
      <c r="WC45">
        <v>127.85</v>
      </c>
      <c r="WD45">
        <v>145.88999999999999</v>
      </c>
      <c r="WE45">
        <v>70.59</v>
      </c>
      <c r="WF45">
        <v>80</v>
      </c>
      <c r="WG45">
        <v>269.02999999999997</v>
      </c>
      <c r="WH45">
        <v>5783.77</v>
      </c>
      <c r="WI45">
        <v>10660.83</v>
      </c>
      <c r="WJ45">
        <v>249.42</v>
      </c>
      <c r="WK45">
        <v>250.21</v>
      </c>
      <c r="WL45">
        <v>433.74</v>
      </c>
      <c r="WM45">
        <v>29.02</v>
      </c>
      <c r="WN45">
        <v>58.83</v>
      </c>
      <c r="WO45">
        <v>7.92</v>
      </c>
      <c r="WP45">
        <v>282.36</v>
      </c>
      <c r="WQ45">
        <v>252.56</v>
      </c>
      <c r="WR45">
        <v>1403.98</v>
      </c>
      <c r="WS45">
        <v>381.19</v>
      </c>
      <c r="WT45">
        <v>224.32</v>
      </c>
      <c r="WU45">
        <v>477.67</v>
      </c>
      <c r="WV45">
        <v>431.39</v>
      </c>
      <c r="WW45">
        <v>29.02</v>
      </c>
      <c r="WX45">
        <v>167.85</v>
      </c>
      <c r="WY45">
        <v>7.92</v>
      </c>
      <c r="WZ45">
        <v>9.41</v>
      </c>
      <c r="XA45">
        <v>7.92</v>
      </c>
      <c r="XB45">
        <v>801.6</v>
      </c>
      <c r="XC45">
        <v>13.33</v>
      </c>
      <c r="XD45">
        <v>32.159999999999997</v>
      </c>
      <c r="XE45">
        <v>485.51</v>
      </c>
      <c r="XF45">
        <v>501.2</v>
      </c>
      <c r="XG45">
        <v>794.54</v>
      </c>
      <c r="XH45">
        <v>110.59</v>
      </c>
      <c r="XI45">
        <v>381.98</v>
      </c>
      <c r="XJ45">
        <v>378.84</v>
      </c>
      <c r="XK45">
        <v>465.9</v>
      </c>
      <c r="XL45">
        <v>166.28</v>
      </c>
      <c r="XM45">
        <v>63.53</v>
      </c>
      <c r="XN45">
        <v>162.36000000000001</v>
      </c>
      <c r="XO45">
        <v>196.09</v>
      </c>
      <c r="XP45">
        <v>19.61</v>
      </c>
      <c r="XQ45">
        <v>37.65</v>
      </c>
      <c r="XR45">
        <v>15.69</v>
      </c>
      <c r="XS45">
        <v>3015.03</v>
      </c>
      <c r="XT45">
        <v>309.82</v>
      </c>
      <c r="XU45">
        <v>392.17</v>
      </c>
      <c r="XV45">
        <v>377.27</v>
      </c>
      <c r="XW45">
        <v>661.99</v>
      </c>
      <c r="XX45">
        <v>1013.37</v>
      </c>
      <c r="XY45">
        <v>1572.61</v>
      </c>
      <c r="XZ45">
        <v>138.83000000000001</v>
      </c>
      <c r="YA45">
        <v>3586.03</v>
      </c>
      <c r="YB45">
        <v>157.65</v>
      </c>
      <c r="YC45">
        <v>25.88</v>
      </c>
      <c r="YD45">
        <v>601.59</v>
      </c>
      <c r="YE45">
        <v>262.76</v>
      </c>
      <c r="YF45">
        <v>967.1</v>
      </c>
      <c r="YG45">
        <v>58.04</v>
      </c>
      <c r="YH45">
        <v>7.92</v>
      </c>
      <c r="YI45">
        <v>91.77</v>
      </c>
      <c r="YJ45">
        <v>327.86</v>
      </c>
      <c r="YK45">
        <v>14.9</v>
      </c>
      <c r="YL45">
        <v>142.75</v>
      </c>
      <c r="YM45">
        <v>2094.1999999999998</v>
      </c>
      <c r="YN45">
        <v>87.06</v>
      </c>
      <c r="YO45">
        <v>902.78</v>
      </c>
      <c r="YP45">
        <v>1353</v>
      </c>
      <c r="YQ45">
        <v>396.88</v>
      </c>
      <c r="YR45">
        <v>112.16</v>
      </c>
      <c r="YS45">
        <v>22906.04</v>
      </c>
      <c r="YT45">
        <v>493.35</v>
      </c>
      <c r="YU45">
        <v>116.08</v>
      </c>
      <c r="YV45">
        <v>362.37</v>
      </c>
      <c r="YW45">
        <v>54.9</v>
      </c>
      <c r="YX45">
        <v>37.65</v>
      </c>
      <c r="YY45">
        <v>381.98</v>
      </c>
      <c r="YZ45">
        <v>53.34</v>
      </c>
      <c r="ZA45">
        <v>176.48</v>
      </c>
      <c r="ZB45">
        <v>28.24</v>
      </c>
      <c r="ZC45">
        <v>7.92</v>
      </c>
      <c r="ZD45">
        <v>56.47</v>
      </c>
      <c r="ZE45">
        <v>18.04</v>
      </c>
      <c r="ZF45">
        <v>160.79</v>
      </c>
      <c r="ZG45">
        <v>668.26</v>
      </c>
      <c r="ZH45">
        <v>87.06</v>
      </c>
      <c r="ZI45">
        <v>233.74</v>
      </c>
      <c r="ZJ45">
        <v>1171.81</v>
      </c>
      <c r="ZK45">
        <v>316.08999999999997</v>
      </c>
      <c r="ZL45">
        <v>14.12</v>
      </c>
      <c r="ZM45">
        <v>258.05</v>
      </c>
      <c r="ZN45">
        <v>56.47</v>
      </c>
      <c r="ZO45">
        <v>31.37</v>
      </c>
      <c r="ZP45">
        <v>557.66999999999996</v>
      </c>
      <c r="ZQ45">
        <v>17.260000000000002</v>
      </c>
      <c r="ZR45">
        <v>17.260000000000002</v>
      </c>
      <c r="ZS45">
        <v>716.11</v>
      </c>
      <c r="ZT45">
        <v>346.68</v>
      </c>
      <c r="ZU45">
        <v>154.52000000000001</v>
      </c>
      <c r="ZV45">
        <v>13.33</v>
      </c>
      <c r="ZW45">
        <v>7.92</v>
      </c>
      <c r="ZX45">
        <v>62.75</v>
      </c>
      <c r="ZY45">
        <v>713.75</v>
      </c>
      <c r="ZZ45">
        <v>269.81</v>
      </c>
      <c r="AAA45">
        <v>64.319999999999993</v>
      </c>
      <c r="AAB45">
        <v>30.59</v>
      </c>
      <c r="AAC45">
        <v>7.92</v>
      </c>
      <c r="AAD45">
        <v>43.92</v>
      </c>
      <c r="AAE45">
        <v>13.33</v>
      </c>
      <c r="AAF45">
        <v>10.199999999999999</v>
      </c>
      <c r="AAG45">
        <v>290.99</v>
      </c>
      <c r="AAH45">
        <v>303.54000000000002</v>
      </c>
      <c r="AAI45">
        <v>5007.26</v>
      </c>
      <c r="AAJ45">
        <v>955.33</v>
      </c>
      <c r="AAK45">
        <v>1054.1600000000001</v>
      </c>
      <c r="AAL45">
        <v>201.58</v>
      </c>
      <c r="AAM45">
        <v>29.02</v>
      </c>
      <c r="AAN45">
        <v>1043.96</v>
      </c>
      <c r="AAO45">
        <v>33.729999999999997</v>
      </c>
      <c r="AAP45">
        <v>119.22</v>
      </c>
      <c r="AAQ45">
        <v>25.1</v>
      </c>
      <c r="AAR45">
        <v>61.18</v>
      </c>
      <c r="AAS45">
        <v>897.29</v>
      </c>
      <c r="AAT45">
        <v>98.83</v>
      </c>
      <c r="AAU45">
        <v>7.92</v>
      </c>
      <c r="AAV45">
        <v>963.96</v>
      </c>
      <c r="AAW45">
        <v>69.81</v>
      </c>
      <c r="AAX45">
        <v>109.02</v>
      </c>
      <c r="AAY45">
        <v>32.94</v>
      </c>
      <c r="AAZ45">
        <v>15.69</v>
      </c>
      <c r="ABA45">
        <v>32.159999999999997</v>
      </c>
      <c r="ABB45">
        <v>25.1</v>
      </c>
      <c r="ABC45">
        <v>1401.63</v>
      </c>
      <c r="ABD45">
        <v>3398.57</v>
      </c>
      <c r="ABE45">
        <v>401.59</v>
      </c>
      <c r="ABF45">
        <v>250.99</v>
      </c>
      <c r="ABG45">
        <v>105.89</v>
      </c>
      <c r="ABH45">
        <v>159.22</v>
      </c>
      <c r="ABI45">
        <v>71.38</v>
      </c>
      <c r="ABJ45">
        <v>27.45</v>
      </c>
      <c r="ABK45">
        <v>34.51</v>
      </c>
      <c r="ABL45">
        <v>7.92</v>
      </c>
      <c r="ABM45">
        <v>59.61</v>
      </c>
      <c r="ABN45">
        <v>56.47</v>
      </c>
      <c r="ABO45">
        <v>7.92</v>
      </c>
      <c r="ABP45">
        <v>9.41</v>
      </c>
      <c r="ABQ45">
        <v>505.9</v>
      </c>
      <c r="ABR45">
        <v>35.299999999999997</v>
      </c>
      <c r="ABS45">
        <v>2486.38</v>
      </c>
      <c r="ABT45">
        <v>7.92</v>
      </c>
      <c r="ABU45">
        <v>47.85</v>
      </c>
      <c r="ABV45">
        <v>158.44</v>
      </c>
      <c r="ABW45">
        <v>995.33</v>
      </c>
      <c r="ABX45">
        <v>1905.18</v>
      </c>
      <c r="ABY45">
        <v>344.33</v>
      </c>
      <c r="ABZ45">
        <v>172.56</v>
      </c>
      <c r="ACA45">
        <v>432.17</v>
      </c>
      <c r="ACB45">
        <v>330.21</v>
      </c>
      <c r="ACC45">
        <v>153.72999999999999</v>
      </c>
      <c r="ACD45">
        <v>266.68</v>
      </c>
      <c r="ACE45">
        <v>130.99</v>
      </c>
      <c r="ACF45">
        <v>3771.92</v>
      </c>
      <c r="ACG45">
        <v>1504.38</v>
      </c>
      <c r="ACH45">
        <v>388.25</v>
      </c>
      <c r="ACI45">
        <v>373.35</v>
      </c>
      <c r="ACJ45">
        <v>531</v>
      </c>
      <c r="ACK45">
        <v>392.96</v>
      </c>
      <c r="ACL45">
        <v>50.98</v>
      </c>
      <c r="ACM45">
        <v>259.62</v>
      </c>
      <c r="ACN45">
        <v>238.44</v>
      </c>
      <c r="ACO45">
        <v>653.36</v>
      </c>
      <c r="ACP45">
        <v>340.41</v>
      </c>
      <c r="ACQ45">
        <v>283.93</v>
      </c>
      <c r="ACR45">
        <v>4828.43</v>
      </c>
    </row>
    <row r="46" spans="1:772" x14ac:dyDescent="0.3">
      <c r="A46" t="s">
        <v>19</v>
      </c>
      <c r="B46" t="s">
        <v>3</v>
      </c>
      <c r="C46">
        <v>1540.72</v>
      </c>
      <c r="D46">
        <v>30.68</v>
      </c>
      <c r="E46">
        <v>1673.66</v>
      </c>
      <c r="F46">
        <v>4.68</v>
      </c>
      <c r="G46">
        <v>1799.78</v>
      </c>
      <c r="H46">
        <v>146.57</v>
      </c>
      <c r="I46">
        <v>1675.93</v>
      </c>
      <c r="J46">
        <v>11113.4</v>
      </c>
      <c r="K46">
        <v>664.69</v>
      </c>
      <c r="L46">
        <v>38.630000000000003</v>
      </c>
      <c r="M46">
        <v>786.27</v>
      </c>
      <c r="N46">
        <v>1437.32</v>
      </c>
      <c r="O46">
        <v>56.81</v>
      </c>
      <c r="P46">
        <v>374.95</v>
      </c>
      <c r="Q46">
        <v>64.760000000000005</v>
      </c>
      <c r="R46">
        <v>899.89</v>
      </c>
      <c r="S46">
        <v>186.34</v>
      </c>
      <c r="T46">
        <v>1150.99</v>
      </c>
      <c r="U46">
        <v>219.29</v>
      </c>
      <c r="V46">
        <v>348.82</v>
      </c>
      <c r="W46">
        <v>670.37</v>
      </c>
      <c r="X46">
        <v>4.68</v>
      </c>
      <c r="Y46">
        <v>162.47999999999999</v>
      </c>
      <c r="Z46">
        <v>544.25</v>
      </c>
      <c r="AA46">
        <v>69.31</v>
      </c>
      <c r="AB46">
        <v>915.8</v>
      </c>
      <c r="AC46">
        <v>606.74</v>
      </c>
      <c r="AD46">
        <v>107.94</v>
      </c>
      <c r="AE46">
        <v>524.94000000000005</v>
      </c>
      <c r="AF46">
        <v>22696.06</v>
      </c>
      <c r="AG46">
        <v>181.8</v>
      </c>
      <c r="AH46">
        <v>43.18</v>
      </c>
      <c r="AI46">
        <v>81.81</v>
      </c>
      <c r="AJ46">
        <v>624.91999999999996</v>
      </c>
      <c r="AK46">
        <v>126.12</v>
      </c>
      <c r="AL46">
        <v>84.08</v>
      </c>
      <c r="AM46">
        <v>234.06</v>
      </c>
      <c r="AN46">
        <v>136.35</v>
      </c>
      <c r="AO46">
        <v>915.8</v>
      </c>
      <c r="AP46">
        <v>247.7</v>
      </c>
      <c r="AQ46">
        <v>195.43</v>
      </c>
      <c r="AR46">
        <v>21.59</v>
      </c>
      <c r="AS46">
        <v>61.36</v>
      </c>
      <c r="AT46">
        <v>14.77</v>
      </c>
      <c r="AU46">
        <v>25</v>
      </c>
      <c r="AV46">
        <v>649.91999999999996</v>
      </c>
      <c r="AW46">
        <v>396.54</v>
      </c>
      <c r="AX46">
        <v>3445.03</v>
      </c>
      <c r="AY46">
        <v>22.72</v>
      </c>
      <c r="AZ46">
        <v>53.4</v>
      </c>
      <c r="BA46">
        <v>281.77999999999997</v>
      </c>
      <c r="BB46">
        <v>499.94</v>
      </c>
      <c r="BC46">
        <v>27.27</v>
      </c>
      <c r="BD46">
        <v>20.45</v>
      </c>
      <c r="BE46">
        <v>253.38</v>
      </c>
      <c r="BF46">
        <v>262.47000000000003</v>
      </c>
      <c r="BG46">
        <v>59.08</v>
      </c>
      <c r="BH46">
        <v>4.68</v>
      </c>
      <c r="BI46">
        <v>27.27</v>
      </c>
      <c r="BJ46">
        <v>6.82</v>
      </c>
      <c r="BK46">
        <v>220.43</v>
      </c>
      <c r="BL46">
        <v>515.85</v>
      </c>
      <c r="BM46">
        <v>88.63</v>
      </c>
      <c r="BN46">
        <v>89.76</v>
      </c>
      <c r="BO46">
        <v>43.18</v>
      </c>
      <c r="BP46">
        <v>67.040000000000006</v>
      </c>
      <c r="BQ46">
        <v>118.17</v>
      </c>
      <c r="BR46">
        <v>178.39</v>
      </c>
      <c r="BS46">
        <v>213.61</v>
      </c>
      <c r="BT46">
        <v>2501.96</v>
      </c>
      <c r="BU46">
        <v>534.02</v>
      </c>
      <c r="BV46">
        <v>178.39</v>
      </c>
      <c r="BW46">
        <v>421.54</v>
      </c>
      <c r="BX46">
        <v>576.07000000000005</v>
      </c>
      <c r="BY46">
        <v>206.79</v>
      </c>
      <c r="BZ46">
        <v>309.05</v>
      </c>
      <c r="CA46">
        <v>201.11</v>
      </c>
      <c r="CB46">
        <v>63.63</v>
      </c>
      <c r="CC46">
        <v>17.04</v>
      </c>
      <c r="CD46">
        <v>47.72</v>
      </c>
      <c r="CE46">
        <v>562.42999999999995</v>
      </c>
      <c r="CF46">
        <v>605.61</v>
      </c>
      <c r="CG46">
        <v>57.95</v>
      </c>
      <c r="CH46">
        <v>130.66999999999999</v>
      </c>
      <c r="CI46">
        <v>4.68</v>
      </c>
      <c r="CJ46">
        <v>11.36</v>
      </c>
      <c r="CK46">
        <v>62.49</v>
      </c>
      <c r="CL46">
        <v>94.31</v>
      </c>
      <c r="CM46">
        <v>623.79</v>
      </c>
      <c r="CN46">
        <v>153.38999999999999</v>
      </c>
      <c r="CO46">
        <v>97.72</v>
      </c>
      <c r="CP46">
        <v>4.68</v>
      </c>
      <c r="CQ46">
        <v>57.95</v>
      </c>
      <c r="CR46">
        <v>64.760000000000005</v>
      </c>
      <c r="CS46">
        <v>6.82</v>
      </c>
      <c r="CT46">
        <v>46.59</v>
      </c>
      <c r="CU46">
        <v>95.44</v>
      </c>
      <c r="CV46">
        <v>44.31</v>
      </c>
      <c r="CW46">
        <v>2278.13</v>
      </c>
      <c r="CX46">
        <v>63.63</v>
      </c>
      <c r="CY46">
        <v>171.57</v>
      </c>
      <c r="CZ46">
        <v>78.400000000000006</v>
      </c>
      <c r="DA46">
        <v>28.41</v>
      </c>
      <c r="DB46">
        <v>177.25</v>
      </c>
      <c r="DC46">
        <v>155.66</v>
      </c>
      <c r="DD46">
        <v>25</v>
      </c>
      <c r="DE46">
        <v>43.18</v>
      </c>
      <c r="DF46">
        <v>427.22</v>
      </c>
      <c r="DG46">
        <v>7.95</v>
      </c>
      <c r="DH46">
        <v>4110.8599999999997</v>
      </c>
      <c r="DI46">
        <v>80.67</v>
      </c>
      <c r="DJ46">
        <v>55.67</v>
      </c>
      <c r="DK46">
        <v>292.01</v>
      </c>
      <c r="DL46">
        <v>1713.42</v>
      </c>
      <c r="DM46">
        <v>184.07</v>
      </c>
      <c r="DN46">
        <v>73.849999999999994</v>
      </c>
      <c r="DO46">
        <v>48.86</v>
      </c>
      <c r="DP46">
        <v>53.4</v>
      </c>
      <c r="DQ46">
        <v>2807.61</v>
      </c>
      <c r="DR46">
        <v>46.59</v>
      </c>
      <c r="DS46">
        <v>30.68</v>
      </c>
      <c r="DT46">
        <v>12.5</v>
      </c>
      <c r="DU46">
        <v>4889.17</v>
      </c>
      <c r="DV46">
        <v>56.81</v>
      </c>
      <c r="DW46">
        <v>34.090000000000003</v>
      </c>
      <c r="DX46">
        <v>63.63</v>
      </c>
      <c r="DY46">
        <v>145.44</v>
      </c>
      <c r="DZ46">
        <v>61.36</v>
      </c>
      <c r="EA46">
        <v>52.27</v>
      </c>
      <c r="EB46">
        <v>34.090000000000003</v>
      </c>
      <c r="EC46">
        <v>72.72</v>
      </c>
      <c r="ED46">
        <v>18.18</v>
      </c>
      <c r="EE46">
        <v>4.68</v>
      </c>
      <c r="EF46">
        <v>1431.64</v>
      </c>
      <c r="EG46">
        <v>1423.69</v>
      </c>
      <c r="EH46">
        <v>26.13</v>
      </c>
      <c r="EI46">
        <v>351.09</v>
      </c>
      <c r="EJ46">
        <v>610.15</v>
      </c>
      <c r="EK46">
        <v>468.12</v>
      </c>
      <c r="EL46">
        <v>2718.98</v>
      </c>
      <c r="EM46">
        <v>314.73</v>
      </c>
      <c r="EN46">
        <v>61.36</v>
      </c>
      <c r="EO46">
        <v>179.52</v>
      </c>
      <c r="EP46">
        <v>18.18</v>
      </c>
      <c r="EQ46">
        <v>2680.35</v>
      </c>
      <c r="ER46">
        <v>32.950000000000003</v>
      </c>
      <c r="ES46">
        <v>26.13</v>
      </c>
      <c r="ET46">
        <v>5.68</v>
      </c>
      <c r="EU46">
        <v>562.42999999999995</v>
      </c>
      <c r="EV46">
        <v>236.33</v>
      </c>
      <c r="EW46">
        <v>6.82</v>
      </c>
      <c r="EX46">
        <v>172.71</v>
      </c>
      <c r="EY46">
        <v>38.630000000000003</v>
      </c>
      <c r="EZ46">
        <v>30.68</v>
      </c>
      <c r="FA46">
        <v>112.49</v>
      </c>
      <c r="FB46">
        <v>4.68</v>
      </c>
      <c r="FC46">
        <v>62.49</v>
      </c>
      <c r="FD46">
        <v>9.09</v>
      </c>
      <c r="FE46">
        <v>5305.03</v>
      </c>
      <c r="FF46">
        <v>49.99</v>
      </c>
      <c r="FG46">
        <v>2730.34</v>
      </c>
      <c r="FH46">
        <v>3255.28</v>
      </c>
      <c r="FI46">
        <v>21.59</v>
      </c>
      <c r="FJ46">
        <v>544.25</v>
      </c>
      <c r="FK46">
        <v>594.24</v>
      </c>
      <c r="FL46">
        <v>77.260000000000005</v>
      </c>
      <c r="FM46">
        <v>313.60000000000002</v>
      </c>
      <c r="FN46">
        <v>121.58</v>
      </c>
      <c r="FO46">
        <v>79.540000000000006</v>
      </c>
      <c r="FP46">
        <v>25</v>
      </c>
      <c r="FQ46">
        <v>26.13</v>
      </c>
      <c r="FR46">
        <v>18.18</v>
      </c>
      <c r="FS46">
        <v>4.68</v>
      </c>
      <c r="FT46">
        <v>42.04</v>
      </c>
      <c r="FU46">
        <v>2948.5</v>
      </c>
      <c r="FV46">
        <v>2295.17</v>
      </c>
      <c r="FW46">
        <v>20.45</v>
      </c>
      <c r="FX46">
        <v>27.27</v>
      </c>
      <c r="FY46">
        <v>15.91</v>
      </c>
      <c r="FZ46">
        <v>3608.65</v>
      </c>
      <c r="GA46">
        <v>101.12</v>
      </c>
      <c r="GB46">
        <v>20.45</v>
      </c>
      <c r="GC46">
        <v>45.45</v>
      </c>
      <c r="GD46">
        <v>307.92</v>
      </c>
      <c r="GE46">
        <v>999.88</v>
      </c>
      <c r="GF46">
        <v>207.93</v>
      </c>
      <c r="GG46">
        <v>2496.2800000000002</v>
      </c>
      <c r="GH46">
        <v>1036.24</v>
      </c>
      <c r="GI46">
        <v>5839.05</v>
      </c>
      <c r="GJ46">
        <v>405.63</v>
      </c>
      <c r="GK46">
        <v>15809.41</v>
      </c>
      <c r="GL46">
        <v>171.57</v>
      </c>
      <c r="GM46">
        <v>10.23</v>
      </c>
      <c r="GN46">
        <v>10.23</v>
      </c>
      <c r="GO46">
        <v>1610.03</v>
      </c>
      <c r="GP46">
        <v>42.04</v>
      </c>
      <c r="GQ46">
        <v>461.31</v>
      </c>
      <c r="GR46">
        <v>376.09</v>
      </c>
      <c r="GS46">
        <v>413.59</v>
      </c>
      <c r="GT46">
        <v>326.10000000000002</v>
      </c>
      <c r="GU46">
        <v>6.82</v>
      </c>
      <c r="GV46">
        <v>29.54</v>
      </c>
      <c r="GW46">
        <v>14.77</v>
      </c>
      <c r="GX46">
        <v>176.11</v>
      </c>
      <c r="GY46">
        <v>271.56</v>
      </c>
      <c r="GZ46">
        <v>261.33</v>
      </c>
      <c r="HA46">
        <v>519.25</v>
      </c>
      <c r="HB46">
        <v>374.95</v>
      </c>
      <c r="HC46">
        <v>165.89</v>
      </c>
      <c r="HD46">
        <v>1264.6199999999999</v>
      </c>
      <c r="HE46">
        <v>20.45</v>
      </c>
      <c r="HF46">
        <v>2753.07</v>
      </c>
      <c r="HG46">
        <v>218.15</v>
      </c>
      <c r="HH46">
        <v>124.98</v>
      </c>
      <c r="HI46">
        <v>4.68</v>
      </c>
      <c r="HJ46">
        <v>456.76</v>
      </c>
      <c r="HK46">
        <v>3181.43</v>
      </c>
      <c r="HL46">
        <v>386.32</v>
      </c>
      <c r="HM46">
        <v>113.62</v>
      </c>
      <c r="HN46">
        <v>1629.34</v>
      </c>
      <c r="HO46">
        <v>4.68</v>
      </c>
      <c r="HP46">
        <v>77.260000000000005</v>
      </c>
      <c r="HQ46">
        <v>9179.5499999999993</v>
      </c>
      <c r="HR46">
        <v>264.74</v>
      </c>
      <c r="HS46">
        <v>26.13</v>
      </c>
      <c r="HT46">
        <v>35.22</v>
      </c>
      <c r="HU46">
        <v>294.27999999999997</v>
      </c>
      <c r="HV46">
        <v>97.72</v>
      </c>
      <c r="HW46">
        <v>2868.96</v>
      </c>
      <c r="HX46">
        <v>7.95</v>
      </c>
      <c r="HY46">
        <v>11.36</v>
      </c>
      <c r="HZ46">
        <v>103.4</v>
      </c>
      <c r="IA46">
        <v>118.17</v>
      </c>
      <c r="IB46">
        <v>82.94</v>
      </c>
      <c r="IC46">
        <v>57.95</v>
      </c>
      <c r="ID46">
        <v>25</v>
      </c>
      <c r="IE46">
        <v>26.13</v>
      </c>
      <c r="IF46">
        <v>1076</v>
      </c>
      <c r="IG46">
        <v>42.04</v>
      </c>
      <c r="IH46">
        <v>4.68</v>
      </c>
      <c r="II46">
        <v>331.78</v>
      </c>
      <c r="IJ46">
        <v>103.4</v>
      </c>
      <c r="IK46">
        <v>15.91</v>
      </c>
      <c r="IL46">
        <v>1197.58</v>
      </c>
      <c r="IM46">
        <v>338.59</v>
      </c>
      <c r="IN46">
        <v>106.81</v>
      </c>
      <c r="IO46">
        <v>681.73</v>
      </c>
      <c r="IP46">
        <v>22.72</v>
      </c>
      <c r="IQ46">
        <v>15.91</v>
      </c>
      <c r="IR46">
        <v>30.68</v>
      </c>
      <c r="IS46">
        <v>28.41</v>
      </c>
      <c r="IT46">
        <v>4.68</v>
      </c>
      <c r="IU46">
        <v>296.55</v>
      </c>
      <c r="IV46">
        <v>957.84</v>
      </c>
      <c r="IW46">
        <v>1290.75</v>
      </c>
      <c r="IX46">
        <v>2462.1999999999998</v>
      </c>
      <c r="IY46">
        <v>112.49</v>
      </c>
      <c r="IZ46">
        <v>13.63</v>
      </c>
      <c r="JA46">
        <v>215.88</v>
      </c>
      <c r="JB46">
        <v>369.27</v>
      </c>
      <c r="JC46">
        <v>70.45</v>
      </c>
      <c r="JD46">
        <v>595.38</v>
      </c>
      <c r="JE46">
        <v>22.72</v>
      </c>
      <c r="JF46">
        <v>10.23</v>
      </c>
      <c r="JG46">
        <v>43.18</v>
      </c>
      <c r="JH46">
        <v>169.3</v>
      </c>
      <c r="JI46">
        <v>344.28</v>
      </c>
      <c r="JJ46">
        <v>144.30000000000001</v>
      </c>
      <c r="JK46">
        <v>47.72</v>
      </c>
      <c r="JL46">
        <v>255.65</v>
      </c>
      <c r="JM46">
        <v>67.040000000000006</v>
      </c>
      <c r="JN46">
        <v>5.68</v>
      </c>
      <c r="JO46">
        <v>278.37</v>
      </c>
      <c r="JP46">
        <v>977.15</v>
      </c>
      <c r="JQ46">
        <v>3560.92</v>
      </c>
      <c r="JR46">
        <v>20.45</v>
      </c>
      <c r="JS46">
        <v>12.5</v>
      </c>
      <c r="JT46">
        <v>114.76</v>
      </c>
      <c r="JU46">
        <v>112.49</v>
      </c>
      <c r="JV46">
        <v>377.23</v>
      </c>
      <c r="JW46">
        <v>64.760000000000005</v>
      </c>
      <c r="JX46">
        <v>86.35</v>
      </c>
      <c r="JY46">
        <v>370.41</v>
      </c>
      <c r="JZ46">
        <v>19.32</v>
      </c>
      <c r="KA46">
        <v>4.68</v>
      </c>
      <c r="KB46">
        <v>13.63</v>
      </c>
      <c r="KC46">
        <v>39.770000000000003</v>
      </c>
      <c r="KD46">
        <v>14.77</v>
      </c>
      <c r="KE46">
        <v>157.94</v>
      </c>
      <c r="KF46">
        <v>64.760000000000005</v>
      </c>
      <c r="KG46">
        <v>242.02</v>
      </c>
      <c r="KH46">
        <v>68.17</v>
      </c>
      <c r="KI46">
        <v>315.87</v>
      </c>
      <c r="KJ46">
        <v>180.66</v>
      </c>
      <c r="KK46">
        <v>220.43</v>
      </c>
      <c r="KL46">
        <v>71.58</v>
      </c>
      <c r="KM46">
        <v>62.49</v>
      </c>
      <c r="KN46">
        <v>34.090000000000003</v>
      </c>
      <c r="KO46">
        <v>369.27</v>
      </c>
      <c r="KP46">
        <v>236.33</v>
      </c>
      <c r="KQ46">
        <v>4163.12</v>
      </c>
      <c r="KR46">
        <v>808.99</v>
      </c>
      <c r="KS46">
        <v>771.5</v>
      </c>
      <c r="KT46">
        <v>8822.77</v>
      </c>
      <c r="KU46">
        <v>28120.39</v>
      </c>
      <c r="KV46">
        <v>2397.4299999999998</v>
      </c>
      <c r="KW46">
        <v>253.38</v>
      </c>
      <c r="KX46">
        <v>144.30000000000001</v>
      </c>
      <c r="KY46">
        <v>36.36</v>
      </c>
      <c r="KZ46">
        <v>27.27</v>
      </c>
      <c r="LA46">
        <v>703.32</v>
      </c>
      <c r="LB46">
        <v>833.99</v>
      </c>
      <c r="LC46">
        <v>1211.21</v>
      </c>
      <c r="LD46">
        <v>4.68</v>
      </c>
      <c r="LE46">
        <v>491.98</v>
      </c>
      <c r="LF46">
        <v>2024.75</v>
      </c>
      <c r="LG46">
        <v>2171.3200000000002</v>
      </c>
      <c r="LH46">
        <v>593.11</v>
      </c>
      <c r="LI46">
        <v>4930.07</v>
      </c>
      <c r="LJ46">
        <v>361.32</v>
      </c>
      <c r="LK46">
        <v>793.08</v>
      </c>
      <c r="LL46">
        <v>211.34</v>
      </c>
      <c r="LM46">
        <v>7.95</v>
      </c>
      <c r="LN46">
        <v>210.2</v>
      </c>
      <c r="LO46">
        <v>235.2</v>
      </c>
      <c r="LP46">
        <v>1627.07</v>
      </c>
      <c r="LQ46">
        <v>526.07000000000005</v>
      </c>
      <c r="LR46">
        <v>152.25</v>
      </c>
      <c r="LS46">
        <v>36.36</v>
      </c>
      <c r="LT46">
        <v>23.86</v>
      </c>
      <c r="LU46">
        <v>122.71</v>
      </c>
      <c r="LV46">
        <v>278.37</v>
      </c>
      <c r="LW46">
        <v>154.53</v>
      </c>
      <c r="LX46">
        <v>2399.6999999999998</v>
      </c>
      <c r="LY46">
        <v>1572.53</v>
      </c>
      <c r="LZ46">
        <v>1939.53</v>
      </c>
      <c r="MA46">
        <v>176.11</v>
      </c>
      <c r="MB46">
        <v>231.79</v>
      </c>
      <c r="MC46">
        <v>177.25</v>
      </c>
      <c r="MD46">
        <v>26.13</v>
      </c>
      <c r="ME46">
        <v>36.36</v>
      </c>
      <c r="MF46">
        <v>120.44</v>
      </c>
      <c r="MG46">
        <v>2553.09</v>
      </c>
      <c r="MH46">
        <v>2306.5300000000002</v>
      </c>
      <c r="MI46">
        <v>4.68</v>
      </c>
      <c r="MJ46">
        <v>569.25</v>
      </c>
      <c r="MK46">
        <v>6.82</v>
      </c>
      <c r="ML46">
        <v>968.06</v>
      </c>
      <c r="MM46">
        <v>1223.71</v>
      </c>
      <c r="MN46">
        <v>497.67</v>
      </c>
      <c r="MO46">
        <v>4.68</v>
      </c>
      <c r="MP46">
        <v>85.22</v>
      </c>
      <c r="MQ46">
        <v>171.57</v>
      </c>
      <c r="MR46">
        <v>10.23</v>
      </c>
      <c r="MS46">
        <v>221.56</v>
      </c>
      <c r="MT46">
        <v>6118.56</v>
      </c>
      <c r="MU46">
        <v>21.59</v>
      </c>
      <c r="MV46">
        <v>59.08</v>
      </c>
      <c r="MW46">
        <v>93.17</v>
      </c>
      <c r="MX46">
        <v>131.80000000000001</v>
      </c>
      <c r="MY46">
        <v>5.68</v>
      </c>
      <c r="MZ46">
        <v>136.35</v>
      </c>
      <c r="NA46">
        <v>62.49</v>
      </c>
      <c r="NB46">
        <v>837.4</v>
      </c>
      <c r="NC46">
        <v>2040.66</v>
      </c>
      <c r="ND46">
        <v>3540.47</v>
      </c>
      <c r="NE46">
        <v>704.46</v>
      </c>
      <c r="NF46">
        <v>4.68</v>
      </c>
      <c r="NG46">
        <v>20.45</v>
      </c>
      <c r="NH46">
        <v>110.21</v>
      </c>
      <c r="NI46">
        <v>1882.72</v>
      </c>
      <c r="NJ46">
        <v>199.98</v>
      </c>
      <c r="NK46">
        <v>215.88</v>
      </c>
      <c r="NL46">
        <v>171.57</v>
      </c>
      <c r="NM46">
        <v>2406.52</v>
      </c>
      <c r="NN46">
        <v>2251.9899999999998</v>
      </c>
      <c r="NO46">
        <v>54.54</v>
      </c>
      <c r="NP46">
        <v>4.68</v>
      </c>
      <c r="NQ46">
        <v>7759.27</v>
      </c>
      <c r="NR46">
        <v>222.7</v>
      </c>
      <c r="NS46">
        <v>913.52</v>
      </c>
      <c r="NT46">
        <v>843.08</v>
      </c>
      <c r="NU46">
        <v>621.51</v>
      </c>
      <c r="NV46">
        <v>334.05</v>
      </c>
      <c r="NW46">
        <v>214.75</v>
      </c>
      <c r="NX46">
        <v>73.849999999999994</v>
      </c>
      <c r="NY46">
        <v>80.67</v>
      </c>
      <c r="NZ46">
        <v>279.51</v>
      </c>
      <c r="OA46">
        <v>201.11</v>
      </c>
      <c r="OB46">
        <v>353.37</v>
      </c>
      <c r="OC46">
        <v>280.64999999999998</v>
      </c>
      <c r="OD46">
        <v>416.99</v>
      </c>
      <c r="OE46">
        <v>871.48</v>
      </c>
      <c r="OF46">
        <v>70.45</v>
      </c>
      <c r="OG46">
        <v>1892.95</v>
      </c>
      <c r="OH46">
        <v>134.07</v>
      </c>
      <c r="OI46">
        <v>99.99</v>
      </c>
      <c r="OJ46">
        <v>61.36</v>
      </c>
      <c r="OK46">
        <v>2227</v>
      </c>
      <c r="OL46">
        <v>518.12</v>
      </c>
      <c r="OM46">
        <v>673.78</v>
      </c>
      <c r="ON46">
        <v>601.05999999999995</v>
      </c>
      <c r="OO46">
        <v>1007.83</v>
      </c>
      <c r="OP46">
        <v>277.24</v>
      </c>
      <c r="OQ46">
        <v>760.13</v>
      </c>
      <c r="OR46">
        <v>31.81</v>
      </c>
      <c r="OS46">
        <v>860.12</v>
      </c>
      <c r="OT46">
        <v>320.41000000000003</v>
      </c>
      <c r="OU46">
        <v>209.07</v>
      </c>
      <c r="OV46">
        <v>522.66</v>
      </c>
      <c r="OW46">
        <v>370.41</v>
      </c>
      <c r="OX46">
        <v>28.41</v>
      </c>
      <c r="OY46">
        <v>5.68</v>
      </c>
      <c r="OZ46">
        <v>4.68</v>
      </c>
      <c r="PA46">
        <v>4.68</v>
      </c>
      <c r="PB46">
        <v>434.04</v>
      </c>
      <c r="PC46">
        <v>31.81</v>
      </c>
      <c r="PD46">
        <v>19.32</v>
      </c>
      <c r="PE46">
        <v>25</v>
      </c>
      <c r="PF46">
        <v>459.03</v>
      </c>
      <c r="PG46">
        <v>22.72</v>
      </c>
      <c r="PH46">
        <v>80.67</v>
      </c>
      <c r="PI46">
        <v>88.63</v>
      </c>
      <c r="PJ46">
        <v>4690.33</v>
      </c>
      <c r="PK46">
        <v>15314.02</v>
      </c>
      <c r="PL46">
        <v>101.12</v>
      </c>
      <c r="PM46">
        <v>13725.58</v>
      </c>
      <c r="PN46">
        <v>1648.66</v>
      </c>
      <c r="PO46">
        <v>96.58</v>
      </c>
      <c r="PP46">
        <v>5207.3100000000004</v>
      </c>
      <c r="PQ46">
        <v>19.32</v>
      </c>
      <c r="PR46">
        <v>85.22</v>
      </c>
      <c r="PS46">
        <v>15.91</v>
      </c>
      <c r="PT46">
        <v>32.950000000000003</v>
      </c>
      <c r="PU46">
        <v>449.94</v>
      </c>
      <c r="PV46">
        <v>123.85</v>
      </c>
      <c r="PW46">
        <v>343.14</v>
      </c>
      <c r="PX46">
        <v>78.400000000000006</v>
      </c>
      <c r="PY46">
        <v>749.91</v>
      </c>
      <c r="PZ46">
        <v>32.950000000000003</v>
      </c>
      <c r="QA46">
        <v>317.01</v>
      </c>
      <c r="QB46">
        <v>6035.62</v>
      </c>
      <c r="QC46">
        <v>11.36</v>
      </c>
      <c r="QD46">
        <v>4.68</v>
      </c>
      <c r="QE46">
        <v>5.68</v>
      </c>
      <c r="QF46">
        <v>26.13</v>
      </c>
      <c r="QG46">
        <v>4.68</v>
      </c>
      <c r="QH46">
        <v>6.82</v>
      </c>
      <c r="QI46">
        <v>4.68</v>
      </c>
      <c r="QJ46">
        <v>187.48</v>
      </c>
      <c r="QK46">
        <v>47.72</v>
      </c>
      <c r="QL46">
        <v>222.7</v>
      </c>
      <c r="QM46">
        <v>586.29</v>
      </c>
      <c r="QN46">
        <v>527.21</v>
      </c>
      <c r="QO46">
        <v>20.45</v>
      </c>
      <c r="QP46">
        <v>130.66999999999999</v>
      </c>
      <c r="QQ46">
        <v>138.62</v>
      </c>
      <c r="QR46">
        <v>37.5</v>
      </c>
      <c r="QS46">
        <v>612.41999999999996</v>
      </c>
      <c r="QT46">
        <v>1189.6300000000001</v>
      </c>
      <c r="QU46">
        <v>107.94</v>
      </c>
      <c r="QV46">
        <v>228.38</v>
      </c>
      <c r="QW46">
        <v>74.989999999999995</v>
      </c>
      <c r="QX46">
        <v>101.12</v>
      </c>
      <c r="QY46">
        <v>57.95</v>
      </c>
      <c r="QZ46">
        <v>5.68</v>
      </c>
      <c r="RA46">
        <v>153.38999999999999</v>
      </c>
      <c r="RB46">
        <v>50225.62</v>
      </c>
      <c r="RC46">
        <v>156.80000000000001</v>
      </c>
      <c r="RD46">
        <v>4349.46</v>
      </c>
      <c r="RE46">
        <v>267.01</v>
      </c>
      <c r="RF46">
        <v>211.34</v>
      </c>
      <c r="RG46">
        <v>294.27999999999997</v>
      </c>
      <c r="RH46">
        <v>155.66</v>
      </c>
      <c r="RI46">
        <v>22.72</v>
      </c>
      <c r="RJ46">
        <v>123.85</v>
      </c>
      <c r="RK46">
        <v>4.68</v>
      </c>
      <c r="RL46">
        <v>121.58</v>
      </c>
      <c r="RM46">
        <v>110.21</v>
      </c>
      <c r="RN46">
        <v>294.27999999999997</v>
      </c>
      <c r="RO46">
        <v>95.44</v>
      </c>
      <c r="RP46">
        <v>234.06</v>
      </c>
      <c r="RQ46">
        <v>384.04</v>
      </c>
      <c r="RR46">
        <v>210.2</v>
      </c>
      <c r="RS46">
        <v>513.57000000000005</v>
      </c>
      <c r="RT46">
        <v>535.16</v>
      </c>
      <c r="RU46">
        <v>62.49</v>
      </c>
      <c r="RV46">
        <v>10.23</v>
      </c>
      <c r="RW46">
        <v>712.41</v>
      </c>
      <c r="RX46">
        <v>2180.41</v>
      </c>
      <c r="RY46">
        <v>1238.48</v>
      </c>
      <c r="RZ46">
        <v>54.54</v>
      </c>
      <c r="SA46">
        <v>376.09</v>
      </c>
      <c r="SB46">
        <v>21.59</v>
      </c>
      <c r="SC46">
        <v>104.53</v>
      </c>
      <c r="SD46">
        <v>1207.81</v>
      </c>
      <c r="SE46">
        <v>807.85</v>
      </c>
      <c r="SF46">
        <v>655.6</v>
      </c>
      <c r="SG46">
        <v>7480.89</v>
      </c>
      <c r="SH46">
        <v>122.71</v>
      </c>
      <c r="SI46">
        <v>81.81</v>
      </c>
      <c r="SJ46">
        <v>695.37</v>
      </c>
      <c r="SK46">
        <v>96.58</v>
      </c>
      <c r="SL46">
        <v>173.84</v>
      </c>
      <c r="SM46">
        <v>23.86</v>
      </c>
      <c r="SN46">
        <v>119.3</v>
      </c>
      <c r="SO46">
        <v>4.68</v>
      </c>
      <c r="SP46">
        <v>215.88</v>
      </c>
      <c r="SQ46">
        <v>1112.3599999999999</v>
      </c>
      <c r="SR46">
        <v>1150.99</v>
      </c>
      <c r="SS46">
        <v>1694.11</v>
      </c>
      <c r="ST46">
        <v>128.38999999999999</v>
      </c>
      <c r="SU46">
        <v>171.57</v>
      </c>
      <c r="SV46">
        <v>84.08</v>
      </c>
      <c r="SW46">
        <v>47.72</v>
      </c>
      <c r="SX46">
        <v>306.77999999999997</v>
      </c>
      <c r="SY46">
        <v>31.81</v>
      </c>
      <c r="SZ46">
        <v>4.68</v>
      </c>
      <c r="TA46">
        <v>4.68</v>
      </c>
      <c r="TB46">
        <v>1415.73</v>
      </c>
      <c r="TC46">
        <v>655.6</v>
      </c>
      <c r="TD46">
        <v>124.98</v>
      </c>
      <c r="TE46">
        <v>322.69</v>
      </c>
      <c r="TF46">
        <v>386.32</v>
      </c>
      <c r="TG46">
        <v>214.75</v>
      </c>
      <c r="TH46">
        <v>187.48</v>
      </c>
      <c r="TI46">
        <v>53.4</v>
      </c>
      <c r="TJ46">
        <v>9.09</v>
      </c>
      <c r="TK46">
        <v>117.03</v>
      </c>
      <c r="TL46">
        <v>196.57</v>
      </c>
      <c r="TM46">
        <v>131.80000000000001</v>
      </c>
      <c r="TN46">
        <v>1897.49</v>
      </c>
      <c r="TO46">
        <v>540.84</v>
      </c>
      <c r="TP46">
        <v>298.83</v>
      </c>
      <c r="TQ46">
        <v>2604.2199999999998</v>
      </c>
      <c r="TR46">
        <v>4.68</v>
      </c>
      <c r="TS46">
        <v>388.59</v>
      </c>
      <c r="TT46">
        <v>87.49</v>
      </c>
      <c r="TU46">
        <v>79.540000000000006</v>
      </c>
      <c r="TV46">
        <v>214.75</v>
      </c>
      <c r="TW46">
        <v>401.09</v>
      </c>
      <c r="TX46">
        <v>137.47999999999999</v>
      </c>
      <c r="TY46">
        <v>64.760000000000005</v>
      </c>
      <c r="TZ46">
        <v>186.34</v>
      </c>
      <c r="UA46">
        <v>215.88</v>
      </c>
      <c r="UB46">
        <v>176.11</v>
      </c>
      <c r="UC46">
        <v>8869.36</v>
      </c>
      <c r="UD46">
        <v>9.09</v>
      </c>
      <c r="UE46">
        <v>31.81</v>
      </c>
      <c r="UF46">
        <v>2498.56</v>
      </c>
      <c r="UG46">
        <v>99.99</v>
      </c>
      <c r="UH46">
        <v>9.09</v>
      </c>
      <c r="UI46">
        <v>37.5</v>
      </c>
      <c r="UJ46">
        <v>84.08</v>
      </c>
      <c r="UK46">
        <v>29.54</v>
      </c>
      <c r="UL46">
        <v>20.45</v>
      </c>
      <c r="UM46">
        <v>17.04</v>
      </c>
      <c r="UN46">
        <v>217.02</v>
      </c>
      <c r="UO46">
        <v>248.83</v>
      </c>
      <c r="UP46">
        <v>4.68</v>
      </c>
      <c r="UQ46">
        <v>4.68</v>
      </c>
      <c r="UR46">
        <v>4.68</v>
      </c>
      <c r="US46">
        <v>79.540000000000006</v>
      </c>
      <c r="UT46">
        <v>234.06</v>
      </c>
      <c r="UU46">
        <v>891.94</v>
      </c>
      <c r="UV46">
        <v>407.9</v>
      </c>
      <c r="UW46">
        <v>318.14</v>
      </c>
      <c r="UX46">
        <v>55.67</v>
      </c>
      <c r="UY46">
        <v>621.51</v>
      </c>
      <c r="UZ46">
        <v>65.900000000000006</v>
      </c>
      <c r="VA46">
        <v>2851.92</v>
      </c>
      <c r="VB46">
        <v>1408.92</v>
      </c>
      <c r="VC46">
        <v>174.98</v>
      </c>
      <c r="VD46">
        <v>147.71</v>
      </c>
      <c r="VE46">
        <v>39.770000000000003</v>
      </c>
      <c r="VF46">
        <v>327.23</v>
      </c>
      <c r="VG46">
        <v>18.18</v>
      </c>
      <c r="VH46">
        <v>32.950000000000003</v>
      </c>
      <c r="VI46">
        <v>40.9</v>
      </c>
      <c r="VJ46">
        <v>5.68</v>
      </c>
      <c r="VK46">
        <v>607.88</v>
      </c>
      <c r="VL46">
        <v>851.03</v>
      </c>
      <c r="VM46">
        <v>677.19</v>
      </c>
      <c r="VN46">
        <v>446.54</v>
      </c>
      <c r="VO46">
        <v>28.41</v>
      </c>
      <c r="VP46">
        <v>4.68</v>
      </c>
      <c r="VQ46">
        <v>596.52</v>
      </c>
      <c r="VR46">
        <v>272.69</v>
      </c>
      <c r="VS46">
        <v>310.19</v>
      </c>
      <c r="VT46">
        <v>49.99</v>
      </c>
      <c r="VU46">
        <v>46.59</v>
      </c>
      <c r="VV46">
        <v>195.43</v>
      </c>
      <c r="VW46">
        <v>293.14999999999998</v>
      </c>
      <c r="VX46">
        <v>110.21</v>
      </c>
      <c r="VY46">
        <v>6.82</v>
      </c>
      <c r="VZ46">
        <v>16372.98</v>
      </c>
      <c r="WA46">
        <v>9380.66</v>
      </c>
      <c r="WB46">
        <v>259.06</v>
      </c>
      <c r="WC46">
        <v>181.8</v>
      </c>
      <c r="WD46">
        <v>118.17</v>
      </c>
      <c r="WE46">
        <v>80.67</v>
      </c>
      <c r="WF46">
        <v>153.38999999999999</v>
      </c>
      <c r="WG46">
        <v>920.34</v>
      </c>
      <c r="WH46">
        <v>20265.68</v>
      </c>
      <c r="WI46">
        <v>35441.08</v>
      </c>
      <c r="WJ46">
        <v>596.52</v>
      </c>
      <c r="WK46">
        <v>289.74</v>
      </c>
      <c r="WL46">
        <v>481.76</v>
      </c>
      <c r="WM46">
        <v>30.68</v>
      </c>
      <c r="WN46">
        <v>103.4</v>
      </c>
      <c r="WO46">
        <v>5.68</v>
      </c>
      <c r="WP46">
        <v>218.15</v>
      </c>
      <c r="WQ46">
        <v>1105.55</v>
      </c>
      <c r="WR46">
        <v>1635.03</v>
      </c>
      <c r="WS46">
        <v>242.02</v>
      </c>
      <c r="WT46">
        <v>109.08</v>
      </c>
      <c r="WU46">
        <v>554.48</v>
      </c>
      <c r="WV46">
        <v>521.53</v>
      </c>
      <c r="WW46">
        <v>68.17</v>
      </c>
      <c r="WX46">
        <v>110.21</v>
      </c>
      <c r="WY46">
        <v>7.95</v>
      </c>
      <c r="WZ46">
        <v>5.68</v>
      </c>
      <c r="XA46">
        <v>4.68</v>
      </c>
      <c r="XB46">
        <v>969.2</v>
      </c>
      <c r="XC46">
        <v>17.04</v>
      </c>
      <c r="XD46">
        <v>84.08</v>
      </c>
      <c r="XE46">
        <v>471.53</v>
      </c>
      <c r="XF46">
        <v>588.55999999999995</v>
      </c>
      <c r="XG46">
        <v>786.27</v>
      </c>
      <c r="XH46">
        <v>151.12</v>
      </c>
      <c r="XI46">
        <v>839.67</v>
      </c>
      <c r="XJ46">
        <v>481.76</v>
      </c>
      <c r="XK46">
        <v>422.68</v>
      </c>
      <c r="XL46">
        <v>145.44</v>
      </c>
      <c r="XM46">
        <v>89.76</v>
      </c>
      <c r="XN46">
        <v>329.5</v>
      </c>
      <c r="XO46">
        <v>134.07</v>
      </c>
      <c r="XP46">
        <v>29.54</v>
      </c>
      <c r="XQ46">
        <v>26.13</v>
      </c>
      <c r="XR46">
        <v>31.81</v>
      </c>
      <c r="XS46">
        <v>2506.5100000000002</v>
      </c>
      <c r="XT46">
        <v>270.42</v>
      </c>
      <c r="XU46">
        <v>295.42</v>
      </c>
      <c r="XV46">
        <v>407.9</v>
      </c>
      <c r="XW46">
        <v>824.9</v>
      </c>
      <c r="XX46">
        <v>993.06</v>
      </c>
      <c r="XY46">
        <v>2021.34</v>
      </c>
      <c r="XZ46">
        <v>127.26</v>
      </c>
      <c r="YA46">
        <v>3250.74</v>
      </c>
      <c r="YB46">
        <v>213.61</v>
      </c>
      <c r="YC46">
        <v>26.13</v>
      </c>
      <c r="YD46">
        <v>663.55</v>
      </c>
      <c r="YE46">
        <v>264.74</v>
      </c>
      <c r="YF46">
        <v>827.17</v>
      </c>
      <c r="YG46">
        <v>65.900000000000006</v>
      </c>
      <c r="YH46">
        <v>10.23</v>
      </c>
      <c r="YI46">
        <v>93.17</v>
      </c>
      <c r="YJ46">
        <v>355.64</v>
      </c>
      <c r="YK46">
        <v>9.09</v>
      </c>
      <c r="YL46">
        <v>298.83</v>
      </c>
      <c r="YM46">
        <v>2584.91</v>
      </c>
      <c r="YN46">
        <v>103.4</v>
      </c>
      <c r="YO46">
        <v>876.03</v>
      </c>
      <c r="YP46">
        <v>1650.93</v>
      </c>
      <c r="YQ46">
        <v>413.59</v>
      </c>
      <c r="YR46">
        <v>126.12</v>
      </c>
      <c r="YS46">
        <v>19874.82</v>
      </c>
      <c r="YT46">
        <v>530.62</v>
      </c>
      <c r="YU46">
        <v>148.85</v>
      </c>
      <c r="YV46">
        <v>240.88</v>
      </c>
      <c r="YW46">
        <v>122.71</v>
      </c>
      <c r="YX46">
        <v>54.54</v>
      </c>
      <c r="YY46">
        <v>428.36</v>
      </c>
      <c r="YZ46">
        <v>26.13</v>
      </c>
      <c r="ZA46">
        <v>160.21</v>
      </c>
      <c r="ZB46">
        <v>19.32</v>
      </c>
      <c r="ZC46">
        <v>5.68</v>
      </c>
      <c r="ZD46">
        <v>65.900000000000006</v>
      </c>
      <c r="ZE46">
        <v>28.41</v>
      </c>
      <c r="ZF46">
        <v>117.03</v>
      </c>
      <c r="ZG46">
        <v>559.02</v>
      </c>
      <c r="ZH46">
        <v>139.76</v>
      </c>
      <c r="ZI46">
        <v>332.91</v>
      </c>
      <c r="ZJ46">
        <v>1082.82</v>
      </c>
      <c r="ZK46">
        <v>265.88</v>
      </c>
      <c r="ZL46">
        <v>20.45</v>
      </c>
      <c r="ZM46">
        <v>206.79</v>
      </c>
      <c r="ZN46">
        <v>30.68</v>
      </c>
      <c r="ZO46">
        <v>37.5</v>
      </c>
      <c r="ZP46">
        <v>457.9</v>
      </c>
      <c r="ZQ46">
        <v>6.82</v>
      </c>
      <c r="ZR46">
        <v>13.63</v>
      </c>
      <c r="ZS46">
        <v>863.53</v>
      </c>
      <c r="ZT46">
        <v>394.27</v>
      </c>
      <c r="ZU46">
        <v>202.25</v>
      </c>
      <c r="ZV46">
        <v>17.04</v>
      </c>
      <c r="ZW46">
        <v>9.09</v>
      </c>
      <c r="ZX46">
        <v>99.99</v>
      </c>
      <c r="ZY46">
        <v>698.78</v>
      </c>
      <c r="ZZ46">
        <v>267.01</v>
      </c>
      <c r="AAA46">
        <v>49.99</v>
      </c>
      <c r="AAB46">
        <v>35.22</v>
      </c>
      <c r="AAC46">
        <v>4.68</v>
      </c>
      <c r="AAD46">
        <v>36.36</v>
      </c>
      <c r="AAE46">
        <v>19.32</v>
      </c>
      <c r="AAF46">
        <v>9.09</v>
      </c>
      <c r="AAG46">
        <v>243.15</v>
      </c>
      <c r="AAH46">
        <v>236.33</v>
      </c>
      <c r="AAI46">
        <v>5794.74</v>
      </c>
      <c r="AAJ46">
        <v>770.36</v>
      </c>
      <c r="AAK46">
        <v>1338.47</v>
      </c>
      <c r="AAL46">
        <v>189.75</v>
      </c>
      <c r="AAM46">
        <v>47.72</v>
      </c>
      <c r="AAN46">
        <v>933.98</v>
      </c>
      <c r="AAO46">
        <v>54.54</v>
      </c>
      <c r="AAP46">
        <v>107.94</v>
      </c>
      <c r="AAQ46">
        <v>27.27</v>
      </c>
      <c r="AAR46">
        <v>60.22</v>
      </c>
      <c r="AAS46">
        <v>1244.1600000000001</v>
      </c>
      <c r="AAT46">
        <v>104.53</v>
      </c>
      <c r="AAU46">
        <v>4.68</v>
      </c>
      <c r="AAV46">
        <v>1030.55</v>
      </c>
      <c r="AAW46">
        <v>56.81</v>
      </c>
      <c r="AAX46">
        <v>76.13</v>
      </c>
      <c r="AAY46">
        <v>51.13</v>
      </c>
      <c r="AAZ46">
        <v>19.32</v>
      </c>
      <c r="ABA46">
        <v>95.44</v>
      </c>
      <c r="ABB46">
        <v>28.41</v>
      </c>
      <c r="ABC46">
        <v>1461.18</v>
      </c>
      <c r="ABD46">
        <v>2859.87</v>
      </c>
      <c r="ABE46">
        <v>379.5</v>
      </c>
      <c r="ABF46">
        <v>281.77999999999997</v>
      </c>
      <c r="ABG46">
        <v>81.81</v>
      </c>
      <c r="ABH46">
        <v>228.38</v>
      </c>
      <c r="ABI46">
        <v>4.68</v>
      </c>
      <c r="ABJ46">
        <v>27.27</v>
      </c>
      <c r="ABK46">
        <v>46.59</v>
      </c>
      <c r="ABL46">
        <v>9.09</v>
      </c>
      <c r="ABM46">
        <v>81.81</v>
      </c>
      <c r="ABN46">
        <v>84.08</v>
      </c>
      <c r="ABO46">
        <v>18.18</v>
      </c>
      <c r="ABP46">
        <v>12.5</v>
      </c>
      <c r="ABQ46">
        <v>548.79999999999995</v>
      </c>
      <c r="ABR46">
        <v>34.090000000000003</v>
      </c>
      <c r="ABS46">
        <v>2163.37</v>
      </c>
      <c r="ABT46">
        <v>22.72</v>
      </c>
      <c r="ABU46">
        <v>42.04</v>
      </c>
      <c r="ABV46">
        <v>164.75</v>
      </c>
      <c r="ABW46">
        <v>988.51</v>
      </c>
      <c r="ABX46">
        <v>1871.36</v>
      </c>
      <c r="ABY46">
        <v>347.68</v>
      </c>
      <c r="ABZ46">
        <v>137.47999999999999</v>
      </c>
      <c r="ACA46">
        <v>480.62</v>
      </c>
      <c r="ACB46">
        <v>288.60000000000002</v>
      </c>
      <c r="ACC46">
        <v>120.44</v>
      </c>
      <c r="ACD46">
        <v>285.19</v>
      </c>
      <c r="ACE46">
        <v>139.76</v>
      </c>
      <c r="ACF46">
        <v>4759.6400000000003</v>
      </c>
      <c r="ACG46">
        <v>1399.83</v>
      </c>
      <c r="ACH46">
        <v>462.44</v>
      </c>
      <c r="ACI46">
        <v>382.91</v>
      </c>
      <c r="ACJ46">
        <v>694.23</v>
      </c>
      <c r="ACK46">
        <v>340.87</v>
      </c>
      <c r="ACL46">
        <v>51.13</v>
      </c>
      <c r="ACM46">
        <v>327.23</v>
      </c>
      <c r="ACN46">
        <v>276.10000000000002</v>
      </c>
      <c r="ACO46">
        <v>835.12</v>
      </c>
      <c r="ACP46">
        <v>412.45</v>
      </c>
      <c r="ACQ46">
        <v>320.41000000000003</v>
      </c>
      <c r="ACR46">
        <v>5672.03</v>
      </c>
    </row>
    <row r="47" spans="1:772" x14ac:dyDescent="0.3">
      <c r="A47" t="s">
        <v>20</v>
      </c>
      <c r="B47" t="s">
        <v>1</v>
      </c>
      <c r="C47">
        <v>529.59</v>
      </c>
      <c r="D47">
        <v>66.760000000000005</v>
      </c>
      <c r="E47">
        <v>796.64</v>
      </c>
      <c r="F47">
        <v>11.78</v>
      </c>
      <c r="G47">
        <v>2161.13</v>
      </c>
      <c r="H47">
        <v>30.01</v>
      </c>
      <c r="I47">
        <v>1481.51</v>
      </c>
      <c r="J47">
        <v>8691.76</v>
      </c>
      <c r="K47">
        <v>137.27000000000001</v>
      </c>
      <c r="L47">
        <v>25.5</v>
      </c>
      <c r="M47">
        <v>284.3</v>
      </c>
      <c r="N47">
        <v>333.81</v>
      </c>
      <c r="O47">
        <v>992.42</v>
      </c>
      <c r="P47">
        <v>303.8</v>
      </c>
      <c r="Q47">
        <v>68.260000000000005</v>
      </c>
      <c r="R47">
        <v>1643.54</v>
      </c>
      <c r="S47">
        <v>11.78</v>
      </c>
      <c r="T47">
        <v>742.63</v>
      </c>
      <c r="U47">
        <v>396.07</v>
      </c>
      <c r="V47">
        <v>164.28</v>
      </c>
      <c r="W47">
        <v>10409.56</v>
      </c>
      <c r="X47">
        <v>11.78</v>
      </c>
      <c r="Y47">
        <v>80.260000000000005</v>
      </c>
      <c r="Z47">
        <v>316.55</v>
      </c>
      <c r="AA47">
        <v>30.01</v>
      </c>
      <c r="AB47">
        <v>392.32</v>
      </c>
      <c r="AC47">
        <v>454.58</v>
      </c>
      <c r="AD47">
        <v>129.02000000000001</v>
      </c>
      <c r="AE47">
        <v>572.35</v>
      </c>
      <c r="AF47">
        <v>16874.18</v>
      </c>
      <c r="AG47">
        <v>143.27000000000001</v>
      </c>
      <c r="AH47">
        <v>90.02</v>
      </c>
      <c r="AI47">
        <v>18</v>
      </c>
      <c r="AJ47">
        <v>752.38</v>
      </c>
      <c r="AK47">
        <v>145.53</v>
      </c>
      <c r="AL47">
        <v>121.52</v>
      </c>
      <c r="AM47">
        <v>165.78</v>
      </c>
      <c r="AN47">
        <v>29.26</v>
      </c>
      <c r="AO47">
        <v>1047.93</v>
      </c>
      <c r="AP47">
        <v>30.01</v>
      </c>
      <c r="AQ47">
        <v>210.04</v>
      </c>
      <c r="AR47">
        <v>19.5</v>
      </c>
      <c r="AS47">
        <v>739.63</v>
      </c>
      <c r="AT47">
        <v>11.78</v>
      </c>
      <c r="AU47">
        <v>54.01</v>
      </c>
      <c r="AV47">
        <v>717.12</v>
      </c>
      <c r="AW47">
        <v>144.03</v>
      </c>
      <c r="AX47">
        <v>1209.21</v>
      </c>
      <c r="AY47">
        <v>130.52000000000001</v>
      </c>
      <c r="AZ47">
        <v>155.28</v>
      </c>
      <c r="BA47">
        <v>281.3</v>
      </c>
      <c r="BB47">
        <v>375.07</v>
      </c>
      <c r="BC47">
        <v>142.52000000000001</v>
      </c>
      <c r="BD47">
        <v>11.78</v>
      </c>
      <c r="BE47">
        <v>83.26</v>
      </c>
      <c r="BF47">
        <v>183.78</v>
      </c>
      <c r="BG47">
        <v>42.01</v>
      </c>
      <c r="BH47">
        <v>11.78</v>
      </c>
      <c r="BI47">
        <v>16.5</v>
      </c>
      <c r="BJ47">
        <v>11.78</v>
      </c>
      <c r="BK47">
        <v>313.55</v>
      </c>
      <c r="BL47">
        <v>622.61</v>
      </c>
      <c r="BM47">
        <v>87.02</v>
      </c>
      <c r="BN47">
        <v>47.26</v>
      </c>
      <c r="BO47">
        <v>110.27</v>
      </c>
      <c r="BP47">
        <v>27</v>
      </c>
      <c r="BQ47">
        <v>42.01</v>
      </c>
      <c r="BR47">
        <v>60.76</v>
      </c>
      <c r="BS47">
        <v>11.78</v>
      </c>
      <c r="BT47">
        <v>1906.83</v>
      </c>
      <c r="BU47">
        <v>293.3</v>
      </c>
      <c r="BV47">
        <v>25.5</v>
      </c>
      <c r="BW47">
        <v>22.5</v>
      </c>
      <c r="BX47">
        <v>538.59</v>
      </c>
      <c r="BY47">
        <v>73.510000000000005</v>
      </c>
      <c r="BZ47">
        <v>604.6</v>
      </c>
      <c r="CA47">
        <v>113.27</v>
      </c>
      <c r="CB47">
        <v>75.010000000000005</v>
      </c>
      <c r="CC47">
        <v>305.3</v>
      </c>
      <c r="CD47">
        <v>933.16</v>
      </c>
      <c r="CE47">
        <v>1063.68</v>
      </c>
      <c r="CF47">
        <v>684.12</v>
      </c>
      <c r="CG47">
        <v>54.76</v>
      </c>
      <c r="CH47">
        <v>195.03</v>
      </c>
      <c r="CI47">
        <v>24</v>
      </c>
      <c r="CJ47">
        <v>16.5</v>
      </c>
      <c r="CK47">
        <v>17.25</v>
      </c>
      <c r="CL47">
        <v>39.01</v>
      </c>
      <c r="CM47">
        <v>176.28</v>
      </c>
      <c r="CN47">
        <v>66.010000000000005</v>
      </c>
      <c r="CO47">
        <v>16.5</v>
      </c>
      <c r="CP47">
        <v>11.78</v>
      </c>
      <c r="CQ47">
        <v>57.76</v>
      </c>
      <c r="CR47">
        <v>27</v>
      </c>
      <c r="CS47">
        <v>11.78</v>
      </c>
      <c r="CT47">
        <v>11.78</v>
      </c>
      <c r="CU47">
        <v>20.25</v>
      </c>
      <c r="CV47">
        <v>174.03</v>
      </c>
      <c r="CW47">
        <v>1421.5</v>
      </c>
      <c r="CX47">
        <v>11.78</v>
      </c>
      <c r="CY47">
        <v>91.52</v>
      </c>
      <c r="CZ47">
        <v>35.26</v>
      </c>
      <c r="DA47">
        <v>13.5</v>
      </c>
      <c r="DB47">
        <v>50.26</v>
      </c>
      <c r="DC47">
        <v>21.75</v>
      </c>
      <c r="DD47">
        <v>11.78</v>
      </c>
      <c r="DE47">
        <v>20.25</v>
      </c>
      <c r="DF47">
        <v>146.28</v>
      </c>
      <c r="DG47">
        <v>11.78</v>
      </c>
      <c r="DH47">
        <v>3741.65</v>
      </c>
      <c r="DI47">
        <v>13.5</v>
      </c>
      <c r="DJ47">
        <v>27.75</v>
      </c>
      <c r="DK47">
        <v>81.010000000000005</v>
      </c>
      <c r="DL47">
        <v>1916.58</v>
      </c>
      <c r="DM47">
        <v>40.51</v>
      </c>
      <c r="DN47">
        <v>21</v>
      </c>
      <c r="DO47">
        <v>43.51</v>
      </c>
      <c r="DP47">
        <v>15.75</v>
      </c>
      <c r="DQ47">
        <v>938.41</v>
      </c>
      <c r="DR47">
        <v>24.75</v>
      </c>
      <c r="DS47">
        <v>11.78</v>
      </c>
      <c r="DT47">
        <v>15</v>
      </c>
      <c r="DU47">
        <v>1817.57</v>
      </c>
      <c r="DV47">
        <v>16.5</v>
      </c>
      <c r="DW47">
        <v>11.78</v>
      </c>
      <c r="DX47">
        <v>27.75</v>
      </c>
      <c r="DY47">
        <v>74.260000000000005</v>
      </c>
      <c r="DZ47">
        <v>50.26</v>
      </c>
      <c r="EA47">
        <v>27</v>
      </c>
      <c r="EB47">
        <v>24.75</v>
      </c>
      <c r="EC47">
        <v>32.26</v>
      </c>
      <c r="ED47">
        <v>182.28</v>
      </c>
      <c r="EE47">
        <v>18</v>
      </c>
      <c r="EF47">
        <v>1710.3</v>
      </c>
      <c r="EG47">
        <v>958.67</v>
      </c>
      <c r="EH47">
        <v>56.26</v>
      </c>
      <c r="EI47">
        <v>47.26</v>
      </c>
      <c r="EJ47">
        <v>621.11</v>
      </c>
      <c r="EK47">
        <v>1119.94</v>
      </c>
      <c r="EL47">
        <v>1966.09</v>
      </c>
      <c r="EM47">
        <v>139.52000000000001</v>
      </c>
      <c r="EN47">
        <v>268.55</v>
      </c>
      <c r="EO47">
        <v>215.29</v>
      </c>
      <c r="EP47">
        <v>17.25</v>
      </c>
      <c r="EQ47">
        <v>1805.56</v>
      </c>
      <c r="ER47">
        <v>171.78</v>
      </c>
      <c r="ES47">
        <v>310.55</v>
      </c>
      <c r="ET47">
        <v>11.78</v>
      </c>
      <c r="EU47">
        <v>381.07</v>
      </c>
      <c r="EV47">
        <v>94.52</v>
      </c>
      <c r="EW47">
        <v>11.78</v>
      </c>
      <c r="EX47">
        <v>30.01</v>
      </c>
      <c r="EY47">
        <v>26.25</v>
      </c>
      <c r="EZ47">
        <v>11.78</v>
      </c>
      <c r="FA47">
        <v>45.01</v>
      </c>
      <c r="FB47">
        <v>17.25</v>
      </c>
      <c r="FC47">
        <v>79.510000000000005</v>
      </c>
      <c r="FD47">
        <v>11.78</v>
      </c>
      <c r="FE47">
        <v>8948.2999999999993</v>
      </c>
      <c r="FF47">
        <v>63.01</v>
      </c>
      <c r="FG47">
        <v>1714.8</v>
      </c>
      <c r="FH47">
        <v>2014.1</v>
      </c>
      <c r="FI47">
        <v>47.26</v>
      </c>
      <c r="FJ47">
        <v>96.77</v>
      </c>
      <c r="FK47">
        <v>504.84</v>
      </c>
      <c r="FL47">
        <v>37.51</v>
      </c>
      <c r="FM47">
        <v>109.52</v>
      </c>
      <c r="FN47">
        <v>108.02</v>
      </c>
      <c r="FO47">
        <v>23.25</v>
      </c>
      <c r="FP47">
        <v>11.78</v>
      </c>
      <c r="FQ47">
        <v>17.25</v>
      </c>
      <c r="FR47">
        <v>13.5</v>
      </c>
      <c r="FS47">
        <v>11.78</v>
      </c>
      <c r="FT47">
        <v>30.01</v>
      </c>
      <c r="FU47">
        <v>3415.34</v>
      </c>
      <c r="FV47">
        <v>1702.05</v>
      </c>
      <c r="FW47">
        <v>11.78</v>
      </c>
      <c r="FX47">
        <v>172.53</v>
      </c>
      <c r="FY47">
        <v>11.78</v>
      </c>
      <c r="FZ47">
        <v>1644.29</v>
      </c>
      <c r="GA47">
        <v>799.64</v>
      </c>
      <c r="GB47">
        <v>117.02</v>
      </c>
      <c r="GC47">
        <v>30.76</v>
      </c>
      <c r="GD47">
        <v>62.26</v>
      </c>
      <c r="GE47">
        <v>1298.48</v>
      </c>
      <c r="GF47">
        <v>148.53</v>
      </c>
      <c r="GG47">
        <v>1574.52</v>
      </c>
      <c r="GH47">
        <v>286.55</v>
      </c>
      <c r="GI47">
        <v>741.88</v>
      </c>
      <c r="GJ47">
        <v>253.54</v>
      </c>
      <c r="GK47">
        <v>8731.52</v>
      </c>
      <c r="GL47">
        <v>207.04</v>
      </c>
      <c r="GM47">
        <v>16.5</v>
      </c>
      <c r="GN47">
        <v>11.78</v>
      </c>
      <c r="GO47">
        <v>449.33</v>
      </c>
      <c r="GP47">
        <v>15.75</v>
      </c>
      <c r="GQ47">
        <v>72.760000000000005</v>
      </c>
      <c r="GR47">
        <v>165.03</v>
      </c>
      <c r="GS47">
        <v>155.28</v>
      </c>
      <c r="GT47">
        <v>347.31</v>
      </c>
      <c r="GU47">
        <v>12.75</v>
      </c>
      <c r="GV47">
        <v>28.5</v>
      </c>
      <c r="GW47">
        <v>130.52000000000001</v>
      </c>
      <c r="GX47">
        <v>206.29</v>
      </c>
      <c r="GY47">
        <v>42.76</v>
      </c>
      <c r="GZ47">
        <v>309.05</v>
      </c>
      <c r="HA47">
        <v>365.31</v>
      </c>
      <c r="HB47">
        <v>626.36</v>
      </c>
      <c r="HC47">
        <v>69.760000000000005</v>
      </c>
      <c r="HD47">
        <v>832.64</v>
      </c>
      <c r="HE47">
        <v>30.01</v>
      </c>
      <c r="HF47">
        <v>1326.98</v>
      </c>
      <c r="HG47">
        <v>317.31</v>
      </c>
      <c r="HH47">
        <v>106.52</v>
      </c>
      <c r="HI47">
        <v>23.25</v>
      </c>
      <c r="HJ47">
        <v>1813.06</v>
      </c>
      <c r="HK47">
        <v>2266.14</v>
      </c>
      <c r="HL47">
        <v>981.92</v>
      </c>
      <c r="HM47">
        <v>93.02</v>
      </c>
      <c r="HN47">
        <v>906.91</v>
      </c>
      <c r="HO47">
        <v>11.78</v>
      </c>
      <c r="HP47">
        <v>96.77</v>
      </c>
      <c r="HQ47">
        <v>8405.2099999999991</v>
      </c>
      <c r="HR47">
        <v>79.510000000000005</v>
      </c>
      <c r="HS47">
        <v>252.04</v>
      </c>
      <c r="HT47">
        <v>240.04</v>
      </c>
      <c r="HU47">
        <v>217.54</v>
      </c>
      <c r="HV47">
        <v>139.52000000000001</v>
      </c>
      <c r="HW47">
        <v>3142.3</v>
      </c>
      <c r="HX47">
        <v>20.25</v>
      </c>
      <c r="HY47">
        <v>62.26</v>
      </c>
      <c r="HZ47">
        <v>195.03</v>
      </c>
      <c r="IA47">
        <v>319.56</v>
      </c>
      <c r="IB47">
        <v>129.02000000000001</v>
      </c>
      <c r="IC47">
        <v>29.26</v>
      </c>
      <c r="ID47">
        <v>11.78</v>
      </c>
      <c r="IE47">
        <v>71.260000000000005</v>
      </c>
      <c r="IF47">
        <v>1237.71</v>
      </c>
      <c r="IG47">
        <v>36.76</v>
      </c>
      <c r="IH47">
        <v>11.78</v>
      </c>
      <c r="II47">
        <v>37.51</v>
      </c>
      <c r="IJ47">
        <v>27</v>
      </c>
      <c r="IK47">
        <v>19.5</v>
      </c>
      <c r="IL47">
        <v>317.31</v>
      </c>
      <c r="IM47">
        <v>99.77</v>
      </c>
      <c r="IN47">
        <v>42.76</v>
      </c>
      <c r="IO47">
        <v>19.5</v>
      </c>
      <c r="IP47">
        <v>16.5</v>
      </c>
      <c r="IQ47">
        <v>16.5</v>
      </c>
      <c r="IR47">
        <v>26.25</v>
      </c>
      <c r="IS47">
        <v>21.75</v>
      </c>
      <c r="IT47">
        <v>11.78</v>
      </c>
      <c r="IU47">
        <v>63.76</v>
      </c>
      <c r="IV47">
        <v>1360.74</v>
      </c>
      <c r="IW47">
        <v>351.06</v>
      </c>
      <c r="IX47">
        <v>4581.05</v>
      </c>
      <c r="IY47">
        <v>14.25</v>
      </c>
      <c r="IZ47">
        <v>21.75</v>
      </c>
      <c r="JA47">
        <v>215.29</v>
      </c>
      <c r="JB47">
        <v>410.32</v>
      </c>
      <c r="JC47">
        <v>51.76</v>
      </c>
      <c r="JD47">
        <v>188.28</v>
      </c>
      <c r="JE47">
        <v>18.75</v>
      </c>
      <c r="JF47">
        <v>12</v>
      </c>
      <c r="JG47">
        <v>30.01</v>
      </c>
      <c r="JH47">
        <v>433.58</v>
      </c>
      <c r="JI47">
        <v>248.29</v>
      </c>
      <c r="JJ47">
        <v>180.03</v>
      </c>
      <c r="JK47">
        <v>27.75</v>
      </c>
      <c r="JL47">
        <v>94.52</v>
      </c>
      <c r="JM47">
        <v>17.25</v>
      </c>
      <c r="JN47">
        <v>13.5</v>
      </c>
      <c r="JO47">
        <v>232.54</v>
      </c>
      <c r="JP47">
        <v>1389.99</v>
      </c>
      <c r="JQ47">
        <v>1214.46</v>
      </c>
      <c r="JR47">
        <v>15.75</v>
      </c>
      <c r="JS47">
        <v>13.5</v>
      </c>
      <c r="JT47">
        <v>60.76</v>
      </c>
      <c r="JU47">
        <v>438.08</v>
      </c>
      <c r="JV47">
        <v>739.63</v>
      </c>
      <c r="JW47">
        <v>113.27</v>
      </c>
      <c r="JX47">
        <v>36.01</v>
      </c>
      <c r="JY47">
        <v>108.77</v>
      </c>
      <c r="JZ47">
        <v>18</v>
      </c>
      <c r="KA47">
        <v>12</v>
      </c>
      <c r="KB47">
        <v>11.78</v>
      </c>
      <c r="KC47">
        <v>21</v>
      </c>
      <c r="KD47">
        <v>11.78</v>
      </c>
      <c r="KE47">
        <v>292.55</v>
      </c>
      <c r="KF47">
        <v>69.760000000000005</v>
      </c>
      <c r="KG47">
        <v>86.26</v>
      </c>
      <c r="KH47">
        <v>31.51</v>
      </c>
      <c r="KI47">
        <v>214.54</v>
      </c>
      <c r="KJ47">
        <v>113.27</v>
      </c>
      <c r="KK47">
        <v>96.77</v>
      </c>
      <c r="KL47">
        <v>35.26</v>
      </c>
      <c r="KM47">
        <v>167.28</v>
      </c>
      <c r="KN47">
        <v>273.05</v>
      </c>
      <c r="KO47">
        <v>240.04</v>
      </c>
      <c r="KP47">
        <v>109.52</v>
      </c>
      <c r="KQ47">
        <v>3518.86</v>
      </c>
      <c r="KR47">
        <v>449.33</v>
      </c>
      <c r="KS47">
        <v>342.81</v>
      </c>
      <c r="KT47">
        <v>11799.55</v>
      </c>
      <c r="KU47">
        <v>17365.52</v>
      </c>
      <c r="KV47">
        <v>3074.03</v>
      </c>
      <c r="KW47">
        <v>196.53</v>
      </c>
      <c r="KX47">
        <v>137.27000000000001</v>
      </c>
      <c r="KY47">
        <v>20.25</v>
      </c>
      <c r="KZ47">
        <v>21.75</v>
      </c>
      <c r="LA47">
        <v>470.33</v>
      </c>
      <c r="LB47">
        <v>330.06</v>
      </c>
      <c r="LC47">
        <v>541.59</v>
      </c>
      <c r="LD47">
        <v>14.25</v>
      </c>
      <c r="LE47">
        <v>172.53</v>
      </c>
      <c r="LF47">
        <v>1650.29</v>
      </c>
      <c r="LG47">
        <v>474.08</v>
      </c>
      <c r="LH47">
        <v>546.84</v>
      </c>
      <c r="LI47">
        <v>5190.8999999999996</v>
      </c>
      <c r="LJ47">
        <v>470.33</v>
      </c>
      <c r="LK47">
        <v>1553.52</v>
      </c>
      <c r="LL47">
        <v>169.53</v>
      </c>
      <c r="LM47">
        <v>11.78</v>
      </c>
      <c r="LN47">
        <v>447.08</v>
      </c>
      <c r="LO47">
        <v>51.76</v>
      </c>
      <c r="LP47">
        <v>679.62</v>
      </c>
      <c r="LQ47">
        <v>79.510000000000005</v>
      </c>
      <c r="LR47">
        <v>84.76</v>
      </c>
      <c r="LS47">
        <v>25.5</v>
      </c>
      <c r="LT47">
        <v>15.75</v>
      </c>
      <c r="LU47">
        <v>57.01</v>
      </c>
      <c r="LV47">
        <v>93.77</v>
      </c>
      <c r="LW47">
        <v>179.28</v>
      </c>
      <c r="LX47">
        <v>3251.06</v>
      </c>
      <c r="LY47">
        <v>2330.65</v>
      </c>
      <c r="LZ47">
        <v>7153.99</v>
      </c>
      <c r="MA47">
        <v>267.8</v>
      </c>
      <c r="MB47">
        <v>3442.35</v>
      </c>
      <c r="MC47">
        <v>694.62</v>
      </c>
      <c r="MD47">
        <v>592.6</v>
      </c>
      <c r="ME47">
        <v>270.05</v>
      </c>
      <c r="MF47">
        <v>1079.44</v>
      </c>
      <c r="MG47">
        <v>2798.74</v>
      </c>
      <c r="MH47">
        <v>524.34</v>
      </c>
      <c r="MI47">
        <v>11.78</v>
      </c>
      <c r="MJ47">
        <v>499.59</v>
      </c>
      <c r="MK47">
        <v>11.78</v>
      </c>
      <c r="ML47">
        <v>1179.95</v>
      </c>
      <c r="MM47">
        <v>981.17</v>
      </c>
      <c r="MN47">
        <v>310.55</v>
      </c>
      <c r="MO47">
        <v>12.75</v>
      </c>
      <c r="MP47">
        <v>59.26</v>
      </c>
      <c r="MQ47">
        <v>63.76</v>
      </c>
      <c r="MR47">
        <v>12.75</v>
      </c>
      <c r="MS47">
        <v>119.27</v>
      </c>
      <c r="MT47">
        <v>1732.8</v>
      </c>
      <c r="MU47">
        <v>27</v>
      </c>
      <c r="MV47">
        <v>141.02000000000001</v>
      </c>
      <c r="MW47">
        <v>103.52</v>
      </c>
      <c r="MX47">
        <v>37.51</v>
      </c>
      <c r="MY47">
        <v>11.78</v>
      </c>
      <c r="MZ47">
        <v>1482.26</v>
      </c>
      <c r="NA47">
        <v>42.76</v>
      </c>
      <c r="NB47">
        <v>2116.87</v>
      </c>
      <c r="NC47">
        <v>1204.71</v>
      </c>
      <c r="ND47">
        <v>462.08</v>
      </c>
      <c r="NE47">
        <v>236.29</v>
      </c>
      <c r="NF47">
        <v>11.78</v>
      </c>
      <c r="NG47">
        <v>11.78</v>
      </c>
      <c r="NH47">
        <v>78.010000000000005</v>
      </c>
      <c r="NI47">
        <v>1616.53</v>
      </c>
      <c r="NJ47">
        <v>44.26</v>
      </c>
      <c r="NK47">
        <v>23.25</v>
      </c>
      <c r="NL47">
        <v>46.51</v>
      </c>
      <c r="NM47">
        <v>1364.49</v>
      </c>
      <c r="NN47">
        <v>349.56</v>
      </c>
      <c r="NO47">
        <v>14.25</v>
      </c>
      <c r="NP47">
        <v>11.78</v>
      </c>
      <c r="NQ47">
        <v>3175.3</v>
      </c>
      <c r="NR47">
        <v>186.03</v>
      </c>
      <c r="NS47">
        <v>345.06</v>
      </c>
      <c r="NT47">
        <v>1717.8</v>
      </c>
      <c r="NU47">
        <v>562.6</v>
      </c>
      <c r="NV47">
        <v>256.54000000000002</v>
      </c>
      <c r="NW47">
        <v>377.32</v>
      </c>
      <c r="NX47">
        <v>46.51</v>
      </c>
      <c r="NY47">
        <v>32.26</v>
      </c>
      <c r="NZ47">
        <v>538.59</v>
      </c>
      <c r="OA47">
        <v>59.26</v>
      </c>
      <c r="OB47">
        <v>511.59</v>
      </c>
      <c r="OC47">
        <v>3698.89</v>
      </c>
      <c r="OD47">
        <v>167.28</v>
      </c>
      <c r="OE47">
        <v>4476.03</v>
      </c>
      <c r="OF47">
        <v>33.76</v>
      </c>
      <c r="OG47">
        <v>11122.18</v>
      </c>
      <c r="OH47">
        <v>231.04</v>
      </c>
      <c r="OI47">
        <v>15</v>
      </c>
      <c r="OJ47">
        <v>25.5</v>
      </c>
      <c r="OK47">
        <v>2456.6799999999998</v>
      </c>
      <c r="OL47">
        <v>92.27</v>
      </c>
      <c r="OM47">
        <v>119.27</v>
      </c>
      <c r="ON47">
        <v>246.04</v>
      </c>
      <c r="OO47">
        <v>1176.2</v>
      </c>
      <c r="OP47">
        <v>364.56</v>
      </c>
      <c r="OQ47">
        <v>6880.95</v>
      </c>
      <c r="OR47">
        <v>38.26</v>
      </c>
      <c r="OS47">
        <v>600.1</v>
      </c>
      <c r="OT47">
        <v>258.79000000000002</v>
      </c>
      <c r="OU47">
        <v>32.26</v>
      </c>
      <c r="OV47">
        <v>201.03</v>
      </c>
      <c r="OW47">
        <v>99.77</v>
      </c>
      <c r="OX47">
        <v>231.79</v>
      </c>
      <c r="OY47">
        <v>12</v>
      </c>
      <c r="OZ47">
        <v>15</v>
      </c>
      <c r="PA47">
        <v>11.78</v>
      </c>
      <c r="PB47">
        <v>93.77</v>
      </c>
      <c r="PC47">
        <v>12.75</v>
      </c>
      <c r="PD47">
        <v>15</v>
      </c>
      <c r="PE47">
        <v>20.25</v>
      </c>
      <c r="PF47">
        <v>483.83</v>
      </c>
      <c r="PG47">
        <v>37.51</v>
      </c>
      <c r="PH47">
        <v>40.51</v>
      </c>
      <c r="PI47">
        <v>233.29</v>
      </c>
      <c r="PJ47">
        <v>10217.52</v>
      </c>
      <c r="PK47">
        <v>21269.200000000001</v>
      </c>
      <c r="PL47">
        <v>40.51</v>
      </c>
      <c r="PM47">
        <v>26459.35</v>
      </c>
      <c r="PN47">
        <v>3482.85</v>
      </c>
      <c r="PO47">
        <v>34.51</v>
      </c>
      <c r="PP47">
        <v>790.64</v>
      </c>
      <c r="PQ47">
        <v>24</v>
      </c>
      <c r="PR47">
        <v>45.01</v>
      </c>
      <c r="PS47">
        <v>13.5</v>
      </c>
      <c r="PT47">
        <v>24.75</v>
      </c>
      <c r="PU47">
        <v>136.52000000000001</v>
      </c>
      <c r="PV47">
        <v>69.010000000000005</v>
      </c>
      <c r="PW47">
        <v>148.53</v>
      </c>
      <c r="PX47">
        <v>14.25</v>
      </c>
      <c r="PY47">
        <v>664.62</v>
      </c>
      <c r="PZ47">
        <v>11.78</v>
      </c>
      <c r="QA47">
        <v>251.29</v>
      </c>
      <c r="QB47">
        <v>996.17</v>
      </c>
      <c r="QC47">
        <v>11.78</v>
      </c>
      <c r="QD47">
        <v>11.78</v>
      </c>
      <c r="QE47">
        <v>12.75</v>
      </c>
      <c r="QF47">
        <v>11.78</v>
      </c>
      <c r="QG47">
        <v>12.75</v>
      </c>
      <c r="QH47">
        <v>11.78</v>
      </c>
      <c r="QI47">
        <v>11.78</v>
      </c>
      <c r="QJ47">
        <v>247.54</v>
      </c>
      <c r="QK47">
        <v>11.78</v>
      </c>
      <c r="QL47">
        <v>135.02000000000001</v>
      </c>
      <c r="QM47">
        <v>1057.68</v>
      </c>
      <c r="QN47">
        <v>314.3</v>
      </c>
      <c r="QO47">
        <v>24</v>
      </c>
      <c r="QP47">
        <v>18.75</v>
      </c>
      <c r="QQ47">
        <v>629.36</v>
      </c>
      <c r="QR47">
        <v>344.31</v>
      </c>
      <c r="QS47">
        <v>1966.84</v>
      </c>
      <c r="QT47">
        <v>1041.18</v>
      </c>
      <c r="QU47">
        <v>39.76</v>
      </c>
      <c r="QV47">
        <v>189.78</v>
      </c>
      <c r="QW47">
        <v>143.27000000000001</v>
      </c>
      <c r="QX47">
        <v>174.03</v>
      </c>
      <c r="QY47">
        <v>468.08</v>
      </c>
      <c r="QZ47">
        <v>19.5</v>
      </c>
      <c r="RA47">
        <v>161.28</v>
      </c>
      <c r="RB47">
        <v>23428.07</v>
      </c>
      <c r="RC47">
        <v>937.66</v>
      </c>
      <c r="RD47">
        <v>1167.95</v>
      </c>
      <c r="RE47">
        <v>97.52</v>
      </c>
      <c r="RF47">
        <v>144.03</v>
      </c>
      <c r="RG47">
        <v>374.32</v>
      </c>
      <c r="RH47">
        <v>34.51</v>
      </c>
      <c r="RI47">
        <v>11.78</v>
      </c>
      <c r="RJ47">
        <v>147.78</v>
      </c>
      <c r="RK47">
        <v>11.78</v>
      </c>
      <c r="RL47">
        <v>265.55</v>
      </c>
      <c r="RM47">
        <v>128.27000000000001</v>
      </c>
      <c r="RN47">
        <v>243.79</v>
      </c>
      <c r="RO47">
        <v>723.13</v>
      </c>
      <c r="RP47">
        <v>26.25</v>
      </c>
      <c r="RQ47">
        <v>1543.77</v>
      </c>
      <c r="RR47">
        <v>51.76</v>
      </c>
      <c r="RS47">
        <v>459.08</v>
      </c>
      <c r="RT47">
        <v>802.64</v>
      </c>
      <c r="RU47">
        <v>94.52</v>
      </c>
      <c r="RV47">
        <v>13.5</v>
      </c>
      <c r="RW47">
        <v>45.01</v>
      </c>
      <c r="RX47">
        <v>2254.89</v>
      </c>
      <c r="RY47">
        <v>855.9</v>
      </c>
      <c r="RZ47">
        <v>20.25</v>
      </c>
      <c r="SA47">
        <v>372.81</v>
      </c>
      <c r="SB47">
        <v>14.25</v>
      </c>
      <c r="SC47">
        <v>54.76</v>
      </c>
      <c r="SD47">
        <v>727.63</v>
      </c>
      <c r="SE47">
        <v>795.14</v>
      </c>
      <c r="SF47">
        <v>375.82</v>
      </c>
      <c r="SG47">
        <v>4148.22</v>
      </c>
      <c r="SH47">
        <v>95.27</v>
      </c>
      <c r="SI47">
        <v>28.5</v>
      </c>
      <c r="SJ47">
        <v>180.03</v>
      </c>
      <c r="SK47">
        <v>53.26</v>
      </c>
      <c r="SL47">
        <v>80.260000000000005</v>
      </c>
      <c r="SM47">
        <v>15</v>
      </c>
      <c r="SN47">
        <v>56.26</v>
      </c>
      <c r="SO47">
        <v>11.78</v>
      </c>
      <c r="SP47">
        <v>80.260000000000005</v>
      </c>
      <c r="SQ47">
        <v>924.16</v>
      </c>
      <c r="SR47">
        <v>1325.48</v>
      </c>
      <c r="SS47">
        <v>2162.63</v>
      </c>
      <c r="ST47">
        <v>846.15</v>
      </c>
      <c r="SU47">
        <v>1498.76</v>
      </c>
      <c r="SV47">
        <v>563.35</v>
      </c>
      <c r="SW47">
        <v>465.08</v>
      </c>
      <c r="SX47">
        <v>189.78</v>
      </c>
      <c r="SY47">
        <v>63.01</v>
      </c>
      <c r="SZ47">
        <v>11.78</v>
      </c>
      <c r="TA47">
        <v>11.78</v>
      </c>
      <c r="TB47">
        <v>869.4</v>
      </c>
      <c r="TC47">
        <v>775.63</v>
      </c>
      <c r="TD47">
        <v>117.02</v>
      </c>
      <c r="TE47">
        <v>363.81</v>
      </c>
      <c r="TF47">
        <v>430.57</v>
      </c>
      <c r="TG47">
        <v>445.58</v>
      </c>
      <c r="TH47">
        <v>304.55</v>
      </c>
      <c r="TI47">
        <v>78.760000000000005</v>
      </c>
      <c r="TJ47">
        <v>18</v>
      </c>
      <c r="TK47">
        <v>240.04</v>
      </c>
      <c r="TL47">
        <v>123.02</v>
      </c>
      <c r="TM47">
        <v>72.760000000000005</v>
      </c>
      <c r="TN47">
        <v>481.58</v>
      </c>
      <c r="TO47">
        <v>639.11</v>
      </c>
      <c r="TP47">
        <v>137.27000000000001</v>
      </c>
      <c r="TQ47">
        <v>592.6</v>
      </c>
      <c r="TR47">
        <v>15.75</v>
      </c>
      <c r="TS47">
        <v>90.02</v>
      </c>
      <c r="TT47">
        <v>105.02</v>
      </c>
      <c r="TU47">
        <v>12.75</v>
      </c>
      <c r="TV47">
        <v>213.04</v>
      </c>
      <c r="TW47">
        <v>424.57</v>
      </c>
      <c r="TX47">
        <v>156.78</v>
      </c>
      <c r="TY47">
        <v>19.5</v>
      </c>
      <c r="TZ47">
        <v>139.52000000000001</v>
      </c>
      <c r="UA47">
        <v>186.78</v>
      </c>
      <c r="UB47">
        <v>65.260000000000005</v>
      </c>
      <c r="UC47">
        <v>16283.83</v>
      </c>
      <c r="UD47">
        <v>11.78</v>
      </c>
      <c r="UE47">
        <v>19.5</v>
      </c>
      <c r="UF47">
        <v>932.41</v>
      </c>
      <c r="UG47">
        <v>221.29</v>
      </c>
      <c r="UH47">
        <v>11.78</v>
      </c>
      <c r="UI47">
        <v>56.26</v>
      </c>
      <c r="UJ47">
        <v>22.5</v>
      </c>
      <c r="UK47">
        <v>44.26</v>
      </c>
      <c r="UL47">
        <v>11.78</v>
      </c>
      <c r="UM47">
        <v>15</v>
      </c>
      <c r="UN47">
        <v>191.28</v>
      </c>
      <c r="UO47">
        <v>260.3</v>
      </c>
      <c r="UP47">
        <v>11.78</v>
      </c>
      <c r="UQ47">
        <v>12</v>
      </c>
      <c r="UR47">
        <v>11.78</v>
      </c>
      <c r="US47">
        <v>48.76</v>
      </c>
      <c r="UT47">
        <v>120.77</v>
      </c>
      <c r="UU47">
        <v>1358.49</v>
      </c>
      <c r="UV47">
        <v>531.84</v>
      </c>
      <c r="UW47">
        <v>330.81</v>
      </c>
      <c r="UX47">
        <v>76.510000000000005</v>
      </c>
      <c r="UY47">
        <v>306.05</v>
      </c>
      <c r="UZ47">
        <v>35.26</v>
      </c>
      <c r="VA47">
        <v>416.32</v>
      </c>
      <c r="VB47">
        <v>1884.33</v>
      </c>
      <c r="VC47">
        <v>43.51</v>
      </c>
      <c r="VD47">
        <v>168.78</v>
      </c>
      <c r="VE47">
        <v>23.25</v>
      </c>
      <c r="VF47">
        <v>301.55</v>
      </c>
      <c r="VG47">
        <v>108.77</v>
      </c>
      <c r="VH47">
        <v>41.26</v>
      </c>
      <c r="VI47">
        <v>20.25</v>
      </c>
      <c r="VJ47">
        <v>63.76</v>
      </c>
      <c r="VK47">
        <v>813.89</v>
      </c>
      <c r="VL47">
        <v>638.36</v>
      </c>
      <c r="VM47">
        <v>504.09</v>
      </c>
      <c r="VN47">
        <v>425.32</v>
      </c>
      <c r="VO47">
        <v>15.75</v>
      </c>
      <c r="VP47">
        <v>11.78</v>
      </c>
      <c r="VQ47">
        <v>767.38</v>
      </c>
      <c r="VR47">
        <v>379.57</v>
      </c>
      <c r="VS47">
        <v>433.58</v>
      </c>
      <c r="VT47">
        <v>24.75</v>
      </c>
      <c r="VU47">
        <v>68.260000000000005</v>
      </c>
      <c r="VV47">
        <v>33.76</v>
      </c>
      <c r="VW47">
        <v>236.29</v>
      </c>
      <c r="VX47">
        <v>137.27000000000001</v>
      </c>
      <c r="VY47">
        <v>11.78</v>
      </c>
      <c r="VZ47">
        <v>20012.73</v>
      </c>
      <c r="WA47">
        <v>15121.13</v>
      </c>
      <c r="WB47">
        <v>246.04</v>
      </c>
      <c r="WC47">
        <v>115.52</v>
      </c>
      <c r="WD47">
        <v>788.39</v>
      </c>
      <c r="WE47">
        <v>1041.93</v>
      </c>
      <c r="WF47">
        <v>67.510000000000005</v>
      </c>
      <c r="WG47">
        <v>170.28</v>
      </c>
      <c r="WH47">
        <v>8967.81</v>
      </c>
      <c r="WI47">
        <v>18411.2</v>
      </c>
      <c r="WJ47">
        <v>3068.78</v>
      </c>
      <c r="WK47">
        <v>156.78</v>
      </c>
      <c r="WL47">
        <v>387.07</v>
      </c>
      <c r="WM47">
        <v>15.75</v>
      </c>
      <c r="WN47">
        <v>12</v>
      </c>
      <c r="WO47">
        <v>15</v>
      </c>
      <c r="WP47">
        <v>66.760000000000005</v>
      </c>
      <c r="WQ47">
        <v>2688.47</v>
      </c>
      <c r="WR47">
        <v>388.57</v>
      </c>
      <c r="WS47">
        <v>51.76</v>
      </c>
      <c r="WT47">
        <v>109.52</v>
      </c>
      <c r="WU47">
        <v>597.85</v>
      </c>
      <c r="WV47">
        <v>522.84</v>
      </c>
      <c r="WW47">
        <v>18.75</v>
      </c>
      <c r="WX47">
        <v>39.76</v>
      </c>
      <c r="WY47">
        <v>35.26</v>
      </c>
      <c r="WZ47">
        <v>17.25</v>
      </c>
      <c r="XA47">
        <v>11.78</v>
      </c>
      <c r="XB47">
        <v>402.82</v>
      </c>
      <c r="XC47">
        <v>18.75</v>
      </c>
      <c r="XD47">
        <v>54.01</v>
      </c>
      <c r="XE47">
        <v>90.77</v>
      </c>
      <c r="XF47">
        <v>1236.96</v>
      </c>
      <c r="XG47">
        <v>1888.08</v>
      </c>
      <c r="XH47">
        <v>102.77</v>
      </c>
      <c r="XI47">
        <v>4154.97</v>
      </c>
      <c r="XJ47">
        <v>348.81</v>
      </c>
      <c r="XK47">
        <v>455.33</v>
      </c>
      <c r="XL47">
        <v>57.01</v>
      </c>
      <c r="XM47">
        <v>67.510000000000005</v>
      </c>
      <c r="XN47">
        <v>189.03</v>
      </c>
      <c r="XO47">
        <v>11.78</v>
      </c>
      <c r="XP47">
        <v>15.75</v>
      </c>
      <c r="XQ47">
        <v>42.01</v>
      </c>
      <c r="XR47">
        <v>11.78</v>
      </c>
      <c r="XS47">
        <v>399.82</v>
      </c>
      <c r="XT47">
        <v>230.29</v>
      </c>
      <c r="XU47">
        <v>596.35</v>
      </c>
      <c r="XV47">
        <v>650.36</v>
      </c>
      <c r="XW47">
        <v>2000.6</v>
      </c>
      <c r="XX47">
        <v>1378.74</v>
      </c>
      <c r="XY47">
        <v>1441</v>
      </c>
      <c r="XZ47">
        <v>59.26</v>
      </c>
      <c r="YA47">
        <v>598.6</v>
      </c>
      <c r="YB47">
        <v>96.77</v>
      </c>
      <c r="YC47">
        <v>32.26</v>
      </c>
      <c r="YD47">
        <v>822.89</v>
      </c>
      <c r="YE47">
        <v>450.08</v>
      </c>
      <c r="YF47">
        <v>668.37</v>
      </c>
      <c r="YG47">
        <v>105.02</v>
      </c>
      <c r="YH47">
        <v>21.75</v>
      </c>
      <c r="YI47">
        <v>41.26</v>
      </c>
      <c r="YJ47">
        <v>16.5</v>
      </c>
      <c r="YK47">
        <v>11.78</v>
      </c>
      <c r="YL47">
        <v>1010.43</v>
      </c>
      <c r="YM47">
        <v>2388.42</v>
      </c>
      <c r="YN47">
        <v>270.8</v>
      </c>
      <c r="YO47">
        <v>132.02000000000001</v>
      </c>
      <c r="YP47">
        <v>1681.79</v>
      </c>
      <c r="YQ47">
        <v>455.33</v>
      </c>
      <c r="YR47">
        <v>96.02</v>
      </c>
      <c r="YS47">
        <v>23937.41</v>
      </c>
      <c r="YT47">
        <v>188.28</v>
      </c>
      <c r="YU47">
        <v>141.02000000000001</v>
      </c>
      <c r="YV47">
        <v>57.76</v>
      </c>
      <c r="YW47">
        <v>22.5</v>
      </c>
      <c r="YX47">
        <v>32.26</v>
      </c>
      <c r="YY47">
        <v>204.04</v>
      </c>
      <c r="YZ47">
        <v>45.01</v>
      </c>
      <c r="ZA47">
        <v>79.510000000000005</v>
      </c>
      <c r="ZB47">
        <v>15</v>
      </c>
      <c r="ZC47">
        <v>11.78</v>
      </c>
      <c r="ZD47">
        <v>25.5</v>
      </c>
      <c r="ZE47">
        <v>12.75</v>
      </c>
      <c r="ZF47">
        <v>75.760000000000005</v>
      </c>
      <c r="ZG47">
        <v>390.07</v>
      </c>
      <c r="ZH47">
        <v>135.02000000000001</v>
      </c>
      <c r="ZI47">
        <v>326.31</v>
      </c>
      <c r="ZJ47">
        <v>852.15</v>
      </c>
      <c r="ZK47">
        <v>134.27000000000001</v>
      </c>
      <c r="ZL47">
        <v>13.5</v>
      </c>
      <c r="ZM47">
        <v>90.77</v>
      </c>
      <c r="ZN47">
        <v>21.75</v>
      </c>
      <c r="ZO47">
        <v>25.5</v>
      </c>
      <c r="ZP47">
        <v>98.27</v>
      </c>
      <c r="ZQ47">
        <v>11.78</v>
      </c>
      <c r="ZR47">
        <v>19.5</v>
      </c>
      <c r="ZS47">
        <v>912.16</v>
      </c>
      <c r="ZT47">
        <v>108.02</v>
      </c>
      <c r="ZU47">
        <v>156.78</v>
      </c>
      <c r="ZV47">
        <v>12.75</v>
      </c>
      <c r="ZW47">
        <v>11.78</v>
      </c>
      <c r="ZX47">
        <v>45.01</v>
      </c>
      <c r="ZY47">
        <v>2259.39</v>
      </c>
      <c r="ZZ47">
        <v>71.260000000000005</v>
      </c>
      <c r="AAA47">
        <v>31.51</v>
      </c>
      <c r="AAB47">
        <v>27.75</v>
      </c>
      <c r="AAC47">
        <v>11.78</v>
      </c>
      <c r="AAD47">
        <v>22.5</v>
      </c>
      <c r="AAE47">
        <v>11.78</v>
      </c>
      <c r="AAF47">
        <v>18.75</v>
      </c>
      <c r="AAG47">
        <v>191.28</v>
      </c>
      <c r="AAH47">
        <v>70.510000000000005</v>
      </c>
      <c r="AAI47">
        <v>4585.55</v>
      </c>
      <c r="AAJ47">
        <v>1638.28</v>
      </c>
      <c r="AAK47">
        <v>283.55</v>
      </c>
      <c r="AAL47">
        <v>65.260000000000005</v>
      </c>
      <c r="AAM47">
        <v>11.78</v>
      </c>
      <c r="AAN47">
        <v>125.27</v>
      </c>
      <c r="AAO47">
        <v>45.76</v>
      </c>
      <c r="AAP47">
        <v>240.04</v>
      </c>
      <c r="AAQ47">
        <v>15</v>
      </c>
      <c r="AAR47">
        <v>66.760000000000005</v>
      </c>
      <c r="AAS47">
        <v>1895.58</v>
      </c>
      <c r="AAT47">
        <v>24</v>
      </c>
      <c r="AAU47">
        <v>11.78</v>
      </c>
      <c r="AAV47">
        <v>1679.54</v>
      </c>
      <c r="AAW47">
        <v>213.79</v>
      </c>
      <c r="AAX47">
        <v>46.51</v>
      </c>
      <c r="AAY47">
        <v>807.89</v>
      </c>
      <c r="AAZ47">
        <v>48.01</v>
      </c>
      <c r="ABA47">
        <v>342.81</v>
      </c>
      <c r="ABB47">
        <v>34.51</v>
      </c>
      <c r="ABC47">
        <v>610.61</v>
      </c>
      <c r="ABD47">
        <v>663.87</v>
      </c>
      <c r="ABE47">
        <v>321.81</v>
      </c>
      <c r="ABF47">
        <v>1784.56</v>
      </c>
      <c r="ABG47">
        <v>67.510000000000005</v>
      </c>
      <c r="ABH47">
        <v>116.27</v>
      </c>
      <c r="ABI47">
        <v>58.51</v>
      </c>
      <c r="ABJ47">
        <v>34.51</v>
      </c>
      <c r="ABK47">
        <v>95.27</v>
      </c>
      <c r="ABL47">
        <v>11.78</v>
      </c>
      <c r="ABM47">
        <v>14.25</v>
      </c>
      <c r="ABN47">
        <v>44.26</v>
      </c>
      <c r="ABO47">
        <v>15</v>
      </c>
      <c r="ABP47">
        <v>11.78</v>
      </c>
      <c r="ABQ47">
        <v>312.8</v>
      </c>
      <c r="ABR47">
        <v>63.76</v>
      </c>
      <c r="ABS47">
        <v>570.85</v>
      </c>
      <c r="ABT47">
        <v>20.25</v>
      </c>
      <c r="ABU47">
        <v>11.78</v>
      </c>
      <c r="ABV47">
        <v>84.76</v>
      </c>
      <c r="ABW47">
        <v>291.05</v>
      </c>
      <c r="ABX47">
        <v>416.32</v>
      </c>
      <c r="ABY47">
        <v>981.92</v>
      </c>
      <c r="ABZ47">
        <v>114.02</v>
      </c>
      <c r="ACA47">
        <v>717.87</v>
      </c>
      <c r="ACB47">
        <v>346.56</v>
      </c>
      <c r="ACC47">
        <v>101.27</v>
      </c>
      <c r="ACD47">
        <v>464.33</v>
      </c>
      <c r="ACE47">
        <v>138.02000000000001</v>
      </c>
      <c r="ACF47">
        <v>4988.37</v>
      </c>
      <c r="ACG47">
        <v>1648.79</v>
      </c>
      <c r="ACH47">
        <v>729.88</v>
      </c>
      <c r="ACI47">
        <v>533.34</v>
      </c>
      <c r="ACJ47">
        <v>579.85</v>
      </c>
      <c r="ACK47">
        <v>450.08</v>
      </c>
      <c r="ACL47">
        <v>54.76</v>
      </c>
      <c r="ACM47">
        <v>96.02</v>
      </c>
      <c r="ACN47">
        <v>415.57</v>
      </c>
      <c r="ACO47">
        <v>1067.44</v>
      </c>
      <c r="ACP47">
        <v>475.58</v>
      </c>
      <c r="ACQ47">
        <v>262.55</v>
      </c>
      <c r="ACR47">
        <v>6443.62</v>
      </c>
    </row>
    <row r="48" spans="1:772" x14ac:dyDescent="0.3">
      <c r="A48" t="s">
        <v>20</v>
      </c>
      <c r="B48" t="s">
        <v>2</v>
      </c>
      <c r="C48">
        <v>229.29</v>
      </c>
      <c r="D48">
        <v>74.819999999999993</v>
      </c>
      <c r="E48">
        <v>397.44</v>
      </c>
      <c r="F48">
        <v>9.19</v>
      </c>
      <c r="G48">
        <v>2419.25</v>
      </c>
      <c r="H48">
        <v>36.200000000000003</v>
      </c>
      <c r="I48">
        <v>1476.33</v>
      </c>
      <c r="J48">
        <v>13702.91</v>
      </c>
      <c r="K48">
        <v>102.18</v>
      </c>
      <c r="L48">
        <v>12.87</v>
      </c>
      <c r="M48">
        <v>116.66</v>
      </c>
      <c r="N48">
        <v>732.93</v>
      </c>
      <c r="O48">
        <v>629.15</v>
      </c>
      <c r="P48">
        <v>256.64999999999998</v>
      </c>
      <c r="Q48">
        <v>78.84</v>
      </c>
      <c r="R48">
        <v>1564.83</v>
      </c>
      <c r="S48">
        <v>9.19</v>
      </c>
      <c r="T48">
        <v>593.75</v>
      </c>
      <c r="U48">
        <v>669.38</v>
      </c>
      <c r="V48">
        <v>168.15</v>
      </c>
      <c r="W48">
        <v>9139.56</v>
      </c>
      <c r="X48">
        <v>9.19</v>
      </c>
      <c r="Y48">
        <v>140.79</v>
      </c>
      <c r="Z48">
        <v>337.91</v>
      </c>
      <c r="AA48">
        <v>10.46</v>
      </c>
      <c r="AB48">
        <v>448.93</v>
      </c>
      <c r="AC48">
        <v>498.81</v>
      </c>
      <c r="AD48">
        <v>175.39</v>
      </c>
      <c r="AE48">
        <v>352.39</v>
      </c>
      <c r="AF48">
        <v>25637.439999999999</v>
      </c>
      <c r="AG48">
        <v>138.38</v>
      </c>
      <c r="AH48">
        <v>124.7</v>
      </c>
      <c r="AI48">
        <v>16.899999999999999</v>
      </c>
      <c r="AJ48">
        <v>800.52</v>
      </c>
      <c r="AK48">
        <v>122.29</v>
      </c>
      <c r="AL48">
        <v>117.46</v>
      </c>
      <c r="AM48">
        <v>132.75</v>
      </c>
      <c r="AN48">
        <v>16.899999999999999</v>
      </c>
      <c r="AO48">
        <v>1315.42</v>
      </c>
      <c r="AP48">
        <v>17.7</v>
      </c>
      <c r="AQ48">
        <v>172.98</v>
      </c>
      <c r="AR48">
        <v>16.899999999999999</v>
      </c>
      <c r="AS48">
        <v>466.63</v>
      </c>
      <c r="AT48">
        <v>10.46</v>
      </c>
      <c r="AU48">
        <v>42.64</v>
      </c>
      <c r="AV48">
        <v>843.16</v>
      </c>
      <c r="AW48">
        <v>193.09</v>
      </c>
      <c r="AX48">
        <v>1453</v>
      </c>
      <c r="AY48">
        <v>104.59</v>
      </c>
      <c r="AZ48">
        <v>135.16</v>
      </c>
      <c r="BA48">
        <v>259.87</v>
      </c>
      <c r="BB48">
        <v>430.43</v>
      </c>
      <c r="BC48">
        <v>137.58000000000001</v>
      </c>
      <c r="BD48">
        <v>9.19</v>
      </c>
      <c r="BE48">
        <v>98.96</v>
      </c>
      <c r="BF48">
        <v>208.38</v>
      </c>
      <c r="BG48">
        <v>36.200000000000003</v>
      </c>
      <c r="BH48">
        <v>9.19</v>
      </c>
      <c r="BI48">
        <v>13.68</v>
      </c>
      <c r="BJ48">
        <v>11.26</v>
      </c>
      <c r="BK48">
        <v>422.38</v>
      </c>
      <c r="BL48">
        <v>616.28</v>
      </c>
      <c r="BM48">
        <v>106.2</v>
      </c>
      <c r="BN48">
        <v>49.88</v>
      </c>
      <c r="BO48">
        <v>94.94</v>
      </c>
      <c r="BP48">
        <v>12.87</v>
      </c>
      <c r="BQ48">
        <v>16.899999999999999</v>
      </c>
      <c r="BR48">
        <v>71.599999999999994</v>
      </c>
      <c r="BS48">
        <v>16.899999999999999</v>
      </c>
      <c r="BT48">
        <v>1067.6199999999999</v>
      </c>
      <c r="BU48">
        <v>157.69</v>
      </c>
      <c r="BV48">
        <v>28.96</v>
      </c>
      <c r="BW48">
        <v>26.55</v>
      </c>
      <c r="BX48">
        <v>514.1</v>
      </c>
      <c r="BY48">
        <v>86.09</v>
      </c>
      <c r="BZ48">
        <v>1215.6600000000001</v>
      </c>
      <c r="CA48">
        <v>70.8</v>
      </c>
      <c r="CB48">
        <v>73.209999999999994</v>
      </c>
      <c r="CC48">
        <v>267.11</v>
      </c>
      <c r="CD48">
        <v>598.58000000000004</v>
      </c>
      <c r="CE48">
        <v>939.7</v>
      </c>
      <c r="CF48">
        <v>1091.76</v>
      </c>
      <c r="CG48">
        <v>41.03</v>
      </c>
      <c r="CH48">
        <v>231.71</v>
      </c>
      <c r="CI48">
        <v>19.309999999999999</v>
      </c>
      <c r="CJ48">
        <v>9.65</v>
      </c>
      <c r="CK48">
        <v>22.53</v>
      </c>
      <c r="CL48">
        <v>50.69</v>
      </c>
      <c r="CM48">
        <v>189.87</v>
      </c>
      <c r="CN48">
        <v>45.05</v>
      </c>
      <c r="CO48">
        <v>22.53</v>
      </c>
      <c r="CP48">
        <v>12.07</v>
      </c>
      <c r="CQ48">
        <v>42.64</v>
      </c>
      <c r="CR48">
        <v>28.96</v>
      </c>
      <c r="CS48">
        <v>9.19</v>
      </c>
      <c r="CT48">
        <v>16.899999999999999</v>
      </c>
      <c r="CU48">
        <v>19.309999999999999</v>
      </c>
      <c r="CV48">
        <v>237.34</v>
      </c>
      <c r="CW48">
        <v>1081.3</v>
      </c>
      <c r="CX48">
        <v>20.11</v>
      </c>
      <c r="CY48">
        <v>111.83</v>
      </c>
      <c r="CZ48">
        <v>17.7</v>
      </c>
      <c r="DA48">
        <v>20.92</v>
      </c>
      <c r="DB48">
        <v>64.36</v>
      </c>
      <c r="DC48">
        <v>30.57</v>
      </c>
      <c r="DD48">
        <v>24.14</v>
      </c>
      <c r="DE48">
        <v>15.29</v>
      </c>
      <c r="DF48">
        <v>181.02</v>
      </c>
      <c r="DG48">
        <v>9.19</v>
      </c>
      <c r="DH48">
        <v>2927.72</v>
      </c>
      <c r="DI48">
        <v>19.309999999999999</v>
      </c>
      <c r="DJ48">
        <v>32.99</v>
      </c>
      <c r="DK48">
        <v>90.11</v>
      </c>
      <c r="DL48">
        <v>1825.5</v>
      </c>
      <c r="DM48">
        <v>49.88</v>
      </c>
      <c r="DN48">
        <v>28.96</v>
      </c>
      <c r="DO48">
        <v>58.73</v>
      </c>
      <c r="DP48">
        <v>28.16</v>
      </c>
      <c r="DQ48">
        <v>1335.53</v>
      </c>
      <c r="DR48">
        <v>37.81</v>
      </c>
      <c r="DS48">
        <v>20.11</v>
      </c>
      <c r="DT48">
        <v>32.18</v>
      </c>
      <c r="DU48">
        <v>3456.3</v>
      </c>
      <c r="DV48">
        <v>47.47</v>
      </c>
      <c r="DW48">
        <v>10.46</v>
      </c>
      <c r="DX48">
        <v>49.08</v>
      </c>
      <c r="DY48">
        <v>58.73</v>
      </c>
      <c r="DZ48">
        <v>88.5</v>
      </c>
      <c r="EA48">
        <v>34.6</v>
      </c>
      <c r="EB48">
        <v>30.57</v>
      </c>
      <c r="EC48">
        <v>43.45</v>
      </c>
      <c r="ED48">
        <v>111.03</v>
      </c>
      <c r="EE48">
        <v>21.72</v>
      </c>
      <c r="EF48">
        <v>2973.58</v>
      </c>
      <c r="EG48">
        <v>443.3</v>
      </c>
      <c r="EH48">
        <v>16.09</v>
      </c>
      <c r="EI48">
        <v>24.94</v>
      </c>
      <c r="EJ48">
        <v>672.59</v>
      </c>
      <c r="EK48">
        <v>907.52</v>
      </c>
      <c r="EL48">
        <v>2594.64</v>
      </c>
      <c r="EM48">
        <v>160.91</v>
      </c>
      <c r="EN48">
        <v>201.94</v>
      </c>
      <c r="EO48">
        <v>174.58</v>
      </c>
      <c r="EP48">
        <v>19.309999999999999</v>
      </c>
      <c r="EQ48">
        <v>1964.68</v>
      </c>
      <c r="ER48">
        <v>138.38</v>
      </c>
      <c r="ES48">
        <v>242.97</v>
      </c>
      <c r="ET48">
        <v>12.87</v>
      </c>
      <c r="EU48">
        <v>456.98</v>
      </c>
      <c r="EV48">
        <v>66.78</v>
      </c>
      <c r="EW48">
        <v>13.68</v>
      </c>
      <c r="EX48">
        <v>25.75</v>
      </c>
      <c r="EY48">
        <v>16.899999999999999</v>
      </c>
      <c r="EZ48">
        <v>11.26</v>
      </c>
      <c r="FA48">
        <v>44.25</v>
      </c>
      <c r="FB48">
        <v>12.07</v>
      </c>
      <c r="FC48">
        <v>28.96</v>
      </c>
      <c r="FD48">
        <v>13.68</v>
      </c>
      <c r="FE48">
        <v>9282.77</v>
      </c>
      <c r="FF48">
        <v>75.63</v>
      </c>
      <c r="FG48">
        <v>1461.85</v>
      </c>
      <c r="FH48">
        <v>1339.56</v>
      </c>
      <c r="FI48">
        <v>24.14</v>
      </c>
      <c r="FJ48">
        <v>77.239999999999995</v>
      </c>
      <c r="FK48">
        <v>576.85</v>
      </c>
      <c r="FL48">
        <v>45.05</v>
      </c>
      <c r="FM48">
        <v>142.4</v>
      </c>
      <c r="FN48">
        <v>160.91</v>
      </c>
      <c r="FO48">
        <v>19.309999999999999</v>
      </c>
      <c r="FP48">
        <v>9.19</v>
      </c>
      <c r="FQ48">
        <v>21.72</v>
      </c>
      <c r="FR48">
        <v>9.19</v>
      </c>
      <c r="FS48">
        <v>11.26</v>
      </c>
      <c r="FT48">
        <v>32.99</v>
      </c>
      <c r="FU48">
        <v>3409.64</v>
      </c>
      <c r="FV48">
        <v>1960.66</v>
      </c>
      <c r="FW48">
        <v>14.48</v>
      </c>
      <c r="FX48">
        <v>189.87</v>
      </c>
      <c r="FY48">
        <v>11.26</v>
      </c>
      <c r="FZ48">
        <v>661.33</v>
      </c>
      <c r="GA48">
        <v>3277.69</v>
      </c>
      <c r="GB48">
        <v>82.87</v>
      </c>
      <c r="GC48">
        <v>9.19</v>
      </c>
      <c r="GD48">
        <v>105.39</v>
      </c>
      <c r="GE48">
        <v>1015.33</v>
      </c>
      <c r="GF48">
        <v>181.02</v>
      </c>
      <c r="GG48">
        <v>915.57</v>
      </c>
      <c r="GH48">
        <v>175.39</v>
      </c>
      <c r="GI48">
        <v>412.73</v>
      </c>
      <c r="GJ48">
        <v>57.12</v>
      </c>
      <c r="GK48">
        <v>5006.6499999999996</v>
      </c>
      <c r="GL48">
        <v>1489.2</v>
      </c>
      <c r="GM48">
        <v>12.87</v>
      </c>
      <c r="GN48">
        <v>11.26</v>
      </c>
      <c r="GO48">
        <v>303.31</v>
      </c>
      <c r="GP48">
        <v>18.5</v>
      </c>
      <c r="GQ48">
        <v>16.899999999999999</v>
      </c>
      <c r="GR48">
        <v>225.27</v>
      </c>
      <c r="GS48">
        <v>106.2</v>
      </c>
      <c r="GT48">
        <v>429.62</v>
      </c>
      <c r="GU48">
        <v>9.19</v>
      </c>
      <c r="GV48">
        <v>19.309999999999999</v>
      </c>
      <c r="GW48">
        <v>65.97</v>
      </c>
      <c r="GX48">
        <v>220.44</v>
      </c>
      <c r="GY48">
        <v>28.96</v>
      </c>
      <c r="GZ48">
        <v>253.43</v>
      </c>
      <c r="HA48">
        <v>165.74</v>
      </c>
      <c r="HB48">
        <v>720.87</v>
      </c>
      <c r="HC48">
        <v>78.84</v>
      </c>
      <c r="HD48">
        <v>953.38</v>
      </c>
      <c r="HE48">
        <v>28.16</v>
      </c>
      <c r="HF48">
        <v>2006.52</v>
      </c>
      <c r="HG48">
        <v>301.7</v>
      </c>
      <c r="HH48">
        <v>112.64</v>
      </c>
      <c r="HI48">
        <v>12.07</v>
      </c>
      <c r="HJ48">
        <v>1615.51</v>
      </c>
      <c r="HK48">
        <v>2960.7</v>
      </c>
      <c r="HL48">
        <v>1117.5</v>
      </c>
      <c r="HM48">
        <v>107.81</v>
      </c>
      <c r="HN48">
        <v>1434.49</v>
      </c>
      <c r="HO48">
        <v>9.19</v>
      </c>
      <c r="HP48">
        <v>102.18</v>
      </c>
      <c r="HQ48">
        <v>7714.72</v>
      </c>
      <c r="HR48">
        <v>78.84</v>
      </c>
      <c r="HS48">
        <v>259.06</v>
      </c>
      <c r="HT48">
        <v>208.38</v>
      </c>
      <c r="HU48">
        <v>224.47</v>
      </c>
      <c r="HV48">
        <v>188.26</v>
      </c>
      <c r="HW48">
        <v>6507.11</v>
      </c>
      <c r="HX48">
        <v>18.5</v>
      </c>
      <c r="HY48">
        <v>61.95</v>
      </c>
      <c r="HZ48">
        <v>195.5</v>
      </c>
      <c r="IA48">
        <v>412.73</v>
      </c>
      <c r="IB48">
        <v>130.34</v>
      </c>
      <c r="IC48">
        <v>24.94</v>
      </c>
      <c r="ID48">
        <v>11.26</v>
      </c>
      <c r="IE48">
        <v>63.56</v>
      </c>
      <c r="IF48">
        <v>719.26</v>
      </c>
      <c r="IG48">
        <v>40.229999999999997</v>
      </c>
      <c r="IH48">
        <v>14.48</v>
      </c>
      <c r="II48">
        <v>53.1</v>
      </c>
      <c r="IJ48">
        <v>29.77</v>
      </c>
      <c r="IK48">
        <v>20.92</v>
      </c>
      <c r="IL48">
        <v>337.1</v>
      </c>
      <c r="IM48">
        <v>137.58000000000001</v>
      </c>
      <c r="IN48">
        <v>61.14</v>
      </c>
      <c r="IO48">
        <v>16.09</v>
      </c>
      <c r="IP48">
        <v>16.09</v>
      </c>
      <c r="IQ48">
        <v>10.46</v>
      </c>
      <c r="IR48">
        <v>14.48</v>
      </c>
      <c r="IS48">
        <v>16.899999999999999</v>
      </c>
      <c r="IT48">
        <v>9.19</v>
      </c>
      <c r="IU48">
        <v>39.42</v>
      </c>
      <c r="IV48">
        <v>1894.69</v>
      </c>
      <c r="IW48">
        <v>195.5</v>
      </c>
      <c r="IX48">
        <v>5634.19</v>
      </c>
      <c r="IY48">
        <v>26.55</v>
      </c>
      <c r="IZ48">
        <v>16.899999999999999</v>
      </c>
      <c r="JA48">
        <v>162.52000000000001</v>
      </c>
      <c r="JB48">
        <v>363.65</v>
      </c>
      <c r="JC48">
        <v>70.8</v>
      </c>
      <c r="JD48">
        <v>141.6</v>
      </c>
      <c r="JE48">
        <v>32.18</v>
      </c>
      <c r="JF48">
        <v>12.07</v>
      </c>
      <c r="JG48">
        <v>31.38</v>
      </c>
      <c r="JH48">
        <v>992</v>
      </c>
      <c r="JI48">
        <v>448.93</v>
      </c>
      <c r="JJ48">
        <v>396.64</v>
      </c>
      <c r="JK48">
        <v>26.55</v>
      </c>
      <c r="JL48">
        <v>88.5</v>
      </c>
      <c r="JM48">
        <v>25.75</v>
      </c>
      <c r="JN48">
        <v>19.309999999999999</v>
      </c>
      <c r="JO48">
        <v>202.74</v>
      </c>
      <c r="JP48">
        <v>1170.5999999999999</v>
      </c>
      <c r="JQ48">
        <v>1061.19</v>
      </c>
      <c r="JR48">
        <v>17.7</v>
      </c>
      <c r="JS48">
        <v>9.19</v>
      </c>
      <c r="JT48">
        <v>115.05</v>
      </c>
      <c r="JU48">
        <v>423.99</v>
      </c>
      <c r="JV48">
        <v>783.62</v>
      </c>
      <c r="JW48">
        <v>37.81</v>
      </c>
      <c r="JX48">
        <v>38.619999999999997</v>
      </c>
      <c r="JY48">
        <v>110.22</v>
      </c>
      <c r="JZ48">
        <v>32.18</v>
      </c>
      <c r="KA48">
        <v>16.899999999999999</v>
      </c>
      <c r="KB48">
        <v>18.5</v>
      </c>
      <c r="KC48">
        <v>24.94</v>
      </c>
      <c r="KD48">
        <v>9.65</v>
      </c>
      <c r="KE48">
        <v>238.95</v>
      </c>
      <c r="KF48">
        <v>69.989999999999995</v>
      </c>
      <c r="KG48">
        <v>75.63</v>
      </c>
      <c r="KH48">
        <v>64.36</v>
      </c>
      <c r="KI48">
        <v>227.68</v>
      </c>
      <c r="KJ48">
        <v>110.22</v>
      </c>
      <c r="KK48">
        <v>93.33</v>
      </c>
      <c r="KL48">
        <v>27.35</v>
      </c>
      <c r="KM48">
        <v>167.34</v>
      </c>
      <c r="KN48">
        <v>295.27</v>
      </c>
      <c r="KO48">
        <v>353.19</v>
      </c>
      <c r="KP48">
        <v>74.819999999999993</v>
      </c>
      <c r="KQ48">
        <v>2710.49</v>
      </c>
      <c r="KR48">
        <v>474.68</v>
      </c>
      <c r="KS48">
        <v>811.78</v>
      </c>
      <c r="KT48">
        <v>27759.81</v>
      </c>
      <c r="KU48">
        <v>33231.480000000003</v>
      </c>
      <c r="KV48">
        <v>5552.12</v>
      </c>
      <c r="KW48">
        <v>324.23</v>
      </c>
      <c r="KX48">
        <v>198.72</v>
      </c>
      <c r="KY48">
        <v>33.79</v>
      </c>
      <c r="KZ48">
        <v>39.42</v>
      </c>
      <c r="LA48">
        <v>964.64</v>
      </c>
      <c r="LB48">
        <v>554.33000000000004</v>
      </c>
      <c r="LC48">
        <v>1100.6099999999999</v>
      </c>
      <c r="LD48">
        <v>20.11</v>
      </c>
      <c r="LE48">
        <v>415.14</v>
      </c>
      <c r="LF48">
        <v>2902.78</v>
      </c>
      <c r="LG48">
        <v>884.99</v>
      </c>
      <c r="LH48">
        <v>924.42</v>
      </c>
      <c r="LI48">
        <v>10442.11</v>
      </c>
      <c r="LJ48">
        <v>999.24</v>
      </c>
      <c r="LK48">
        <v>2128.0100000000002</v>
      </c>
      <c r="LL48">
        <v>134.36000000000001</v>
      </c>
      <c r="LM48">
        <v>16.09</v>
      </c>
      <c r="LN48">
        <v>420.77</v>
      </c>
      <c r="LO48">
        <v>36.200000000000003</v>
      </c>
      <c r="LP48">
        <v>972.69</v>
      </c>
      <c r="LQ48">
        <v>28.96</v>
      </c>
      <c r="LR48">
        <v>105.39</v>
      </c>
      <c r="LS48">
        <v>46.66</v>
      </c>
      <c r="LT48">
        <v>32.18</v>
      </c>
      <c r="LU48">
        <v>47.47</v>
      </c>
      <c r="LV48">
        <v>49.08</v>
      </c>
      <c r="LW48">
        <v>932.46</v>
      </c>
      <c r="LX48">
        <v>4029.13</v>
      </c>
      <c r="LY48">
        <v>2167.4299999999998</v>
      </c>
      <c r="LZ48">
        <v>11060.8</v>
      </c>
      <c r="MA48">
        <v>378.94</v>
      </c>
      <c r="MB48">
        <v>5606.03</v>
      </c>
      <c r="MC48">
        <v>789.25</v>
      </c>
      <c r="MD48">
        <v>502.84</v>
      </c>
      <c r="ME48">
        <v>213.2</v>
      </c>
      <c r="MF48">
        <v>1370.13</v>
      </c>
      <c r="MG48">
        <v>3440.21</v>
      </c>
      <c r="MH48">
        <v>328.25</v>
      </c>
      <c r="MI48">
        <v>9.19</v>
      </c>
      <c r="MJ48">
        <v>452.96</v>
      </c>
      <c r="MK48">
        <v>12.87</v>
      </c>
      <c r="ML48">
        <v>1345.19</v>
      </c>
      <c r="MM48">
        <v>1008.09</v>
      </c>
      <c r="MN48">
        <v>285.61</v>
      </c>
      <c r="MO48">
        <v>18.5</v>
      </c>
      <c r="MP48">
        <v>60.34</v>
      </c>
      <c r="MQ48">
        <v>76.430000000000007</v>
      </c>
      <c r="MR48">
        <v>16.899999999999999</v>
      </c>
      <c r="MS48">
        <v>145.62</v>
      </c>
      <c r="MT48">
        <v>905.91</v>
      </c>
      <c r="MU48">
        <v>21.72</v>
      </c>
      <c r="MV48">
        <v>204.35</v>
      </c>
      <c r="MW48">
        <v>125.51</v>
      </c>
      <c r="MX48">
        <v>24.14</v>
      </c>
      <c r="MY48">
        <v>9.19</v>
      </c>
      <c r="MZ48">
        <v>1446.56</v>
      </c>
      <c r="NA48">
        <v>38.619999999999997</v>
      </c>
      <c r="NB48">
        <v>2470.7399999999998</v>
      </c>
      <c r="NC48">
        <v>1314.62</v>
      </c>
      <c r="ND48">
        <v>627.54</v>
      </c>
      <c r="NE48">
        <v>372.5</v>
      </c>
      <c r="NF48">
        <v>11.26</v>
      </c>
      <c r="NG48">
        <v>13.68</v>
      </c>
      <c r="NH48">
        <v>119.88</v>
      </c>
      <c r="NI48">
        <v>929.24</v>
      </c>
      <c r="NJ48">
        <v>92.52</v>
      </c>
      <c r="NK48">
        <v>53.1</v>
      </c>
      <c r="NL48">
        <v>86.89</v>
      </c>
      <c r="NM48">
        <v>1896.3</v>
      </c>
      <c r="NN48">
        <v>144.82</v>
      </c>
      <c r="NO48">
        <v>9.19</v>
      </c>
      <c r="NP48">
        <v>9.19</v>
      </c>
      <c r="NQ48">
        <v>1171.4100000000001</v>
      </c>
      <c r="NR48">
        <v>267.11</v>
      </c>
      <c r="NS48">
        <v>325.02999999999997</v>
      </c>
      <c r="NT48">
        <v>1449.78</v>
      </c>
      <c r="NU48">
        <v>1001.65</v>
      </c>
      <c r="NV48">
        <v>250.21</v>
      </c>
      <c r="NW48">
        <v>381.35</v>
      </c>
      <c r="NX48">
        <v>46.66</v>
      </c>
      <c r="NY48">
        <v>55.51</v>
      </c>
      <c r="NZ48">
        <v>560.76</v>
      </c>
      <c r="OA48">
        <v>50.69</v>
      </c>
      <c r="OB48">
        <v>765.12</v>
      </c>
      <c r="OC48">
        <v>4161.88</v>
      </c>
      <c r="OD48">
        <v>114.24</v>
      </c>
      <c r="OE48">
        <v>3751.56</v>
      </c>
      <c r="OF48">
        <v>27.35</v>
      </c>
      <c r="OG48">
        <v>9000.3799999999992</v>
      </c>
      <c r="OH48">
        <v>179.41</v>
      </c>
      <c r="OI48">
        <v>23.33</v>
      </c>
      <c r="OJ48">
        <v>22.53</v>
      </c>
      <c r="OK48">
        <v>2066.06</v>
      </c>
      <c r="OL48">
        <v>86.09</v>
      </c>
      <c r="OM48">
        <v>167.34</v>
      </c>
      <c r="ON48">
        <v>177.8</v>
      </c>
      <c r="OO48">
        <v>1172.21</v>
      </c>
      <c r="OP48">
        <v>411.12</v>
      </c>
      <c r="OQ48">
        <v>5392.02</v>
      </c>
      <c r="OR48">
        <v>41.84</v>
      </c>
      <c r="OS48">
        <v>504.45</v>
      </c>
      <c r="OT48">
        <v>336.3</v>
      </c>
      <c r="OU48">
        <v>49.08</v>
      </c>
      <c r="OV48">
        <v>270.33</v>
      </c>
      <c r="OW48">
        <v>28.16</v>
      </c>
      <c r="OX48">
        <v>142.4</v>
      </c>
      <c r="OY48">
        <v>13.68</v>
      </c>
      <c r="OZ48">
        <v>10.46</v>
      </c>
      <c r="PA48">
        <v>9.19</v>
      </c>
      <c r="PB48">
        <v>28.16</v>
      </c>
      <c r="PC48">
        <v>13.68</v>
      </c>
      <c r="PD48">
        <v>17.7</v>
      </c>
      <c r="PE48">
        <v>28.96</v>
      </c>
      <c r="PF48">
        <v>514.9</v>
      </c>
      <c r="PG48">
        <v>48.27</v>
      </c>
      <c r="PH48">
        <v>44.25</v>
      </c>
      <c r="PI48">
        <v>207.57</v>
      </c>
      <c r="PJ48">
        <v>12500.93</v>
      </c>
      <c r="PK48">
        <v>22729.03</v>
      </c>
      <c r="PL48">
        <v>45.86</v>
      </c>
      <c r="PM48">
        <v>27917.5</v>
      </c>
      <c r="PN48">
        <v>2255.12</v>
      </c>
      <c r="PO48">
        <v>39.42</v>
      </c>
      <c r="PP48">
        <v>324.23</v>
      </c>
      <c r="PQ48">
        <v>32.18</v>
      </c>
      <c r="PR48">
        <v>59.54</v>
      </c>
      <c r="PS48">
        <v>10.46</v>
      </c>
      <c r="PT48">
        <v>29.77</v>
      </c>
      <c r="PU48">
        <v>151.25</v>
      </c>
      <c r="PV48">
        <v>69.989999999999995</v>
      </c>
      <c r="PW48">
        <v>90.91</v>
      </c>
      <c r="PX48">
        <v>9.19</v>
      </c>
      <c r="PY48">
        <v>371.7</v>
      </c>
      <c r="PZ48">
        <v>9.19</v>
      </c>
      <c r="QA48">
        <v>138.38</v>
      </c>
      <c r="QB48">
        <v>1435.3</v>
      </c>
      <c r="QC48">
        <v>9.19</v>
      </c>
      <c r="QD48">
        <v>9.19</v>
      </c>
      <c r="QE48">
        <v>20.11</v>
      </c>
      <c r="QF48">
        <v>9.19</v>
      </c>
      <c r="QG48">
        <v>20.11</v>
      </c>
      <c r="QH48">
        <v>11.26</v>
      </c>
      <c r="QI48">
        <v>9.19</v>
      </c>
      <c r="QJ48">
        <v>227.68</v>
      </c>
      <c r="QK48">
        <v>16.09</v>
      </c>
      <c r="QL48">
        <v>152.86000000000001</v>
      </c>
      <c r="QM48">
        <v>1121.53</v>
      </c>
      <c r="QN48">
        <v>359.63</v>
      </c>
      <c r="QO48">
        <v>29.77</v>
      </c>
      <c r="QP48">
        <v>23.33</v>
      </c>
      <c r="QQ48">
        <v>719.26</v>
      </c>
      <c r="QR48">
        <v>292.85000000000002</v>
      </c>
      <c r="QS48">
        <v>2212.48</v>
      </c>
      <c r="QT48">
        <v>981.54</v>
      </c>
      <c r="QU48">
        <v>29.77</v>
      </c>
      <c r="QV48">
        <v>189.87</v>
      </c>
      <c r="QW48">
        <v>144.01</v>
      </c>
      <c r="QX48">
        <v>238.14</v>
      </c>
      <c r="QY48">
        <v>358.82</v>
      </c>
      <c r="QZ48">
        <v>12.07</v>
      </c>
      <c r="RA48">
        <v>153.66999999999999</v>
      </c>
      <c r="RB48">
        <v>10940.92</v>
      </c>
      <c r="RC48">
        <v>472.26</v>
      </c>
      <c r="RD48">
        <v>1544.71</v>
      </c>
      <c r="RE48">
        <v>90.11</v>
      </c>
      <c r="RF48">
        <v>67.58</v>
      </c>
      <c r="RG48">
        <v>348.37</v>
      </c>
      <c r="RH48">
        <v>37.01</v>
      </c>
      <c r="RI48">
        <v>12.87</v>
      </c>
      <c r="RJ48">
        <v>124.7</v>
      </c>
      <c r="RK48">
        <v>9.65</v>
      </c>
      <c r="RL48">
        <v>215.62</v>
      </c>
      <c r="RM48">
        <v>126.31</v>
      </c>
      <c r="RN48">
        <v>229.29</v>
      </c>
      <c r="RO48">
        <v>779.6</v>
      </c>
      <c r="RP48">
        <v>46.66</v>
      </c>
      <c r="RQ48">
        <v>1612.3</v>
      </c>
      <c r="RR48">
        <v>16.09</v>
      </c>
      <c r="RS48">
        <v>485.14</v>
      </c>
      <c r="RT48">
        <v>659.72</v>
      </c>
      <c r="RU48">
        <v>20.11</v>
      </c>
      <c r="RV48">
        <v>15.29</v>
      </c>
      <c r="RW48">
        <v>69.19</v>
      </c>
      <c r="RX48">
        <v>3334.81</v>
      </c>
      <c r="RY48">
        <v>1087.74</v>
      </c>
      <c r="RZ48">
        <v>14.48</v>
      </c>
      <c r="SA48">
        <v>349.97</v>
      </c>
      <c r="SB48">
        <v>14.48</v>
      </c>
      <c r="SC48">
        <v>85.28</v>
      </c>
      <c r="SD48">
        <v>897.06</v>
      </c>
      <c r="SE48">
        <v>576.85</v>
      </c>
      <c r="SF48">
        <v>370.89</v>
      </c>
      <c r="SG48">
        <v>3960.75</v>
      </c>
      <c r="SH48">
        <v>97.35</v>
      </c>
      <c r="SI48">
        <v>29.77</v>
      </c>
      <c r="SJ48">
        <v>126.31</v>
      </c>
      <c r="SK48">
        <v>96.54</v>
      </c>
      <c r="SL48">
        <v>148.84</v>
      </c>
      <c r="SM48">
        <v>28.96</v>
      </c>
      <c r="SN48">
        <v>82.87</v>
      </c>
      <c r="SO48">
        <v>9.19</v>
      </c>
      <c r="SP48">
        <v>81.260000000000005</v>
      </c>
      <c r="SQ48">
        <v>785.23</v>
      </c>
      <c r="SR48">
        <v>1185.0899999999999</v>
      </c>
      <c r="SS48">
        <v>2299.37</v>
      </c>
      <c r="ST48">
        <v>1045.9000000000001</v>
      </c>
      <c r="SU48">
        <v>1801.36</v>
      </c>
      <c r="SV48">
        <v>630.76</v>
      </c>
      <c r="SW48">
        <v>806.15</v>
      </c>
      <c r="SX48">
        <v>105.39</v>
      </c>
      <c r="SY48">
        <v>70.8</v>
      </c>
      <c r="SZ48">
        <v>9.19</v>
      </c>
      <c r="TA48">
        <v>9.65</v>
      </c>
      <c r="TB48">
        <v>1338.75</v>
      </c>
      <c r="TC48">
        <v>1135.2</v>
      </c>
      <c r="TD48">
        <v>79.650000000000006</v>
      </c>
      <c r="TE48">
        <v>539.04</v>
      </c>
      <c r="TF48">
        <v>330.67</v>
      </c>
      <c r="TG48">
        <v>703.17</v>
      </c>
      <c r="TH48">
        <v>316.99</v>
      </c>
      <c r="TI48">
        <v>86.09</v>
      </c>
      <c r="TJ48">
        <v>20.11</v>
      </c>
      <c r="TK48">
        <v>235.73</v>
      </c>
      <c r="TL48">
        <v>130.34</v>
      </c>
      <c r="TM48">
        <v>89.3</v>
      </c>
      <c r="TN48">
        <v>255.84</v>
      </c>
      <c r="TO48">
        <v>699.14</v>
      </c>
      <c r="TP48">
        <v>260.67</v>
      </c>
      <c r="TQ48">
        <v>210.79</v>
      </c>
      <c r="TR48">
        <v>11.26</v>
      </c>
      <c r="TS48">
        <v>98.96</v>
      </c>
      <c r="TT48">
        <v>102.18</v>
      </c>
      <c r="TU48">
        <v>18.5</v>
      </c>
      <c r="TV48">
        <v>256.64999999999998</v>
      </c>
      <c r="TW48">
        <v>504.45</v>
      </c>
      <c r="TX48">
        <v>148.04</v>
      </c>
      <c r="TY48">
        <v>27.35</v>
      </c>
      <c r="TZ48">
        <v>60.34</v>
      </c>
      <c r="UA48">
        <v>192.28</v>
      </c>
      <c r="UB48">
        <v>57.93</v>
      </c>
      <c r="UC48">
        <v>14747.2</v>
      </c>
      <c r="UD48">
        <v>9.19</v>
      </c>
      <c r="UE48">
        <v>14.48</v>
      </c>
      <c r="UF48">
        <v>797.3</v>
      </c>
      <c r="UG48">
        <v>246.99</v>
      </c>
      <c r="UH48">
        <v>9.19</v>
      </c>
      <c r="UI48">
        <v>43.45</v>
      </c>
      <c r="UJ48">
        <v>11.26</v>
      </c>
      <c r="UK48">
        <v>27.35</v>
      </c>
      <c r="UL48">
        <v>9.19</v>
      </c>
      <c r="UM48">
        <v>9.19</v>
      </c>
      <c r="UN48">
        <v>139.99</v>
      </c>
      <c r="UO48">
        <v>274.35000000000002</v>
      </c>
      <c r="UP48">
        <v>10.46</v>
      </c>
      <c r="UQ48">
        <v>16.899999999999999</v>
      </c>
      <c r="UR48">
        <v>9.65</v>
      </c>
      <c r="US48">
        <v>60.34</v>
      </c>
      <c r="UT48">
        <v>216.42</v>
      </c>
      <c r="UU48">
        <v>1252.67</v>
      </c>
      <c r="UV48">
        <v>775.58</v>
      </c>
      <c r="UW48">
        <v>581.67999999999995</v>
      </c>
      <c r="UX48">
        <v>65.97</v>
      </c>
      <c r="UY48">
        <v>325.83999999999997</v>
      </c>
      <c r="UZ48">
        <v>39.42</v>
      </c>
      <c r="VA48">
        <v>220.44</v>
      </c>
      <c r="VB48">
        <v>1638.04</v>
      </c>
      <c r="VC48">
        <v>60.34</v>
      </c>
      <c r="VD48">
        <v>170.56</v>
      </c>
      <c r="VE48">
        <v>34.6</v>
      </c>
      <c r="VF48">
        <v>287.22000000000003</v>
      </c>
      <c r="VG48">
        <v>84.48</v>
      </c>
      <c r="VH48">
        <v>50.69</v>
      </c>
      <c r="VI48">
        <v>29.77</v>
      </c>
      <c r="VJ48">
        <v>42.64</v>
      </c>
      <c r="VK48">
        <v>669.38</v>
      </c>
      <c r="VL48">
        <v>856.03</v>
      </c>
      <c r="VM48">
        <v>550.29999999999995</v>
      </c>
      <c r="VN48">
        <v>382.96</v>
      </c>
      <c r="VO48">
        <v>12.07</v>
      </c>
      <c r="VP48">
        <v>9.19</v>
      </c>
      <c r="VQ48">
        <v>843.16</v>
      </c>
      <c r="VR48">
        <v>447.32</v>
      </c>
      <c r="VS48">
        <v>597.77</v>
      </c>
      <c r="VT48">
        <v>24.94</v>
      </c>
      <c r="VU48">
        <v>65.17</v>
      </c>
      <c r="VV48">
        <v>20.92</v>
      </c>
      <c r="VW48">
        <v>239.75</v>
      </c>
      <c r="VX48">
        <v>98.96</v>
      </c>
      <c r="VY48">
        <v>9.19</v>
      </c>
      <c r="VZ48">
        <v>18449.689999999999</v>
      </c>
      <c r="WA48">
        <v>14265.28</v>
      </c>
      <c r="WB48">
        <v>292.05</v>
      </c>
      <c r="WC48">
        <v>143.21</v>
      </c>
      <c r="WD48">
        <v>635.59</v>
      </c>
      <c r="WE48">
        <v>1852.85</v>
      </c>
      <c r="WF48">
        <v>62.75</v>
      </c>
      <c r="WG48">
        <v>343.54</v>
      </c>
      <c r="WH48">
        <v>8931.19</v>
      </c>
      <c r="WI48">
        <v>21621.98</v>
      </c>
      <c r="WJ48">
        <v>5268.93</v>
      </c>
      <c r="WK48">
        <v>190.68</v>
      </c>
      <c r="WL48">
        <v>423.99</v>
      </c>
      <c r="WM48">
        <v>20.92</v>
      </c>
      <c r="WN48">
        <v>10.46</v>
      </c>
      <c r="WO48">
        <v>20.92</v>
      </c>
      <c r="WP48">
        <v>101.37</v>
      </c>
      <c r="WQ48">
        <v>3478.02</v>
      </c>
      <c r="WR48">
        <v>324.23</v>
      </c>
      <c r="WS48">
        <v>36.200000000000003</v>
      </c>
      <c r="WT48">
        <v>37.81</v>
      </c>
      <c r="WU48">
        <v>624.32000000000005</v>
      </c>
      <c r="WV48">
        <v>682.25</v>
      </c>
      <c r="WW48">
        <v>28.16</v>
      </c>
      <c r="WX48">
        <v>22.53</v>
      </c>
      <c r="WY48">
        <v>39.42</v>
      </c>
      <c r="WZ48">
        <v>10.46</v>
      </c>
      <c r="XA48">
        <v>9.19</v>
      </c>
      <c r="XB48">
        <v>340.32</v>
      </c>
      <c r="XC48">
        <v>16.09</v>
      </c>
      <c r="XD48">
        <v>104.59</v>
      </c>
      <c r="XE48">
        <v>93.33</v>
      </c>
      <c r="XF48">
        <v>1260.71</v>
      </c>
      <c r="XG48">
        <v>1578.51</v>
      </c>
      <c r="XH48">
        <v>131.94</v>
      </c>
      <c r="XI48">
        <v>3463.54</v>
      </c>
      <c r="XJ48">
        <v>366.87</v>
      </c>
      <c r="XK48">
        <v>599.38</v>
      </c>
      <c r="XL48">
        <v>68.39</v>
      </c>
      <c r="XM48">
        <v>58.73</v>
      </c>
      <c r="XN48">
        <v>297.68</v>
      </c>
      <c r="XO48">
        <v>9.19</v>
      </c>
      <c r="XP48">
        <v>20.92</v>
      </c>
      <c r="XQ48">
        <v>44.25</v>
      </c>
      <c r="XR48">
        <v>9.19</v>
      </c>
      <c r="XS48">
        <v>416.75</v>
      </c>
      <c r="XT48">
        <v>259.87</v>
      </c>
      <c r="XU48">
        <v>745.81</v>
      </c>
      <c r="XV48">
        <v>749.03</v>
      </c>
      <c r="XW48">
        <v>3179.54</v>
      </c>
      <c r="XX48">
        <v>1790.9</v>
      </c>
      <c r="XY48">
        <v>1585.75</v>
      </c>
      <c r="XZ48">
        <v>45.05</v>
      </c>
      <c r="YA48">
        <v>302.51</v>
      </c>
      <c r="YB48">
        <v>69.989999999999995</v>
      </c>
      <c r="YC48">
        <v>24.14</v>
      </c>
      <c r="YD48">
        <v>1811.02</v>
      </c>
      <c r="YE48">
        <v>650.07000000000005</v>
      </c>
      <c r="YF48">
        <v>815.8</v>
      </c>
      <c r="YG48">
        <v>197.11</v>
      </c>
      <c r="YH48">
        <v>24.94</v>
      </c>
      <c r="YI48">
        <v>29.77</v>
      </c>
      <c r="YJ48">
        <v>22.53</v>
      </c>
      <c r="YK48">
        <v>9.19</v>
      </c>
      <c r="YL48">
        <v>234.12</v>
      </c>
      <c r="YM48">
        <v>4115.22</v>
      </c>
      <c r="YN48">
        <v>226.88</v>
      </c>
      <c r="YO48">
        <v>114.24</v>
      </c>
      <c r="YP48">
        <v>1364.5</v>
      </c>
      <c r="YQ48">
        <v>288.02</v>
      </c>
      <c r="YR48">
        <v>145.62</v>
      </c>
      <c r="YS48">
        <v>10600.6</v>
      </c>
      <c r="YT48">
        <v>82.87</v>
      </c>
      <c r="YU48">
        <v>192.28</v>
      </c>
      <c r="YV48">
        <v>16.09</v>
      </c>
      <c r="YW48">
        <v>54.71</v>
      </c>
      <c r="YX48">
        <v>45.86</v>
      </c>
      <c r="YY48">
        <v>214.01</v>
      </c>
      <c r="YZ48">
        <v>69.989999999999995</v>
      </c>
      <c r="ZA48">
        <v>56.32</v>
      </c>
      <c r="ZB48">
        <v>14.48</v>
      </c>
      <c r="ZC48">
        <v>9.19</v>
      </c>
      <c r="ZD48">
        <v>21.72</v>
      </c>
      <c r="ZE48">
        <v>13.68</v>
      </c>
      <c r="ZF48">
        <v>84.48</v>
      </c>
      <c r="ZG48">
        <v>296.87</v>
      </c>
      <c r="ZH48">
        <v>74.02</v>
      </c>
      <c r="ZI48">
        <v>361.24</v>
      </c>
      <c r="ZJ48">
        <v>292.05</v>
      </c>
      <c r="ZK48">
        <v>173.78</v>
      </c>
      <c r="ZL48">
        <v>12.87</v>
      </c>
      <c r="ZM48">
        <v>112.64</v>
      </c>
      <c r="ZN48">
        <v>16.09</v>
      </c>
      <c r="ZO48">
        <v>9.19</v>
      </c>
      <c r="ZP48">
        <v>138.38</v>
      </c>
      <c r="ZQ48">
        <v>11.26</v>
      </c>
      <c r="ZR48">
        <v>22.53</v>
      </c>
      <c r="ZS48">
        <v>1231.75</v>
      </c>
      <c r="ZT48">
        <v>159.30000000000001</v>
      </c>
      <c r="ZU48">
        <v>221.25</v>
      </c>
      <c r="ZV48">
        <v>12.07</v>
      </c>
      <c r="ZW48">
        <v>9.65</v>
      </c>
      <c r="ZX48">
        <v>60.34</v>
      </c>
      <c r="ZY48">
        <v>2929.33</v>
      </c>
      <c r="ZZ48">
        <v>56.32</v>
      </c>
      <c r="AAA48">
        <v>28.16</v>
      </c>
      <c r="AAB48">
        <v>41.03</v>
      </c>
      <c r="AAC48">
        <v>9.65</v>
      </c>
      <c r="AAD48">
        <v>29.77</v>
      </c>
      <c r="AAE48">
        <v>9.65</v>
      </c>
      <c r="AAF48">
        <v>18.5</v>
      </c>
      <c r="AAG48">
        <v>218.83</v>
      </c>
      <c r="AAH48">
        <v>81.260000000000005</v>
      </c>
      <c r="AAI48">
        <v>5715.44</v>
      </c>
      <c r="AAJ48">
        <v>972.69</v>
      </c>
      <c r="AAK48">
        <v>184.24</v>
      </c>
      <c r="AAL48">
        <v>77.239999999999995</v>
      </c>
      <c r="AAM48">
        <v>9.19</v>
      </c>
      <c r="AAN48">
        <v>128.72999999999999</v>
      </c>
      <c r="AAO48">
        <v>42.64</v>
      </c>
      <c r="AAP48">
        <v>286.42</v>
      </c>
      <c r="AAQ48">
        <v>23.33</v>
      </c>
      <c r="AAR48">
        <v>61.95</v>
      </c>
      <c r="AAS48">
        <v>2050.77</v>
      </c>
      <c r="AAT48">
        <v>25.75</v>
      </c>
      <c r="AAU48">
        <v>16.09</v>
      </c>
      <c r="AAV48">
        <v>2165.8200000000002</v>
      </c>
      <c r="AAW48">
        <v>177.8</v>
      </c>
      <c r="AAX48">
        <v>42.64</v>
      </c>
      <c r="AAY48">
        <v>568.80999999999995</v>
      </c>
      <c r="AAZ48">
        <v>33.79</v>
      </c>
      <c r="ABA48">
        <v>577.66</v>
      </c>
      <c r="ABB48">
        <v>33.79</v>
      </c>
      <c r="ABC48">
        <v>382.16</v>
      </c>
      <c r="ABD48">
        <v>872.12</v>
      </c>
      <c r="ABE48">
        <v>333.88</v>
      </c>
      <c r="ABF48">
        <v>1463.46</v>
      </c>
      <c r="ABG48">
        <v>67.58</v>
      </c>
      <c r="ABH48">
        <v>176.19</v>
      </c>
      <c r="ABI48">
        <v>67.58</v>
      </c>
      <c r="ABJ48">
        <v>42.64</v>
      </c>
      <c r="ABK48">
        <v>70.8</v>
      </c>
      <c r="ABL48">
        <v>13.68</v>
      </c>
      <c r="ABM48">
        <v>14.48</v>
      </c>
      <c r="ABN48">
        <v>32.18</v>
      </c>
      <c r="ABO48">
        <v>12.07</v>
      </c>
      <c r="ABP48">
        <v>9.65</v>
      </c>
      <c r="ABQ48">
        <v>205.96</v>
      </c>
      <c r="ABR48">
        <v>53.1</v>
      </c>
      <c r="ABS48">
        <v>590.53</v>
      </c>
      <c r="ABT48">
        <v>23.33</v>
      </c>
      <c r="ABU48">
        <v>13.68</v>
      </c>
      <c r="ABV48">
        <v>82.06</v>
      </c>
      <c r="ABW48">
        <v>181.02</v>
      </c>
      <c r="ABX48">
        <v>246.19</v>
      </c>
      <c r="ABY48">
        <v>912.35</v>
      </c>
      <c r="ABZ48">
        <v>147.22999999999999</v>
      </c>
      <c r="ACA48">
        <v>687.88</v>
      </c>
      <c r="ACB48">
        <v>259.87</v>
      </c>
      <c r="ACC48">
        <v>103.79</v>
      </c>
      <c r="ACD48">
        <v>423.99</v>
      </c>
      <c r="ACE48">
        <v>161.71</v>
      </c>
      <c r="ACF48">
        <v>5072.62</v>
      </c>
      <c r="ACG48">
        <v>2081.34</v>
      </c>
      <c r="ACH48">
        <v>695.93</v>
      </c>
      <c r="ACI48">
        <v>568.80999999999995</v>
      </c>
      <c r="ACJ48">
        <v>621.91</v>
      </c>
      <c r="ACK48">
        <v>509.27</v>
      </c>
      <c r="ACL48">
        <v>59.54</v>
      </c>
      <c r="ACM48">
        <v>127.12</v>
      </c>
      <c r="ACN48">
        <v>547.09</v>
      </c>
      <c r="ACO48">
        <v>802.13</v>
      </c>
      <c r="ACP48">
        <v>574.44000000000005</v>
      </c>
      <c r="ACQ48">
        <v>321.01</v>
      </c>
      <c r="ACR48">
        <v>5530.4</v>
      </c>
    </row>
    <row r="49" spans="1:772" x14ac:dyDescent="0.3">
      <c r="A49" t="s">
        <v>20</v>
      </c>
      <c r="B49" t="s">
        <v>3</v>
      </c>
      <c r="C49">
        <v>530.04</v>
      </c>
      <c r="D49">
        <v>50.72</v>
      </c>
      <c r="E49">
        <v>574.33000000000004</v>
      </c>
      <c r="F49">
        <v>11.69</v>
      </c>
      <c r="G49">
        <v>2916.64</v>
      </c>
      <c r="H49">
        <v>40</v>
      </c>
      <c r="I49">
        <v>1289.3800000000001</v>
      </c>
      <c r="J49">
        <v>9649.2800000000007</v>
      </c>
      <c r="K49">
        <v>152.87</v>
      </c>
      <c r="L49">
        <v>19.29</v>
      </c>
      <c r="M49">
        <v>277.16000000000003</v>
      </c>
      <c r="N49">
        <v>642.19000000000005</v>
      </c>
      <c r="O49">
        <v>607.19000000000005</v>
      </c>
      <c r="P49">
        <v>312.17</v>
      </c>
      <c r="Q49">
        <v>77.86</v>
      </c>
      <c r="R49">
        <v>1600.12</v>
      </c>
      <c r="S49">
        <v>15</v>
      </c>
      <c r="T49">
        <v>670.76</v>
      </c>
      <c r="U49">
        <v>743.63</v>
      </c>
      <c r="V49">
        <v>225.02</v>
      </c>
      <c r="W49">
        <v>8179.89</v>
      </c>
      <c r="X49">
        <v>14.29</v>
      </c>
      <c r="Y49">
        <v>105.01</v>
      </c>
      <c r="Z49">
        <v>365.74</v>
      </c>
      <c r="AA49">
        <v>17.14</v>
      </c>
      <c r="AB49">
        <v>490.04</v>
      </c>
      <c r="AC49">
        <v>517.17999999999995</v>
      </c>
      <c r="AD49">
        <v>124.29</v>
      </c>
      <c r="AE49">
        <v>470.75</v>
      </c>
      <c r="AF49">
        <v>26268.36</v>
      </c>
      <c r="AG49">
        <v>123.58</v>
      </c>
      <c r="AH49">
        <v>137.87</v>
      </c>
      <c r="AI49">
        <v>17.14</v>
      </c>
      <c r="AJ49">
        <v>714.34</v>
      </c>
      <c r="AK49">
        <v>155.01</v>
      </c>
      <c r="AL49">
        <v>115.72</v>
      </c>
      <c r="AM49">
        <v>135.72</v>
      </c>
      <c r="AN49">
        <v>30</v>
      </c>
      <c r="AO49">
        <v>1254.3800000000001</v>
      </c>
      <c r="AP49">
        <v>34.29</v>
      </c>
      <c r="AQ49">
        <v>193.59</v>
      </c>
      <c r="AR49">
        <v>15</v>
      </c>
      <c r="AS49">
        <v>424.32</v>
      </c>
      <c r="AT49">
        <v>11.69</v>
      </c>
      <c r="AU49">
        <v>40.72</v>
      </c>
      <c r="AV49">
        <v>862.21</v>
      </c>
      <c r="AW49">
        <v>166.44</v>
      </c>
      <c r="AX49">
        <v>1417.25</v>
      </c>
      <c r="AY49">
        <v>68.58</v>
      </c>
      <c r="AZ49">
        <v>110.72</v>
      </c>
      <c r="BA49">
        <v>278.58999999999997</v>
      </c>
      <c r="BB49">
        <v>404.32</v>
      </c>
      <c r="BC49">
        <v>80.72</v>
      </c>
      <c r="BD49">
        <v>11.69</v>
      </c>
      <c r="BE49">
        <v>123.58</v>
      </c>
      <c r="BF49">
        <v>269.31</v>
      </c>
      <c r="BG49">
        <v>37.15</v>
      </c>
      <c r="BH49">
        <v>15</v>
      </c>
      <c r="BI49">
        <v>18.57</v>
      </c>
      <c r="BJ49">
        <v>11.69</v>
      </c>
      <c r="BK49">
        <v>416.46</v>
      </c>
      <c r="BL49">
        <v>682.91</v>
      </c>
      <c r="BM49">
        <v>115.72</v>
      </c>
      <c r="BN49">
        <v>60.72</v>
      </c>
      <c r="BO49">
        <v>100.01</v>
      </c>
      <c r="BP49">
        <v>23.57</v>
      </c>
      <c r="BQ49">
        <v>42.15</v>
      </c>
      <c r="BR49">
        <v>60</v>
      </c>
      <c r="BS49">
        <v>12.14</v>
      </c>
      <c r="BT49">
        <v>1893.71</v>
      </c>
      <c r="BU49">
        <v>270.73</v>
      </c>
      <c r="BV49">
        <v>22.14</v>
      </c>
      <c r="BW49">
        <v>20.72</v>
      </c>
      <c r="BX49">
        <v>827.2</v>
      </c>
      <c r="BY49">
        <v>138.58000000000001</v>
      </c>
      <c r="BZ49">
        <v>1240.0899999999999</v>
      </c>
      <c r="CA49">
        <v>148.58000000000001</v>
      </c>
      <c r="CB49">
        <v>95.01</v>
      </c>
      <c r="CC49">
        <v>247.16</v>
      </c>
      <c r="CD49">
        <v>617.9</v>
      </c>
      <c r="CE49">
        <v>977.93</v>
      </c>
      <c r="CF49">
        <v>617.19000000000005</v>
      </c>
      <c r="CG49">
        <v>42.15</v>
      </c>
      <c r="CH49">
        <v>198.59</v>
      </c>
      <c r="CI49">
        <v>18.57</v>
      </c>
      <c r="CJ49">
        <v>16.43</v>
      </c>
      <c r="CK49">
        <v>19.29</v>
      </c>
      <c r="CL49">
        <v>54.29</v>
      </c>
      <c r="CM49">
        <v>232.16</v>
      </c>
      <c r="CN49">
        <v>78.58</v>
      </c>
      <c r="CO49">
        <v>19.29</v>
      </c>
      <c r="CP49">
        <v>11.69</v>
      </c>
      <c r="CQ49">
        <v>59.29</v>
      </c>
      <c r="CR49">
        <v>40.72</v>
      </c>
      <c r="CS49">
        <v>11.69</v>
      </c>
      <c r="CT49">
        <v>11.69</v>
      </c>
      <c r="CU49">
        <v>27.14</v>
      </c>
      <c r="CV49">
        <v>254.3</v>
      </c>
      <c r="CW49">
        <v>1055.79</v>
      </c>
      <c r="CX49">
        <v>12.14</v>
      </c>
      <c r="CY49">
        <v>132.87</v>
      </c>
      <c r="CZ49">
        <v>43.57</v>
      </c>
      <c r="DA49">
        <v>26.43</v>
      </c>
      <c r="DB49">
        <v>88.58</v>
      </c>
      <c r="DC49">
        <v>40</v>
      </c>
      <c r="DD49">
        <v>20</v>
      </c>
      <c r="DE49">
        <v>17.86</v>
      </c>
      <c r="DF49">
        <v>150.01</v>
      </c>
      <c r="DG49">
        <v>11.69</v>
      </c>
      <c r="DH49">
        <v>2955.93</v>
      </c>
      <c r="DI49">
        <v>22.14</v>
      </c>
      <c r="DJ49">
        <v>38.57</v>
      </c>
      <c r="DK49">
        <v>116.44</v>
      </c>
      <c r="DL49">
        <v>1888.71</v>
      </c>
      <c r="DM49">
        <v>52.15</v>
      </c>
      <c r="DN49">
        <v>27.86</v>
      </c>
      <c r="DO49">
        <v>55</v>
      </c>
      <c r="DP49">
        <v>20</v>
      </c>
      <c r="DQ49">
        <v>1202.23</v>
      </c>
      <c r="DR49">
        <v>43.57</v>
      </c>
      <c r="DS49">
        <v>14.29</v>
      </c>
      <c r="DT49">
        <v>35.72</v>
      </c>
      <c r="DU49">
        <v>2823.78</v>
      </c>
      <c r="DV49">
        <v>63.58</v>
      </c>
      <c r="DW49">
        <v>11.69</v>
      </c>
      <c r="DX49">
        <v>47.86</v>
      </c>
      <c r="DY49">
        <v>69.290000000000006</v>
      </c>
      <c r="DZ49">
        <v>83.58</v>
      </c>
      <c r="EA49">
        <v>30.72</v>
      </c>
      <c r="EB49">
        <v>22.14</v>
      </c>
      <c r="EC49">
        <v>50</v>
      </c>
      <c r="ED49">
        <v>135.01</v>
      </c>
      <c r="EE49">
        <v>18.57</v>
      </c>
      <c r="EF49">
        <v>2156.59</v>
      </c>
      <c r="EG49">
        <v>850.78</v>
      </c>
      <c r="EH49">
        <v>47.15</v>
      </c>
      <c r="EI49">
        <v>56.43</v>
      </c>
      <c r="EJ49">
        <v>555.04</v>
      </c>
      <c r="EK49">
        <v>856.49</v>
      </c>
      <c r="EL49">
        <v>2415.1799999999998</v>
      </c>
      <c r="EM49">
        <v>177.87</v>
      </c>
      <c r="EN49">
        <v>219.3</v>
      </c>
      <c r="EO49">
        <v>214.3</v>
      </c>
      <c r="EP49">
        <v>21.43</v>
      </c>
      <c r="EQ49">
        <v>2098.0100000000002</v>
      </c>
      <c r="ER49">
        <v>100.72</v>
      </c>
      <c r="ES49">
        <v>158.58000000000001</v>
      </c>
      <c r="ET49">
        <v>11.69</v>
      </c>
      <c r="EU49">
        <v>429.32</v>
      </c>
      <c r="EV49">
        <v>107.15</v>
      </c>
      <c r="EW49">
        <v>11.69</v>
      </c>
      <c r="EX49">
        <v>47.15</v>
      </c>
      <c r="EY49">
        <v>19.29</v>
      </c>
      <c r="EZ49">
        <v>11.69</v>
      </c>
      <c r="FA49">
        <v>72.150000000000006</v>
      </c>
      <c r="FB49">
        <v>11.69</v>
      </c>
      <c r="FC49">
        <v>61.43</v>
      </c>
      <c r="FD49">
        <v>12.86</v>
      </c>
      <c r="FE49">
        <v>7759.14</v>
      </c>
      <c r="FF49">
        <v>70.010000000000005</v>
      </c>
      <c r="FG49">
        <v>1754.42</v>
      </c>
      <c r="FH49">
        <v>1784.42</v>
      </c>
      <c r="FI49">
        <v>23.57</v>
      </c>
      <c r="FJ49">
        <v>139.30000000000001</v>
      </c>
      <c r="FK49">
        <v>527.17999999999995</v>
      </c>
      <c r="FL49">
        <v>60</v>
      </c>
      <c r="FM49">
        <v>152.15</v>
      </c>
      <c r="FN49">
        <v>106.44</v>
      </c>
      <c r="FO49">
        <v>23.57</v>
      </c>
      <c r="FP49">
        <v>11.69</v>
      </c>
      <c r="FQ49">
        <v>17.14</v>
      </c>
      <c r="FR49">
        <v>17.14</v>
      </c>
      <c r="FS49">
        <v>11.69</v>
      </c>
      <c r="FT49">
        <v>33.57</v>
      </c>
      <c r="FU49">
        <v>3545.98</v>
      </c>
      <c r="FV49">
        <v>2328.0300000000002</v>
      </c>
      <c r="FW49">
        <v>14.29</v>
      </c>
      <c r="FX49">
        <v>180.73</v>
      </c>
      <c r="FY49">
        <v>11.69</v>
      </c>
      <c r="FZ49">
        <v>1759.42</v>
      </c>
      <c r="GA49">
        <v>4161.7299999999996</v>
      </c>
      <c r="GB49">
        <v>122.87</v>
      </c>
      <c r="GC49">
        <v>19.29</v>
      </c>
      <c r="GD49">
        <v>112.15</v>
      </c>
      <c r="GE49">
        <v>912.21</v>
      </c>
      <c r="GF49">
        <v>201.44</v>
      </c>
      <c r="GG49">
        <v>1738.7</v>
      </c>
      <c r="GH49">
        <v>396.46</v>
      </c>
      <c r="GI49">
        <v>1483.68</v>
      </c>
      <c r="GJ49">
        <v>363.6</v>
      </c>
      <c r="GK49">
        <v>8424.91</v>
      </c>
      <c r="GL49">
        <v>1404.39</v>
      </c>
      <c r="GM49">
        <v>13.57</v>
      </c>
      <c r="GN49">
        <v>11.69</v>
      </c>
      <c r="GO49">
        <v>597.19000000000005</v>
      </c>
      <c r="GP49">
        <v>18.57</v>
      </c>
      <c r="GQ49">
        <v>72.150000000000006</v>
      </c>
      <c r="GR49">
        <v>280.02</v>
      </c>
      <c r="GS49">
        <v>168.58</v>
      </c>
      <c r="GT49">
        <v>376.46</v>
      </c>
      <c r="GU49">
        <v>11.69</v>
      </c>
      <c r="GV49">
        <v>50.72</v>
      </c>
      <c r="GW49">
        <v>98.58</v>
      </c>
      <c r="GX49">
        <v>185.01</v>
      </c>
      <c r="GY49">
        <v>51.43</v>
      </c>
      <c r="GZ49">
        <v>252.16</v>
      </c>
      <c r="HA49">
        <v>288.58999999999997</v>
      </c>
      <c r="HB49">
        <v>829.35</v>
      </c>
      <c r="HC49">
        <v>62.15</v>
      </c>
      <c r="HD49">
        <v>1065.08</v>
      </c>
      <c r="HE49">
        <v>24.29</v>
      </c>
      <c r="HF49">
        <v>1822.99</v>
      </c>
      <c r="HG49">
        <v>303.58999999999997</v>
      </c>
      <c r="HH49">
        <v>125.72</v>
      </c>
      <c r="HI49">
        <v>35.72</v>
      </c>
      <c r="HJ49">
        <v>1624.41</v>
      </c>
      <c r="HK49">
        <v>2583.7600000000002</v>
      </c>
      <c r="HL49">
        <v>1270.0899999999999</v>
      </c>
      <c r="HM49">
        <v>110.72</v>
      </c>
      <c r="HN49">
        <v>1013.65</v>
      </c>
      <c r="HO49">
        <v>11.69</v>
      </c>
      <c r="HP49">
        <v>80.72</v>
      </c>
      <c r="HQ49">
        <v>8030.59</v>
      </c>
      <c r="HR49">
        <v>90.72</v>
      </c>
      <c r="HS49">
        <v>258.58999999999997</v>
      </c>
      <c r="HT49">
        <v>217.16</v>
      </c>
      <c r="HU49">
        <v>232.87</v>
      </c>
      <c r="HV49">
        <v>151.44</v>
      </c>
      <c r="HW49">
        <v>5869</v>
      </c>
      <c r="HX49">
        <v>27.14</v>
      </c>
      <c r="HY49">
        <v>43.57</v>
      </c>
      <c r="HZ49">
        <v>176.44</v>
      </c>
      <c r="IA49">
        <v>377.88</v>
      </c>
      <c r="IB49">
        <v>140.01</v>
      </c>
      <c r="IC49">
        <v>35.72</v>
      </c>
      <c r="ID49">
        <v>12.86</v>
      </c>
      <c r="IE49">
        <v>60</v>
      </c>
      <c r="IF49">
        <v>924.35</v>
      </c>
      <c r="IG49">
        <v>37.15</v>
      </c>
      <c r="IH49">
        <v>14.29</v>
      </c>
      <c r="II49">
        <v>53.58</v>
      </c>
      <c r="IJ49">
        <v>48.58</v>
      </c>
      <c r="IK49">
        <v>19.29</v>
      </c>
      <c r="IL49">
        <v>518.61</v>
      </c>
      <c r="IM49">
        <v>158.58000000000001</v>
      </c>
      <c r="IN49">
        <v>60.72</v>
      </c>
      <c r="IO49">
        <v>11.69</v>
      </c>
      <c r="IP49">
        <v>22.86</v>
      </c>
      <c r="IQ49">
        <v>15</v>
      </c>
      <c r="IR49">
        <v>30.72</v>
      </c>
      <c r="IS49">
        <v>19.29</v>
      </c>
      <c r="IT49">
        <v>11.69</v>
      </c>
      <c r="IU49">
        <v>57.86</v>
      </c>
      <c r="IV49">
        <v>1814.42</v>
      </c>
      <c r="IW49">
        <v>449.32</v>
      </c>
      <c r="IX49">
        <v>5412.54</v>
      </c>
      <c r="IY49">
        <v>22.14</v>
      </c>
      <c r="IZ49">
        <v>22.14</v>
      </c>
      <c r="JA49">
        <v>210.73</v>
      </c>
      <c r="JB49">
        <v>378.6</v>
      </c>
      <c r="JC49">
        <v>69.290000000000006</v>
      </c>
      <c r="JD49">
        <v>170.01</v>
      </c>
      <c r="JE49">
        <v>24.29</v>
      </c>
      <c r="JF49">
        <v>15</v>
      </c>
      <c r="JG49">
        <v>32.15</v>
      </c>
      <c r="JH49">
        <v>1387.24</v>
      </c>
      <c r="JI49">
        <v>672.91</v>
      </c>
      <c r="JJ49">
        <v>572.17999999999995</v>
      </c>
      <c r="JK49">
        <v>21.43</v>
      </c>
      <c r="JL49">
        <v>103.58</v>
      </c>
      <c r="JM49">
        <v>27.86</v>
      </c>
      <c r="JN49">
        <v>16.43</v>
      </c>
      <c r="JO49">
        <v>234.3</v>
      </c>
      <c r="JP49">
        <v>1157.23</v>
      </c>
      <c r="JQ49">
        <v>1480.11</v>
      </c>
      <c r="JR49">
        <v>17.86</v>
      </c>
      <c r="JS49">
        <v>11.69</v>
      </c>
      <c r="JT49">
        <v>152.15</v>
      </c>
      <c r="JU49">
        <v>424.32</v>
      </c>
      <c r="JV49">
        <v>635.76</v>
      </c>
      <c r="JW49">
        <v>137.87</v>
      </c>
      <c r="JX49">
        <v>49.29</v>
      </c>
      <c r="JY49">
        <v>140.72</v>
      </c>
      <c r="JZ49">
        <v>35.72</v>
      </c>
      <c r="KA49">
        <v>15.72</v>
      </c>
      <c r="KB49">
        <v>18.57</v>
      </c>
      <c r="KC49">
        <v>20</v>
      </c>
      <c r="KD49">
        <v>11.69</v>
      </c>
      <c r="KE49">
        <v>200.01</v>
      </c>
      <c r="KF49">
        <v>80.72</v>
      </c>
      <c r="KG49">
        <v>107.15</v>
      </c>
      <c r="KH49">
        <v>45.72</v>
      </c>
      <c r="KI49">
        <v>202.87</v>
      </c>
      <c r="KJ49">
        <v>107.15</v>
      </c>
      <c r="KK49">
        <v>106.44</v>
      </c>
      <c r="KL49">
        <v>37.86</v>
      </c>
      <c r="KM49">
        <v>130.01</v>
      </c>
      <c r="KN49">
        <v>489.32</v>
      </c>
      <c r="KO49">
        <v>277.88</v>
      </c>
      <c r="KP49">
        <v>115.72</v>
      </c>
      <c r="KQ49">
        <v>3411.68</v>
      </c>
      <c r="KR49">
        <v>492.18</v>
      </c>
      <c r="KS49">
        <v>601.47</v>
      </c>
      <c r="KT49">
        <v>24619.67</v>
      </c>
      <c r="KU49">
        <v>32275.23</v>
      </c>
      <c r="KV49">
        <v>5404.68</v>
      </c>
      <c r="KW49">
        <v>260.73</v>
      </c>
      <c r="KX49">
        <v>187.87</v>
      </c>
      <c r="KY49">
        <v>23.57</v>
      </c>
      <c r="KZ49">
        <v>22.14</v>
      </c>
      <c r="LA49">
        <v>767.2</v>
      </c>
      <c r="LB49">
        <v>435.03</v>
      </c>
      <c r="LC49">
        <v>989.36</v>
      </c>
      <c r="LD49">
        <v>11.69</v>
      </c>
      <c r="LE49">
        <v>359.31</v>
      </c>
      <c r="LF49">
        <v>2540.9</v>
      </c>
      <c r="LG49">
        <v>768.63</v>
      </c>
      <c r="LH49">
        <v>744.34</v>
      </c>
      <c r="LI49">
        <v>10072.879999999999</v>
      </c>
      <c r="LJ49">
        <v>1010.79</v>
      </c>
      <c r="LK49">
        <v>1649.41</v>
      </c>
      <c r="LL49">
        <v>174.3</v>
      </c>
      <c r="LM49">
        <v>11.69</v>
      </c>
      <c r="LN49">
        <v>382.89</v>
      </c>
      <c r="LO49">
        <v>44.29</v>
      </c>
      <c r="LP49">
        <v>1194.3699999999999</v>
      </c>
      <c r="LQ49">
        <v>95.72</v>
      </c>
      <c r="LR49">
        <v>92.86</v>
      </c>
      <c r="LS49">
        <v>22.86</v>
      </c>
      <c r="LT49">
        <v>24.29</v>
      </c>
      <c r="LU49">
        <v>44.29</v>
      </c>
      <c r="LV49">
        <v>106.44</v>
      </c>
      <c r="LW49">
        <v>1155.0899999999999</v>
      </c>
      <c r="LX49">
        <v>3153.09</v>
      </c>
      <c r="LY49">
        <v>2404.46</v>
      </c>
      <c r="LZ49">
        <v>9002.81</v>
      </c>
      <c r="MA49">
        <v>421.46</v>
      </c>
      <c r="MB49">
        <v>5815.43</v>
      </c>
      <c r="MC49">
        <v>1307.24</v>
      </c>
      <c r="MD49">
        <v>987.22</v>
      </c>
      <c r="ME49">
        <v>452.18</v>
      </c>
      <c r="MF49">
        <v>2298.0300000000002</v>
      </c>
      <c r="MG49">
        <v>4462.47</v>
      </c>
      <c r="MH49">
        <v>590.76</v>
      </c>
      <c r="MI49">
        <v>11.69</v>
      </c>
      <c r="MJ49">
        <v>495.04</v>
      </c>
      <c r="MK49">
        <v>18.57</v>
      </c>
      <c r="ML49">
        <v>1208.6600000000001</v>
      </c>
      <c r="MM49">
        <v>972.93</v>
      </c>
      <c r="MN49">
        <v>313.58999999999997</v>
      </c>
      <c r="MO49">
        <v>13.57</v>
      </c>
      <c r="MP49">
        <v>72.150000000000006</v>
      </c>
      <c r="MQ49">
        <v>87.15</v>
      </c>
      <c r="MR49">
        <v>19.29</v>
      </c>
      <c r="MS49">
        <v>158.58000000000001</v>
      </c>
      <c r="MT49">
        <v>1437.25</v>
      </c>
      <c r="MU49">
        <v>28.57</v>
      </c>
      <c r="MV49">
        <v>169.3</v>
      </c>
      <c r="MW49">
        <v>157.15</v>
      </c>
      <c r="MX49">
        <v>43.57</v>
      </c>
      <c r="MY49">
        <v>11.69</v>
      </c>
      <c r="MZ49">
        <v>1345.1</v>
      </c>
      <c r="NA49">
        <v>52.86</v>
      </c>
      <c r="NB49">
        <v>2845.21</v>
      </c>
      <c r="NC49">
        <v>1590.83</v>
      </c>
      <c r="ND49">
        <v>655.76</v>
      </c>
      <c r="NE49">
        <v>317.17</v>
      </c>
      <c r="NF49">
        <v>11.69</v>
      </c>
      <c r="NG49">
        <v>11.69</v>
      </c>
      <c r="NH49">
        <v>83.58</v>
      </c>
      <c r="NI49">
        <v>1442.96</v>
      </c>
      <c r="NJ49">
        <v>89.29</v>
      </c>
      <c r="NK49">
        <v>44.29</v>
      </c>
      <c r="NL49">
        <v>100.01</v>
      </c>
      <c r="NM49">
        <v>2589.48</v>
      </c>
      <c r="NN49">
        <v>215.02</v>
      </c>
      <c r="NO49">
        <v>11.69</v>
      </c>
      <c r="NP49">
        <v>11.69</v>
      </c>
      <c r="NQ49">
        <v>2588.7600000000002</v>
      </c>
      <c r="NR49">
        <v>231.45</v>
      </c>
      <c r="NS49">
        <v>386.46</v>
      </c>
      <c r="NT49">
        <v>1637.98</v>
      </c>
      <c r="NU49">
        <v>1164.3699999999999</v>
      </c>
      <c r="NV49">
        <v>268.58999999999997</v>
      </c>
      <c r="NW49">
        <v>398.6</v>
      </c>
      <c r="NX49">
        <v>51.43</v>
      </c>
      <c r="NY49">
        <v>45</v>
      </c>
      <c r="NZ49">
        <v>760.77</v>
      </c>
      <c r="OA49">
        <v>55</v>
      </c>
      <c r="OB49">
        <v>762.2</v>
      </c>
      <c r="OC49">
        <v>5608.27</v>
      </c>
      <c r="OD49">
        <v>164.3</v>
      </c>
      <c r="OE49">
        <v>4348.18</v>
      </c>
      <c r="OF49">
        <v>25</v>
      </c>
      <c r="OG49">
        <v>8679.93</v>
      </c>
      <c r="OH49">
        <v>197.16</v>
      </c>
      <c r="OI49">
        <v>33.57</v>
      </c>
      <c r="OJ49">
        <v>24.29</v>
      </c>
      <c r="OK49">
        <v>2382.3200000000002</v>
      </c>
      <c r="OL49">
        <v>107.87</v>
      </c>
      <c r="OM49">
        <v>204.3</v>
      </c>
      <c r="ON49">
        <v>256.45</v>
      </c>
      <c r="OO49">
        <v>1101.51</v>
      </c>
      <c r="OP49">
        <v>319.31</v>
      </c>
      <c r="OQ49">
        <v>5645.42</v>
      </c>
      <c r="OR49">
        <v>31.43</v>
      </c>
      <c r="OS49">
        <v>619.33000000000004</v>
      </c>
      <c r="OT49">
        <v>421.46</v>
      </c>
      <c r="OU49">
        <v>40.72</v>
      </c>
      <c r="OV49">
        <v>245.02</v>
      </c>
      <c r="OW49">
        <v>139.30000000000001</v>
      </c>
      <c r="OX49">
        <v>166.44</v>
      </c>
      <c r="OY49">
        <v>11.69</v>
      </c>
      <c r="OZ49">
        <v>11.69</v>
      </c>
      <c r="PA49">
        <v>11.69</v>
      </c>
      <c r="PB49">
        <v>95.01</v>
      </c>
      <c r="PC49">
        <v>13.57</v>
      </c>
      <c r="PD49">
        <v>24.29</v>
      </c>
      <c r="PE49">
        <v>31.43</v>
      </c>
      <c r="PF49">
        <v>475.03</v>
      </c>
      <c r="PG49">
        <v>62.15</v>
      </c>
      <c r="PH49">
        <v>57.15</v>
      </c>
      <c r="PI49">
        <v>162.87</v>
      </c>
      <c r="PJ49">
        <v>11835.16</v>
      </c>
      <c r="PK49">
        <v>23331.72</v>
      </c>
      <c r="PL49">
        <v>49.29</v>
      </c>
      <c r="PM49">
        <v>27129.86</v>
      </c>
      <c r="PN49">
        <v>2260.88</v>
      </c>
      <c r="PO49">
        <v>55.72</v>
      </c>
      <c r="PP49">
        <v>677.91</v>
      </c>
      <c r="PQ49">
        <v>28.57</v>
      </c>
      <c r="PR49">
        <v>70.010000000000005</v>
      </c>
      <c r="PS49">
        <v>19.29</v>
      </c>
      <c r="PT49">
        <v>29.29</v>
      </c>
      <c r="PU49">
        <v>181.44</v>
      </c>
      <c r="PV49">
        <v>77.86</v>
      </c>
      <c r="PW49">
        <v>130.72</v>
      </c>
      <c r="PX49">
        <v>11.69</v>
      </c>
      <c r="PY49">
        <v>521.47</v>
      </c>
      <c r="PZ49">
        <v>18.57</v>
      </c>
      <c r="QA49">
        <v>227.87</v>
      </c>
      <c r="QB49">
        <v>1304.3800000000001</v>
      </c>
      <c r="QC49">
        <v>11.69</v>
      </c>
      <c r="QD49">
        <v>12.86</v>
      </c>
      <c r="QE49">
        <v>11.69</v>
      </c>
      <c r="QF49">
        <v>11.69</v>
      </c>
      <c r="QG49">
        <v>19.29</v>
      </c>
      <c r="QH49">
        <v>12.86</v>
      </c>
      <c r="QI49">
        <v>11.69</v>
      </c>
      <c r="QJ49">
        <v>228.59</v>
      </c>
      <c r="QK49">
        <v>14.29</v>
      </c>
      <c r="QL49">
        <v>165.01</v>
      </c>
      <c r="QM49">
        <v>1017.22</v>
      </c>
      <c r="QN49">
        <v>467.18</v>
      </c>
      <c r="QO49">
        <v>27.86</v>
      </c>
      <c r="QP49">
        <v>13.57</v>
      </c>
      <c r="QQ49">
        <v>630.76</v>
      </c>
      <c r="QR49">
        <v>244.3</v>
      </c>
      <c r="QS49">
        <v>2005.86</v>
      </c>
      <c r="QT49">
        <v>982.22</v>
      </c>
      <c r="QU49">
        <v>42.15</v>
      </c>
      <c r="QV49">
        <v>151.44</v>
      </c>
      <c r="QW49">
        <v>152.87</v>
      </c>
      <c r="QX49">
        <v>169.3</v>
      </c>
      <c r="QY49">
        <v>265.02</v>
      </c>
      <c r="QZ49">
        <v>17.86</v>
      </c>
      <c r="RA49">
        <v>117.87</v>
      </c>
      <c r="RB49">
        <v>17288.419999999998</v>
      </c>
      <c r="RC49">
        <v>1006.5</v>
      </c>
      <c r="RD49">
        <v>2018.01</v>
      </c>
      <c r="RE49">
        <v>95.72</v>
      </c>
      <c r="RF49">
        <v>90.72</v>
      </c>
      <c r="RG49">
        <v>335.74</v>
      </c>
      <c r="RH49">
        <v>42.15</v>
      </c>
      <c r="RI49">
        <v>12.14</v>
      </c>
      <c r="RJ49">
        <v>144.30000000000001</v>
      </c>
      <c r="RK49">
        <v>11.69</v>
      </c>
      <c r="RL49">
        <v>217.16</v>
      </c>
      <c r="RM49">
        <v>110.72</v>
      </c>
      <c r="RN49">
        <v>260.02</v>
      </c>
      <c r="RO49">
        <v>1149.3699999999999</v>
      </c>
      <c r="RP49">
        <v>34.29</v>
      </c>
      <c r="RQ49">
        <v>1480.82</v>
      </c>
      <c r="RR49">
        <v>56.43</v>
      </c>
      <c r="RS49">
        <v>547.17999999999995</v>
      </c>
      <c r="RT49">
        <v>850.06</v>
      </c>
      <c r="RU49">
        <v>156.44</v>
      </c>
      <c r="RV49">
        <v>18.57</v>
      </c>
      <c r="RW49">
        <v>52.15</v>
      </c>
      <c r="RX49">
        <v>2666.62</v>
      </c>
      <c r="RY49">
        <v>1133.6500000000001</v>
      </c>
      <c r="RZ49">
        <v>22.14</v>
      </c>
      <c r="SA49">
        <v>369.31</v>
      </c>
      <c r="SB49">
        <v>20</v>
      </c>
      <c r="SC49">
        <v>76.430000000000007</v>
      </c>
      <c r="SD49">
        <v>874.35</v>
      </c>
      <c r="SE49">
        <v>802.92</v>
      </c>
      <c r="SF49">
        <v>391.46</v>
      </c>
      <c r="SG49">
        <v>4508.8999999999996</v>
      </c>
      <c r="SH49">
        <v>116.44</v>
      </c>
      <c r="SI49">
        <v>24.29</v>
      </c>
      <c r="SJ49">
        <v>167.16</v>
      </c>
      <c r="SK49">
        <v>109.29</v>
      </c>
      <c r="SL49">
        <v>145.72999999999999</v>
      </c>
      <c r="SM49">
        <v>19.29</v>
      </c>
      <c r="SN49">
        <v>78.58</v>
      </c>
      <c r="SO49">
        <v>11.69</v>
      </c>
      <c r="SP49">
        <v>95.01</v>
      </c>
      <c r="SQ49">
        <v>943.64</v>
      </c>
      <c r="SR49">
        <v>1175.8</v>
      </c>
      <c r="SS49">
        <v>2043.01</v>
      </c>
      <c r="ST49">
        <v>1281.52</v>
      </c>
      <c r="SU49">
        <v>1995.15</v>
      </c>
      <c r="SV49">
        <v>805.06</v>
      </c>
      <c r="SW49">
        <v>954.36</v>
      </c>
      <c r="SX49">
        <v>140.01</v>
      </c>
      <c r="SY49">
        <v>84.29</v>
      </c>
      <c r="SZ49">
        <v>11.69</v>
      </c>
      <c r="TA49">
        <v>11.69</v>
      </c>
      <c r="TB49">
        <v>1314.38</v>
      </c>
      <c r="TC49">
        <v>1075.79</v>
      </c>
      <c r="TD49">
        <v>110.01</v>
      </c>
      <c r="TE49">
        <v>532.17999999999995</v>
      </c>
      <c r="TF49">
        <v>375.74</v>
      </c>
      <c r="TG49">
        <v>743.63</v>
      </c>
      <c r="TH49">
        <v>270.73</v>
      </c>
      <c r="TI49">
        <v>70.72</v>
      </c>
      <c r="TJ49">
        <v>11.69</v>
      </c>
      <c r="TK49">
        <v>240.02</v>
      </c>
      <c r="TL49">
        <v>115.72</v>
      </c>
      <c r="TM49">
        <v>72.150000000000006</v>
      </c>
      <c r="TN49">
        <v>377.17</v>
      </c>
      <c r="TO49">
        <v>695.77</v>
      </c>
      <c r="TP49">
        <v>244.3</v>
      </c>
      <c r="TQ49">
        <v>594.33000000000004</v>
      </c>
      <c r="TR49">
        <v>11.69</v>
      </c>
      <c r="TS49">
        <v>98.58</v>
      </c>
      <c r="TT49">
        <v>100.72</v>
      </c>
      <c r="TU49">
        <v>24.29</v>
      </c>
      <c r="TV49">
        <v>237.16</v>
      </c>
      <c r="TW49">
        <v>472.89</v>
      </c>
      <c r="TX49">
        <v>105.72</v>
      </c>
      <c r="TY49">
        <v>37.15</v>
      </c>
      <c r="TZ49">
        <v>147.87</v>
      </c>
      <c r="UA49">
        <v>142.15</v>
      </c>
      <c r="UB49">
        <v>64.290000000000006</v>
      </c>
      <c r="UC49">
        <v>14530.36</v>
      </c>
      <c r="UD49">
        <v>11.69</v>
      </c>
      <c r="UE49">
        <v>17.14</v>
      </c>
      <c r="UF49">
        <v>1146.51</v>
      </c>
      <c r="UG49">
        <v>217.87</v>
      </c>
      <c r="UH49">
        <v>11.69</v>
      </c>
      <c r="UI49">
        <v>47.15</v>
      </c>
      <c r="UJ49">
        <v>22.86</v>
      </c>
      <c r="UK49">
        <v>31.43</v>
      </c>
      <c r="UL49">
        <v>15</v>
      </c>
      <c r="UM49">
        <v>19.29</v>
      </c>
      <c r="UN49">
        <v>163.58000000000001</v>
      </c>
      <c r="UO49">
        <v>227.87</v>
      </c>
      <c r="UP49">
        <v>11.69</v>
      </c>
      <c r="UQ49">
        <v>11.69</v>
      </c>
      <c r="UR49">
        <v>15.72</v>
      </c>
      <c r="US49">
        <v>65</v>
      </c>
      <c r="UT49">
        <v>229.3</v>
      </c>
      <c r="UU49">
        <v>1253.6600000000001</v>
      </c>
      <c r="UV49">
        <v>747.2</v>
      </c>
      <c r="UW49">
        <v>565.04</v>
      </c>
      <c r="UX49">
        <v>67.150000000000006</v>
      </c>
      <c r="UY49">
        <v>319.31</v>
      </c>
      <c r="UZ49">
        <v>51.43</v>
      </c>
      <c r="VA49">
        <v>325.02</v>
      </c>
      <c r="VB49">
        <v>1504.4</v>
      </c>
      <c r="VC49">
        <v>67.150000000000006</v>
      </c>
      <c r="VD49">
        <v>182.87</v>
      </c>
      <c r="VE49">
        <v>25.72</v>
      </c>
      <c r="VF49">
        <v>282.16000000000003</v>
      </c>
      <c r="VG49">
        <v>67.86</v>
      </c>
      <c r="VH49">
        <v>43.57</v>
      </c>
      <c r="VI49">
        <v>26.43</v>
      </c>
      <c r="VJ49">
        <v>67.86</v>
      </c>
      <c r="VK49">
        <v>703.62</v>
      </c>
      <c r="VL49">
        <v>735.77</v>
      </c>
      <c r="VM49">
        <v>551.47</v>
      </c>
      <c r="VN49">
        <v>458.61</v>
      </c>
      <c r="VO49">
        <v>11.69</v>
      </c>
      <c r="VP49">
        <v>11.69</v>
      </c>
      <c r="VQ49">
        <v>807.92</v>
      </c>
      <c r="VR49">
        <v>408.6</v>
      </c>
      <c r="VS49">
        <v>625.76</v>
      </c>
      <c r="VT49">
        <v>20.72</v>
      </c>
      <c r="VU49">
        <v>54.29</v>
      </c>
      <c r="VV49">
        <v>41.43</v>
      </c>
      <c r="VW49">
        <v>240.73</v>
      </c>
      <c r="VX49">
        <v>127.87</v>
      </c>
      <c r="VY49">
        <v>12.14</v>
      </c>
      <c r="VZ49">
        <v>17427</v>
      </c>
      <c r="WA49">
        <v>13446.71</v>
      </c>
      <c r="WB49">
        <v>260.02</v>
      </c>
      <c r="WC49">
        <v>130.72</v>
      </c>
      <c r="WD49">
        <v>443.6</v>
      </c>
      <c r="WE49">
        <v>2465.1799999999998</v>
      </c>
      <c r="WF49">
        <v>88.58</v>
      </c>
      <c r="WG49">
        <v>210.02</v>
      </c>
      <c r="WH49">
        <v>8129.88</v>
      </c>
      <c r="WI49">
        <v>18418.5</v>
      </c>
      <c r="WJ49">
        <v>4690.3500000000004</v>
      </c>
      <c r="WK49">
        <v>237.87</v>
      </c>
      <c r="WL49">
        <v>445.03</v>
      </c>
      <c r="WM49">
        <v>33.57</v>
      </c>
      <c r="WN49">
        <v>14.29</v>
      </c>
      <c r="WO49">
        <v>13.57</v>
      </c>
      <c r="WP49">
        <v>163.58000000000001</v>
      </c>
      <c r="WQ49">
        <v>2604.48</v>
      </c>
      <c r="WR49">
        <v>325.74</v>
      </c>
      <c r="WS49">
        <v>42.86</v>
      </c>
      <c r="WT49">
        <v>66.430000000000007</v>
      </c>
      <c r="WU49">
        <v>629.33000000000004</v>
      </c>
      <c r="WV49">
        <v>577.19000000000005</v>
      </c>
      <c r="WW49">
        <v>24.29</v>
      </c>
      <c r="WX49">
        <v>36.43</v>
      </c>
      <c r="WY49">
        <v>38.57</v>
      </c>
      <c r="WZ49">
        <v>12.86</v>
      </c>
      <c r="XA49">
        <v>11.69</v>
      </c>
      <c r="XB49">
        <v>405.74</v>
      </c>
      <c r="XC49">
        <v>22.86</v>
      </c>
      <c r="XD49">
        <v>102.15</v>
      </c>
      <c r="XE49">
        <v>142.15</v>
      </c>
      <c r="XF49">
        <v>1376.53</v>
      </c>
      <c r="XG49">
        <v>1765.13</v>
      </c>
      <c r="XH49">
        <v>132.87</v>
      </c>
      <c r="XI49">
        <v>2779.49</v>
      </c>
      <c r="XJ49">
        <v>324.31</v>
      </c>
      <c r="XK49">
        <v>543.61</v>
      </c>
      <c r="XL49">
        <v>75.010000000000005</v>
      </c>
      <c r="XM49">
        <v>43.57</v>
      </c>
      <c r="XN49">
        <v>271.45</v>
      </c>
      <c r="XO49">
        <v>11.69</v>
      </c>
      <c r="XP49">
        <v>11.69</v>
      </c>
      <c r="XQ49">
        <v>29.29</v>
      </c>
      <c r="XR49">
        <v>11.69</v>
      </c>
      <c r="XS49">
        <v>604.33000000000004</v>
      </c>
      <c r="XT49">
        <v>257.88</v>
      </c>
      <c r="XU49">
        <v>715.05</v>
      </c>
      <c r="XV49">
        <v>691.48</v>
      </c>
      <c r="XW49">
        <v>3956.01</v>
      </c>
      <c r="XX49">
        <v>2054.44</v>
      </c>
      <c r="XY49">
        <v>1681.55</v>
      </c>
      <c r="XZ49">
        <v>67.150000000000006</v>
      </c>
      <c r="YA49">
        <v>566.47</v>
      </c>
      <c r="YB49">
        <v>84.29</v>
      </c>
      <c r="YC49">
        <v>27.14</v>
      </c>
      <c r="YD49">
        <v>1901.57</v>
      </c>
      <c r="YE49">
        <v>612.19000000000005</v>
      </c>
      <c r="YF49">
        <v>791.49</v>
      </c>
      <c r="YG49">
        <v>138.58000000000001</v>
      </c>
      <c r="YH49">
        <v>23.57</v>
      </c>
      <c r="YI49">
        <v>55</v>
      </c>
      <c r="YJ49">
        <v>21.43</v>
      </c>
      <c r="YK49">
        <v>11.69</v>
      </c>
      <c r="YL49">
        <v>485.04</v>
      </c>
      <c r="YM49">
        <v>3205.95</v>
      </c>
      <c r="YN49">
        <v>294.31</v>
      </c>
      <c r="YO49">
        <v>202.87</v>
      </c>
      <c r="YP49">
        <v>1504.4</v>
      </c>
      <c r="YQ49">
        <v>355.03</v>
      </c>
      <c r="YR49">
        <v>108.58</v>
      </c>
      <c r="YS49">
        <v>14515.35</v>
      </c>
      <c r="YT49">
        <v>143.58000000000001</v>
      </c>
      <c r="YU49">
        <v>150.01</v>
      </c>
      <c r="YV49">
        <v>51.43</v>
      </c>
      <c r="YW49">
        <v>45</v>
      </c>
      <c r="YX49">
        <v>52.86</v>
      </c>
      <c r="YY49">
        <v>288.58999999999997</v>
      </c>
      <c r="YZ49">
        <v>52.15</v>
      </c>
      <c r="ZA49">
        <v>82.86</v>
      </c>
      <c r="ZB49">
        <v>12.86</v>
      </c>
      <c r="ZC49">
        <v>11.69</v>
      </c>
      <c r="ZD49">
        <v>28.57</v>
      </c>
      <c r="ZE49">
        <v>11.69</v>
      </c>
      <c r="ZF49">
        <v>122.87</v>
      </c>
      <c r="ZG49">
        <v>365.03</v>
      </c>
      <c r="ZH49">
        <v>131.44</v>
      </c>
      <c r="ZI49">
        <v>373.6</v>
      </c>
      <c r="ZJ49">
        <v>567.17999999999995</v>
      </c>
      <c r="ZK49">
        <v>145.72999999999999</v>
      </c>
      <c r="ZL49">
        <v>13.57</v>
      </c>
      <c r="ZM49">
        <v>104.29</v>
      </c>
      <c r="ZN49">
        <v>19.29</v>
      </c>
      <c r="ZO49">
        <v>30</v>
      </c>
      <c r="ZP49">
        <v>173.58</v>
      </c>
      <c r="ZQ49">
        <v>17.14</v>
      </c>
      <c r="ZR49">
        <v>12.86</v>
      </c>
      <c r="ZS49">
        <v>947.21</v>
      </c>
      <c r="ZT49">
        <v>187.87</v>
      </c>
      <c r="ZU49">
        <v>175.73</v>
      </c>
      <c r="ZV49">
        <v>13.57</v>
      </c>
      <c r="ZW49">
        <v>11.69</v>
      </c>
      <c r="ZX49">
        <v>77.150000000000006</v>
      </c>
      <c r="ZY49">
        <v>3362.39</v>
      </c>
      <c r="ZZ49">
        <v>67.150000000000006</v>
      </c>
      <c r="AAA49">
        <v>29.29</v>
      </c>
      <c r="AAB49">
        <v>37.86</v>
      </c>
      <c r="AAC49">
        <v>11.69</v>
      </c>
      <c r="AAD49">
        <v>25</v>
      </c>
      <c r="AAE49">
        <v>12.86</v>
      </c>
      <c r="AAF49">
        <v>12.86</v>
      </c>
      <c r="AAG49">
        <v>242.16</v>
      </c>
      <c r="AAH49">
        <v>88.58</v>
      </c>
      <c r="AAI49">
        <v>4421.04</v>
      </c>
      <c r="AAJ49">
        <v>1509.4</v>
      </c>
      <c r="AAK49">
        <v>370.74</v>
      </c>
      <c r="AAL49">
        <v>94.29</v>
      </c>
      <c r="AAM49">
        <v>11.69</v>
      </c>
      <c r="AAN49">
        <v>183.58</v>
      </c>
      <c r="AAO49">
        <v>48.58</v>
      </c>
      <c r="AAP49">
        <v>336.45</v>
      </c>
      <c r="AAQ49">
        <v>18.57</v>
      </c>
      <c r="AAR49">
        <v>70.010000000000005</v>
      </c>
      <c r="AAS49">
        <v>1746.56</v>
      </c>
      <c r="AAT49">
        <v>21.43</v>
      </c>
      <c r="AAU49">
        <v>11.69</v>
      </c>
      <c r="AAV49">
        <v>2735.2</v>
      </c>
      <c r="AAW49">
        <v>151.44</v>
      </c>
      <c r="AAX49">
        <v>48.58</v>
      </c>
      <c r="AAY49">
        <v>542.17999999999995</v>
      </c>
      <c r="AAZ49">
        <v>27.14</v>
      </c>
      <c r="ABA49">
        <v>378.6</v>
      </c>
      <c r="ABB49">
        <v>51.43</v>
      </c>
      <c r="ABC49">
        <v>495.04</v>
      </c>
      <c r="ABD49">
        <v>793.63</v>
      </c>
      <c r="ABE49">
        <v>352.88</v>
      </c>
      <c r="ABF49">
        <v>1858.71</v>
      </c>
      <c r="ABG49">
        <v>60.72</v>
      </c>
      <c r="ABH49">
        <v>133.58000000000001</v>
      </c>
      <c r="ABI49">
        <v>48.58</v>
      </c>
      <c r="ABJ49">
        <v>43.57</v>
      </c>
      <c r="ABK49">
        <v>60</v>
      </c>
      <c r="ABL49">
        <v>11.69</v>
      </c>
      <c r="ABM49">
        <v>20.72</v>
      </c>
      <c r="ABN49">
        <v>37.15</v>
      </c>
      <c r="ABO49">
        <v>12.14</v>
      </c>
      <c r="ABP49">
        <v>14.29</v>
      </c>
      <c r="ABQ49">
        <v>277.88</v>
      </c>
      <c r="ABR49">
        <v>45.72</v>
      </c>
      <c r="ABS49">
        <v>930.07</v>
      </c>
      <c r="ABT49">
        <v>25.72</v>
      </c>
      <c r="ABU49">
        <v>22.86</v>
      </c>
      <c r="ABV49">
        <v>75.010000000000005</v>
      </c>
      <c r="ABW49">
        <v>315.02</v>
      </c>
      <c r="ABX49">
        <v>442.18</v>
      </c>
      <c r="ABY49">
        <v>867.92</v>
      </c>
      <c r="ABZ49">
        <v>130.01</v>
      </c>
      <c r="ACA49">
        <v>669.34</v>
      </c>
      <c r="ACB49">
        <v>280.02</v>
      </c>
      <c r="ACC49">
        <v>110.01</v>
      </c>
      <c r="ACD49">
        <v>392.17</v>
      </c>
      <c r="ACE49">
        <v>161.44</v>
      </c>
      <c r="ACF49">
        <v>4562.4799999999996</v>
      </c>
      <c r="ACG49">
        <v>2033.01</v>
      </c>
      <c r="ACH49">
        <v>720.77</v>
      </c>
      <c r="ACI49">
        <v>559.33000000000004</v>
      </c>
      <c r="ACJ49">
        <v>576.47</v>
      </c>
      <c r="ACK49">
        <v>473.61</v>
      </c>
      <c r="ACL49">
        <v>61.43</v>
      </c>
      <c r="ACM49">
        <v>95.01</v>
      </c>
      <c r="ACN49">
        <v>460.75</v>
      </c>
      <c r="ACO49">
        <v>815.06</v>
      </c>
      <c r="ACP49">
        <v>529.32000000000005</v>
      </c>
      <c r="ACQ49">
        <v>281.45</v>
      </c>
      <c r="ACR49">
        <v>5824.71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H&amp;E and IHC_n=16</vt:lpstr>
      <vt:lpstr>Meta_data_n=16</vt:lpstr>
      <vt:lpstr>Cytokine_n=16</vt:lpstr>
      <vt:lpstr>Flowcytometry_n=16</vt:lpstr>
      <vt:lpstr>NanoString_n=16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Pradeepa S</dc:creator>
  <cp:lastModifiedBy>Poojitha N</cp:lastModifiedBy>
  <dcterms:created xsi:type="dcterms:W3CDTF">2026-04-30T10:22:37Z</dcterms:created>
  <dcterms:modified xsi:type="dcterms:W3CDTF">2026-09-29T10:38:10Z</dcterms:modified>
</cp:coreProperties>
</file>